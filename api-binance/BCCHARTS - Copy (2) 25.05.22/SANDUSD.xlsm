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FA0BB6BE-C180-441C-9454-37CDE18A8646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4"/>
  <c r="C133" i="4" s="1"/>
  <c r="D136" i="4" s="1"/>
  <c r="C116" i="5"/>
  <c r="C122" i="5"/>
  <c r="C133" i="5" s="1"/>
  <c r="D136" i="5" s="1"/>
  <c r="C116" i="4"/>
  <c r="C118" i="4"/>
  <c r="R765" i="1"/>
  <c r="C122" i="3"/>
  <c r="C133" i="3" s="1"/>
  <c r="D136" i="3" s="1"/>
  <c r="C118" i="3"/>
  <c r="D118" i="3"/>
  <c r="C136" i="4" l="1"/>
  <c r="C138" i="4" s="1"/>
  <c r="C136" i="5"/>
  <c r="C138" i="5" s="1"/>
  <c r="R764" i="1"/>
  <c r="S765" i="1"/>
  <c r="T765" i="1" s="1"/>
  <c r="C136" i="3"/>
  <c r="C138" i="3" s="1"/>
  <c r="R763" i="1" l="1"/>
  <c r="S764" i="1"/>
  <c r="T764" i="1" s="1"/>
  <c r="R762" i="1" l="1"/>
  <c r="S763" i="1"/>
  <c r="T763" i="1" s="1"/>
  <c r="S762" i="1" l="1"/>
  <c r="T762" i="1" s="1"/>
  <c r="R761" i="1"/>
  <c r="R760" i="1" l="1"/>
  <c r="S761" i="1"/>
  <c r="T761" i="1" s="1"/>
  <c r="S760" i="1" l="1"/>
  <c r="T760" i="1" s="1"/>
  <c r="R759" i="1"/>
  <c r="S759" i="1" l="1"/>
  <c r="T759" i="1" s="1"/>
  <c r="R758" i="1"/>
  <c r="R757" i="1" l="1"/>
  <c r="S758" i="1"/>
  <c r="T758" i="1" s="1"/>
  <c r="S757" i="1" l="1"/>
  <c r="T757" i="1" s="1"/>
  <c r="R756" i="1"/>
  <c r="R755" i="1" l="1"/>
  <c r="S756" i="1"/>
  <c r="T756" i="1" s="1"/>
  <c r="R754" i="1" l="1"/>
  <c r="S755" i="1"/>
  <c r="T755" i="1" s="1"/>
  <c r="S754" i="1" l="1"/>
  <c r="T754" i="1" s="1"/>
  <c r="R753" i="1"/>
  <c r="R752" i="1" l="1"/>
  <c r="S753" i="1"/>
  <c r="T753" i="1" s="1"/>
  <c r="S752" i="1" l="1"/>
  <c r="T752" i="1" s="1"/>
  <c r="R751" i="1"/>
  <c r="S751" i="1" l="1"/>
  <c r="T751" i="1" s="1"/>
  <c r="R750" i="1"/>
  <c r="R749" i="1" l="1"/>
  <c r="S750" i="1"/>
  <c r="T750" i="1" s="1"/>
  <c r="S749" i="1" l="1"/>
  <c r="T749" i="1" s="1"/>
  <c r="R748" i="1"/>
  <c r="R747" i="1" l="1"/>
  <c r="S748" i="1"/>
  <c r="T748" i="1" s="1"/>
  <c r="R746" i="1" l="1"/>
  <c r="S747" i="1"/>
  <c r="T747" i="1" s="1"/>
  <c r="S746" i="1" l="1"/>
  <c r="T746" i="1" s="1"/>
  <c r="R745" i="1"/>
  <c r="R744" i="1" l="1"/>
  <c r="S745" i="1"/>
  <c r="T745" i="1" s="1"/>
  <c r="S744" i="1" l="1"/>
  <c r="T744" i="1" s="1"/>
  <c r="R743" i="1"/>
  <c r="S743" i="1" l="1"/>
  <c r="T743" i="1" s="1"/>
  <c r="R742" i="1"/>
  <c r="R741" i="1" l="1"/>
  <c r="S742" i="1"/>
  <c r="T742" i="1" s="1"/>
  <c r="S741" i="1" l="1"/>
  <c r="T741" i="1" s="1"/>
  <c r="R740" i="1"/>
  <c r="R739" i="1" l="1"/>
  <c r="S740" i="1"/>
  <c r="T740" i="1" s="1"/>
  <c r="R738" i="1" l="1"/>
  <c r="S739" i="1"/>
  <c r="T739" i="1" s="1"/>
  <c r="S738" i="1" l="1"/>
  <c r="T738" i="1" s="1"/>
  <c r="R737" i="1"/>
  <c r="R736" i="1" l="1"/>
  <c r="S737" i="1"/>
  <c r="T737" i="1" s="1"/>
  <c r="S736" i="1" l="1"/>
  <c r="T736" i="1" s="1"/>
  <c r="R735" i="1"/>
  <c r="S735" i="1" l="1"/>
  <c r="T735" i="1" s="1"/>
  <c r="R734" i="1"/>
  <c r="R733" i="1" l="1"/>
  <c r="S734" i="1"/>
  <c r="T734" i="1" s="1"/>
  <c r="S733" i="1" l="1"/>
  <c r="T733" i="1" s="1"/>
  <c r="R732" i="1"/>
  <c r="R731" i="1" l="1"/>
  <c r="S732" i="1"/>
  <c r="T732" i="1" s="1"/>
  <c r="R730" i="1" l="1"/>
  <c r="S731" i="1"/>
  <c r="T731" i="1" s="1"/>
  <c r="S730" i="1" l="1"/>
  <c r="T730" i="1" s="1"/>
  <c r="R729" i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S725" i="1" l="1"/>
  <c r="T725" i="1" s="1"/>
  <c r="R724" i="1"/>
  <c r="S724" i="1" l="1"/>
  <c r="T724" i="1" s="1"/>
  <c r="R723" i="1"/>
  <c r="R722" i="1" l="1"/>
  <c r="S723" i="1"/>
  <c r="T723" i="1" s="1"/>
  <c r="S722" i="1" l="1"/>
  <c r="T722" i="1" s="1"/>
  <c r="R721" i="1"/>
  <c r="R720" i="1" l="1"/>
  <c r="S721" i="1"/>
  <c r="T721" i="1" s="1"/>
  <c r="R719" i="1" l="1"/>
  <c r="S720" i="1"/>
  <c r="T720" i="1" s="1"/>
  <c r="S719" i="1" l="1"/>
  <c r="T719" i="1" s="1"/>
  <c r="R718" i="1"/>
  <c r="R717" i="1" l="1"/>
  <c r="S718" i="1"/>
  <c r="T718" i="1" s="1"/>
  <c r="S717" i="1" l="1"/>
  <c r="T717" i="1" s="1"/>
  <c r="R716" i="1"/>
  <c r="S716" i="1" l="1"/>
  <c r="T716" i="1" s="1"/>
  <c r="R715" i="1"/>
  <c r="S715" i="1" l="1"/>
  <c r="T715" i="1" s="1"/>
  <c r="R714" i="1"/>
  <c r="S714" i="1" l="1"/>
  <c r="T714" i="1" s="1"/>
  <c r="R713" i="1"/>
  <c r="S713" i="1" l="1"/>
  <c r="T713" i="1" s="1"/>
  <c r="R712" i="1"/>
  <c r="R711" i="1" l="1"/>
  <c r="S712" i="1"/>
  <c r="T712" i="1" s="1"/>
  <c r="R710" i="1" l="1"/>
  <c r="S711" i="1"/>
  <c r="T711" i="1" s="1"/>
  <c r="R709" i="1" l="1"/>
  <c r="S710" i="1"/>
  <c r="T710" i="1" s="1"/>
  <c r="S709" i="1" l="1"/>
  <c r="T709" i="1" s="1"/>
  <c r="R708" i="1"/>
  <c r="R707" i="1" l="1"/>
  <c r="S708" i="1"/>
  <c r="T708" i="1" s="1"/>
  <c r="S707" i="1" l="1"/>
  <c r="T707" i="1" s="1"/>
  <c r="R706" i="1"/>
  <c r="S706" i="1" l="1"/>
  <c r="T706" i="1" s="1"/>
  <c r="R705" i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S701" i="1" l="1"/>
  <c r="T701" i="1" s="1"/>
  <c r="R700" i="1"/>
  <c r="S700" i="1" l="1"/>
  <c r="T700" i="1" s="1"/>
  <c r="R699" i="1"/>
  <c r="S699" i="1" l="1"/>
  <c r="T699" i="1" s="1"/>
  <c r="R698" i="1"/>
  <c r="S698" i="1" l="1"/>
  <c r="T698" i="1" s="1"/>
  <c r="R697" i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S693" i="1" l="1"/>
  <c r="T693" i="1" s="1"/>
  <c r="R692" i="1"/>
  <c r="S692" i="1" l="1"/>
  <c r="T692" i="1" s="1"/>
  <c r="R691" i="1"/>
  <c r="S691" i="1" l="1"/>
  <c r="T691" i="1" s="1"/>
  <c r="R690" i="1"/>
  <c r="S690" i="1" l="1"/>
  <c r="T690" i="1" s="1"/>
  <c r="R689" i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S685" i="1" l="1"/>
  <c r="T685" i="1" s="1"/>
  <c r="R684" i="1"/>
  <c r="S684" i="1" l="1"/>
  <c r="T684" i="1" s="1"/>
  <c r="R683" i="1"/>
  <c r="S683" i="1" l="1"/>
  <c r="T683" i="1" s="1"/>
  <c r="R682" i="1"/>
  <c r="S682" i="1" l="1"/>
  <c r="T682" i="1" s="1"/>
  <c r="R681" i="1"/>
  <c r="R680" i="1" l="1"/>
  <c r="S681" i="1"/>
  <c r="T681" i="1" s="1"/>
  <c r="S680" i="1" l="1"/>
  <c r="T680" i="1" s="1"/>
  <c r="R679" i="1"/>
  <c r="R678" i="1" l="1"/>
  <c r="S679" i="1"/>
  <c r="T679" i="1" s="1"/>
  <c r="R677" i="1" l="1"/>
  <c r="S678" i="1"/>
  <c r="T678" i="1" s="1"/>
  <c r="S677" i="1" l="1"/>
  <c r="T677" i="1" s="1"/>
  <c r="R676" i="1"/>
  <c r="S676" i="1" l="1"/>
  <c r="T676" i="1" s="1"/>
  <c r="R675" i="1"/>
  <c r="R674" i="1" l="1"/>
  <c r="S675" i="1"/>
  <c r="T675" i="1" s="1"/>
  <c r="S674" i="1" l="1"/>
  <c r="T674" i="1" s="1"/>
  <c r="R673" i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S669" i="1" l="1"/>
  <c r="T669" i="1" s="1"/>
  <c r="R668" i="1"/>
  <c r="S668" i="1" l="1"/>
  <c r="T668" i="1" s="1"/>
  <c r="R667" i="1"/>
  <c r="S667" i="1" l="1"/>
  <c r="T667" i="1" s="1"/>
  <c r="R666" i="1"/>
  <c r="S666" i="1" l="1"/>
  <c r="T666" i="1" s="1"/>
  <c r="R665" i="1"/>
  <c r="R664" i="1" l="1"/>
  <c r="S665" i="1"/>
  <c r="T665" i="1" s="1"/>
  <c r="R663" i="1" l="1"/>
  <c r="S664" i="1"/>
  <c r="T664" i="1" s="1"/>
  <c r="R662" i="1" l="1"/>
  <c r="S663" i="1"/>
  <c r="T663" i="1" s="1"/>
  <c r="S662" i="1" l="1"/>
  <c r="T662" i="1" s="1"/>
  <c r="R661" i="1"/>
  <c r="S661" i="1" l="1"/>
  <c r="T661" i="1" s="1"/>
  <c r="R660" i="1"/>
  <c r="S660" i="1" l="1"/>
  <c r="T660" i="1" s="1"/>
  <c r="R659" i="1"/>
  <c r="S659" i="1" l="1"/>
  <c r="T659" i="1" s="1"/>
  <c r="R658" i="1"/>
  <c r="R657" i="1" l="1"/>
  <c r="S658" i="1"/>
  <c r="T658" i="1" s="1"/>
  <c r="R656" i="1" l="1"/>
  <c r="S657" i="1"/>
  <c r="T657" i="1" s="1"/>
  <c r="S656" i="1" l="1"/>
  <c r="T656" i="1" s="1"/>
  <c r="R655" i="1"/>
  <c r="S655" i="1" l="1"/>
  <c r="T655" i="1" s="1"/>
  <c r="R654" i="1"/>
  <c r="S654" i="1" l="1"/>
  <c r="T654" i="1" s="1"/>
  <c r="R653" i="1"/>
  <c r="S653" i="1" l="1"/>
  <c r="T653" i="1" s="1"/>
  <c r="R652" i="1"/>
  <c r="S652" i="1" l="1"/>
  <c r="T652" i="1" s="1"/>
  <c r="R651" i="1"/>
  <c r="S651" i="1" l="1"/>
  <c r="T651" i="1" s="1"/>
  <c r="R650" i="1"/>
  <c r="R649" i="1" l="1"/>
  <c r="S650" i="1"/>
  <c r="T650" i="1" s="1"/>
  <c r="R648" i="1" l="1"/>
  <c r="S649" i="1"/>
  <c r="T649" i="1" s="1"/>
  <c r="R647" i="1" l="1"/>
  <c r="S648" i="1"/>
  <c r="T648" i="1" s="1"/>
  <c r="S647" i="1" l="1"/>
  <c r="T647" i="1" s="1"/>
  <c r="R646" i="1"/>
  <c r="S646" i="1" l="1"/>
  <c r="T646" i="1" s="1"/>
  <c r="R645" i="1"/>
  <c r="S645" i="1" l="1"/>
  <c r="T645" i="1" s="1"/>
  <c r="R644" i="1"/>
  <c r="S644" i="1" l="1"/>
  <c r="T644" i="1" s="1"/>
  <c r="R643" i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S638" i="1" l="1"/>
  <c r="T638" i="1" s="1"/>
  <c r="R637" i="1"/>
  <c r="S637" i="1" l="1"/>
  <c r="T637" i="1" s="1"/>
  <c r="R636" i="1"/>
  <c r="S636" i="1" l="1"/>
  <c r="T636" i="1" s="1"/>
  <c r="R635" i="1"/>
  <c r="S635" i="1" l="1"/>
  <c r="T635" i="1" s="1"/>
  <c r="R634" i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S630" i="1" l="1"/>
  <c r="T630" i="1" s="1"/>
  <c r="R629" i="1"/>
  <c r="R628" i="1" l="1"/>
  <c r="S629" i="1"/>
  <c r="T629" i="1" s="1"/>
  <c r="S628" i="1" l="1"/>
  <c r="T628" i="1" s="1"/>
  <c r="R627" i="1"/>
  <c r="S627" i="1" l="1"/>
  <c r="T627" i="1" s="1"/>
  <c r="R626" i="1"/>
  <c r="S626" i="1" l="1"/>
  <c r="T626" i="1" s="1"/>
  <c r="R625" i="1"/>
  <c r="S625" i="1" l="1"/>
  <c r="T625" i="1" s="1"/>
  <c r="R624" i="1"/>
  <c r="R623" i="1" l="1"/>
  <c r="S624" i="1"/>
  <c r="T624" i="1" s="1"/>
  <c r="R622" i="1" l="1"/>
  <c r="S623" i="1"/>
  <c r="T623" i="1" s="1"/>
  <c r="S622" i="1" l="1"/>
  <c r="T622" i="1" s="1"/>
  <c r="R621" i="1"/>
  <c r="R620" i="1" l="1"/>
  <c r="S621" i="1"/>
  <c r="T621" i="1" s="1"/>
  <c r="S620" i="1" l="1"/>
  <c r="T620" i="1" s="1"/>
  <c r="R619" i="1"/>
  <c r="S619" i="1" l="1"/>
  <c r="T619" i="1" s="1"/>
  <c r="R618" i="1"/>
  <c r="S618" i="1" l="1"/>
  <c r="T618" i="1" s="1"/>
  <c r="R617" i="1"/>
  <c r="S617" i="1" l="1"/>
  <c r="T617" i="1" s="1"/>
  <c r="R616" i="1"/>
  <c r="R615" i="1" l="1"/>
  <c r="S616" i="1"/>
  <c r="T616" i="1" s="1"/>
  <c r="S615" i="1" l="1"/>
  <c r="T615" i="1" s="1"/>
  <c r="R614" i="1"/>
  <c r="R613" i="1" l="1"/>
  <c r="S614" i="1"/>
  <c r="T614" i="1" s="1"/>
  <c r="R612" i="1" l="1"/>
  <c r="S613" i="1"/>
  <c r="T613" i="1" s="1"/>
  <c r="S612" i="1" l="1"/>
  <c r="T612" i="1" s="1"/>
  <c r="R611" i="1"/>
  <c r="R610" i="1" l="1"/>
  <c r="S611" i="1"/>
  <c r="T611" i="1" s="1"/>
  <c r="S610" i="1" l="1"/>
  <c r="T610" i="1" s="1"/>
  <c r="R609" i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S605" i="1" l="1"/>
  <c r="T605" i="1" s="1"/>
  <c r="R604" i="1"/>
  <c r="S604" i="1" l="1"/>
  <c r="T604" i="1" s="1"/>
  <c r="R603" i="1"/>
  <c r="S603" i="1" l="1"/>
  <c r="T603" i="1" s="1"/>
  <c r="R602" i="1"/>
  <c r="R601" i="1" l="1"/>
  <c r="S602" i="1"/>
  <c r="T602" i="1" s="1"/>
  <c r="S601" i="1" l="1"/>
  <c r="T601" i="1" s="1"/>
  <c r="R600" i="1"/>
  <c r="S600" i="1" l="1"/>
  <c r="T600" i="1" s="1"/>
  <c r="R599" i="1"/>
  <c r="S599" i="1" l="1"/>
  <c r="T599" i="1" s="1"/>
  <c r="R598" i="1"/>
  <c r="S598" i="1" l="1"/>
  <c r="T598" i="1" s="1"/>
  <c r="R597" i="1"/>
  <c r="R596" i="1" l="1"/>
  <c r="S597" i="1"/>
  <c r="T597" i="1" s="1"/>
  <c r="S596" i="1" l="1"/>
  <c r="T596" i="1" s="1"/>
  <c r="R595" i="1"/>
  <c r="S595" i="1" l="1"/>
  <c r="T595" i="1" s="1"/>
  <c r="R594" i="1"/>
  <c r="R593" i="1" l="1"/>
  <c r="S594" i="1"/>
  <c r="T594" i="1" s="1"/>
  <c r="S593" i="1" l="1"/>
  <c r="T593" i="1" s="1"/>
  <c r="R592" i="1"/>
  <c r="R591" i="1" l="1"/>
  <c r="S592" i="1"/>
  <c r="T592" i="1" s="1"/>
  <c r="R590" i="1" l="1"/>
  <c r="S591" i="1"/>
  <c r="T591" i="1" s="1"/>
  <c r="S590" i="1" l="1"/>
  <c r="T590" i="1" s="1"/>
  <c r="R589" i="1"/>
  <c r="R588" i="1" l="1"/>
  <c r="S589" i="1"/>
  <c r="T589" i="1" s="1"/>
  <c r="S588" i="1" l="1"/>
  <c r="T588" i="1" s="1"/>
  <c r="R587" i="1"/>
  <c r="R586" i="1" l="1"/>
  <c r="S587" i="1"/>
  <c r="T587" i="1" s="1"/>
  <c r="R585" i="1" l="1"/>
  <c r="S586" i="1"/>
  <c r="T586" i="1" s="1"/>
  <c r="S585" i="1" l="1"/>
  <c r="T585" i="1" s="1"/>
  <c r="R584" i="1"/>
  <c r="R583" i="1" l="1"/>
  <c r="S584" i="1"/>
  <c r="T584" i="1" s="1"/>
  <c r="S583" i="1" l="1"/>
  <c r="T583" i="1" s="1"/>
  <c r="R582" i="1"/>
  <c r="S582" i="1" l="1"/>
  <c r="T582" i="1" s="1"/>
  <c r="R581" i="1"/>
  <c r="R580" i="1" l="1"/>
  <c r="S581" i="1"/>
  <c r="T581" i="1" s="1"/>
  <c r="S580" i="1" l="1"/>
  <c r="T580" i="1" s="1"/>
  <c r="R579" i="1"/>
  <c r="R578" i="1" l="1"/>
  <c r="S579" i="1"/>
  <c r="T579" i="1" s="1"/>
  <c r="R577" i="1" l="1"/>
  <c r="S578" i="1"/>
  <c r="T578" i="1" s="1"/>
  <c r="S577" i="1" l="1"/>
  <c r="T577" i="1" s="1"/>
  <c r="R576" i="1"/>
  <c r="S576" i="1" l="1"/>
  <c r="T576" i="1" s="1"/>
  <c r="R575" i="1"/>
  <c r="S575" i="1" l="1"/>
  <c r="T575" i="1" s="1"/>
  <c r="R574" i="1"/>
  <c r="S574" i="1" l="1"/>
  <c r="T574" i="1" s="1"/>
  <c r="R573" i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S569" i="1" l="1"/>
  <c r="T569" i="1" s="1"/>
  <c r="R568" i="1"/>
  <c r="S568" i="1" l="1"/>
  <c r="T568" i="1" s="1"/>
  <c r="R567" i="1"/>
  <c r="S567" i="1" l="1"/>
  <c r="T567" i="1" s="1"/>
  <c r="R566" i="1"/>
  <c r="S566" i="1" l="1"/>
  <c r="T566" i="1" s="1"/>
  <c r="R565" i="1"/>
  <c r="S565" i="1" l="1"/>
  <c r="T565" i="1" s="1"/>
  <c r="R564" i="1"/>
  <c r="R563" i="1" l="1"/>
  <c r="S564" i="1"/>
  <c r="T564" i="1" s="1"/>
  <c r="S563" i="1" l="1"/>
  <c r="T563" i="1" s="1"/>
  <c r="R562" i="1"/>
  <c r="R561" i="1" l="1"/>
  <c r="S562" i="1"/>
  <c r="T562" i="1" s="1"/>
  <c r="R560" i="1" l="1"/>
  <c r="S561" i="1"/>
  <c r="T561" i="1" s="1"/>
  <c r="S560" i="1" l="1"/>
  <c r="T560" i="1" s="1"/>
  <c r="R559" i="1"/>
  <c r="R558" i="1" l="1"/>
  <c r="S559" i="1"/>
  <c r="T559" i="1" s="1"/>
  <c r="S558" i="1" l="1"/>
  <c r="T558" i="1" s="1"/>
  <c r="R557" i="1"/>
  <c r="S557" i="1" l="1"/>
  <c r="T557" i="1" s="1"/>
  <c r="R556" i="1"/>
  <c r="R555" i="1" l="1"/>
  <c r="S556" i="1"/>
  <c r="T556" i="1" s="1"/>
  <c r="S555" i="1" l="1"/>
  <c r="T555" i="1" s="1"/>
  <c r="R554" i="1"/>
  <c r="R553" i="1" l="1"/>
  <c r="S554" i="1"/>
  <c r="T554" i="1" s="1"/>
  <c r="R552" i="1" l="1"/>
  <c r="S553" i="1"/>
  <c r="T553" i="1" s="1"/>
  <c r="S552" i="1" l="1"/>
  <c r="T552" i="1" s="1"/>
  <c r="R551" i="1"/>
  <c r="R550" i="1" l="1"/>
  <c r="S551" i="1"/>
  <c r="T551" i="1" s="1"/>
  <c r="S550" i="1" l="1"/>
  <c r="T550" i="1" s="1"/>
  <c r="R549" i="1"/>
  <c r="S549" i="1" l="1"/>
  <c r="T549" i="1" s="1"/>
  <c r="R548" i="1"/>
  <c r="R547" i="1" l="1"/>
  <c r="S548" i="1"/>
  <c r="T548" i="1" s="1"/>
  <c r="S547" i="1" l="1"/>
  <c r="T547" i="1" s="1"/>
  <c r="R546" i="1"/>
  <c r="S546" i="1" l="1"/>
  <c r="T546" i="1" s="1"/>
  <c r="R545" i="1"/>
  <c r="R544" i="1" l="1"/>
  <c r="S545" i="1"/>
  <c r="T545" i="1" s="1"/>
  <c r="S544" i="1" l="1"/>
  <c r="T544" i="1" s="1"/>
  <c r="R543" i="1"/>
  <c r="S543" i="1" l="1"/>
  <c r="T543" i="1" s="1"/>
  <c r="R542" i="1"/>
  <c r="R541" i="1" l="1"/>
  <c r="S542" i="1"/>
  <c r="T542" i="1" s="1"/>
  <c r="S541" i="1" l="1"/>
  <c r="T541" i="1" s="1"/>
  <c r="R540" i="1"/>
  <c r="R539" i="1" l="1"/>
  <c r="S540" i="1"/>
  <c r="T540" i="1" s="1"/>
  <c r="R538" i="1" l="1"/>
  <c r="S539" i="1"/>
  <c r="T539" i="1" s="1"/>
  <c r="S538" i="1" l="1"/>
  <c r="T538" i="1" s="1"/>
  <c r="R537" i="1"/>
  <c r="S537" i="1" l="1"/>
  <c r="T537" i="1" s="1"/>
  <c r="R536" i="1"/>
  <c r="S536" i="1" l="1"/>
  <c r="T536" i="1" s="1"/>
  <c r="R535" i="1"/>
  <c r="S535" i="1" l="1"/>
  <c r="T535" i="1" s="1"/>
  <c r="R534" i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S530" i="1" l="1"/>
  <c r="T530" i="1" s="1"/>
  <c r="R529" i="1"/>
  <c r="S529" i="1" l="1"/>
  <c r="T529" i="1" s="1"/>
  <c r="R528" i="1"/>
  <c r="S528" i="1" l="1"/>
  <c r="T528" i="1" s="1"/>
  <c r="R527" i="1"/>
  <c r="S527" i="1" l="1"/>
  <c r="T527" i="1" s="1"/>
  <c r="R526" i="1"/>
  <c r="S526" i="1" l="1"/>
  <c r="T526" i="1" s="1"/>
  <c r="R525" i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S520" i="1" l="1"/>
  <c r="T520" i="1" s="1"/>
  <c r="R519" i="1"/>
  <c r="S519" i="1" l="1"/>
  <c r="T519" i="1" s="1"/>
  <c r="R518" i="1"/>
  <c r="S518" i="1" l="1"/>
  <c r="T518" i="1" s="1"/>
  <c r="R517" i="1"/>
  <c r="S517" i="1" l="1"/>
  <c r="T517" i="1" s="1"/>
  <c r="R516" i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S512" i="1" l="1"/>
  <c r="T512" i="1" s="1"/>
  <c r="R511" i="1"/>
  <c r="S511" i="1" l="1"/>
  <c r="T511" i="1" s="1"/>
  <c r="R510" i="1"/>
  <c r="R509" i="1" l="1"/>
  <c r="S510" i="1"/>
  <c r="T510" i="1" s="1"/>
  <c r="S509" i="1" l="1"/>
  <c r="T509" i="1" s="1"/>
  <c r="R508" i="1"/>
  <c r="R507" i="1" l="1"/>
  <c r="S508" i="1"/>
  <c r="T508" i="1" s="1"/>
  <c r="R506" i="1" l="1"/>
  <c r="S507" i="1"/>
  <c r="T507" i="1" s="1"/>
  <c r="S506" i="1" l="1"/>
  <c r="T506" i="1" s="1"/>
  <c r="R505" i="1"/>
  <c r="R504" i="1" l="1"/>
  <c r="S505" i="1"/>
  <c r="T505" i="1" s="1"/>
  <c r="S504" i="1" l="1"/>
  <c r="T504" i="1" s="1"/>
  <c r="R503" i="1"/>
  <c r="S503" i="1" l="1"/>
  <c r="T503" i="1" s="1"/>
  <c r="R502" i="1"/>
  <c r="R501" i="1" l="1"/>
  <c r="S502" i="1"/>
  <c r="T502" i="1" s="1"/>
  <c r="R500" i="1" l="1"/>
  <c r="S501" i="1"/>
  <c r="T501" i="1" s="1"/>
  <c r="R499" i="1" l="1"/>
  <c r="S500" i="1"/>
  <c r="T500" i="1" s="1"/>
  <c r="S499" i="1" l="1"/>
  <c r="T499" i="1" s="1"/>
  <c r="R498" i="1"/>
  <c r="R497" i="1" l="1"/>
  <c r="S498" i="1"/>
  <c r="T498" i="1" s="1"/>
  <c r="R496" i="1" l="1"/>
  <c r="S497" i="1"/>
  <c r="T497" i="1" s="1"/>
  <c r="S496" i="1" l="1"/>
  <c r="T496" i="1" s="1"/>
  <c r="R495" i="1"/>
  <c r="S495" i="1" l="1"/>
  <c r="T495" i="1" s="1"/>
  <c r="R494" i="1"/>
  <c r="S494" i="1" l="1"/>
  <c r="T494" i="1" s="1"/>
  <c r="R493" i="1"/>
  <c r="S493" i="1" l="1"/>
  <c r="T493" i="1" s="1"/>
  <c r="R492" i="1"/>
  <c r="R491" i="1" l="1"/>
  <c r="S492" i="1"/>
  <c r="T492" i="1" s="1"/>
  <c r="S491" i="1" l="1"/>
  <c r="T491" i="1" s="1"/>
  <c r="R490" i="1"/>
  <c r="R489" i="1" l="1"/>
  <c r="S490" i="1"/>
  <c r="T490" i="1" s="1"/>
  <c r="R488" i="1" l="1"/>
  <c r="S489" i="1"/>
  <c r="T489" i="1" s="1"/>
  <c r="S488" i="1" l="1"/>
  <c r="T488" i="1" s="1"/>
  <c r="R487" i="1"/>
  <c r="S487" i="1" l="1"/>
  <c r="T487" i="1" s="1"/>
  <c r="R486" i="1"/>
  <c r="S486" i="1" l="1"/>
  <c r="T486" i="1" s="1"/>
  <c r="R485" i="1"/>
  <c r="S485" i="1" l="1"/>
  <c r="T485" i="1" s="1"/>
  <c r="R484" i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S480" i="1" l="1"/>
  <c r="T480" i="1" s="1"/>
  <c r="R479" i="1"/>
  <c r="S479" i="1" l="1"/>
  <c r="T479" i="1" s="1"/>
  <c r="R478" i="1"/>
  <c r="S478" i="1" l="1"/>
  <c r="T478" i="1" s="1"/>
  <c r="R477" i="1"/>
  <c r="S477" i="1" l="1"/>
  <c r="T477" i="1" s="1"/>
  <c r="R476" i="1"/>
  <c r="S476" i="1" l="1"/>
  <c r="T476" i="1" s="1"/>
  <c r="R475" i="1"/>
  <c r="R474" i="1" l="1"/>
  <c r="S475" i="1"/>
  <c r="T475" i="1" s="1"/>
  <c r="R473" i="1" l="1"/>
  <c r="S474" i="1"/>
  <c r="T474" i="1" s="1"/>
  <c r="S473" i="1" l="1"/>
  <c r="T473" i="1" s="1"/>
  <c r="R472" i="1"/>
  <c r="R471" i="1" l="1"/>
  <c r="S472" i="1"/>
  <c r="T472" i="1" s="1"/>
  <c r="S471" i="1" l="1"/>
  <c r="T471" i="1" s="1"/>
  <c r="R470" i="1"/>
  <c r="R469" i="1" l="1"/>
  <c r="S470" i="1"/>
  <c r="T470" i="1" s="1"/>
  <c r="R468" i="1" l="1"/>
  <c r="S469" i="1"/>
  <c r="T469" i="1" s="1"/>
  <c r="S468" i="1" l="1"/>
  <c r="T468" i="1" s="1"/>
  <c r="R467" i="1"/>
  <c r="R466" i="1" l="1"/>
  <c r="S467" i="1"/>
  <c r="T467" i="1" s="1"/>
  <c r="S466" i="1" l="1"/>
  <c r="T466" i="1" s="1"/>
  <c r="R465" i="1"/>
  <c r="S465" i="1" l="1"/>
  <c r="T465" i="1" s="1"/>
  <c r="R464" i="1"/>
  <c r="R463" i="1" l="1"/>
  <c r="S464" i="1"/>
  <c r="T464" i="1" s="1"/>
  <c r="S463" i="1" l="1"/>
  <c r="T463" i="1" s="1"/>
  <c r="R462" i="1"/>
  <c r="R461" i="1" l="1"/>
  <c r="S462" i="1"/>
  <c r="T462" i="1" s="1"/>
  <c r="S461" i="1" l="1"/>
  <c r="T461" i="1" s="1"/>
  <c r="R460" i="1"/>
  <c r="S460" i="1" l="1"/>
  <c r="T460" i="1" s="1"/>
  <c r="R459" i="1"/>
  <c r="R458" i="1" l="1"/>
  <c r="S459" i="1"/>
  <c r="T459" i="1" s="1"/>
  <c r="S458" i="1" l="1"/>
  <c r="T458" i="1" s="1"/>
  <c r="R457" i="1"/>
  <c r="R456" i="1" l="1"/>
  <c r="S457" i="1"/>
  <c r="T457" i="1" s="1"/>
  <c r="R455" i="1" l="1"/>
  <c r="S456" i="1"/>
  <c r="T456" i="1" s="1"/>
  <c r="S455" i="1" l="1"/>
  <c r="T455" i="1" s="1"/>
  <c r="R454" i="1"/>
  <c r="R453" i="1" l="1"/>
  <c r="S454" i="1"/>
  <c r="T454" i="1" s="1"/>
  <c r="R452" i="1" l="1"/>
  <c r="S453" i="1"/>
  <c r="T453" i="1" s="1"/>
  <c r="S452" i="1" l="1"/>
  <c r="T452" i="1" s="1"/>
  <c r="R451" i="1"/>
  <c r="S451" i="1" l="1"/>
  <c r="T451" i="1" s="1"/>
  <c r="R450" i="1"/>
  <c r="R449" i="1" l="1"/>
  <c r="S450" i="1"/>
  <c r="T450" i="1" s="1"/>
  <c r="S449" i="1" l="1"/>
  <c r="T449" i="1" s="1"/>
  <c r="R448" i="1"/>
  <c r="S448" i="1" l="1"/>
  <c r="T448" i="1" s="1"/>
  <c r="R447" i="1"/>
  <c r="R446" i="1" l="1"/>
  <c r="S447" i="1"/>
  <c r="T447" i="1" s="1"/>
  <c r="S446" i="1" l="1"/>
  <c r="T446" i="1" s="1"/>
  <c r="R445" i="1"/>
  <c r="R444" i="1" l="1"/>
  <c r="S445" i="1"/>
  <c r="T445" i="1" s="1"/>
  <c r="R443" i="1" l="1"/>
  <c r="S444" i="1"/>
  <c r="T444" i="1" s="1"/>
  <c r="S443" i="1" l="1"/>
  <c r="T443" i="1" s="1"/>
  <c r="R442" i="1"/>
  <c r="R441" i="1" l="1"/>
  <c r="S442" i="1"/>
  <c r="T442" i="1" s="1"/>
  <c r="S441" i="1" l="1"/>
  <c r="T441" i="1" s="1"/>
  <c r="R440" i="1"/>
  <c r="S440" i="1" l="1"/>
  <c r="T440" i="1" s="1"/>
  <c r="R439" i="1"/>
  <c r="R438" i="1" l="1"/>
  <c r="S439" i="1"/>
  <c r="T439" i="1" s="1"/>
  <c r="S438" i="1" l="1"/>
  <c r="T438" i="1" s="1"/>
  <c r="R437" i="1"/>
  <c r="R436" i="1" l="1"/>
  <c r="S437" i="1"/>
  <c r="T437" i="1" s="1"/>
  <c r="R435" i="1" l="1"/>
  <c r="S436" i="1"/>
  <c r="T436" i="1" s="1"/>
  <c r="S435" i="1" l="1"/>
  <c r="T435" i="1" s="1"/>
  <c r="R434" i="1"/>
  <c r="R433" i="1" l="1"/>
  <c r="S434" i="1"/>
  <c r="T434" i="1" s="1"/>
  <c r="S433" i="1" l="1"/>
  <c r="T433" i="1" s="1"/>
  <c r="R432" i="1"/>
  <c r="S432" i="1" l="1"/>
  <c r="T432" i="1" s="1"/>
  <c r="R431" i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S427" i="1" l="1"/>
  <c r="T427" i="1" s="1"/>
  <c r="R426" i="1"/>
  <c r="S426" i="1" l="1"/>
  <c r="T426" i="1" s="1"/>
  <c r="R425" i="1"/>
  <c r="S425" i="1" l="1"/>
  <c r="T425" i="1" s="1"/>
  <c r="R424" i="1"/>
  <c r="S424" i="1" l="1"/>
  <c r="T424" i="1" s="1"/>
  <c r="R423" i="1"/>
  <c r="R422" i="1" l="1"/>
  <c r="S423" i="1"/>
  <c r="T423" i="1" s="1"/>
  <c r="S422" i="1" l="1"/>
  <c r="T422" i="1" s="1"/>
  <c r="R421" i="1"/>
  <c r="R420" i="1" l="1"/>
  <c r="S421" i="1"/>
  <c r="T421" i="1" s="1"/>
  <c r="R419" i="1" l="1"/>
  <c r="S420" i="1"/>
  <c r="T420" i="1" s="1"/>
  <c r="S419" i="1" l="1"/>
  <c r="T419" i="1" s="1"/>
  <c r="R418" i="1"/>
  <c r="R417" i="1" l="1"/>
  <c r="S418" i="1"/>
  <c r="T418" i="1" s="1"/>
  <c r="S417" i="1" l="1"/>
  <c r="T417" i="1" s="1"/>
  <c r="R416" i="1"/>
  <c r="R415" i="1" l="1"/>
  <c r="S416" i="1"/>
  <c r="T416" i="1" s="1"/>
  <c r="S415" i="1" l="1"/>
  <c r="T415" i="1" s="1"/>
  <c r="R414" i="1"/>
  <c r="S414" i="1" l="1"/>
  <c r="T414" i="1" s="1"/>
  <c r="R413" i="1"/>
  <c r="S413" i="1" l="1"/>
  <c r="T413" i="1" s="1"/>
  <c r="R412" i="1"/>
  <c r="S412" i="1" l="1"/>
  <c r="T412" i="1" s="1"/>
  <c r="R411" i="1"/>
  <c r="S411" i="1" l="1"/>
  <c r="T411" i="1" s="1"/>
  <c r="R410" i="1"/>
  <c r="S410" i="1" l="1"/>
  <c r="T410" i="1" s="1"/>
  <c r="R409" i="1"/>
  <c r="S409" i="1" l="1"/>
  <c r="T409" i="1" s="1"/>
  <c r="R408" i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S403" i="1" l="1"/>
  <c r="T403" i="1" s="1"/>
  <c r="R402" i="1"/>
  <c r="S402" i="1" l="1"/>
  <c r="T402" i="1" s="1"/>
  <c r="R401" i="1"/>
  <c r="S401" i="1" l="1"/>
  <c r="T401" i="1" s="1"/>
  <c r="R400" i="1"/>
  <c r="S400" i="1" l="1"/>
  <c r="T400" i="1" s="1"/>
  <c r="R399" i="1"/>
  <c r="R398" i="1" l="1"/>
  <c r="S399" i="1"/>
  <c r="T399" i="1" s="1"/>
  <c r="R397" i="1" l="1"/>
  <c r="S398" i="1"/>
  <c r="T398" i="1" s="1"/>
  <c r="R396" i="1" l="1"/>
  <c r="S397" i="1"/>
  <c r="T397" i="1" s="1"/>
  <c r="S396" i="1" l="1"/>
  <c r="T396" i="1" s="1"/>
  <c r="R395" i="1"/>
  <c r="S395" i="1" l="1"/>
  <c r="T395" i="1" s="1"/>
  <c r="R394" i="1"/>
  <c r="R393" i="1" l="1"/>
  <c r="S394" i="1"/>
  <c r="T394" i="1" s="1"/>
  <c r="S393" i="1" l="1"/>
  <c r="T393" i="1" s="1"/>
  <c r="R392" i="1"/>
  <c r="R391" i="1" l="1"/>
  <c r="S392" i="1"/>
  <c r="T392" i="1" s="1"/>
  <c r="R390" i="1" l="1"/>
  <c r="S391" i="1"/>
  <c r="T391" i="1" s="1"/>
  <c r="S390" i="1" l="1"/>
  <c r="T390" i="1" s="1"/>
  <c r="R389" i="1"/>
  <c r="S389" i="1" l="1"/>
  <c r="T389" i="1" s="1"/>
  <c r="R388" i="1"/>
  <c r="S388" i="1" l="1"/>
  <c r="T388" i="1" s="1"/>
  <c r="R387" i="1"/>
  <c r="S387" i="1" l="1"/>
  <c r="T387" i="1" s="1"/>
  <c r="R386" i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S382" i="1" l="1"/>
  <c r="T382" i="1" s="1"/>
  <c r="R381" i="1"/>
  <c r="R380" i="1" l="1"/>
  <c r="S381" i="1"/>
  <c r="T381" i="1" s="1"/>
  <c r="R379" i="1" l="1"/>
  <c r="S380" i="1"/>
  <c r="T380" i="1" s="1"/>
  <c r="R378" i="1" l="1"/>
  <c r="S379" i="1"/>
  <c r="T379" i="1" s="1"/>
  <c r="S378" i="1" l="1"/>
  <c r="T378" i="1" s="1"/>
  <c r="R377" i="1"/>
  <c r="R376" i="1" l="1"/>
  <c r="S377" i="1"/>
  <c r="T377" i="1" s="1"/>
  <c r="R375" i="1" l="1"/>
  <c r="S376" i="1"/>
  <c r="T376" i="1" s="1"/>
  <c r="S375" i="1" l="1"/>
  <c r="T375" i="1" s="1"/>
  <c r="R374" i="1"/>
  <c r="S374" i="1" l="1"/>
  <c r="T374" i="1" s="1"/>
  <c r="R373" i="1"/>
  <c r="S373" i="1" l="1"/>
  <c r="T373" i="1" s="1"/>
  <c r="R372" i="1"/>
  <c r="S372" i="1" l="1"/>
  <c r="T372" i="1" s="1"/>
  <c r="R371" i="1"/>
  <c r="S371" i="1" l="1"/>
  <c r="T371" i="1" s="1"/>
  <c r="R370" i="1"/>
  <c r="R369" i="1" l="1"/>
  <c r="S370" i="1"/>
  <c r="T370" i="1" s="1"/>
  <c r="S369" i="1" l="1"/>
  <c r="T369" i="1" s="1"/>
  <c r="R368" i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S364" i="1" l="1"/>
  <c r="T364" i="1" s="1"/>
  <c r="R363" i="1"/>
  <c r="S363" i="1" l="1"/>
  <c r="T363" i="1" s="1"/>
  <c r="R362" i="1"/>
  <c r="S362" i="1" l="1"/>
  <c r="T362" i="1" s="1"/>
  <c r="R361" i="1"/>
  <c r="S361" i="1" l="1"/>
  <c r="T361" i="1" s="1"/>
  <c r="R360" i="1"/>
  <c r="S360" i="1" l="1"/>
  <c r="T360" i="1" s="1"/>
  <c r="R359" i="1"/>
  <c r="R358" i="1" l="1"/>
  <c r="S359" i="1"/>
  <c r="T359" i="1" s="1"/>
  <c r="S358" i="1" l="1"/>
  <c r="T358" i="1" s="1"/>
  <c r="R357" i="1"/>
  <c r="R356" i="1" l="1"/>
  <c r="S357" i="1"/>
  <c r="T357" i="1" s="1"/>
  <c r="R355" i="1" l="1"/>
  <c r="S356" i="1"/>
  <c r="T356" i="1" s="1"/>
  <c r="S355" i="1" l="1"/>
  <c r="T355" i="1" s="1"/>
  <c r="R354" i="1"/>
  <c r="R353" i="1" l="1"/>
  <c r="S354" i="1"/>
  <c r="T354" i="1" s="1"/>
  <c r="S353" i="1" l="1"/>
  <c r="T353" i="1" s="1"/>
  <c r="R352" i="1"/>
  <c r="S352" i="1" l="1"/>
  <c r="T352" i="1" s="1"/>
  <c r="R351" i="1"/>
  <c r="R350" i="1" l="1"/>
  <c r="S351" i="1"/>
  <c r="T351" i="1" s="1"/>
  <c r="S350" i="1" l="1"/>
  <c r="T350" i="1" s="1"/>
  <c r="R349" i="1"/>
  <c r="R348" i="1" l="1"/>
  <c r="S349" i="1"/>
  <c r="T349" i="1" s="1"/>
  <c r="S348" i="1" l="1"/>
  <c r="T348" i="1" s="1"/>
  <c r="R347" i="1"/>
  <c r="R346" i="1" l="1"/>
  <c r="S347" i="1"/>
  <c r="T347" i="1" s="1"/>
  <c r="R345" i="1" l="1"/>
  <c r="S346" i="1"/>
  <c r="T346" i="1" s="1"/>
  <c r="S345" i="1" l="1"/>
  <c r="T345" i="1" s="1"/>
  <c r="R344" i="1"/>
  <c r="R343" i="1" l="1"/>
  <c r="S344" i="1"/>
  <c r="T344" i="1" s="1"/>
  <c r="S343" i="1" l="1"/>
  <c r="T343" i="1" s="1"/>
  <c r="R342" i="1"/>
  <c r="S342" i="1" l="1"/>
  <c r="T342" i="1" s="1"/>
  <c r="R341" i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S337" i="1" l="1"/>
  <c r="T337" i="1" s="1"/>
  <c r="R336" i="1"/>
  <c r="S336" i="1" l="1"/>
  <c r="T336" i="1" s="1"/>
  <c r="R335" i="1"/>
  <c r="S335" i="1" l="1"/>
  <c r="T335" i="1" s="1"/>
  <c r="R334" i="1"/>
  <c r="R333" i="1" l="1"/>
  <c r="S334" i="1"/>
  <c r="T334" i="1" s="1"/>
  <c r="S333" i="1" l="1"/>
  <c r="T333" i="1" s="1"/>
  <c r="R332" i="1"/>
  <c r="S332" i="1" l="1"/>
  <c r="T332" i="1" s="1"/>
  <c r="R331" i="1"/>
  <c r="S331" i="1" l="1"/>
  <c r="T331" i="1" s="1"/>
  <c r="R330" i="1"/>
  <c r="S330" i="1" l="1"/>
  <c r="T330" i="1" s="1"/>
  <c r="R329" i="1"/>
  <c r="R328" i="1" l="1"/>
  <c r="S329" i="1"/>
  <c r="T329" i="1" s="1"/>
  <c r="R327" i="1" l="1"/>
  <c r="S328" i="1"/>
  <c r="T328" i="1" s="1"/>
  <c r="R326" i="1" l="1"/>
  <c r="S327" i="1"/>
  <c r="T327" i="1" s="1"/>
  <c r="S326" i="1" l="1"/>
  <c r="T326" i="1" s="1"/>
  <c r="R325" i="1"/>
  <c r="S325" i="1" l="1"/>
  <c r="T325" i="1" s="1"/>
  <c r="R324" i="1"/>
  <c r="S324" i="1" l="1"/>
  <c r="T324" i="1" s="1"/>
  <c r="R323" i="1"/>
  <c r="S323" i="1" l="1"/>
  <c r="T323" i="1" s="1"/>
  <c r="R322" i="1"/>
  <c r="S322" i="1" l="1"/>
  <c r="T322" i="1" s="1"/>
  <c r="R321" i="1"/>
  <c r="S321" i="1" l="1"/>
  <c r="T321" i="1" s="1"/>
  <c r="R320" i="1"/>
  <c r="R319" i="1" l="1"/>
  <c r="S320" i="1"/>
  <c r="T320" i="1" s="1"/>
  <c r="S319" i="1" l="1"/>
  <c r="T319" i="1" s="1"/>
  <c r="R318" i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S314" i="1" l="1"/>
  <c r="T314" i="1" s="1"/>
  <c r="R313" i="1"/>
  <c r="S313" i="1" l="1"/>
  <c r="T313" i="1" s="1"/>
  <c r="R312" i="1"/>
  <c r="S312" i="1" l="1"/>
  <c r="T312" i="1" s="1"/>
  <c r="R311" i="1"/>
  <c r="S311" i="1" l="1"/>
  <c r="T311" i="1" s="1"/>
  <c r="R310" i="1"/>
  <c r="S310" i="1" l="1"/>
  <c r="T310" i="1" s="1"/>
  <c r="R309" i="1"/>
  <c r="R308" i="1" l="1"/>
  <c r="S309" i="1"/>
  <c r="T309" i="1" s="1"/>
  <c r="S308" i="1" l="1"/>
  <c r="T308" i="1" s="1"/>
  <c r="R307" i="1"/>
  <c r="R306" i="1" l="1"/>
  <c r="S307" i="1"/>
  <c r="T307" i="1" s="1"/>
  <c r="R305" i="1" l="1"/>
  <c r="S306" i="1"/>
  <c r="T306" i="1" s="1"/>
  <c r="S305" i="1" l="1"/>
  <c r="T305" i="1" s="1"/>
  <c r="R304" i="1"/>
  <c r="R303" i="1" l="1"/>
  <c r="S304" i="1"/>
  <c r="T304" i="1" s="1"/>
  <c r="S303" i="1" l="1"/>
  <c r="T303" i="1" s="1"/>
  <c r="R302" i="1"/>
  <c r="S302" i="1" l="1"/>
  <c r="T302" i="1" s="1"/>
  <c r="R301" i="1"/>
  <c r="R300" i="1" l="1"/>
  <c r="S301" i="1"/>
  <c r="T301" i="1" s="1"/>
  <c r="S300" i="1" l="1"/>
  <c r="T300" i="1" s="1"/>
  <c r="R299" i="1"/>
  <c r="R298" i="1" l="1"/>
  <c r="S299" i="1"/>
  <c r="T299" i="1" s="1"/>
  <c r="S298" i="1" l="1"/>
  <c r="T298" i="1" s="1"/>
  <c r="R297" i="1"/>
  <c r="R296" i="1" l="1"/>
  <c r="S297" i="1"/>
  <c r="T297" i="1" s="1"/>
  <c r="R295" i="1" l="1"/>
  <c r="S296" i="1"/>
  <c r="T296" i="1" s="1"/>
  <c r="S295" i="1" l="1"/>
  <c r="T295" i="1" s="1"/>
  <c r="R294" i="1"/>
  <c r="S294" i="1" l="1"/>
  <c r="T294" i="1" s="1"/>
  <c r="R293" i="1"/>
  <c r="S293" i="1" l="1"/>
  <c r="T293" i="1" s="1"/>
  <c r="R292" i="1"/>
  <c r="S292" i="1" l="1"/>
  <c r="T292" i="1" s="1"/>
  <c r="R291" i="1"/>
  <c r="R290" i="1" l="1"/>
  <c r="S291" i="1"/>
  <c r="T291" i="1" s="1"/>
  <c r="R289" i="1" l="1"/>
  <c r="S290" i="1"/>
  <c r="T290" i="1" s="1"/>
  <c r="S289" i="1" l="1"/>
  <c r="T289" i="1" s="1"/>
  <c r="R288" i="1"/>
  <c r="R287" i="1" l="1"/>
  <c r="S288" i="1"/>
  <c r="T288" i="1" s="1"/>
  <c r="S287" i="1" l="1"/>
  <c r="T287" i="1" s="1"/>
  <c r="R286" i="1"/>
  <c r="S286" i="1" l="1"/>
  <c r="T286" i="1" s="1"/>
  <c r="R285" i="1"/>
  <c r="S285" i="1" l="1"/>
  <c r="T285" i="1" s="1"/>
  <c r="R284" i="1"/>
  <c r="S284" i="1" l="1"/>
  <c r="T284" i="1" s="1"/>
  <c r="R283" i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S279" i="1" l="1"/>
  <c r="T279" i="1" s="1"/>
  <c r="R278" i="1"/>
  <c r="S278" i="1" l="1"/>
  <c r="T278" i="1" s="1"/>
  <c r="R277" i="1"/>
  <c r="S277" i="1" l="1"/>
  <c r="T277" i="1" s="1"/>
  <c r="R276" i="1"/>
  <c r="S276" i="1" l="1"/>
  <c r="T276" i="1" s="1"/>
  <c r="R275" i="1"/>
  <c r="R274" i="1" l="1"/>
  <c r="S275" i="1"/>
  <c r="T275" i="1" s="1"/>
  <c r="S274" i="1" l="1"/>
  <c r="T274" i="1" s="1"/>
  <c r="R273" i="1"/>
  <c r="S273" i="1" l="1"/>
  <c r="T273" i="1" s="1"/>
  <c r="R272" i="1"/>
  <c r="R271" i="1" l="1"/>
  <c r="S272" i="1"/>
  <c r="T272" i="1" s="1"/>
  <c r="S271" i="1" l="1"/>
  <c r="T271" i="1" s="1"/>
  <c r="R270" i="1"/>
  <c r="R269" i="1" l="1"/>
  <c r="S270" i="1"/>
  <c r="T270" i="1" s="1"/>
  <c r="R268" i="1" l="1"/>
  <c r="S269" i="1"/>
  <c r="T269" i="1" s="1"/>
  <c r="S268" i="1" l="1"/>
  <c r="T268" i="1" s="1"/>
  <c r="R267" i="1"/>
  <c r="S267" i="1" l="1"/>
  <c r="T267" i="1" s="1"/>
  <c r="R266" i="1"/>
  <c r="S266" i="1" l="1"/>
  <c r="T266" i="1" s="1"/>
  <c r="R265" i="1"/>
  <c r="S265" i="1" l="1"/>
  <c r="T265" i="1" s="1"/>
  <c r="R264" i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S260" i="1" l="1"/>
  <c r="T260" i="1" s="1"/>
  <c r="R259" i="1"/>
  <c r="R258" i="1" l="1"/>
  <c r="S259" i="1"/>
  <c r="T259" i="1" s="1"/>
  <c r="S258" i="1" l="1"/>
  <c r="T258" i="1" s="1"/>
  <c r="R257" i="1"/>
  <c r="S257" i="1" l="1"/>
  <c r="T257" i="1" s="1"/>
  <c r="R256" i="1"/>
  <c r="R255" i="1" l="1"/>
  <c r="S256" i="1"/>
  <c r="T256" i="1" s="1"/>
  <c r="S255" i="1" l="1"/>
  <c r="T255" i="1" s="1"/>
  <c r="R254" i="1"/>
  <c r="R253" i="1" l="1"/>
  <c r="S254" i="1"/>
  <c r="T254" i="1" s="1"/>
  <c r="R252" i="1" l="1"/>
  <c r="S253" i="1"/>
  <c r="T253" i="1" s="1"/>
  <c r="S252" i="1" l="1"/>
  <c r="T252" i="1" s="1"/>
  <c r="R251" i="1"/>
  <c r="R250" i="1" l="1"/>
  <c r="S251" i="1"/>
  <c r="T251" i="1" s="1"/>
  <c r="R249" i="1" l="1"/>
  <c r="S250" i="1"/>
  <c r="T250" i="1" s="1"/>
  <c r="S249" i="1" l="1"/>
  <c r="T249" i="1" s="1"/>
  <c r="R248" i="1"/>
  <c r="S248" i="1" l="1"/>
  <c r="T248" i="1" s="1"/>
  <c r="R247" i="1"/>
  <c r="S247" i="1" l="1"/>
  <c r="T247" i="1" s="1"/>
  <c r="R246" i="1"/>
  <c r="S246" i="1" l="1"/>
  <c r="T246" i="1" s="1"/>
  <c r="R245" i="1"/>
  <c r="S245" i="1" l="1"/>
  <c r="T245" i="1" s="1"/>
  <c r="R244" i="1"/>
  <c r="R243" i="1" l="1"/>
  <c r="S244" i="1"/>
  <c r="T244" i="1" s="1"/>
  <c r="S243" i="1" l="1"/>
  <c r="T243" i="1" s="1"/>
  <c r="R242" i="1"/>
  <c r="S242" i="1" l="1"/>
  <c r="T242" i="1" s="1"/>
  <c r="R241" i="1"/>
  <c r="S241" i="1" l="1"/>
  <c r="T241" i="1" s="1"/>
  <c r="R240" i="1"/>
  <c r="S240" i="1" l="1"/>
  <c r="T240" i="1" s="1"/>
  <c r="R239" i="1"/>
  <c r="R238" i="1" l="1"/>
  <c r="S239" i="1"/>
  <c r="T239" i="1" s="1"/>
  <c r="R237" i="1" l="1"/>
  <c r="S238" i="1"/>
  <c r="T238" i="1" s="1"/>
  <c r="S237" i="1" l="1"/>
  <c r="T237" i="1" s="1"/>
  <c r="R236" i="1"/>
  <c r="S236" i="1" l="1"/>
  <c r="T236" i="1" s="1"/>
  <c r="R235" i="1"/>
  <c r="S235" i="1" l="1"/>
  <c r="T235" i="1" s="1"/>
  <c r="R234" i="1"/>
  <c r="S234" i="1" l="1"/>
  <c r="T234" i="1" s="1"/>
  <c r="R233" i="1"/>
  <c r="R232" i="1" l="1"/>
  <c r="S233" i="1"/>
  <c r="T233" i="1" s="1"/>
  <c r="R231" i="1" l="1"/>
  <c r="S232" i="1"/>
  <c r="T232" i="1" s="1"/>
  <c r="R230" i="1" l="1"/>
  <c r="S231" i="1"/>
  <c r="T231" i="1" s="1"/>
  <c r="S230" i="1" l="1"/>
  <c r="T230" i="1" s="1"/>
  <c r="R229" i="1"/>
  <c r="S229" i="1" l="1"/>
  <c r="T229" i="1" s="1"/>
  <c r="R228" i="1"/>
  <c r="S228" i="1" l="1"/>
  <c r="T228" i="1" s="1"/>
  <c r="R227" i="1"/>
  <c r="S227" i="1" l="1"/>
  <c r="T227" i="1" s="1"/>
  <c r="R226" i="1"/>
  <c r="S226" i="1" l="1"/>
  <c r="T226" i="1" s="1"/>
  <c r="R225" i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S220" i="1" l="1"/>
  <c r="T220" i="1" s="1"/>
  <c r="R219" i="1"/>
  <c r="S219" i="1" l="1"/>
  <c r="T219" i="1" s="1"/>
  <c r="R218" i="1"/>
  <c r="S218" i="1" l="1"/>
  <c r="T218" i="1" s="1"/>
  <c r="R217" i="1"/>
  <c r="S217" i="1" l="1"/>
  <c r="T217" i="1" s="1"/>
  <c r="R216" i="1"/>
  <c r="R215" i="1" l="1"/>
  <c r="S216" i="1"/>
  <c r="T216" i="1" s="1"/>
  <c r="R214" i="1" l="1"/>
  <c r="S215" i="1"/>
  <c r="T215" i="1" s="1"/>
  <c r="S214" i="1" l="1"/>
  <c r="T214" i="1" s="1"/>
  <c r="R213" i="1"/>
  <c r="R212" i="1" l="1"/>
  <c r="S213" i="1"/>
  <c r="T213" i="1" s="1"/>
  <c r="S212" i="1" l="1"/>
  <c r="T212" i="1" s="1"/>
  <c r="R211" i="1"/>
  <c r="S211" i="1" l="1"/>
  <c r="T211" i="1" s="1"/>
  <c r="R210" i="1"/>
  <c r="S210" i="1" l="1"/>
  <c r="T210" i="1" s="1"/>
  <c r="R209" i="1"/>
  <c r="R208" i="1" l="1"/>
  <c r="S209" i="1"/>
  <c r="T209" i="1" s="1"/>
  <c r="S208" i="1" l="1"/>
  <c r="T208" i="1" s="1"/>
  <c r="R207" i="1"/>
  <c r="R206" i="1" l="1"/>
  <c r="S207" i="1"/>
  <c r="T207" i="1" s="1"/>
  <c r="S206" i="1" l="1"/>
  <c r="T206" i="1" s="1"/>
  <c r="R205" i="1"/>
  <c r="S205" i="1" l="1"/>
  <c r="T205" i="1" s="1"/>
  <c r="R204" i="1"/>
  <c r="R203" i="1" l="1"/>
  <c r="S204" i="1"/>
  <c r="T204" i="1" s="1"/>
  <c r="S203" i="1" l="1"/>
  <c r="T203" i="1" s="1"/>
  <c r="R202" i="1"/>
  <c r="S202" i="1" l="1"/>
  <c r="T202" i="1" s="1"/>
  <c r="R201" i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S197" i="1" l="1"/>
  <c r="T197" i="1" s="1"/>
  <c r="R196" i="1"/>
  <c r="S196" i="1" l="1"/>
  <c r="T196" i="1" s="1"/>
  <c r="R195" i="1"/>
  <c r="S195" i="1" l="1"/>
  <c r="T195" i="1" s="1"/>
  <c r="R194" i="1"/>
  <c r="S194" i="1" l="1"/>
  <c r="T194" i="1" s="1"/>
  <c r="R193" i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S189" i="1" l="1"/>
  <c r="T189" i="1" s="1"/>
  <c r="R188" i="1"/>
  <c r="S188" i="1" l="1"/>
  <c r="T188" i="1" s="1"/>
  <c r="R187" i="1"/>
  <c r="S187" i="1" l="1"/>
  <c r="T187" i="1" s="1"/>
  <c r="R186" i="1"/>
  <c r="S186" i="1" l="1"/>
  <c r="T186" i="1" s="1"/>
  <c r="R185" i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S181" i="1" l="1"/>
  <c r="T181" i="1" s="1"/>
  <c r="R180" i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S174" i="1" l="1"/>
  <c r="T174" i="1" s="1"/>
  <c r="R173" i="1"/>
  <c r="S173" i="1" l="1"/>
  <c r="T173" i="1" s="1"/>
  <c r="R172" i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S159" i="1" l="1"/>
  <c r="T159" i="1" s="1"/>
  <c r="R158" i="1"/>
  <c r="S158" i="1" l="1"/>
  <c r="T158" i="1" s="1"/>
  <c r="R157" i="1"/>
  <c r="S157" i="1" l="1"/>
  <c r="T157" i="1" s="1"/>
  <c r="R156" i="1"/>
  <c r="S156" i="1" l="1"/>
  <c r="T156" i="1" s="1"/>
  <c r="R155" i="1"/>
  <c r="R154" i="1" l="1"/>
  <c r="S155" i="1"/>
  <c r="T155" i="1" s="1"/>
  <c r="S154" i="1" l="1"/>
  <c r="T154" i="1" s="1"/>
  <c r="R153" i="1"/>
  <c r="R152" i="1" l="1"/>
  <c r="S153" i="1"/>
  <c r="T153" i="1" s="1"/>
  <c r="R151" i="1" l="1"/>
  <c r="S152" i="1"/>
  <c r="T152" i="1" s="1"/>
  <c r="S151" i="1" l="1"/>
  <c r="T151" i="1" s="1"/>
  <c r="R150" i="1"/>
  <c r="R149" i="1" l="1"/>
  <c r="S150" i="1"/>
  <c r="T150" i="1" s="1"/>
  <c r="S149" i="1" l="1"/>
  <c r="T149" i="1" s="1"/>
  <c r="R148" i="1"/>
  <c r="R147" i="1" l="1"/>
  <c r="S148" i="1"/>
  <c r="T148" i="1" s="1"/>
  <c r="S147" i="1" l="1"/>
  <c r="T147" i="1" s="1"/>
  <c r="R146" i="1"/>
  <c r="S146" i="1" l="1"/>
  <c r="T146" i="1" s="1"/>
  <c r="R145" i="1"/>
  <c r="R144" i="1" l="1"/>
  <c r="S145" i="1"/>
  <c r="T145" i="1" s="1"/>
  <c r="S144" i="1" l="1"/>
  <c r="T144" i="1" s="1"/>
  <c r="R143" i="1"/>
  <c r="R142" i="1" l="1"/>
  <c r="S143" i="1"/>
  <c r="T143" i="1" s="1"/>
  <c r="S142" i="1" l="1"/>
  <c r="T142" i="1" s="1"/>
  <c r="R141" i="1"/>
  <c r="S141" i="1" l="1"/>
  <c r="T141" i="1" s="1"/>
  <c r="R140" i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S134" i="1" l="1"/>
  <c r="T134" i="1" s="1"/>
  <c r="R133" i="1"/>
  <c r="R132" i="1" l="1"/>
  <c r="S133" i="1"/>
  <c r="T133" i="1" s="1"/>
  <c r="R131" i="1" l="1"/>
  <c r="S132" i="1"/>
  <c r="T132" i="1" s="1"/>
  <c r="R130" i="1" l="1"/>
  <c r="S131" i="1"/>
  <c r="T131" i="1" s="1"/>
  <c r="S130" i="1" l="1"/>
  <c r="T130" i="1" s="1"/>
  <c r="R129" i="1"/>
  <c r="S129" i="1" l="1"/>
  <c r="T129" i="1" s="1"/>
  <c r="R128" i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S122" i="1" l="1"/>
  <c r="T122" i="1" s="1"/>
  <c r="R121" i="1"/>
  <c r="S121" i="1" l="1"/>
  <c r="T121" i="1" s="1"/>
  <c r="R120" i="1"/>
  <c r="S120" i="1" l="1"/>
  <c r="T120" i="1" s="1"/>
  <c r="R119" i="1"/>
  <c r="S119" i="1" l="1"/>
  <c r="T119" i="1" s="1"/>
  <c r="R118" i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S114" i="1" l="1"/>
  <c r="T114" i="1" s="1"/>
  <c r="R113" i="1"/>
  <c r="S113" i="1" l="1"/>
  <c r="T113" i="1" s="1"/>
  <c r="R112" i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R106" i="1" l="1"/>
  <c r="S107" i="1"/>
  <c r="T107" i="1" s="1"/>
  <c r="S106" i="1" l="1"/>
  <c r="T106" i="1" s="1"/>
  <c r="R105" i="1"/>
  <c r="S105" i="1" l="1"/>
  <c r="T105" i="1" s="1"/>
  <c r="R104" i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S98" i="1" l="1"/>
  <c r="T98" i="1" s="1"/>
  <c r="R97" i="1"/>
  <c r="S97" i="1" l="1"/>
  <c r="T97" i="1" s="1"/>
  <c r="R96" i="1"/>
  <c r="R95" i="1" l="1"/>
  <c r="S96" i="1"/>
  <c r="T96" i="1" s="1"/>
  <c r="S95" i="1" l="1"/>
  <c r="T95" i="1" s="1"/>
  <c r="R94" i="1"/>
  <c r="R93" i="1" l="1"/>
  <c r="S94" i="1"/>
  <c r="T94" i="1" s="1"/>
  <c r="S93" i="1" l="1"/>
  <c r="T93" i="1" s="1"/>
  <c r="R92" i="1"/>
  <c r="S92" i="1" l="1"/>
  <c r="T92" i="1" s="1"/>
  <c r="R91" i="1"/>
  <c r="R90" i="1" l="1"/>
  <c r="S91" i="1"/>
  <c r="T91" i="1" s="1"/>
  <c r="S90" i="1" l="1"/>
  <c r="T90" i="1" s="1"/>
  <c r="R89" i="1"/>
  <c r="R88" i="1" l="1"/>
  <c r="S89" i="1"/>
  <c r="T89" i="1" s="1"/>
  <c r="R87" i="1" l="1"/>
  <c r="S88" i="1"/>
  <c r="T88" i="1" s="1"/>
  <c r="S87" i="1" l="1"/>
  <c r="T87" i="1" s="1"/>
  <c r="R86" i="1"/>
  <c r="R85" i="1" l="1"/>
  <c r="S86" i="1"/>
  <c r="T86" i="1" s="1"/>
  <c r="S85" i="1" l="1"/>
  <c r="T85" i="1" s="1"/>
  <c r="R84" i="1"/>
  <c r="S84" i="1" l="1"/>
  <c r="T84" i="1" s="1"/>
  <c r="R83" i="1"/>
  <c r="R82" i="1" l="1"/>
  <c r="S83" i="1"/>
  <c r="T83" i="1" s="1"/>
  <c r="S82" i="1" l="1"/>
  <c r="T82" i="1" s="1"/>
  <c r="R81" i="1"/>
  <c r="R80" i="1" l="1"/>
  <c r="S81" i="1"/>
  <c r="T81" i="1" s="1"/>
  <c r="R79" i="1" l="1"/>
  <c r="S80" i="1"/>
  <c r="T80" i="1" s="1"/>
  <c r="S79" i="1" l="1"/>
  <c r="T79" i="1" s="1"/>
  <c r="R78" i="1"/>
  <c r="R77" i="1" l="1"/>
  <c r="S78" i="1"/>
  <c r="T78" i="1" s="1"/>
  <c r="S77" i="1" l="1"/>
  <c r="T77" i="1" s="1"/>
  <c r="R76" i="1"/>
  <c r="S76" i="1" l="1"/>
  <c r="T76" i="1" s="1"/>
  <c r="R75" i="1"/>
  <c r="R74" i="1" l="1"/>
  <c r="S75" i="1"/>
  <c r="T75" i="1" s="1"/>
  <c r="S74" i="1" l="1"/>
  <c r="T74" i="1" s="1"/>
  <c r="R73" i="1"/>
  <c r="R72" i="1" l="1"/>
  <c r="S73" i="1"/>
  <c r="T73" i="1" s="1"/>
  <c r="R71" i="1" l="1"/>
  <c r="S72" i="1"/>
  <c r="T72" i="1" s="1"/>
  <c r="S71" i="1" l="1"/>
  <c r="T71" i="1" s="1"/>
  <c r="R70" i="1"/>
  <c r="R69" i="1" l="1"/>
  <c r="S70" i="1"/>
  <c r="T70" i="1" s="1"/>
  <c r="S69" i="1" l="1"/>
  <c r="T69" i="1" s="1"/>
  <c r="R68" i="1"/>
  <c r="S68" i="1" l="1"/>
  <c r="T68" i="1" s="1"/>
  <c r="R67" i="1"/>
  <c r="R66" i="1" l="1"/>
  <c r="S67" i="1"/>
  <c r="T67" i="1" s="1"/>
  <c r="S66" i="1" l="1"/>
  <c r="T66" i="1" s="1"/>
  <c r="R65" i="1"/>
  <c r="R64" i="1" l="1"/>
  <c r="S65" i="1"/>
  <c r="T65" i="1" s="1"/>
  <c r="R63" i="1" l="1"/>
  <c r="S64" i="1"/>
  <c r="T64" i="1" s="1"/>
  <c r="S63" i="1" l="1"/>
  <c r="T63" i="1" s="1"/>
  <c r="R62" i="1"/>
  <c r="R61" i="1" l="1"/>
  <c r="S62" i="1"/>
  <c r="T62" i="1" s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S56" i="1" l="1"/>
  <c r="T56" i="1" s="1"/>
  <c r="R55" i="1"/>
  <c r="S55" i="1" l="1"/>
  <c r="T55" i="1" s="1"/>
  <c r="R54" i="1"/>
  <c r="S54" i="1" l="1"/>
  <c r="T54" i="1" s="1"/>
  <c r="R53" i="1"/>
  <c r="S53" i="1" l="1"/>
  <c r="T53" i="1" s="1"/>
  <c r="R52" i="1"/>
  <c r="S52" i="1" l="1"/>
  <c r="T52" i="1" s="1"/>
  <c r="R51" i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S47" i="1" l="1"/>
  <c r="T47" i="1" s="1"/>
  <c r="R46" i="1"/>
  <c r="S46" i="1" l="1"/>
  <c r="T46" i="1" s="1"/>
  <c r="R45" i="1"/>
  <c r="R44" i="1" l="1"/>
  <c r="S45" i="1"/>
  <c r="T45" i="1" s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S40" i="1" l="1"/>
  <c r="T40" i="1" s="1"/>
  <c r="R39" i="1"/>
  <c r="S39" i="1" l="1"/>
  <c r="T39" i="1" s="1"/>
  <c r="R38" i="1"/>
  <c r="R37" i="1" l="1"/>
  <c r="S38" i="1"/>
  <c r="T38" i="1" s="1"/>
  <c r="R36" i="1" l="1"/>
  <c r="S37" i="1"/>
  <c r="T37" i="1" s="1"/>
  <c r="R35" i="1" l="1"/>
  <c r="S36" i="1"/>
  <c r="T36" i="1" s="1"/>
  <c r="R34" i="1" l="1"/>
  <c r="S35" i="1"/>
  <c r="T35" i="1" s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<sst xmlns="http://schemas.openxmlformats.org/spreadsheetml/2006/main" count="6909" uniqueCount="34">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</sst>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3.0497999999999998</c:v>
                </c:pt>
                <c:pt idx="1">
                  <c:v>3.0743</c:v>
                </c:pt>
                <c:pt idx="2">
                  <c:v>3.0406</c:v>
                </c:pt>
                <c:pt idx="3">
                  <c:v>2.9982000000000002</c:v>
                </c:pt>
                <c:pt idx="4">
                  <c:v>3.1233</c:v>
                </c:pt>
                <c:pt idx="5">
                  <c:v>3.0015999999999998</c:v>
                </c:pt>
                <c:pt idx="6">
                  <c:v>3.3426</c:v>
                </c:pt>
                <c:pt idx="7">
                  <c:v>3.9413999999999998</c:v>
                </c:pt>
                <c:pt idx="8">
                  <c:v>4.2173999999999996</c:v>
                </c:pt>
                <c:pt idx="9">
                  <c:v>4.4646999999999997</c:v>
                </c:pt>
                <c:pt idx="10">
                  <c:v>4.6041999999999996</c:v>
                </c:pt>
                <c:pt idx="11">
                  <c:v>4.9137000000000004</c:v>
                </c:pt>
                <c:pt idx="12">
                  <c:v>4.843</c:v>
                </c:pt>
                <c:pt idx="13">
                  <c:v>4.9015000000000004</c:v>
                </c:pt>
                <c:pt idx="14">
                  <c:v>4.8602999999999996</c:v>
                </c:pt>
                <c:pt idx="15">
                  <c:v>5.1372999999999998</c:v>
                </c:pt>
                <c:pt idx="16">
                  <c:v>4.7190000000000003</c:v>
                </c:pt>
                <c:pt idx="17">
                  <c:v>4.4528999999999996</c:v>
                </c:pt>
                <c:pt idx="18">
                  <c:v>4.7157</c:v>
                </c:pt>
                <c:pt idx="19">
                  <c:v>4.6154000000000002</c:v>
                </c:pt>
                <c:pt idx="20">
                  <c:v>4.8529</c:v>
                </c:pt>
                <c:pt idx="21">
                  <c:v>5.2359</c:v>
                </c:pt>
                <c:pt idx="22">
                  <c:v>5.0049999999999999</c:v>
                </c:pt>
                <c:pt idx="23">
                  <c:v>5.4623999999999997</c:v>
                </c:pt>
                <c:pt idx="24">
                  <c:v>5.6879999999999997</c:v>
                </c:pt>
                <c:pt idx="25">
                  <c:v>5.9119000000000002</c:v>
                </c:pt>
                <c:pt idx="26">
                  <c:v>5.97</c:v>
                </c:pt>
                <c:pt idx="27">
                  <c:v>5.8409000000000004</c:v>
                </c:pt>
                <c:pt idx="28">
                  <c:v>5.9013999999999998</c:v>
                </c:pt>
                <c:pt idx="29">
                  <c:v>5.8033999999999999</c:v>
                </c:pt>
                <c:pt idx="30">
                  <c:v>5.8571</c:v>
                </c:pt>
                <c:pt idx="31">
                  <c:v>6.4231999999999996</c:v>
                </c:pt>
                <c:pt idx="32">
                  <c:v>6.7249999999999996</c:v>
                </c:pt>
                <c:pt idx="33">
                  <c:v>6.7</c:v>
                </c:pt>
                <c:pt idx="34">
                  <c:v>5.8555999999999999</c:v>
                </c:pt>
                <c:pt idx="35">
                  <c:v>6.3189000000000002</c:v>
                </c:pt>
                <c:pt idx="36">
                  <c:v>5.1105</c:v>
                </c:pt>
                <c:pt idx="37">
                  <c:v>5.1479999999999997</c:v>
                </c:pt>
                <c:pt idx="38">
                  <c:v>4.9625000000000004</c:v>
                </c:pt>
                <c:pt idx="39">
                  <c:v>5.0118</c:v>
                </c:pt>
                <c:pt idx="40">
                  <c:v>5.1562999999999999</c:v>
                </c:pt>
                <c:pt idx="41">
                  <c:v>4.9107000000000003</c:v>
                </c:pt>
                <c:pt idx="42">
                  <c:v>4.9455</c:v>
                </c:pt>
                <c:pt idx="43">
                  <c:v>5.1365999999999996</c:v>
                </c:pt>
                <c:pt idx="44">
                  <c:v>4.7725999999999997</c:v>
                </c:pt>
                <c:pt idx="45">
                  <c:v>4.7941000000000003</c:v>
                </c:pt>
                <c:pt idx="46">
                  <c:v>5.4564000000000004</c:v>
                </c:pt>
                <c:pt idx="47">
                  <c:v>4.8783000000000003</c:v>
                </c:pt>
                <c:pt idx="48">
                  <c:v>4.8444000000000003</c:v>
                </c:pt>
                <c:pt idx="49">
                  <c:v>5.1947000000000001</c:v>
                </c:pt>
                <c:pt idx="50">
                  <c:v>5.3442999999999996</c:v>
                </c:pt>
                <c:pt idx="51">
                  <c:v>5.3042999999999996</c:v>
                </c:pt>
                <c:pt idx="52">
                  <c:v>5.4889000000000001</c:v>
                </c:pt>
                <c:pt idx="53">
                  <c:v>5.4081000000000001</c:v>
                </c:pt>
                <c:pt idx="54">
                  <c:v>6.0740999999999996</c:v>
                </c:pt>
                <c:pt idx="55">
                  <c:v>6.0174000000000003</c:v>
                </c:pt>
                <c:pt idx="56">
                  <c:v>6.6920000000000002</c:v>
                </c:pt>
                <c:pt idx="57">
                  <c:v>6.5712000000000002</c:v>
                </c:pt>
                <c:pt idx="58">
                  <c:v>6.7923999999999998</c:v>
                </c:pt>
                <c:pt idx="59">
                  <c:v>6.9847000000000001</c:v>
                </c:pt>
                <c:pt idx="60">
                  <c:v>7.5136000000000003</c:v>
                </c:pt>
                <c:pt idx="61">
                  <c:v>6.5442</c:v>
                </c:pt>
                <c:pt idx="62">
                  <c:v>6.9936999999999996</c:v>
                </c:pt>
                <c:pt idx="63">
                  <c:v>7.1738</c:v>
                </c:pt>
                <c:pt idx="64">
                  <c:v>6.8106999999999998</c:v>
                </c:pt>
                <c:pt idx="65">
                  <c:v>5.3506999999999998</c:v>
                </c:pt>
                <c:pt idx="66">
                  <c:v>4.9641000000000002</c:v>
                </c:pt>
                <c:pt idx="67">
                  <c:v>4.0110000000000001</c:v>
                </c:pt>
                <c:pt idx="68">
                  <c:v>4.2088999999999999</c:v>
                </c:pt>
                <c:pt idx="69">
                  <c:v>4.4135</c:v>
                </c:pt>
                <c:pt idx="70">
                  <c:v>4.3109999999999999</c:v>
                </c:pt>
                <c:pt idx="71">
                  <c:v>3.7610000000000001</c:v>
                </c:pt>
                <c:pt idx="72">
                  <c:v>3.2440000000000002</c:v>
                </c:pt>
                <c:pt idx="73">
                  <c:v>2.7938000000000001</c:v>
                </c:pt>
                <c:pt idx="74">
                  <c:v>2.8372999999999999</c:v>
                </c:pt>
                <c:pt idx="75">
                  <c:v>2.7995999999999999</c:v>
                </c:pt>
                <c:pt idx="76">
                  <c:v>2.6282000000000001</c:v>
                </c:pt>
                <c:pt idx="77">
                  <c:v>2.4235000000000002</c:v>
                </c:pt>
                <c:pt idx="78">
                  <c:v>2.2930000000000001</c:v>
                </c:pt>
                <c:pt idx="79">
                  <c:v>2.3816999999999999</c:v>
                </c:pt>
                <c:pt idx="80">
                  <c:v>2.5720000000000001</c:v>
                </c:pt>
                <c:pt idx="81">
                  <c:v>2.6886999999999999</c:v>
                </c:pt>
                <c:pt idx="82">
                  <c:v>2.6983000000000001</c:v>
                </c:pt>
                <c:pt idx="83">
                  <c:v>2.5514000000000001</c:v>
                </c:pt>
                <c:pt idx="84">
                  <c:v>2.7</c:v>
                </c:pt>
                <c:pt idx="85">
                  <c:v>3.2098</c:v>
                </c:pt>
                <c:pt idx="86">
                  <c:v>3.0586000000000002</c:v>
                </c:pt>
                <c:pt idx="87">
                  <c:v>2.1269</c:v>
                </c:pt>
                <c:pt idx="88">
                  <c:v>1.5709</c:v>
                </c:pt>
                <c:pt idx="89">
                  <c:v>1.8016000000000001</c:v>
                </c:pt>
                <c:pt idx="90">
                  <c:v>1.1646000000000001</c:v>
                </c:pt>
                <c:pt idx="91">
                  <c:v>0.94030000000000002</c:v>
                </c:pt>
                <c:pt idx="92">
                  <c:v>0.76419999999999999</c:v>
                </c:pt>
                <c:pt idx="93">
                  <c:v>0.83040000000000003</c:v>
                </c:pt>
                <c:pt idx="94">
                  <c:v>0.80600000000000005</c:v>
                </c:pt>
                <c:pt idx="95">
                  <c:v>0.79349999999999998</c:v>
                </c:pt>
                <c:pt idx="96">
                  <c:v>0.76419999999999999</c:v>
                </c:pt>
                <c:pt idx="97">
                  <c:v>0.75629999999999997</c:v>
                </c:pt>
                <c:pt idx="98">
                  <c:v>0.75470000000000004</c:v>
                </c:pt>
                <c:pt idx="99">
                  <c:v>0.77669999999999995</c:v>
                </c:pt>
                <c:pt idx="100">
                  <c:v>0.73260000000000003</c:v>
                </c:pt>
                <c:pt idx="101">
                  <c:v>0.7339</c:v>
                </c:pt>
                <c:pt idx="102">
                  <c:v>0.72319999999999995</c:v>
                </c:pt>
                <c:pt idx="103">
                  <c:v>0.74960000000000004</c:v>
                </c:pt>
                <c:pt idx="104">
                  <c:v>0.74080000000000001</c:v>
                </c:pt>
                <c:pt idx="105">
                  <c:v>0.78249999999999997</c:v>
                </c:pt>
                <c:pt idx="106">
                  <c:v>0.74390000000000001</c:v>
                </c:pt>
                <c:pt idx="107">
                  <c:v>0.7218</c:v>
                </c:pt>
                <c:pt idx="108">
                  <c:v>0.74150000000000005</c:v>
                </c:pt>
                <c:pt idx="109">
                  <c:v>0.74780000000000002</c:v>
                </c:pt>
                <c:pt idx="110">
                  <c:v>0.80079999999999996</c:v>
                </c:pt>
                <c:pt idx="111">
                  <c:v>0.78190000000000004</c:v>
                </c:pt>
                <c:pt idx="112">
                  <c:v>0.80069999999999997</c:v>
                </c:pt>
                <c:pt idx="113">
                  <c:v>0.81679999999999997</c:v>
                </c:pt>
                <c:pt idx="114">
                  <c:v>0.80379999999999996</c:v>
                </c:pt>
                <c:pt idx="115">
                  <c:v>0.82410000000000005</c:v>
                </c:pt>
                <c:pt idx="116">
                  <c:v>0.86429999999999996</c:v>
                </c:pt>
                <c:pt idx="117">
                  <c:v>0.78520000000000001</c:v>
                </c:pt>
                <c:pt idx="118">
                  <c:v>0.80930000000000002</c:v>
                </c:pt>
                <c:pt idx="119">
                  <c:v>0.67090000000000005</c:v>
                </c:pt>
                <c:pt idx="120">
                  <c:v>0.60240000000000005</c:v>
                </c:pt>
                <c:pt idx="121">
                  <c:v>0.59399999999999997</c:v>
                </c:pt>
                <c:pt idx="122">
                  <c:v>0.63060000000000005</c:v>
                </c:pt>
                <c:pt idx="123">
                  <c:v>0.65559999999999996</c:v>
                </c:pt>
                <c:pt idx="124">
                  <c:v>0.66700000000000004</c:v>
                </c:pt>
                <c:pt idx="125">
                  <c:v>0.67879999999999996</c:v>
                </c:pt>
                <c:pt idx="126">
                  <c:v>0.73370000000000002</c:v>
                </c:pt>
                <c:pt idx="127">
                  <c:v>0.69410000000000005</c:v>
                </c:pt>
                <c:pt idx="128">
                  <c:v>0.59760000000000002</c:v>
                </c:pt>
                <c:pt idx="129">
                  <c:v>0.6835</c:v>
                </c:pt>
                <c:pt idx="130">
                  <c:v>0.74229999999999996</c:v>
                </c:pt>
                <c:pt idx="131">
                  <c:v>0.77800000000000002</c:v>
                </c:pt>
                <c:pt idx="132">
                  <c:v>0.77149999999999996</c:v>
                </c:pt>
                <c:pt idx="133">
                  <c:v>0.82020000000000004</c:v>
                </c:pt>
                <c:pt idx="134">
                  <c:v>0.80740000000000001</c:v>
                </c:pt>
                <c:pt idx="135">
                  <c:v>0.79259999999999997</c:v>
                </c:pt>
                <c:pt idx="136">
                  <c:v>0.74570000000000003</c:v>
                </c:pt>
                <c:pt idx="137">
                  <c:v>0.81310000000000004</c:v>
                </c:pt>
                <c:pt idx="138">
                  <c:v>0.80210000000000004</c:v>
                </c:pt>
                <c:pt idx="139">
                  <c:v>0.78290000000000004</c:v>
                </c:pt>
                <c:pt idx="140">
                  <c:v>0.87229999999999996</c:v>
                </c:pt>
                <c:pt idx="141">
                  <c:v>0.79300000000000004</c:v>
                </c:pt>
                <c:pt idx="142">
                  <c:v>0.752</c:v>
                </c:pt>
                <c:pt idx="143">
                  <c:v>0.96020000000000005</c:v>
                </c:pt>
                <c:pt idx="144">
                  <c:v>0.97719999999999996</c:v>
                </c:pt>
                <c:pt idx="145">
                  <c:v>0.99429999999999996</c:v>
                </c:pt>
                <c:pt idx="146">
                  <c:v>1.002</c:v>
                </c:pt>
                <c:pt idx="147">
                  <c:v>1.0048999999999999</c:v>
                </c:pt>
                <c:pt idx="148">
                  <c:v>1.008</c:v>
                </c:pt>
                <c:pt idx="149">
                  <c:v>0.95340000000000003</c:v>
                </c:pt>
                <c:pt idx="150">
                  <c:v>0.97519999999999996</c:v>
                </c:pt>
                <c:pt idx="151">
                  <c:v>1.0037</c:v>
                </c:pt>
                <c:pt idx="152">
                  <c:v>0.75970000000000004</c:v>
                </c:pt>
                <c:pt idx="153">
                  <c:v>0.70920000000000005</c:v>
                </c:pt>
                <c:pt idx="154">
                  <c:v>0.67679999999999996</c:v>
                </c:pt>
                <c:pt idx="155">
                  <c:v>0.73868</c:v>
                </c:pt>
                <c:pt idx="156">
                  <c:v>0.61453000000000002</c:v>
                </c:pt>
                <c:pt idx="157">
                  <c:v>0.67735999999999996</c:v>
                </c:pt>
                <c:pt idx="158">
                  <c:v>0.66952999999999996</c:v>
                </c:pt>
                <c:pt idx="159">
                  <c:v>0.66054000000000002</c:v>
                </c:pt>
                <c:pt idx="160">
                  <c:v>0.61360999999999999</c:v>
                </c:pt>
                <c:pt idx="161">
                  <c:v>0.59841999999999995</c:v>
                </c:pt>
                <c:pt idx="162">
                  <c:v>0.58179999999999998</c:v>
                </c:pt>
                <c:pt idx="163">
                  <c:v>0.60916000000000003</c:v>
                </c:pt>
                <c:pt idx="164">
                  <c:v>0.63280000000000003</c:v>
                </c:pt>
                <c:pt idx="165">
                  <c:v>0.64549000000000001</c:v>
                </c:pt>
                <c:pt idx="166">
                  <c:v>0.63651000000000002</c:v>
                </c:pt>
                <c:pt idx="167">
                  <c:v>0.66332999999999998</c:v>
                </c:pt>
                <c:pt idx="168">
                  <c:v>0.63636000000000004</c:v>
                </c:pt>
                <c:pt idx="169">
                  <c:v>0.67381000000000002</c:v>
                </c:pt>
                <c:pt idx="170">
                  <c:v>0.67839000000000005</c:v>
                </c:pt>
                <c:pt idx="171">
                  <c:v>0.62639999999999996</c:v>
                </c:pt>
                <c:pt idx="172">
                  <c:v>0.61512</c:v>
                </c:pt>
                <c:pt idx="173">
                  <c:v>0.64041000000000003</c:v>
                </c:pt>
                <c:pt idx="174">
                  <c:v>0.63605999999999996</c:v>
                </c:pt>
                <c:pt idx="175">
                  <c:v>0.63700000000000001</c:v>
                </c:pt>
                <c:pt idx="176">
                  <c:v>0.65200000000000002</c:v>
                </c:pt>
                <c:pt idx="177">
                  <c:v>0.59062000000000003</c:v>
                </c:pt>
                <c:pt idx="178">
                  <c:v>0.61221000000000003</c:v>
                </c:pt>
                <c:pt idx="179">
                  <c:v>0.58772000000000002</c:v>
                </c:pt>
                <c:pt idx="180">
                  <c:v>0.63793</c:v>
                </c:pt>
                <c:pt idx="181">
                  <c:v>0.65744999999999998</c:v>
                </c:pt>
                <c:pt idx="182">
                  <c:v>0.66376999999999997</c:v>
                </c:pt>
                <c:pt idx="183">
                  <c:v>0.68057000000000001</c:v>
                </c:pt>
                <c:pt idx="184">
                  <c:v>0.67615999999999998</c:v>
                </c:pt>
                <c:pt idx="185">
                  <c:v>0.65871999999999997</c:v>
                </c:pt>
                <c:pt idx="186">
                  <c:v>0.75575999999999999</c:v>
                </c:pt>
                <c:pt idx="187">
                  <c:v>0.73026999999999997</c:v>
                </c:pt>
                <c:pt idx="188">
                  <c:v>0.65832999999999997</c:v>
                </c:pt>
                <c:pt idx="189">
                  <c:v>0.49837999999999999</c:v>
                </c:pt>
                <c:pt idx="190">
                  <c:v>0.47350999999999999</c:v>
                </c:pt>
                <c:pt idx="191">
                  <c:v>0.38467000000000001</c:v>
                </c:pt>
                <c:pt idx="192">
                  <c:v>0.43991000000000002</c:v>
                </c:pt>
                <c:pt idx="193">
                  <c:v>0.48425000000000001</c:v>
                </c:pt>
                <c:pt idx="194">
                  <c:v>0.44803999999999999</c:v>
                </c:pt>
                <c:pt idx="195">
                  <c:v>0.48934</c:v>
                </c:pt>
                <c:pt idx="196">
                  <c:v>0.54366999999999999</c:v>
                </c:pt>
                <c:pt idx="197">
                  <c:v>0.59047000000000005</c:v>
                </c:pt>
                <c:pt idx="198">
                  <c:v>0.43382999999999999</c:v>
                </c:pt>
                <c:pt idx="199">
                  <c:v>0.41746</c:v>
                </c:pt>
                <c:pt idx="200">
                  <c:v>0.48959000000000003</c:v>
                </c:pt>
                <c:pt idx="201">
                  <c:v>0.49121999999999999</c:v>
                </c:pt>
                <c:pt idx="202">
                  <c:v>0.49304999999999999</c:v>
                </c:pt>
                <c:pt idx="203">
                  <c:v>0.42699999999999999</c:v>
                </c:pt>
                <c:pt idx="204">
                  <c:v>0.40046999999999999</c:v>
                </c:pt>
                <c:pt idx="205">
                  <c:v>0.30936999999999998</c:v>
                </c:pt>
                <c:pt idx="206">
                  <c:v>0.26656999999999997</c:v>
                </c:pt>
                <c:pt idx="207">
                  <c:v>0.27629999999999999</c:v>
                </c:pt>
                <c:pt idx="208">
                  <c:v>0.26456000000000002</c:v>
                </c:pt>
                <c:pt idx="209">
                  <c:v>0.24399999999999999</c:v>
                </c:pt>
                <c:pt idx="210">
                  <c:v>0.25237999999999999</c:v>
                </c:pt>
                <c:pt idx="211">
                  <c:v>0.24487999999999999</c:v>
                </c:pt>
                <c:pt idx="212">
                  <c:v>0.22686000000000001</c:v>
                </c:pt>
                <c:pt idx="213">
                  <c:v>0.20416000000000001</c:v>
                </c:pt>
                <c:pt idx="214">
                  <c:v>0.19001999999999999</c:v>
                </c:pt>
                <c:pt idx="215">
                  <c:v>0.18434</c:v>
                </c:pt>
                <c:pt idx="216">
                  <c:v>0.18340999999999999</c:v>
                </c:pt>
                <c:pt idx="217">
                  <c:v>0.2031</c:v>
                </c:pt>
                <c:pt idx="218">
                  <c:v>0.19250999999999999</c:v>
                </c:pt>
                <c:pt idx="219">
                  <c:v>0.17405000000000001</c:v>
                </c:pt>
                <c:pt idx="220">
                  <c:v>0.17927999999999999</c:v>
                </c:pt>
                <c:pt idx="221">
                  <c:v>0.23805999999999999</c:v>
                </c:pt>
                <c:pt idx="222">
                  <c:v>0.24567</c:v>
                </c:pt>
                <c:pt idx="223">
                  <c:v>0.25647999999999999</c:v>
                </c:pt>
                <c:pt idx="224">
                  <c:v>0.27156000000000002</c:v>
                </c:pt>
                <c:pt idx="225">
                  <c:v>0.27045000000000002</c:v>
                </c:pt>
                <c:pt idx="226">
                  <c:v>0.28643000000000002</c:v>
                </c:pt>
                <c:pt idx="227">
                  <c:v>0.28450999999999999</c:v>
                </c:pt>
                <c:pt idx="228">
                  <c:v>0.27672000000000002</c:v>
                </c:pt>
                <c:pt idx="229">
                  <c:v>0.26275999999999999</c:v>
                </c:pt>
                <c:pt idx="230">
                  <c:v>0.30682999999999999</c:v>
                </c:pt>
                <c:pt idx="231">
                  <c:v>0.29957</c:v>
                </c:pt>
                <c:pt idx="232">
                  <c:v>0.29154999999999998</c:v>
                </c:pt>
                <c:pt idx="233">
                  <c:v>0.28128999999999998</c:v>
                </c:pt>
                <c:pt idx="234">
                  <c:v>0.29493000000000003</c:v>
                </c:pt>
                <c:pt idx="235">
                  <c:v>0.32490999999999998</c:v>
                </c:pt>
                <c:pt idx="236">
                  <c:v>0.318</c:v>
                </c:pt>
                <c:pt idx="237">
                  <c:v>0.33305000000000001</c:v>
                </c:pt>
                <c:pt idx="238">
                  <c:v>0.36357</c:v>
                </c:pt>
                <c:pt idx="239">
                  <c:v>0.33163999999999999</c:v>
                </c:pt>
                <c:pt idx="240">
                  <c:v>0.32346000000000003</c:v>
                </c:pt>
                <c:pt idx="241">
                  <c:v>0.33412999999999998</c:v>
                </c:pt>
                <c:pt idx="242">
                  <c:v>0.31570999999999999</c:v>
                </c:pt>
                <c:pt idx="243">
                  <c:v>0.30530000000000002</c:v>
                </c:pt>
                <c:pt idx="244">
                  <c:v>0.33779999999999999</c:v>
                </c:pt>
                <c:pt idx="245">
                  <c:v>0.33732000000000001</c:v>
                </c:pt>
                <c:pt idx="246">
                  <c:v>0.37143999999999999</c:v>
                </c:pt>
                <c:pt idx="247">
                  <c:v>0.29254000000000002</c:v>
                </c:pt>
                <c:pt idx="248">
                  <c:v>0.31131999999999999</c:v>
                </c:pt>
                <c:pt idx="249">
                  <c:v>0.29331000000000002</c:v>
                </c:pt>
                <c:pt idx="250">
                  <c:v>0.44214999999999999</c:v>
                </c:pt>
                <c:pt idx="251">
                  <c:v>0.29283999999999999</c:v>
                </c:pt>
                <c:pt idx="252">
                  <c:v>0.31065999999999999</c:v>
                </c:pt>
                <c:pt idx="253">
                  <c:v>0.24651000000000001</c:v>
                </c:pt>
                <c:pt idx="254">
                  <c:v>0.39224999999999999</c:v>
                </c:pt>
                <c:pt idx="255">
                  <c:v>0.37559999999999999</c:v>
                </c:pt>
                <c:pt idx="256">
                  <c:v>0.41585</c:v>
                </c:pt>
                <c:pt idx="257">
                  <c:v>0.43278</c:v>
                </c:pt>
                <c:pt idx="258">
                  <c:v>0.44066</c:v>
                </c:pt>
                <c:pt idx="259">
                  <c:v>0.42325000000000002</c:v>
                </c:pt>
                <c:pt idx="260">
                  <c:v>0.41143000000000002</c:v>
                </c:pt>
                <c:pt idx="261">
                  <c:v>0.50280000000000002</c:v>
                </c:pt>
                <c:pt idx="262">
                  <c:v>0.46206999999999998</c:v>
                </c:pt>
                <c:pt idx="263">
                  <c:v>0.54303000000000001</c:v>
                </c:pt>
                <c:pt idx="264">
                  <c:v>0.54300000000000004</c:v>
                </c:pt>
                <c:pt idx="265">
                  <c:v>0.54686000000000001</c:v>
                </c:pt>
                <c:pt idx="266">
                  <c:v>0.56196000000000002</c:v>
                </c:pt>
                <c:pt idx="267">
                  <c:v>0.60431000000000001</c:v>
                </c:pt>
                <c:pt idx="268">
                  <c:v>0.57294</c:v>
                </c:pt>
                <c:pt idx="269">
                  <c:v>0.65690000000000004</c:v>
                </c:pt>
                <c:pt idx="270">
                  <c:v>0.58191999999999999</c:v>
                </c:pt>
                <c:pt idx="271">
                  <c:v>0.60314000000000001</c:v>
                </c:pt>
                <c:pt idx="272">
                  <c:v>0.62109999999999999</c:v>
                </c:pt>
                <c:pt idx="273">
                  <c:v>0.56494999999999995</c:v>
                </c:pt>
                <c:pt idx="274">
                  <c:v>0.58982999999999997</c:v>
                </c:pt>
                <c:pt idx="275">
                  <c:v>0.54047000000000001</c:v>
                </c:pt>
                <c:pt idx="276">
                  <c:v>0.49995000000000001</c:v>
                </c:pt>
                <c:pt idx="277">
                  <c:v>0.41792000000000001</c:v>
                </c:pt>
                <c:pt idx="278">
                  <c:v>0.411661</c:v>
                </c:pt>
                <c:pt idx="279">
                  <c:v>0.42728300000000002</c:v>
                </c:pt>
                <c:pt idx="280">
                  <c:v>0.43790000000000001</c:v>
                </c:pt>
                <c:pt idx="281">
                  <c:v>0.51038700000000004</c:v>
                </c:pt>
                <c:pt idx="282">
                  <c:v>0.52299099999999998</c:v>
                </c:pt>
                <c:pt idx="283">
                  <c:v>0.51388999999999996</c:v>
                </c:pt>
                <c:pt idx="284">
                  <c:v>0.56106299999999998</c:v>
                </c:pt>
                <c:pt idx="285">
                  <c:v>0.66076699999999999</c:v>
                </c:pt>
                <c:pt idx="286">
                  <c:v>0.70387699999999997</c:v>
                </c:pt>
                <c:pt idx="287">
                  <c:v>0.68180700000000005</c:v>
                </c:pt>
                <c:pt idx="288">
                  <c:v>0.64534999999999998</c:v>
                </c:pt>
                <c:pt idx="289">
                  <c:v>0.669381</c:v>
                </c:pt>
                <c:pt idx="290">
                  <c:v>0.68739600000000001</c:v>
                </c:pt>
                <c:pt idx="291">
                  <c:v>0.64181900000000003</c:v>
                </c:pt>
                <c:pt idx="292">
                  <c:v>0.66398999999999997</c:v>
                </c:pt>
                <c:pt idx="293">
                  <c:v>0.69866099999999998</c:v>
                </c:pt>
                <c:pt idx="294">
                  <c:v>0.68480600000000003</c:v>
                </c:pt>
                <c:pt idx="295">
                  <c:v>0.63209700000000002</c:v>
                </c:pt>
                <c:pt idx="296">
                  <c:v>0.63589899999999999</c:v>
                </c:pt>
                <c:pt idx="297">
                  <c:v>0.67181100000000005</c:v>
                </c:pt>
                <c:pt idx="298">
                  <c:v>0.71891799999999995</c:v>
                </c:pt>
                <c:pt idx="299">
                  <c:v>0.67900000000000005</c:v>
                </c:pt>
                <c:pt idx="300">
                  <c:v>0.76385199999999998</c:v>
                </c:pt>
                <c:pt idx="301">
                  <c:v>0.75095800000000001</c:v>
                </c:pt>
                <c:pt idx="302">
                  <c:v>0.80069900000000005</c:v>
                </c:pt>
                <c:pt idx="303">
                  <c:v>0.82667000000000002</c:v>
                </c:pt>
                <c:pt idx="304">
                  <c:v>0.78915199999999996</c:v>
                </c:pt>
                <c:pt idx="305">
                  <c:v>0.80915099999999995</c:v>
                </c:pt>
                <c:pt idx="306">
                  <c:v>0.713202</c:v>
                </c:pt>
                <c:pt idx="307">
                  <c:v>0.61920900000000001</c:v>
                </c:pt>
                <c:pt idx="308">
                  <c:v>0.58416400000000002</c:v>
                </c:pt>
                <c:pt idx="309">
                  <c:v>0.57259400000000005</c:v>
                </c:pt>
                <c:pt idx="310">
                  <c:v>0.566523</c:v>
                </c:pt>
                <c:pt idx="311">
                  <c:v>0.55435800000000002</c:v>
                </c:pt>
                <c:pt idx="312">
                  <c:v>0.56206699999999998</c:v>
                </c:pt>
                <c:pt idx="313">
                  <c:v>0.53736899999999999</c:v>
                </c:pt>
                <c:pt idx="314">
                  <c:v>0.60378399999999999</c:v>
                </c:pt>
                <c:pt idx="315">
                  <c:v>0.61564200000000002</c:v>
                </c:pt>
                <c:pt idx="316">
                  <c:v>0.59545999999999999</c:v>
                </c:pt>
                <c:pt idx="317">
                  <c:v>0.592221</c:v>
                </c:pt>
                <c:pt idx="318">
                  <c:v>0.66669599999999996</c:v>
                </c:pt>
                <c:pt idx="319">
                  <c:v>0.68014200000000002</c:v>
                </c:pt>
                <c:pt idx="320">
                  <c:v>0.68457800000000002</c:v>
                </c:pt>
                <c:pt idx="321">
                  <c:v>0.61266799999999999</c:v>
                </c:pt>
                <c:pt idx="322">
                  <c:v>0.53</c:v>
                </c:pt>
                <c:pt idx="323">
                  <c:v>0.481458</c:v>
                </c:pt>
                <c:pt idx="324">
                  <c:v>0.52489799999999998</c:v>
                </c:pt>
                <c:pt idx="325">
                  <c:v>0.45726</c:v>
                </c:pt>
                <c:pt idx="326">
                  <c:v>0.37920700000000002</c:v>
                </c:pt>
                <c:pt idx="327">
                  <c:v>0.34335500000000002</c:v>
                </c:pt>
                <c:pt idx="328">
                  <c:v>0.35017599999999999</c:v>
                </c:pt>
                <c:pt idx="329">
                  <c:v>0.35799999999999998</c:v>
                </c:pt>
                <c:pt idx="330">
                  <c:v>0.30781900000000001</c:v>
                </c:pt>
                <c:pt idx="331">
                  <c:v>0.251</c:v>
                </c:pt>
                <c:pt idx="332">
                  <c:v>0.24</c:v>
                </c:pt>
                <c:pt idx="333">
                  <c:v>0.22036500000000001</c:v>
                </c:pt>
                <c:pt idx="334">
                  <c:v>0.24526200000000001</c:v>
                </c:pt>
                <c:pt idx="335">
                  <c:v>0.23652599999999999</c:v>
                </c:pt>
                <c:pt idx="336">
                  <c:v>0.23403599999999999</c:v>
                </c:pt>
                <c:pt idx="337">
                  <c:v>0.24759900000000001</c:v>
                </c:pt>
                <c:pt idx="338">
                  <c:v>0.239755</c:v>
                </c:pt>
                <c:pt idx="339">
                  <c:v>0.29475200000000001</c:v>
                </c:pt>
                <c:pt idx="340">
                  <c:v>0.321073</c:v>
                </c:pt>
                <c:pt idx="341">
                  <c:v>0.29559800000000003</c:v>
                </c:pt>
                <c:pt idx="342">
                  <c:v>0.30652800000000002</c:v>
                </c:pt>
                <c:pt idx="343">
                  <c:v>0.32621699999999998</c:v>
                </c:pt>
                <c:pt idx="344">
                  <c:v>0.24208499999999999</c:v>
                </c:pt>
                <c:pt idx="345">
                  <c:v>0.23142799999999999</c:v>
                </c:pt>
                <c:pt idx="346">
                  <c:v>0.240507</c:v>
                </c:pt>
                <c:pt idx="347">
                  <c:v>0.26645200000000002</c:v>
                </c:pt>
                <c:pt idx="348">
                  <c:v>0.20669799999999999</c:v>
                </c:pt>
                <c:pt idx="349">
                  <c:v>0.163993</c:v>
                </c:pt>
                <c:pt idx="350">
                  <c:v>0.15903900000000001</c:v>
                </c:pt>
                <c:pt idx="351">
                  <c:v>0.14663100000000001</c:v>
                </c:pt>
                <c:pt idx="352">
                  <c:v>0.153055</c:v>
                </c:pt>
                <c:pt idx="353">
                  <c:v>0.14155999999999999</c:v>
                </c:pt>
                <c:pt idx="354">
                  <c:v>0.126635</c:v>
                </c:pt>
                <c:pt idx="355">
                  <c:v>0.1305</c:v>
                </c:pt>
                <c:pt idx="356">
                  <c:v>0.14427899999999999</c:v>
                </c:pt>
                <c:pt idx="357">
                  <c:v>0.100407</c:v>
                </c:pt>
                <c:pt idx="358">
                  <c:v>9.9793000000000007E-2</c:v>
                </c:pt>
                <c:pt idx="359">
                  <c:v>9.6452999999999997E-2</c:v>
                </c:pt>
                <c:pt idx="360">
                  <c:v>8.2916000000000004E-2</c:v>
                </c:pt>
                <c:pt idx="361">
                  <c:v>8.3187999999999998E-2</c:v>
                </c:pt>
                <c:pt idx="362">
                  <c:v>8.8098999999999997E-2</c:v>
                </c:pt>
                <c:pt idx="363">
                  <c:v>8.8303999999999994E-2</c:v>
                </c:pt>
                <c:pt idx="364">
                  <c:v>8.8609999999999994E-2</c:v>
                </c:pt>
                <c:pt idx="365">
                  <c:v>8.1225000000000006E-2</c:v>
                </c:pt>
                <c:pt idx="366">
                  <c:v>9.2880000000000004E-2</c:v>
                </c:pt>
                <c:pt idx="367">
                  <c:v>9.2698000000000003E-2</c:v>
                </c:pt>
                <c:pt idx="368">
                  <c:v>9.5258999999999996E-2</c:v>
                </c:pt>
                <c:pt idx="369">
                  <c:v>0.101107</c:v>
                </c:pt>
                <c:pt idx="370">
                  <c:v>0.109443</c:v>
                </c:pt>
                <c:pt idx="371">
                  <c:v>0.108487</c:v>
                </c:pt>
                <c:pt idx="372">
                  <c:v>5.3857000000000002E-2</c:v>
                </c:pt>
                <c:pt idx="373">
                  <c:v>5.3712000000000003E-2</c:v>
                </c:pt>
                <c:pt idx="374">
                  <c:v>5.2089999999999997E-2</c:v>
                </c:pt>
                <c:pt idx="375">
                  <c:v>5.1041000000000003E-2</c:v>
                </c:pt>
                <c:pt idx="376">
                  <c:v>4.3950000000000003E-2</c:v>
                </c:pt>
                <c:pt idx="377">
                  <c:v>4.3994999999999999E-2</c:v>
                </c:pt>
                <c:pt idx="378">
                  <c:v>4.0896000000000002E-2</c:v>
                </c:pt>
                <c:pt idx="379">
                  <c:v>4.0724000000000003E-2</c:v>
                </c:pt>
                <c:pt idx="380">
                  <c:v>3.7904E-2</c:v>
                </c:pt>
                <c:pt idx="381">
                  <c:v>4.0615999999999999E-2</c:v>
                </c:pt>
                <c:pt idx="382">
                  <c:v>4.2380000000000001E-2</c:v>
                </c:pt>
                <c:pt idx="383">
                  <c:v>4.5938E-2</c:v>
                </c:pt>
                <c:pt idx="384">
                  <c:v>4.3303000000000001E-2</c:v>
                </c:pt>
                <c:pt idx="385">
                  <c:v>4.3390999999999999E-2</c:v>
                </c:pt>
                <c:pt idx="386">
                  <c:v>4.4655E-2</c:v>
                </c:pt>
                <c:pt idx="387">
                  <c:v>4.1700000000000001E-2</c:v>
                </c:pt>
                <c:pt idx="388">
                  <c:v>4.0432000000000003E-2</c:v>
                </c:pt>
                <c:pt idx="389">
                  <c:v>4.0927999999999999E-2</c:v>
                </c:pt>
                <c:pt idx="390">
                  <c:v>3.8107000000000002E-2</c:v>
                </c:pt>
                <c:pt idx="391">
                  <c:v>3.6972999999999999E-2</c:v>
                </c:pt>
                <c:pt idx="392">
                  <c:v>3.5700000000000003E-2</c:v>
                </c:pt>
                <c:pt idx="393">
                  <c:v>3.6165000000000003E-2</c:v>
                </c:pt>
                <c:pt idx="394">
                  <c:v>3.7260000000000001E-2</c:v>
                </c:pt>
                <c:pt idx="395">
                  <c:v>3.8948000000000003E-2</c:v>
                </c:pt>
                <c:pt idx="396">
                  <c:v>3.9316999999999998E-2</c:v>
                </c:pt>
                <c:pt idx="397">
                  <c:v>3.7870000000000001E-2</c:v>
                </c:pt>
                <c:pt idx="398">
                  <c:v>3.9026999999999999E-2</c:v>
                </c:pt>
                <c:pt idx="399">
                  <c:v>4.0430000000000001E-2</c:v>
                </c:pt>
                <c:pt idx="400">
                  <c:v>3.8165999999999999E-2</c:v>
                </c:pt>
                <c:pt idx="401">
                  <c:v>4.6457999999999999E-2</c:v>
                </c:pt>
                <c:pt idx="402">
                  <c:v>4.7546999999999999E-2</c:v>
                </c:pt>
                <c:pt idx="403">
                  <c:v>4.9697999999999999E-2</c:v>
                </c:pt>
                <c:pt idx="404">
                  <c:v>5.1500999999999998E-2</c:v>
                </c:pt>
                <c:pt idx="405">
                  <c:v>5.1347999999999998E-2</c:v>
                </c:pt>
                <c:pt idx="406">
                  <c:v>4.9085999999999998E-2</c:v>
                </c:pt>
                <c:pt idx="407">
                  <c:v>5.1928000000000002E-2</c:v>
                </c:pt>
                <c:pt idx="408">
                  <c:v>5.2572000000000001E-2</c:v>
                </c:pt>
                <c:pt idx="409">
                  <c:v>4.9702000000000003E-2</c:v>
                </c:pt>
                <c:pt idx="410">
                  <c:v>4.8301999999999998E-2</c:v>
                </c:pt>
                <c:pt idx="411">
                  <c:v>4.7620999999999997E-2</c:v>
                </c:pt>
                <c:pt idx="412">
                  <c:v>4.5331999999999997E-2</c:v>
                </c:pt>
                <c:pt idx="413">
                  <c:v>5.2642000000000001E-2</c:v>
                </c:pt>
                <c:pt idx="414">
                  <c:v>5.2498999999999997E-2</c:v>
                </c:pt>
                <c:pt idx="415">
                  <c:v>4.4512000000000003E-2</c:v>
                </c:pt>
                <c:pt idx="416">
                  <c:v>4.5369E-2</c:v>
                </c:pt>
                <c:pt idx="417">
                  <c:v>4.3247000000000001E-2</c:v>
                </c:pt>
                <c:pt idx="418">
                  <c:v>4.3547000000000002E-2</c:v>
                </c:pt>
                <c:pt idx="419">
                  <c:v>4.1902000000000002E-2</c:v>
                </c:pt>
                <c:pt idx="420">
                  <c:v>4.6771E-2</c:v>
                </c:pt>
                <c:pt idx="421">
                  <c:v>4.6973000000000001E-2</c:v>
                </c:pt>
                <c:pt idx="422">
                  <c:v>4.5813E-2</c:v>
                </c:pt>
                <c:pt idx="423">
                  <c:v>4.8467000000000003E-2</c:v>
                </c:pt>
                <c:pt idx="424">
                  <c:v>4.5569999999999999E-2</c:v>
                </c:pt>
                <c:pt idx="425">
                  <c:v>4.4599E-2</c:v>
                </c:pt>
                <c:pt idx="426">
                  <c:v>4.5638999999999999E-2</c:v>
                </c:pt>
                <c:pt idx="427">
                  <c:v>4.1443000000000001E-2</c:v>
                </c:pt>
                <c:pt idx="428">
                  <c:v>4.5213000000000003E-2</c:v>
                </c:pt>
                <c:pt idx="429">
                  <c:v>4.5370000000000001E-2</c:v>
                </c:pt>
                <c:pt idx="430">
                  <c:v>4.7760999999999998E-2</c:v>
                </c:pt>
                <c:pt idx="431">
                  <c:v>4.5089999999999998E-2</c:v>
                </c:pt>
                <c:pt idx="432">
                  <c:v>4.0219999999999999E-2</c:v>
                </c:pt>
                <c:pt idx="433">
                  <c:v>3.6371000000000001E-2</c:v>
                </c:pt>
                <c:pt idx="434">
                  <c:v>3.56E-2</c:v>
                </c:pt>
                <c:pt idx="435">
                  <c:v>3.5559E-2</c:v>
                </c:pt>
                <c:pt idx="436">
                  <c:v>3.7231E-2</c:v>
                </c:pt>
                <c:pt idx="437">
                  <c:v>3.8599000000000001E-2</c:v>
                </c:pt>
                <c:pt idx="438">
                  <c:v>3.7567999999999997E-2</c:v>
                </c:pt>
                <c:pt idx="439">
                  <c:v>3.8406000000000003E-2</c:v>
                </c:pt>
                <c:pt idx="440">
                  <c:v>3.9069E-2</c:v>
                </c:pt>
                <c:pt idx="441">
                  <c:v>3.8925000000000001E-2</c:v>
                </c:pt>
                <c:pt idx="442">
                  <c:v>4.2673000000000003E-2</c:v>
                </c:pt>
                <c:pt idx="443">
                  <c:v>4.1591000000000003E-2</c:v>
                </c:pt>
                <c:pt idx="444">
                  <c:v>3.7999999999999999E-2</c:v>
                </c:pt>
                <c:pt idx="445">
                  <c:v>3.8101000000000003E-2</c:v>
                </c:pt>
                <c:pt idx="446">
                  <c:v>3.6371000000000001E-2</c:v>
                </c:pt>
                <c:pt idx="447">
                  <c:v>3.7388999999999999E-2</c:v>
                </c:pt>
                <c:pt idx="448">
                  <c:v>3.3950000000000001E-2</c:v>
                </c:pt>
                <c:pt idx="449">
                  <c:v>3.1747999999999998E-2</c:v>
                </c:pt>
                <c:pt idx="450">
                  <c:v>3.09E-2</c:v>
                </c:pt>
                <c:pt idx="451">
                  <c:v>3.5298999999999997E-2</c:v>
                </c:pt>
                <c:pt idx="452">
                  <c:v>3.5589999999999997E-2</c:v>
                </c:pt>
                <c:pt idx="453">
                  <c:v>3.5403999999999998E-2</c:v>
                </c:pt>
                <c:pt idx="454">
                  <c:v>3.5666999999999997E-2</c:v>
                </c:pt>
                <c:pt idx="455">
                  <c:v>3.7442000000000003E-2</c:v>
                </c:pt>
                <c:pt idx="456">
                  <c:v>3.5184E-2</c:v>
                </c:pt>
                <c:pt idx="457">
                  <c:v>3.78E-2</c:v>
                </c:pt>
                <c:pt idx="458">
                  <c:v>3.7814E-2</c:v>
                </c:pt>
                <c:pt idx="459">
                  <c:v>3.9300000000000002E-2</c:v>
                </c:pt>
                <c:pt idx="460">
                  <c:v>4.0599999999999997E-2</c:v>
                </c:pt>
                <c:pt idx="461">
                  <c:v>3.9933999999999997E-2</c:v>
                </c:pt>
                <c:pt idx="462">
                  <c:v>3.9938000000000001E-2</c:v>
                </c:pt>
                <c:pt idx="463">
                  <c:v>3.8332999999999999E-2</c:v>
                </c:pt>
                <c:pt idx="464">
                  <c:v>3.8877000000000002E-2</c:v>
                </c:pt>
                <c:pt idx="465">
                  <c:v>4.0597000000000001E-2</c:v>
                </c:pt>
                <c:pt idx="466">
                  <c:v>4.2479999999999997E-2</c:v>
                </c:pt>
                <c:pt idx="467">
                  <c:v>4.3076000000000003E-2</c:v>
                </c:pt>
                <c:pt idx="468">
                  <c:v>4.3513999999999997E-2</c:v>
                </c:pt>
                <c:pt idx="469">
                  <c:v>4.4914999999999997E-2</c:v>
                </c:pt>
                <c:pt idx="470">
                  <c:v>4.5984999999999998E-2</c:v>
                </c:pt>
                <c:pt idx="471">
                  <c:v>4.6366999999999998E-2</c:v>
                </c:pt>
                <c:pt idx="472">
                  <c:v>4.7316999999999998E-2</c:v>
                </c:pt>
                <c:pt idx="473">
                  <c:v>4.8887E-2</c:v>
                </c:pt>
                <c:pt idx="474">
                  <c:v>4.5802000000000002E-2</c:v>
                </c:pt>
                <c:pt idx="475">
                  <c:v>4.9703999999999998E-2</c:v>
                </c:pt>
                <c:pt idx="476">
                  <c:v>4.7717000000000002E-2</c:v>
                </c:pt>
                <c:pt idx="477">
                  <c:v>4.5407000000000003E-2</c:v>
                </c:pt>
                <c:pt idx="478">
                  <c:v>4.6363000000000001E-2</c:v>
                </c:pt>
                <c:pt idx="479">
                  <c:v>5.0896999999999998E-2</c:v>
                </c:pt>
                <c:pt idx="480">
                  <c:v>4.8599999999999997E-2</c:v>
                </c:pt>
                <c:pt idx="481">
                  <c:v>4.5290999999999998E-2</c:v>
                </c:pt>
                <c:pt idx="482">
                  <c:v>4.0925000000000003E-2</c:v>
                </c:pt>
                <c:pt idx="483">
                  <c:v>4.2426999999999999E-2</c:v>
                </c:pt>
                <c:pt idx="484">
                  <c:v>4.6153E-2</c:v>
                </c:pt>
                <c:pt idx="485">
                  <c:v>4.3586E-2</c:v>
                </c:pt>
                <c:pt idx="486">
                  <c:v>4.1611000000000002E-2</c:v>
                </c:pt>
                <c:pt idx="487">
                  <c:v>4.3240000000000001E-2</c:v>
                </c:pt>
                <c:pt idx="488">
                  <c:v>4.6543000000000001E-2</c:v>
                </c:pt>
                <c:pt idx="489">
                  <c:v>4.8397000000000003E-2</c:v>
                </c:pt>
                <c:pt idx="490">
                  <c:v>4.7823999999999998E-2</c:v>
                </c:pt>
                <c:pt idx="491">
                  <c:v>4.2729000000000003E-2</c:v>
                </c:pt>
                <c:pt idx="492">
                  <c:v>4.3864E-2</c:v>
                </c:pt>
                <c:pt idx="493">
                  <c:v>3.8399999999999997E-2</c:v>
                </c:pt>
                <c:pt idx="494">
                  <c:v>4.2967999999999999E-2</c:v>
                </c:pt>
                <c:pt idx="495">
                  <c:v>4.7105000000000001E-2</c:v>
                </c:pt>
                <c:pt idx="496">
                  <c:v>4.3959999999999999E-2</c:v>
                </c:pt>
                <c:pt idx="497">
                  <c:v>4.3888999999999997E-2</c:v>
                </c:pt>
                <c:pt idx="498">
                  <c:v>4.4171000000000002E-2</c:v>
                </c:pt>
                <c:pt idx="499">
                  <c:v>4.2201000000000002E-2</c:v>
                </c:pt>
                <c:pt idx="500">
                  <c:v>4.6350000000000002E-2</c:v>
                </c:pt>
                <c:pt idx="501">
                  <c:v>4.3520999999999997E-2</c:v>
                </c:pt>
                <c:pt idx="502">
                  <c:v>4.9368000000000002E-2</c:v>
                </c:pt>
                <c:pt idx="503">
                  <c:v>5.151E-2</c:v>
                </c:pt>
                <c:pt idx="504">
                  <c:v>4.9487000000000003E-2</c:v>
                </c:pt>
                <c:pt idx="505">
                  <c:v>4.8208000000000001E-2</c:v>
                </c:pt>
                <c:pt idx="506">
                  <c:v>4.9600999999999999E-2</c:v>
                </c:pt>
                <c:pt idx="507">
                  <c:v>3.8955999999999998E-2</c:v>
                </c:pt>
                <c:pt idx="508">
                  <c:v>4.0948999999999999E-2</c:v>
                </c:pt>
                <c:pt idx="509">
                  <c:v>3.7526999999999998E-2</c:v>
                </c:pt>
                <c:pt idx="510">
                  <c:v>4.4868999999999999E-2</c:v>
                </c:pt>
                <c:pt idx="511">
                  <c:v>4.3680999999999998E-2</c:v>
                </c:pt>
                <c:pt idx="512">
                  <c:v>5.8299999999999998E-2</c:v>
                </c:pt>
                <c:pt idx="513">
                  <c:v>5.9798999999999998E-2</c:v>
                </c:pt>
                <c:pt idx="514">
                  <c:v>7.0004999999999998E-2</c:v>
                </c:pt>
                <c:pt idx="515">
                  <c:v>6.6653000000000004E-2</c:v>
                </c:pt>
                <c:pt idx="516">
                  <c:v>7.2766999999999998E-2</c:v>
                </c:pt>
                <c:pt idx="517">
                  <c:v>6.9975999999999997E-2</c:v>
                </c:pt>
                <c:pt idx="518">
                  <c:v>7.3953000000000005E-2</c:v>
                </c:pt>
                <c:pt idx="519">
                  <c:v>5.8570999999999998E-2</c:v>
                </c:pt>
                <c:pt idx="520">
                  <c:v>4.8002000000000003E-2</c:v>
                </c:pt>
                <c:pt idx="521">
                  <c:v>5.0735000000000002E-2</c:v>
                </c:pt>
                <c:pt idx="522">
                  <c:v>4.3610999999999997E-2</c:v>
                </c:pt>
                <c:pt idx="523">
                  <c:v>4.5973E-2</c:v>
                </c:pt>
                <c:pt idx="524">
                  <c:v>4.4249999999999998E-2</c:v>
                </c:pt>
                <c:pt idx="525">
                  <c:v>5.3483000000000003E-2</c:v>
                </c:pt>
                <c:pt idx="526">
                  <c:v>5.1942000000000002E-2</c:v>
                </c:pt>
                <c:pt idx="527">
                  <c:v>5.1631000000000003E-2</c:v>
                </c:pt>
                <c:pt idx="528">
                  <c:v>5.3811999999999999E-2</c:v>
                </c:pt>
                <c:pt idx="529">
                  <c:v>6.0852000000000003E-2</c:v>
                </c:pt>
                <c:pt idx="530">
                  <c:v>5.1101000000000001E-2</c:v>
                </c:pt>
                <c:pt idx="531">
                  <c:v>6.5997E-2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0-4E93-8FB6-554FD13FFAE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18.311177495534817</c:v>
                </c:pt>
                <c:pt idx="1">
                  <c:v>18.369136294639492</c:v>
                </c:pt>
                <c:pt idx="2">
                  <c:v>18.77215011225956</c:v>
                </c:pt>
                <c:pt idx="3">
                  <c:v>18.595852954156534</c:v>
                </c:pt>
                <c:pt idx="4">
                  <c:v>18.222773574080655</c:v>
                </c:pt>
                <c:pt idx="5">
                  <c:v>18.077685148669325</c:v>
                </c:pt>
                <c:pt idx="6">
                  <c:v>18.012243987096092</c:v>
                </c:pt>
                <c:pt idx="7">
                  <c:v>18.517436372028218</c:v>
                </c:pt>
                <c:pt idx="8">
                  <c:v>18.865696125435274</c:v>
                </c:pt>
                <c:pt idx="9">
                  <c:v>19.007862886741531</c:v>
                </c:pt>
                <c:pt idx="10">
                  <c:v>19.085257809280716</c:v>
                </c:pt>
                <c:pt idx="11">
                  <c:v>19.280418727568886</c:v>
                </c:pt>
                <c:pt idx="12">
                  <c:v>19.258114001415038</c:v>
                </c:pt>
                <c:pt idx="13">
                  <c:v>19.277609056023014</c:v>
                </c:pt>
                <c:pt idx="14">
                  <c:v>19.072877245471521</c:v>
                </c:pt>
                <c:pt idx="15">
                  <c:v>19.400579851059256</c:v>
                </c:pt>
                <c:pt idx="16">
                  <c:v>19.066701754588671</c:v>
                </c:pt>
                <c:pt idx="17">
                  <c:v>18.737130484308135</c:v>
                </c:pt>
                <c:pt idx="18">
                  <c:v>18.805805532211558</c:v>
                </c:pt>
                <c:pt idx="19">
                  <c:v>18.852096180613891</c:v>
                </c:pt>
                <c:pt idx="20">
                  <c:v>19.030208856371466</c:v>
                </c:pt>
                <c:pt idx="21">
                  <c:v>19.423292427493596</c:v>
                </c:pt>
                <c:pt idx="22">
                  <c:v>19.03149165555223</c:v>
                </c:pt>
                <c:pt idx="23">
                  <c:v>19.271784231574411</c:v>
                </c:pt>
                <c:pt idx="24">
                  <c:v>19.562034779794697</c:v>
                </c:pt>
                <c:pt idx="25">
                  <c:v>19.710392342064129</c:v>
                </c:pt>
                <c:pt idx="26">
                  <c:v>19.703188774797859</c:v>
                </c:pt>
                <c:pt idx="27">
                  <c:v>19.606540395698477</c:v>
                </c:pt>
                <c:pt idx="28">
                  <c:v>19.877665683494286</c:v>
                </c:pt>
                <c:pt idx="29">
                  <c:v>19.676872596321029</c:v>
                </c:pt>
                <c:pt idx="30">
                  <c:v>20.035950762852927</c:v>
                </c:pt>
                <c:pt idx="31">
                  <c:v>20.568280576024648</c:v>
                </c:pt>
                <c:pt idx="32">
                  <c:v>20.800002035093808</c:v>
                </c:pt>
                <c:pt idx="33">
                  <c:v>20.878742641282511</c:v>
                </c:pt>
                <c:pt idx="34">
                  <c:v>20.252335205942881</c:v>
                </c:pt>
                <c:pt idx="35">
                  <c:v>20.835839038862588</c:v>
                </c:pt>
                <c:pt idx="36">
                  <c:v>19.971749687678251</c:v>
                </c:pt>
                <c:pt idx="37">
                  <c:v>20.125369554074808</c:v>
                </c:pt>
                <c:pt idx="38">
                  <c:v>19.888400094367949</c:v>
                </c:pt>
                <c:pt idx="39">
                  <c:v>19.762849260637989</c:v>
                </c:pt>
                <c:pt idx="40">
                  <c:v>20.081580621708223</c:v>
                </c:pt>
                <c:pt idx="41">
                  <c:v>19.856334160311246</c:v>
                </c:pt>
                <c:pt idx="42">
                  <c:v>19.760479244441264</c:v>
                </c:pt>
                <c:pt idx="43">
                  <c:v>20.192920878296473</c:v>
                </c:pt>
                <c:pt idx="44">
                  <c:v>19.638700470568793</c:v>
                </c:pt>
                <c:pt idx="45">
                  <c:v>19.499859048943797</c:v>
                </c:pt>
                <c:pt idx="46">
                  <c:v>20.069727510777568</c:v>
                </c:pt>
                <c:pt idx="47">
                  <c:v>19.5190188965068</c:v>
                </c:pt>
                <c:pt idx="48">
                  <c:v>19.483884045169187</c:v>
                </c:pt>
                <c:pt idx="49">
                  <c:v>20.131773688346552</c:v>
                </c:pt>
                <c:pt idx="50">
                  <c:v>20.799636355724992</c:v>
                </c:pt>
                <c:pt idx="51">
                  <c:v>20.603869951785725</c:v>
                </c:pt>
                <c:pt idx="52">
                  <c:v>21.026666065290335</c:v>
                </c:pt>
                <c:pt idx="53">
                  <c:v>20.394858648075051</c:v>
                </c:pt>
                <c:pt idx="54">
                  <c:v>20.88211053849534</c:v>
                </c:pt>
                <c:pt idx="55">
                  <c:v>19.055790160592032</c:v>
                </c:pt>
                <c:pt idx="56">
                  <c:v>19.624660865275871</c:v>
                </c:pt>
                <c:pt idx="57">
                  <c:v>18.998612734102668</c:v>
                </c:pt>
                <c:pt idx="58">
                  <c:v>19.225642641442679</c:v>
                </c:pt>
                <c:pt idx="59">
                  <c:v>19.72807952542011</c:v>
                </c:pt>
                <c:pt idx="60">
                  <c:v>21.213644859247346</c:v>
                </c:pt>
                <c:pt idx="61">
                  <c:v>19.089965617713524</c:v>
                </c:pt>
                <c:pt idx="62">
                  <c:v>19.40141100061668</c:v>
                </c:pt>
                <c:pt idx="63">
                  <c:v>19.615244834926457</c:v>
                </c:pt>
                <c:pt idx="64">
                  <c:v>21.148447378029903</c:v>
                </c:pt>
                <c:pt idx="65">
                  <c:v>20.034744660542533</c:v>
                </c:pt>
                <c:pt idx="66">
                  <c:v>19.507951473226573</c:v>
                </c:pt>
                <c:pt idx="67">
                  <c:v>17.482615987899177</c:v>
                </c:pt>
                <c:pt idx="68">
                  <c:v>18.037534633545967</c:v>
                </c:pt>
                <c:pt idx="69">
                  <c:v>18.162590529816384</c:v>
                </c:pt>
                <c:pt idx="70">
                  <c:v>16.71663231723187</c:v>
                </c:pt>
                <c:pt idx="71">
                  <c:v>15.338306975507921</c:v>
                </c:pt>
                <c:pt idx="72">
                  <c:v>12.290997020774309</c:v>
                </c:pt>
                <c:pt idx="73">
                  <c:v>9.9069163442133448</c:v>
                </c:pt>
                <c:pt idx="74">
                  <c:v>10.233515541521555</c:v>
                </c:pt>
                <c:pt idx="75">
                  <c:v>10.409604408217872</c:v>
                </c:pt>
                <c:pt idx="76">
                  <c:v>11.242700216815551</c:v>
                </c:pt>
                <c:pt idx="77">
                  <c:v>11.044359639516601</c:v>
                </c:pt>
                <c:pt idx="78">
                  <c:v>10.968304639314454</c:v>
                </c:pt>
                <c:pt idx="79">
                  <c:v>11.401655829135571</c:v>
                </c:pt>
                <c:pt idx="80">
                  <c:v>12.08302655531153</c:v>
                </c:pt>
                <c:pt idx="81">
                  <c:v>12.382401626235096</c:v>
                </c:pt>
                <c:pt idx="82">
                  <c:v>12.234525225448097</c:v>
                </c:pt>
                <c:pt idx="83">
                  <c:v>12.159762890322318</c:v>
                </c:pt>
                <c:pt idx="84">
                  <c:v>12.663876353265776</c:v>
                </c:pt>
                <c:pt idx="85">
                  <c:v>14.457230231328079</c:v>
                </c:pt>
                <c:pt idx="86">
                  <c:v>12.583897699369682</c:v>
                </c:pt>
                <c:pt idx="87">
                  <c:v>7.0390143325434993</c:v>
                </c:pt>
                <c:pt idx="88">
                  <c:v>4.4065792002266031</c:v>
                </c:pt>
                <c:pt idx="89">
                  <c:v>10.017868653719757</c:v>
                </c:pt>
                <c:pt idx="90">
                  <c:v>8.8429881245670767</c:v>
                </c:pt>
                <c:pt idx="91">
                  <c:v>6.4985249746398539</c:v>
                </c:pt>
                <c:pt idx="92">
                  <c:v>5.4813475490139192</c:v>
                </c:pt>
                <c:pt idx="93">
                  <c:v>5.6860109170873132</c:v>
                </c:pt>
                <c:pt idx="94">
                  <c:v>5.7410311070336215</c:v>
                </c:pt>
                <c:pt idx="95">
                  <c:v>5.6392059376033652</c:v>
                </c:pt>
                <c:pt idx="96">
                  <c:v>5.4500139425777245</c:v>
                </c:pt>
                <c:pt idx="97">
                  <c:v>5.3596746448728059</c:v>
                </c:pt>
                <c:pt idx="98">
                  <c:v>5.3870428526733187</c:v>
                </c:pt>
                <c:pt idx="99">
                  <c:v>5.6099502062648678</c:v>
                </c:pt>
                <c:pt idx="100">
                  <c:v>5.4633231296725118</c:v>
                </c:pt>
                <c:pt idx="101">
                  <c:v>5.4432460332574166</c:v>
                </c:pt>
                <c:pt idx="102">
                  <c:v>5.4956367681990503</c:v>
                </c:pt>
                <c:pt idx="103">
                  <c:v>5.5527339587253666</c:v>
                </c:pt>
                <c:pt idx="104">
                  <c:v>5.475625651828814</c:v>
                </c:pt>
                <c:pt idx="105">
                  <c:v>5.5837179317298036</c:v>
                </c:pt>
                <c:pt idx="106">
                  <c:v>5.47132978728881</c:v>
                </c:pt>
                <c:pt idx="107">
                  <c:v>5.294237328771163</c:v>
                </c:pt>
                <c:pt idx="108">
                  <c:v>5.2312185865130987</c:v>
                </c:pt>
                <c:pt idx="109">
                  <c:v>5.2700569223909604</c:v>
                </c:pt>
                <c:pt idx="110">
                  <c:v>5.4108562665834006</c:v>
                </c:pt>
                <c:pt idx="111">
                  <c:v>5.2899556436667341</c:v>
                </c:pt>
                <c:pt idx="112">
                  <c:v>5.4824170158148817</c:v>
                </c:pt>
                <c:pt idx="113">
                  <c:v>5.4298720097420077</c:v>
                </c:pt>
                <c:pt idx="114">
                  <c:v>5.2489724754343143</c:v>
                </c:pt>
                <c:pt idx="115">
                  <c:v>5.1580121474737881</c:v>
                </c:pt>
                <c:pt idx="116">
                  <c:v>5.2449609883315764</c:v>
                </c:pt>
                <c:pt idx="117">
                  <c:v>4.7738271297232817</c:v>
                </c:pt>
                <c:pt idx="118">
                  <c:v>5.0721214724199095</c:v>
                </c:pt>
                <c:pt idx="119">
                  <c:v>4.3986823499874772</c:v>
                </c:pt>
                <c:pt idx="120">
                  <c:v>4.0540794601518604</c:v>
                </c:pt>
                <c:pt idx="121">
                  <c:v>4.1258131758937955</c:v>
                </c:pt>
                <c:pt idx="122">
                  <c:v>4.3323536454302189</c:v>
                </c:pt>
                <c:pt idx="123">
                  <c:v>4.5439834831902184</c:v>
                </c:pt>
                <c:pt idx="124">
                  <c:v>4.5221831600862652</c:v>
                </c:pt>
                <c:pt idx="125">
                  <c:v>4.5920103668038212</c:v>
                </c:pt>
                <c:pt idx="126">
                  <c:v>4.6449853447758498</c:v>
                </c:pt>
                <c:pt idx="127">
                  <c:v>4.4250850910160997</c:v>
                </c:pt>
                <c:pt idx="128">
                  <c:v>4.1055591091410992</c:v>
                </c:pt>
                <c:pt idx="129">
                  <c:v>4.4760519074421188</c:v>
                </c:pt>
                <c:pt idx="130">
                  <c:v>4.6451121863871414</c:v>
                </c:pt>
                <c:pt idx="131">
                  <c:v>4.7356645278416876</c:v>
                </c:pt>
                <c:pt idx="132">
                  <c:v>4.6866821110403398</c:v>
                </c:pt>
                <c:pt idx="133">
                  <c:v>4.8596140145109281</c:v>
                </c:pt>
                <c:pt idx="134">
                  <c:v>4.711644067923249</c:v>
                </c:pt>
                <c:pt idx="135">
                  <c:v>4.5650767210939822</c:v>
                </c:pt>
                <c:pt idx="136">
                  <c:v>4.3440667560672441</c:v>
                </c:pt>
                <c:pt idx="137">
                  <c:v>4.4378978741660333</c:v>
                </c:pt>
                <c:pt idx="138">
                  <c:v>4.4433049588783602</c:v>
                </c:pt>
                <c:pt idx="139">
                  <c:v>4.3445527390194538</c:v>
                </c:pt>
                <c:pt idx="140">
                  <c:v>4.6303663708505498</c:v>
                </c:pt>
                <c:pt idx="141">
                  <c:v>3.9890090659416169</c:v>
                </c:pt>
                <c:pt idx="142">
                  <c:v>3.5433740567132799</c:v>
                </c:pt>
                <c:pt idx="143">
                  <c:v>3.9129392750856651</c:v>
                </c:pt>
                <c:pt idx="144">
                  <c:v>3.8161417462586256</c:v>
                </c:pt>
                <c:pt idx="145">
                  <c:v>3.9285174592508731</c:v>
                </c:pt>
                <c:pt idx="146">
                  <c:v>4.7329538108201037</c:v>
                </c:pt>
                <c:pt idx="147">
                  <c:v>4.3365525741867241</c:v>
                </c:pt>
                <c:pt idx="148">
                  <c:v>4.6155197109386741</c:v>
                </c:pt>
                <c:pt idx="149">
                  <c:v>5.0858869067328794</c:v>
                </c:pt>
                <c:pt idx="150">
                  <c:v>4.8520233636036272</c:v>
                </c:pt>
                <c:pt idx="151">
                  <c:v>7.7567335634788277</c:v>
                </c:pt>
                <c:pt idx="152">
                  <c:v>4.7989398286824168</c:v>
                </c:pt>
                <c:pt idx="153">
                  <c:v>4.6373252801803577</c:v>
                </c:pt>
                <c:pt idx="154">
                  <c:v>3.6728456359316506</c:v>
                </c:pt>
                <c:pt idx="155">
                  <c:v>6.7919757097233386</c:v>
                </c:pt>
                <c:pt idx="156">
                  <c:v>5.0371488061859475</c:v>
                </c:pt>
                <c:pt idx="157">
                  <c:v>5.3897113518474606</c:v>
                </c:pt>
                <c:pt idx="158">
                  <c:v>5.1360666506715074</c:v>
                </c:pt>
                <c:pt idx="159">
                  <c:v>5.3194770820988513</c:v>
                </c:pt>
                <c:pt idx="160">
                  <c:v>5.4471663971398394</c:v>
                </c:pt>
                <c:pt idx="161">
                  <c:v>5.1874071673374553</c:v>
                </c:pt>
                <c:pt idx="162">
                  <c:v>4.737925421674805</c:v>
                </c:pt>
                <c:pt idx="163">
                  <c:v>4.8093975460989302</c:v>
                </c:pt>
                <c:pt idx="164">
                  <c:v>5.1785886348748589</c:v>
                </c:pt>
                <c:pt idx="165">
                  <c:v>5.8743511231514542</c:v>
                </c:pt>
                <c:pt idx="166">
                  <c:v>5.7262788816880077</c:v>
                </c:pt>
                <c:pt idx="167">
                  <c:v>5.8387212503024264</c:v>
                </c:pt>
                <c:pt idx="168">
                  <c:v>5.4672889103259132</c:v>
                </c:pt>
                <c:pt idx="169">
                  <c:v>5.7384015746532597</c:v>
                </c:pt>
                <c:pt idx="170">
                  <c:v>6.2826644713434039</c:v>
                </c:pt>
                <c:pt idx="171">
                  <c:v>6.0154258150760533</c:v>
                </c:pt>
                <c:pt idx="172">
                  <c:v>5.7880366614161263</c:v>
                </c:pt>
                <c:pt idx="173">
                  <c:v>6.1544302487650038</c:v>
                </c:pt>
                <c:pt idx="174">
                  <c:v>5.9956486869697585</c:v>
                </c:pt>
                <c:pt idx="175">
                  <c:v>5.9200778082976138</c:v>
                </c:pt>
                <c:pt idx="176">
                  <c:v>5.8064162960918972</c:v>
                </c:pt>
                <c:pt idx="177">
                  <c:v>5.2355264845848257</c:v>
                </c:pt>
                <c:pt idx="178">
                  <c:v>5.3135368341662206</c:v>
                </c:pt>
                <c:pt idx="179">
                  <c:v>5.4789897278886786</c:v>
                </c:pt>
                <c:pt idx="180">
                  <c:v>5.9019521380405822</c:v>
                </c:pt>
                <c:pt idx="181">
                  <c:v>6.2268681957711838</c:v>
                </c:pt>
                <c:pt idx="182">
                  <c:v>5.9116396258824979</c:v>
                </c:pt>
                <c:pt idx="183">
                  <c:v>6.1022084792994864</c:v>
                </c:pt>
                <c:pt idx="184">
                  <c:v>6.8061855542005469</c:v>
                </c:pt>
                <c:pt idx="185">
                  <c:v>6.4601193261911511</c:v>
                </c:pt>
                <c:pt idx="186">
                  <c:v>7.0176406866067209</c:v>
                </c:pt>
                <c:pt idx="187">
                  <c:v>6.1007919955525258</c:v>
                </c:pt>
                <c:pt idx="188">
                  <c:v>6.2940336884360653</c:v>
                </c:pt>
                <c:pt idx="189">
                  <c:v>4.4598106097582173</c:v>
                </c:pt>
                <c:pt idx="190">
                  <c:v>4.0414202775990704</c:v>
                </c:pt>
                <c:pt idx="191">
                  <c:v>2.9717638522302248</c:v>
                </c:pt>
                <c:pt idx="192">
                  <c:v>3.3425318463130287</c:v>
                </c:pt>
                <c:pt idx="193">
                  <c:v>3.6588829293052672</c:v>
                </c:pt>
                <c:pt idx="194">
                  <c:v>3.679289959663119</c:v>
                </c:pt>
                <c:pt idx="195">
                  <c:v>3.9879235363665653</c:v>
                </c:pt>
                <c:pt idx="196">
                  <c:v>5.368118865590322</c:v>
                </c:pt>
                <c:pt idx="197">
                  <c:v>8.2324494554643231</c:v>
                </c:pt>
                <c:pt idx="198">
                  <c:v>5.696715394148633</c:v>
                </c:pt>
                <c:pt idx="199">
                  <c:v>5.8924520099135425</c:v>
                </c:pt>
                <c:pt idx="200">
                  <c:v>6.7737761571123292</c:v>
                </c:pt>
                <c:pt idx="201">
                  <c:v>6.3626817739054697</c:v>
                </c:pt>
                <c:pt idx="202">
                  <c:v>7.0654741091323272</c:v>
                </c:pt>
                <c:pt idx="203">
                  <c:v>5.1312802270312314</c:v>
                </c:pt>
                <c:pt idx="204">
                  <c:v>6.9149099569529211</c:v>
                </c:pt>
                <c:pt idx="205">
                  <c:v>6.0870805249816895</c:v>
                </c:pt>
                <c:pt idx="206">
                  <c:v>5.8769809955554599</c:v>
                </c:pt>
                <c:pt idx="207">
                  <c:v>6.0602797719437307</c:v>
                </c:pt>
                <c:pt idx="208">
                  <c:v>6.1291641571283693</c:v>
                </c:pt>
                <c:pt idx="209">
                  <c:v>5.9213101552508833</c:v>
                </c:pt>
                <c:pt idx="210">
                  <c:v>5.8529783659175498</c:v>
                </c:pt>
                <c:pt idx="211">
                  <c:v>6.0433279875199082</c:v>
                </c:pt>
                <c:pt idx="212">
                  <c:v>5.581026819347926</c:v>
                </c:pt>
                <c:pt idx="213">
                  <c:v>5.2925375956322069</c:v>
                </c:pt>
                <c:pt idx="214">
                  <c:v>5.1685204016171582</c:v>
                </c:pt>
                <c:pt idx="215">
                  <c:v>5.022872492274546</c:v>
                </c:pt>
                <c:pt idx="216">
                  <c:v>4.9413342963654552</c:v>
                </c:pt>
                <c:pt idx="217">
                  <c:v>5.2349514533308819</c:v>
                </c:pt>
                <c:pt idx="218">
                  <c:v>5.0733858804847287</c:v>
                </c:pt>
                <c:pt idx="219">
                  <c:v>4.951143097833107</c:v>
                </c:pt>
                <c:pt idx="220">
                  <c:v>4.8495271431664406</c:v>
                </c:pt>
                <c:pt idx="221">
                  <c:v>5.2548375415380066</c:v>
                </c:pt>
                <c:pt idx="222">
                  <c:v>5.2094555378866305</c:v>
                </c:pt>
                <c:pt idx="223">
                  <c:v>5.3081861224507341</c:v>
                </c:pt>
                <c:pt idx="224">
                  <c:v>5.3213891190512435</c:v>
                </c:pt>
                <c:pt idx="225">
                  <c:v>5.3981654443302052</c:v>
                </c:pt>
                <c:pt idx="226">
                  <c:v>5.7223873002638861</c:v>
                </c:pt>
                <c:pt idx="227">
                  <c:v>5.5832260286240905</c:v>
                </c:pt>
                <c:pt idx="228">
                  <c:v>5.3657037611712264</c:v>
                </c:pt>
                <c:pt idx="229">
                  <c:v>5.1839600944189774</c:v>
                </c:pt>
                <c:pt idx="230">
                  <c:v>5.527095264037249</c:v>
                </c:pt>
                <c:pt idx="231">
                  <c:v>5.6868414299463401</c:v>
                </c:pt>
                <c:pt idx="232">
                  <c:v>5.5162857168534369</c:v>
                </c:pt>
                <c:pt idx="233">
                  <c:v>5.2417142852536438</c:v>
                </c:pt>
                <c:pt idx="234">
                  <c:v>5.1669387790524963</c:v>
                </c:pt>
                <c:pt idx="235">
                  <c:v>5.2999912080122504</c:v>
                </c:pt>
                <c:pt idx="236">
                  <c:v>5.2736049893620605</c:v>
                </c:pt>
                <c:pt idx="237">
                  <c:v>5.3763528928574731</c:v>
                </c:pt>
                <c:pt idx="238">
                  <c:v>5.428261509414142</c:v>
                </c:pt>
                <c:pt idx="239">
                  <c:v>5.1348731619330072</c:v>
                </c:pt>
                <c:pt idx="240">
                  <c:v>5.0100466702767577</c:v>
                </c:pt>
                <c:pt idx="241">
                  <c:v>4.9863171616106436</c:v>
                </c:pt>
                <c:pt idx="242">
                  <c:v>4.7051602172727769</c:v>
                </c:pt>
                <c:pt idx="243">
                  <c:v>4.6201705562536688</c:v>
                </c:pt>
                <c:pt idx="244">
                  <c:v>4.7046843149806117</c:v>
                </c:pt>
                <c:pt idx="245">
                  <c:v>4.8527843455967252</c:v>
                </c:pt>
                <c:pt idx="246">
                  <c:v>5.1562642645783772</c:v>
                </c:pt>
                <c:pt idx="247">
                  <c:v>4.5380465345517207</c:v>
                </c:pt>
                <c:pt idx="248">
                  <c:v>4.507341954794196</c:v>
                </c:pt>
                <c:pt idx="249">
                  <c:v>3.6978851772597414</c:v>
                </c:pt>
                <c:pt idx="250">
                  <c:v>5.0788122667181019</c:v>
                </c:pt>
                <c:pt idx="251">
                  <c:v>2.6325557525759105</c:v>
                </c:pt>
                <c:pt idx="252">
                  <c:v>2.6704090266385387</c:v>
                </c:pt>
                <c:pt idx="253">
                  <c:v>2.0884047043397334</c:v>
                </c:pt>
                <c:pt idx="254">
                  <c:v>2.4183174760744053</c:v>
                </c:pt>
                <c:pt idx="255">
                  <c:v>2.4625363663093696</c:v>
                </c:pt>
                <c:pt idx="256">
                  <c:v>2.6641787400462111</c:v>
                </c:pt>
                <c:pt idx="257">
                  <c:v>2.8180712883264389</c:v>
                </c:pt>
                <c:pt idx="258">
                  <c:v>3.4805257444272648</c:v>
                </c:pt>
                <c:pt idx="259">
                  <c:v>3.4101199826782267</c:v>
                </c:pt>
                <c:pt idx="260">
                  <c:v>3.3447742538875742</c:v>
                </c:pt>
                <c:pt idx="261">
                  <c:v>3.6260725984566999</c:v>
                </c:pt>
                <c:pt idx="262">
                  <c:v>3.4409159440778572</c:v>
                </c:pt>
                <c:pt idx="263">
                  <c:v>3.5883312697168304</c:v>
                </c:pt>
                <c:pt idx="264">
                  <c:v>3.4203873533657356</c:v>
                </c:pt>
                <c:pt idx="265">
                  <c:v>3.5276161815751337</c:v>
                </c:pt>
                <c:pt idx="266">
                  <c:v>3.5713063684122637</c:v>
                </c:pt>
                <c:pt idx="267">
                  <c:v>3.6640548467302221</c:v>
                </c:pt>
                <c:pt idx="268">
                  <c:v>3.479294904344421</c:v>
                </c:pt>
                <c:pt idx="269">
                  <c:v>4.8818802195377122</c:v>
                </c:pt>
                <c:pt idx="270">
                  <c:v>4.4812507268771613</c:v>
                </c:pt>
                <c:pt idx="271">
                  <c:v>4.474027737216236</c:v>
                </c:pt>
                <c:pt idx="272">
                  <c:v>4.5521365693491687</c:v>
                </c:pt>
                <c:pt idx="273">
                  <c:v>4.2183048325663366</c:v>
                </c:pt>
                <c:pt idx="274">
                  <c:v>4.3290417392777476</c:v>
                </c:pt>
                <c:pt idx="275">
                  <c:v>3.979575834592584</c:v>
                </c:pt>
                <c:pt idx="276">
                  <c:v>3.8143278737177231</c:v>
                </c:pt>
                <c:pt idx="277">
                  <c:v>3.4796412990146512</c:v>
                </c:pt>
                <c:pt idx="278">
                  <c:v>3.5218236480184482</c:v>
                </c:pt>
                <c:pt idx="279">
                  <c:v>3.5851923136506798</c:v>
                </c:pt>
                <c:pt idx="280">
                  <c:v>3.1394541414891095</c:v>
                </c:pt>
                <c:pt idx="281">
                  <c:v>3.5376420284451053</c:v>
                </c:pt>
                <c:pt idx="282">
                  <c:v>3.8849698506469994</c:v>
                </c:pt>
                <c:pt idx="283">
                  <c:v>3.520274905619619</c:v>
                </c:pt>
                <c:pt idx="284">
                  <c:v>3.761938817972649</c:v>
                </c:pt>
                <c:pt idx="285">
                  <c:v>3.7863089299140693</c:v>
                </c:pt>
                <c:pt idx="286">
                  <c:v>3.9789390916630074</c:v>
                </c:pt>
                <c:pt idx="287">
                  <c:v>3.5420892445367884</c:v>
                </c:pt>
                <c:pt idx="288">
                  <c:v>3.4412047422783432</c:v>
                </c:pt>
                <c:pt idx="289">
                  <c:v>3.4143859020442844</c:v>
                </c:pt>
                <c:pt idx="290">
                  <c:v>3.5184957710783129</c:v>
                </c:pt>
                <c:pt idx="291">
                  <c:v>3.2997515673505968</c:v>
                </c:pt>
                <c:pt idx="292">
                  <c:v>3.3522184575892946</c:v>
                </c:pt>
                <c:pt idx="293">
                  <c:v>3.4148609385825659</c:v>
                </c:pt>
                <c:pt idx="294">
                  <c:v>3.5333304450549217</c:v>
                </c:pt>
                <c:pt idx="295">
                  <c:v>3.1205955308903022</c:v>
                </c:pt>
                <c:pt idx="296">
                  <c:v>2.5935187815994878</c:v>
                </c:pt>
                <c:pt idx="297">
                  <c:v>2.6759184031549825</c:v>
                </c:pt>
                <c:pt idx="298">
                  <c:v>3.2026370254190257</c:v>
                </c:pt>
                <c:pt idx="299">
                  <c:v>3.0680055802992738</c:v>
                </c:pt>
                <c:pt idx="300">
                  <c:v>3.4933606316529291</c:v>
                </c:pt>
                <c:pt idx="301">
                  <c:v>3.2990803272591234</c:v>
                </c:pt>
                <c:pt idx="302">
                  <c:v>3.5795749056581139</c:v>
                </c:pt>
                <c:pt idx="303">
                  <c:v>3.4085687988515003</c:v>
                </c:pt>
                <c:pt idx="304">
                  <c:v>3.2357133562017144</c:v>
                </c:pt>
                <c:pt idx="305">
                  <c:v>3.6097467179003671</c:v>
                </c:pt>
                <c:pt idx="306">
                  <c:v>3.3430525051435165</c:v>
                </c:pt>
                <c:pt idx="307">
                  <c:v>2.5855346166007234</c:v>
                </c:pt>
                <c:pt idx="308">
                  <c:v>2.1203280914510709</c:v>
                </c:pt>
                <c:pt idx="309">
                  <c:v>1.7883575306450137</c:v>
                </c:pt>
                <c:pt idx="310">
                  <c:v>2.520287612861579</c:v>
                </c:pt>
                <c:pt idx="311">
                  <c:v>2.2308979476168687</c:v>
                </c:pt>
                <c:pt idx="312">
                  <c:v>2.5368001314575168</c:v>
                </c:pt>
                <c:pt idx="313">
                  <c:v>2.5562241755771509</c:v>
                </c:pt>
                <c:pt idx="314">
                  <c:v>3.0747435201811135</c:v>
                </c:pt>
                <c:pt idx="315">
                  <c:v>3.1211124226549178</c:v>
                </c:pt>
                <c:pt idx="316">
                  <c:v>3.2213730161141432</c:v>
                </c:pt>
                <c:pt idx="317">
                  <c:v>2.5505352505253724</c:v>
                </c:pt>
                <c:pt idx="318">
                  <c:v>2.97067356136156</c:v>
                </c:pt>
                <c:pt idx="319">
                  <c:v>2.8937760801306176</c:v>
                </c:pt>
                <c:pt idx="320">
                  <c:v>3.3382151106779481</c:v>
                </c:pt>
                <c:pt idx="321">
                  <c:v>3.1492915197145379</c:v>
                </c:pt>
                <c:pt idx="322">
                  <c:v>2.194921907101369</c:v>
                </c:pt>
                <c:pt idx="323">
                  <c:v>1.924316106393275</c:v>
                </c:pt>
                <c:pt idx="324">
                  <c:v>2.1056290297477824</c:v>
                </c:pt>
                <c:pt idx="325">
                  <c:v>1.984469427735287</c:v>
                </c:pt>
                <c:pt idx="326">
                  <c:v>1.2514535421283126</c:v>
                </c:pt>
                <c:pt idx="327">
                  <c:v>0.74206073189175559</c:v>
                </c:pt>
                <c:pt idx="328">
                  <c:v>0.72441137946279432</c:v>
                </c:pt>
                <c:pt idx="329">
                  <c:v>2.1612298293173025</c:v>
                </c:pt>
                <c:pt idx="330">
                  <c:v>2.3698418089172208</c:v>
                </c:pt>
                <c:pt idx="331">
                  <c:v>1.6441601465627167</c:v>
                </c:pt>
                <c:pt idx="332">
                  <c:v>1.5004698359508049</c:v>
                </c:pt>
                <c:pt idx="333">
                  <c:v>1.1502074926486348</c:v>
                </c:pt>
                <c:pt idx="334">
                  <c:v>1.3445307782673523</c:v>
                </c:pt>
                <c:pt idx="335">
                  <c:v>1.398811438432239</c:v>
                </c:pt>
                <c:pt idx="336">
                  <c:v>1.3087621546878994</c:v>
                </c:pt>
                <c:pt idx="337">
                  <c:v>1.6817661138704241</c:v>
                </c:pt>
                <c:pt idx="338">
                  <c:v>1.5864063988478456</c:v>
                </c:pt>
                <c:pt idx="339">
                  <c:v>1.8786169253087037</c:v>
                </c:pt>
                <c:pt idx="340">
                  <c:v>1.2795564922206819</c:v>
                </c:pt>
                <c:pt idx="341">
                  <c:v>1.228376739698388</c:v>
                </c:pt>
                <c:pt idx="342">
                  <c:v>1.326645312281753</c:v>
                </c:pt>
                <c:pt idx="343">
                  <c:v>1.0934251726884905</c:v>
                </c:pt>
                <c:pt idx="344">
                  <c:v>-0.49102258953038247</c:v>
                </c:pt>
                <c:pt idx="345">
                  <c:v>-0.79408015274942201</c:v>
                </c:pt>
                <c:pt idx="346">
                  <c:v>-0.73907396154142824</c:v>
                </c:pt>
                <c:pt idx="347">
                  <c:v>-1.0007972364207791</c:v>
                </c:pt>
                <c:pt idx="348">
                  <c:v>-3.283811486392028</c:v>
                </c:pt>
                <c:pt idx="349">
                  <c:v>-4.4847296221629946</c:v>
                </c:pt>
                <c:pt idx="350">
                  <c:v>-4.7873341805437644</c:v>
                </c:pt>
                <c:pt idx="351">
                  <c:v>-4.9764127315735749</c:v>
                </c:pt>
                <c:pt idx="352">
                  <c:v>-4.9580712445402426</c:v>
                </c:pt>
                <c:pt idx="353">
                  <c:v>-5.0523314218589928</c:v>
                </c:pt>
                <c:pt idx="354">
                  <c:v>-5.8164726147953116</c:v>
                </c:pt>
                <c:pt idx="355">
                  <c:v>-6.3465920872272976</c:v>
                </c:pt>
                <c:pt idx="356">
                  <c:v>-6.0311457421459824</c:v>
                </c:pt>
                <c:pt idx="357">
                  <c:v>-7.9738494752429414</c:v>
                </c:pt>
                <c:pt idx="358">
                  <c:v>-6.2995628123460339</c:v>
                </c:pt>
                <c:pt idx="359">
                  <c:v>-6.7508715220163413</c:v>
                </c:pt>
                <c:pt idx="360">
                  <c:v>-7.3308181384565376</c:v>
                </c:pt>
                <c:pt idx="361">
                  <c:v>-7.4796441749901792</c:v>
                </c:pt>
                <c:pt idx="362">
                  <c:v>-7.1910506274647616</c:v>
                </c:pt>
                <c:pt idx="363">
                  <c:v>-7.0133758608530465</c:v>
                </c:pt>
                <c:pt idx="364">
                  <c:v>-6.714973877772155</c:v>
                </c:pt>
                <c:pt idx="365">
                  <c:v>-7.2694807941270572</c:v>
                </c:pt>
                <c:pt idx="366">
                  <c:v>-6.8201760424603917</c:v>
                </c:pt>
                <c:pt idx="367">
                  <c:v>-6.8558385173422165</c:v>
                </c:pt>
                <c:pt idx="368">
                  <c:v>-6.45325837857213</c:v>
                </c:pt>
                <c:pt idx="369">
                  <c:v>-6.2581978708170283</c:v>
                </c:pt>
                <c:pt idx="370">
                  <c:v>-5.9718372449442327</c:v>
                </c:pt>
                <c:pt idx="371">
                  <c:v>-6.3786244501327385</c:v>
                </c:pt>
                <c:pt idx="372">
                  <c:v>-7.1090974597219683</c:v>
                </c:pt>
                <c:pt idx="373">
                  <c:v>-7.0480380738138129</c:v>
                </c:pt>
                <c:pt idx="374">
                  <c:v>-7.0057614166895901</c:v>
                </c:pt>
                <c:pt idx="375">
                  <c:v>-7.1737911966280512</c:v>
                </c:pt>
                <c:pt idx="376">
                  <c:v>-8.0331468202036103</c:v>
                </c:pt>
                <c:pt idx="377">
                  <c:v>-7.8377266986034311</c:v>
                </c:pt>
                <c:pt idx="378">
                  <c:v>-8.0192108878159178</c:v>
                </c:pt>
                <c:pt idx="379">
                  <c:v>-8.0325435778159182</c:v>
                </c:pt>
                <c:pt idx="380">
                  <c:v>-8.2173486983964814</c:v>
                </c:pt>
                <c:pt idx="381">
                  <c:v>-8.1036776026828381</c:v>
                </c:pt>
                <c:pt idx="382">
                  <c:v>-8.3768907174878997</c:v>
                </c:pt>
                <c:pt idx="383">
                  <c:v>-8.1844886142545388</c:v>
                </c:pt>
                <c:pt idx="384">
                  <c:v>-8.4098634734950899</c:v>
                </c:pt>
                <c:pt idx="385">
                  <c:v>-8.2618084521177817</c:v>
                </c:pt>
                <c:pt idx="386">
                  <c:v>-8.1662779475286662</c:v>
                </c:pt>
                <c:pt idx="387">
                  <c:v>-8.2606255112592528</c:v>
                </c:pt>
                <c:pt idx="388">
                  <c:v>-8.1936148722592534</c:v>
                </c:pt>
                <c:pt idx="389">
                  <c:v>-8.305143332537515</c:v>
                </c:pt>
                <c:pt idx="390">
                  <c:v>-8.6018183590157182</c:v>
                </c:pt>
                <c:pt idx="391">
                  <c:v>-8.6256898831983495</c:v>
                </c:pt>
                <c:pt idx="392">
                  <c:v>-8.6163732969102949</c:v>
                </c:pt>
                <c:pt idx="393">
                  <c:v>-8.7101498806829056</c:v>
                </c:pt>
                <c:pt idx="394">
                  <c:v>-8.5779269027333793</c:v>
                </c:pt>
                <c:pt idx="395">
                  <c:v>-8.546292572031625</c:v>
                </c:pt>
                <c:pt idx="396">
                  <c:v>-8.322151420298292</c:v>
                </c:pt>
                <c:pt idx="397">
                  <c:v>-8.3843958097736255</c:v>
                </c:pt>
                <c:pt idx="398">
                  <c:v>-8.2229792815531351</c:v>
                </c:pt>
                <c:pt idx="399">
                  <c:v>-8.0797754333732836</c:v>
                </c:pt>
                <c:pt idx="400">
                  <c:v>-8.4347931049225249</c:v>
                </c:pt>
                <c:pt idx="401">
                  <c:v>-8.0934127301481933</c:v>
                </c:pt>
                <c:pt idx="402">
                  <c:v>-8.2620165656831279</c:v>
                </c:pt>
                <c:pt idx="403">
                  <c:v>-8.1674567759514289</c:v>
                </c:pt>
                <c:pt idx="404">
                  <c:v>-7.4656939084613541</c:v>
                </c:pt>
                <c:pt idx="405">
                  <c:v>-7.6122596396063162</c:v>
                </c:pt>
                <c:pt idx="406">
                  <c:v>-7.9096187702374454</c:v>
                </c:pt>
                <c:pt idx="407">
                  <c:v>-7.5090348117903156</c:v>
                </c:pt>
                <c:pt idx="408">
                  <c:v>-7.7142717889440755</c:v>
                </c:pt>
                <c:pt idx="409">
                  <c:v>-7.9922199205142341</c:v>
                </c:pt>
                <c:pt idx="410">
                  <c:v>-8.005241085671237</c:v>
                </c:pt>
                <c:pt idx="411">
                  <c:v>-8.0478663517012361</c:v>
                </c:pt>
                <c:pt idx="412">
                  <c:v>-8.0145872117693386</c:v>
                </c:pt>
                <c:pt idx="413">
                  <c:v>-7.4587175502201646</c:v>
                </c:pt>
                <c:pt idx="414">
                  <c:v>-7.5105988241174622</c:v>
                </c:pt>
                <c:pt idx="415">
                  <c:v>-8.2242770846977731</c:v>
                </c:pt>
                <c:pt idx="416">
                  <c:v>-7.8348626312879484</c:v>
                </c:pt>
                <c:pt idx="417">
                  <c:v>-7.8966066301295816</c:v>
                </c:pt>
                <c:pt idx="418">
                  <c:v>-7.8420958449846543</c:v>
                </c:pt>
                <c:pt idx="419">
                  <c:v>-7.951405770161089</c:v>
                </c:pt>
                <c:pt idx="420">
                  <c:v>-7.7063798141940421</c:v>
                </c:pt>
                <c:pt idx="421">
                  <c:v>-7.6768743009081932</c:v>
                </c:pt>
                <c:pt idx="422">
                  <c:v>-7.7346856215319901</c:v>
                </c:pt>
                <c:pt idx="423">
                  <c:v>-7.7203168338099619</c:v>
                </c:pt>
                <c:pt idx="424">
                  <c:v>-7.8901409792809689</c:v>
                </c:pt>
                <c:pt idx="425">
                  <c:v>-8.0379995747285751</c:v>
                </c:pt>
                <c:pt idx="426">
                  <c:v>-7.9968595365278823</c:v>
                </c:pt>
                <c:pt idx="427">
                  <c:v>-8.2499805895085245</c:v>
                </c:pt>
                <c:pt idx="428">
                  <c:v>-8.1618697624799541</c:v>
                </c:pt>
                <c:pt idx="429">
                  <c:v>-7.775184904226367</c:v>
                </c:pt>
                <c:pt idx="430">
                  <c:v>-6.987680690479106</c:v>
                </c:pt>
                <c:pt idx="431">
                  <c:v>-6.063819302457822</c:v>
                </c:pt>
                <c:pt idx="432">
                  <c:v>-6.5133765941666919</c:v>
                </c:pt>
                <c:pt idx="433">
                  <c:v>-6.7283537990364888</c:v>
                </c:pt>
                <c:pt idx="434">
                  <c:v>-6.6677450557286493</c:v>
                </c:pt>
                <c:pt idx="435">
                  <c:v>-6.5659756947963368</c:v>
                </c:pt>
                <c:pt idx="436">
                  <c:v>-6.5402147019575754</c:v>
                </c:pt>
                <c:pt idx="437">
                  <c:v>-6.4379919528232561</c:v>
                </c:pt>
                <c:pt idx="438">
                  <c:v>-6.5292560582532566</c:v>
                </c:pt>
                <c:pt idx="439">
                  <c:v>-6.251431594327415</c:v>
                </c:pt>
                <c:pt idx="440">
                  <c:v>-6.2570595425167159</c:v>
                </c:pt>
                <c:pt idx="441">
                  <c:v>-5.9123730692670797</c:v>
                </c:pt>
                <c:pt idx="442">
                  <c:v>-4.4198875644938997</c:v>
                </c:pt>
                <c:pt idx="443">
                  <c:v>-4.5417628494092916</c:v>
                </c:pt>
                <c:pt idx="444">
                  <c:v>-4.7644112303152673</c:v>
                </c:pt>
                <c:pt idx="445">
                  <c:v>-4.7710069890332161</c:v>
                </c:pt>
                <c:pt idx="446">
                  <c:v>-4.9044378849062769</c:v>
                </c:pt>
                <c:pt idx="447">
                  <c:v>-4.7375195871415707</c:v>
                </c:pt>
                <c:pt idx="448">
                  <c:v>-4.888905424905337</c:v>
                </c:pt>
                <c:pt idx="449">
                  <c:v>-4.7561460948663701</c:v>
                </c:pt>
                <c:pt idx="450">
                  <c:v>-5.0510278860528093</c:v>
                </c:pt>
                <c:pt idx="451">
                  <c:v>-4.8277136040090278</c:v>
                </c:pt>
                <c:pt idx="452">
                  <c:v>-4.8726064415724792</c:v>
                </c:pt>
                <c:pt idx="453">
                  <c:v>-4.8825109654699146</c:v>
                </c:pt>
                <c:pt idx="454">
                  <c:v>-4.8500942835979153</c:v>
                </c:pt>
                <c:pt idx="455">
                  <c:v>-4.7320625129392555</c:v>
                </c:pt>
                <c:pt idx="456">
                  <c:v>-4.8710090299488815</c:v>
                </c:pt>
                <c:pt idx="457">
                  <c:v>-4.6693458411599531</c:v>
                </c:pt>
                <c:pt idx="458">
                  <c:v>-4.573699802215363</c:v>
                </c:pt>
                <c:pt idx="459">
                  <c:v>-4.3609374859584467</c:v>
                </c:pt>
                <c:pt idx="460">
                  <c:v>-4.3082771529090689</c:v>
                </c:pt>
                <c:pt idx="461">
                  <c:v>-4.2351821831506697</c:v>
                </c:pt>
                <c:pt idx="462">
                  <c:v>-4.0598130683356795</c:v>
                </c:pt>
                <c:pt idx="463">
                  <c:v>-4.0519933919578186</c:v>
                </c:pt>
                <c:pt idx="464">
                  <c:v>-4.1140600835550618</c:v>
                </c:pt>
                <c:pt idx="465">
                  <c:v>-3.9746708858198154</c:v>
                </c:pt>
                <c:pt idx="466">
                  <c:v>-3.6906962264333854</c:v>
                </c:pt>
                <c:pt idx="467">
                  <c:v>-3.6276742913587579</c:v>
                </c:pt>
                <c:pt idx="468">
                  <c:v>-3.5807444654976956</c:v>
                </c:pt>
                <c:pt idx="469">
                  <c:v>-3.6595084236959776</c:v>
                </c:pt>
                <c:pt idx="470">
                  <c:v>-3.6370561533794032</c:v>
                </c:pt>
                <c:pt idx="471">
                  <c:v>-3.6265906432747412</c:v>
                </c:pt>
                <c:pt idx="472">
                  <c:v>-3.4955198379785117</c:v>
                </c:pt>
                <c:pt idx="473">
                  <c:v>-3.3007617481593519</c:v>
                </c:pt>
                <c:pt idx="474">
                  <c:v>-3.4516720887725492</c:v>
                </c:pt>
                <c:pt idx="475">
                  <c:v>-3.1323122443612963</c:v>
                </c:pt>
                <c:pt idx="476">
                  <c:v>-3.2936146527027379</c:v>
                </c:pt>
                <c:pt idx="477">
                  <c:v>-3.4552621795467386</c:v>
                </c:pt>
                <c:pt idx="478">
                  <c:v>-3.5293936433295632</c:v>
                </c:pt>
                <c:pt idx="479">
                  <c:v>-3.1917550357537485</c:v>
                </c:pt>
                <c:pt idx="480">
                  <c:v>-3.210535121669317</c:v>
                </c:pt>
                <c:pt idx="481">
                  <c:v>-3.6285934409557803</c:v>
                </c:pt>
                <c:pt idx="482">
                  <c:v>-3.8143219767035164</c:v>
                </c:pt>
                <c:pt idx="483">
                  <c:v>-3.7629183710583924</c:v>
                </c:pt>
                <c:pt idx="484">
                  <c:v>-3.5924770883410195</c:v>
                </c:pt>
                <c:pt idx="485">
                  <c:v>-3.8090447162430006</c:v>
                </c:pt>
                <c:pt idx="486">
                  <c:v>-3.9897347808169918</c:v>
                </c:pt>
                <c:pt idx="487">
                  <c:v>-3.6549664506124198</c:v>
                </c:pt>
                <c:pt idx="488">
                  <c:v>-3.5221197758960687</c:v>
                </c:pt>
                <c:pt idx="489">
                  <c:v>-3.4136404772983551</c:v>
                </c:pt>
                <c:pt idx="490">
                  <c:v>-3.5776585851965859</c:v>
                </c:pt>
                <c:pt idx="491">
                  <c:v>-3.9348807293819337</c:v>
                </c:pt>
                <c:pt idx="492">
                  <c:v>-3.1559563361359237</c:v>
                </c:pt>
                <c:pt idx="493">
                  <c:v>-3.5666110906862132</c:v>
                </c:pt>
                <c:pt idx="494">
                  <c:v>-3.3267969263675492</c:v>
                </c:pt>
                <c:pt idx="495">
                  <c:v>-3.1211487619869147</c:v>
                </c:pt>
                <c:pt idx="496">
                  <c:v>-3.3346884742193019</c:v>
                </c:pt>
                <c:pt idx="497">
                  <c:v>-3.1332615256056231</c:v>
                </c:pt>
                <c:pt idx="498">
                  <c:v>-3.0371713672887908</c:v>
                </c:pt>
                <c:pt idx="499">
                  <c:v>-2.9271964053562471</c:v>
                </c:pt>
                <c:pt idx="500">
                  <c:v>-2.2152149162258121</c:v>
                </c:pt>
                <c:pt idx="501">
                  <c:v>-2.5417758536734341</c:v>
                </c:pt>
                <c:pt idx="502">
                  <c:v>-2.2660502616782532</c:v>
                </c:pt>
                <c:pt idx="503">
                  <c:v>-2.2631187625666209</c:v>
                </c:pt>
                <c:pt idx="504">
                  <c:v>-2.4478123337825415</c:v>
                </c:pt>
                <c:pt idx="505">
                  <c:v>-2.2047962294423122</c:v>
                </c:pt>
                <c:pt idx="506">
                  <c:v>-0.943133856911885</c:v>
                </c:pt>
                <c:pt idx="507">
                  <c:v>-1.4009137548612214</c:v>
                </c:pt>
                <c:pt idx="508">
                  <c:v>-1.5843809325781872</c:v>
                </c:pt>
                <c:pt idx="509">
                  <c:v>-1.9562944505945754</c:v>
                </c:pt>
                <c:pt idx="510">
                  <c:v>-1.5782916850477262</c:v>
                </c:pt>
                <c:pt idx="511">
                  <c:v>-1.9292596754697589</c:v>
                </c:pt>
                <c:pt idx="512">
                  <c:v>-1.1144594351401773</c:v>
                </c:pt>
                <c:pt idx="513">
                  <c:v>-1.6012677958542472</c:v>
                </c:pt>
                <c:pt idx="514">
                  <c:v>-0.40624094156902524</c:v>
                </c:pt>
                <c:pt idx="515">
                  <c:v>0.1220127033864519</c:v>
                </c:pt>
                <c:pt idx="516">
                  <c:v>0.54862355362993021</c:v>
                </c:pt>
                <c:pt idx="517">
                  <c:v>-3.1127384250342546E-2</c:v>
                </c:pt>
                <c:pt idx="518">
                  <c:v>1.597063492590149</c:v>
                </c:pt>
                <c:pt idx="519">
                  <c:v>-0.68823188273712665</c:v>
                </c:pt>
                <c:pt idx="520">
                  <c:v>-1.4621330157991126</c:v>
                </c:pt>
                <c:pt idx="521">
                  <c:v>-1.0991478578893257</c:v>
                </c:pt>
                <c:pt idx="522">
                  <c:v>-1.4583554340282958</c:v>
                </c:pt>
                <c:pt idx="523">
                  <c:v>-1.3151077655474384</c:v>
                </c:pt>
                <c:pt idx="524">
                  <c:v>-1.4787076991684767</c:v>
                </c:pt>
                <c:pt idx="525">
                  <c:v>-0.83676875783548077</c:v>
                </c:pt>
                <c:pt idx="526">
                  <c:v>-0.72145363122562123</c:v>
                </c:pt>
                <c:pt idx="527">
                  <c:v>-0.61936480421902829</c:v>
                </c:pt>
                <c:pt idx="528">
                  <c:v>-2.2881757404241265E-2</c:v>
                </c:pt>
                <c:pt idx="529">
                  <c:v>0.79940000789838883</c:v>
                </c:pt>
                <c:pt idx="530">
                  <c:v>0.30618167414980768</c:v>
                </c:pt>
                <c:pt idx="531">
                  <c:v>3.3167637887522132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20-4E93-8FB6-554FD13FF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944240"/>
        <c:axId val="734944656"/>
      </c:lineChart>
      <c:dateAx>
        <c:axId val="734944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944656"/>
        <c:crosses val="autoZero"/>
        <c:auto val="1"/>
        <c:lblOffset val="100"/>
        <c:baseTimeUnit val="days"/>
      </c:dateAx>
      <c:valAx>
        <c:axId val="73494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94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92D813D-7943-41F3-BF65-36CFC0674457}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8B29A6-C645-42A2-9108-FE7DD62F9A7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8.4876000000000005</v>
      </c>
      <c r="D2" s="4">
        <f>MIN(D3:D1912)</f>
        <v>8.3330000000000001E-3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3.0748000000000002</v>
      </c>
      <c r="C5">
        <v>3.1981000000000002</v>
      </c>
      <c r="D5">
        <v>3.0461999999999998</v>
      </c>
      <c r="E5">
        <v>3.0497999999999998</v>
      </c>
      <c r="F5">
        <v>6084272</v>
      </c>
      <c r="G5">
        <v>3.0497999999999998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-0.9526003949967079</v>
      </c>
      <c r="Q5">
        <f t="shared" ref="Q5" si="1">F5*P5</f>
        <v>-5795879.9104674095</v>
      </c>
      <c r="R5">
        <f t="shared" ref="R5" si="2">R6+Q5</f>
        <v>1831117749.5534818</v>
      </c>
      <c r="S5">
        <f t="shared" ref="S5" si="3">R5/100000</f>
        <v>18311.177495534819</v>
      </c>
      <c r="T5">
        <f t="shared" ref="T5" si="4">S5/1000</f>
        <v>18.311177495534817</v>
      </c>
    </row>
    <row r="6" spans="1:20" x14ac:dyDescent="0.25">
      <c r="A6" s="5">
        <v>44587</v>
      </c>
      <c r="B6">
        <v>3.0411000000000001</v>
      </c>
      <c r="C6">
        <v>3.4314</v>
      </c>
      <c r="D6">
        <v>2.9649999999999999</v>
      </c>
      <c r="E6">
        <v>3.0743</v>
      </c>
      <c r="F6">
        <v>75853771</v>
      </c>
      <c r="G6">
        <v>3.0743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-0.53130360205831839</v>
      </c>
      <c r="Q6">
        <f t="shared" ref="Q6" si="6">F6*P6</f>
        <v>-40301381.762006812</v>
      </c>
      <c r="R6">
        <f t="shared" ref="R6" si="7">R7+Q6</f>
        <v>1836913629.4639492</v>
      </c>
      <c r="S6">
        <f t="shared" ref="S6" si="8">R6/100000</f>
        <v>18369.136294639491</v>
      </c>
      <c r="T6">
        <f t="shared" ref="T6" si="9">S6/1000</f>
        <v>18.369136294639492</v>
      </c>
    </row>
    <row r="7" spans="1:20" x14ac:dyDescent="0.25">
      <c r="A7" s="5">
        <v>44586</v>
      </c>
      <c r="B7">
        <v>2.9980000000000002</v>
      </c>
      <c r="C7">
        <v>3.1162999999999998</v>
      </c>
      <c r="D7">
        <v>2.8717000000000001</v>
      </c>
      <c r="E7">
        <v>3.0406</v>
      </c>
      <c r="F7">
        <v>46268546</v>
      </c>
      <c r="G7">
        <v>3.0406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0.38103025347506159</v>
      </c>
      <c r="Q7">
        <f t="shared" ref="Q7" si="11">F7*P7</f>
        <v>17629715.810302548</v>
      </c>
      <c r="R7">
        <f t="shared" ref="R7" si="12">R8+Q7</f>
        <v>1877215011.225956</v>
      </c>
      <c r="S7">
        <f t="shared" ref="S7" si="13">R7/100000</f>
        <v>18772.150112259558</v>
      </c>
      <c r="T7">
        <f t="shared" ref="T7" si="14">S7/1000</f>
        <v>18.77215011225956</v>
      </c>
    </row>
    <row r="8" spans="1:20" x14ac:dyDescent="0.25">
      <c r="A8" s="5">
        <v>44585</v>
      </c>
      <c r="B8">
        <v>3.1233</v>
      </c>
      <c r="C8">
        <v>3.1234999999999999</v>
      </c>
      <c r="D8">
        <v>2.6227</v>
      </c>
      <c r="E8">
        <v>2.9982000000000002</v>
      </c>
      <c r="F8">
        <v>74675521</v>
      </c>
      <c r="G8">
        <v>2.9982000000000002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0.49960063897763674</v>
      </c>
      <c r="Q8">
        <f t="shared" ref="Q8" si="16">F8*P8</f>
        <v>37307938.007587932</v>
      </c>
      <c r="R8">
        <f t="shared" ref="R8" si="17">R9+Q8</f>
        <v>1859585295.4156535</v>
      </c>
      <c r="S8">
        <f t="shared" ref="S8" si="18">R8/100000</f>
        <v>18595.852954156533</v>
      </c>
      <c r="T8">
        <f t="shared" ref="T8" si="19">S8/1000</f>
        <v>18.595852954156534</v>
      </c>
    </row>
    <row r="9" spans="1:20" x14ac:dyDescent="0.25">
      <c r="A9" s="5">
        <v>44584</v>
      </c>
      <c r="B9">
        <v>3.0026999999999999</v>
      </c>
      <c r="C9">
        <v>3.2488999999999999</v>
      </c>
      <c r="D9">
        <v>2.9207000000000001</v>
      </c>
      <c r="E9">
        <v>3.1233</v>
      </c>
      <c r="F9">
        <v>61841586</v>
      </c>
      <c r="G9">
        <v>3.1233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0.23461304082876294</v>
      </c>
      <c r="Q9">
        <f t="shared" ref="Q9" si="21">F9*P9</f>
        <v>14508842.541133454</v>
      </c>
      <c r="R9">
        <f t="shared" ref="R9" si="22">R10+Q9</f>
        <v>1822277357.4080656</v>
      </c>
      <c r="S9">
        <f t="shared" ref="S9" si="23">R9/100000</f>
        <v>18222.773574080657</v>
      </c>
      <c r="T9">
        <f t="shared" ref="T9" si="24">S9/1000</f>
        <v>18.222773574080655</v>
      </c>
    </row>
    <row r="10" spans="1:20" x14ac:dyDescent="0.25">
      <c r="A10" s="5">
        <v>44583</v>
      </c>
      <c r="B10">
        <v>3.3422999999999998</v>
      </c>
      <c r="C10">
        <v>3.4034</v>
      </c>
      <c r="D10">
        <v>2.5560999999999998</v>
      </c>
      <c r="E10">
        <v>3.0015999999999998</v>
      </c>
      <c r="F10">
        <v>126883973</v>
      </c>
      <c r="G10">
        <v>3.0015999999999998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5.1575593060309032E-2</v>
      </c>
      <c r="Q10">
        <f t="shared" ref="Q10" si="26">F10*P10</f>
        <v>6544116.1573232384</v>
      </c>
      <c r="R10">
        <f t="shared" ref="R10" si="27">R11+Q10</f>
        <v>1807768514.8669322</v>
      </c>
      <c r="S10">
        <f t="shared" ref="S10" si="28">R10/100000</f>
        <v>18077.685148669323</v>
      </c>
      <c r="T10">
        <f t="shared" ref="T10" si="29">S10/1000</f>
        <v>18.077685148669325</v>
      </c>
    </row>
    <row r="11" spans="1:20" x14ac:dyDescent="0.25">
      <c r="A11" s="5">
        <v>44582</v>
      </c>
      <c r="B11">
        <v>3.9403999999999999</v>
      </c>
      <c r="C11">
        <v>4.0098000000000003</v>
      </c>
      <c r="D11">
        <v>3.17</v>
      </c>
      <c r="E11">
        <v>3.3426</v>
      </c>
      <c r="F11">
        <v>85778521</v>
      </c>
      <c r="G11">
        <v>3.3426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-0.58894974994046201</v>
      </c>
      <c r="Q11">
        <f t="shared" ref="Q11" si="31">F11*P11</f>
        <v>-50519238.49321267</v>
      </c>
      <c r="R11">
        <f t="shared" ref="R11" si="32">R12+Q11</f>
        <v>1801224398.709609</v>
      </c>
      <c r="S11">
        <f t="shared" ref="S11" si="33">R11/100000</f>
        <v>18012.243987096092</v>
      </c>
      <c r="T11">
        <f t="shared" ref="T11" si="34">S11/1000</f>
        <v>18.012243987096092</v>
      </c>
    </row>
    <row r="12" spans="1:20" x14ac:dyDescent="0.25">
      <c r="A12" s="5">
        <v>44581</v>
      </c>
      <c r="B12">
        <v>4.2172999999999998</v>
      </c>
      <c r="C12">
        <v>4.4550999999999998</v>
      </c>
      <c r="D12">
        <v>3.9079999999999999</v>
      </c>
      <c r="E12">
        <v>3.9413999999999998</v>
      </c>
      <c r="F12">
        <v>39669563</v>
      </c>
      <c r="G12">
        <v>3.9413999999999998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-0.87790166331566488</v>
      </c>
      <c r="Q12">
        <f t="shared" ref="Q12" si="36">F12*P12</f>
        <v>-34825975.340705559</v>
      </c>
      <c r="R12">
        <f t="shared" ref="R12" si="37">R13+Q12</f>
        <v>1851743637.2028217</v>
      </c>
      <c r="S12">
        <f t="shared" ref="S12" si="38">R12/100000</f>
        <v>18517.436372028216</v>
      </c>
      <c r="T12">
        <f t="shared" ref="T12" si="39">S12/1000</f>
        <v>18.517436372028218</v>
      </c>
    </row>
    <row r="13" spans="1:20" x14ac:dyDescent="0.25">
      <c r="A13" s="5">
        <v>44580</v>
      </c>
      <c r="B13">
        <v>4.4653999999999998</v>
      </c>
      <c r="C13">
        <v>4.4813999999999998</v>
      </c>
      <c r="D13">
        <v>4.117</v>
      </c>
      <c r="E13">
        <v>4.2173999999999996</v>
      </c>
      <c r="F13">
        <v>31665995</v>
      </c>
      <c r="G13">
        <v>4.2173999999999996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-0.44895718990120942</v>
      </c>
      <c r="Q13">
        <f t="shared" ref="Q13" si="41">F13*P13</f>
        <v>-14216676.130625747</v>
      </c>
      <c r="R13">
        <f t="shared" ref="R13" si="42">R14+Q13</f>
        <v>1886569612.5435274</v>
      </c>
      <c r="S13">
        <f t="shared" ref="S13" si="43">R13/100000</f>
        <v>18865.696125435275</v>
      </c>
      <c r="T13">
        <f t="shared" ref="T13" si="44">S13/1000</f>
        <v>18.865696125435274</v>
      </c>
    </row>
    <row r="14" spans="1:20" x14ac:dyDescent="0.25">
      <c r="A14" s="5">
        <v>44579</v>
      </c>
      <c r="B14">
        <v>4.6044999999999998</v>
      </c>
      <c r="C14">
        <v>4.6412000000000004</v>
      </c>
      <c r="D14">
        <v>4.3540999999999999</v>
      </c>
      <c r="E14">
        <v>4.4646999999999997</v>
      </c>
      <c r="F14">
        <v>33717879</v>
      </c>
      <c r="G14">
        <v>4.4646999999999997</v>
      </c>
      <c r="L14" t="s">
        <v>7</v>
      </c>
      <c r="M14" t="s">
        <v>8</v>
      </c>
      <c r="N14" t="s">
        <v>7</v>
      </c>
      <c r="P14">
        <f t="shared" ref="P14" si="45">IF(C14=D14,0,((E14-D14)-(C14-E14))/(C14-D14))</f>
        <v>-0.22953674677812896</v>
      </c>
      <c r="Q14">
        <f t="shared" ref="Q14" si="46">F14*P14</f>
        <v>-7739492.2539185919</v>
      </c>
      <c r="R14">
        <f t="shared" ref="R14" si="47">R15+Q14</f>
        <v>1900786288.6741531</v>
      </c>
      <c r="S14">
        <f t="shared" ref="S14" si="48">R14/100000</f>
        <v>19007.862886741532</v>
      </c>
      <c r="T14">
        <f t="shared" ref="T14" si="49">S14/1000</f>
        <v>19.007862886741531</v>
      </c>
    </row>
    <row r="15" spans="1:20" x14ac:dyDescent="0.25">
      <c r="A15" s="5">
        <v>44578</v>
      </c>
      <c r="B15">
        <v>4.9132999999999996</v>
      </c>
      <c r="C15">
        <v>4.9577</v>
      </c>
      <c r="D15">
        <v>4.5148999999999999</v>
      </c>
      <c r="E15">
        <v>4.6041999999999996</v>
      </c>
      <c r="F15">
        <v>32709029</v>
      </c>
      <c r="G15">
        <v>4.6041999999999996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-0.59665763324300047</v>
      </c>
      <c r="Q15">
        <f t="shared" ref="Q15" si="51">F15*P15</f>
        <v>-19516091.828816667</v>
      </c>
      <c r="R15">
        <f t="shared" ref="R15" si="52">R16+Q15</f>
        <v>1908525780.9280717</v>
      </c>
      <c r="S15">
        <f t="shared" ref="S15" si="53">R15/100000</f>
        <v>19085.257809280716</v>
      </c>
      <c r="T15">
        <f t="shared" ref="T15" si="54">S15/1000</f>
        <v>19.085257809280716</v>
      </c>
    </row>
    <row r="16" spans="1:20" x14ac:dyDescent="0.25">
      <c r="A16" s="5">
        <v>44577</v>
      </c>
      <c r="B16">
        <v>4.8422999999999998</v>
      </c>
      <c r="C16">
        <v>5.0655000000000001</v>
      </c>
      <c r="D16">
        <v>4.7404999999999999</v>
      </c>
      <c r="E16">
        <v>4.9137000000000004</v>
      </c>
      <c r="F16">
        <v>33874000</v>
      </c>
      <c r="G16">
        <v>4.9137000000000004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6.5846153846156122E-2</v>
      </c>
      <c r="Q16">
        <f t="shared" ref="Q16" si="56">F16*P16</f>
        <v>2230472.6153846923</v>
      </c>
      <c r="R16">
        <f t="shared" ref="R16" si="57">R17+Q16</f>
        <v>1928041872.7568884</v>
      </c>
      <c r="S16">
        <f t="shared" ref="S16" si="58">R16/100000</f>
        <v>19280.418727568886</v>
      </c>
      <c r="T16">
        <f t="shared" ref="T16" si="59">S16/1000</f>
        <v>19.280418727568886</v>
      </c>
    </row>
    <row r="17" spans="1:20" x14ac:dyDescent="0.25">
      <c r="A17" s="5">
        <v>44576</v>
      </c>
      <c r="B17">
        <v>4.9015000000000004</v>
      </c>
      <c r="C17">
        <v>4.9218000000000002</v>
      </c>
      <c r="D17">
        <v>4.7763999999999998</v>
      </c>
      <c r="E17">
        <v>4.843</v>
      </c>
      <c r="F17">
        <v>23234270</v>
      </c>
      <c r="G17">
        <v>4.843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-8.3906464924346308E-2</v>
      </c>
      <c r="Q17">
        <f t="shared" ref="Q17" si="61">F17*P17</f>
        <v>-1949505.4607977916</v>
      </c>
      <c r="R17">
        <f t="shared" ref="R17" si="62">R18+Q17</f>
        <v>1925811400.1415038</v>
      </c>
      <c r="S17">
        <f t="shared" ref="S17" si="63">R17/100000</f>
        <v>19258.114001415037</v>
      </c>
      <c r="T17">
        <f t="shared" ref="T17" si="64">S17/1000</f>
        <v>19.258114001415038</v>
      </c>
    </row>
    <row r="18" spans="1:20" x14ac:dyDescent="0.25">
      <c r="A18" s="5">
        <v>44575</v>
      </c>
      <c r="B18">
        <v>4.8602999999999996</v>
      </c>
      <c r="C18">
        <v>4.9728000000000003</v>
      </c>
      <c r="D18">
        <v>4.6718000000000002</v>
      </c>
      <c r="E18">
        <v>4.9015000000000004</v>
      </c>
      <c r="F18">
        <v>38904214</v>
      </c>
      <c r="G18">
        <v>4.9015000000000004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0.52624584717608047</v>
      </c>
      <c r="Q18">
        <f t="shared" ref="Q18" si="66">F18*P18</f>
        <v>20473181.055149529</v>
      </c>
      <c r="R18">
        <f t="shared" ref="R18" si="67">R19+Q18</f>
        <v>1927760905.6023016</v>
      </c>
      <c r="S18">
        <f t="shared" ref="S18" si="68">R18/100000</f>
        <v>19277.609056023015</v>
      </c>
      <c r="T18">
        <f t="shared" ref="T18" si="69">S18/1000</f>
        <v>19.277609056023014</v>
      </c>
    </row>
    <row r="19" spans="1:20" x14ac:dyDescent="0.25">
      <c r="A19" s="5">
        <v>44574</v>
      </c>
      <c r="B19">
        <v>5.1372999999999998</v>
      </c>
      <c r="C19">
        <v>5.2126999999999999</v>
      </c>
      <c r="D19">
        <v>4.8018000000000001</v>
      </c>
      <c r="E19">
        <v>4.8602999999999996</v>
      </c>
      <c r="F19">
        <v>45815924</v>
      </c>
      <c r="G19">
        <v>4.8602999999999996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-0.71525918715016024</v>
      </c>
      <c r="Q19">
        <f t="shared" ref="Q19" si="71">F19*P19</f>
        <v>-32770260.558773518</v>
      </c>
      <c r="R19">
        <f t="shared" ref="R19" si="72">R20+Q19</f>
        <v>1907287724.547152</v>
      </c>
      <c r="S19">
        <f t="shared" ref="S19" si="73">R19/100000</f>
        <v>19072.877245471522</v>
      </c>
      <c r="T19">
        <f t="shared" ref="T19" si="74">S19/1000</f>
        <v>19.072877245471521</v>
      </c>
    </row>
    <row r="20" spans="1:20" x14ac:dyDescent="0.25">
      <c r="A20" s="5">
        <v>44573</v>
      </c>
      <c r="B20">
        <v>4.7187999999999999</v>
      </c>
      <c r="C20">
        <v>5.2107999999999999</v>
      </c>
      <c r="D20">
        <v>4.7110000000000003</v>
      </c>
      <c r="E20">
        <v>5.1372999999999998</v>
      </c>
      <c r="F20">
        <v>47299397</v>
      </c>
      <c r="G20">
        <v>5.1372999999999998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0.70588235294117574</v>
      </c>
      <c r="Q20">
        <f t="shared" ref="Q20" si="76">F20*P20</f>
        <v>33387809.647058789</v>
      </c>
      <c r="R20">
        <f t="shared" ref="R20" si="77">R21+Q20</f>
        <v>1940057985.1059256</v>
      </c>
      <c r="S20">
        <f t="shared" ref="S20" si="78">R20/100000</f>
        <v>19400.579851059254</v>
      </c>
      <c r="T20">
        <f t="shared" ref="T20" si="79">S20/1000</f>
        <v>19.400579851059256</v>
      </c>
    </row>
    <row r="21" spans="1:20" x14ac:dyDescent="0.25">
      <c r="A21" s="5">
        <v>44572</v>
      </c>
      <c r="B21">
        <v>4.4539</v>
      </c>
      <c r="C21">
        <v>4.7689000000000004</v>
      </c>
      <c r="D21">
        <v>4.3554000000000004</v>
      </c>
      <c r="E21">
        <v>4.7190000000000003</v>
      </c>
      <c r="F21">
        <v>43442053</v>
      </c>
      <c r="G21">
        <v>4.7190000000000003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0.75864570737605774</v>
      </c>
      <c r="Q21">
        <f t="shared" ref="Q21" si="81">F21*P21</f>
        <v>32957127.028053191</v>
      </c>
      <c r="R21">
        <f t="shared" ref="R21" si="82">R22+Q21</f>
        <v>1906670175.4588668</v>
      </c>
      <c r="S21">
        <f t="shared" ref="S21" si="83">R21/100000</f>
        <v>19066.70175458867</v>
      </c>
      <c r="T21">
        <f t="shared" ref="T21" si="84">S21/1000</f>
        <v>19.066701754588671</v>
      </c>
    </row>
    <row r="22" spans="1:20" x14ac:dyDescent="0.25">
      <c r="A22" s="5">
        <v>44571</v>
      </c>
      <c r="B22">
        <v>4.7159000000000004</v>
      </c>
      <c r="C22">
        <v>4.7728000000000002</v>
      </c>
      <c r="D22">
        <v>4.2032999999999996</v>
      </c>
      <c r="E22">
        <v>4.4528999999999996</v>
      </c>
      <c r="F22">
        <v>55633627</v>
      </c>
      <c r="G22">
        <v>4.4528999999999996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-0.12344161545215172</v>
      </c>
      <c r="Q22">
        <f t="shared" ref="Q22" si="86">F22*P22</f>
        <v>-6867504.7903424455</v>
      </c>
      <c r="R22">
        <f t="shared" ref="R22" si="87">R23+Q22</f>
        <v>1873713048.4308136</v>
      </c>
      <c r="S22">
        <f t="shared" ref="S22" si="88">R22/100000</f>
        <v>18737.130484308134</v>
      </c>
      <c r="T22">
        <f t="shared" ref="T22" si="89">S22/1000</f>
        <v>18.737130484308135</v>
      </c>
    </row>
    <row r="23" spans="1:20" x14ac:dyDescent="0.25">
      <c r="A23" s="5">
        <v>44570</v>
      </c>
      <c r="B23">
        <v>4.6155999999999997</v>
      </c>
      <c r="C23">
        <v>4.9093</v>
      </c>
      <c r="D23">
        <v>4.5663</v>
      </c>
      <c r="E23">
        <v>4.7157</v>
      </c>
      <c r="F23">
        <v>35922381</v>
      </c>
      <c r="G23">
        <v>4.7157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-0.128862973760933</v>
      </c>
      <c r="Q23">
        <f t="shared" ref="Q23" si="91">F23*P23</f>
        <v>-4629064.8402332384</v>
      </c>
      <c r="R23">
        <f t="shared" ref="R23" si="92">R24+Q23</f>
        <v>1880580553.2211559</v>
      </c>
      <c r="S23">
        <f t="shared" ref="S23" si="93">R23/100000</f>
        <v>18805.805532211558</v>
      </c>
      <c r="T23">
        <f t="shared" ref="T23" si="94">S23/1000</f>
        <v>18.805805532211558</v>
      </c>
    </row>
    <row r="24" spans="1:20" x14ac:dyDescent="0.25">
      <c r="A24" s="5">
        <v>44569</v>
      </c>
      <c r="B24">
        <v>4.8544</v>
      </c>
      <c r="C24">
        <v>5.0396999999999998</v>
      </c>
      <c r="D24">
        <v>4.4523000000000001</v>
      </c>
      <c r="E24">
        <v>4.6154000000000002</v>
      </c>
      <c r="F24">
        <v>40054895</v>
      </c>
      <c r="G24">
        <v>4.6154000000000002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-0.44467143343547799</v>
      </c>
      <c r="Q24">
        <f t="shared" ref="Q24" si="96">F24*P24</f>
        <v>-17811267.575757559</v>
      </c>
      <c r="R24">
        <f t="shared" ref="R24" si="97">R25+Q24</f>
        <v>1885209618.0613892</v>
      </c>
      <c r="S24">
        <f t="shared" ref="S24" si="98">R24/100000</f>
        <v>18852.096180613891</v>
      </c>
      <c r="T24">
        <f t="shared" ref="T24" si="99">S24/1000</f>
        <v>18.852096180613891</v>
      </c>
    </row>
    <row r="25" spans="1:20" x14ac:dyDescent="0.25">
      <c r="A25" s="5">
        <v>44568</v>
      </c>
      <c r="B25">
        <v>5.2361000000000004</v>
      </c>
      <c r="C25">
        <v>5.28</v>
      </c>
      <c r="D25">
        <v>4.7355</v>
      </c>
      <c r="E25">
        <v>4.8529</v>
      </c>
      <c r="F25">
        <v>69110108</v>
      </c>
      <c r="G25">
        <v>4.8529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-0.56877869605142373</v>
      </c>
      <c r="Q25">
        <f t="shared" ref="Q25" si="101">F25*P25</f>
        <v>-39308357.112213068</v>
      </c>
      <c r="R25">
        <f t="shared" ref="R25" si="102">R26+Q25</f>
        <v>1903020885.6371467</v>
      </c>
      <c r="S25">
        <f t="shared" ref="S25" si="103">R25/100000</f>
        <v>19030.208856371468</v>
      </c>
      <c r="T25">
        <f t="shared" ref="T25" si="104">S25/1000</f>
        <v>19.030208856371466</v>
      </c>
    </row>
    <row r="26" spans="1:20" x14ac:dyDescent="0.25">
      <c r="A26" s="5">
        <v>44567</v>
      </c>
      <c r="B26">
        <v>5.0045999999999999</v>
      </c>
      <c r="C26">
        <v>5.4058999999999999</v>
      </c>
      <c r="D26">
        <v>4.71</v>
      </c>
      <c r="E26">
        <v>5.2359</v>
      </c>
      <c r="F26">
        <v>76609766</v>
      </c>
      <c r="G26">
        <v>5.2359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0.51142405518034217</v>
      </c>
      <c r="Q26">
        <f t="shared" ref="Q26" si="106">F26*P26</f>
        <v>39180077.194137104</v>
      </c>
      <c r="R26">
        <f t="shared" ref="R26" si="107">R27+Q26</f>
        <v>1942329242.7493598</v>
      </c>
      <c r="S26">
        <f t="shared" ref="S26" si="108">R26/100000</f>
        <v>19423.292427493598</v>
      </c>
      <c r="T26">
        <f t="shared" ref="T26" si="109">S26/1000</f>
        <v>19.423292427493596</v>
      </c>
    </row>
    <row r="27" spans="1:20" x14ac:dyDescent="0.25">
      <c r="A27" s="5">
        <v>44566</v>
      </c>
      <c r="B27">
        <v>5.4625000000000004</v>
      </c>
      <c r="C27">
        <v>5.6559999999999997</v>
      </c>
      <c r="D27">
        <v>4.7095000000000002</v>
      </c>
      <c r="E27">
        <v>5.0049999999999999</v>
      </c>
      <c r="F27">
        <v>63976631</v>
      </c>
      <c r="G27">
        <v>5.0049999999999999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-0.37559429477020639</v>
      </c>
      <c r="Q27">
        <f t="shared" ref="Q27" si="111">F27*P27</f>
        <v>-24029257.602218725</v>
      </c>
      <c r="R27">
        <f t="shared" ref="R27" si="112">R28+Q27</f>
        <v>1903149165.5552227</v>
      </c>
      <c r="S27">
        <f t="shared" ref="S27" si="113">R27/100000</f>
        <v>19031.491655552229</v>
      </c>
      <c r="T27">
        <f t="shared" ref="T27" si="114">S27/1000</f>
        <v>19.03149165555223</v>
      </c>
    </row>
    <row r="28" spans="1:20" x14ac:dyDescent="0.25">
      <c r="A28" s="5">
        <v>44565</v>
      </c>
      <c r="B28">
        <v>5.6879</v>
      </c>
      <c r="C28">
        <v>5.7148000000000003</v>
      </c>
      <c r="D28">
        <v>5.4169999999999998</v>
      </c>
      <c r="E28">
        <v>5.4623999999999997</v>
      </c>
      <c r="F28">
        <v>41756818</v>
      </c>
      <c r="G28">
        <v>5.4623999999999997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-0.69509738079247951</v>
      </c>
      <c r="Q28">
        <f t="shared" ref="Q28" si="116">F28*P28</f>
        <v>-29025054.822028264</v>
      </c>
      <c r="R28">
        <f t="shared" ref="R28" si="117">R29+Q28</f>
        <v>1927178423.1574414</v>
      </c>
      <c r="S28">
        <f t="shared" ref="S28" si="118">R28/100000</f>
        <v>19271.784231574413</v>
      </c>
      <c r="T28">
        <f t="shared" ref="T28" si="119">S28/1000</f>
        <v>19.271784231574411</v>
      </c>
    </row>
    <row r="29" spans="1:20" x14ac:dyDescent="0.25">
      <c r="A29" s="5">
        <v>44564</v>
      </c>
      <c r="B29">
        <v>5.9119000000000002</v>
      </c>
      <c r="C29">
        <v>5.9897</v>
      </c>
      <c r="D29">
        <v>5.5754999999999999</v>
      </c>
      <c r="E29">
        <v>5.6879999999999997</v>
      </c>
      <c r="F29">
        <v>32478701</v>
      </c>
      <c r="G29">
        <v>5.6879999999999997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-0.45678416224046459</v>
      </c>
      <c r="Q29">
        <f t="shared" ref="Q29" si="121">F29*P29</f>
        <v>-14835756.226943539</v>
      </c>
      <c r="R29">
        <f t="shared" ref="R29" si="122">R30+Q29</f>
        <v>1956203477.9794695</v>
      </c>
      <c r="S29">
        <f t="shared" ref="S29" si="123">R29/100000</f>
        <v>19562.034779794696</v>
      </c>
      <c r="T29">
        <f t="shared" ref="T29" si="124">S29/1000</f>
        <v>19.562034779794697</v>
      </c>
    </row>
    <row r="30" spans="1:20" x14ac:dyDescent="0.25">
      <c r="A30" s="5">
        <v>44563</v>
      </c>
      <c r="B30">
        <v>5.9710999999999999</v>
      </c>
      <c r="C30">
        <v>5.9942000000000002</v>
      </c>
      <c r="D30">
        <v>5.8251999999999997</v>
      </c>
      <c r="E30">
        <v>5.9119000000000002</v>
      </c>
      <c r="F30">
        <v>27668247</v>
      </c>
      <c r="G30">
        <v>5.9119000000000002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2.6035502958582195E-2</v>
      </c>
      <c r="Q30">
        <f t="shared" ref="Q30" si="126">F30*P30</f>
        <v>720356.72662728291</v>
      </c>
      <c r="R30">
        <f t="shared" ref="R30" si="127">R31+Q30</f>
        <v>1971039234.206413</v>
      </c>
      <c r="S30">
        <f t="shared" ref="S30" si="128">R30/100000</f>
        <v>19710.392342064129</v>
      </c>
      <c r="T30">
        <f t="shared" ref="T30" si="129">S30/1000</f>
        <v>19.710392342064129</v>
      </c>
    </row>
    <row r="31" spans="1:20" x14ac:dyDescent="0.25">
      <c r="A31" s="5">
        <v>44562</v>
      </c>
      <c r="B31">
        <v>5.8423999999999996</v>
      </c>
      <c r="C31">
        <v>6.0332999999999997</v>
      </c>
      <c r="D31">
        <v>5.8400999999999996</v>
      </c>
      <c r="E31">
        <v>5.97</v>
      </c>
      <c r="F31">
        <v>28036737</v>
      </c>
      <c r="G31">
        <v>5.97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0.34472049689441098</v>
      </c>
      <c r="Q31">
        <f t="shared" ref="Q31" si="131">F31*P31</f>
        <v>9664837.9099379182</v>
      </c>
      <c r="R31">
        <f t="shared" ref="R31" si="132">R32+Q31</f>
        <v>1970318877.4797857</v>
      </c>
      <c r="S31">
        <f t="shared" ref="S31" si="133">R31/100000</f>
        <v>19703.188774797858</v>
      </c>
      <c r="T31">
        <f t="shared" ref="T31" si="134">S31/1000</f>
        <v>19.703188774797859</v>
      </c>
    </row>
    <row r="32" spans="1:20" x14ac:dyDescent="0.25">
      <c r="A32" s="5">
        <v>44561</v>
      </c>
      <c r="B32">
        <v>5.9012000000000002</v>
      </c>
      <c r="C32">
        <v>6.1797000000000004</v>
      </c>
      <c r="D32">
        <v>5.7359999999999998</v>
      </c>
      <c r="E32">
        <v>5.8409000000000004</v>
      </c>
      <c r="F32">
        <v>51431505</v>
      </c>
      <c r="G32">
        <v>5.8409000000000004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-0.52715798963263238</v>
      </c>
      <c r="Q32">
        <f t="shared" ref="Q32" si="136">F32*P32</f>
        <v>-27112528.779580679</v>
      </c>
      <c r="R32">
        <f t="shared" ref="R32" si="137">R33+Q32</f>
        <v>1960654039.5698478</v>
      </c>
      <c r="S32">
        <f t="shared" ref="S32" si="138">R32/100000</f>
        <v>19606.540395698477</v>
      </c>
      <c r="T32">
        <f t="shared" ref="T32" si="139">S32/1000</f>
        <v>19.606540395698477</v>
      </c>
    </row>
    <row r="33" spans="1:20" x14ac:dyDescent="0.25">
      <c r="A33" s="5">
        <v>44560</v>
      </c>
      <c r="B33">
        <v>5.8033999999999999</v>
      </c>
      <c r="C33">
        <v>6.0270000000000001</v>
      </c>
      <c r="D33">
        <v>5.5663999999999998</v>
      </c>
      <c r="E33">
        <v>5.9013999999999998</v>
      </c>
      <c r="F33">
        <v>44166808</v>
      </c>
      <c r="G33">
        <v>5.9013999999999998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0.4546244029526692</v>
      </c>
      <c r="Q33">
        <f t="shared" ref="Q33" si="141">F33*P33</f>
        <v>20079308.717325173</v>
      </c>
      <c r="R33">
        <f t="shared" ref="R33" si="142">R34+Q33</f>
        <v>1987766568.3494284</v>
      </c>
      <c r="S33">
        <f t="shared" ref="S33" si="143">R33/100000</f>
        <v>19877.665683494284</v>
      </c>
      <c r="T33">
        <f t="shared" ref="T33" si="144">S33/1000</f>
        <v>19.877665683494286</v>
      </c>
    </row>
    <row r="34" spans="1:20" x14ac:dyDescent="0.25">
      <c r="A34" s="5">
        <v>44559</v>
      </c>
      <c r="B34">
        <v>5.8578999999999999</v>
      </c>
      <c r="C34">
        <v>6.1464999999999996</v>
      </c>
      <c r="D34">
        <v>5.7012999999999998</v>
      </c>
      <c r="E34">
        <v>5.8033999999999999</v>
      </c>
      <c r="F34">
        <v>66332614</v>
      </c>
      <c r="G34">
        <v>5.8033999999999999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-0.54132973944294649</v>
      </c>
      <c r="Q34">
        <f t="shared" ref="Q34" si="146">F34*P34</f>
        <v>-35907816.653189547</v>
      </c>
      <c r="R34">
        <f t="shared" ref="R34" si="147">R35+Q34</f>
        <v>1967687259.6321032</v>
      </c>
      <c r="S34">
        <f t="shared" ref="S34" si="148">R34/100000</f>
        <v>19676.872596321031</v>
      </c>
      <c r="T34">
        <f t="shared" ref="T34" si="149">S34/1000</f>
        <v>19.676872596321029</v>
      </c>
    </row>
    <row r="35" spans="1:20" x14ac:dyDescent="0.25">
      <c r="A35" s="5">
        <v>44558</v>
      </c>
      <c r="B35">
        <v>6.4245999999999999</v>
      </c>
      <c r="C35">
        <v>6.4255000000000004</v>
      </c>
      <c r="D35">
        <v>5.7324999999999999</v>
      </c>
      <c r="E35">
        <v>5.8571</v>
      </c>
      <c r="F35">
        <v>83124056</v>
      </c>
      <c r="G35">
        <v>5.8571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-0.64040404040404053</v>
      </c>
      <c r="Q35">
        <f t="shared" ref="Q35" si="151">F35*P35</f>
        <v>-53232981.31717173</v>
      </c>
      <c r="R35">
        <f t="shared" ref="R35" si="152">R36+Q35</f>
        <v>2003595076.2852929</v>
      </c>
      <c r="S35">
        <f t="shared" ref="S35" si="153">R35/100000</f>
        <v>20035.950762852928</v>
      </c>
      <c r="T35">
        <f t="shared" ref="T35" si="154">S35/1000</f>
        <v>20.035950762852927</v>
      </c>
    </row>
    <row r="36" spans="1:20" x14ac:dyDescent="0.25">
      <c r="A36" s="5">
        <v>44557</v>
      </c>
      <c r="B36">
        <v>6.7244999999999999</v>
      </c>
      <c r="C36">
        <v>6.7770999999999999</v>
      </c>
      <c r="D36">
        <v>6.3173000000000004</v>
      </c>
      <c r="E36">
        <v>6.4231999999999996</v>
      </c>
      <c r="F36">
        <v>42961906</v>
      </c>
      <c r="G36">
        <v>6.4231999999999996</v>
      </c>
      <c r="L36" t="s">
        <v>7</v>
      </c>
      <c r="M36" t="s">
        <v>8</v>
      </c>
      <c r="N36" t="s">
        <v>8</v>
      </c>
      <c r="P36">
        <f t="shared" ref="P36" si="155">IF(C36=D36,0,((E36-D36)-(C36-E36))/(C36-D36))</f>
        <v>-0.53936494127881984</v>
      </c>
      <c r="Q36">
        <f t="shared" ref="Q36" si="156">F36*P36</f>
        <v>-23172145.906916179</v>
      </c>
      <c r="R36">
        <f t="shared" ref="R36" si="157">R37+Q36</f>
        <v>2056828057.6024647</v>
      </c>
      <c r="S36">
        <f t="shared" ref="S36" si="158">R36/100000</f>
        <v>20568.280576024648</v>
      </c>
      <c r="T36">
        <f t="shared" ref="T36" si="159">S36/1000</f>
        <v>20.568280576024648</v>
      </c>
    </row>
    <row r="37" spans="1:20" x14ac:dyDescent="0.25">
      <c r="A37" s="5">
        <v>44556</v>
      </c>
      <c r="B37">
        <v>6.6992000000000003</v>
      </c>
      <c r="C37">
        <v>6.9635999999999996</v>
      </c>
      <c r="D37">
        <v>6.5332999999999997</v>
      </c>
      <c r="E37">
        <v>6.7249999999999996</v>
      </c>
      <c r="F37">
        <v>72243247</v>
      </c>
      <c r="G37">
        <v>6.7249999999999996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-0.10899372530792459</v>
      </c>
      <c r="Q37">
        <f t="shared" ref="Q37" si="161">F37*P37</f>
        <v>-7874060.618870547</v>
      </c>
      <c r="R37">
        <f t="shared" ref="R37" si="162">R38+Q37</f>
        <v>2080000203.5093808</v>
      </c>
      <c r="S37">
        <f t="shared" ref="S37" si="163">R37/100000</f>
        <v>20800.002035093807</v>
      </c>
      <c r="T37">
        <f t="shared" ref="T37" si="164">S37/1000</f>
        <v>20.800002035093808</v>
      </c>
    </row>
    <row r="38" spans="1:20" x14ac:dyDescent="0.25">
      <c r="A38" s="5">
        <v>44555</v>
      </c>
      <c r="B38">
        <v>5.8547000000000002</v>
      </c>
      <c r="C38">
        <v>6.7990000000000004</v>
      </c>
      <c r="D38">
        <v>5.7831999999999999</v>
      </c>
      <c r="E38">
        <v>6.7</v>
      </c>
      <c r="F38">
        <v>77806881</v>
      </c>
      <c r="G38">
        <v>6.7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0.80507974010631989</v>
      </c>
      <c r="Q38">
        <f t="shared" ref="Q38" si="166">F38*P38</f>
        <v>62640743.53396336</v>
      </c>
      <c r="R38">
        <f t="shared" ref="R38" si="167">R39+Q38</f>
        <v>2087874264.1282513</v>
      </c>
      <c r="S38">
        <f t="shared" ref="S38" si="168">R38/100000</f>
        <v>20878.742641282512</v>
      </c>
      <c r="T38">
        <f t="shared" ref="T38" si="169">S38/1000</f>
        <v>20.878742641282511</v>
      </c>
    </row>
    <row r="39" spans="1:20" x14ac:dyDescent="0.25">
      <c r="A39" s="5">
        <v>44554</v>
      </c>
      <c r="B39">
        <v>6.3194999999999997</v>
      </c>
      <c r="C39">
        <v>6.4558</v>
      </c>
      <c r="D39">
        <v>5.7571000000000003</v>
      </c>
      <c r="E39">
        <v>5.8555999999999999</v>
      </c>
      <c r="F39">
        <v>81262533</v>
      </c>
      <c r="G39">
        <v>5.8555999999999999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-0.718047803062832</v>
      </c>
      <c r="Q39">
        <f t="shared" ref="Q39" si="171">F39*P39</f>
        <v>-58350383.291970886</v>
      </c>
      <c r="R39">
        <f t="shared" ref="R39" si="172">R40+Q39</f>
        <v>2025233520.5942879</v>
      </c>
      <c r="S39">
        <f t="shared" ref="S39" si="173">R39/100000</f>
        <v>20252.33520594288</v>
      </c>
      <c r="T39">
        <f t="shared" ref="T39" si="174">S39/1000</f>
        <v>20.252335205942881</v>
      </c>
    </row>
    <row r="40" spans="1:20" x14ac:dyDescent="0.25">
      <c r="A40" s="5">
        <v>44553</v>
      </c>
      <c r="B40">
        <v>5.1105</v>
      </c>
      <c r="C40">
        <v>6.3552999999999997</v>
      </c>
      <c r="D40">
        <v>5.0321999999999996</v>
      </c>
      <c r="E40">
        <v>6.3189000000000002</v>
      </c>
      <c r="F40">
        <v>91440184</v>
      </c>
      <c r="G40">
        <v>6.3189000000000002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0.94497770387725866</v>
      </c>
      <c r="Q40">
        <f t="shared" ref="Q40" si="176">F40*P40</f>
        <v>86408935.118434042</v>
      </c>
      <c r="R40">
        <f t="shared" ref="R40" si="177">R41+Q40</f>
        <v>2083583903.8862588</v>
      </c>
      <c r="S40">
        <f t="shared" ref="S40" si="178">R40/100000</f>
        <v>20835.839038862588</v>
      </c>
      <c r="T40">
        <f t="shared" ref="T40" si="179">S40/1000</f>
        <v>20.835839038862588</v>
      </c>
    </row>
    <row r="41" spans="1:20" x14ac:dyDescent="0.25">
      <c r="A41" s="5">
        <v>44552</v>
      </c>
      <c r="B41">
        <v>5.1479999999999997</v>
      </c>
      <c r="C41">
        <v>5.2683</v>
      </c>
      <c r="D41">
        <v>5.0473999999999997</v>
      </c>
      <c r="E41">
        <v>5.1105</v>
      </c>
      <c r="F41">
        <v>35833821</v>
      </c>
      <c r="G41">
        <v>5.1105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-0.42870076957899245</v>
      </c>
      <c r="Q41">
        <f t="shared" ref="Q41" si="181">F41*P41</f>
        <v>-15361986.63965586</v>
      </c>
      <c r="R41">
        <f t="shared" ref="R41" si="182">R42+Q41</f>
        <v>1997174968.7678249</v>
      </c>
      <c r="S41">
        <f t="shared" ref="S41" si="183">R41/100000</f>
        <v>19971.74968767825</v>
      </c>
      <c r="T41">
        <f t="shared" ref="T41" si="184">S41/1000</f>
        <v>19.971749687678251</v>
      </c>
    </row>
    <row r="42" spans="1:20" x14ac:dyDescent="0.25">
      <c r="A42" s="5">
        <v>44551</v>
      </c>
      <c r="B42">
        <v>4.9625000000000004</v>
      </c>
      <c r="C42">
        <v>5.2079000000000004</v>
      </c>
      <c r="D42">
        <v>4.8769999999999998</v>
      </c>
      <c r="E42">
        <v>5.1479999999999997</v>
      </c>
      <c r="F42">
        <v>37145047</v>
      </c>
      <c r="G42">
        <v>5.1479999999999997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0.63795708673314833</v>
      </c>
      <c r="Q42">
        <f t="shared" ref="Q42" si="186">F42*P42</f>
        <v>23696945.970685869</v>
      </c>
      <c r="R42">
        <f t="shared" ref="R42" si="187">R43+Q42</f>
        <v>2012536955.4074807</v>
      </c>
      <c r="S42">
        <f t="shared" ref="S42" si="188">R42/100000</f>
        <v>20125.369554074809</v>
      </c>
      <c r="T42">
        <f t="shared" ref="T42" si="189">S42/1000</f>
        <v>20.125369554074808</v>
      </c>
    </row>
    <row r="43" spans="1:20" x14ac:dyDescent="0.25">
      <c r="A43" s="5">
        <v>44550</v>
      </c>
      <c r="B43">
        <v>5.0118999999999998</v>
      </c>
      <c r="C43">
        <v>5.0788000000000002</v>
      </c>
      <c r="D43">
        <v>4.7233000000000001</v>
      </c>
      <c r="E43">
        <v>4.9625000000000004</v>
      </c>
      <c r="F43">
        <v>36316779</v>
      </c>
      <c r="G43">
        <v>4.9625000000000004</v>
      </c>
      <c r="L43" t="s">
        <v>7</v>
      </c>
      <c r="M43" t="s">
        <v>8</v>
      </c>
      <c r="N43" t="s">
        <v>7</v>
      </c>
      <c r="P43">
        <f t="shared" ref="P43" si="190">IF(C43=D43,0,((E43-D43)-(C43-E43))/(C43-D43))</f>
        <v>0.34571026722925569</v>
      </c>
      <c r="Q43">
        <f t="shared" ref="Q43" si="191">F43*P43</f>
        <v>12555083.372995822</v>
      </c>
      <c r="R43">
        <f t="shared" ref="R43" si="192">R44+Q43</f>
        <v>1988840009.4367948</v>
      </c>
      <c r="S43">
        <f t="shared" ref="S43" si="193">R43/100000</f>
        <v>19888.400094367949</v>
      </c>
      <c r="T43">
        <f t="shared" ref="T43" si="194">S43/1000</f>
        <v>19.888400094367949</v>
      </c>
    </row>
    <row r="44" spans="1:20" x14ac:dyDescent="0.25">
      <c r="A44" s="5">
        <v>44549</v>
      </c>
      <c r="B44">
        <v>5.1562999999999999</v>
      </c>
      <c r="C44">
        <v>5.2773000000000003</v>
      </c>
      <c r="D44">
        <v>4.9782999999999999</v>
      </c>
      <c r="E44">
        <v>5.0118</v>
      </c>
      <c r="F44">
        <v>41077878</v>
      </c>
      <c r="G44">
        <v>5.0118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-0.77591973244147128</v>
      </c>
      <c r="Q44">
        <f t="shared" ref="Q44" si="196">F44*P44</f>
        <v>-31873136.107023399</v>
      </c>
      <c r="R44">
        <f t="shared" ref="R44" si="197">R45+Q44</f>
        <v>1976284926.0637989</v>
      </c>
      <c r="S44">
        <f t="shared" ref="S44" si="198">R44/100000</f>
        <v>19762.849260637988</v>
      </c>
      <c r="T44">
        <f t="shared" ref="T44" si="199">S44/1000</f>
        <v>19.762849260637989</v>
      </c>
    </row>
    <row r="45" spans="1:20" x14ac:dyDescent="0.25">
      <c r="A45" s="5">
        <v>44548</v>
      </c>
      <c r="B45">
        <v>4.9111000000000002</v>
      </c>
      <c r="C45">
        <v>5.2797000000000001</v>
      </c>
      <c r="D45">
        <v>4.8230000000000004</v>
      </c>
      <c r="E45">
        <v>5.1562999999999999</v>
      </c>
      <c r="F45">
        <v>49009080</v>
      </c>
      <c r="G45">
        <v>5.1562999999999999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0.45960148894241182</v>
      </c>
      <c r="Q45">
        <f t="shared" ref="Q45" si="201">F45*P45</f>
        <v>22524646.139697775</v>
      </c>
      <c r="R45">
        <f t="shared" ref="R45" si="202">R46+Q45</f>
        <v>2008158062.1708224</v>
      </c>
      <c r="S45">
        <f t="shared" ref="S45" si="203">R45/100000</f>
        <v>20081.580621708224</v>
      </c>
      <c r="T45">
        <f t="shared" ref="T45" si="204">S45/1000</f>
        <v>20.081580621708223</v>
      </c>
    </row>
    <row r="46" spans="1:20" x14ac:dyDescent="0.25">
      <c r="A46" s="5">
        <v>44547</v>
      </c>
      <c r="B46">
        <v>4.9465000000000003</v>
      </c>
      <c r="C46">
        <v>5.0808999999999997</v>
      </c>
      <c r="D46">
        <v>4.6624999999999996</v>
      </c>
      <c r="E46">
        <v>4.9107000000000003</v>
      </c>
      <c r="F46">
        <v>51417560</v>
      </c>
      <c r="G46">
        <v>4.9107000000000003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0.18642447418738328</v>
      </c>
      <c r="Q46">
        <f t="shared" ref="Q46" si="206">F46*P46</f>
        <v>9585491.5869982317</v>
      </c>
      <c r="R46">
        <f t="shared" ref="R46" si="207">R47+Q46</f>
        <v>1985633416.0311246</v>
      </c>
      <c r="S46">
        <f t="shared" ref="S46" si="208">R46/100000</f>
        <v>19856.334160311246</v>
      </c>
      <c r="T46">
        <f t="shared" ref="T46" si="209">S46/1000</f>
        <v>19.856334160311246</v>
      </c>
    </row>
    <row r="47" spans="1:20" x14ac:dyDescent="0.25">
      <c r="A47" s="5">
        <v>44546</v>
      </c>
      <c r="B47">
        <v>5.1365999999999996</v>
      </c>
      <c r="C47">
        <v>5.3563999999999998</v>
      </c>
      <c r="D47">
        <v>4.9061000000000003</v>
      </c>
      <c r="E47">
        <v>4.9455</v>
      </c>
      <c r="F47">
        <v>52416815</v>
      </c>
      <c r="G47">
        <v>4.9455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-0.82500555185432067</v>
      </c>
      <c r="Q47">
        <f t="shared" ref="Q47" si="211">F47*P47</f>
        <v>-43244163.385520831</v>
      </c>
      <c r="R47">
        <f t="shared" ref="R47" si="212">R48+Q47</f>
        <v>1976047924.4441264</v>
      </c>
      <c r="S47">
        <f t="shared" ref="S47" si="213">R47/100000</f>
        <v>19760.479244441263</v>
      </c>
      <c r="T47">
        <f t="shared" ref="T47" si="214">S47/1000</f>
        <v>19.760479244441264</v>
      </c>
    </row>
    <row r="48" spans="1:20" x14ac:dyDescent="0.25">
      <c r="A48" s="5">
        <v>44545</v>
      </c>
      <c r="B48">
        <v>4.7724000000000002</v>
      </c>
      <c r="C48">
        <v>5.2050999999999998</v>
      </c>
      <c r="D48">
        <v>4.42</v>
      </c>
      <c r="E48">
        <v>5.1365999999999996</v>
      </c>
      <c r="F48">
        <v>67137547</v>
      </c>
      <c r="G48">
        <v>5.1365999999999996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0.82549993631384477</v>
      </c>
      <c r="Q48">
        <f t="shared" ref="Q48" si="216">F48*P48</f>
        <v>55422040.77276776</v>
      </c>
      <c r="R48">
        <f t="shared" ref="R48" si="217">R49+Q48</f>
        <v>2019292087.8296473</v>
      </c>
      <c r="S48">
        <f t="shared" ref="S48" si="218">R48/100000</f>
        <v>20192.920878296474</v>
      </c>
      <c r="T48">
        <f t="shared" ref="T48" si="219">S48/1000</f>
        <v>20.192920878296473</v>
      </c>
    </row>
    <row r="49" spans="1:20" x14ac:dyDescent="0.25">
      <c r="A49" s="5">
        <v>44544</v>
      </c>
      <c r="B49">
        <v>4.7941000000000003</v>
      </c>
      <c r="C49">
        <v>4.9000000000000004</v>
      </c>
      <c r="D49">
        <v>4.548</v>
      </c>
      <c r="E49">
        <v>4.7725999999999997</v>
      </c>
      <c r="F49">
        <v>50280021</v>
      </c>
      <c r="G49">
        <v>4.7725999999999997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0.27613636363636074</v>
      </c>
      <c r="Q49">
        <f t="shared" ref="Q49" si="221">F49*P49</f>
        <v>13884142.162499854</v>
      </c>
      <c r="R49">
        <f t="shared" ref="R49" si="222">R50+Q49</f>
        <v>1963870047.0568795</v>
      </c>
      <c r="S49">
        <f t="shared" ref="S49" si="223">R49/100000</f>
        <v>19638.700470568794</v>
      </c>
      <c r="T49">
        <f t="shared" ref="T49" si="224">S49/1000</f>
        <v>19.638700470568793</v>
      </c>
    </row>
    <row r="50" spans="1:20" x14ac:dyDescent="0.25">
      <c r="A50" s="5">
        <v>44543</v>
      </c>
      <c r="B50">
        <v>5.4573999999999998</v>
      </c>
      <c r="C50">
        <v>5.6224999999999996</v>
      </c>
      <c r="D50">
        <v>4.6779999999999999</v>
      </c>
      <c r="E50">
        <v>4.7941000000000003</v>
      </c>
      <c r="F50">
        <v>75563774</v>
      </c>
      <c r="G50">
        <v>4.7941000000000003</v>
      </c>
      <c r="L50" t="s">
        <v>8</v>
      </c>
      <c r="M50" t="s">
        <v>8</v>
      </c>
      <c r="N50" t="s">
        <v>8</v>
      </c>
      <c r="P50">
        <f t="shared" ref="P50" si="225">IF(C50=D50,0,((E50-D50)-(C50-E50))/(C50-D50))</f>
        <v>-0.75415563790365192</v>
      </c>
      <c r="Q50">
        <f t="shared" ref="Q50" si="226">F50*P50</f>
        <v>-56986846.183377385</v>
      </c>
      <c r="R50">
        <f t="shared" ref="R50" si="227">R51+Q50</f>
        <v>1949985904.8943796</v>
      </c>
      <c r="S50">
        <f t="shared" ref="S50" si="228">R50/100000</f>
        <v>19499.859048943796</v>
      </c>
      <c r="T50">
        <f t="shared" ref="T50" si="229">S50/1000</f>
        <v>19.499859048943797</v>
      </c>
    </row>
    <row r="51" spans="1:20" x14ac:dyDescent="0.25">
      <c r="A51" s="5">
        <v>44542</v>
      </c>
      <c r="B51">
        <v>5.0570000000000004</v>
      </c>
      <c r="C51">
        <v>5.5106000000000002</v>
      </c>
      <c r="D51">
        <v>5.0327000000000002</v>
      </c>
      <c r="E51">
        <v>5.4564000000000004</v>
      </c>
      <c r="F51">
        <v>71226968</v>
      </c>
      <c r="G51">
        <v>5.4564000000000004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0.77317430424775135</v>
      </c>
      <c r="Q51">
        <f t="shared" ref="Q51" si="231">F51*P51</f>
        <v>55070861.427076846</v>
      </c>
      <c r="R51">
        <f t="shared" ref="R51" si="232">R52+Q51</f>
        <v>2006972751.0777569</v>
      </c>
      <c r="S51">
        <f t="shared" ref="S51" si="233">R51/100000</f>
        <v>20069.727510777568</v>
      </c>
      <c r="T51">
        <f t="shared" ref="T51" si="234">S51/1000</f>
        <v>20.069727510777568</v>
      </c>
    </row>
    <row r="52" spans="1:20" x14ac:dyDescent="0.25">
      <c r="A52" s="5">
        <v>44541</v>
      </c>
      <c r="B52">
        <v>4.8425000000000002</v>
      </c>
      <c r="C52">
        <v>4.91</v>
      </c>
      <c r="D52">
        <v>4.7230999999999996</v>
      </c>
      <c r="E52">
        <v>4.8783000000000003</v>
      </c>
      <c r="F52">
        <v>5317169</v>
      </c>
      <c r="G52">
        <v>4.8783000000000003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0.66078116639914652</v>
      </c>
      <c r="Q52">
        <f t="shared" ref="Q52" si="236">F52*P52</f>
        <v>3513485.1337613836</v>
      </c>
      <c r="R52">
        <f t="shared" ref="R52" si="237">R53+Q52</f>
        <v>1951901889.6506801</v>
      </c>
      <c r="S52">
        <f t="shared" ref="S52" si="238">R52/100000</f>
        <v>19519.018896506801</v>
      </c>
      <c r="T52">
        <f t="shared" ref="T52" si="239">S52/1000</f>
        <v>19.5190188965068</v>
      </c>
    </row>
    <row r="53" spans="1:20" x14ac:dyDescent="0.25">
      <c r="A53" s="5">
        <v>44540</v>
      </c>
      <c r="B53">
        <v>5.1927000000000003</v>
      </c>
      <c r="C53">
        <v>5.3658999999999999</v>
      </c>
      <c r="D53">
        <v>4.8144999999999998</v>
      </c>
      <c r="E53">
        <v>4.8444000000000003</v>
      </c>
      <c r="F53">
        <v>72670128</v>
      </c>
      <c r="G53">
        <v>4.8444000000000003</v>
      </c>
      <c r="L53" t="s">
        <v>7</v>
      </c>
      <c r="M53" t="s">
        <v>8</v>
      </c>
      <c r="N53" t="s">
        <v>8</v>
      </c>
      <c r="P53">
        <f t="shared" ref="P53" si="240">IF(C53=D53,0,((E53-D53)-(C53-E53))/(C53-D53))</f>
        <v>-0.89154878491113354</v>
      </c>
      <c r="Q53">
        <f t="shared" ref="Q53" si="241">F53*P53</f>
        <v>-64788964.317736544</v>
      </c>
      <c r="R53">
        <f t="shared" ref="R53" si="242">R54+Q53</f>
        <v>1948388404.5169187</v>
      </c>
      <c r="S53">
        <f t="shared" ref="S53" si="243">R53/100000</f>
        <v>19483.884045169187</v>
      </c>
      <c r="T53">
        <f t="shared" ref="T53" si="244">S53/1000</f>
        <v>19.483884045169187</v>
      </c>
    </row>
    <row r="54" spans="1:20" x14ac:dyDescent="0.25">
      <c r="A54" s="5">
        <v>44539</v>
      </c>
      <c r="B54">
        <v>5.3451000000000004</v>
      </c>
      <c r="C54">
        <v>5.6776999999999997</v>
      </c>
      <c r="D54">
        <v>5.0998000000000001</v>
      </c>
      <c r="E54">
        <v>5.1947000000000001</v>
      </c>
      <c r="F54">
        <v>99448038</v>
      </c>
      <c r="G54">
        <v>5.1947000000000001</v>
      </c>
      <c r="L54" t="s">
        <v>8</v>
      </c>
      <c r="M54" t="s">
        <v>8</v>
      </c>
      <c r="N54" t="s">
        <v>8</v>
      </c>
      <c r="P54">
        <f t="shared" ref="P54" si="245">IF(C54=D54,0,((E54-D54)-(C54-E54))/(C54-D54))</f>
        <v>-0.67156947568783509</v>
      </c>
      <c r="Q54">
        <f t="shared" ref="Q54" si="246">F54*P54</f>
        <v>-66786266.737843901</v>
      </c>
      <c r="R54">
        <f t="shared" ref="R54" si="247">R55+Q54</f>
        <v>2013177368.8346553</v>
      </c>
      <c r="S54">
        <f t="shared" ref="S54" si="248">R54/100000</f>
        <v>20131.773688346551</v>
      </c>
      <c r="T54">
        <f t="shared" ref="T54" si="249">S54/1000</f>
        <v>20.131773688346552</v>
      </c>
    </row>
    <row r="55" spans="1:20" x14ac:dyDescent="0.25">
      <c r="A55" s="5">
        <v>44538</v>
      </c>
      <c r="B55">
        <v>5.3045</v>
      </c>
      <c r="C55">
        <v>5.4984000000000002</v>
      </c>
      <c r="D55">
        <v>5.0110000000000001</v>
      </c>
      <c r="E55">
        <v>5.3442999999999996</v>
      </c>
      <c r="F55">
        <v>53245840</v>
      </c>
      <c r="G55">
        <v>5.3442999999999996</v>
      </c>
      <c r="L55" t="s">
        <v>7</v>
      </c>
      <c r="M55" t="s">
        <v>8</v>
      </c>
      <c r="N55" t="s">
        <v>8</v>
      </c>
      <c r="P55">
        <f t="shared" ref="P55" si="250">IF(C55=D55,0,((E55-D55)-(C55-E55))/(C55-D55))</f>
        <v>0.36766516208452787</v>
      </c>
      <c r="Q55">
        <f t="shared" ref="Q55" si="251">F55*P55</f>
        <v>19576640.393926837</v>
      </c>
      <c r="R55">
        <f t="shared" ref="R55" si="252">R56+Q55</f>
        <v>2079963635.5724993</v>
      </c>
      <c r="S55">
        <f t="shared" ref="S55" si="253">R55/100000</f>
        <v>20799.636355724993</v>
      </c>
      <c r="T55">
        <f t="shared" ref="T55" si="254">S55/1000</f>
        <v>20.799636355724992</v>
      </c>
    </row>
    <row r="56" spans="1:20" x14ac:dyDescent="0.25">
      <c r="A56" s="5">
        <v>44537</v>
      </c>
      <c r="B56">
        <v>5.4852999999999996</v>
      </c>
      <c r="C56">
        <v>5.7328999999999999</v>
      </c>
      <c r="D56">
        <v>5.2229999999999999</v>
      </c>
      <c r="E56">
        <v>5.3042999999999996</v>
      </c>
      <c r="F56">
        <v>62074212</v>
      </c>
      <c r="G56">
        <v>5.3042999999999996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-0.6811139439105719</v>
      </c>
      <c r="Q56">
        <f t="shared" ref="Q56" si="256">F56*P56</f>
        <v>-42279611.350460947</v>
      </c>
      <c r="R56">
        <f t="shared" ref="R56" si="257">R57+Q56</f>
        <v>2060386995.1785724</v>
      </c>
      <c r="S56">
        <f t="shared" ref="S56" si="258">R56/100000</f>
        <v>20603.869951785724</v>
      </c>
      <c r="T56">
        <f t="shared" ref="T56" si="259">S56/1000</f>
        <v>20.603869951785725</v>
      </c>
    </row>
    <row r="57" spans="1:20" x14ac:dyDescent="0.25">
      <c r="A57" s="5">
        <v>44536</v>
      </c>
      <c r="B57">
        <v>5.4080000000000004</v>
      </c>
      <c r="C57">
        <v>5.6978999999999997</v>
      </c>
      <c r="D57">
        <v>4.7610000000000001</v>
      </c>
      <c r="E57">
        <v>5.4889000000000001</v>
      </c>
      <c r="F57">
        <v>114076001</v>
      </c>
      <c r="G57">
        <v>5.4889000000000001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0.55384779592272448</v>
      </c>
      <c r="Q57">
        <f t="shared" ref="Q57" si="261">F57*P57</f>
        <v>63180741.721528515</v>
      </c>
      <c r="R57">
        <f t="shared" ref="R57" si="262">R58+Q57</f>
        <v>2102666606.5290334</v>
      </c>
      <c r="S57">
        <f t="shared" ref="S57" si="263">R57/100000</f>
        <v>21026.666065290334</v>
      </c>
      <c r="T57">
        <f t="shared" ref="T57" si="264">S57/1000</f>
        <v>21.026666065290335</v>
      </c>
    </row>
    <row r="58" spans="1:20" x14ac:dyDescent="0.25">
      <c r="A58" s="5">
        <v>44535</v>
      </c>
      <c r="B58">
        <v>6.0743999999999998</v>
      </c>
      <c r="C58">
        <v>6.1463999999999999</v>
      </c>
      <c r="D58">
        <v>5.1923000000000004</v>
      </c>
      <c r="E58">
        <v>5.4081000000000001</v>
      </c>
      <c r="F58">
        <v>88973594</v>
      </c>
      <c r="G58">
        <v>5.4081000000000001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-0.54763651608846053</v>
      </c>
      <c r="Q58">
        <f t="shared" ref="Q58" si="266">F58*P58</f>
        <v>-48725189.042029157</v>
      </c>
      <c r="R58">
        <f t="shared" ref="R58" si="267">R59+Q58</f>
        <v>2039485864.8075049</v>
      </c>
      <c r="S58">
        <f t="shared" ref="S58" si="268">R58/100000</f>
        <v>20394.858648075049</v>
      </c>
      <c r="T58">
        <f t="shared" ref="T58" si="269">S58/1000</f>
        <v>20.394858648075051</v>
      </c>
    </row>
    <row r="59" spans="1:20" x14ac:dyDescent="0.25">
      <c r="A59" s="5">
        <v>44534</v>
      </c>
      <c r="B59">
        <v>6.016</v>
      </c>
      <c r="C59">
        <v>6.2</v>
      </c>
      <c r="D59">
        <v>4.1253000000000002</v>
      </c>
      <c r="E59">
        <v>6.0740999999999996</v>
      </c>
      <c r="F59">
        <v>207859284</v>
      </c>
      <c r="G59">
        <v>6.0740999999999996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0.87863305538150038</v>
      </c>
      <c r="Q59">
        <f t="shared" ref="Q59" si="271">F59*P59</f>
        <v>182632037.79033101</v>
      </c>
      <c r="R59">
        <f t="shared" ref="R59" si="272">R60+Q59</f>
        <v>2088211053.849534</v>
      </c>
      <c r="S59">
        <f t="shared" ref="S59" si="273">R59/100000</f>
        <v>20882.110538495341</v>
      </c>
      <c r="T59">
        <f t="shared" ref="T59" si="274">S59/1000</f>
        <v>20.88211053849534</v>
      </c>
    </row>
    <row r="60" spans="1:20" x14ac:dyDescent="0.25">
      <c r="A60" s="5">
        <v>44533</v>
      </c>
      <c r="B60">
        <v>6.6955</v>
      </c>
      <c r="C60">
        <v>7.2</v>
      </c>
      <c r="D60">
        <v>5.6627999999999998</v>
      </c>
      <c r="E60">
        <v>6.0174000000000003</v>
      </c>
      <c r="F60">
        <v>105612083</v>
      </c>
      <c r="G60">
        <v>6.0174000000000003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-0.53864168618266928</v>
      </c>
      <c r="Q60">
        <f t="shared" ref="Q60" si="276">F60*P60</f>
        <v>-56887070.46838402</v>
      </c>
      <c r="R60">
        <f t="shared" ref="R60" si="277">R61+Q60</f>
        <v>1905579016.0592029</v>
      </c>
      <c r="S60">
        <f t="shared" ref="S60" si="278">R60/100000</f>
        <v>19055.790160592031</v>
      </c>
      <c r="T60">
        <f t="shared" ref="T60" si="279">S60/1000</f>
        <v>19.055790160592032</v>
      </c>
    </row>
    <row r="61" spans="1:20" x14ac:dyDescent="0.25">
      <c r="A61" s="5">
        <v>44532</v>
      </c>
      <c r="B61">
        <v>6.5708000000000002</v>
      </c>
      <c r="C61">
        <v>6.8677999999999999</v>
      </c>
      <c r="D61">
        <v>6.0052000000000003</v>
      </c>
      <c r="E61">
        <v>6.6920000000000002</v>
      </c>
      <c r="F61">
        <v>105680845</v>
      </c>
      <c r="G61">
        <v>6.6920000000000002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0.59239508462786961</v>
      </c>
      <c r="Q61">
        <f t="shared" ref="Q61" si="281">F61*P61</f>
        <v>62604813.11731977</v>
      </c>
      <c r="R61">
        <f t="shared" ref="R61" si="282">R62+Q61</f>
        <v>1962466086.5275869</v>
      </c>
      <c r="S61">
        <f t="shared" ref="S61" si="283">R61/100000</f>
        <v>19624.66086527587</v>
      </c>
      <c r="T61">
        <f t="shared" ref="T61" si="284">S61/1000</f>
        <v>19.624660865275871</v>
      </c>
    </row>
    <row r="62" spans="1:20" x14ac:dyDescent="0.25">
      <c r="A62" s="5">
        <v>44531</v>
      </c>
      <c r="B62">
        <v>6.7923999999999998</v>
      </c>
      <c r="C62">
        <v>7.04</v>
      </c>
      <c r="D62">
        <v>6.3009000000000004</v>
      </c>
      <c r="E62">
        <v>6.5712000000000002</v>
      </c>
      <c r="F62">
        <v>84532899</v>
      </c>
      <c r="G62">
        <v>6.5712000000000002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-0.26856988228927103</v>
      </c>
      <c r="Q62">
        <f t="shared" ref="Q62" si="286">F62*P62</f>
        <v>-22702990.734000836</v>
      </c>
      <c r="R62">
        <f t="shared" ref="R62" si="287">R63+Q62</f>
        <v>1899861273.4102671</v>
      </c>
      <c r="S62">
        <f t="shared" ref="S62" si="288">R62/100000</f>
        <v>18998.612734102669</v>
      </c>
      <c r="T62">
        <f t="shared" ref="T62" si="289">S62/1000</f>
        <v>18.998612734102668</v>
      </c>
    </row>
    <row r="63" spans="1:20" x14ac:dyDescent="0.25">
      <c r="A63" s="5">
        <v>44530</v>
      </c>
      <c r="B63">
        <v>6.9837999999999996</v>
      </c>
      <c r="C63">
        <v>7.1973000000000003</v>
      </c>
      <c r="D63">
        <v>6.6300999999999997</v>
      </c>
      <c r="E63">
        <v>6.7923999999999998</v>
      </c>
      <c r="F63">
        <v>117469992</v>
      </c>
      <c r="G63">
        <v>6.7923999999999998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-0.42771509167842053</v>
      </c>
      <c r="Q63">
        <f t="shared" ref="Q63" si="291">F63*P63</f>
        <v>-50243688.397743329</v>
      </c>
      <c r="R63">
        <f t="shared" ref="R63" si="292">R64+Q63</f>
        <v>1922564264.144268</v>
      </c>
      <c r="S63">
        <f t="shared" ref="S63" si="293">R63/100000</f>
        <v>19225.642641442679</v>
      </c>
      <c r="T63">
        <f t="shared" ref="T63" si="294">S63/1000</f>
        <v>19.225642641442679</v>
      </c>
    </row>
    <row r="64" spans="1:20" x14ac:dyDescent="0.25">
      <c r="A64" s="5">
        <v>44529</v>
      </c>
      <c r="B64">
        <v>7.5141999999999998</v>
      </c>
      <c r="C64">
        <v>7.944</v>
      </c>
      <c r="D64">
        <v>6.9276</v>
      </c>
      <c r="E64">
        <v>6.9847000000000001</v>
      </c>
      <c r="F64">
        <v>167360741</v>
      </c>
      <c r="G64">
        <v>6.9847000000000001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-0.88764266036993278</v>
      </c>
      <c r="Q64">
        <f t="shared" ref="Q64" si="296">F64*P64</f>
        <v>-148556533.38272327</v>
      </c>
      <c r="R64">
        <f t="shared" ref="R64" si="297">R65+Q64</f>
        <v>1972807952.5420113</v>
      </c>
      <c r="S64">
        <f t="shared" ref="S64" si="298">R64/100000</f>
        <v>19728.079525420111</v>
      </c>
      <c r="T64">
        <f t="shared" ref="T64" si="299">S64/1000</f>
        <v>19.72807952542011</v>
      </c>
    </row>
    <row r="65" spans="1:20" x14ac:dyDescent="0.25">
      <c r="A65" s="5">
        <v>44528</v>
      </c>
      <c r="B65">
        <v>6.5448000000000004</v>
      </c>
      <c r="C65">
        <v>7.5837000000000003</v>
      </c>
      <c r="D65">
        <v>5.7607999999999997</v>
      </c>
      <c r="E65">
        <v>7.5136000000000003</v>
      </c>
      <c r="F65">
        <v>230062096</v>
      </c>
      <c r="G65">
        <v>7.5136000000000003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0.92308958253332596</v>
      </c>
      <c r="Q65">
        <f t="shared" ref="Q65" si="301">F65*P65</f>
        <v>212367924.15338197</v>
      </c>
      <c r="R65">
        <f t="shared" ref="R65" si="302">R66+Q65</f>
        <v>2121364485.9247346</v>
      </c>
      <c r="S65">
        <f t="shared" ref="S65" si="303">R65/100000</f>
        <v>21213.644859247346</v>
      </c>
      <c r="T65">
        <f t="shared" ref="T65" si="304">S65/1000</f>
        <v>21.213644859247346</v>
      </c>
    </row>
    <row r="66" spans="1:20" x14ac:dyDescent="0.25">
      <c r="A66" s="5">
        <v>44527</v>
      </c>
      <c r="B66">
        <v>6.9987000000000004</v>
      </c>
      <c r="C66">
        <v>7.1189</v>
      </c>
      <c r="D66">
        <v>6.1813000000000002</v>
      </c>
      <c r="E66">
        <v>6.5442</v>
      </c>
      <c r="F66">
        <v>137871195</v>
      </c>
      <c r="G66">
        <v>6.5442</v>
      </c>
      <c r="L66" t="s">
        <v>7</v>
      </c>
      <c r="M66" t="s">
        <v>7</v>
      </c>
      <c r="N66" t="s">
        <v>8</v>
      </c>
      <c r="P66">
        <f t="shared" ref="P66" si="305">IF(C66=D66,0,((E66-D66)-(C66-E66))/(C66-D66))</f>
        <v>-0.22589590443686036</v>
      </c>
      <c r="Q66">
        <f t="shared" ref="Q66" si="306">F66*P66</f>
        <v>-31144538.29031574</v>
      </c>
      <c r="R66">
        <f t="shared" ref="R66" si="307">R67+Q66</f>
        <v>1908996561.7713525</v>
      </c>
      <c r="S66">
        <f t="shared" ref="S66" si="308">R66/100000</f>
        <v>19089.965617713526</v>
      </c>
      <c r="T66">
        <f t="shared" ref="T66" si="309">S66/1000</f>
        <v>19.089965617713524</v>
      </c>
    </row>
    <row r="67" spans="1:20" x14ac:dyDescent="0.25">
      <c r="A67" s="5">
        <v>44526</v>
      </c>
      <c r="B67">
        <v>7.1731999999999996</v>
      </c>
      <c r="C67">
        <v>7.7788000000000004</v>
      </c>
      <c r="D67">
        <v>6.33</v>
      </c>
      <c r="E67">
        <v>6.9936999999999996</v>
      </c>
      <c r="F67">
        <v>255191482</v>
      </c>
      <c r="G67">
        <v>6.9936999999999996</v>
      </c>
      <c r="L67" t="s">
        <v>7</v>
      </c>
      <c r="M67" t="s">
        <v>7</v>
      </c>
      <c r="N67" t="s">
        <v>8</v>
      </c>
      <c r="P67">
        <f t="shared" ref="P67" si="310">IF(C67=D67,0,((E67-D67)-(C67-E67))/(C67-D67))</f>
        <v>-8.3793484262839085E-2</v>
      </c>
      <c r="Q67">
        <f t="shared" ref="Q67" si="311">F67*P67</f>
        <v>-21383383.430977583</v>
      </c>
      <c r="R67">
        <f t="shared" ref="R67" si="312">R68+Q67</f>
        <v>1940141100.0616682</v>
      </c>
      <c r="S67">
        <f t="shared" ref="S67" si="313">R67/100000</f>
        <v>19401.411000616681</v>
      </c>
      <c r="T67">
        <f t="shared" ref="T67" si="314">S67/1000</f>
        <v>19.40141100061668</v>
      </c>
    </row>
    <row r="68" spans="1:20" x14ac:dyDescent="0.25">
      <c r="A68" s="5">
        <v>44525</v>
      </c>
      <c r="B68">
        <v>7.47</v>
      </c>
      <c r="C68">
        <v>8.4876000000000005</v>
      </c>
      <c r="D68">
        <v>6.6722000000000001</v>
      </c>
      <c r="E68">
        <v>7.1738</v>
      </c>
      <c r="F68">
        <v>342695875</v>
      </c>
      <c r="G68">
        <v>7.1738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-0.44739451360581722</v>
      </c>
      <c r="Q68">
        <f t="shared" ref="Q68" si="316">F68*P68</f>
        <v>-153320254.31034493</v>
      </c>
      <c r="R68">
        <f t="shared" ref="R68" si="317">R69+Q68</f>
        <v>1961524483.4926457</v>
      </c>
      <c r="S68">
        <f t="shared" ref="S68" si="318">R68/100000</f>
        <v>19615.244834926456</v>
      </c>
      <c r="T68">
        <f t="shared" ref="T68" si="319">S68/1000</f>
        <v>19.615244834926457</v>
      </c>
    </row>
    <row r="69" spans="1:20" x14ac:dyDescent="0.25">
      <c r="A69" s="5">
        <v>44524</v>
      </c>
      <c r="B69">
        <v>5.3494999999999999</v>
      </c>
      <c r="C69">
        <v>7.0670000000000002</v>
      </c>
      <c r="D69">
        <v>5.2450000000000001</v>
      </c>
      <c r="E69">
        <v>6.8106999999999998</v>
      </c>
      <c r="F69">
        <v>154969173</v>
      </c>
      <c r="G69">
        <v>6.8106999999999998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0.71866081229418177</v>
      </c>
      <c r="Q69">
        <f t="shared" ref="Q69" si="321">F69*P69</f>
        <v>111370271.74873759</v>
      </c>
      <c r="R69">
        <f t="shared" ref="R69" si="322">R70+Q69</f>
        <v>2114844737.8029907</v>
      </c>
      <c r="S69">
        <f t="shared" ref="S69" si="323">R69/100000</f>
        <v>21148.447378029905</v>
      </c>
      <c r="T69">
        <f t="shared" ref="T69" si="324">S69/1000</f>
        <v>21.148447378029903</v>
      </c>
    </row>
    <row r="70" spans="1:20" x14ac:dyDescent="0.25">
      <c r="A70" s="5">
        <v>44523</v>
      </c>
      <c r="B70">
        <v>4.9622999999999999</v>
      </c>
      <c r="C70">
        <v>5.69</v>
      </c>
      <c r="D70">
        <v>4.8573000000000004</v>
      </c>
      <c r="E70">
        <v>5.3506999999999998</v>
      </c>
      <c r="F70">
        <v>284659758</v>
      </c>
      <c r="G70">
        <v>5.3506999999999998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0.18506064609102774</v>
      </c>
      <c r="Q70">
        <f t="shared" ref="Q70" si="326">F70*P70</f>
        <v>52679318.731595598</v>
      </c>
      <c r="R70">
        <f t="shared" ref="R70" si="327">R71+Q70</f>
        <v>2003474466.0542531</v>
      </c>
      <c r="S70">
        <f t="shared" ref="S70" si="328">R70/100000</f>
        <v>20034.744660542532</v>
      </c>
      <c r="T70">
        <f t="shared" ref="T70" si="329">S70/1000</f>
        <v>20.034744660542533</v>
      </c>
    </row>
    <row r="71" spans="1:20" x14ac:dyDescent="0.25">
      <c r="A71" s="5">
        <v>44522</v>
      </c>
      <c r="B71">
        <v>4.0114999999999998</v>
      </c>
      <c r="C71">
        <v>4.9800000000000004</v>
      </c>
      <c r="D71">
        <v>3.7216</v>
      </c>
      <c r="E71">
        <v>4.9641000000000002</v>
      </c>
      <c r="F71">
        <v>207784296</v>
      </c>
      <c r="G71">
        <v>4.9641000000000002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0.97472981563890615</v>
      </c>
      <c r="Q71">
        <f t="shared" ref="Q71" si="331">F71*P71</f>
        <v>202533548.53273991</v>
      </c>
      <c r="R71">
        <f t="shared" ref="R71" si="332">R72+Q71</f>
        <v>1950795147.3226576</v>
      </c>
      <c r="S71">
        <f t="shared" ref="S71" si="333">R71/100000</f>
        <v>19507.951473226574</v>
      </c>
      <c r="T71">
        <f t="shared" ref="T71" si="334">S71/1000</f>
        <v>19.507951473226573</v>
      </c>
    </row>
    <row r="72" spans="1:20" x14ac:dyDescent="0.25">
      <c r="A72" s="5">
        <v>44521</v>
      </c>
      <c r="B72">
        <v>4.2107999999999999</v>
      </c>
      <c r="C72">
        <v>4.46</v>
      </c>
      <c r="D72">
        <v>3.8462000000000001</v>
      </c>
      <c r="E72">
        <v>4.0110000000000001</v>
      </c>
      <c r="F72">
        <v>119848369</v>
      </c>
      <c r="G72">
        <v>4.0110000000000001</v>
      </c>
      <c r="L72" t="s">
        <v>7</v>
      </c>
      <c r="M72" t="s">
        <v>7</v>
      </c>
      <c r="N72" t="s">
        <v>8</v>
      </c>
      <c r="P72">
        <f t="shared" ref="P72" si="335">IF(C72=D72,0,((E72-D72)-(C72-E72))/(C72-D72))</f>
        <v>-0.46301726946888211</v>
      </c>
      <c r="Q72">
        <f t="shared" ref="Q72" si="336">F72*P72</f>
        <v>-55491864.564679019</v>
      </c>
      <c r="R72">
        <f t="shared" ref="R72" si="337">R73+Q72</f>
        <v>1748261598.7899177</v>
      </c>
      <c r="S72">
        <f t="shared" ref="S72" si="338">R72/100000</f>
        <v>17482.615987899178</v>
      </c>
      <c r="T72">
        <f t="shared" ref="T72" si="339">S72/1000</f>
        <v>17.482615987899177</v>
      </c>
    </row>
    <row r="73" spans="1:20" x14ac:dyDescent="0.25">
      <c r="A73" s="5">
        <v>44520</v>
      </c>
      <c r="B73">
        <v>4.4135</v>
      </c>
      <c r="C73">
        <v>4.4513999999999996</v>
      </c>
      <c r="D73">
        <v>4.0106000000000002</v>
      </c>
      <c r="E73">
        <v>4.2088999999999999</v>
      </c>
      <c r="F73">
        <v>124716378</v>
      </c>
      <c r="G73">
        <v>4.2088999999999999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-0.10027223230490036</v>
      </c>
      <c r="Q73">
        <f t="shared" ref="Q73" si="341">F73*P73</f>
        <v>-12505589.627041765</v>
      </c>
      <c r="R73">
        <f t="shared" ref="R73" si="342">R74+Q73</f>
        <v>1803753463.3545966</v>
      </c>
      <c r="S73">
        <f t="shared" ref="S73" si="343">R73/100000</f>
        <v>18037.534633545965</v>
      </c>
      <c r="T73">
        <f t="shared" ref="T73" si="344">S73/1000</f>
        <v>18.037534633545967</v>
      </c>
    </row>
    <row r="74" spans="1:20" x14ac:dyDescent="0.25">
      <c r="A74" s="5">
        <v>44519</v>
      </c>
      <c r="B74">
        <v>4.3108000000000004</v>
      </c>
      <c r="C74">
        <v>4.5072000000000001</v>
      </c>
      <c r="D74">
        <v>3.9569999999999999</v>
      </c>
      <c r="E74">
        <v>4.4135</v>
      </c>
      <c r="F74">
        <v>219285063</v>
      </c>
      <c r="G74">
        <v>4.4135</v>
      </c>
      <c r="L74" t="s">
        <v>7</v>
      </c>
      <c r="M74" t="s">
        <v>8</v>
      </c>
      <c r="N74" t="s">
        <v>8</v>
      </c>
      <c r="P74">
        <f t="shared" ref="P74" si="345">IF(C74=D74,0,((E74-D74)-(C74-E74))/(C74-D74))</f>
        <v>0.65939658306070492</v>
      </c>
      <c r="Q74">
        <f t="shared" ref="Q74" si="346">F74*P74</f>
        <v>144595821.2584514</v>
      </c>
      <c r="R74">
        <f t="shared" ref="R74" si="347">R75+Q74</f>
        <v>1816259052.9816384</v>
      </c>
      <c r="S74">
        <f t="shared" ref="S74" si="348">R74/100000</f>
        <v>18162.590529816385</v>
      </c>
      <c r="T74">
        <f t="shared" ref="T74" si="349">S74/1000</f>
        <v>18.162590529816384</v>
      </c>
    </row>
    <row r="75" spans="1:20" x14ac:dyDescent="0.25">
      <c r="A75" s="5">
        <v>44518</v>
      </c>
      <c r="B75">
        <v>3.7614000000000001</v>
      </c>
      <c r="C75">
        <v>4.6923000000000004</v>
      </c>
      <c r="D75">
        <v>3.5838000000000001</v>
      </c>
      <c r="E75">
        <v>4.3109999999999999</v>
      </c>
      <c r="F75">
        <v>441709639</v>
      </c>
      <c r="G75">
        <v>4.3109999999999999</v>
      </c>
      <c r="L75" t="s">
        <v>8</v>
      </c>
      <c r="M75" t="s">
        <v>8</v>
      </c>
      <c r="N75" t="s">
        <v>8</v>
      </c>
      <c r="P75">
        <f t="shared" ref="P75" si="350">IF(C75=D75,0,((E75-D75)-(C75-E75))/(C75-D75))</f>
        <v>0.31204330175913336</v>
      </c>
      <c r="Q75">
        <f t="shared" ref="Q75" si="351">F75*P75</f>
        <v>137832534.17239487</v>
      </c>
      <c r="R75">
        <f t="shared" ref="R75" si="352">R76+Q75</f>
        <v>1671663231.723187</v>
      </c>
      <c r="S75">
        <f t="shared" ref="S75" si="353">R75/100000</f>
        <v>16716.63231723187</v>
      </c>
      <c r="T75">
        <f t="shared" ref="T75" si="354">S75/1000</f>
        <v>16.71663231723187</v>
      </c>
    </row>
    <row r="76" spans="1:20" x14ac:dyDescent="0.25">
      <c r="A76" s="5">
        <v>44517</v>
      </c>
      <c r="B76">
        <v>3.2427999999999999</v>
      </c>
      <c r="C76">
        <v>3.8231000000000002</v>
      </c>
      <c r="D76">
        <v>3.1091000000000002</v>
      </c>
      <c r="E76">
        <v>3.7610000000000001</v>
      </c>
      <c r="F76">
        <v>368901205.10000002</v>
      </c>
      <c r="G76">
        <v>3.7610000000000001</v>
      </c>
      <c r="L76" t="s">
        <v>8</v>
      </c>
      <c r="M76" t="s">
        <v>8</v>
      </c>
      <c r="N76" t="s">
        <v>8</v>
      </c>
      <c r="P76">
        <f t="shared" ref="P76" si="355">IF(C76=D76,0,((E76-D76)-(C76-E76))/(C76-D76))</f>
        <v>0.82605042016806707</v>
      </c>
      <c r="Q76">
        <f t="shared" ref="Q76" si="356">F76*P76</f>
        <v>304730995.47336131</v>
      </c>
      <c r="R76">
        <f t="shared" ref="R76" si="357">R77+Q76</f>
        <v>1533830697.5507922</v>
      </c>
      <c r="S76">
        <f t="shared" ref="S76" si="358">R76/100000</f>
        <v>15338.306975507921</v>
      </c>
      <c r="T76">
        <f t="shared" ref="T76" si="359">S76/1000</f>
        <v>15.338306975507921</v>
      </c>
    </row>
    <row r="77" spans="1:20" x14ac:dyDescent="0.25">
      <c r="A77" s="5">
        <v>44516</v>
      </c>
      <c r="B77">
        <v>2.7944</v>
      </c>
      <c r="C77">
        <v>3.4</v>
      </c>
      <c r="D77">
        <v>2.3026</v>
      </c>
      <c r="E77">
        <v>3.2440000000000002</v>
      </c>
      <c r="F77">
        <v>333115627</v>
      </c>
      <c r="G77">
        <v>3.2440000000000002</v>
      </c>
      <c r="L77" t="s">
        <v>8</v>
      </c>
      <c r="M77" t="s">
        <v>8</v>
      </c>
      <c r="N77" t="s">
        <v>7</v>
      </c>
      <c r="P77">
        <f t="shared" ref="P77" si="360">IF(C77=D77,0,((E77-D77)-(C77-E77))/(C77-D77))</f>
        <v>0.7156916347731006</v>
      </c>
      <c r="Q77">
        <f t="shared" ref="Q77" si="361">F77*P77</f>
        <v>238408067.6560964</v>
      </c>
      <c r="R77">
        <f t="shared" ref="R77" si="362">R78+Q77</f>
        <v>1229099702.077431</v>
      </c>
      <c r="S77">
        <f t="shared" ref="S77" si="363">R77/100000</f>
        <v>12290.99702077431</v>
      </c>
      <c r="T77">
        <f t="shared" ref="T77" si="364">S77/1000</f>
        <v>12.290997020774309</v>
      </c>
    </row>
    <row r="78" spans="1:20" x14ac:dyDescent="0.25">
      <c r="A78" s="5">
        <v>44515</v>
      </c>
      <c r="B78">
        <v>2.8384999999999998</v>
      </c>
      <c r="C78">
        <v>2.9992000000000001</v>
      </c>
      <c r="D78">
        <v>2.702</v>
      </c>
      <c r="E78">
        <v>2.7938000000000001</v>
      </c>
      <c r="F78">
        <v>85444790</v>
      </c>
      <c r="G78">
        <v>2.7938000000000001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-0.38223418573351237</v>
      </c>
      <c r="Q78">
        <f t="shared" ref="Q78" si="366">F78*P78</f>
        <v>-32659919.730820961</v>
      </c>
      <c r="R78">
        <f t="shared" ref="R78" si="367">R79+Q78</f>
        <v>990691634.42133451</v>
      </c>
      <c r="S78">
        <f t="shared" ref="S78" si="368">R78/100000</f>
        <v>9906.9163442133449</v>
      </c>
      <c r="T78">
        <f t="shared" ref="T78" si="369">S78/1000</f>
        <v>9.9069163442133448</v>
      </c>
    </row>
    <row r="79" spans="1:20" x14ac:dyDescent="0.25">
      <c r="A79" s="5">
        <v>44514</v>
      </c>
      <c r="B79">
        <v>2.7997000000000001</v>
      </c>
      <c r="C79">
        <v>2.9750000000000001</v>
      </c>
      <c r="D79">
        <v>2.7389000000000001</v>
      </c>
      <c r="E79">
        <v>2.8372999999999999</v>
      </c>
      <c r="F79">
        <v>105787739</v>
      </c>
      <c r="G79">
        <v>2.8372999999999999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-0.16645489199491884</v>
      </c>
      <c r="Q79">
        <f t="shared" ref="Q79" si="371">F79*P79</f>
        <v>-17608886.669631664</v>
      </c>
      <c r="R79">
        <f t="shared" ref="R79" si="372">R80+Q79</f>
        <v>1023351554.1521555</v>
      </c>
      <c r="S79">
        <f t="shared" ref="S79" si="373">R79/100000</f>
        <v>10233.515541521556</v>
      </c>
      <c r="T79">
        <f t="shared" ref="T79" si="374">S79/1000</f>
        <v>10.233515541521555</v>
      </c>
    </row>
    <row r="80" spans="1:20" x14ac:dyDescent="0.25">
      <c r="A80" s="5">
        <v>44513</v>
      </c>
      <c r="B80">
        <v>2.6274999999999999</v>
      </c>
      <c r="C80">
        <v>3.1995</v>
      </c>
      <c r="D80">
        <v>2.5790999999999999</v>
      </c>
      <c r="E80">
        <v>2.7995999999999999</v>
      </c>
      <c r="F80">
        <v>288100691</v>
      </c>
      <c r="G80">
        <v>2.7995999999999999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-0.289168278529981</v>
      </c>
      <c r="Q80">
        <f t="shared" ref="Q80" si="376">F80*P80</f>
        <v>-83309580.859767988</v>
      </c>
      <c r="R80">
        <f t="shared" ref="R80" si="377">R81+Q80</f>
        <v>1040960440.8217872</v>
      </c>
      <c r="S80">
        <f t="shared" ref="S80" si="378">R80/100000</f>
        <v>10409.604408217872</v>
      </c>
      <c r="T80">
        <f t="shared" ref="T80" si="379">S80/1000</f>
        <v>10.409604408217872</v>
      </c>
    </row>
    <row r="81" spans="1:20" x14ac:dyDescent="0.25">
      <c r="A81" s="5">
        <v>44512</v>
      </c>
      <c r="B81">
        <v>2.4232</v>
      </c>
      <c r="C81">
        <v>2.8359000000000001</v>
      </c>
      <c r="D81">
        <v>2.3782999999999999</v>
      </c>
      <c r="E81">
        <v>2.6282000000000001</v>
      </c>
      <c r="F81">
        <v>215072626</v>
      </c>
      <c r="G81">
        <v>2.6282000000000001</v>
      </c>
      <c r="L81" t="s">
        <v>8</v>
      </c>
      <c r="M81" t="s">
        <v>8</v>
      </c>
      <c r="N81" t="s">
        <v>7</v>
      </c>
      <c r="P81">
        <f t="shared" ref="P81" si="380">IF(C81=D81,0,((E81-D81)-(C81-E81))/(C81-D81))</f>
        <v>9.2220279720280199E-2</v>
      </c>
      <c r="Q81">
        <f t="shared" ref="Q81" si="381">F81*P81</f>
        <v>19834057.729895208</v>
      </c>
      <c r="R81">
        <f t="shared" ref="R81" si="382">R82+Q81</f>
        <v>1124270021.6815553</v>
      </c>
      <c r="S81">
        <f t="shared" ref="S81" si="383">R81/100000</f>
        <v>11242.700216815552</v>
      </c>
      <c r="T81">
        <f t="shared" ref="T81" si="384">S81/1000</f>
        <v>11.242700216815551</v>
      </c>
    </row>
    <row r="82" spans="1:20" x14ac:dyDescent="0.25">
      <c r="A82" s="5">
        <v>44511</v>
      </c>
      <c r="B82">
        <v>2.2938999999999998</v>
      </c>
      <c r="C82">
        <v>2.5646</v>
      </c>
      <c r="D82">
        <v>2.2480000000000002</v>
      </c>
      <c r="E82">
        <v>2.4235000000000002</v>
      </c>
      <c r="F82">
        <v>69997131</v>
      </c>
      <c r="G82">
        <v>2.4235000000000002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0.10865445356917319</v>
      </c>
      <c r="Q82">
        <f t="shared" ref="Q82" si="386">F82*P82</f>
        <v>7605500.0202148333</v>
      </c>
      <c r="R82">
        <f t="shared" ref="R82" si="387">R83+Q82</f>
        <v>1104435963.9516602</v>
      </c>
      <c r="S82">
        <f t="shared" ref="S82" si="388">R82/100000</f>
        <v>11044.359639516602</v>
      </c>
      <c r="T82">
        <f t="shared" ref="T82" si="389">S82/1000</f>
        <v>11.044359639516601</v>
      </c>
    </row>
    <row r="83" spans="1:20" x14ac:dyDescent="0.25">
      <c r="A83" s="5">
        <v>44510</v>
      </c>
      <c r="B83">
        <v>2.3818999999999999</v>
      </c>
      <c r="C83">
        <v>2.7271999999999998</v>
      </c>
      <c r="D83">
        <v>2.0339999999999998</v>
      </c>
      <c r="E83">
        <v>2.2930000000000001</v>
      </c>
      <c r="F83">
        <v>171460642</v>
      </c>
      <c r="G83">
        <v>2.2930000000000001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-0.25274091171379015</v>
      </c>
      <c r="Q83">
        <f t="shared" ref="Q83" si="391">F83*P83</f>
        <v>-43335118.982111782</v>
      </c>
      <c r="R83">
        <f t="shared" ref="R83" si="392">R84+Q83</f>
        <v>1096830463.9314454</v>
      </c>
      <c r="S83">
        <f t="shared" ref="S83" si="393">R83/100000</f>
        <v>10968.304639314454</v>
      </c>
      <c r="T83">
        <f t="shared" ref="T83" si="394">S83/1000</f>
        <v>10.968304639314454</v>
      </c>
    </row>
    <row r="84" spans="1:20" x14ac:dyDescent="0.25">
      <c r="A84" s="5">
        <v>44509</v>
      </c>
      <c r="B84">
        <v>2.5718999999999999</v>
      </c>
      <c r="C84">
        <v>2.5760000000000001</v>
      </c>
      <c r="D84">
        <v>2.3464</v>
      </c>
      <c r="E84">
        <v>2.3816999999999999</v>
      </c>
      <c r="F84">
        <v>98391647</v>
      </c>
      <c r="G84">
        <v>2.3816999999999999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-0.69250871080139476</v>
      </c>
      <c r="Q84">
        <f t="shared" ref="Q84" si="396">F84*P84</f>
        <v>-68137072.617595926</v>
      </c>
      <c r="R84">
        <f t="shared" ref="R84" si="397">R85+Q84</f>
        <v>1140165582.9135571</v>
      </c>
      <c r="S84">
        <f t="shared" ref="S84" si="398">R84/100000</f>
        <v>11401.65582913557</v>
      </c>
      <c r="T84">
        <f t="shared" ref="T84" si="399">S84/1000</f>
        <v>11.401655829135571</v>
      </c>
    </row>
    <row r="85" spans="1:20" x14ac:dyDescent="0.25">
      <c r="A85" s="5">
        <v>44508</v>
      </c>
      <c r="B85">
        <v>2.6878000000000002</v>
      </c>
      <c r="C85">
        <v>2.7711000000000001</v>
      </c>
      <c r="D85">
        <v>2.4571000000000001</v>
      </c>
      <c r="E85">
        <v>2.5720000000000001</v>
      </c>
      <c r="F85">
        <v>111643435</v>
      </c>
      <c r="G85">
        <v>2.5720000000000001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-0.26815286624203832</v>
      </c>
      <c r="Q85">
        <f t="shared" ref="Q85" si="401">F85*P85</f>
        <v>-29937507.0923567</v>
      </c>
      <c r="R85">
        <f t="shared" ref="R85" si="402">R86+Q85</f>
        <v>1208302655.531153</v>
      </c>
      <c r="S85">
        <f t="shared" ref="S85" si="403">R85/100000</f>
        <v>12083.02655531153</v>
      </c>
      <c r="T85">
        <f t="shared" ref="T85" si="404">S85/1000</f>
        <v>12.08302655531153</v>
      </c>
    </row>
    <row r="86" spans="1:20" x14ac:dyDescent="0.25">
      <c r="A86" s="5">
        <v>44507</v>
      </c>
      <c r="B86">
        <v>2.6981999999999999</v>
      </c>
      <c r="C86">
        <v>2.7385000000000002</v>
      </c>
      <c r="D86">
        <v>2.6</v>
      </c>
      <c r="E86">
        <v>2.6886999999999999</v>
      </c>
      <c r="F86">
        <v>52650081</v>
      </c>
      <c r="G86">
        <v>2.6886999999999999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0.28086642599277595</v>
      </c>
      <c r="Q86">
        <f t="shared" ref="Q86" si="406">F86*P86</f>
        <v>14787640.078700159</v>
      </c>
      <c r="R86">
        <f t="shared" ref="R86" si="407">R87+Q86</f>
        <v>1238240162.6235096</v>
      </c>
      <c r="S86">
        <f t="shared" ref="S86" si="408">R86/100000</f>
        <v>12382.401626235096</v>
      </c>
      <c r="T86">
        <f t="shared" ref="T86" si="409">S86/1000</f>
        <v>12.382401626235096</v>
      </c>
    </row>
    <row r="87" spans="1:20" x14ac:dyDescent="0.25">
      <c r="A87" s="5">
        <v>44506</v>
      </c>
      <c r="B87">
        <v>2.5522999999999998</v>
      </c>
      <c r="C87">
        <v>2.8589000000000002</v>
      </c>
      <c r="D87">
        <v>2.5209999999999999</v>
      </c>
      <c r="E87">
        <v>2.6983000000000001</v>
      </c>
      <c r="F87">
        <v>151270617</v>
      </c>
      <c r="G87">
        <v>2.6983000000000001</v>
      </c>
      <c r="L87" t="s">
        <v>8</v>
      </c>
      <c r="M87" t="s">
        <v>7</v>
      </c>
      <c r="N87" t="s">
        <v>8</v>
      </c>
      <c r="P87">
        <f t="shared" ref="P87" si="410">IF(C87=D87,0,((E87-D87)-(C87-E87))/(C87-D87))</f>
        <v>4.9422906185262336E-2</v>
      </c>
      <c r="Q87">
        <f t="shared" ref="Q87" si="411">F87*P87</f>
        <v>7476233.5125777498</v>
      </c>
      <c r="R87">
        <f t="shared" ref="R87" si="412">R88+Q87</f>
        <v>1223452522.5448096</v>
      </c>
      <c r="S87">
        <f t="shared" ref="S87" si="413">R87/100000</f>
        <v>12234.525225448097</v>
      </c>
      <c r="T87">
        <f t="shared" ref="T87" si="414">S87/1000</f>
        <v>12.234525225448097</v>
      </c>
    </row>
    <row r="88" spans="1:20" x14ac:dyDescent="0.25">
      <c r="A88" s="5">
        <v>44505</v>
      </c>
      <c r="B88">
        <v>2.6981999999999999</v>
      </c>
      <c r="C88">
        <v>2.7972999999999999</v>
      </c>
      <c r="D88">
        <v>2.4365000000000001</v>
      </c>
      <c r="E88">
        <v>2.5514000000000001</v>
      </c>
      <c r="F88">
        <v>138842853</v>
      </c>
      <c r="G88">
        <v>2.5514000000000001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-0.36308203991130783</v>
      </c>
      <c r="Q88">
        <f t="shared" ref="Q88" si="416">F88*P88</f>
        <v>-50411346.294345848</v>
      </c>
      <c r="R88">
        <f t="shared" ref="R88" si="417">R89+Q88</f>
        <v>1215976289.0322318</v>
      </c>
      <c r="S88">
        <f t="shared" ref="S88" si="418">R88/100000</f>
        <v>12159.762890322318</v>
      </c>
      <c r="T88">
        <f t="shared" ref="T88" si="419">S88/1000</f>
        <v>12.159762890322318</v>
      </c>
    </row>
    <row r="89" spans="1:20" x14ac:dyDescent="0.25">
      <c r="A89" s="5">
        <v>44504</v>
      </c>
      <c r="B89">
        <v>3.2088999999999999</v>
      </c>
      <c r="C89">
        <v>3.2970000000000002</v>
      </c>
      <c r="D89">
        <v>2.5972</v>
      </c>
      <c r="E89">
        <v>2.7</v>
      </c>
      <c r="F89">
        <v>253943554</v>
      </c>
      <c r="G89">
        <v>2.7</v>
      </c>
      <c r="L89" t="s">
        <v>7</v>
      </c>
      <c r="M89" t="s">
        <v>7</v>
      </c>
      <c r="N89" t="s">
        <v>8</v>
      </c>
      <c r="P89">
        <f t="shared" ref="P89" si="420">IF(C89=D89,0,((E89-D89)-(C89-E89))/(C89-D89))</f>
        <v>-0.70620177193483802</v>
      </c>
      <c r="Q89">
        <f t="shared" ref="Q89" si="421">F89*P89</f>
        <v>-179335387.80623022</v>
      </c>
      <c r="R89">
        <f t="shared" ref="R89" si="422">R90+Q89</f>
        <v>1266387635.3265777</v>
      </c>
      <c r="S89">
        <f t="shared" ref="S89" si="423">R89/100000</f>
        <v>12663.876353265776</v>
      </c>
      <c r="T89">
        <f t="shared" ref="T89" si="424">S89/1000</f>
        <v>12.663876353265776</v>
      </c>
    </row>
    <row r="90" spans="1:20" x14ac:dyDescent="0.25">
      <c r="A90" s="5">
        <v>44503</v>
      </c>
      <c r="B90">
        <v>3.0607000000000002</v>
      </c>
      <c r="C90">
        <v>3.45</v>
      </c>
      <c r="D90">
        <v>2.7</v>
      </c>
      <c r="E90">
        <v>3.2098</v>
      </c>
      <c r="F90">
        <v>521142210.30000001</v>
      </c>
      <c r="G90">
        <v>3.2098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0.35946666666666616</v>
      </c>
      <c r="Q90">
        <f t="shared" ref="Q90" si="426">F90*P90</f>
        <v>187333253.19583973</v>
      </c>
      <c r="R90">
        <f t="shared" ref="R90" si="427">R91+Q90</f>
        <v>1445723023.132808</v>
      </c>
      <c r="S90">
        <f t="shared" ref="S90" si="428">R90/100000</f>
        <v>14457.23023132808</v>
      </c>
      <c r="T90">
        <f t="shared" ref="T90" si="429">S90/1000</f>
        <v>14.457230231328079</v>
      </c>
    </row>
    <row r="91" spans="1:20" x14ac:dyDescent="0.25">
      <c r="A91" s="5">
        <v>44502</v>
      </c>
      <c r="B91">
        <v>2.1299000000000001</v>
      </c>
      <c r="C91">
        <v>3.3062</v>
      </c>
      <c r="D91">
        <v>2.0785</v>
      </c>
      <c r="E91">
        <v>3.0586000000000002</v>
      </c>
      <c r="F91">
        <v>929345161.70000005</v>
      </c>
      <c r="G91">
        <v>3.0586000000000002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0.59664413130243577</v>
      </c>
      <c r="Q91">
        <f t="shared" ref="Q91" si="431">F91*P91</f>
        <v>554488336.68261826</v>
      </c>
      <c r="R91">
        <f t="shared" ref="R91" si="432">R92+Q91</f>
        <v>1258389769.9369683</v>
      </c>
      <c r="S91">
        <f t="shared" ref="S91" si="433">R91/100000</f>
        <v>12583.897699369683</v>
      </c>
      <c r="T91">
        <f t="shared" ref="T91" si="434">S91/1000</f>
        <v>12.583897699369682</v>
      </c>
    </row>
    <row r="92" spans="1:20" x14ac:dyDescent="0.25">
      <c r="A92" s="5">
        <v>44501</v>
      </c>
      <c r="B92">
        <v>1.571</v>
      </c>
      <c r="C92">
        <v>2.3650000000000002</v>
      </c>
      <c r="D92">
        <v>1.5294000000000001</v>
      </c>
      <c r="E92">
        <v>2.1269</v>
      </c>
      <c r="F92">
        <v>612037506</v>
      </c>
      <c r="G92">
        <v>2.1269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0.43011010052656734</v>
      </c>
      <c r="Q92">
        <f t="shared" ref="Q92" si="436">F92*P92</f>
        <v>263243513.23168957</v>
      </c>
      <c r="R92">
        <f t="shared" ref="R92" si="437">R93+Q92</f>
        <v>703901433.25434995</v>
      </c>
      <c r="S92">
        <f t="shared" ref="S92" si="438">R92/100000</f>
        <v>7039.0143325434992</v>
      </c>
      <c r="T92">
        <f t="shared" ref="T92" si="439">S92/1000</f>
        <v>7.0390143325434993</v>
      </c>
    </row>
    <row r="93" spans="1:20" x14ac:dyDescent="0.25">
      <c r="A93" s="5">
        <v>44500</v>
      </c>
      <c r="B93">
        <v>1.8013999999999999</v>
      </c>
      <c r="C93">
        <v>2.4500000000000002</v>
      </c>
      <c r="D93">
        <v>1.4421999999999999</v>
      </c>
      <c r="E93">
        <v>1.5709</v>
      </c>
      <c r="F93">
        <v>753605745.10000002</v>
      </c>
      <c r="G93">
        <v>1.5709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-0.74459218098829127</v>
      </c>
      <c r="Q93">
        <f t="shared" ref="Q93" si="441">F93*P93</f>
        <v>-561128945.34931529</v>
      </c>
      <c r="R93">
        <f t="shared" ref="R93" si="442">R94+Q93</f>
        <v>440657920.02266037</v>
      </c>
      <c r="S93">
        <f t="shared" ref="S93" si="443">R93/100000</f>
        <v>4406.5792002266035</v>
      </c>
      <c r="T93">
        <f t="shared" ref="T93" si="444">S93/1000</f>
        <v>4.4065792002266031</v>
      </c>
    </row>
    <row r="94" spans="1:20" x14ac:dyDescent="0.25">
      <c r="A94" s="5">
        <v>44499</v>
      </c>
      <c r="B94">
        <v>1.1646000000000001</v>
      </c>
      <c r="C94">
        <v>2.3647</v>
      </c>
      <c r="D94">
        <v>1.06</v>
      </c>
      <c r="E94">
        <v>1.8016000000000001</v>
      </c>
      <c r="F94">
        <v>858748810.29999995</v>
      </c>
      <c r="G94">
        <v>1.8016000000000001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0.1368130604736722</v>
      </c>
      <c r="Q94">
        <f t="shared" ref="Q94" si="446">F94*P94</f>
        <v>117488052.91526794</v>
      </c>
      <c r="R94">
        <f t="shared" ref="R94" si="447">R95+Q94</f>
        <v>1001786865.3719757</v>
      </c>
      <c r="S94">
        <f t="shared" ref="S94" si="448">R94/100000</f>
        <v>10017.868653719757</v>
      </c>
      <c r="T94">
        <f t="shared" ref="T94" si="449">S94/1000</f>
        <v>10.017868653719757</v>
      </c>
    </row>
    <row r="95" spans="1:20" x14ac:dyDescent="0.25">
      <c r="A95" s="5">
        <v>44498</v>
      </c>
      <c r="B95">
        <v>0.94030000000000002</v>
      </c>
      <c r="C95">
        <v>1.19</v>
      </c>
      <c r="D95">
        <v>0.91520000000000001</v>
      </c>
      <c r="E95">
        <v>1.1646000000000001</v>
      </c>
      <c r="F95">
        <v>287615390</v>
      </c>
      <c r="G95">
        <v>1.1646000000000001</v>
      </c>
      <c r="L95" t="s">
        <v>8</v>
      </c>
      <c r="M95" t="s">
        <v>8</v>
      </c>
      <c r="N95" t="s">
        <v>8</v>
      </c>
      <c r="P95">
        <f t="shared" ref="P95" si="450">IF(C95=D95,0,((E95-D95)-(C95-E95))/(C95-D95))</f>
        <v>0.81513828238719166</v>
      </c>
      <c r="Q95">
        <f t="shared" ref="Q95" si="451">F95*P95</f>
        <v>234446314.99272227</v>
      </c>
      <c r="R95">
        <f t="shared" ref="R95" si="452">R96+Q95</f>
        <v>884298812.45670772</v>
      </c>
      <c r="S95">
        <f t="shared" ref="S95" si="453">R95/100000</f>
        <v>8842.9881245670767</v>
      </c>
      <c r="T95">
        <f t="shared" ref="T95" si="454">S95/1000</f>
        <v>8.8429881245670767</v>
      </c>
    </row>
    <row r="96" spans="1:20" x14ac:dyDescent="0.25">
      <c r="A96" s="5">
        <v>44497</v>
      </c>
      <c r="B96">
        <v>0.76459999999999995</v>
      </c>
      <c r="C96">
        <v>0.9486</v>
      </c>
      <c r="D96">
        <v>0.74809999999999999</v>
      </c>
      <c r="E96">
        <v>0.94030000000000002</v>
      </c>
      <c r="F96">
        <v>110899442</v>
      </c>
      <c r="G96">
        <v>0.94030000000000002</v>
      </c>
      <c r="L96" t="s">
        <v>8</v>
      </c>
      <c r="M96" t="s">
        <v>8</v>
      </c>
      <c r="N96" t="s">
        <v>8</v>
      </c>
      <c r="P96">
        <f t="shared" ref="P96" si="455">IF(C96=D96,0,((E96-D96)-(C96-E96))/(C96-D96))</f>
        <v>0.91720698254364119</v>
      </c>
      <c r="Q96">
        <f t="shared" ref="Q96" si="456">F96*P96</f>
        <v>101717742.56259355</v>
      </c>
      <c r="R96">
        <f t="shared" ref="R96" si="457">R97+Q96</f>
        <v>649852497.46398544</v>
      </c>
      <c r="S96">
        <f t="shared" ref="S96" si="458">R96/100000</f>
        <v>6498.524974639854</v>
      </c>
      <c r="T96">
        <f t="shared" ref="T96" si="459">S96/1000</f>
        <v>6.4985249746398539</v>
      </c>
    </row>
    <row r="97" spans="1:20" x14ac:dyDescent="0.25">
      <c r="A97" s="5">
        <v>44496</v>
      </c>
      <c r="B97">
        <v>0.83050000000000002</v>
      </c>
      <c r="C97">
        <v>0.88880000000000003</v>
      </c>
      <c r="D97">
        <v>0.71440000000000003</v>
      </c>
      <c r="E97">
        <v>0.76419999999999999</v>
      </c>
      <c r="F97">
        <v>47718304</v>
      </c>
      <c r="G97">
        <v>0.76419999999999999</v>
      </c>
      <c r="L97" t="s">
        <v>8</v>
      </c>
      <c r="M97" t="s">
        <v>7</v>
      </c>
      <c r="N97" t="s">
        <v>8</v>
      </c>
      <c r="P97">
        <f t="shared" ref="P97" si="460">IF(C97=D97,0,((E97-D97)-(C97-E97))/(C97-D97))</f>
        <v>-0.42889908256880788</v>
      </c>
      <c r="Q97">
        <f t="shared" ref="Q97" si="461">F97*P97</f>
        <v>-20466336.807339475</v>
      </c>
      <c r="R97">
        <f t="shared" ref="R97" si="462">R98+Q97</f>
        <v>548134754.90139186</v>
      </c>
      <c r="S97">
        <f t="shared" ref="S97" si="463">R97/100000</f>
        <v>5481.347549013919</v>
      </c>
      <c r="T97">
        <f t="shared" ref="T97" si="464">S97/1000</f>
        <v>5.4813475490139192</v>
      </c>
    </row>
    <row r="98" spans="1:20" x14ac:dyDescent="0.25">
      <c r="A98" s="5">
        <v>44495</v>
      </c>
      <c r="B98">
        <v>0.80630000000000002</v>
      </c>
      <c r="C98">
        <v>0.87380000000000002</v>
      </c>
      <c r="D98">
        <v>0.79930000000000001</v>
      </c>
      <c r="E98">
        <v>0.83040000000000003</v>
      </c>
      <c r="F98">
        <v>33325237</v>
      </c>
      <c r="G98">
        <v>0.83040000000000003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-0.16510067114093926</v>
      </c>
      <c r="Q98">
        <f t="shared" ref="Q98" si="466">F98*P98</f>
        <v>-5502018.9946308611</v>
      </c>
      <c r="R98">
        <f t="shared" ref="R98" si="467">R99+Q98</f>
        <v>568601091.70873129</v>
      </c>
      <c r="S98">
        <f t="shared" ref="S98" si="468">R98/100000</f>
        <v>5686.0109170873129</v>
      </c>
      <c r="T98">
        <f t="shared" ref="T98" si="469">S98/1000</f>
        <v>5.6860109170873132</v>
      </c>
    </row>
    <row r="99" spans="1:20" x14ac:dyDescent="0.25">
      <c r="A99" s="5">
        <v>44494</v>
      </c>
      <c r="B99">
        <v>0.79290000000000005</v>
      </c>
      <c r="C99">
        <v>0.82</v>
      </c>
      <c r="D99">
        <v>0.76910000000000001</v>
      </c>
      <c r="E99">
        <v>0.80600000000000005</v>
      </c>
      <c r="F99">
        <v>22632756</v>
      </c>
      <c r="G99">
        <v>0.80600000000000005</v>
      </c>
      <c r="L99" t="s">
        <v>8</v>
      </c>
      <c r="M99" t="s">
        <v>7</v>
      </c>
      <c r="N99" t="s">
        <v>8</v>
      </c>
      <c r="P99">
        <f t="shared" ref="P99" si="470">IF(C99=D99,0,((E99-D99)-(C99-E99))/(C99-D99))</f>
        <v>0.44990176817289129</v>
      </c>
      <c r="Q99">
        <f t="shared" ref="Q99" si="471">F99*P99</f>
        <v>10182516.943025615</v>
      </c>
      <c r="R99">
        <f t="shared" ref="R99" si="472">R100+Q99</f>
        <v>574103110.70336211</v>
      </c>
      <c r="S99">
        <f t="shared" ref="S99" si="473">R99/100000</f>
        <v>5741.0311070336211</v>
      </c>
      <c r="T99">
        <f t="shared" ref="T99" si="474">S99/1000</f>
        <v>5.7410311070336215</v>
      </c>
    </row>
    <row r="100" spans="1:20" x14ac:dyDescent="0.25">
      <c r="A100" s="5">
        <v>44493</v>
      </c>
      <c r="B100">
        <v>0.76470000000000005</v>
      </c>
      <c r="C100">
        <v>0.79490000000000005</v>
      </c>
      <c r="D100">
        <v>0.75590000000000002</v>
      </c>
      <c r="E100">
        <v>0.79349999999999998</v>
      </c>
      <c r="F100">
        <v>20382563</v>
      </c>
      <c r="G100">
        <v>0.79349999999999998</v>
      </c>
      <c r="L100" t="s">
        <v>8</v>
      </c>
      <c r="M100" t="s">
        <v>7</v>
      </c>
      <c r="N100" t="s">
        <v>8</v>
      </c>
      <c r="P100">
        <f t="shared" ref="P100" si="475">IF(C100=D100,0,((E100-D100)-(C100-E100))/(C100-D100))</f>
        <v>0.9282051282051248</v>
      </c>
      <c r="Q100">
        <f t="shared" ref="Q100" si="476">F100*P100</f>
        <v>18919199.502564032</v>
      </c>
      <c r="R100">
        <f t="shared" ref="R100" si="477">R101+Q100</f>
        <v>563920593.76033652</v>
      </c>
      <c r="S100">
        <f t="shared" ref="S100" si="478">R100/100000</f>
        <v>5639.2059376033649</v>
      </c>
      <c r="T100">
        <f t="shared" ref="T100" si="479">S100/1000</f>
        <v>5.6392059376033652</v>
      </c>
    </row>
    <row r="101" spans="1:20" x14ac:dyDescent="0.25">
      <c r="A101" s="5">
        <v>44492</v>
      </c>
      <c r="B101">
        <v>0.75680000000000003</v>
      </c>
      <c r="C101">
        <v>0.76480000000000004</v>
      </c>
      <c r="D101">
        <v>0.74039999999999995</v>
      </c>
      <c r="E101">
        <v>0.76419999999999999</v>
      </c>
      <c r="F101">
        <v>9501202</v>
      </c>
      <c r="G101">
        <v>0.76419999999999999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0.95081967213114404</v>
      </c>
      <c r="Q101">
        <f t="shared" ref="Q101" si="481">F101*P101</f>
        <v>9033929.7704917695</v>
      </c>
      <c r="R101">
        <f t="shared" ref="R101" si="482">R102+Q101</f>
        <v>545001394.25777245</v>
      </c>
      <c r="S101">
        <f t="shared" ref="S101" si="483">R101/100000</f>
        <v>5450.0139425777243</v>
      </c>
      <c r="T101">
        <f t="shared" ref="T101" si="484">S101/1000</f>
        <v>5.4500139425777245</v>
      </c>
    </row>
    <row r="102" spans="1:20" x14ac:dyDescent="0.25">
      <c r="A102" s="5">
        <v>44491</v>
      </c>
      <c r="B102">
        <v>0.75560000000000005</v>
      </c>
      <c r="C102">
        <v>0.77959999999999996</v>
      </c>
      <c r="D102">
        <v>0.74050000000000005</v>
      </c>
      <c r="E102">
        <v>0.75629999999999997</v>
      </c>
      <c r="F102">
        <v>14267959</v>
      </c>
      <c r="G102">
        <v>0.75629999999999997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-0.19181585677749563</v>
      </c>
      <c r="Q102">
        <f t="shared" ref="Q102" si="486">F102*P102</f>
        <v>-2736820.7800511797</v>
      </c>
      <c r="R102">
        <f t="shared" ref="R102" si="487">R103+Q102</f>
        <v>535967464.48728067</v>
      </c>
      <c r="S102">
        <f t="shared" ref="S102" si="488">R102/100000</f>
        <v>5359.6746448728063</v>
      </c>
      <c r="T102">
        <f t="shared" ref="T102" si="489">S102/1000</f>
        <v>5.3596746448728059</v>
      </c>
    </row>
    <row r="103" spans="1:20" x14ac:dyDescent="0.25">
      <c r="A103" s="5">
        <v>44490</v>
      </c>
      <c r="B103">
        <v>0.77710000000000001</v>
      </c>
      <c r="C103">
        <v>0.80649999999999999</v>
      </c>
      <c r="D103">
        <v>0.74970000000000003</v>
      </c>
      <c r="E103">
        <v>0.75470000000000004</v>
      </c>
      <c r="F103">
        <v>27053713</v>
      </c>
      <c r="G103">
        <v>0.75470000000000004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-0.82394366197183067</v>
      </c>
      <c r="Q103">
        <f t="shared" ref="Q103" si="491">F103*P103</f>
        <v>-22290735.359154921</v>
      </c>
      <c r="R103">
        <f t="shared" ref="R103" si="492">R104+Q103</f>
        <v>538704285.26733184</v>
      </c>
      <c r="S103">
        <f t="shared" ref="S103" si="493">R103/100000</f>
        <v>5387.0428526733185</v>
      </c>
      <c r="T103">
        <f t="shared" ref="T103" si="494">S103/1000</f>
        <v>5.3870428526733187</v>
      </c>
    </row>
    <row r="104" spans="1:20" x14ac:dyDescent="0.25">
      <c r="A104" s="5">
        <v>44489</v>
      </c>
      <c r="B104">
        <v>0.73209999999999997</v>
      </c>
      <c r="C104">
        <v>0.78859999999999997</v>
      </c>
      <c r="D104">
        <v>0.7258</v>
      </c>
      <c r="E104">
        <v>0.77669999999999995</v>
      </c>
      <c r="F104">
        <v>23610719</v>
      </c>
      <c r="G104">
        <v>0.77669999999999995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0.62101910828025386</v>
      </c>
      <c r="Q104">
        <f t="shared" ref="Q104" si="496">F104*P104</f>
        <v>14662707.659235647</v>
      </c>
      <c r="R104">
        <f t="shared" ref="R104" si="497">R105+Q104</f>
        <v>560995020.62648678</v>
      </c>
      <c r="S104">
        <f t="shared" ref="S104" si="498">R104/100000</f>
        <v>5609.950206264868</v>
      </c>
      <c r="T104">
        <f t="shared" ref="T104" si="499">S104/1000</f>
        <v>5.6099502062648678</v>
      </c>
    </row>
    <row r="105" spans="1:20" x14ac:dyDescent="0.25">
      <c r="A105" s="5">
        <v>44488</v>
      </c>
      <c r="B105">
        <v>0.73380000000000001</v>
      </c>
      <c r="C105">
        <v>0.74139999999999995</v>
      </c>
      <c r="D105">
        <v>0.72019999999999995</v>
      </c>
      <c r="E105">
        <v>0.73260000000000003</v>
      </c>
      <c r="F105">
        <v>11823179</v>
      </c>
      <c r="G105">
        <v>0.73260000000000003</v>
      </c>
      <c r="L105" t="s">
        <v>8</v>
      </c>
      <c r="M105" t="s">
        <v>7</v>
      </c>
      <c r="N105" t="s">
        <v>8</v>
      </c>
      <c r="P105">
        <f t="shared" ref="P105" si="500">IF(C105=D105,0,((E105-D105)-(C105-E105))/(C105-D105))</f>
        <v>0.16981132075472449</v>
      </c>
      <c r="Q105">
        <f t="shared" ref="Q105" si="501">F105*P105</f>
        <v>2007709.6415095227</v>
      </c>
      <c r="R105">
        <f t="shared" ref="R105" si="502">R106+Q105</f>
        <v>546332312.96725118</v>
      </c>
      <c r="S105">
        <f t="shared" ref="S105" si="503">R105/100000</f>
        <v>5463.3231296725116</v>
      </c>
      <c r="T105">
        <f t="shared" ref="T105" si="504">S105/1000</f>
        <v>5.4633231296725118</v>
      </c>
    </row>
    <row r="106" spans="1:20" x14ac:dyDescent="0.25">
      <c r="A106" s="5">
        <v>44487</v>
      </c>
      <c r="B106">
        <v>0.72330000000000005</v>
      </c>
      <c r="C106">
        <v>0.76839999999999997</v>
      </c>
      <c r="D106">
        <v>0.71699999999999997</v>
      </c>
      <c r="E106">
        <v>0.7339</v>
      </c>
      <c r="F106">
        <v>15300476</v>
      </c>
      <c r="G106">
        <v>0.7339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-0.34241245136186671</v>
      </c>
      <c r="Q106">
        <f t="shared" ref="Q106" si="506">F106*P106</f>
        <v>-5239073.4941634089</v>
      </c>
      <c r="R106">
        <f t="shared" ref="R106" si="507">R107+Q106</f>
        <v>544324603.32574165</v>
      </c>
      <c r="S106">
        <f t="shared" ref="S106" si="508">R106/100000</f>
        <v>5443.2460332574165</v>
      </c>
      <c r="T106">
        <f t="shared" ref="T106" si="509">S106/1000</f>
        <v>5.4432460332574166</v>
      </c>
    </row>
    <row r="107" spans="1:20" x14ac:dyDescent="0.25">
      <c r="A107" s="5">
        <v>44486</v>
      </c>
      <c r="B107">
        <v>0.74960000000000004</v>
      </c>
      <c r="C107">
        <v>0.76270000000000004</v>
      </c>
      <c r="D107">
        <v>0.70569999999999999</v>
      </c>
      <c r="E107">
        <v>0.72319999999999995</v>
      </c>
      <c r="F107">
        <v>14793363</v>
      </c>
      <c r="G107">
        <v>0.72319999999999995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-0.38596491228070368</v>
      </c>
      <c r="Q107">
        <f t="shared" ref="Q107" si="511">F107*P107</f>
        <v>-5709719.0526316073</v>
      </c>
      <c r="R107">
        <f t="shared" ref="R107" si="512">R108+Q107</f>
        <v>549563676.81990504</v>
      </c>
      <c r="S107">
        <f t="shared" ref="S107" si="513">R107/100000</f>
        <v>5495.6367681990505</v>
      </c>
      <c r="T107">
        <f t="shared" ref="T107" si="514">S107/1000</f>
        <v>5.4956367681990503</v>
      </c>
    </row>
    <row r="108" spans="1:20" x14ac:dyDescent="0.25">
      <c r="A108" s="5">
        <v>44485</v>
      </c>
      <c r="B108">
        <v>0.7409</v>
      </c>
      <c r="C108">
        <v>0.75439999999999996</v>
      </c>
      <c r="D108">
        <v>0.73119999999999996</v>
      </c>
      <c r="E108">
        <v>0.74960000000000004</v>
      </c>
      <c r="F108">
        <v>13153770</v>
      </c>
      <c r="G108">
        <v>0.74960000000000004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0.58620689655173142</v>
      </c>
      <c r="Q108">
        <f t="shared" ref="Q108" si="516">F108*P108</f>
        <v>7710830.6896552686</v>
      </c>
      <c r="R108">
        <f t="shared" ref="R108" si="517">R109+Q108</f>
        <v>555273395.87253666</v>
      </c>
      <c r="S108">
        <f t="shared" ref="S108" si="518">R108/100000</f>
        <v>5552.7339587253664</v>
      </c>
      <c r="T108">
        <f t="shared" ref="T108" si="519">S108/1000</f>
        <v>5.5527339587253666</v>
      </c>
    </row>
    <row r="109" spans="1:20" x14ac:dyDescent="0.25">
      <c r="A109" s="5">
        <v>44484</v>
      </c>
      <c r="B109">
        <v>0.78259999999999996</v>
      </c>
      <c r="C109">
        <v>0.79259999999999997</v>
      </c>
      <c r="D109">
        <v>0.72189999999999999</v>
      </c>
      <c r="E109">
        <v>0.74080000000000001</v>
      </c>
      <c r="F109">
        <v>23228341</v>
      </c>
      <c r="G109">
        <v>0.74080000000000001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-0.46534653465346443</v>
      </c>
      <c r="Q109">
        <f t="shared" ref="Q109" si="521">F109*P109</f>
        <v>-10809227.990098989</v>
      </c>
      <c r="R109">
        <f t="shared" ref="R109" si="522">R110+Q109</f>
        <v>547562565.18288136</v>
      </c>
      <c r="S109">
        <f t="shared" ref="S109" si="523">R109/100000</f>
        <v>5475.6256518288137</v>
      </c>
      <c r="T109">
        <f t="shared" ref="T109" si="524">S109/1000</f>
        <v>5.475625651828814</v>
      </c>
    </row>
    <row r="110" spans="1:20" x14ac:dyDescent="0.25">
      <c r="A110" s="5">
        <v>44483</v>
      </c>
      <c r="B110">
        <v>0.74450000000000005</v>
      </c>
      <c r="C110">
        <v>0.7974</v>
      </c>
      <c r="D110">
        <v>0.73299999999999998</v>
      </c>
      <c r="E110">
        <v>0.78249999999999997</v>
      </c>
      <c r="F110">
        <v>20918487</v>
      </c>
      <c r="G110">
        <v>0.78249999999999997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0.53726708074534091</v>
      </c>
      <c r="Q110">
        <f t="shared" ref="Q110" si="526">F110*P110</f>
        <v>11238814.444099365</v>
      </c>
      <c r="R110">
        <f t="shared" ref="R110" si="527">R111+Q110</f>
        <v>558371793.17298031</v>
      </c>
      <c r="S110">
        <f t="shared" ref="S110" si="528">R110/100000</f>
        <v>5583.7179317298032</v>
      </c>
      <c r="T110">
        <f t="shared" ref="T110" si="529">S110/1000</f>
        <v>5.5837179317298036</v>
      </c>
    </row>
    <row r="111" spans="1:20" x14ac:dyDescent="0.25">
      <c r="A111" s="5">
        <v>44482</v>
      </c>
      <c r="B111">
        <v>0.72160000000000002</v>
      </c>
      <c r="C111">
        <v>0.74619999999999997</v>
      </c>
      <c r="D111">
        <v>0.70369999999999999</v>
      </c>
      <c r="E111">
        <v>0.74390000000000001</v>
      </c>
      <c r="F111">
        <v>19858653</v>
      </c>
      <c r="G111">
        <v>0.74390000000000001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0.89176470588235435</v>
      </c>
      <c r="Q111">
        <f t="shared" ref="Q111" si="531">F111*P111</f>
        <v>17709245.851764735</v>
      </c>
      <c r="R111">
        <f t="shared" ref="R111" si="532">R112+Q111</f>
        <v>547132978.728881</v>
      </c>
      <c r="S111">
        <f t="shared" ref="S111" si="533">R111/100000</f>
        <v>5471.3297872888097</v>
      </c>
      <c r="T111">
        <f t="shared" ref="T111" si="534">S111/1000</f>
        <v>5.47132978728881</v>
      </c>
    </row>
    <row r="112" spans="1:20" x14ac:dyDescent="0.25">
      <c r="A112" s="5">
        <v>44481</v>
      </c>
      <c r="B112">
        <v>0.74099999999999999</v>
      </c>
      <c r="C112">
        <v>0.74129999999999996</v>
      </c>
      <c r="D112">
        <v>0.68240000000000001</v>
      </c>
      <c r="E112">
        <v>0.7218</v>
      </c>
      <c r="F112">
        <v>18652281</v>
      </c>
      <c r="G112">
        <v>0.7218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0.33786078098472061</v>
      </c>
      <c r="Q112">
        <f t="shared" ref="Q112" si="536">F112*P112</f>
        <v>6301874.2258064654</v>
      </c>
      <c r="R112">
        <f t="shared" ref="R112" si="537">R113+Q112</f>
        <v>529423732.87711632</v>
      </c>
      <c r="S112">
        <f t="shared" ref="S112" si="538">R112/100000</f>
        <v>5294.2373287711634</v>
      </c>
      <c r="T112">
        <f t="shared" ref="T112" si="539">S112/1000</f>
        <v>5.294237328771163</v>
      </c>
    </row>
    <row r="113" spans="1:20" x14ac:dyDescent="0.25">
      <c r="A113" s="5">
        <v>44480</v>
      </c>
      <c r="B113">
        <v>0.74729999999999996</v>
      </c>
      <c r="C113">
        <v>0.77270000000000005</v>
      </c>
      <c r="D113">
        <v>0.72030000000000005</v>
      </c>
      <c r="E113">
        <v>0.74150000000000005</v>
      </c>
      <c r="F113">
        <v>20351288</v>
      </c>
      <c r="G113">
        <v>0.74150000000000005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-0.1908396946564887</v>
      </c>
      <c r="Q113">
        <f t="shared" ref="Q113" si="541">F113*P113</f>
        <v>-3883833.5877862624</v>
      </c>
      <c r="R113">
        <f t="shared" ref="R113" si="542">R114+Q113</f>
        <v>523121858.65130985</v>
      </c>
      <c r="S113">
        <f t="shared" ref="S113" si="543">R113/100000</f>
        <v>5231.2185865130987</v>
      </c>
      <c r="T113">
        <f t="shared" ref="T113" si="544">S113/1000</f>
        <v>5.2312185865130987</v>
      </c>
    </row>
    <row r="114" spans="1:20" x14ac:dyDescent="0.25">
      <c r="A114" s="5">
        <v>44479</v>
      </c>
      <c r="B114">
        <v>0.80059999999999998</v>
      </c>
      <c r="C114">
        <v>0.80069999999999997</v>
      </c>
      <c r="D114">
        <v>0.74250000000000005</v>
      </c>
      <c r="E114">
        <v>0.74780000000000002</v>
      </c>
      <c r="F114">
        <v>17215382</v>
      </c>
      <c r="G114">
        <v>0.74780000000000002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-0.8178694158075609</v>
      </c>
      <c r="Q114">
        <f t="shared" ref="Q114" si="546">F114*P114</f>
        <v>-14079934.419243999</v>
      </c>
      <c r="R114">
        <f t="shared" ref="R114" si="547">R115+Q114</f>
        <v>527005692.23909611</v>
      </c>
      <c r="S114">
        <f t="shared" ref="S114" si="548">R114/100000</f>
        <v>5270.0569223909606</v>
      </c>
      <c r="T114">
        <f t="shared" ref="T114" si="549">S114/1000</f>
        <v>5.2700569223909604</v>
      </c>
    </row>
    <row r="115" spans="1:20" x14ac:dyDescent="0.25">
      <c r="A115" s="5">
        <v>44478</v>
      </c>
      <c r="B115">
        <v>0.78210000000000002</v>
      </c>
      <c r="C115">
        <v>0.80959999999999999</v>
      </c>
      <c r="D115">
        <v>0.7712</v>
      </c>
      <c r="E115">
        <v>0.80079999999999996</v>
      </c>
      <c r="F115">
        <v>22320115</v>
      </c>
      <c r="G115">
        <v>0.80079999999999996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0.54166666666666496</v>
      </c>
      <c r="Q115">
        <f t="shared" ref="Q115" si="551">F115*P115</f>
        <v>12090062.291666629</v>
      </c>
      <c r="R115">
        <f t="shared" ref="R115" si="552">R116+Q115</f>
        <v>541085626.6583401</v>
      </c>
      <c r="S115">
        <f t="shared" ref="S115" si="553">R115/100000</f>
        <v>5410.8562665834006</v>
      </c>
      <c r="T115">
        <f t="shared" ref="T115" si="554">S115/1000</f>
        <v>5.4108562665834006</v>
      </c>
    </row>
    <row r="116" spans="1:20" x14ac:dyDescent="0.25">
      <c r="A116" s="5">
        <v>44477</v>
      </c>
      <c r="B116">
        <v>0.80149999999999999</v>
      </c>
      <c r="C116">
        <v>0.82250000000000001</v>
      </c>
      <c r="D116">
        <v>0.76849999999999996</v>
      </c>
      <c r="E116">
        <v>0.78190000000000004</v>
      </c>
      <c r="F116">
        <v>38209243</v>
      </c>
      <c r="G116">
        <v>0.78190000000000004</v>
      </c>
      <c r="L116" t="s">
        <v>8</v>
      </c>
      <c r="M116" t="s">
        <v>7</v>
      </c>
      <c r="N116" t="s">
        <v>8</v>
      </c>
      <c r="P116">
        <f t="shared" ref="P116" si="555">IF(C116=D116,0,((E116-D116)-(C116-E116))/(C116-D116))</f>
        <v>-0.50370370370370121</v>
      </c>
      <c r="Q116">
        <f t="shared" ref="Q116" si="556">F116*P116</f>
        <v>-19246137.214814719</v>
      </c>
      <c r="R116">
        <f t="shared" ref="R116" si="557">R117+Q116</f>
        <v>528995564.36667341</v>
      </c>
      <c r="S116">
        <f t="shared" ref="S116" si="558">R116/100000</f>
        <v>5289.9556436667344</v>
      </c>
      <c r="T116">
        <f t="shared" ref="T116" si="559">S116/1000</f>
        <v>5.2899556436667341</v>
      </c>
    </row>
    <row r="117" spans="1:20" x14ac:dyDescent="0.25">
      <c r="A117" s="5">
        <v>44476</v>
      </c>
      <c r="B117">
        <v>0.81679999999999997</v>
      </c>
      <c r="C117">
        <v>0.8196</v>
      </c>
      <c r="D117">
        <v>0.7702</v>
      </c>
      <c r="E117">
        <v>0.80069999999999997</v>
      </c>
      <c r="F117">
        <v>22376925</v>
      </c>
      <c r="G117">
        <v>0.80069999999999997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0.23481781376518104</v>
      </c>
      <c r="Q117">
        <f t="shared" ref="Q117" si="561">F117*P117</f>
        <v>5254500.6072874237</v>
      </c>
      <c r="R117">
        <f t="shared" ref="R117" si="562">R118+Q117</f>
        <v>548241701.58148813</v>
      </c>
      <c r="S117">
        <f t="shared" ref="S117" si="563">R117/100000</f>
        <v>5482.4170158148818</v>
      </c>
      <c r="T117">
        <f t="shared" ref="T117" si="564">S117/1000</f>
        <v>5.4824170158148817</v>
      </c>
    </row>
    <row r="118" spans="1:20" x14ac:dyDescent="0.25">
      <c r="A118" s="5">
        <v>44475</v>
      </c>
      <c r="B118">
        <v>0.80449999999999999</v>
      </c>
      <c r="C118">
        <v>0.84499999999999997</v>
      </c>
      <c r="D118">
        <v>0.74099999999999999</v>
      </c>
      <c r="E118">
        <v>0.81679999999999997</v>
      </c>
      <c r="F118">
        <v>39524268</v>
      </c>
      <c r="G118">
        <v>0.81679999999999997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0.45769230769230757</v>
      </c>
      <c r="Q118">
        <f t="shared" ref="Q118" si="566">F118*P118</f>
        <v>18089953.430769227</v>
      </c>
      <c r="R118">
        <f t="shared" ref="R118" si="567">R119+Q118</f>
        <v>542987200.97420073</v>
      </c>
      <c r="S118">
        <f t="shared" ref="S118" si="568">R118/100000</f>
        <v>5429.8720097420073</v>
      </c>
      <c r="T118">
        <f t="shared" ref="T118" si="569">S118/1000</f>
        <v>5.4298720097420077</v>
      </c>
    </row>
    <row r="119" spans="1:20" x14ac:dyDescent="0.25">
      <c r="A119" s="5">
        <v>44474</v>
      </c>
      <c r="B119">
        <v>0.82509999999999994</v>
      </c>
      <c r="C119">
        <v>0.82589999999999997</v>
      </c>
      <c r="D119">
        <v>0.7651</v>
      </c>
      <c r="E119">
        <v>0.80379999999999996</v>
      </c>
      <c r="F119">
        <v>33315590</v>
      </c>
      <c r="G119">
        <v>0.80379999999999996</v>
      </c>
      <c r="L119" t="s">
        <v>7</v>
      </c>
      <c r="M119" t="s">
        <v>8</v>
      </c>
      <c r="N119" t="s">
        <v>8</v>
      </c>
      <c r="P119">
        <f t="shared" ref="P119" si="570">IF(C119=D119,0,((E119-D119)-(C119-E119))/(C119-D119))</f>
        <v>0.27302631578947301</v>
      </c>
      <c r="Q119">
        <f t="shared" ref="Q119" si="571">F119*P119</f>
        <v>9096032.7960526086</v>
      </c>
      <c r="R119">
        <f t="shared" ref="R119" si="572">R120+Q119</f>
        <v>524897247.54343146</v>
      </c>
      <c r="S119">
        <f t="shared" ref="S119" si="573">R119/100000</f>
        <v>5248.9724754343142</v>
      </c>
      <c r="T119">
        <f t="shared" ref="T119" si="574">S119/1000</f>
        <v>5.2489724754343143</v>
      </c>
    </row>
    <row r="120" spans="1:20" x14ac:dyDescent="0.25">
      <c r="A120" s="5">
        <v>44473</v>
      </c>
      <c r="B120">
        <v>0.86739999999999995</v>
      </c>
      <c r="C120">
        <v>0.87350000000000005</v>
      </c>
      <c r="D120">
        <v>0.78490000000000004</v>
      </c>
      <c r="E120">
        <v>0.82410000000000005</v>
      </c>
      <c r="F120">
        <v>75526150</v>
      </c>
      <c r="G120">
        <v>0.82410000000000005</v>
      </c>
      <c r="L120" t="s">
        <v>8</v>
      </c>
      <c r="M120" t="s">
        <v>8</v>
      </c>
      <c r="N120" t="s">
        <v>8</v>
      </c>
      <c r="P120">
        <f t="shared" ref="P120" si="575">IF(C120=D120,0,((E120-D120)-(C120-E120))/(C120-D120))</f>
        <v>-0.11512415349887117</v>
      </c>
      <c r="Q120">
        <f t="shared" ref="Q120" si="576">F120*P120</f>
        <v>-8694884.0857787691</v>
      </c>
      <c r="R120">
        <f t="shared" ref="R120" si="577">R121+Q120</f>
        <v>515801214.74737883</v>
      </c>
      <c r="S120">
        <f t="shared" ref="S120" si="578">R120/100000</f>
        <v>5158.012147473788</v>
      </c>
      <c r="T120">
        <f t="shared" ref="T120" si="579">S120/1000</f>
        <v>5.1580121474737881</v>
      </c>
    </row>
    <row r="121" spans="1:20" x14ac:dyDescent="0.25">
      <c r="A121" s="5">
        <v>44472</v>
      </c>
      <c r="B121">
        <v>0.78580000000000005</v>
      </c>
      <c r="C121">
        <v>0.8649</v>
      </c>
      <c r="D121">
        <v>0.75639999999999996</v>
      </c>
      <c r="E121">
        <v>0.86429999999999996</v>
      </c>
      <c r="F121">
        <v>47640283</v>
      </c>
      <c r="G121">
        <v>0.86429999999999996</v>
      </c>
      <c r="L121" t="s">
        <v>8</v>
      </c>
      <c r="M121" t="s">
        <v>8</v>
      </c>
      <c r="N121" t="s">
        <v>8</v>
      </c>
      <c r="P121">
        <f t="shared" ref="P121" si="580">IF(C121=D121,0,((E121-D121)-(C121-E121))/(C121-D121))</f>
        <v>0.98894009216589784</v>
      </c>
      <c r="Q121">
        <f t="shared" ref="Q121" si="581">F121*P121</f>
        <v>47113385.860829458</v>
      </c>
      <c r="R121">
        <f t="shared" ref="R121" si="582">R122+Q121</f>
        <v>524496098.8331576</v>
      </c>
      <c r="S121">
        <f t="shared" ref="S121" si="583">R121/100000</f>
        <v>5244.9609883315761</v>
      </c>
      <c r="T121">
        <f t="shared" ref="T121" si="584">S121/1000</f>
        <v>5.2449609883315764</v>
      </c>
    </row>
    <row r="122" spans="1:20" x14ac:dyDescent="0.25">
      <c r="A122" s="5">
        <v>44471</v>
      </c>
      <c r="B122">
        <v>0.80940000000000001</v>
      </c>
      <c r="C122">
        <v>0.84079999999999999</v>
      </c>
      <c r="D122">
        <v>0.76959999999999995</v>
      </c>
      <c r="E122">
        <v>0.78520000000000001</v>
      </c>
      <c r="F122">
        <v>53096393</v>
      </c>
      <c r="G122">
        <v>0.78520000000000001</v>
      </c>
      <c r="L122" t="s">
        <v>8</v>
      </c>
      <c r="M122" t="s">
        <v>8</v>
      </c>
      <c r="N122" t="s">
        <v>8</v>
      </c>
      <c r="P122">
        <f t="shared" ref="P122" si="585">IF(C122=D122,0,((E122-D122)-(C122-E122))/(C122-D122))</f>
        <v>-0.56179775280898736</v>
      </c>
      <c r="Q122">
        <f t="shared" ref="Q122" si="586">F122*P122</f>
        <v>-29829434.269662846</v>
      </c>
      <c r="R122">
        <f t="shared" ref="R122" si="587">R123+Q122</f>
        <v>477382712.97232813</v>
      </c>
      <c r="S122">
        <f t="shared" ref="S122" si="588">R122/100000</f>
        <v>4773.8271297232814</v>
      </c>
      <c r="T122">
        <f t="shared" ref="T122" si="589">S122/1000</f>
        <v>4.7738271297232817</v>
      </c>
    </row>
    <row r="123" spans="1:20" x14ac:dyDescent="0.25">
      <c r="A123" s="5">
        <v>44470</v>
      </c>
      <c r="B123">
        <v>0.67030000000000001</v>
      </c>
      <c r="C123">
        <v>0.8236</v>
      </c>
      <c r="D123">
        <v>0.65710000000000002</v>
      </c>
      <c r="E123">
        <v>0.80930000000000002</v>
      </c>
      <c r="F123">
        <v>81310815</v>
      </c>
      <c r="G123">
        <v>0.80930000000000002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0.8282282282282285</v>
      </c>
      <c r="Q123">
        <f t="shared" ref="Q123" si="591">F123*P123</f>
        <v>67343912.243243262</v>
      </c>
      <c r="R123">
        <f t="shared" ref="R123" si="592">R124+Q123</f>
        <v>507212147.24199098</v>
      </c>
      <c r="S123">
        <f t="shared" ref="S123" si="593">R123/100000</f>
        <v>5072.1214724199099</v>
      </c>
      <c r="T123">
        <f t="shared" ref="T123" si="594">S123/1000</f>
        <v>5.0721214724199095</v>
      </c>
    </row>
    <row r="124" spans="1:20" x14ac:dyDescent="0.25">
      <c r="A124" s="5">
        <v>44469</v>
      </c>
      <c r="B124">
        <v>0.60219999999999996</v>
      </c>
      <c r="C124">
        <v>0.67349999999999999</v>
      </c>
      <c r="D124">
        <v>0.60050000000000003</v>
      </c>
      <c r="E124">
        <v>0.67090000000000005</v>
      </c>
      <c r="F124">
        <v>37103261</v>
      </c>
      <c r="G124">
        <v>0.67090000000000005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0.92876712328767297</v>
      </c>
      <c r="Q124">
        <f t="shared" ref="Q124" si="596">F124*P124</f>
        <v>34460288.98356171</v>
      </c>
      <c r="R124">
        <f t="shared" ref="R124" si="597">R125+Q124</f>
        <v>439868234.99874771</v>
      </c>
      <c r="S124">
        <f t="shared" ref="S124" si="598">R124/100000</f>
        <v>4398.6823499874772</v>
      </c>
      <c r="T124">
        <f t="shared" ref="T124" si="599">S124/1000</f>
        <v>4.3986823499874772</v>
      </c>
    </row>
    <row r="125" spans="1:20" x14ac:dyDescent="0.25">
      <c r="A125" s="5">
        <v>44468</v>
      </c>
      <c r="B125">
        <v>0.59350000000000003</v>
      </c>
      <c r="C125">
        <v>0.63109999999999999</v>
      </c>
      <c r="D125">
        <v>0.58460000000000001</v>
      </c>
      <c r="E125">
        <v>0.60240000000000005</v>
      </c>
      <c r="F125">
        <v>30601998</v>
      </c>
      <c r="G125">
        <v>0.60240000000000005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-0.23440860215053577</v>
      </c>
      <c r="Q125">
        <f t="shared" ref="Q125" si="601">F125*P125</f>
        <v>-7173371.5741934916</v>
      </c>
      <c r="R125">
        <f t="shared" ref="R125" si="602">R126+Q125</f>
        <v>405407946.01518601</v>
      </c>
      <c r="S125">
        <f t="shared" ref="S125" si="603">R125/100000</f>
        <v>4054.0794601518601</v>
      </c>
      <c r="T125">
        <f t="shared" ref="T125" si="604">S125/1000</f>
        <v>4.0540794601518604</v>
      </c>
    </row>
    <row r="126" spans="1:20" x14ac:dyDescent="0.25">
      <c r="A126" s="5">
        <v>44467</v>
      </c>
      <c r="B126">
        <v>0.63049999999999995</v>
      </c>
      <c r="C126">
        <v>0.63690000000000002</v>
      </c>
      <c r="D126">
        <v>0.59160000000000001</v>
      </c>
      <c r="E126">
        <v>0.59399999999999997</v>
      </c>
      <c r="F126">
        <v>23101934</v>
      </c>
      <c r="G126">
        <v>0.59399999999999997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-0.89403973509933965</v>
      </c>
      <c r="Q126">
        <f t="shared" ref="Q126" si="606">F126*P126</f>
        <v>-20654046.953642428</v>
      </c>
      <c r="R126">
        <f t="shared" ref="R126" si="607">R127+Q126</f>
        <v>412581317.58937949</v>
      </c>
      <c r="S126">
        <f t="shared" ref="S126" si="608">R126/100000</f>
        <v>4125.8131758937952</v>
      </c>
      <c r="T126">
        <f t="shared" ref="T126" si="609">S126/1000</f>
        <v>4.1258131758937955</v>
      </c>
    </row>
    <row r="127" spans="1:20" x14ac:dyDescent="0.25">
      <c r="A127" s="5">
        <v>44466</v>
      </c>
      <c r="B127">
        <v>0.65480000000000005</v>
      </c>
      <c r="C127">
        <v>0.6804</v>
      </c>
      <c r="D127">
        <v>0.63039999999999996</v>
      </c>
      <c r="E127">
        <v>0.63060000000000005</v>
      </c>
      <c r="F127">
        <v>21333653</v>
      </c>
      <c r="G127">
        <v>0.63060000000000005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-0.99199999999999644</v>
      </c>
      <c r="Q127">
        <f t="shared" ref="Q127" si="611">F127*P127</f>
        <v>-21162983.775999922</v>
      </c>
      <c r="R127">
        <f t="shared" ref="R127" si="612">R128+Q127</f>
        <v>433235364.54302192</v>
      </c>
      <c r="S127">
        <f t="shared" ref="S127" si="613">R127/100000</f>
        <v>4332.3536454302193</v>
      </c>
      <c r="T127">
        <f t="shared" ref="T127" si="614">S127/1000</f>
        <v>4.3323536454302189</v>
      </c>
    </row>
    <row r="128" spans="1:20" x14ac:dyDescent="0.25">
      <c r="A128" s="5">
        <v>44465</v>
      </c>
      <c r="B128">
        <v>0.66659999999999997</v>
      </c>
      <c r="C128">
        <v>0.68740000000000001</v>
      </c>
      <c r="D128">
        <v>0.61909999999999998</v>
      </c>
      <c r="E128">
        <v>0.65559999999999996</v>
      </c>
      <c r="F128">
        <v>31680044</v>
      </c>
      <c r="G128">
        <v>0.65559999999999996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6.8814055636894939E-2</v>
      </c>
      <c r="Q128">
        <f t="shared" ref="Q128" si="616">F128*P128</f>
        <v>2180032.3103952799</v>
      </c>
      <c r="R128">
        <f t="shared" ref="R128" si="617">R129+Q128</f>
        <v>454398348.31902182</v>
      </c>
      <c r="S128">
        <f t="shared" ref="S128" si="618">R128/100000</f>
        <v>4543.9834831902181</v>
      </c>
      <c r="T128">
        <f t="shared" ref="T128" si="619">S128/1000</f>
        <v>4.5439834831902184</v>
      </c>
    </row>
    <row r="129" spans="1:20" x14ac:dyDescent="0.25">
      <c r="A129" s="5">
        <v>44464</v>
      </c>
      <c r="B129">
        <v>0.67900000000000005</v>
      </c>
      <c r="C129">
        <v>0.7</v>
      </c>
      <c r="D129">
        <v>0.64759999999999995</v>
      </c>
      <c r="E129">
        <v>0.66700000000000004</v>
      </c>
      <c r="F129">
        <v>26904012</v>
      </c>
      <c r="G129">
        <v>0.66700000000000004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-0.25954198473282125</v>
      </c>
      <c r="Q129">
        <f t="shared" ref="Q129" si="621">F129*P129</f>
        <v>-6982720.6717556398</v>
      </c>
      <c r="R129">
        <f t="shared" ref="R129" si="622">R130+Q129</f>
        <v>452218316.00862652</v>
      </c>
      <c r="S129">
        <f t="shared" ref="S129" si="623">R129/100000</f>
        <v>4522.1831600862652</v>
      </c>
      <c r="T129">
        <f t="shared" ref="T129" si="624">S129/1000</f>
        <v>4.5221831600862652</v>
      </c>
    </row>
    <row r="130" spans="1:20" x14ac:dyDescent="0.25">
      <c r="A130" s="5">
        <v>44463</v>
      </c>
      <c r="B130">
        <v>0.73340000000000005</v>
      </c>
      <c r="C130">
        <v>0.75080000000000002</v>
      </c>
      <c r="D130">
        <v>0.62209999999999999</v>
      </c>
      <c r="E130">
        <v>0.67879999999999996</v>
      </c>
      <c r="F130">
        <v>44561305</v>
      </c>
      <c r="G130">
        <v>0.67879999999999996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-0.11888111888111956</v>
      </c>
      <c r="Q130">
        <f t="shared" ref="Q130" si="626">F130*P130</f>
        <v>-5297497.7972028274</v>
      </c>
      <c r="R130">
        <f t="shared" ref="R130" si="627">R131+Q130</f>
        <v>459201036.68038213</v>
      </c>
      <c r="S130">
        <f t="shared" ref="S130" si="628">R130/100000</f>
        <v>4592.0103668038209</v>
      </c>
      <c r="T130">
        <f t="shared" ref="T130" si="629">S130/1000</f>
        <v>4.5920103668038212</v>
      </c>
    </row>
    <row r="131" spans="1:20" x14ac:dyDescent="0.25">
      <c r="A131" s="5">
        <v>44462</v>
      </c>
      <c r="B131">
        <v>0.69399999999999995</v>
      </c>
      <c r="C131">
        <v>0.74970000000000003</v>
      </c>
      <c r="D131">
        <v>0.68559999999999999</v>
      </c>
      <c r="E131">
        <v>0.73370000000000002</v>
      </c>
      <c r="F131">
        <v>43911546</v>
      </c>
      <c r="G131">
        <v>0.73370000000000002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0.50078003120124792</v>
      </c>
      <c r="Q131">
        <f t="shared" ref="Q131" si="631">F131*P131</f>
        <v>21990025.375975035</v>
      </c>
      <c r="R131">
        <f t="shared" ref="R131" si="632">R132+Q131</f>
        <v>464498534.47758496</v>
      </c>
      <c r="S131">
        <f t="shared" ref="S131" si="633">R131/100000</f>
        <v>4644.9853447758496</v>
      </c>
      <c r="T131">
        <f t="shared" ref="T131" si="634">S131/1000</f>
        <v>4.6449853447758498</v>
      </c>
    </row>
    <row r="132" spans="1:20" x14ac:dyDescent="0.25">
      <c r="A132" s="5">
        <v>44461</v>
      </c>
      <c r="B132">
        <v>0.59940000000000004</v>
      </c>
      <c r="C132">
        <v>0.7036</v>
      </c>
      <c r="D132">
        <v>0.58199999999999996</v>
      </c>
      <c r="E132">
        <v>0.69410000000000005</v>
      </c>
      <c r="F132">
        <v>37869746</v>
      </c>
      <c r="G132">
        <v>0.69410000000000005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0.84375000000000078</v>
      </c>
      <c r="Q132">
        <f t="shared" ref="Q132" si="636">F132*P132</f>
        <v>31952598.18750003</v>
      </c>
      <c r="R132">
        <f t="shared" ref="R132" si="637">R133+Q132</f>
        <v>442508509.10160995</v>
      </c>
      <c r="S132">
        <f t="shared" ref="S132" si="638">R132/100000</f>
        <v>4425.0850910160998</v>
      </c>
      <c r="T132">
        <f t="shared" ref="T132" si="639">S132/1000</f>
        <v>4.4250850910160997</v>
      </c>
    </row>
    <row r="133" spans="1:20" x14ac:dyDescent="0.25">
      <c r="A133" s="5">
        <v>44460</v>
      </c>
      <c r="B133">
        <v>0.63519999999999999</v>
      </c>
      <c r="C133">
        <v>0.69750000000000001</v>
      </c>
      <c r="D133">
        <v>0.57989999999999997</v>
      </c>
      <c r="E133">
        <v>0.59760000000000002</v>
      </c>
      <c r="F133">
        <v>53004809.100000001</v>
      </c>
      <c r="G133">
        <v>0.59760000000000002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-0.69897959183673397</v>
      </c>
      <c r="Q133">
        <f t="shared" ref="Q133" si="641">F133*P133</f>
        <v>-37049279.830102004</v>
      </c>
      <c r="R133">
        <f t="shared" ref="R133" si="642">R134+Q133</f>
        <v>410555910.91410989</v>
      </c>
      <c r="S133">
        <f t="shared" ref="S133" si="643">R133/100000</f>
        <v>4105.5591091410988</v>
      </c>
      <c r="T133">
        <f t="shared" ref="T133" si="644">S133/1000</f>
        <v>4.1055591091410992</v>
      </c>
    </row>
    <row r="134" spans="1:20" x14ac:dyDescent="0.25">
      <c r="A134" s="5">
        <v>44459</v>
      </c>
      <c r="B134">
        <v>0.74250000000000005</v>
      </c>
      <c r="C134">
        <v>0.74399999999999999</v>
      </c>
      <c r="D134">
        <v>0.67669999999999997</v>
      </c>
      <c r="E134">
        <v>0.6835</v>
      </c>
      <c r="F134">
        <v>21187629</v>
      </c>
      <c r="G134">
        <v>0.6835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-0.79791976225854311</v>
      </c>
      <c r="Q134">
        <f t="shared" ref="Q134" si="646">F134*P134</f>
        <v>-16906027.894502215</v>
      </c>
      <c r="R134">
        <f t="shared" ref="R134" si="647">R135+Q134</f>
        <v>447605190.74421191</v>
      </c>
      <c r="S134">
        <f t="shared" ref="S134" si="648">R134/100000</f>
        <v>4476.051907442119</v>
      </c>
      <c r="T134">
        <f t="shared" ref="T134" si="649">S134/1000</f>
        <v>4.4760519074421188</v>
      </c>
    </row>
    <row r="135" spans="1:20" x14ac:dyDescent="0.25">
      <c r="A135" s="5">
        <v>44458</v>
      </c>
      <c r="B135">
        <v>0.77780000000000005</v>
      </c>
      <c r="C135">
        <v>0.77849999999999997</v>
      </c>
      <c r="D135">
        <v>0.73450000000000004</v>
      </c>
      <c r="E135">
        <v>0.74229999999999996</v>
      </c>
      <c r="F135">
        <v>14029236</v>
      </c>
      <c r="G135">
        <v>0.74229999999999996</v>
      </c>
      <c r="L135" t="s">
        <v>7</v>
      </c>
      <c r="M135" t="s">
        <v>8</v>
      </c>
      <c r="N135" t="s">
        <v>8</v>
      </c>
      <c r="P135">
        <f t="shared" ref="P135" si="650">IF(C135=D135,0,((E135-D135)-(C135-E135))/(C135-D135))</f>
        <v>-0.64545454545454861</v>
      </c>
      <c r="Q135">
        <f t="shared" ref="Q135" si="651">F135*P135</f>
        <v>-9055234.1454545893</v>
      </c>
      <c r="R135">
        <f t="shared" ref="R135" si="652">R136+Q135</f>
        <v>464511218.63871413</v>
      </c>
      <c r="S135">
        <f t="shared" ref="S135" si="653">R135/100000</f>
        <v>4645.1121863871413</v>
      </c>
      <c r="T135">
        <f t="shared" ref="T135" si="654">S135/1000</f>
        <v>4.6451121863871414</v>
      </c>
    </row>
    <row r="136" spans="1:20" x14ac:dyDescent="0.25">
      <c r="A136" s="5">
        <v>44457</v>
      </c>
      <c r="B136">
        <v>0.7712</v>
      </c>
      <c r="C136">
        <v>0.7883</v>
      </c>
      <c r="D136">
        <v>0.75860000000000005</v>
      </c>
      <c r="E136">
        <v>0.77800000000000002</v>
      </c>
      <c r="F136">
        <v>15986569</v>
      </c>
      <c r="G136">
        <v>0.77800000000000002</v>
      </c>
      <c r="L136" t="s">
        <v>7</v>
      </c>
      <c r="M136" t="s">
        <v>8</v>
      </c>
      <c r="N136" t="s">
        <v>8</v>
      </c>
      <c r="P136">
        <f t="shared" ref="P136" si="655">IF(C136=D136,0,((E136-D136)-(C136-E136))/(C136-D136))</f>
        <v>0.30639730639730683</v>
      </c>
      <c r="Q136">
        <f t="shared" ref="Q136" si="656">F136*P136</f>
        <v>4898241.6801346876</v>
      </c>
      <c r="R136">
        <f t="shared" ref="R136" si="657">R137+Q136</f>
        <v>473566452.78416872</v>
      </c>
      <c r="S136">
        <f t="shared" ref="S136" si="658">R136/100000</f>
        <v>4735.6645278416872</v>
      </c>
      <c r="T136">
        <f t="shared" ref="T136" si="659">S136/1000</f>
        <v>4.7356645278416876</v>
      </c>
    </row>
    <row r="137" spans="1:20" x14ac:dyDescent="0.25">
      <c r="A137" s="5">
        <v>44456</v>
      </c>
      <c r="B137">
        <v>0.8196</v>
      </c>
      <c r="C137">
        <v>0.82620000000000005</v>
      </c>
      <c r="D137">
        <v>0.75819999999999999</v>
      </c>
      <c r="E137">
        <v>0.77149999999999996</v>
      </c>
      <c r="F137">
        <v>28404274</v>
      </c>
      <c r="G137">
        <v>0.77149999999999996</v>
      </c>
      <c r="L137" t="s">
        <v>7</v>
      </c>
      <c r="M137" t="s">
        <v>8</v>
      </c>
      <c r="N137" t="s">
        <v>8</v>
      </c>
      <c r="P137">
        <f t="shared" ref="P137" si="660">IF(C137=D137,0,((E137-D137)-(C137-E137))/(C137-D137))</f>
        <v>-0.60882352941176565</v>
      </c>
      <c r="Q137">
        <f t="shared" ref="Q137" si="661">F137*P137</f>
        <v>-17293190.347058851</v>
      </c>
      <c r="R137">
        <f t="shared" ref="R137" si="662">R138+Q137</f>
        <v>468668211.10403401</v>
      </c>
      <c r="S137">
        <f t="shared" ref="S137" si="663">R137/100000</f>
        <v>4686.6821110403398</v>
      </c>
      <c r="T137">
        <f t="shared" ref="T137" si="664">S137/1000</f>
        <v>4.6866821110403398</v>
      </c>
    </row>
    <row r="138" spans="1:20" x14ac:dyDescent="0.25">
      <c r="A138" s="5">
        <v>44455</v>
      </c>
      <c r="B138">
        <v>0.80740000000000001</v>
      </c>
      <c r="C138">
        <v>0.84</v>
      </c>
      <c r="D138">
        <v>0.77669999999999995</v>
      </c>
      <c r="E138">
        <v>0.82020000000000004</v>
      </c>
      <c r="F138">
        <v>39521087</v>
      </c>
      <c r="G138">
        <v>0.82020000000000004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0.3744075829383911</v>
      </c>
      <c r="Q138">
        <f t="shared" ref="Q138" si="666">F138*P138</f>
        <v>14796994.65876787</v>
      </c>
      <c r="R138">
        <f t="shared" ref="R138" si="667">R139+Q138</f>
        <v>485961401.45109284</v>
      </c>
      <c r="S138">
        <f t="shared" ref="S138" si="668">R138/100000</f>
        <v>4859.6140145109284</v>
      </c>
      <c r="T138">
        <f t="shared" ref="T138" si="669">S138/1000</f>
        <v>4.8596140145109281</v>
      </c>
    </row>
    <row r="139" spans="1:20" x14ac:dyDescent="0.25">
      <c r="A139" s="5">
        <v>44454</v>
      </c>
      <c r="B139">
        <v>0.79159999999999997</v>
      </c>
      <c r="C139">
        <v>0.81820000000000004</v>
      </c>
      <c r="D139">
        <v>0.76490000000000002</v>
      </c>
      <c r="E139">
        <v>0.80740000000000001</v>
      </c>
      <c r="F139">
        <v>24643658</v>
      </c>
      <c r="G139">
        <v>0.80740000000000001</v>
      </c>
      <c r="L139" t="s">
        <v>8</v>
      </c>
      <c r="M139" t="s">
        <v>7</v>
      </c>
      <c r="N139" t="s">
        <v>8</v>
      </c>
      <c r="P139">
        <f t="shared" ref="P139" si="670">IF(C139=D139,0,((E139-D139)-(C139-E139))/(C139-D139))</f>
        <v>0.59474671669793511</v>
      </c>
      <c r="Q139">
        <f t="shared" ref="Q139" si="671">F139*P139</f>
        <v>14656734.682926802</v>
      </c>
      <c r="R139">
        <f t="shared" ref="R139" si="672">R140+Q139</f>
        <v>471164406.79232496</v>
      </c>
      <c r="S139">
        <f t="shared" ref="S139" si="673">R139/100000</f>
        <v>4711.6440679232492</v>
      </c>
      <c r="T139">
        <f t="shared" ref="T139" si="674">S139/1000</f>
        <v>4.711644067923249</v>
      </c>
    </row>
    <row r="140" spans="1:20" x14ac:dyDescent="0.25">
      <c r="A140" s="5">
        <v>44453</v>
      </c>
      <c r="B140">
        <v>0.74570000000000003</v>
      </c>
      <c r="C140">
        <v>0.79500000000000004</v>
      </c>
      <c r="D140">
        <v>0.7389</v>
      </c>
      <c r="E140">
        <v>0.79259999999999997</v>
      </c>
      <c r="F140">
        <v>24168926</v>
      </c>
      <c r="G140">
        <v>0.79259999999999997</v>
      </c>
      <c r="L140" t="s">
        <v>8</v>
      </c>
      <c r="M140" t="s">
        <v>7</v>
      </c>
      <c r="N140" t="s">
        <v>8</v>
      </c>
      <c r="P140">
        <f t="shared" ref="P140" si="675">IF(C140=D140,0,((E140-D140)-(C140-E140))/(C140-D140))</f>
        <v>0.91443850267379445</v>
      </c>
      <c r="Q140">
        <f t="shared" ref="Q140" si="676">F140*P140</f>
        <v>22100996.502673741</v>
      </c>
      <c r="R140">
        <f t="shared" ref="R140" si="677">R141+Q140</f>
        <v>456507672.10939819</v>
      </c>
      <c r="S140">
        <f t="shared" ref="S140" si="678">R140/100000</f>
        <v>4565.0767210939821</v>
      </c>
      <c r="T140">
        <f t="shared" ref="T140" si="679">S140/1000</f>
        <v>4.5650767210939822</v>
      </c>
    </row>
    <row r="141" spans="1:20" x14ac:dyDescent="0.25">
      <c r="A141" s="5">
        <v>44452</v>
      </c>
      <c r="B141">
        <v>0.81220000000000003</v>
      </c>
      <c r="C141">
        <v>0.81540000000000001</v>
      </c>
      <c r="D141">
        <v>0.70809999999999995</v>
      </c>
      <c r="E141">
        <v>0.74570000000000003</v>
      </c>
      <c r="F141">
        <v>31364732</v>
      </c>
      <c r="G141">
        <v>0.74570000000000003</v>
      </c>
      <c r="L141" t="s">
        <v>7</v>
      </c>
      <c r="M141" t="s">
        <v>7</v>
      </c>
      <c r="N141" t="s">
        <v>8</v>
      </c>
      <c r="P141">
        <f t="shared" ref="P141" si="680">IF(C141=D141,0,((E141-D141)-(C141-E141))/(C141-D141))</f>
        <v>-0.29916123019571189</v>
      </c>
      <c r="Q141">
        <f t="shared" ref="Q141" si="681">F141*P141</f>
        <v>-9383111.8098788112</v>
      </c>
      <c r="R141">
        <f t="shared" ref="R141" si="682">R142+Q141</f>
        <v>434406675.60672444</v>
      </c>
      <c r="S141">
        <f t="shared" ref="S141" si="683">R141/100000</f>
        <v>4344.0667560672446</v>
      </c>
      <c r="T141">
        <f t="shared" ref="T141" si="684">S141/1000</f>
        <v>4.3440667560672441</v>
      </c>
    </row>
    <row r="142" spans="1:20" x14ac:dyDescent="0.25">
      <c r="A142" s="5">
        <v>44451</v>
      </c>
      <c r="B142">
        <v>0.80230000000000001</v>
      </c>
      <c r="C142">
        <v>0.85</v>
      </c>
      <c r="D142">
        <v>0.77700000000000002</v>
      </c>
      <c r="E142">
        <v>0.81310000000000004</v>
      </c>
      <c r="F142">
        <v>49339648</v>
      </c>
      <c r="G142">
        <v>0.81310000000000004</v>
      </c>
      <c r="L142" t="s">
        <v>8</v>
      </c>
      <c r="M142" t="s">
        <v>8</v>
      </c>
      <c r="N142" t="s">
        <v>8</v>
      </c>
      <c r="P142">
        <f t="shared" ref="P142" si="685">IF(C142=D142,0,((E142-D142)-(C142-E142))/(C142-D142))</f>
        <v>-1.0958904109587841E-2</v>
      </c>
      <c r="Q142">
        <f t="shared" ref="Q142" si="686">F142*P142</f>
        <v>-540708.47123281751</v>
      </c>
      <c r="R142">
        <f t="shared" ref="R142" si="687">R143+Q142</f>
        <v>443789787.41660327</v>
      </c>
      <c r="S142">
        <f t="shared" ref="S142" si="688">R142/100000</f>
        <v>4437.897874166033</v>
      </c>
      <c r="T142">
        <f t="shared" ref="T142" si="689">S142/1000</f>
        <v>4.4378978741660333</v>
      </c>
    </row>
    <row r="143" spans="1:20" x14ac:dyDescent="0.25">
      <c r="A143" s="5">
        <v>44450</v>
      </c>
      <c r="B143">
        <v>0.78249999999999997</v>
      </c>
      <c r="C143">
        <v>0.82</v>
      </c>
      <c r="D143">
        <v>0.76329999999999998</v>
      </c>
      <c r="E143">
        <v>0.80210000000000004</v>
      </c>
      <c r="F143">
        <v>26790674</v>
      </c>
      <c r="G143">
        <v>0.80210000000000004</v>
      </c>
      <c r="L143" t="s">
        <v>8</v>
      </c>
      <c r="M143" t="s">
        <v>8</v>
      </c>
      <c r="N143" t="s">
        <v>8</v>
      </c>
      <c r="P143">
        <f t="shared" ref="P143" si="690">IF(C143=D143,0,((E143-D143)-(C143-E143))/(C143-D143))</f>
        <v>0.36860670194003792</v>
      </c>
      <c r="Q143">
        <f t="shared" ref="Q143" si="691">F143*P143</f>
        <v>9875221.9858907238</v>
      </c>
      <c r="R143">
        <f t="shared" ref="R143" si="692">R144+Q143</f>
        <v>444330495.8878361</v>
      </c>
      <c r="S143">
        <f t="shared" ref="S143" si="693">R143/100000</f>
        <v>4443.3049588783606</v>
      </c>
      <c r="T143">
        <f t="shared" ref="T143" si="694">S143/1000</f>
        <v>4.4433049588783602</v>
      </c>
    </row>
    <row r="144" spans="1:20" x14ac:dyDescent="0.25">
      <c r="A144" s="5">
        <v>44449</v>
      </c>
      <c r="B144">
        <v>0.87270000000000003</v>
      </c>
      <c r="C144">
        <v>0.88009999999999999</v>
      </c>
      <c r="D144">
        <v>0.75339999999999996</v>
      </c>
      <c r="E144">
        <v>0.78290000000000004</v>
      </c>
      <c r="F144">
        <v>53489789</v>
      </c>
      <c r="G144">
        <v>0.78290000000000004</v>
      </c>
      <c r="L144" t="s">
        <v>7</v>
      </c>
      <c r="M144" t="s">
        <v>8</v>
      </c>
      <c r="N144" t="s">
        <v>8</v>
      </c>
      <c r="P144">
        <f t="shared" ref="P144" si="695">IF(C144=D144,0,((E144-D144)-(C144-E144))/(C144-D144))</f>
        <v>-0.53433307024467125</v>
      </c>
      <c r="Q144">
        <f t="shared" ref="Q144" si="696">F144*P144</f>
        <v>-28581363.183109645</v>
      </c>
      <c r="R144">
        <f t="shared" ref="R144" si="697">R145+Q144</f>
        <v>434455273.90194535</v>
      </c>
      <c r="S144">
        <f t="shared" ref="S144" si="698">R144/100000</f>
        <v>4344.5527390194538</v>
      </c>
      <c r="T144">
        <f t="shared" ref="T144" si="699">S144/1000</f>
        <v>4.3445527390194538</v>
      </c>
    </row>
    <row r="145" spans="1:20" x14ac:dyDescent="0.25">
      <c r="A145" s="5">
        <v>44448</v>
      </c>
      <c r="B145">
        <v>0.79179999999999995</v>
      </c>
      <c r="C145">
        <v>0.8831</v>
      </c>
      <c r="D145">
        <v>0.76780000000000004</v>
      </c>
      <c r="E145">
        <v>0.87229999999999996</v>
      </c>
      <c r="F145">
        <v>78920488</v>
      </c>
      <c r="G145">
        <v>0.87229999999999996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0.81266261925411909</v>
      </c>
      <c r="Q145">
        <f t="shared" ref="Q145" si="701">F145*P145</f>
        <v>64135730.490893275</v>
      </c>
      <c r="R145">
        <f t="shared" ref="R145" si="702">R146+Q145</f>
        <v>463036637.08505499</v>
      </c>
      <c r="S145">
        <f t="shared" ref="S145" si="703">R145/100000</f>
        <v>4630.3663708505501</v>
      </c>
      <c r="T145">
        <f t="shared" ref="T145" si="704">S145/1000</f>
        <v>4.6303663708505498</v>
      </c>
    </row>
    <row r="146" spans="1:20" x14ac:dyDescent="0.25">
      <c r="A146" s="5">
        <v>44447</v>
      </c>
      <c r="B146">
        <v>0.752</v>
      </c>
      <c r="C146">
        <v>0.84360000000000002</v>
      </c>
      <c r="D146">
        <v>0.6855</v>
      </c>
      <c r="E146">
        <v>0.79300000000000004</v>
      </c>
      <c r="F146">
        <v>123822311</v>
      </c>
      <c r="G146">
        <v>0.79300000000000004</v>
      </c>
      <c r="L146" t="s">
        <v>8</v>
      </c>
      <c r="M146" t="s">
        <v>8</v>
      </c>
      <c r="N146" t="s">
        <v>8</v>
      </c>
      <c r="P146">
        <f t="shared" ref="P146" si="705">IF(C146=D146,0,((E146-D146)-(C146-E146))/(C146-D146))</f>
        <v>0.35989879822896936</v>
      </c>
      <c r="Q146">
        <f t="shared" ref="Q146" si="706">F146*P146</f>
        <v>44563500.922833696</v>
      </c>
      <c r="R146">
        <f t="shared" ref="R146" si="707">R147+Q146</f>
        <v>398900906.59416169</v>
      </c>
      <c r="S146">
        <f t="shared" ref="S146" si="708">R146/100000</f>
        <v>3989.0090659416169</v>
      </c>
      <c r="T146">
        <f t="shared" ref="T146" si="709">S146/1000</f>
        <v>3.9890090659416169</v>
      </c>
    </row>
    <row r="147" spans="1:20" x14ac:dyDescent="0.25">
      <c r="A147" s="5">
        <v>44446</v>
      </c>
      <c r="B147">
        <v>0.96040000000000003</v>
      </c>
      <c r="C147">
        <v>0.97099999999999997</v>
      </c>
      <c r="D147">
        <v>0.61250000000000004</v>
      </c>
      <c r="E147">
        <v>0.752</v>
      </c>
      <c r="F147">
        <v>166652994.69999999</v>
      </c>
      <c r="G147">
        <v>0.752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-0.2217573221757323</v>
      </c>
      <c r="Q147">
        <f t="shared" ref="Q147" si="711">F147*P147</f>
        <v>-36956521.837238505</v>
      </c>
      <c r="R147">
        <f t="shared" ref="R147" si="712">R148+Q147</f>
        <v>354337405.67132801</v>
      </c>
      <c r="S147">
        <f t="shared" ref="S147" si="713">R147/100000</f>
        <v>3543.37405671328</v>
      </c>
      <c r="T147">
        <f t="shared" ref="T147" si="714">S147/1000</f>
        <v>3.5433740567132799</v>
      </c>
    </row>
    <row r="148" spans="1:20" x14ac:dyDescent="0.25">
      <c r="A148" s="5">
        <v>44445</v>
      </c>
      <c r="B148">
        <v>0.97689999999999999</v>
      </c>
      <c r="C148">
        <v>1.0029999999999999</v>
      </c>
      <c r="D148">
        <v>0.90239999999999998</v>
      </c>
      <c r="E148">
        <v>0.96020000000000005</v>
      </c>
      <c r="F148">
        <v>64918876</v>
      </c>
      <c r="G148">
        <v>0.96020000000000005</v>
      </c>
      <c r="L148" t="s">
        <v>7</v>
      </c>
      <c r="M148" t="s">
        <v>7</v>
      </c>
      <c r="N148" t="s">
        <v>8</v>
      </c>
      <c r="P148">
        <f t="shared" ref="P148" si="715">IF(C148=D148,0,((E148-D148)-(C148-E148))/(C148-D148))</f>
        <v>0.14910536779324302</v>
      </c>
      <c r="Q148">
        <f t="shared" ref="Q148" si="716">F148*P148</f>
        <v>9679752.8827039376</v>
      </c>
      <c r="R148">
        <f t="shared" ref="R148" si="717">R149+Q148</f>
        <v>391293927.5085665</v>
      </c>
      <c r="S148">
        <f t="shared" ref="S148" si="718">R148/100000</f>
        <v>3912.939275085665</v>
      </c>
      <c r="T148">
        <f t="shared" ref="T148" si="719">S148/1000</f>
        <v>3.9129392750856651</v>
      </c>
    </row>
    <row r="149" spans="1:20" x14ac:dyDescent="0.25">
      <c r="A149" s="5">
        <v>44444</v>
      </c>
      <c r="B149">
        <v>0.99460000000000004</v>
      </c>
      <c r="C149">
        <v>1.0145</v>
      </c>
      <c r="D149">
        <v>0.95</v>
      </c>
      <c r="E149">
        <v>0.97719999999999996</v>
      </c>
      <c r="F149">
        <v>71764688</v>
      </c>
      <c r="G149">
        <v>0.97719999999999996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-0.15658914728682166</v>
      </c>
      <c r="Q149">
        <f t="shared" ref="Q149" si="721">F149*P149</f>
        <v>-11237571.299224803</v>
      </c>
      <c r="R149">
        <f t="shared" ref="R149" si="722">R150+Q149</f>
        <v>381614174.62586254</v>
      </c>
      <c r="S149">
        <f t="shared" ref="S149" si="723">R149/100000</f>
        <v>3816.1417462586255</v>
      </c>
      <c r="T149">
        <f t="shared" ref="T149" si="724">S149/1000</f>
        <v>3.8161417462586256</v>
      </c>
    </row>
    <row r="150" spans="1:20" x14ac:dyDescent="0.25">
      <c r="A150" s="5">
        <v>44443</v>
      </c>
      <c r="B150">
        <v>1.0015000000000001</v>
      </c>
      <c r="C150">
        <v>1.1000000000000001</v>
      </c>
      <c r="D150">
        <v>0.97</v>
      </c>
      <c r="E150">
        <v>0.99429999999999996</v>
      </c>
      <c r="F150">
        <v>128472636</v>
      </c>
      <c r="G150">
        <v>0.99429999999999996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-0.62615384615384662</v>
      </c>
      <c r="Q150">
        <f t="shared" ref="Q150" si="726">F150*P150</f>
        <v>-80443635.15692313</v>
      </c>
      <c r="R150">
        <f t="shared" ref="R150" si="727">R151+Q150</f>
        <v>392851745.92508733</v>
      </c>
      <c r="S150">
        <f t="shared" ref="S150" si="728">R150/100000</f>
        <v>3928.5174592508733</v>
      </c>
      <c r="T150">
        <f t="shared" ref="T150" si="729">S150/1000</f>
        <v>3.9285174592508731</v>
      </c>
    </row>
    <row r="151" spans="1:20" x14ac:dyDescent="0.25">
      <c r="A151" s="5">
        <v>44442</v>
      </c>
      <c r="B151">
        <v>1.0048999999999999</v>
      </c>
      <c r="C151">
        <v>1.0197000000000001</v>
      </c>
      <c r="D151">
        <v>0.9496</v>
      </c>
      <c r="E151">
        <v>1.002</v>
      </c>
      <c r="F151">
        <v>80079904</v>
      </c>
      <c r="G151">
        <v>1.002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0.49500713266761664</v>
      </c>
      <c r="Q151">
        <f t="shared" ref="Q151" si="731">F151*P151</f>
        <v>39640123.663338006</v>
      </c>
      <c r="R151">
        <f t="shared" ref="R151" si="732">R152+Q151</f>
        <v>473295381.08201045</v>
      </c>
      <c r="S151">
        <f t="shared" ref="S151" si="733">R151/100000</f>
        <v>4732.9538108201041</v>
      </c>
      <c r="T151">
        <f t="shared" ref="T151" si="734">S151/1000</f>
        <v>4.7329538108201037</v>
      </c>
    </row>
    <row r="152" spans="1:20" x14ac:dyDescent="0.25">
      <c r="A152" s="5">
        <v>44441</v>
      </c>
      <c r="B152">
        <v>1.0078</v>
      </c>
      <c r="C152">
        <v>1.0615000000000001</v>
      </c>
      <c r="D152">
        <v>0.97160000000000002</v>
      </c>
      <c r="E152">
        <v>1.0048999999999999</v>
      </c>
      <c r="F152">
        <v>107635818</v>
      </c>
      <c r="G152">
        <v>1.0048999999999999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-0.25917686318131589</v>
      </c>
      <c r="Q152">
        <f t="shared" ref="Q152" si="736">F152*P152</f>
        <v>-27896713.675195016</v>
      </c>
      <c r="R152">
        <f t="shared" ref="R152" si="737">R153+Q152</f>
        <v>433655257.41867244</v>
      </c>
      <c r="S152">
        <f t="shared" ref="S152" si="738">R152/100000</f>
        <v>4336.5525741867241</v>
      </c>
      <c r="T152">
        <f t="shared" ref="T152" si="739">S152/1000</f>
        <v>4.3365525741867241</v>
      </c>
    </row>
    <row r="153" spans="1:20" x14ac:dyDescent="0.25">
      <c r="A153" s="5">
        <v>44440</v>
      </c>
      <c r="B153">
        <v>0.95330000000000004</v>
      </c>
      <c r="C153">
        <v>1.1299999999999999</v>
      </c>
      <c r="D153">
        <v>0.92979999999999996</v>
      </c>
      <c r="E153">
        <v>1.008</v>
      </c>
      <c r="F153">
        <v>214994321</v>
      </c>
      <c r="G153">
        <v>1.008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-0.21878121878121806</v>
      </c>
      <c r="Q153">
        <f t="shared" ref="Q153" si="741">F153*P153</f>
        <v>-47036719.579420425</v>
      </c>
      <c r="R153">
        <f t="shared" ref="R153" si="742">R154+Q153</f>
        <v>461551971.09386748</v>
      </c>
      <c r="S153">
        <f t="shared" ref="S153" si="743">R153/100000</f>
        <v>4615.5197109386745</v>
      </c>
      <c r="T153">
        <f t="shared" ref="T153" si="744">S153/1000</f>
        <v>4.6155197109386741</v>
      </c>
    </row>
    <row r="154" spans="1:20" x14ac:dyDescent="0.25">
      <c r="A154" s="5">
        <v>44439</v>
      </c>
      <c r="B154">
        <v>0.97519999999999996</v>
      </c>
      <c r="C154">
        <v>0.99680000000000002</v>
      </c>
      <c r="D154">
        <v>0.89390000000000003</v>
      </c>
      <c r="E154">
        <v>0.95340000000000003</v>
      </c>
      <c r="F154">
        <v>149469308</v>
      </c>
      <c r="G154">
        <v>0.95340000000000003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0.15646258503401364</v>
      </c>
      <c r="Q154">
        <f t="shared" ref="Q154" si="746">F154*P154</f>
        <v>23386354.312925175</v>
      </c>
      <c r="R154">
        <f t="shared" ref="R154" si="747">R155+Q154</f>
        <v>508588690.67328793</v>
      </c>
      <c r="S154">
        <f t="shared" ref="S154" si="748">R154/100000</f>
        <v>5085.8869067328797</v>
      </c>
      <c r="T154">
        <f t="shared" ref="T154" si="749">S154/1000</f>
        <v>5.0858869067328794</v>
      </c>
    </row>
    <row r="155" spans="1:20" x14ac:dyDescent="0.25">
      <c r="A155" s="5">
        <v>44438</v>
      </c>
      <c r="B155">
        <v>1.0036</v>
      </c>
      <c r="C155">
        <v>1.2</v>
      </c>
      <c r="D155">
        <v>0.95</v>
      </c>
      <c r="E155">
        <v>0.97519999999999996</v>
      </c>
      <c r="F155">
        <v>363816407.80000001</v>
      </c>
      <c r="G155">
        <v>0.97519999999999996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-0.7984</v>
      </c>
      <c r="Q155">
        <f t="shared" ref="Q155" si="751">F155*P155</f>
        <v>-290471019.98751998</v>
      </c>
      <c r="R155">
        <f t="shared" ref="R155" si="752">R156+Q155</f>
        <v>485202336.36036277</v>
      </c>
      <c r="S155">
        <f t="shared" ref="S155" si="753">R155/100000</f>
        <v>4852.0233636036273</v>
      </c>
      <c r="T155">
        <f t="shared" ref="T155" si="754">S155/1000</f>
        <v>4.8520233636036272</v>
      </c>
    </row>
    <row r="156" spans="1:20" x14ac:dyDescent="0.25">
      <c r="A156" s="5">
        <v>44437</v>
      </c>
      <c r="B156">
        <v>0.76</v>
      </c>
      <c r="C156">
        <v>1.0461</v>
      </c>
      <c r="D156">
        <v>0.73960000000000004</v>
      </c>
      <c r="E156">
        <v>1.0037</v>
      </c>
      <c r="F156">
        <v>408914650.30000001</v>
      </c>
      <c r="G156">
        <v>1.0037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0.72332789559543231</v>
      </c>
      <c r="Q156">
        <f t="shared" ref="Q156" si="756">F156*P156</f>
        <v>295779373.47964114</v>
      </c>
      <c r="R156">
        <f t="shared" ref="R156" si="757">R157+Q156</f>
        <v>775673356.34788275</v>
      </c>
      <c r="S156">
        <f t="shared" ref="S156" si="758">R156/100000</f>
        <v>7756.7335634788278</v>
      </c>
      <c r="T156">
        <f t="shared" ref="T156" si="759">S156/1000</f>
        <v>7.7567335634788277</v>
      </c>
    </row>
    <row r="157" spans="1:20" x14ac:dyDescent="0.25">
      <c r="A157" s="5">
        <v>44436</v>
      </c>
      <c r="B157">
        <v>0.70950000000000002</v>
      </c>
      <c r="C157">
        <v>0.81499999999999995</v>
      </c>
      <c r="D157">
        <v>0.69350000000000001</v>
      </c>
      <c r="E157">
        <v>0.75970000000000004</v>
      </c>
      <c r="F157">
        <v>180148327</v>
      </c>
      <c r="G157">
        <v>0.75970000000000004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8.9711934156379736E-2</v>
      </c>
      <c r="Q157">
        <f t="shared" ref="Q157" si="761">F157*P157</f>
        <v>16161454.850205965</v>
      </c>
      <c r="R157">
        <f t="shared" ref="R157" si="762">R158+Q157</f>
        <v>479893982.86824167</v>
      </c>
      <c r="S157">
        <f t="shared" ref="S157" si="763">R157/100000</f>
        <v>4798.9398286824171</v>
      </c>
      <c r="T157">
        <f t="shared" ref="T157" si="764">S157/1000</f>
        <v>4.7989398286824168</v>
      </c>
    </row>
    <row r="158" spans="1:20" x14ac:dyDescent="0.25">
      <c r="A158" s="5">
        <v>44435</v>
      </c>
      <c r="B158">
        <v>0.67659999999999998</v>
      </c>
      <c r="C158">
        <v>0.7198</v>
      </c>
      <c r="D158">
        <v>0.64259999999999995</v>
      </c>
      <c r="E158">
        <v>0.70920000000000005</v>
      </c>
      <c r="F158">
        <v>132960408.09999999</v>
      </c>
      <c r="G158">
        <v>0.70920000000000005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0.72538860103627112</v>
      </c>
      <c r="Q158">
        <f t="shared" ref="Q158" si="766">F158*P158</f>
        <v>96447964.424870685</v>
      </c>
      <c r="R158">
        <f t="shared" ref="R158" si="767">R159+Q158</f>
        <v>463732528.01803571</v>
      </c>
      <c r="S158">
        <f t="shared" ref="S158" si="768">R158/100000</f>
        <v>4637.3252801803574</v>
      </c>
      <c r="T158">
        <f t="shared" ref="T158" si="769">S158/1000</f>
        <v>4.6373252801803577</v>
      </c>
    </row>
    <row r="159" spans="1:20" x14ac:dyDescent="0.25">
      <c r="A159" s="5">
        <v>44434</v>
      </c>
      <c r="B159">
        <v>0.73760000000000003</v>
      </c>
      <c r="C159">
        <v>0.86609999999999998</v>
      </c>
      <c r="D159">
        <v>0.67359999999999998</v>
      </c>
      <c r="E159">
        <v>0.67679999999999996</v>
      </c>
      <c r="F159">
        <v>322639730.89999998</v>
      </c>
      <c r="G159">
        <v>0.67679999999999996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-0.96675324675324692</v>
      </c>
      <c r="Q159">
        <f t="shared" ref="Q159" si="771">F159*P159</f>
        <v>-311913007.37916887</v>
      </c>
      <c r="R159">
        <f t="shared" ref="R159" si="772">R160+Q159</f>
        <v>367284563.59316504</v>
      </c>
      <c r="S159">
        <f t="shared" ref="S159" si="773">R159/100000</f>
        <v>3672.8456359316506</v>
      </c>
      <c r="T159">
        <f t="shared" ref="T159" si="774">S159/1000</f>
        <v>3.6728456359316506</v>
      </c>
    </row>
    <row r="160" spans="1:20" x14ac:dyDescent="0.25">
      <c r="A160" s="5">
        <v>44433</v>
      </c>
      <c r="B160">
        <v>0.61451</v>
      </c>
      <c r="C160">
        <v>0.751</v>
      </c>
      <c r="D160">
        <v>0.59</v>
      </c>
      <c r="E160">
        <v>0.73868</v>
      </c>
      <c r="F160">
        <v>207192088.19999999</v>
      </c>
      <c r="G160">
        <v>0.73868</v>
      </c>
      <c r="L160" t="s">
        <v>8</v>
      </c>
      <c r="M160" t="s">
        <v>8</v>
      </c>
      <c r="N160" t="s">
        <v>7</v>
      </c>
      <c r="P160">
        <f t="shared" ref="P160" si="775">IF(C160=D160,0,((E160-D160)-(C160-E160))/(C160-D160))</f>
        <v>0.8469565217391305</v>
      </c>
      <c r="Q160">
        <f t="shared" ref="Q160" si="776">F160*P160</f>
        <v>175482690.35373914</v>
      </c>
      <c r="R160">
        <f t="shared" ref="R160" si="777">R161+Q160</f>
        <v>679197570.97233391</v>
      </c>
      <c r="S160">
        <f t="shared" ref="S160" si="778">R160/100000</f>
        <v>6791.9757097233387</v>
      </c>
      <c r="T160">
        <f t="shared" ref="T160" si="779">S160/1000</f>
        <v>6.7919757097233386</v>
      </c>
    </row>
    <row r="161" spans="1:20" x14ac:dyDescent="0.25">
      <c r="A161" s="5">
        <v>44432</v>
      </c>
      <c r="B161">
        <v>0.67708000000000002</v>
      </c>
      <c r="C161">
        <v>0.68462999999999996</v>
      </c>
      <c r="D161">
        <v>0.58891000000000004</v>
      </c>
      <c r="E161">
        <v>0.61453000000000002</v>
      </c>
      <c r="F161">
        <v>75870698.900000006</v>
      </c>
      <c r="G161">
        <v>0.61453000000000002</v>
      </c>
      <c r="L161" t="s">
        <v>7</v>
      </c>
      <c r="M161" t="s">
        <v>7</v>
      </c>
      <c r="N161" t="s">
        <v>7</v>
      </c>
      <c r="P161">
        <f t="shared" ref="P161" si="780">IF(C161=D161,0,((E161-D161)-(C161-E161))/(C161-D161))</f>
        <v>-0.46468867530296704</v>
      </c>
      <c r="Q161">
        <f t="shared" ref="Q161" si="781">F161*P161</f>
        <v>-35256254.566151284</v>
      </c>
      <c r="R161">
        <f t="shared" ref="R161" si="782">R162+Q161</f>
        <v>503714880.61859477</v>
      </c>
      <c r="S161">
        <f t="shared" ref="S161" si="783">R161/100000</f>
        <v>5037.1488061859473</v>
      </c>
      <c r="T161">
        <f t="shared" ref="T161" si="784">S161/1000</f>
        <v>5.0371488061859475</v>
      </c>
    </row>
    <row r="162" spans="1:20" x14ac:dyDescent="0.25">
      <c r="A162" s="5">
        <v>44431</v>
      </c>
      <c r="B162">
        <v>0.65739000000000003</v>
      </c>
      <c r="C162">
        <v>0.69445000000000001</v>
      </c>
      <c r="D162">
        <v>0.64886999999999995</v>
      </c>
      <c r="E162">
        <v>0.67735999999999996</v>
      </c>
      <c r="F162">
        <v>101413381.40000001</v>
      </c>
      <c r="G162">
        <v>0.67735999999999996</v>
      </c>
      <c r="L162" t="s">
        <v>7</v>
      </c>
      <c r="M162" t="s">
        <v>8</v>
      </c>
      <c r="N162" t="s">
        <v>7</v>
      </c>
      <c r="P162">
        <f t="shared" ref="P162" si="785">IF(C162=D162,0,((E162-D162)-(C162-E162))/(C162-D162))</f>
        <v>0.25010969723562854</v>
      </c>
      <c r="Q162">
        <f t="shared" ref="Q162" si="786">F162*P162</f>
        <v>25364470.117595322</v>
      </c>
      <c r="R162">
        <f t="shared" ref="R162" si="787">R163+Q162</f>
        <v>538971135.18474603</v>
      </c>
      <c r="S162">
        <f t="shared" ref="S162" si="788">R162/100000</f>
        <v>5389.7113518474607</v>
      </c>
      <c r="T162">
        <f t="shared" ref="T162" si="789">S162/1000</f>
        <v>5.3897113518474606</v>
      </c>
    </row>
    <row r="163" spans="1:20" x14ac:dyDescent="0.25">
      <c r="A163" s="5">
        <v>44430</v>
      </c>
      <c r="B163">
        <v>0.66064999999999996</v>
      </c>
      <c r="C163">
        <v>0.70920000000000005</v>
      </c>
      <c r="D163">
        <v>0.65800000000000003</v>
      </c>
      <c r="E163">
        <v>0.66952999999999996</v>
      </c>
      <c r="F163">
        <v>33371052.199999999</v>
      </c>
      <c r="G163">
        <v>0.66952999999999996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-0.54960937500000295</v>
      </c>
      <c r="Q163">
        <f t="shared" ref="Q163" si="791">F163*P163</f>
        <v>-18341043.142734472</v>
      </c>
      <c r="R163">
        <f t="shared" ref="R163" si="792">R164+Q163</f>
        <v>513606665.06715071</v>
      </c>
      <c r="S163">
        <f t="shared" ref="S163" si="793">R163/100000</f>
        <v>5136.066650671507</v>
      </c>
      <c r="T163">
        <f t="shared" ref="T163" si="794">S163/1000</f>
        <v>5.1360666506715074</v>
      </c>
    </row>
    <row r="164" spans="1:20" x14ac:dyDescent="0.25">
      <c r="A164" s="5">
        <v>44429</v>
      </c>
      <c r="B164">
        <v>0.61360999999999999</v>
      </c>
      <c r="C164">
        <v>0.72001000000000004</v>
      </c>
      <c r="D164">
        <v>0.60899999999999999</v>
      </c>
      <c r="E164">
        <v>0.66054000000000002</v>
      </c>
      <c r="F164">
        <v>178748939</v>
      </c>
      <c r="G164">
        <v>0.66054000000000002</v>
      </c>
      <c r="L164" t="s">
        <v>8</v>
      </c>
      <c r="M164" t="s">
        <v>8</v>
      </c>
      <c r="N164" t="s">
        <v>7</v>
      </c>
      <c r="P164">
        <f t="shared" ref="P164" si="795">IF(C164=D164,0,((E164-D164)-(C164-E164))/(C164-D164))</f>
        <v>-7.1435005855328249E-2</v>
      </c>
      <c r="Q164">
        <f t="shared" ref="Q164" si="796">F164*P164</f>
        <v>-12768931.504098712</v>
      </c>
      <c r="R164">
        <f t="shared" ref="R164" si="797">R165+Q164</f>
        <v>531947708.20988518</v>
      </c>
      <c r="S164">
        <f t="shared" ref="S164" si="798">R164/100000</f>
        <v>5319.4770820988515</v>
      </c>
      <c r="T164">
        <f t="shared" ref="T164" si="799">S164/1000</f>
        <v>5.3194770820988513</v>
      </c>
    </row>
    <row r="165" spans="1:20" x14ac:dyDescent="0.25">
      <c r="A165" s="5">
        <v>44428</v>
      </c>
      <c r="B165">
        <v>0.59897</v>
      </c>
      <c r="C165">
        <v>0.61970000000000003</v>
      </c>
      <c r="D165">
        <v>0.58614999999999995</v>
      </c>
      <c r="E165">
        <v>0.61360999999999999</v>
      </c>
      <c r="F165">
        <v>40781105.100000001</v>
      </c>
      <c r="G165">
        <v>0.61360999999999999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0.63695976154992395</v>
      </c>
      <c r="Q165">
        <f t="shared" ref="Q165" si="801">F165*P165</f>
        <v>25975922.980238389</v>
      </c>
      <c r="R165">
        <f t="shared" ref="R165" si="802">R166+Q165</f>
        <v>544716639.71398389</v>
      </c>
      <c r="S165">
        <f t="shared" ref="S165" si="803">R165/100000</f>
        <v>5447.1663971398393</v>
      </c>
      <c r="T165">
        <f t="shared" ref="T165" si="804">S165/1000</f>
        <v>5.4471663971398394</v>
      </c>
    </row>
    <row r="166" spans="1:20" x14ac:dyDescent="0.25">
      <c r="A166" s="5">
        <v>44427</v>
      </c>
      <c r="B166">
        <v>0.58206999999999998</v>
      </c>
      <c r="C166">
        <v>0.59989999999999999</v>
      </c>
      <c r="D166">
        <v>0.55674000000000001</v>
      </c>
      <c r="E166">
        <v>0.59841999999999995</v>
      </c>
      <c r="F166">
        <v>48257791.399999999</v>
      </c>
      <c r="G166">
        <v>0.59841999999999995</v>
      </c>
      <c r="L166" t="s">
        <v>8</v>
      </c>
      <c r="M166" t="s">
        <v>7</v>
      </c>
      <c r="N166" t="s">
        <v>7</v>
      </c>
      <c r="P166">
        <f t="shared" ref="P166" si="805">IF(C166=D166,0,((E166-D166)-(C166-E166))/(C166-D166))</f>
        <v>0.9314179796107489</v>
      </c>
      <c r="Q166">
        <f t="shared" ref="Q166" si="806">F166*P166</f>
        <v>44948174.566264972</v>
      </c>
      <c r="R166">
        <f t="shared" ref="R166" si="807">R167+Q166</f>
        <v>518740716.73374552</v>
      </c>
      <c r="S166">
        <f t="shared" ref="S166" si="808">R166/100000</f>
        <v>5187.4071673374556</v>
      </c>
      <c r="T166">
        <f t="shared" ref="T166" si="809">S166/1000</f>
        <v>5.1874071673374553</v>
      </c>
    </row>
    <row r="167" spans="1:20" x14ac:dyDescent="0.25">
      <c r="A167" s="5">
        <v>44426</v>
      </c>
      <c r="B167">
        <v>0.60907</v>
      </c>
      <c r="C167">
        <v>0.61780000000000002</v>
      </c>
      <c r="D167">
        <v>0.55354999999999999</v>
      </c>
      <c r="E167">
        <v>0.58179999999999998</v>
      </c>
      <c r="F167">
        <v>59252696.700000003</v>
      </c>
      <c r="G167">
        <v>0.58179999999999998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-0.1206225680933857</v>
      </c>
      <c r="Q167">
        <f t="shared" ref="Q167" si="811">F167*P167</f>
        <v>-7147212.4424124807</v>
      </c>
      <c r="R167">
        <f t="shared" ref="R167" si="812">R168+Q167</f>
        <v>473792542.16748053</v>
      </c>
      <c r="S167">
        <f t="shared" ref="S167" si="813">R167/100000</f>
        <v>4737.925421674805</v>
      </c>
      <c r="T167">
        <f t="shared" ref="T167" si="814">S167/1000</f>
        <v>4.737925421674805</v>
      </c>
    </row>
    <row r="168" spans="1:20" x14ac:dyDescent="0.25">
      <c r="A168" s="5">
        <v>44425</v>
      </c>
      <c r="B168">
        <v>0.63285000000000002</v>
      </c>
      <c r="C168">
        <v>0.68742999999999999</v>
      </c>
      <c r="D168">
        <v>0.57799999999999996</v>
      </c>
      <c r="E168">
        <v>0.60916000000000003</v>
      </c>
      <c r="F168">
        <v>85757972.5</v>
      </c>
      <c r="G168">
        <v>0.60916000000000003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-0.43050351823083122</v>
      </c>
      <c r="Q168">
        <f t="shared" ref="Q168" si="816">F168*P168</f>
        <v>-36919108.877592869</v>
      </c>
      <c r="R168">
        <f t="shared" ref="R168" si="817">R169+Q168</f>
        <v>480939754.60989302</v>
      </c>
      <c r="S168">
        <f t="shared" ref="S168" si="818">R168/100000</f>
        <v>4809.3975460989304</v>
      </c>
      <c r="T168">
        <f t="shared" ref="T168" si="819">S168/1000</f>
        <v>4.8093975460989302</v>
      </c>
    </row>
    <row r="169" spans="1:20" x14ac:dyDescent="0.25">
      <c r="A169" s="5">
        <v>44424</v>
      </c>
      <c r="B169">
        <v>0.64503999999999995</v>
      </c>
      <c r="C169">
        <v>0.69499999999999995</v>
      </c>
      <c r="D169">
        <v>0.61980000000000002</v>
      </c>
      <c r="E169">
        <v>0.63280000000000003</v>
      </c>
      <c r="F169">
        <v>106344185.2</v>
      </c>
      <c r="G169">
        <v>0.63280000000000003</v>
      </c>
      <c r="L169" t="s">
        <v>8</v>
      </c>
      <c r="M169" t="s">
        <v>7</v>
      </c>
      <c r="N169" t="s">
        <v>7</v>
      </c>
      <c r="P169">
        <f t="shared" ref="P169" si="820">IF(C169=D169,0,((E169-D169)-(C169-E169))/(C169-D169))</f>
        <v>-0.65425531914893553</v>
      </c>
      <c r="Q169">
        <f t="shared" ref="Q169" si="821">F169*P169</f>
        <v>-69576248.827659503</v>
      </c>
      <c r="R169">
        <f t="shared" ref="R169" si="822">R170+Q169</f>
        <v>517858863.48748589</v>
      </c>
      <c r="S169">
        <f t="shared" ref="S169" si="823">R169/100000</f>
        <v>5178.5886348748591</v>
      </c>
      <c r="T169">
        <f t="shared" ref="T169" si="824">S169/1000</f>
        <v>5.1785886348748589</v>
      </c>
    </row>
    <row r="170" spans="1:20" x14ac:dyDescent="0.25">
      <c r="A170" s="5">
        <v>44423</v>
      </c>
      <c r="B170">
        <v>0.63602999999999998</v>
      </c>
      <c r="C170">
        <v>0.66888000000000003</v>
      </c>
      <c r="D170">
        <v>0.61006000000000005</v>
      </c>
      <c r="E170">
        <v>0.64549000000000001</v>
      </c>
      <c r="F170">
        <v>72338947.200000003</v>
      </c>
      <c r="G170">
        <v>0.64549000000000001</v>
      </c>
      <c r="L170" t="s">
        <v>8</v>
      </c>
      <c r="M170" t="s">
        <v>7</v>
      </c>
      <c r="N170" t="s">
        <v>7</v>
      </c>
      <c r="P170">
        <f t="shared" ref="P170" si="825">IF(C170=D170,0,((E170-D170)-(C170-E170))/(C170-D170))</f>
        <v>0.20469228153689126</v>
      </c>
      <c r="Q170">
        <f t="shared" ref="Q170" si="826">F170*P170</f>
        <v>14807224.146344712</v>
      </c>
      <c r="R170">
        <f t="shared" ref="R170" si="827">R171+Q170</f>
        <v>587435112.31514537</v>
      </c>
      <c r="S170">
        <f t="shared" ref="S170" si="828">R170/100000</f>
        <v>5874.351123151454</v>
      </c>
      <c r="T170">
        <f t="shared" ref="T170" si="829">S170/1000</f>
        <v>5.8743511231514542</v>
      </c>
    </row>
    <row r="171" spans="1:20" x14ac:dyDescent="0.25">
      <c r="A171" s="5">
        <v>44422</v>
      </c>
      <c r="B171">
        <v>0.66312000000000004</v>
      </c>
      <c r="C171">
        <v>0.66383000000000003</v>
      </c>
      <c r="D171">
        <v>0.62</v>
      </c>
      <c r="E171">
        <v>0.63651000000000002</v>
      </c>
      <c r="F171">
        <v>45590647.700000003</v>
      </c>
      <c r="G171">
        <v>0.63651000000000002</v>
      </c>
      <c r="L171" t="s">
        <v>7</v>
      </c>
      <c r="M171" t="s">
        <v>8</v>
      </c>
      <c r="N171" t="s">
        <v>7</v>
      </c>
      <c r="P171">
        <f t="shared" ref="P171" si="830">IF(C171=D171,0,((E171-D171)-(C171-E171))/(C171-D171))</f>
        <v>-0.2466347250741496</v>
      </c>
      <c r="Q171">
        <f t="shared" ref="Q171" si="831">F171*P171</f>
        <v>-11244236.861441912</v>
      </c>
      <c r="R171">
        <f t="shared" ref="R171" si="832">R172+Q171</f>
        <v>572627888.16880071</v>
      </c>
      <c r="S171">
        <f t="shared" ref="S171" si="833">R171/100000</f>
        <v>5726.2788816880075</v>
      </c>
      <c r="T171">
        <f t="shared" ref="T171" si="834">S171/1000</f>
        <v>5.7262788816880077</v>
      </c>
    </row>
    <row r="172" spans="1:20" x14ac:dyDescent="0.25">
      <c r="A172" s="5">
        <v>44421</v>
      </c>
      <c r="B172">
        <v>0.63600999999999996</v>
      </c>
      <c r="C172">
        <v>0.66476000000000002</v>
      </c>
      <c r="D172">
        <v>0.63027</v>
      </c>
      <c r="E172">
        <v>0.66332999999999998</v>
      </c>
      <c r="F172">
        <v>40501743.299999997</v>
      </c>
      <c r="G172">
        <v>0.66332999999999998</v>
      </c>
      <c r="L172" t="s">
        <v>8</v>
      </c>
      <c r="M172" t="s">
        <v>8</v>
      </c>
      <c r="N172" t="s">
        <v>7</v>
      </c>
      <c r="P172">
        <f t="shared" ref="P172" si="835">IF(C172=D172,0,((E172-D172)-(C172-E172))/(C172-D172))</f>
        <v>0.91707741374311158</v>
      </c>
      <c r="Q172">
        <f t="shared" ref="Q172" si="836">F172*P172</f>
        <v>37143233.997651398</v>
      </c>
      <c r="R172">
        <f t="shared" ref="R172" si="837">R173+Q172</f>
        <v>583872125.03024268</v>
      </c>
      <c r="S172">
        <f t="shared" ref="S172" si="838">R172/100000</f>
        <v>5838.7212503024266</v>
      </c>
      <c r="T172">
        <f t="shared" ref="T172" si="839">S172/1000</f>
        <v>5.8387212503024264</v>
      </c>
    </row>
    <row r="173" spans="1:20" x14ac:dyDescent="0.25">
      <c r="A173" s="5">
        <v>44420</v>
      </c>
      <c r="B173">
        <v>0.67381000000000002</v>
      </c>
      <c r="C173">
        <v>0.67981999999999998</v>
      </c>
      <c r="D173">
        <v>0.62080000000000002</v>
      </c>
      <c r="E173">
        <v>0.63636000000000004</v>
      </c>
      <c r="F173">
        <v>57351503.399999999</v>
      </c>
      <c r="G173">
        <v>0.63636000000000004</v>
      </c>
      <c r="L173" t="s">
        <v>7</v>
      </c>
      <c r="M173" t="s">
        <v>8</v>
      </c>
      <c r="N173" t="s">
        <v>7</v>
      </c>
      <c r="P173">
        <f t="shared" ref="P173" si="840">IF(C173=D173,0,((E173-D173)-(C173-E173))/(C173-D173))</f>
        <v>-0.47272111148763035</v>
      </c>
      <c r="Q173">
        <f t="shared" ref="Q173" si="841">F173*P173</f>
        <v>-27111266.432734609</v>
      </c>
      <c r="R173">
        <f t="shared" ref="R173" si="842">R174+Q173</f>
        <v>546728891.03259134</v>
      </c>
      <c r="S173">
        <f t="shared" ref="S173" si="843">R173/100000</f>
        <v>5467.2889103259131</v>
      </c>
      <c r="T173">
        <f t="shared" ref="T173" si="844">S173/1000</f>
        <v>5.4672889103259132</v>
      </c>
    </row>
    <row r="174" spans="1:20" x14ac:dyDescent="0.25">
      <c r="A174" s="5">
        <v>44419</v>
      </c>
      <c r="B174">
        <v>0.67856000000000005</v>
      </c>
      <c r="C174">
        <v>0.73899999999999999</v>
      </c>
      <c r="D174">
        <v>0.65651000000000004</v>
      </c>
      <c r="E174">
        <v>0.67381000000000002</v>
      </c>
      <c r="F174">
        <v>93748687.299999997</v>
      </c>
      <c r="G174">
        <v>0.67381000000000002</v>
      </c>
      <c r="L174" t="s">
        <v>8</v>
      </c>
      <c r="M174" t="s">
        <v>8</v>
      </c>
      <c r="N174" t="s">
        <v>7</v>
      </c>
      <c r="P174">
        <f t="shared" ref="P174" si="845">IF(C174=D174,0,((E174-D174)-(C174-E174))/(C174-D174))</f>
        <v>-0.58055521881440197</v>
      </c>
      <c r="Q174">
        <f t="shared" ref="Q174" si="846">F174*P174</f>
        <v>-54426289.669014446</v>
      </c>
      <c r="R174">
        <f t="shared" ref="R174" si="847">R175+Q174</f>
        <v>573840157.46532595</v>
      </c>
      <c r="S174">
        <f t="shared" ref="S174" si="848">R174/100000</f>
        <v>5738.4015746532596</v>
      </c>
      <c r="T174">
        <f t="shared" ref="T174" si="849">S174/1000</f>
        <v>5.7384015746532597</v>
      </c>
    </row>
    <row r="175" spans="1:20" x14ac:dyDescent="0.25">
      <c r="A175" s="5">
        <v>44418</v>
      </c>
      <c r="B175">
        <v>0.62612000000000001</v>
      </c>
      <c r="C175">
        <v>0.72</v>
      </c>
      <c r="D175">
        <v>0.61451999999999996</v>
      </c>
      <c r="E175">
        <v>0.67839000000000005</v>
      </c>
      <c r="F175">
        <v>126632225.8</v>
      </c>
      <c r="G175">
        <v>0.67839000000000005</v>
      </c>
      <c r="L175" t="s">
        <v>8</v>
      </c>
      <c r="M175" t="s">
        <v>8</v>
      </c>
      <c r="N175" t="s">
        <v>7</v>
      </c>
      <c r="P175">
        <f t="shared" ref="P175" si="850">IF(C175=D175,0,((E175-D175)-(C175-E175))/(C175-D175))</f>
        <v>0.21103526734926209</v>
      </c>
      <c r="Q175">
        <f t="shared" ref="Q175" si="851">F175*P175</f>
        <v>26723865.626735125</v>
      </c>
      <c r="R175">
        <f t="shared" ref="R175" si="852">R176+Q175</f>
        <v>628266447.13434041</v>
      </c>
      <c r="S175">
        <f t="shared" ref="S175" si="853">R175/100000</f>
        <v>6282.6644713434043</v>
      </c>
      <c r="T175">
        <f t="shared" ref="T175" si="854">S175/1000</f>
        <v>6.2826644713434039</v>
      </c>
    </row>
    <row r="176" spans="1:20" x14ac:dyDescent="0.25">
      <c r="A176" s="5">
        <v>44417</v>
      </c>
      <c r="B176">
        <v>0.61539999999999995</v>
      </c>
      <c r="C176">
        <v>0.63363000000000003</v>
      </c>
      <c r="D176">
        <v>0.59999000000000002</v>
      </c>
      <c r="E176">
        <v>0.62639999999999996</v>
      </c>
      <c r="F176">
        <v>39882018.399999999</v>
      </c>
      <c r="G176">
        <v>0.62639999999999996</v>
      </c>
      <c r="L176" t="s">
        <v>7</v>
      </c>
      <c r="M176" t="s">
        <v>7</v>
      </c>
      <c r="N176" t="s">
        <v>7</v>
      </c>
      <c r="P176">
        <f t="shared" ref="P176" si="855">IF(C176=D176,0,((E176-D176)-(C176-E176))/(C176-D176))</f>
        <v>0.57015457788346791</v>
      </c>
      <c r="Q176">
        <f t="shared" ref="Q176" si="856">F176*P176</f>
        <v>22738915.365992699</v>
      </c>
      <c r="R176">
        <f t="shared" ref="R176" si="857">R177+Q176</f>
        <v>601542581.50760531</v>
      </c>
      <c r="S176">
        <f t="shared" ref="S176" si="858">R176/100000</f>
        <v>6015.4258150760534</v>
      </c>
      <c r="T176">
        <f t="shared" ref="T176" si="859">S176/1000</f>
        <v>6.0154258150760533</v>
      </c>
    </row>
    <row r="177" spans="1:20" x14ac:dyDescent="0.25">
      <c r="A177" s="5">
        <v>44416</v>
      </c>
      <c r="B177">
        <v>0.63993</v>
      </c>
      <c r="C177">
        <v>0.67305000000000004</v>
      </c>
      <c r="D177">
        <v>0.60228000000000004</v>
      </c>
      <c r="E177">
        <v>0.61512</v>
      </c>
      <c r="F177">
        <v>57506485.200000003</v>
      </c>
      <c r="G177">
        <v>0.61512</v>
      </c>
      <c r="L177" t="s">
        <v>8</v>
      </c>
      <c r="M177" t="s">
        <v>7</v>
      </c>
      <c r="N177" t="s">
        <v>7</v>
      </c>
      <c r="P177">
        <f t="shared" ref="P177" si="860">IF(C177=D177,0,((E177-D177)-(C177-E177))/(C177-D177))</f>
        <v>-0.6371343789741426</v>
      </c>
      <c r="Q177">
        <f t="shared" ref="Q177" si="861">F177*P177</f>
        <v>-36639358.734887727</v>
      </c>
      <c r="R177">
        <f t="shared" ref="R177" si="862">R178+Q177</f>
        <v>578803666.14161265</v>
      </c>
      <c r="S177">
        <f t="shared" ref="S177" si="863">R177/100000</f>
        <v>5788.0366614161267</v>
      </c>
      <c r="T177">
        <f t="shared" ref="T177" si="864">S177/1000</f>
        <v>5.7880366614161263</v>
      </c>
    </row>
    <row r="178" spans="1:20" x14ac:dyDescent="0.25">
      <c r="A178" s="5">
        <v>44415</v>
      </c>
      <c r="B178">
        <v>0.63644999999999996</v>
      </c>
      <c r="C178">
        <v>0.65522000000000002</v>
      </c>
      <c r="D178">
        <v>0.61399999999999999</v>
      </c>
      <c r="E178">
        <v>0.64041000000000003</v>
      </c>
      <c r="F178">
        <v>56422206.700000003</v>
      </c>
      <c r="G178">
        <v>0.64041000000000003</v>
      </c>
      <c r="L178" t="s">
        <v>8</v>
      </c>
      <c r="M178" t="s">
        <v>7</v>
      </c>
      <c r="N178" t="s">
        <v>7</v>
      </c>
      <c r="P178">
        <f t="shared" ref="P178" si="865">IF(C178=D178,0,((E178-D178)-(C178-E178))/(C178-D178))</f>
        <v>0.28141678796700742</v>
      </c>
      <c r="Q178">
        <f t="shared" ref="Q178" si="866">F178*P178</f>
        <v>15878156.179524567</v>
      </c>
      <c r="R178">
        <f t="shared" ref="R178" si="867">R179+Q178</f>
        <v>615443024.87650037</v>
      </c>
      <c r="S178">
        <f t="shared" ref="S178" si="868">R178/100000</f>
        <v>6154.4302487650039</v>
      </c>
      <c r="T178">
        <f t="shared" ref="T178" si="869">S178/1000</f>
        <v>6.1544302487650038</v>
      </c>
    </row>
    <row r="179" spans="1:20" x14ac:dyDescent="0.25">
      <c r="A179" s="5">
        <v>44414</v>
      </c>
      <c r="B179">
        <v>0.63685000000000003</v>
      </c>
      <c r="C179">
        <v>0.65012999999999999</v>
      </c>
      <c r="D179">
        <v>0.61728000000000005</v>
      </c>
      <c r="E179">
        <v>0.63605999999999996</v>
      </c>
      <c r="F179">
        <v>52707077.799999997</v>
      </c>
      <c r="G179">
        <v>0.63605999999999996</v>
      </c>
      <c r="L179" t="s">
        <v>8</v>
      </c>
      <c r="M179" t="s">
        <v>7</v>
      </c>
      <c r="N179" t="s">
        <v>7</v>
      </c>
      <c r="P179">
        <f t="shared" ref="P179" si="870">IF(C179=D179,0,((E179-D179)-(C179-E179))/(C179-D179))</f>
        <v>0.14337899543378663</v>
      </c>
      <c r="Q179">
        <f t="shared" ref="Q179" si="871">F179*P179</f>
        <v>7557087.8672144357</v>
      </c>
      <c r="R179">
        <f t="shared" ref="R179" si="872">R180+Q179</f>
        <v>599564868.69697583</v>
      </c>
      <c r="S179">
        <f t="shared" ref="S179" si="873">R179/100000</f>
        <v>5995.6486869697583</v>
      </c>
      <c r="T179">
        <f t="shared" ref="T179" si="874">S179/1000</f>
        <v>5.9956486869697585</v>
      </c>
    </row>
    <row r="180" spans="1:20" x14ac:dyDescent="0.25">
      <c r="A180" s="5">
        <v>44413</v>
      </c>
      <c r="B180">
        <v>0.65205000000000002</v>
      </c>
      <c r="C180">
        <v>0.65937999999999997</v>
      </c>
      <c r="D180">
        <v>0.60094999999999998</v>
      </c>
      <c r="E180">
        <v>0.63700000000000001</v>
      </c>
      <c r="F180">
        <v>48582605.399999999</v>
      </c>
      <c r="G180">
        <v>0.63700000000000001</v>
      </c>
      <c r="L180" t="s">
        <v>7</v>
      </c>
      <c r="M180" t="s">
        <v>7</v>
      </c>
      <c r="N180" t="s">
        <v>7</v>
      </c>
      <c r="P180">
        <f t="shared" ref="P180" si="875">IF(C180=D180,0,((E180-D180)-(C180-E180))/(C180-D180))</f>
        <v>0.23395516002053868</v>
      </c>
      <c r="Q180">
        <f t="shared" ref="Q180" si="876">F180*P180</f>
        <v>11366151.220571686</v>
      </c>
      <c r="R180">
        <f t="shared" ref="R180" si="877">R181+Q180</f>
        <v>592007780.82976139</v>
      </c>
      <c r="S180">
        <f t="shared" ref="S180" si="878">R180/100000</f>
        <v>5920.077808297614</v>
      </c>
      <c r="T180">
        <f t="shared" ref="T180" si="879">S180/1000</f>
        <v>5.9200778082976138</v>
      </c>
    </row>
    <row r="181" spans="1:20" x14ac:dyDescent="0.25">
      <c r="A181" s="5">
        <v>44412</v>
      </c>
      <c r="B181">
        <v>0.59067999999999998</v>
      </c>
      <c r="C181">
        <v>0.66488000000000003</v>
      </c>
      <c r="D181">
        <v>0.58072999999999997</v>
      </c>
      <c r="E181">
        <v>0.65200000000000002</v>
      </c>
      <c r="F181">
        <v>82275008.799999997</v>
      </c>
      <c r="G181">
        <v>0.65200000000000002</v>
      </c>
      <c r="L181" t="s">
        <v>8</v>
      </c>
      <c r="M181" t="s">
        <v>7</v>
      </c>
      <c r="N181" t="s">
        <v>7</v>
      </c>
      <c r="P181">
        <f t="shared" ref="P181" si="880">IF(C181=D181,0,((E181-D181)-(C181-E181))/(C181-D181))</f>
        <v>0.69387997623291753</v>
      </c>
      <c r="Q181">
        <f t="shared" ref="Q181" si="881">F181*P181</f>
        <v>57088981.150707081</v>
      </c>
      <c r="R181">
        <f t="shared" ref="R181" si="882">R182+Q181</f>
        <v>580641629.60918975</v>
      </c>
      <c r="S181">
        <f t="shared" ref="S181" si="883">R181/100000</f>
        <v>5806.4162960918975</v>
      </c>
      <c r="T181">
        <f t="shared" ref="T181" si="884">S181/1000</f>
        <v>5.8064162960918972</v>
      </c>
    </row>
    <row r="182" spans="1:20" x14ac:dyDescent="0.25">
      <c r="A182" s="5">
        <v>44411</v>
      </c>
      <c r="B182">
        <v>0.61117999999999995</v>
      </c>
      <c r="C182">
        <v>0.61328000000000005</v>
      </c>
      <c r="D182">
        <v>0.57543999999999995</v>
      </c>
      <c r="E182">
        <v>0.59062000000000003</v>
      </c>
      <c r="F182">
        <v>39464059.200000003</v>
      </c>
      <c r="G182">
        <v>0.59062000000000003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-0.19767441860464885</v>
      </c>
      <c r="Q182">
        <f t="shared" ref="Q182" si="886">F182*P182</f>
        <v>-7801034.9581394438</v>
      </c>
      <c r="R182">
        <f t="shared" ref="R182" si="887">R183+Q182</f>
        <v>523552648.45848262</v>
      </c>
      <c r="S182">
        <f t="shared" ref="S182" si="888">R182/100000</f>
        <v>5235.526484584826</v>
      </c>
      <c r="T182">
        <f t="shared" ref="T182" si="889">S182/1000</f>
        <v>5.2355264845848257</v>
      </c>
    </row>
    <row r="183" spans="1:20" x14ac:dyDescent="0.25">
      <c r="A183" s="5">
        <v>44410</v>
      </c>
      <c r="B183">
        <v>0.58799999999999997</v>
      </c>
      <c r="C183">
        <v>0.65142</v>
      </c>
      <c r="D183">
        <v>0.58796999999999999</v>
      </c>
      <c r="E183">
        <v>0.61221000000000003</v>
      </c>
      <c r="F183">
        <v>70126827.700000003</v>
      </c>
      <c r="G183">
        <v>0.61221000000000003</v>
      </c>
      <c r="L183" t="s">
        <v>8</v>
      </c>
      <c r="M183" t="s">
        <v>7</v>
      </c>
      <c r="N183" t="s">
        <v>7</v>
      </c>
      <c r="P183">
        <f t="shared" ref="P183" si="890">IF(C183=D183,0,((E183-D183)-(C183-E183))/(C183-D183))</f>
        <v>-0.23593380614657095</v>
      </c>
      <c r="Q183">
        <f t="shared" ref="Q183" si="891">F183*P183</f>
        <v>-16545289.372245783</v>
      </c>
      <c r="R183">
        <f t="shared" ref="R183" si="892">R184+Q183</f>
        <v>531353683.41662204</v>
      </c>
      <c r="S183">
        <f t="shared" ref="S183" si="893">R183/100000</f>
        <v>5313.5368341662206</v>
      </c>
      <c r="T183">
        <f t="shared" ref="T183" si="894">S183/1000</f>
        <v>5.3135368341662206</v>
      </c>
    </row>
    <row r="184" spans="1:20" x14ac:dyDescent="0.25">
      <c r="A184" s="5">
        <v>44409</v>
      </c>
      <c r="B184">
        <v>0.63905000000000001</v>
      </c>
      <c r="C184">
        <v>0.64353000000000005</v>
      </c>
      <c r="D184">
        <v>0.57499999999999996</v>
      </c>
      <c r="E184">
        <v>0.58772000000000002</v>
      </c>
      <c r="F184">
        <v>67267611.900000006</v>
      </c>
      <c r="G184">
        <v>0.58772000000000002</v>
      </c>
      <c r="L184" t="s">
        <v>7</v>
      </c>
      <c r="M184" t="s">
        <v>7</v>
      </c>
      <c r="N184" t="s">
        <v>7</v>
      </c>
      <c r="P184">
        <f t="shared" ref="P184" si="895">IF(C184=D184,0,((E184-D184)-(C184-E184))/(C184-D184))</f>
        <v>-0.62877571866335769</v>
      </c>
      <c r="Q184">
        <f t="shared" ref="Q184" si="896">F184*P184</f>
        <v>-42296241.015190333</v>
      </c>
      <c r="R184">
        <f t="shared" ref="R184" si="897">R185+Q184</f>
        <v>547898972.78886783</v>
      </c>
      <c r="S184">
        <f t="shared" ref="S184" si="898">R184/100000</f>
        <v>5478.9897278886783</v>
      </c>
      <c r="T184">
        <f t="shared" ref="T184" si="899">S184/1000</f>
        <v>5.4789897278886786</v>
      </c>
    </row>
    <row r="185" spans="1:20" x14ac:dyDescent="0.25">
      <c r="A185" s="5">
        <v>44408</v>
      </c>
      <c r="B185">
        <v>0.65742999999999996</v>
      </c>
      <c r="C185">
        <v>0.67449999999999999</v>
      </c>
      <c r="D185">
        <v>0.62617</v>
      </c>
      <c r="E185">
        <v>0.63793</v>
      </c>
      <c r="F185">
        <v>63293805.200000003</v>
      </c>
      <c r="G185">
        <v>0.63793</v>
      </c>
      <c r="L185" t="s">
        <v>8</v>
      </c>
      <c r="M185" t="s">
        <v>7</v>
      </c>
      <c r="N185" t="s">
        <v>7</v>
      </c>
      <c r="P185">
        <f t="shared" ref="P185" si="900">IF(C185=D185,0,((E185-D185)-(C185-E185))/(C185-D185))</f>
        <v>-0.51334574798261967</v>
      </c>
      <c r="Q185">
        <f t="shared" ref="Q185" si="901">F185*P185</f>
        <v>-32491605.773060225</v>
      </c>
      <c r="R185">
        <f t="shared" ref="R185" si="902">R186+Q185</f>
        <v>590195213.80405819</v>
      </c>
      <c r="S185">
        <f t="shared" ref="S185" si="903">R185/100000</f>
        <v>5901.9521380405822</v>
      </c>
      <c r="T185">
        <f t="shared" ref="T185" si="904">S185/1000</f>
        <v>5.9019521380405822</v>
      </c>
    </row>
    <row r="186" spans="1:20" x14ac:dyDescent="0.25">
      <c r="A186" s="5">
        <v>44407</v>
      </c>
      <c r="B186">
        <v>0.66376000000000002</v>
      </c>
      <c r="C186">
        <v>0.67234000000000005</v>
      </c>
      <c r="D186">
        <v>0.61709000000000003</v>
      </c>
      <c r="E186">
        <v>0.65744999999999998</v>
      </c>
      <c r="F186">
        <v>68379970.5</v>
      </c>
      <c r="G186">
        <v>0.65744999999999998</v>
      </c>
      <c r="L186" t="s">
        <v>7</v>
      </c>
      <c r="M186" t="s">
        <v>7</v>
      </c>
      <c r="N186" t="s">
        <v>7</v>
      </c>
      <c r="P186">
        <f t="shared" ref="P186" si="905">IF(C186=D186,0,((E186-D186)-(C186-E186))/(C186-D186))</f>
        <v>0.46099547511311983</v>
      </c>
      <c r="Q186">
        <f t="shared" ref="Q186" si="906">F186*P186</f>
        <v>31522856.98886862</v>
      </c>
      <c r="R186">
        <f t="shared" ref="R186" si="907">R187+Q186</f>
        <v>622686819.5771184</v>
      </c>
      <c r="S186">
        <f t="shared" ref="S186" si="908">R186/100000</f>
        <v>6226.8681957711842</v>
      </c>
      <c r="T186">
        <f t="shared" ref="T186" si="909">S186/1000</f>
        <v>6.2268681957711838</v>
      </c>
    </row>
    <row r="187" spans="1:20" x14ac:dyDescent="0.25">
      <c r="A187" s="5">
        <v>44406</v>
      </c>
      <c r="B187">
        <v>0.68037999999999998</v>
      </c>
      <c r="C187">
        <v>0.7</v>
      </c>
      <c r="D187">
        <v>0.64066999999999996</v>
      </c>
      <c r="E187">
        <v>0.66376999999999997</v>
      </c>
      <c r="F187">
        <v>86111577.099999994</v>
      </c>
      <c r="G187">
        <v>0.66376999999999997</v>
      </c>
      <c r="L187" t="s">
        <v>7</v>
      </c>
      <c r="M187" t="s">
        <v>7</v>
      </c>
      <c r="N187" t="s">
        <v>7</v>
      </c>
      <c r="P187">
        <f t="shared" ref="P187" si="910">IF(C187=D187,0,((E187-D187)-(C187-E187))/(C187-D187))</f>
        <v>-0.22130456767234075</v>
      </c>
      <c r="Q187">
        <f t="shared" ref="Q187" si="911">F187*P187</f>
        <v>-19056885.341698937</v>
      </c>
      <c r="R187">
        <f t="shared" ref="R187" si="912">R188+Q187</f>
        <v>591163962.5882498</v>
      </c>
      <c r="S187">
        <f t="shared" ref="S187" si="913">R187/100000</f>
        <v>5911.639625882498</v>
      </c>
      <c r="T187">
        <f t="shared" ref="T187" si="914">S187/1000</f>
        <v>5.9116396258824979</v>
      </c>
    </row>
    <row r="188" spans="1:20" x14ac:dyDescent="0.25">
      <c r="A188" s="5">
        <v>44405</v>
      </c>
      <c r="B188">
        <v>0.67657999999999996</v>
      </c>
      <c r="C188">
        <v>0.75600000000000001</v>
      </c>
      <c r="D188">
        <v>0.65229999999999999</v>
      </c>
      <c r="E188">
        <v>0.68057000000000001</v>
      </c>
      <c r="F188">
        <v>154797333.90000001</v>
      </c>
      <c r="G188">
        <v>0.68057000000000001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-0.4547733847637413</v>
      </c>
      <c r="Q188">
        <f t="shared" ref="Q188" si="916">F188*P188</f>
        <v>-70397707.490106031</v>
      </c>
      <c r="R188">
        <f t="shared" ref="R188" si="917">R189+Q188</f>
        <v>610220847.92994869</v>
      </c>
      <c r="S188">
        <f t="shared" ref="S188" si="918">R188/100000</f>
        <v>6102.2084792994865</v>
      </c>
      <c r="T188">
        <f t="shared" ref="T188" si="919">S188/1000</f>
        <v>6.1022084792994864</v>
      </c>
    </row>
    <row r="189" spans="1:20" x14ac:dyDescent="0.25">
      <c r="A189" s="5">
        <v>44404</v>
      </c>
      <c r="B189">
        <v>0.65803999999999996</v>
      </c>
      <c r="C189">
        <v>0.75705</v>
      </c>
      <c r="D189">
        <v>0.57401000000000002</v>
      </c>
      <c r="E189">
        <v>0.67615999999999998</v>
      </c>
      <c r="F189">
        <v>297949023.39999998</v>
      </c>
      <c r="G189">
        <v>0.67615999999999998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0.11614947552447524</v>
      </c>
      <c r="Q189">
        <f t="shared" ref="Q189" si="921">F189*P189</f>
        <v>34606622.800939597</v>
      </c>
      <c r="R189">
        <f t="shared" ref="R189" si="922">R190+Q189</f>
        <v>680618555.42005467</v>
      </c>
      <c r="S189">
        <f t="shared" ref="S189" si="923">R189/100000</f>
        <v>6806.1855542005469</v>
      </c>
      <c r="T189">
        <f t="shared" ref="T189" si="924">S189/1000</f>
        <v>6.8061855542005469</v>
      </c>
    </row>
    <row r="190" spans="1:20" x14ac:dyDescent="0.25">
      <c r="A190" s="5">
        <v>44403</v>
      </c>
      <c r="B190">
        <v>0.75583999999999996</v>
      </c>
      <c r="C190">
        <v>0.76690999999999998</v>
      </c>
      <c r="D190">
        <v>0.59618000000000004</v>
      </c>
      <c r="E190">
        <v>0.65871999999999997</v>
      </c>
      <c r="F190">
        <v>208511767.5</v>
      </c>
      <c r="G190">
        <v>0.65871999999999997</v>
      </c>
      <c r="L190" t="s">
        <v>7</v>
      </c>
      <c r="M190" t="s">
        <v>7</v>
      </c>
      <c r="N190" t="s">
        <v>7</v>
      </c>
      <c r="P190">
        <f t="shared" ref="P190" si="925">IF(C190=D190,0,((E190-D190)-(C190-E190))/(C190-D190))</f>
        <v>-0.26738124524102441</v>
      </c>
      <c r="Q190">
        <f t="shared" ref="Q190" si="926">F190*P190</f>
        <v>-55752136.041556962</v>
      </c>
      <c r="R190">
        <f t="shared" ref="R190" si="927">R191+Q190</f>
        <v>646011932.61911511</v>
      </c>
      <c r="S190">
        <f t="shared" ref="S190" si="928">R190/100000</f>
        <v>6460.1193261911512</v>
      </c>
      <c r="T190">
        <f t="shared" ref="T190" si="929">S190/1000</f>
        <v>6.4601193261911511</v>
      </c>
    </row>
    <row r="191" spans="1:20" x14ac:dyDescent="0.25">
      <c r="A191" s="5">
        <v>44402</v>
      </c>
      <c r="B191">
        <v>0.73138999999999998</v>
      </c>
      <c r="C191">
        <v>0.78513999999999995</v>
      </c>
      <c r="D191">
        <v>0.67</v>
      </c>
      <c r="E191">
        <v>0.75575999999999999</v>
      </c>
      <c r="F191">
        <v>187240082.09999999</v>
      </c>
      <c r="G191">
        <v>0.75575999999999999</v>
      </c>
      <c r="L191" t="s">
        <v>7</v>
      </c>
      <c r="M191" t="s">
        <v>7</v>
      </c>
      <c r="N191" t="s">
        <v>8</v>
      </c>
      <c r="P191">
        <f t="shared" ref="P191" si="930">IF(C191=D191,0,((E191-D191)-(C191-E191))/(C191-D191))</f>
        <v>0.48966475594927938</v>
      </c>
      <c r="Q191">
        <f t="shared" ref="Q191" si="931">F191*P191</f>
        <v>91684869.105419531</v>
      </c>
      <c r="R191">
        <f t="shared" ref="R191" si="932">R192+Q191</f>
        <v>701764068.66067207</v>
      </c>
      <c r="S191">
        <f t="shared" ref="S191" si="933">R191/100000</f>
        <v>7017.6406866067209</v>
      </c>
      <c r="T191">
        <f t="shared" ref="T191:T197" si="934">S191/1000</f>
        <v>7.0176406866067209</v>
      </c>
    </row>
    <row r="192" spans="1:20" x14ac:dyDescent="0.25">
      <c r="A192" s="5">
        <v>44401</v>
      </c>
      <c r="B192">
        <v>0.65766000000000002</v>
      </c>
      <c r="C192">
        <v>0.84499999999999997</v>
      </c>
      <c r="D192">
        <v>0.62775999999999998</v>
      </c>
      <c r="E192">
        <v>0.73026999999999997</v>
      </c>
      <c r="F192">
        <v>343533759.10000002</v>
      </c>
      <c r="G192">
        <v>0.73026999999999997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-5.6251150800957508E-2</v>
      </c>
      <c r="Q192">
        <f t="shared" ref="Q192" si="936">F192*P192</f>
        <v>-19324169.288353909</v>
      </c>
      <c r="R192">
        <f t="shared" ref="R192" si="937">R193+Q192</f>
        <v>610079199.55525255</v>
      </c>
      <c r="S192">
        <f t="shared" ref="S192" si="938">R192/100000</f>
        <v>6100.7919955525258</v>
      </c>
      <c r="T192">
        <f t="shared" si="934"/>
        <v>6.1007919955525258</v>
      </c>
    </row>
    <row r="193" spans="1:20" x14ac:dyDescent="0.25">
      <c r="A193" s="5">
        <v>44400</v>
      </c>
      <c r="B193">
        <v>0.49808000000000002</v>
      </c>
      <c r="C193">
        <v>0.68901000000000001</v>
      </c>
      <c r="D193">
        <v>0.49642999999999998</v>
      </c>
      <c r="E193">
        <v>0.65832999999999997</v>
      </c>
      <c r="F193">
        <v>269192714.89999998</v>
      </c>
      <c r="G193">
        <v>0.65832999999999997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0.68137916709938684</v>
      </c>
      <c r="Q193">
        <f t="shared" ref="Q193" si="940">F193*P193</f>
        <v>183422307.86778468</v>
      </c>
      <c r="R193">
        <f t="shared" ref="R193" si="941">R194+Q193</f>
        <v>629403368.84360647</v>
      </c>
      <c r="S193">
        <f t="shared" ref="S193" si="942">R193/100000</f>
        <v>6294.0336884360649</v>
      </c>
      <c r="T193">
        <f t="shared" si="934"/>
        <v>6.2940336884360653</v>
      </c>
    </row>
    <row r="194" spans="1:20" x14ac:dyDescent="0.25">
      <c r="A194" s="5">
        <v>44399</v>
      </c>
      <c r="B194">
        <v>0.47358</v>
      </c>
      <c r="C194">
        <v>0.51649999999999996</v>
      </c>
      <c r="D194">
        <v>0.46309</v>
      </c>
      <c r="E194">
        <v>0.49837999999999999</v>
      </c>
      <c r="F194">
        <v>130146928.59999999</v>
      </c>
      <c r="G194">
        <v>0.49837999999999999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0.32147537914248331</v>
      </c>
      <c r="Q194">
        <f t="shared" ref="Q194" si="944">F194*P194</f>
        <v>41839033.215914704</v>
      </c>
      <c r="R194">
        <f t="shared" ref="R194" si="945">R195+Q194</f>
        <v>445981060.97582173</v>
      </c>
      <c r="S194">
        <f t="shared" ref="S194" si="946">R194/100000</f>
        <v>4459.8106097582177</v>
      </c>
      <c r="T194">
        <f t="shared" si="934"/>
        <v>4.4598106097582173</v>
      </c>
    </row>
    <row r="195" spans="1:20" x14ac:dyDescent="0.25">
      <c r="A195" s="5">
        <v>44398</v>
      </c>
      <c r="B195">
        <v>0.38501999999999997</v>
      </c>
      <c r="C195">
        <v>0.48383999999999999</v>
      </c>
      <c r="D195">
        <v>0.37458000000000002</v>
      </c>
      <c r="E195">
        <v>0.47350999999999999</v>
      </c>
      <c r="F195">
        <v>131908195.3</v>
      </c>
      <c r="G195">
        <v>0.47350999999999999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0.81090975654402331</v>
      </c>
      <c r="Q195">
        <f t="shared" ref="Q195" si="948">F195*P195</f>
        <v>106965642.53688447</v>
      </c>
      <c r="R195">
        <f t="shared" ref="R195" si="949">R196+Q195</f>
        <v>404142027.75990701</v>
      </c>
      <c r="S195">
        <f t="shared" ref="S195" si="950">R195/100000</f>
        <v>4041.4202775990702</v>
      </c>
      <c r="T195">
        <f t="shared" si="934"/>
        <v>4.0414202775990704</v>
      </c>
    </row>
    <row r="196" spans="1:20" x14ac:dyDescent="0.25">
      <c r="A196" s="5">
        <v>44397</v>
      </c>
      <c r="B196">
        <v>0.43922</v>
      </c>
      <c r="C196">
        <v>0.44151000000000001</v>
      </c>
      <c r="D196">
        <v>0.36276999999999998</v>
      </c>
      <c r="E196">
        <v>0.38467000000000001</v>
      </c>
      <c r="F196">
        <v>83555443.200000003</v>
      </c>
      <c r="G196">
        <v>0.38467000000000001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-0.4437388874777744</v>
      </c>
      <c r="Q196">
        <f t="shared" ref="Q196" si="952">F196*P196</f>
        <v>-37076799.408280373</v>
      </c>
      <c r="R196">
        <f t="shared" ref="R196" si="953">R197+Q196</f>
        <v>297176385.22302252</v>
      </c>
      <c r="S196">
        <f t="shared" ref="S196" si="954">R196/100000</f>
        <v>2971.763852230225</v>
      </c>
      <c r="T196">
        <f t="shared" si="934"/>
        <v>2.9717638522302248</v>
      </c>
    </row>
    <row r="197" spans="1:20" x14ac:dyDescent="0.25">
      <c r="A197" s="5">
        <v>44396</v>
      </c>
      <c r="B197">
        <v>0.48398999999999998</v>
      </c>
      <c r="C197">
        <v>0.48887999999999998</v>
      </c>
      <c r="D197">
        <v>0.41671999999999998</v>
      </c>
      <c r="E197">
        <v>0.43991000000000002</v>
      </c>
      <c r="F197">
        <v>88548852.400000006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-0.35726164079822498</v>
      </c>
      <c r="Q197">
        <f t="shared" ref="Q197" si="956">F197*P197</f>
        <v>-31635108.299223844</v>
      </c>
      <c r="R197">
        <f t="shared" ref="R197" si="957">R198+Q197</f>
        <v>334253184.63130289</v>
      </c>
      <c r="S197">
        <f t="shared" ref="S197" si="958">R197/100000</f>
        <v>3342.5318463130288</v>
      </c>
      <c r="T197">
        <f t="shared" si="934"/>
        <v>3.3425318463130287</v>
      </c>
    </row>
    <row r="198" spans="1:20" x14ac:dyDescent="0.25">
      <c r="A198" s="5">
        <v>44395</v>
      </c>
      <c r="B198">
        <v>0.44849</v>
      </c>
      <c r="C198">
        <v>0.52349999999999997</v>
      </c>
      <c r="D198">
        <v>0.44601000000000002</v>
      </c>
      <c r="E198">
        <v>0.48425000000000001</v>
      </c>
      <c r="F198">
        <v>156568394.30000001</v>
      </c>
      <c r="G198">
        <v>0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-1.3033939863207588E-2</v>
      </c>
      <c r="Q198">
        <f t="shared" ref="Q198:Q261" si="960">F198*P198</f>
        <v>-2040703.035785174</v>
      </c>
      <c r="R198">
        <f t="shared" ref="R198:R261" si="961">R199+Q198</f>
        <v>365888292.93052673</v>
      </c>
      <c r="S198">
        <f t="shared" ref="S198:S261" si="962">R198/100000</f>
        <v>3658.8829293052672</v>
      </c>
      <c r="T198">
        <f t="shared" ref="T198:T261" si="963">S198/1000</f>
        <v>3.6588829293052672</v>
      </c>
    </row>
    <row r="199" spans="1:20" x14ac:dyDescent="0.25">
      <c r="A199" s="5">
        <v>44394</v>
      </c>
      <c r="B199">
        <v>0.48931000000000002</v>
      </c>
      <c r="C199">
        <v>0.49199999999999999</v>
      </c>
      <c r="D199">
        <v>0.42293999999999998</v>
      </c>
      <c r="E199">
        <v>0.44803999999999999</v>
      </c>
      <c r="F199">
        <v>113012909.90000001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-0.27309585867361691</v>
      </c>
      <c r="Q199">
        <f t="shared" si="960"/>
        <v>-30863357.670344602</v>
      </c>
      <c r="R199">
        <f t="shared" si="961"/>
        <v>367928995.96631193</v>
      </c>
      <c r="S199">
        <f t="shared" si="962"/>
        <v>3679.2899596631191</v>
      </c>
      <c r="T199">
        <f t="shared" si="963"/>
        <v>3.679289959663119</v>
      </c>
    </row>
    <row r="200" spans="1:20" x14ac:dyDescent="0.25">
      <c r="A200" s="5">
        <v>44393</v>
      </c>
      <c r="B200">
        <v>0.54298000000000002</v>
      </c>
      <c r="C200">
        <v>0.60621000000000003</v>
      </c>
      <c r="D200">
        <v>0.47732000000000002</v>
      </c>
      <c r="E200">
        <v>0.48934</v>
      </c>
      <c r="F200">
        <v>169664640.90000001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-0.81348436651408218</v>
      </c>
      <c r="Q200">
        <f t="shared" si="960"/>
        <v>-138019532.92237574</v>
      </c>
      <c r="R200">
        <f t="shared" si="961"/>
        <v>398792353.63665652</v>
      </c>
      <c r="S200">
        <f t="shared" si="962"/>
        <v>3987.9235363665653</v>
      </c>
      <c r="T200">
        <f t="shared" si="963"/>
        <v>3.9879235363665653</v>
      </c>
    </row>
    <row r="201" spans="1:20" x14ac:dyDescent="0.25">
      <c r="A201" s="5">
        <v>44392</v>
      </c>
      <c r="B201">
        <v>0.59128999999999998</v>
      </c>
      <c r="C201">
        <v>0.69199999999999995</v>
      </c>
      <c r="D201">
        <v>0.51351000000000002</v>
      </c>
      <c r="E201">
        <v>0.54366999999999999</v>
      </c>
      <c r="F201">
        <v>432643113.30000001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-0.66205389657683933</v>
      </c>
      <c r="Q201">
        <f t="shared" si="960"/>
        <v>-286433058.9874</v>
      </c>
      <c r="R201">
        <f t="shared" si="961"/>
        <v>536811886.55903226</v>
      </c>
      <c r="S201">
        <f t="shared" si="962"/>
        <v>5368.1188655903225</v>
      </c>
      <c r="T201">
        <f t="shared" si="963"/>
        <v>5.368118865590322</v>
      </c>
    </row>
    <row r="202" spans="1:20" x14ac:dyDescent="0.25">
      <c r="A202" s="5">
        <v>44391</v>
      </c>
      <c r="B202">
        <v>0.43395</v>
      </c>
      <c r="C202">
        <v>0.61960000000000004</v>
      </c>
      <c r="D202">
        <v>0.38268999999999997</v>
      </c>
      <c r="E202">
        <v>0.59047000000000005</v>
      </c>
      <c r="F202">
        <v>336266866.19999999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0.75408382930226681</v>
      </c>
      <c r="Q202">
        <f t="shared" si="960"/>
        <v>253573406.13156897</v>
      </c>
      <c r="R202">
        <f t="shared" si="961"/>
        <v>823244945.54643226</v>
      </c>
      <c r="S202">
        <f t="shared" si="962"/>
        <v>8232.4494554643225</v>
      </c>
      <c r="T202">
        <f t="shared" si="963"/>
        <v>8.2324494554643231</v>
      </c>
    </row>
    <row r="203" spans="1:20" x14ac:dyDescent="0.25">
      <c r="A203" s="5">
        <v>44390</v>
      </c>
      <c r="B203">
        <v>0.41765999999999998</v>
      </c>
      <c r="C203">
        <v>0.46837000000000001</v>
      </c>
      <c r="D203">
        <v>0.40749999999999997</v>
      </c>
      <c r="E203">
        <v>0.43382999999999999</v>
      </c>
      <c r="F203">
        <v>145121654.09999999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-0.13487760801708543</v>
      </c>
      <c r="Q203">
        <f t="shared" si="960"/>
        <v>-19573661.576490857</v>
      </c>
      <c r="R203">
        <f t="shared" si="961"/>
        <v>569671539.41486335</v>
      </c>
      <c r="S203">
        <f t="shared" si="962"/>
        <v>5696.7153941486331</v>
      </c>
      <c r="T203">
        <f t="shared" si="963"/>
        <v>5.696715394148633</v>
      </c>
    </row>
    <row r="204" spans="1:20" x14ac:dyDescent="0.25">
      <c r="A204" s="5">
        <v>44389</v>
      </c>
      <c r="B204">
        <v>0.48996000000000001</v>
      </c>
      <c r="C204">
        <v>0.49097000000000002</v>
      </c>
      <c r="D204">
        <v>0.41671999999999998</v>
      </c>
      <c r="E204">
        <v>0.41746</v>
      </c>
      <c r="F204">
        <v>89924856.299999997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-0.98006734006733953</v>
      </c>
      <c r="Q204">
        <f t="shared" si="960"/>
        <v>-88132414.719878733</v>
      </c>
      <c r="R204">
        <f t="shared" si="961"/>
        <v>589245200.99135423</v>
      </c>
      <c r="S204">
        <f t="shared" si="962"/>
        <v>5892.4520099135425</v>
      </c>
      <c r="T204">
        <f t="shared" si="963"/>
        <v>5.8924520099135425</v>
      </c>
    </row>
    <row r="205" spans="1:20" x14ac:dyDescent="0.25">
      <c r="A205" s="5">
        <v>44388</v>
      </c>
      <c r="B205">
        <v>0.49185000000000001</v>
      </c>
      <c r="C205">
        <v>0.50549999999999995</v>
      </c>
      <c r="D205">
        <v>0.45357999999999998</v>
      </c>
      <c r="E205">
        <v>0.48959000000000003</v>
      </c>
      <c r="F205">
        <v>106189156.09999999</v>
      </c>
      <c r="G205">
        <v>0</v>
      </c>
      <c r="L205" t="s">
        <v>7</v>
      </c>
      <c r="M205" t="s">
        <v>7</v>
      </c>
      <c r="N205" t="s">
        <v>8</v>
      </c>
      <c r="P205">
        <f t="shared" si="959"/>
        <v>0.38713405238829218</v>
      </c>
      <c r="Q205">
        <f t="shared" si="960"/>
        <v>41109438.320685931</v>
      </c>
      <c r="R205">
        <f t="shared" si="961"/>
        <v>677377615.7112329</v>
      </c>
      <c r="S205">
        <f t="shared" si="962"/>
        <v>6773.7761571123292</v>
      </c>
      <c r="T205">
        <f t="shared" si="963"/>
        <v>6.7737761571123292</v>
      </c>
    </row>
    <row r="206" spans="1:20" x14ac:dyDescent="0.25">
      <c r="A206" s="5">
        <v>44387</v>
      </c>
      <c r="B206">
        <v>0.49375000000000002</v>
      </c>
      <c r="C206">
        <v>0.54490000000000005</v>
      </c>
      <c r="D206">
        <v>0.46052999999999999</v>
      </c>
      <c r="E206">
        <v>0.49121999999999999</v>
      </c>
      <c r="F206">
        <v>257914699.09999999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-0.2724902216427646</v>
      </c>
      <c r="Q206">
        <f t="shared" si="960"/>
        <v>-70279233.52268593</v>
      </c>
      <c r="R206">
        <f t="shared" si="961"/>
        <v>636268177.39054692</v>
      </c>
      <c r="S206">
        <f t="shared" si="962"/>
        <v>6362.6817739054695</v>
      </c>
      <c r="T206">
        <f t="shared" si="963"/>
        <v>6.3626817739054697</v>
      </c>
    </row>
    <row r="207" spans="1:20" x14ac:dyDescent="0.25">
      <c r="A207" s="5">
        <v>44386</v>
      </c>
      <c r="B207">
        <v>0.42652000000000001</v>
      </c>
      <c r="C207">
        <v>0.51500000000000001</v>
      </c>
      <c r="D207">
        <v>0.37019000000000002</v>
      </c>
      <c r="E207">
        <v>0.49304999999999999</v>
      </c>
      <c r="F207">
        <v>277564776.60000002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0.69684414059802469</v>
      </c>
      <c r="Q207">
        <f t="shared" si="960"/>
        <v>193419388.21010974</v>
      </c>
      <c r="R207">
        <f t="shared" si="961"/>
        <v>706547410.9132328</v>
      </c>
      <c r="S207">
        <f t="shared" si="962"/>
        <v>7065.4741091323276</v>
      </c>
      <c r="T207">
        <f t="shared" si="963"/>
        <v>7.0654741091323272</v>
      </c>
    </row>
    <row r="208" spans="1:20" x14ac:dyDescent="0.25">
      <c r="A208" s="5">
        <v>44385</v>
      </c>
      <c r="B208">
        <v>0.40048</v>
      </c>
      <c r="C208">
        <v>0.53725000000000001</v>
      </c>
      <c r="D208">
        <v>0.38413999999999998</v>
      </c>
      <c r="E208">
        <v>0.42699999999999999</v>
      </c>
      <c r="F208">
        <v>405240462.89999998</v>
      </c>
      <c r="G208">
        <v>0</v>
      </c>
      <c r="L208" t="s">
        <v>8</v>
      </c>
      <c r="M208" t="s">
        <v>8</v>
      </c>
      <c r="N208" t="s">
        <v>8</v>
      </c>
      <c r="P208">
        <f t="shared" si="959"/>
        <v>-0.44014107504408589</v>
      </c>
      <c r="Q208">
        <f t="shared" si="960"/>
        <v>-178362972.99216899</v>
      </c>
      <c r="R208">
        <f t="shared" si="961"/>
        <v>513128022.70312309</v>
      </c>
      <c r="S208">
        <f t="shared" si="962"/>
        <v>5131.2802270312313</v>
      </c>
      <c r="T208">
        <f t="shared" si="963"/>
        <v>5.1312802270312314</v>
      </c>
    </row>
    <row r="209" spans="1:20" x14ac:dyDescent="0.25">
      <c r="A209" s="5">
        <v>44384</v>
      </c>
      <c r="B209">
        <v>0.30936999999999998</v>
      </c>
      <c r="C209">
        <v>0.44645000000000001</v>
      </c>
      <c r="D209">
        <v>0.30809999999999998</v>
      </c>
      <c r="E209">
        <v>0.40046999999999999</v>
      </c>
      <c r="F209">
        <v>246885539.80000001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0.33530899891579313</v>
      </c>
      <c r="Q209">
        <f t="shared" si="960"/>
        <v>82782943.1971232</v>
      </c>
      <c r="R209">
        <f t="shared" si="961"/>
        <v>691490995.69529212</v>
      </c>
      <c r="S209">
        <f t="shared" si="962"/>
        <v>6914.9099569529208</v>
      </c>
      <c r="T209">
        <f t="shared" si="963"/>
        <v>6.9149099569529211</v>
      </c>
    </row>
    <row r="210" spans="1:20" x14ac:dyDescent="0.25">
      <c r="A210" s="5">
        <v>44383</v>
      </c>
      <c r="B210">
        <v>0.26680999999999999</v>
      </c>
      <c r="C210">
        <v>0.34</v>
      </c>
      <c r="D210">
        <v>0.26618999999999998</v>
      </c>
      <c r="E210">
        <v>0.30936999999999998</v>
      </c>
      <c r="F210">
        <v>123565308.90000001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0.17003116108928251</v>
      </c>
      <c r="Q210">
        <f t="shared" si="960"/>
        <v>21009952.942622855</v>
      </c>
      <c r="R210">
        <f t="shared" si="961"/>
        <v>608708052.49816895</v>
      </c>
      <c r="S210">
        <f t="shared" si="962"/>
        <v>6087.0805249816895</v>
      </c>
      <c r="T210">
        <f t="shared" si="963"/>
        <v>6.0870805249816895</v>
      </c>
    </row>
    <row r="211" spans="1:20" x14ac:dyDescent="0.25">
      <c r="A211" s="5">
        <v>44382</v>
      </c>
      <c r="B211">
        <v>0.27598</v>
      </c>
      <c r="C211">
        <v>0.28841</v>
      </c>
      <c r="D211">
        <v>0.25703999999999999</v>
      </c>
      <c r="E211">
        <v>0.26656999999999997</v>
      </c>
      <c r="F211">
        <v>46710663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-0.39241313356710361</v>
      </c>
      <c r="Q211">
        <f t="shared" si="960"/>
        <v>-18329877.638826966</v>
      </c>
      <c r="R211">
        <f t="shared" si="961"/>
        <v>587698099.55554605</v>
      </c>
      <c r="S211">
        <f t="shared" si="962"/>
        <v>5876.9809955554601</v>
      </c>
      <c r="T211">
        <f t="shared" si="963"/>
        <v>5.8769809955554599</v>
      </c>
    </row>
    <row r="212" spans="1:20" x14ac:dyDescent="0.25">
      <c r="A212" s="5">
        <v>44381</v>
      </c>
      <c r="B212">
        <v>0.26457000000000003</v>
      </c>
      <c r="C212">
        <v>0.30220000000000002</v>
      </c>
      <c r="D212">
        <v>0.25480999999999998</v>
      </c>
      <c r="E212">
        <v>0.27629999999999999</v>
      </c>
      <c r="F212">
        <v>74023379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-9.3057607090103842E-2</v>
      </c>
      <c r="Q212">
        <f t="shared" si="960"/>
        <v>-6888438.5184638435</v>
      </c>
      <c r="R212">
        <f t="shared" si="961"/>
        <v>606027977.19437301</v>
      </c>
      <c r="S212">
        <f t="shared" si="962"/>
        <v>6060.2797719437303</v>
      </c>
      <c r="T212">
        <f t="shared" si="963"/>
        <v>6.0602797719437307</v>
      </c>
    </row>
    <row r="213" spans="1:20" x14ac:dyDescent="0.25">
      <c r="A213" s="5">
        <v>44380</v>
      </c>
      <c r="B213">
        <v>0.24437999999999999</v>
      </c>
      <c r="C213">
        <v>0.27456999999999998</v>
      </c>
      <c r="D213">
        <v>0.23482</v>
      </c>
      <c r="E213">
        <v>0.26456000000000002</v>
      </c>
      <c r="F213">
        <v>41876313.100000001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0.49635220125786322</v>
      </c>
      <c r="Q213">
        <f t="shared" si="960"/>
        <v>20785400.187748495</v>
      </c>
      <c r="R213">
        <f t="shared" si="961"/>
        <v>612916415.71283686</v>
      </c>
      <c r="S213">
        <f t="shared" si="962"/>
        <v>6129.164157128369</v>
      </c>
      <c r="T213">
        <f t="shared" si="963"/>
        <v>6.1291641571283693</v>
      </c>
    </row>
    <row r="214" spans="1:20" x14ac:dyDescent="0.25">
      <c r="A214" s="5">
        <v>44379</v>
      </c>
      <c r="B214">
        <v>0.25180000000000002</v>
      </c>
      <c r="C214">
        <v>0.26</v>
      </c>
      <c r="D214">
        <v>0.22159999999999999</v>
      </c>
      <c r="E214">
        <v>0.24399999999999999</v>
      </c>
      <c r="F214">
        <v>40999073.600000001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0.1666666666666663</v>
      </c>
      <c r="Q214">
        <f t="shared" si="960"/>
        <v>6833178.9333333187</v>
      </c>
      <c r="R214">
        <f t="shared" si="961"/>
        <v>592131015.52508831</v>
      </c>
      <c r="S214">
        <f t="shared" si="962"/>
        <v>5921.3101552508833</v>
      </c>
      <c r="T214">
        <f t="shared" si="963"/>
        <v>5.9213101552508833</v>
      </c>
    </row>
    <row r="215" spans="1:20" x14ac:dyDescent="0.25">
      <c r="A215" s="5">
        <v>44378</v>
      </c>
      <c r="B215">
        <v>0.24510999999999999</v>
      </c>
      <c r="C215">
        <v>0.27300000000000002</v>
      </c>
      <c r="D215">
        <v>0.23905000000000001</v>
      </c>
      <c r="E215">
        <v>0.25237999999999999</v>
      </c>
      <c r="F215">
        <v>88647046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-0.2147275405007377</v>
      </c>
      <c r="Q215">
        <f t="shared" si="960"/>
        <v>-19034962.160235759</v>
      </c>
      <c r="R215">
        <f t="shared" si="961"/>
        <v>585297836.59175503</v>
      </c>
      <c r="S215">
        <f t="shared" si="962"/>
        <v>5852.97836591755</v>
      </c>
      <c r="T215">
        <f t="shared" si="963"/>
        <v>5.8529783659175498</v>
      </c>
    </row>
    <row r="216" spans="1:20" x14ac:dyDescent="0.25">
      <c r="A216" s="5">
        <v>44377</v>
      </c>
      <c r="B216">
        <v>0.22686000000000001</v>
      </c>
      <c r="C216">
        <v>0.24687000000000001</v>
      </c>
      <c r="D216">
        <v>0.21174999999999999</v>
      </c>
      <c r="E216">
        <v>0.24487999999999999</v>
      </c>
      <c r="F216">
        <v>52138783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0.88667425968109237</v>
      </c>
      <c r="Q216">
        <f t="shared" si="960"/>
        <v>46230116.817198128</v>
      </c>
      <c r="R216">
        <f t="shared" si="961"/>
        <v>604332798.7519908</v>
      </c>
      <c r="S216">
        <f t="shared" si="962"/>
        <v>6043.3279875199078</v>
      </c>
      <c r="T216">
        <f t="shared" si="963"/>
        <v>6.0433279875199082</v>
      </c>
    </row>
    <row r="217" spans="1:20" x14ac:dyDescent="0.25">
      <c r="A217" s="5">
        <v>44376</v>
      </c>
      <c r="B217">
        <v>0.20427999999999999</v>
      </c>
      <c r="C217">
        <v>0.22938</v>
      </c>
      <c r="D217">
        <v>0.20247000000000001</v>
      </c>
      <c r="E217">
        <v>0.22686000000000001</v>
      </c>
      <c r="F217">
        <v>35497233.700000003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0.81270903010033479</v>
      </c>
      <c r="Q217">
        <f t="shared" si="960"/>
        <v>28848922.371571921</v>
      </c>
      <c r="R217">
        <f t="shared" si="961"/>
        <v>558102681.93479264</v>
      </c>
      <c r="S217">
        <f t="shared" si="962"/>
        <v>5581.026819347926</v>
      </c>
      <c r="T217">
        <f t="shared" si="963"/>
        <v>5.581026819347926</v>
      </c>
    </row>
    <row r="218" spans="1:20" x14ac:dyDescent="0.25">
      <c r="A218" s="5">
        <v>44375</v>
      </c>
      <c r="B218">
        <v>0.19009999999999999</v>
      </c>
      <c r="C218">
        <v>0.21</v>
      </c>
      <c r="D218">
        <v>0.18806999999999999</v>
      </c>
      <c r="E218">
        <v>0.20416000000000001</v>
      </c>
      <c r="F218">
        <v>26533629.899999999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0.46739626082991492</v>
      </c>
      <c r="Q218">
        <f t="shared" si="960"/>
        <v>12401719.40150483</v>
      </c>
      <c r="R218">
        <f t="shared" si="961"/>
        <v>529253759.56322068</v>
      </c>
      <c r="S218">
        <f t="shared" si="962"/>
        <v>5292.5375956322068</v>
      </c>
      <c r="T218">
        <f t="shared" si="963"/>
        <v>5.2925375956322069</v>
      </c>
    </row>
    <row r="219" spans="1:20" x14ac:dyDescent="0.25">
      <c r="A219" s="5">
        <v>44374</v>
      </c>
      <c r="B219">
        <v>0.18428</v>
      </c>
      <c r="C219">
        <v>0.19037999999999999</v>
      </c>
      <c r="D219">
        <v>0.17637</v>
      </c>
      <c r="E219">
        <v>0.19001999999999999</v>
      </c>
      <c r="F219">
        <v>15353854.1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0.94860813704496794</v>
      </c>
      <c r="Q219">
        <f t="shared" si="960"/>
        <v>14564790.934261242</v>
      </c>
      <c r="R219">
        <f t="shared" si="961"/>
        <v>516852040.16171587</v>
      </c>
      <c r="S219">
        <f t="shared" si="962"/>
        <v>5168.5204016171583</v>
      </c>
      <c r="T219">
        <f t="shared" si="963"/>
        <v>5.1685204016171582</v>
      </c>
    </row>
    <row r="220" spans="1:20" x14ac:dyDescent="0.25">
      <c r="A220" s="5">
        <v>44373</v>
      </c>
      <c r="B220">
        <v>0.18296000000000001</v>
      </c>
      <c r="C220">
        <v>0.18920000000000001</v>
      </c>
      <c r="D220">
        <v>0.17050000000000001</v>
      </c>
      <c r="E220">
        <v>0.18434</v>
      </c>
      <c r="F220">
        <v>16979557.5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0.48021390374331502</v>
      </c>
      <c r="Q220">
        <f t="shared" si="960"/>
        <v>8153819.5909090824</v>
      </c>
      <c r="R220">
        <f t="shared" si="961"/>
        <v>502287249.2274546</v>
      </c>
      <c r="S220">
        <f t="shared" si="962"/>
        <v>5022.8724922745459</v>
      </c>
      <c r="T220">
        <f t="shared" si="963"/>
        <v>5.022872492274546</v>
      </c>
    </row>
    <row r="221" spans="1:20" x14ac:dyDescent="0.25">
      <c r="A221" s="5">
        <v>44372</v>
      </c>
      <c r="B221">
        <v>0.20349999999999999</v>
      </c>
      <c r="C221">
        <v>0.21154999999999999</v>
      </c>
      <c r="D221">
        <v>0.18118000000000001</v>
      </c>
      <c r="E221">
        <v>0.18340999999999999</v>
      </c>
      <c r="F221">
        <v>34415874.399999999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-0.85314455054330041</v>
      </c>
      <c r="Q221">
        <f t="shared" si="960"/>
        <v>-29361715.696542677</v>
      </c>
      <c r="R221">
        <f t="shared" si="961"/>
        <v>494133429.63654554</v>
      </c>
      <c r="S221">
        <f t="shared" si="962"/>
        <v>4941.334296365455</v>
      </c>
      <c r="T221">
        <f t="shared" si="963"/>
        <v>4.9413342963654552</v>
      </c>
    </row>
    <row r="222" spans="1:20" x14ac:dyDescent="0.25">
      <c r="A222" s="5">
        <v>44371</v>
      </c>
      <c r="B222">
        <v>0.1923</v>
      </c>
      <c r="C222">
        <v>0.21163999999999999</v>
      </c>
      <c r="D222">
        <v>0.17979000000000001</v>
      </c>
      <c r="E222">
        <v>0.2031</v>
      </c>
      <c r="F222">
        <v>34839969.5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0.46373626373626403</v>
      </c>
      <c r="Q222">
        <f t="shared" si="960"/>
        <v>16156557.284615396</v>
      </c>
      <c r="R222">
        <f t="shared" si="961"/>
        <v>523495145.33308822</v>
      </c>
      <c r="S222">
        <f t="shared" si="962"/>
        <v>5234.951453330882</v>
      </c>
      <c r="T222">
        <f t="shared" si="963"/>
        <v>5.2349514533308819</v>
      </c>
    </row>
    <row r="223" spans="1:20" x14ac:dyDescent="0.25">
      <c r="A223" s="5">
        <v>44370</v>
      </c>
      <c r="B223">
        <v>0.17443</v>
      </c>
      <c r="C223">
        <v>0.20910000000000001</v>
      </c>
      <c r="D223">
        <v>0.16656000000000001</v>
      </c>
      <c r="E223">
        <v>0.19250999999999999</v>
      </c>
      <c r="F223">
        <v>55557777.5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0.22002820874470974</v>
      </c>
      <c r="Q223">
        <f t="shared" si="960"/>
        <v>12224278.265162138</v>
      </c>
      <c r="R223">
        <f t="shared" si="961"/>
        <v>507338588.04847282</v>
      </c>
      <c r="S223">
        <f t="shared" si="962"/>
        <v>5073.3858804847287</v>
      </c>
      <c r="T223">
        <f t="shared" si="963"/>
        <v>5.0733858804847287</v>
      </c>
    </row>
    <row r="224" spans="1:20" x14ac:dyDescent="0.25">
      <c r="A224" s="5">
        <v>44369</v>
      </c>
      <c r="B224">
        <v>0.17874999999999999</v>
      </c>
      <c r="C224">
        <v>0.19364999999999999</v>
      </c>
      <c r="D224">
        <v>0.14660999999999999</v>
      </c>
      <c r="E224">
        <v>0.17405000000000001</v>
      </c>
      <c r="F224">
        <v>60969572.799999997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0.16666666666666755</v>
      </c>
      <c r="Q224">
        <f t="shared" si="960"/>
        <v>10161595.466666719</v>
      </c>
      <c r="R224">
        <f t="shared" si="961"/>
        <v>495114309.78331071</v>
      </c>
      <c r="S224">
        <f t="shared" si="962"/>
        <v>4951.1430978331073</v>
      </c>
      <c r="T224">
        <f t="shared" si="963"/>
        <v>4.951143097833107</v>
      </c>
    </row>
    <row r="225" spans="1:20" x14ac:dyDescent="0.25">
      <c r="A225" s="5">
        <v>44368</v>
      </c>
      <c r="B225">
        <v>0.23805999999999999</v>
      </c>
      <c r="C225">
        <v>0.23959</v>
      </c>
      <c r="D225">
        <v>0.17768999999999999</v>
      </c>
      <c r="E225">
        <v>0.17927999999999999</v>
      </c>
      <c r="F225">
        <v>42726011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-0.94862681744749566</v>
      </c>
      <c r="Q225">
        <f t="shared" si="960"/>
        <v>-40531039.837156691</v>
      </c>
      <c r="R225">
        <f t="shared" si="961"/>
        <v>484952714.31664401</v>
      </c>
      <c r="S225">
        <f t="shared" si="962"/>
        <v>4849.5271431664405</v>
      </c>
      <c r="T225">
        <f t="shared" si="963"/>
        <v>4.8495271431664406</v>
      </c>
    </row>
    <row r="226" spans="1:20" x14ac:dyDescent="0.25">
      <c r="A226" s="5">
        <v>44367</v>
      </c>
      <c r="B226">
        <v>0.24571999999999999</v>
      </c>
      <c r="C226">
        <v>0.24884999999999999</v>
      </c>
      <c r="D226">
        <v>0.22051000000000001</v>
      </c>
      <c r="E226">
        <v>0.23805999999999999</v>
      </c>
      <c r="F226">
        <v>19025532.300000001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0.23853211009174291</v>
      </c>
      <c r="Q226">
        <f t="shared" si="960"/>
        <v>4538200.3651376106</v>
      </c>
      <c r="R226">
        <f t="shared" si="961"/>
        <v>525483754.15380073</v>
      </c>
      <c r="S226">
        <f t="shared" si="962"/>
        <v>5254.8375415380069</v>
      </c>
      <c r="T226">
        <f t="shared" si="963"/>
        <v>5.2548375415380066</v>
      </c>
    </row>
    <row r="227" spans="1:20" x14ac:dyDescent="0.25">
      <c r="A227" s="5">
        <v>44366</v>
      </c>
      <c r="B227">
        <v>0.25596000000000002</v>
      </c>
      <c r="C227">
        <v>0.25799</v>
      </c>
      <c r="D227">
        <v>0.24512</v>
      </c>
      <c r="E227">
        <v>0.24567</v>
      </c>
      <c r="F227">
        <v>10795774.199999999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-0.91452991452991528</v>
      </c>
      <c r="Q227">
        <f t="shared" si="960"/>
        <v>-9873058.4564102646</v>
      </c>
      <c r="R227">
        <f t="shared" si="961"/>
        <v>520945553.78866309</v>
      </c>
      <c r="S227">
        <f t="shared" si="962"/>
        <v>5209.4555378866307</v>
      </c>
      <c r="T227">
        <f t="shared" si="963"/>
        <v>5.2094555378866305</v>
      </c>
    </row>
    <row r="228" spans="1:20" x14ac:dyDescent="0.25">
      <c r="A228" s="5">
        <v>44365</v>
      </c>
      <c r="B228">
        <v>0.27160000000000001</v>
      </c>
      <c r="C228">
        <v>0.27348</v>
      </c>
      <c r="D228">
        <v>0.24204000000000001</v>
      </c>
      <c r="E228">
        <v>0.25647999999999999</v>
      </c>
      <c r="F228">
        <v>16214930.199999999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-8.142493638676955E-2</v>
      </c>
      <c r="Q228">
        <f t="shared" si="960"/>
        <v>-1320299.6600509083</v>
      </c>
      <c r="R228">
        <f t="shared" si="961"/>
        <v>530818612.24507338</v>
      </c>
      <c r="S228">
        <f t="shared" si="962"/>
        <v>5308.1861224507338</v>
      </c>
      <c r="T228">
        <f t="shared" si="963"/>
        <v>5.3081861224507341</v>
      </c>
    </row>
    <row r="229" spans="1:20" x14ac:dyDescent="0.25">
      <c r="A229" s="5">
        <v>44364</v>
      </c>
      <c r="B229">
        <v>0.27050000000000002</v>
      </c>
      <c r="C229">
        <v>0.28678999999999999</v>
      </c>
      <c r="D229">
        <v>0.26521</v>
      </c>
      <c r="E229">
        <v>0.27156000000000002</v>
      </c>
      <c r="F229">
        <v>18658030.399999999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-0.41149212233549343</v>
      </c>
      <c r="Q229">
        <f t="shared" si="960"/>
        <v>-7677632.5278961547</v>
      </c>
      <c r="R229">
        <f t="shared" si="961"/>
        <v>532138911.90512431</v>
      </c>
      <c r="S229">
        <f t="shared" si="962"/>
        <v>5321.3891190512431</v>
      </c>
      <c r="T229">
        <f t="shared" si="963"/>
        <v>5.3213891190512435</v>
      </c>
    </row>
    <row r="230" spans="1:20" x14ac:dyDescent="0.25">
      <c r="A230" s="5">
        <v>44363</v>
      </c>
      <c r="B230">
        <v>0.28643000000000002</v>
      </c>
      <c r="C230">
        <v>0.30086000000000002</v>
      </c>
      <c r="D230">
        <v>0.26633000000000001</v>
      </c>
      <c r="E230">
        <v>0.27045000000000002</v>
      </c>
      <c r="F230">
        <v>42584179.100000001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-0.76136692730958522</v>
      </c>
      <c r="Q230">
        <f t="shared" si="960"/>
        <v>-32422185.593368061</v>
      </c>
      <c r="R230">
        <f t="shared" si="961"/>
        <v>539816544.43302047</v>
      </c>
      <c r="S230">
        <f t="shared" si="962"/>
        <v>5398.165444330205</v>
      </c>
      <c r="T230">
        <f t="shared" si="963"/>
        <v>5.3981654443302052</v>
      </c>
    </row>
    <row r="231" spans="1:20" x14ac:dyDescent="0.25">
      <c r="A231" s="5">
        <v>44362</v>
      </c>
      <c r="B231">
        <v>0.28420000000000001</v>
      </c>
      <c r="C231">
        <v>0.28997000000000001</v>
      </c>
      <c r="D231">
        <v>0.27248</v>
      </c>
      <c r="E231">
        <v>0.28643000000000002</v>
      </c>
      <c r="F231">
        <v>23380697.800000001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0.59519725557461556</v>
      </c>
      <c r="Q231">
        <f t="shared" si="960"/>
        <v>13916127.163979452</v>
      </c>
      <c r="R231">
        <f t="shared" si="961"/>
        <v>572238730.02638853</v>
      </c>
      <c r="S231">
        <f t="shared" si="962"/>
        <v>5722.3873002638857</v>
      </c>
      <c r="T231">
        <f t="shared" si="963"/>
        <v>5.7223873002638861</v>
      </c>
    </row>
    <row r="232" spans="1:20" x14ac:dyDescent="0.25">
      <c r="A232" s="5">
        <v>44361</v>
      </c>
      <c r="B232">
        <v>0.27714</v>
      </c>
      <c r="C232">
        <v>0.28466000000000002</v>
      </c>
      <c r="D232">
        <v>0.26843</v>
      </c>
      <c r="E232">
        <v>0.28450999999999999</v>
      </c>
      <c r="F232">
        <v>22161873.199999999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0.98151571164509688</v>
      </c>
      <c r="Q232">
        <f t="shared" si="960"/>
        <v>21752226.745286401</v>
      </c>
      <c r="R232">
        <f t="shared" si="961"/>
        <v>558322602.86240911</v>
      </c>
      <c r="S232">
        <f t="shared" si="962"/>
        <v>5583.2260286240908</v>
      </c>
      <c r="T232">
        <f t="shared" si="963"/>
        <v>5.5832260286240905</v>
      </c>
    </row>
    <row r="233" spans="1:20" x14ac:dyDescent="0.25">
      <c r="A233" s="5">
        <v>44360</v>
      </c>
      <c r="B233">
        <v>0.26295000000000002</v>
      </c>
      <c r="C233">
        <v>0.27804000000000001</v>
      </c>
      <c r="D233">
        <v>0.25358000000000003</v>
      </c>
      <c r="E233">
        <v>0.27672000000000002</v>
      </c>
      <c r="F233">
        <v>20373281.800000001</v>
      </c>
      <c r="G233">
        <v>0</v>
      </c>
      <c r="L233" t="s">
        <v>7</v>
      </c>
      <c r="M233" t="s">
        <v>7</v>
      </c>
      <c r="N233" t="s">
        <v>7</v>
      </c>
      <c r="P233">
        <f t="shared" si="959"/>
        <v>0.89206868356500502</v>
      </c>
      <c r="Q233">
        <f t="shared" si="960"/>
        <v>18174366.675224878</v>
      </c>
      <c r="R233">
        <f t="shared" si="961"/>
        <v>536570376.11712271</v>
      </c>
      <c r="S233">
        <f t="shared" si="962"/>
        <v>5365.7037611712267</v>
      </c>
      <c r="T233">
        <f t="shared" si="963"/>
        <v>5.3657037611712264</v>
      </c>
    </row>
    <row r="234" spans="1:20" x14ac:dyDescent="0.25">
      <c r="A234" s="5">
        <v>44359</v>
      </c>
      <c r="B234">
        <v>0.30685000000000001</v>
      </c>
      <c r="C234">
        <v>0.30854999999999999</v>
      </c>
      <c r="D234">
        <v>0.25524000000000002</v>
      </c>
      <c r="E234">
        <v>0.26275999999999999</v>
      </c>
      <c r="F234">
        <v>47798630.5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-0.71787657099981328</v>
      </c>
      <c r="Q234">
        <f t="shared" si="960"/>
        <v>-34313516.961827092</v>
      </c>
      <c r="R234">
        <f t="shared" si="961"/>
        <v>518396009.44189781</v>
      </c>
      <c r="S234">
        <f t="shared" si="962"/>
        <v>5183.9600944189779</v>
      </c>
      <c r="T234">
        <f t="shared" si="963"/>
        <v>5.1839600944189774</v>
      </c>
    </row>
    <row r="235" spans="1:20" x14ac:dyDescent="0.25">
      <c r="A235" s="5">
        <v>44358</v>
      </c>
      <c r="B235">
        <v>0.30009999999999998</v>
      </c>
      <c r="C235">
        <v>0.34333000000000002</v>
      </c>
      <c r="D235">
        <v>0.28283000000000003</v>
      </c>
      <c r="E235">
        <v>0.30682999999999999</v>
      </c>
      <c r="F235">
        <v>77317144.299999997</v>
      </c>
      <c r="G235">
        <v>0</v>
      </c>
      <c r="L235" t="s">
        <v>8</v>
      </c>
      <c r="M235" t="s">
        <v>8</v>
      </c>
      <c r="N235" t="s">
        <v>7</v>
      </c>
      <c r="P235">
        <f t="shared" si="959"/>
        <v>-0.206611570247935</v>
      </c>
      <c r="Q235">
        <f t="shared" si="960"/>
        <v>-15974616.590909177</v>
      </c>
      <c r="R235">
        <f t="shared" si="961"/>
        <v>552709526.40372491</v>
      </c>
      <c r="S235">
        <f t="shared" si="962"/>
        <v>5527.0952640372489</v>
      </c>
      <c r="T235">
        <f t="shared" si="963"/>
        <v>5.527095264037249</v>
      </c>
    </row>
    <row r="236" spans="1:20" x14ac:dyDescent="0.25">
      <c r="A236" s="5">
        <v>44357</v>
      </c>
      <c r="B236">
        <v>0.29157</v>
      </c>
      <c r="C236">
        <v>0.30551</v>
      </c>
      <c r="D236">
        <v>0.27633999999999997</v>
      </c>
      <c r="E236">
        <v>0.29957</v>
      </c>
      <c r="F236">
        <v>28774494.800000001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0.59273225917038086</v>
      </c>
      <c r="Q236">
        <f t="shared" si="960"/>
        <v>17055571.309290376</v>
      </c>
      <c r="R236">
        <f t="shared" si="961"/>
        <v>568684142.99463403</v>
      </c>
      <c r="S236">
        <f t="shared" si="962"/>
        <v>5686.8414299463402</v>
      </c>
      <c r="T236">
        <f t="shared" si="963"/>
        <v>5.6868414299463401</v>
      </c>
    </row>
    <row r="237" spans="1:20" x14ac:dyDescent="0.25">
      <c r="A237" s="5">
        <v>44356</v>
      </c>
      <c r="B237">
        <v>0.28104000000000001</v>
      </c>
      <c r="C237">
        <v>0.29157</v>
      </c>
      <c r="D237">
        <v>0.26256000000000002</v>
      </c>
      <c r="E237">
        <v>0.29154999999999998</v>
      </c>
      <c r="F237">
        <v>27495054.300000001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0.99862116511547605</v>
      </c>
      <c r="Q237">
        <f t="shared" si="960"/>
        <v>27457143.15997928</v>
      </c>
      <c r="R237">
        <f t="shared" si="961"/>
        <v>551628571.68534362</v>
      </c>
      <c r="S237">
        <f t="shared" si="962"/>
        <v>5516.2857168534365</v>
      </c>
      <c r="T237">
        <f t="shared" si="963"/>
        <v>5.5162857168534369</v>
      </c>
    </row>
    <row r="238" spans="1:20" x14ac:dyDescent="0.25">
      <c r="A238" s="5">
        <v>44355</v>
      </c>
      <c r="B238">
        <v>0.29483999999999999</v>
      </c>
      <c r="C238">
        <v>0.30053000000000002</v>
      </c>
      <c r="D238">
        <v>0.25002000000000002</v>
      </c>
      <c r="E238">
        <v>0.28128999999999998</v>
      </c>
      <c r="F238">
        <v>31395767.399999999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0.23817065927538963</v>
      </c>
      <c r="Q238">
        <f t="shared" si="960"/>
        <v>7477550.6201147856</v>
      </c>
      <c r="R238">
        <f t="shared" si="961"/>
        <v>524171428.5253644</v>
      </c>
      <c r="S238">
        <f t="shared" si="962"/>
        <v>5241.7142852536435</v>
      </c>
      <c r="T238">
        <f t="shared" si="963"/>
        <v>5.2417142852536438</v>
      </c>
    </row>
    <row r="239" spans="1:20" x14ac:dyDescent="0.25">
      <c r="A239" s="5">
        <v>44354</v>
      </c>
      <c r="B239">
        <v>0.32482</v>
      </c>
      <c r="C239">
        <v>0.33154</v>
      </c>
      <c r="D239">
        <v>0.29078999999999999</v>
      </c>
      <c r="E239">
        <v>0.29493000000000003</v>
      </c>
      <c r="F239">
        <v>16698141.300000001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-0.79680981595091871</v>
      </c>
      <c r="Q239">
        <f t="shared" si="960"/>
        <v>-13305242.895975435</v>
      </c>
      <c r="R239">
        <f t="shared" si="961"/>
        <v>516693877.9052496</v>
      </c>
      <c r="S239">
        <f t="shared" si="962"/>
        <v>5166.9387790524961</v>
      </c>
      <c r="T239">
        <f t="shared" si="963"/>
        <v>5.1669387790524963</v>
      </c>
    </row>
    <row r="240" spans="1:20" x14ac:dyDescent="0.25">
      <c r="A240" s="5">
        <v>44353</v>
      </c>
      <c r="B240">
        <v>0.31766</v>
      </c>
      <c r="C240">
        <v>0.33145000000000002</v>
      </c>
      <c r="D240">
        <v>0.31567000000000001</v>
      </c>
      <c r="E240">
        <v>0.32490999999999998</v>
      </c>
      <c r="F240">
        <v>15421278.9</v>
      </c>
      <c r="G240">
        <v>0</v>
      </c>
      <c r="L240" t="s">
        <v>7</v>
      </c>
      <c r="M240" t="s">
        <v>7</v>
      </c>
      <c r="N240" t="s">
        <v>7</v>
      </c>
      <c r="P240">
        <f t="shared" si="959"/>
        <v>0.17110266159695323</v>
      </c>
      <c r="Q240">
        <f t="shared" si="960"/>
        <v>2638621.8650189349</v>
      </c>
      <c r="R240">
        <f t="shared" si="961"/>
        <v>529999120.80122501</v>
      </c>
      <c r="S240">
        <f t="shared" si="962"/>
        <v>5299.9912080122504</v>
      </c>
      <c r="T240">
        <f t="shared" si="963"/>
        <v>5.2999912080122504</v>
      </c>
    </row>
    <row r="241" spans="1:20" x14ac:dyDescent="0.25">
      <c r="A241" s="5">
        <v>44352</v>
      </c>
      <c r="B241">
        <v>0.33296999999999999</v>
      </c>
      <c r="C241">
        <v>0.34538999999999997</v>
      </c>
      <c r="D241">
        <v>0.30941999999999997</v>
      </c>
      <c r="E241">
        <v>0.318</v>
      </c>
      <c r="F241">
        <v>19648283.300000001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-0.52293577981651196</v>
      </c>
      <c r="Q241">
        <f t="shared" si="960"/>
        <v>-10274790.349541249</v>
      </c>
      <c r="R241">
        <f t="shared" si="961"/>
        <v>527360498.93620604</v>
      </c>
      <c r="S241">
        <f t="shared" si="962"/>
        <v>5273.6049893620602</v>
      </c>
      <c r="T241">
        <f t="shared" si="963"/>
        <v>5.2736049893620605</v>
      </c>
    </row>
    <row r="242" spans="1:20" x14ac:dyDescent="0.25">
      <c r="A242" s="5">
        <v>44351</v>
      </c>
      <c r="B242">
        <v>0.36357</v>
      </c>
      <c r="C242">
        <v>0.37</v>
      </c>
      <c r="D242">
        <v>0.30514999999999998</v>
      </c>
      <c r="E242">
        <v>0.33305000000000001</v>
      </c>
      <c r="F242">
        <v>37196395.399999999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-0.13955281418658358</v>
      </c>
      <c r="Q242">
        <f t="shared" si="960"/>
        <v>-5190861.6556668924</v>
      </c>
      <c r="R242">
        <f t="shared" si="961"/>
        <v>537635289.28574729</v>
      </c>
      <c r="S242">
        <f t="shared" si="962"/>
        <v>5376.3528928574733</v>
      </c>
      <c r="T242">
        <f t="shared" si="963"/>
        <v>5.3763528928574731</v>
      </c>
    </row>
    <row r="243" spans="1:20" x14ac:dyDescent="0.25">
      <c r="A243" s="5">
        <v>44350</v>
      </c>
      <c r="B243">
        <v>0.33184999999999998</v>
      </c>
      <c r="C243">
        <v>0.36970999999999998</v>
      </c>
      <c r="D243">
        <v>0.32068000000000002</v>
      </c>
      <c r="E243">
        <v>0.36357</v>
      </c>
      <c r="F243">
        <v>39142396.399999999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0.74954109728737572</v>
      </c>
      <c r="Q243">
        <f t="shared" si="960"/>
        <v>29338834.748113424</v>
      </c>
      <c r="R243">
        <f t="shared" si="961"/>
        <v>542826150.94141424</v>
      </c>
      <c r="S243">
        <f t="shared" si="962"/>
        <v>5428.261509414142</v>
      </c>
      <c r="T243">
        <f t="shared" si="963"/>
        <v>5.428261509414142</v>
      </c>
    </row>
    <row r="244" spans="1:20" x14ac:dyDescent="0.25">
      <c r="A244" s="5">
        <v>44349</v>
      </c>
      <c r="B244">
        <v>0.32308999999999999</v>
      </c>
      <c r="C244">
        <v>0.33899000000000001</v>
      </c>
      <c r="D244">
        <v>0.31211</v>
      </c>
      <c r="E244">
        <v>0.33163999999999999</v>
      </c>
      <c r="F244">
        <v>27547915.399999999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0.45312499999999856</v>
      </c>
      <c r="Q244">
        <f t="shared" si="960"/>
        <v>12482649.165624959</v>
      </c>
      <c r="R244">
        <f t="shared" si="961"/>
        <v>513487316.19330078</v>
      </c>
      <c r="S244">
        <f t="shared" si="962"/>
        <v>5134.8731619330074</v>
      </c>
      <c r="T244">
        <f t="shared" si="963"/>
        <v>5.1348731619330072</v>
      </c>
    </row>
    <row r="245" spans="1:20" x14ac:dyDescent="0.25">
      <c r="A245" s="5">
        <v>44348</v>
      </c>
      <c r="B245">
        <v>0.33384000000000003</v>
      </c>
      <c r="C245">
        <v>0.33433000000000002</v>
      </c>
      <c r="D245">
        <v>0.31019000000000002</v>
      </c>
      <c r="E245">
        <v>0.32346000000000003</v>
      </c>
      <c r="F245">
        <v>23867930.800000001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9.9420049710025424E-2</v>
      </c>
      <c r="Q245">
        <f t="shared" si="960"/>
        <v>2372950.8666114472</v>
      </c>
      <c r="R245">
        <f t="shared" si="961"/>
        <v>501004667.02767581</v>
      </c>
      <c r="S245">
        <f t="shared" si="962"/>
        <v>5010.0466702767581</v>
      </c>
      <c r="T245">
        <f t="shared" si="963"/>
        <v>5.0100466702767577</v>
      </c>
    </row>
    <row r="246" spans="1:20" x14ac:dyDescent="0.25">
      <c r="A246" s="5">
        <v>44347</v>
      </c>
      <c r="B246">
        <v>0.31556000000000001</v>
      </c>
      <c r="C246">
        <v>0.33500000000000002</v>
      </c>
      <c r="D246">
        <v>0.29382999999999998</v>
      </c>
      <c r="E246">
        <v>0.33412999999999998</v>
      </c>
      <c r="F246">
        <v>29356407.300000001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0.9577362156910354</v>
      </c>
      <c r="Q246">
        <f t="shared" si="960"/>
        <v>28115694.433786687</v>
      </c>
      <c r="R246">
        <f t="shared" si="961"/>
        <v>498631716.16106439</v>
      </c>
      <c r="S246">
        <f t="shared" si="962"/>
        <v>4986.3171616106438</v>
      </c>
      <c r="T246">
        <f t="shared" si="963"/>
        <v>4.9863171616106436</v>
      </c>
    </row>
    <row r="247" spans="1:20" x14ac:dyDescent="0.25">
      <c r="A247" s="5">
        <v>44346</v>
      </c>
      <c r="B247">
        <v>0.30536999999999997</v>
      </c>
      <c r="C247">
        <v>0.33531</v>
      </c>
      <c r="D247">
        <v>0.28036</v>
      </c>
      <c r="E247">
        <v>0.31570999999999999</v>
      </c>
      <c r="F247">
        <v>29651948.399999999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0.28662420382165582</v>
      </c>
      <c r="Q247">
        <f t="shared" si="960"/>
        <v>8498966.1019108202</v>
      </c>
      <c r="R247">
        <f t="shared" si="961"/>
        <v>470516021.7272777</v>
      </c>
      <c r="S247">
        <f t="shared" si="962"/>
        <v>4705.1602172727771</v>
      </c>
      <c r="T247">
        <f t="shared" si="963"/>
        <v>4.7051602172727769</v>
      </c>
    </row>
    <row r="248" spans="1:20" x14ac:dyDescent="0.25">
      <c r="A248" s="5">
        <v>44345</v>
      </c>
      <c r="B248">
        <v>0.33740999999999999</v>
      </c>
      <c r="C248">
        <v>0.33844999999999997</v>
      </c>
      <c r="D248">
        <v>0.28326000000000001</v>
      </c>
      <c r="E248">
        <v>0.30530000000000002</v>
      </c>
      <c r="F248">
        <v>41983027.399999999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-0.2013045841637971</v>
      </c>
      <c r="Q248">
        <f t="shared" si="960"/>
        <v>-8451375.8726942986</v>
      </c>
      <c r="R248">
        <f t="shared" si="961"/>
        <v>462017055.62536687</v>
      </c>
      <c r="S248">
        <f t="shared" si="962"/>
        <v>4620.170556253669</v>
      </c>
      <c r="T248">
        <f t="shared" si="963"/>
        <v>4.6201705562536688</v>
      </c>
    </row>
    <row r="249" spans="1:20" x14ac:dyDescent="0.25">
      <c r="A249" s="5">
        <v>44344</v>
      </c>
      <c r="B249">
        <v>0.33835999999999999</v>
      </c>
      <c r="C249">
        <v>0.38361000000000001</v>
      </c>
      <c r="D249">
        <v>0.30342999999999998</v>
      </c>
      <c r="E249">
        <v>0.33779999999999999</v>
      </c>
      <c r="F249">
        <v>103799479.5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-0.14267897231229734</v>
      </c>
      <c r="Q249">
        <f t="shared" si="960"/>
        <v>-14810003.061611375</v>
      </c>
      <c r="R249">
        <f t="shared" si="961"/>
        <v>470468431.49806118</v>
      </c>
      <c r="S249">
        <f t="shared" si="962"/>
        <v>4704.6843149806118</v>
      </c>
      <c r="T249">
        <f t="shared" si="963"/>
        <v>4.7046843149806117</v>
      </c>
    </row>
    <row r="250" spans="1:20" x14ac:dyDescent="0.25">
      <c r="A250" s="5">
        <v>44343</v>
      </c>
      <c r="B250">
        <v>0.37145</v>
      </c>
      <c r="C250">
        <v>0.37680000000000002</v>
      </c>
      <c r="D250">
        <v>0.32557000000000003</v>
      </c>
      <c r="E250">
        <v>0.33732000000000001</v>
      </c>
      <c r="F250">
        <v>56066629.100000001</v>
      </c>
      <c r="G250">
        <v>0</v>
      </c>
      <c r="L250" t="s">
        <v>7</v>
      </c>
      <c r="M250" t="s">
        <v>7</v>
      </c>
      <c r="N250" t="s">
        <v>8</v>
      </c>
      <c r="P250">
        <f t="shared" si="959"/>
        <v>-0.54128440366972541</v>
      </c>
      <c r="Q250">
        <f t="shared" si="960"/>
        <v>-30347991.898165174</v>
      </c>
      <c r="R250">
        <f t="shared" si="961"/>
        <v>485278434.55967253</v>
      </c>
      <c r="S250">
        <f t="shared" si="962"/>
        <v>4852.784345596725</v>
      </c>
      <c r="T250">
        <f t="shared" si="963"/>
        <v>4.8527843455967252</v>
      </c>
    </row>
    <row r="251" spans="1:20" x14ac:dyDescent="0.25">
      <c r="A251" s="5">
        <v>44342</v>
      </c>
      <c r="B251">
        <v>0.29296</v>
      </c>
      <c r="C251">
        <v>0.38739000000000001</v>
      </c>
      <c r="D251">
        <v>0.28234999999999999</v>
      </c>
      <c r="E251">
        <v>0.37143999999999999</v>
      </c>
      <c r="F251">
        <v>88785330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0.696306169078446</v>
      </c>
      <c r="Q251">
        <f t="shared" si="960"/>
        <v>61821773.002665624</v>
      </c>
      <c r="R251">
        <f t="shared" si="961"/>
        <v>515626426.4578377</v>
      </c>
      <c r="S251">
        <f t="shared" si="962"/>
        <v>5156.2642645783772</v>
      </c>
      <c r="T251">
        <f t="shared" si="963"/>
        <v>5.1562642645783772</v>
      </c>
    </row>
    <row r="252" spans="1:20" x14ac:dyDescent="0.25">
      <c r="A252" s="5">
        <v>44341</v>
      </c>
      <c r="B252">
        <v>0.312</v>
      </c>
      <c r="C252">
        <v>0.32069999999999999</v>
      </c>
      <c r="D252">
        <v>0.26156000000000001</v>
      </c>
      <c r="E252">
        <v>0.29254000000000002</v>
      </c>
      <c r="F252">
        <v>64392512.299999997</v>
      </c>
      <c r="G252">
        <v>0</v>
      </c>
      <c r="L252" t="s">
        <v>7</v>
      </c>
      <c r="M252" t="s">
        <v>7</v>
      </c>
      <c r="N252" t="s">
        <v>8</v>
      </c>
      <c r="P252">
        <f t="shared" si="959"/>
        <v>4.7683462969226348E-2</v>
      </c>
      <c r="Q252">
        <f t="shared" si="960"/>
        <v>3070457.9757525022</v>
      </c>
      <c r="R252">
        <f t="shared" si="961"/>
        <v>453804653.45517206</v>
      </c>
      <c r="S252">
        <f t="shared" si="962"/>
        <v>4538.0465345517205</v>
      </c>
      <c r="T252">
        <f t="shared" si="963"/>
        <v>4.5380465345517207</v>
      </c>
    </row>
    <row r="253" spans="1:20" x14ac:dyDescent="0.25">
      <c r="A253" s="5">
        <v>44340</v>
      </c>
      <c r="B253">
        <v>0.29331000000000002</v>
      </c>
      <c r="C253">
        <v>0.31973000000000001</v>
      </c>
      <c r="D253">
        <v>0.25674999999999998</v>
      </c>
      <c r="E253">
        <v>0.31131999999999999</v>
      </c>
      <c r="F253">
        <v>110441048.2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0.73293108923467687</v>
      </c>
      <c r="Q253">
        <f t="shared" si="960"/>
        <v>80945677.753445446</v>
      </c>
      <c r="R253">
        <f t="shared" si="961"/>
        <v>450734195.47941959</v>
      </c>
      <c r="S253">
        <f t="shared" si="962"/>
        <v>4507.3419547941958</v>
      </c>
      <c r="T253">
        <f t="shared" si="963"/>
        <v>4.507341954794196</v>
      </c>
    </row>
    <row r="254" spans="1:20" x14ac:dyDescent="0.25">
      <c r="A254" s="5">
        <v>44339</v>
      </c>
      <c r="B254">
        <v>0.44213000000000002</v>
      </c>
      <c r="C254">
        <v>0.47447</v>
      </c>
      <c r="D254">
        <v>0.23430999999999999</v>
      </c>
      <c r="E254">
        <v>0.29331000000000002</v>
      </c>
      <c r="F254">
        <v>271482850.19999999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-0.50866089273817439</v>
      </c>
      <c r="Q254">
        <f t="shared" si="960"/>
        <v>-138092708.94583607</v>
      </c>
      <c r="R254">
        <f t="shared" si="961"/>
        <v>369788517.72597414</v>
      </c>
      <c r="S254">
        <f t="shared" si="962"/>
        <v>3697.8851772597413</v>
      </c>
      <c r="T254">
        <f t="shared" si="963"/>
        <v>3.6978851772597414</v>
      </c>
    </row>
    <row r="255" spans="1:20" x14ac:dyDescent="0.25">
      <c r="A255" s="5">
        <v>44338</v>
      </c>
      <c r="B255">
        <v>0.29152</v>
      </c>
      <c r="C255">
        <v>0.47974</v>
      </c>
      <c r="D255">
        <v>0.27346999999999999</v>
      </c>
      <c r="E255">
        <v>0.44214999999999999</v>
      </c>
      <c r="F255">
        <v>384918247.89999998</v>
      </c>
      <c r="G255">
        <v>0</v>
      </c>
      <c r="L255" t="s">
        <v>8</v>
      </c>
      <c r="M255" t="s">
        <v>8</v>
      </c>
      <c r="N255" t="s">
        <v>8</v>
      </c>
      <c r="P255">
        <f t="shared" si="959"/>
        <v>0.63552625199980595</v>
      </c>
      <c r="Q255">
        <f t="shared" si="960"/>
        <v>244625651.41421917</v>
      </c>
      <c r="R255">
        <f t="shared" si="961"/>
        <v>507881226.67181021</v>
      </c>
      <c r="S255">
        <f t="shared" si="962"/>
        <v>5078.8122667181024</v>
      </c>
      <c r="T255">
        <f t="shared" si="963"/>
        <v>5.0788122667181019</v>
      </c>
    </row>
    <row r="256" spans="1:20" x14ac:dyDescent="0.25">
      <c r="A256" s="5">
        <v>44337</v>
      </c>
      <c r="B256">
        <v>0.31052000000000002</v>
      </c>
      <c r="C256">
        <v>0.35389999999999999</v>
      </c>
      <c r="D256">
        <v>0.23702000000000001</v>
      </c>
      <c r="E256">
        <v>0.29283999999999999</v>
      </c>
      <c r="F256">
        <v>84433028.099999994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-4.4832306639288354E-2</v>
      </c>
      <c r="Q256">
        <f t="shared" si="960"/>
        <v>-3785327.4062628499</v>
      </c>
      <c r="R256">
        <f t="shared" si="961"/>
        <v>263255575.25759104</v>
      </c>
      <c r="S256">
        <f t="shared" si="962"/>
        <v>2632.5557525759104</v>
      </c>
      <c r="T256">
        <f t="shared" si="963"/>
        <v>2.6325557525759105</v>
      </c>
    </row>
    <row r="257" spans="1:20" x14ac:dyDescent="0.25">
      <c r="A257" s="5">
        <v>44336</v>
      </c>
      <c r="B257">
        <v>0.24701000000000001</v>
      </c>
      <c r="C257">
        <v>0.31602999999999998</v>
      </c>
      <c r="D257">
        <v>0.21389</v>
      </c>
      <c r="E257">
        <v>0.31065999999999999</v>
      </c>
      <c r="F257">
        <v>65039301.399999999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0.89485020560015693</v>
      </c>
      <c r="Q257">
        <f t="shared" si="960"/>
        <v>58200432.229880571</v>
      </c>
      <c r="R257">
        <f t="shared" si="961"/>
        <v>267040902.66385388</v>
      </c>
      <c r="S257">
        <f t="shared" si="962"/>
        <v>2670.4090266385388</v>
      </c>
      <c r="T257">
        <f t="shared" si="963"/>
        <v>2.6704090266385387</v>
      </c>
    </row>
    <row r="258" spans="1:20" x14ac:dyDescent="0.25">
      <c r="A258" s="5">
        <v>44335</v>
      </c>
      <c r="B258">
        <v>0.39224999999999999</v>
      </c>
      <c r="C258">
        <v>0.40178000000000003</v>
      </c>
      <c r="D258">
        <v>0.17327000000000001</v>
      </c>
      <c r="E258">
        <v>0.24651000000000001</v>
      </c>
      <c r="F258">
        <v>91903410.299999997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-0.35897772526366467</v>
      </c>
      <c r="Q258">
        <f t="shared" si="960"/>
        <v>-32991277.173467249</v>
      </c>
      <c r="R258">
        <f t="shared" si="961"/>
        <v>208840470.43397331</v>
      </c>
      <c r="S258">
        <f t="shared" si="962"/>
        <v>2088.4047043397331</v>
      </c>
      <c r="T258">
        <f t="shared" si="963"/>
        <v>2.0884047043397334</v>
      </c>
    </row>
    <row r="259" spans="1:20" x14ac:dyDescent="0.25">
      <c r="A259" s="5">
        <v>44334</v>
      </c>
      <c r="B259">
        <v>0.37595000000000001</v>
      </c>
      <c r="C259">
        <v>0.41987999999999998</v>
      </c>
      <c r="D259">
        <v>0.37</v>
      </c>
      <c r="E259">
        <v>0.39224999999999999</v>
      </c>
      <c r="F259">
        <v>40996993.399999999</v>
      </c>
      <c r="G259">
        <v>0</v>
      </c>
      <c r="L259" t="s">
        <v>8</v>
      </c>
      <c r="M259" t="s">
        <v>8</v>
      </c>
      <c r="N259" t="s">
        <v>7</v>
      </c>
      <c r="P259">
        <f t="shared" si="959"/>
        <v>-0.10785886126704086</v>
      </c>
      <c r="Q259">
        <f t="shared" si="960"/>
        <v>-4421889.0234963894</v>
      </c>
      <c r="R259">
        <f t="shared" si="961"/>
        <v>241831747.60744056</v>
      </c>
      <c r="S259">
        <f t="shared" si="962"/>
        <v>2418.3174760744055</v>
      </c>
      <c r="T259">
        <f t="shared" si="963"/>
        <v>2.4183174760744053</v>
      </c>
    </row>
    <row r="260" spans="1:20" x14ac:dyDescent="0.25">
      <c r="A260" s="5">
        <v>44333</v>
      </c>
      <c r="B260">
        <v>0.41566999999999998</v>
      </c>
      <c r="C260">
        <v>0.41621999999999998</v>
      </c>
      <c r="D260">
        <v>0.35693999999999998</v>
      </c>
      <c r="E260">
        <v>0.37559999999999999</v>
      </c>
      <c r="F260">
        <v>54432422.200000003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-0.37044534412955432</v>
      </c>
      <c r="Q260">
        <f t="shared" si="960"/>
        <v>-20164237.373684194</v>
      </c>
      <c r="R260">
        <f t="shared" si="961"/>
        <v>246253636.63093695</v>
      </c>
      <c r="S260">
        <f t="shared" si="962"/>
        <v>2462.5363663093694</v>
      </c>
      <c r="T260">
        <f t="shared" si="963"/>
        <v>2.4625363663093696</v>
      </c>
    </row>
    <row r="261" spans="1:20" x14ac:dyDescent="0.25">
      <c r="A261" s="5">
        <v>44332</v>
      </c>
      <c r="B261">
        <v>0.43320999999999998</v>
      </c>
      <c r="C261">
        <v>0.46733000000000002</v>
      </c>
      <c r="D261">
        <v>0.39</v>
      </c>
      <c r="E261">
        <v>0.41585</v>
      </c>
      <c r="F261">
        <v>46431957.700000003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-0.33143669985775298</v>
      </c>
      <c r="Q261">
        <f t="shared" si="960"/>
        <v>-15389254.828022784</v>
      </c>
      <c r="R261">
        <f t="shared" si="961"/>
        <v>266417874.00462115</v>
      </c>
      <c r="S261">
        <f t="shared" si="962"/>
        <v>2664.1787400462113</v>
      </c>
      <c r="T261">
        <f t="shared" si="963"/>
        <v>2.6641787400462111</v>
      </c>
    </row>
    <row r="262" spans="1:20" x14ac:dyDescent="0.25">
      <c r="A262" s="5">
        <v>44331</v>
      </c>
      <c r="B262">
        <v>0.44003999999999999</v>
      </c>
      <c r="C262">
        <v>0.51329999999999998</v>
      </c>
      <c r="D262">
        <v>0.42969000000000002</v>
      </c>
      <c r="E262">
        <v>0.43278</v>
      </c>
      <c r="F262">
        <v>71532761.299999997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-0.92608539648367461</v>
      </c>
      <c r="Q262">
        <f t="shared" ref="Q262:Q325" si="965">F262*P262</f>
        <v>-66245445.610082552</v>
      </c>
      <c r="R262">
        <f t="shared" ref="R262:R325" si="966">R263+Q262</f>
        <v>281807128.83264393</v>
      </c>
      <c r="S262">
        <f t="shared" ref="S262:S325" si="967">R262/100000</f>
        <v>2818.0712883264391</v>
      </c>
      <c r="T262">
        <f t="shared" ref="T262:T325" si="968">S262/1000</f>
        <v>2.8180712883264389</v>
      </c>
    </row>
    <row r="263" spans="1:20" x14ac:dyDescent="0.25">
      <c r="A263" s="5">
        <v>44330</v>
      </c>
      <c r="B263">
        <v>0.42325000000000002</v>
      </c>
      <c r="C263">
        <v>0.45937</v>
      </c>
      <c r="D263">
        <v>0.41</v>
      </c>
      <c r="E263">
        <v>0.44066</v>
      </c>
      <c r="F263">
        <v>29087300.899999999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0.24204982783066661</v>
      </c>
      <c r="Q263">
        <f t="shared" si="965"/>
        <v>7040576.1749037933</v>
      </c>
      <c r="R263">
        <f t="shared" si="966"/>
        <v>348052574.44272649</v>
      </c>
      <c r="S263">
        <f t="shared" si="967"/>
        <v>3480.5257444272647</v>
      </c>
      <c r="T263">
        <f t="shared" si="968"/>
        <v>3.4805257444272648</v>
      </c>
    </row>
    <row r="264" spans="1:20" x14ac:dyDescent="0.25">
      <c r="A264" s="5">
        <v>44329</v>
      </c>
      <c r="B264">
        <v>0.41143000000000002</v>
      </c>
      <c r="C264">
        <v>0.44989000000000001</v>
      </c>
      <c r="D264">
        <v>0.38827</v>
      </c>
      <c r="E264">
        <v>0.42325000000000002</v>
      </c>
      <c r="F264">
        <v>48280621.200000003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0.13534566699123682</v>
      </c>
      <c r="Q264">
        <f t="shared" si="965"/>
        <v>6534572.8790652491</v>
      </c>
      <c r="R264">
        <f t="shared" si="966"/>
        <v>341011998.26782268</v>
      </c>
      <c r="S264">
        <f t="shared" si="967"/>
        <v>3410.1199826782267</v>
      </c>
      <c r="T264">
        <f t="shared" si="968"/>
        <v>3.4101199826782267</v>
      </c>
    </row>
    <row r="265" spans="1:20" x14ac:dyDescent="0.25">
      <c r="A265" s="5">
        <v>44328</v>
      </c>
      <c r="B265">
        <v>0.50305</v>
      </c>
      <c r="C265">
        <v>0.53337000000000001</v>
      </c>
      <c r="D265">
        <v>0.40122000000000002</v>
      </c>
      <c r="E265">
        <v>0.41143000000000002</v>
      </c>
      <c r="F265">
        <v>33270899.699999999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-0.84547862277714725</v>
      </c>
      <c r="Q265">
        <f t="shared" si="965"/>
        <v>-28129834.4569126</v>
      </c>
      <c r="R265">
        <f t="shared" si="966"/>
        <v>334477425.38875741</v>
      </c>
      <c r="S265">
        <f t="shared" si="967"/>
        <v>3344.7742538875741</v>
      </c>
      <c r="T265">
        <f t="shared" si="968"/>
        <v>3.3447742538875742</v>
      </c>
    </row>
    <row r="266" spans="1:20" x14ac:dyDescent="0.25">
      <c r="A266" s="5">
        <v>44327</v>
      </c>
      <c r="B266">
        <v>0.46148</v>
      </c>
      <c r="C266">
        <v>0.51304000000000005</v>
      </c>
      <c r="D266">
        <v>0.44961000000000001</v>
      </c>
      <c r="E266">
        <v>0.50280000000000002</v>
      </c>
      <c r="F266">
        <v>27344555.5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0.67712438909033512</v>
      </c>
      <c r="Q266">
        <f t="shared" si="965"/>
        <v>18515665.437884264</v>
      </c>
      <c r="R266">
        <f t="shared" si="966"/>
        <v>362607259.84566998</v>
      </c>
      <c r="S266">
        <f t="shared" si="967"/>
        <v>3626.0725984566998</v>
      </c>
      <c r="T266">
        <f t="shared" si="968"/>
        <v>3.6260725984566999</v>
      </c>
    </row>
    <row r="267" spans="1:20" x14ac:dyDescent="0.25">
      <c r="A267" s="5">
        <v>44326</v>
      </c>
      <c r="B267">
        <v>0.54313</v>
      </c>
      <c r="C267">
        <v>0.54915999999999998</v>
      </c>
      <c r="D267">
        <v>0.43</v>
      </c>
      <c r="E267">
        <v>0.46206999999999998</v>
      </c>
      <c r="F267">
        <v>31926590.699999999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-0.46173212487411897</v>
      </c>
      <c r="Q267">
        <f t="shared" si="965"/>
        <v>-14741532.563897286</v>
      </c>
      <c r="R267">
        <f t="shared" si="966"/>
        <v>344091594.40778571</v>
      </c>
      <c r="S267">
        <f t="shared" si="967"/>
        <v>3440.9159440778571</v>
      </c>
      <c r="T267">
        <f t="shared" si="968"/>
        <v>3.4409159440778572</v>
      </c>
    </row>
    <row r="268" spans="1:20" x14ac:dyDescent="0.25">
      <c r="A268" s="5">
        <v>44325</v>
      </c>
      <c r="B268">
        <v>0.54300000000000004</v>
      </c>
      <c r="C268">
        <v>0.54957999999999996</v>
      </c>
      <c r="D268">
        <v>0.50116000000000005</v>
      </c>
      <c r="E268">
        <v>0.54303000000000001</v>
      </c>
      <c r="F268">
        <v>23023342.100000001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0.72945064023131112</v>
      </c>
      <c r="Q268">
        <f t="shared" si="965"/>
        <v>16794391.635109499</v>
      </c>
      <c r="R268">
        <f t="shared" si="966"/>
        <v>358833126.97168303</v>
      </c>
      <c r="S268">
        <f t="shared" si="967"/>
        <v>3588.3312697168303</v>
      </c>
      <c r="T268">
        <f t="shared" si="968"/>
        <v>3.5883312697168304</v>
      </c>
    </row>
    <row r="269" spans="1:20" x14ac:dyDescent="0.25">
      <c r="A269" s="5">
        <v>44324</v>
      </c>
      <c r="B269">
        <v>0.54649999999999999</v>
      </c>
      <c r="C269">
        <v>0.57291999999999998</v>
      </c>
      <c r="D269">
        <v>0.53419000000000005</v>
      </c>
      <c r="E269">
        <v>0.54300000000000004</v>
      </c>
      <c r="F269">
        <v>19673010.5</v>
      </c>
      <c r="G269">
        <v>0</v>
      </c>
      <c r="L269" t="s">
        <v>8</v>
      </c>
      <c r="M269" t="s">
        <v>7</v>
      </c>
      <c r="N269" t="s">
        <v>8</v>
      </c>
      <c r="P269">
        <f t="shared" si="964"/>
        <v>-0.54505551252259232</v>
      </c>
      <c r="Q269">
        <f t="shared" si="965"/>
        <v>-10722882.820939841</v>
      </c>
      <c r="R269">
        <f t="shared" si="966"/>
        <v>342038735.33657354</v>
      </c>
      <c r="S269">
        <f t="shared" si="967"/>
        <v>3420.3873533657356</v>
      </c>
      <c r="T269">
        <f t="shared" si="968"/>
        <v>3.4203873533657356</v>
      </c>
    </row>
    <row r="270" spans="1:20" x14ac:dyDescent="0.25">
      <c r="A270" s="5">
        <v>44323</v>
      </c>
      <c r="B270">
        <v>0.56172</v>
      </c>
      <c r="C270">
        <v>0.58038999999999996</v>
      </c>
      <c r="D270">
        <v>0.52156999999999998</v>
      </c>
      <c r="E270">
        <v>0.54686000000000001</v>
      </c>
      <c r="F270">
        <v>31187582.399999999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-0.14008840530431685</v>
      </c>
      <c r="Q270">
        <f t="shared" si="965"/>
        <v>-4369018.6837129788</v>
      </c>
      <c r="R270">
        <f t="shared" si="966"/>
        <v>352761618.15751338</v>
      </c>
      <c r="S270">
        <f t="shared" si="967"/>
        <v>3527.6161815751339</v>
      </c>
      <c r="T270">
        <f t="shared" si="968"/>
        <v>3.5276161815751337</v>
      </c>
    </row>
    <row r="271" spans="1:20" x14ac:dyDescent="0.25">
      <c r="A271" s="5">
        <v>44322</v>
      </c>
      <c r="B271">
        <v>0.60446</v>
      </c>
      <c r="C271">
        <v>0.60687000000000002</v>
      </c>
      <c r="D271">
        <v>0.53554000000000002</v>
      </c>
      <c r="E271">
        <v>0.56196000000000002</v>
      </c>
      <c r="F271">
        <v>35780145.799999997</v>
      </c>
      <c r="G271">
        <v>0</v>
      </c>
      <c r="L271" t="s">
        <v>7</v>
      </c>
      <c r="M271" t="s">
        <v>7</v>
      </c>
      <c r="N271" t="s">
        <v>8</v>
      </c>
      <c r="P271">
        <f t="shared" si="964"/>
        <v>-0.25921772045422692</v>
      </c>
      <c r="Q271">
        <f t="shared" si="965"/>
        <v>-9274847.8317958806</v>
      </c>
      <c r="R271">
        <f t="shared" si="966"/>
        <v>357130636.84122634</v>
      </c>
      <c r="S271">
        <f t="shared" si="967"/>
        <v>3571.3063684122635</v>
      </c>
      <c r="T271">
        <f t="shared" si="968"/>
        <v>3.5713063684122637</v>
      </c>
    </row>
    <row r="272" spans="1:20" x14ac:dyDescent="0.25">
      <c r="A272" s="5">
        <v>44321</v>
      </c>
      <c r="B272">
        <v>0.57437000000000005</v>
      </c>
      <c r="C272">
        <v>0.61975999999999998</v>
      </c>
      <c r="D272">
        <v>0.56525000000000003</v>
      </c>
      <c r="E272">
        <v>0.60431000000000001</v>
      </c>
      <c r="F272">
        <v>42656774.5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0.43313153549807454</v>
      </c>
      <c r="Q272">
        <f t="shared" si="965"/>
        <v>18475994.238580111</v>
      </c>
      <c r="R272">
        <f t="shared" si="966"/>
        <v>366405484.67302221</v>
      </c>
      <c r="S272">
        <f t="shared" si="967"/>
        <v>3664.0548467302219</v>
      </c>
      <c r="T272">
        <f t="shared" si="968"/>
        <v>3.6640548467302221</v>
      </c>
    </row>
    <row r="273" spans="1:20" x14ac:dyDescent="0.25">
      <c r="A273" s="5">
        <v>44320</v>
      </c>
      <c r="B273">
        <v>0.65681999999999996</v>
      </c>
      <c r="C273">
        <v>0.72894999999999999</v>
      </c>
      <c r="D273">
        <v>0.57213999999999998</v>
      </c>
      <c r="E273">
        <v>0.57294</v>
      </c>
      <c r="F273">
        <v>141704402.59999999</v>
      </c>
      <c r="G273">
        <v>0</v>
      </c>
      <c r="L273" t="s">
        <v>8</v>
      </c>
      <c r="M273" t="s">
        <v>8</v>
      </c>
      <c r="N273" t="s">
        <v>8</v>
      </c>
      <c r="P273">
        <f t="shared" si="964"/>
        <v>-0.98979656909635838</v>
      </c>
      <c r="Q273">
        <f t="shared" si="965"/>
        <v>-140258531.51932907</v>
      </c>
      <c r="R273">
        <f t="shared" si="966"/>
        <v>347929490.4344421</v>
      </c>
      <c r="S273">
        <f t="shared" si="967"/>
        <v>3479.294904344421</v>
      </c>
      <c r="T273">
        <f t="shared" si="968"/>
        <v>3.479294904344421</v>
      </c>
    </row>
    <row r="274" spans="1:20" x14ac:dyDescent="0.25">
      <c r="A274" s="5">
        <v>44319</v>
      </c>
      <c r="B274">
        <v>0.58181000000000005</v>
      </c>
      <c r="C274">
        <v>0.67900000000000005</v>
      </c>
      <c r="D274">
        <v>0.56999999999999995</v>
      </c>
      <c r="E274">
        <v>0.65690000000000004</v>
      </c>
      <c r="F274">
        <v>67389837.5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0.59449541284403695</v>
      </c>
      <c r="Q274">
        <f t="shared" si="965"/>
        <v>40062949.266055062</v>
      </c>
      <c r="R274">
        <f t="shared" si="966"/>
        <v>488188021.95377117</v>
      </c>
      <c r="S274">
        <f t="shared" si="967"/>
        <v>4881.880219537712</v>
      </c>
      <c r="T274">
        <f t="shared" si="968"/>
        <v>4.8818802195377122</v>
      </c>
    </row>
    <row r="275" spans="1:20" x14ac:dyDescent="0.25">
      <c r="A275" s="5">
        <v>44318</v>
      </c>
      <c r="B275">
        <v>0.60314000000000001</v>
      </c>
      <c r="C275">
        <v>0.60599999999999998</v>
      </c>
      <c r="D275">
        <v>0.55606999999999995</v>
      </c>
      <c r="E275">
        <v>0.58191999999999999</v>
      </c>
      <c r="F275">
        <v>20375360.100000001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3.5449629481274753E-2</v>
      </c>
      <c r="Q275">
        <f t="shared" si="965"/>
        <v>722298.96609254938</v>
      </c>
      <c r="R275">
        <f t="shared" si="966"/>
        <v>448125072.68771613</v>
      </c>
      <c r="S275">
        <f t="shared" si="967"/>
        <v>4481.2507268771615</v>
      </c>
      <c r="T275">
        <f t="shared" si="968"/>
        <v>4.4812507268771613</v>
      </c>
    </row>
    <row r="276" spans="1:20" x14ac:dyDescent="0.25">
      <c r="A276" s="5">
        <v>44317</v>
      </c>
      <c r="B276">
        <v>0.62109999999999999</v>
      </c>
      <c r="C276">
        <v>0.62949999999999995</v>
      </c>
      <c r="D276">
        <v>0.59121000000000001</v>
      </c>
      <c r="E276">
        <v>0.60314000000000001</v>
      </c>
      <c r="F276">
        <v>20726175.899999999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-0.37686079916427179</v>
      </c>
      <c r="Q276">
        <f t="shared" si="965"/>
        <v>-7810883.2132932693</v>
      </c>
      <c r="R276">
        <f t="shared" si="966"/>
        <v>447402773.7216236</v>
      </c>
      <c r="S276">
        <f t="shared" si="967"/>
        <v>4474.0277372162363</v>
      </c>
      <c r="T276">
        <f t="shared" si="968"/>
        <v>4.474027737216236</v>
      </c>
    </row>
    <row r="277" spans="1:20" x14ac:dyDescent="0.25">
      <c r="A277" s="5">
        <v>44316</v>
      </c>
      <c r="B277">
        <v>0.56449000000000005</v>
      </c>
      <c r="C277">
        <v>0.63214000000000004</v>
      </c>
      <c r="D277">
        <v>0.55035999999999996</v>
      </c>
      <c r="E277">
        <v>0.62109999999999999</v>
      </c>
      <c r="F277">
        <v>45729915.299999997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0.73000733675715235</v>
      </c>
      <c r="Q277">
        <f t="shared" si="965"/>
        <v>33383173.678283151</v>
      </c>
      <c r="R277">
        <f t="shared" si="966"/>
        <v>455213656.93491685</v>
      </c>
      <c r="S277">
        <f t="shared" si="967"/>
        <v>4552.1365693491689</v>
      </c>
      <c r="T277">
        <f t="shared" si="968"/>
        <v>4.5521365693491687</v>
      </c>
    </row>
    <row r="278" spans="1:20" x14ac:dyDescent="0.25">
      <c r="A278" s="5">
        <v>44315</v>
      </c>
      <c r="B278">
        <v>0.58984999999999999</v>
      </c>
      <c r="C278">
        <v>0.61104000000000003</v>
      </c>
      <c r="D278">
        <v>0.53952</v>
      </c>
      <c r="E278">
        <v>0.56494999999999995</v>
      </c>
      <c r="F278">
        <v>38334480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-0.28887024608501277</v>
      </c>
      <c r="Q278">
        <f t="shared" si="965"/>
        <v>-11073690.671141</v>
      </c>
      <c r="R278">
        <f t="shared" si="966"/>
        <v>421830483.2566337</v>
      </c>
      <c r="S278">
        <f t="shared" si="967"/>
        <v>4218.3048325663367</v>
      </c>
      <c r="T278">
        <f t="shared" si="968"/>
        <v>4.2183048325663366</v>
      </c>
    </row>
    <row r="279" spans="1:20" x14ac:dyDescent="0.25">
      <c r="A279" s="5">
        <v>44314</v>
      </c>
      <c r="B279">
        <v>0.54069999999999996</v>
      </c>
      <c r="C279">
        <v>0.61548000000000003</v>
      </c>
      <c r="D279">
        <v>0.51275999999999999</v>
      </c>
      <c r="E279">
        <v>0.58982999999999997</v>
      </c>
      <c r="F279">
        <v>69811625.299999997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0.50058411214953169</v>
      </c>
      <c r="Q279">
        <f t="shared" si="965"/>
        <v>34946590.468516283</v>
      </c>
      <c r="R279">
        <f t="shared" si="966"/>
        <v>432904173.92777473</v>
      </c>
      <c r="S279">
        <f t="shared" si="967"/>
        <v>4329.0417392777472</v>
      </c>
      <c r="T279">
        <f t="shared" si="968"/>
        <v>4.3290417392777476</v>
      </c>
    </row>
    <row r="280" spans="1:20" x14ac:dyDescent="0.25">
      <c r="A280" s="5">
        <v>44313</v>
      </c>
      <c r="B280">
        <v>0.49994</v>
      </c>
      <c r="C280">
        <v>0.54900000000000004</v>
      </c>
      <c r="D280">
        <v>0.48579</v>
      </c>
      <c r="E280">
        <v>0.54047000000000001</v>
      </c>
      <c r="F280">
        <v>22633420.600000001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0.73010599588672576</v>
      </c>
      <c r="Q280">
        <f t="shared" si="965"/>
        <v>16524796.087486135</v>
      </c>
      <c r="R280">
        <f t="shared" si="966"/>
        <v>397957583.45925844</v>
      </c>
      <c r="S280">
        <f t="shared" si="967"/>
        <v>3979.5758345925842</v>
      </c>
      <c r="T280">
        <f t="shared" si="968"/>
        <v>3.979575834592584</v>
      </c>
    </row>
    <row r="281" spans="1:20" x14ac:dyDescent="0.25">
      <c r="A281" s="5">
        <v>44312</v>
      </c>
      <c r="B281">
        <v>0.41791</v>
      </c>
      <c r="C281">
        <v>0.50080000000000002</v>
      </c>
      <c r="D281">
        <v>0.41289999999999999</v>
      </c>
      <c r="E281">
        <v>0.49995000000000001</v>
      </c>
      <c r="F281">
        <v>34128712.200000003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0.98065984072809975</v>
      </c>
      <c r="Q281">
        <f t="shared" si="965"/>
        <v>33468657.470307156</v>
      </c>
      <c r="R281">
        <f t="shared" si="966"/>
        <v>381432787.37177229</v>
      </c>
      <c r="S281">
        <f t="shared" si="967"/>
        <v>3814.3278737177229</v>
      </c>
      <c r="T281">
        <f t="shared" si="968"/>
        <v>3.8143278737177231</v>
      </c>
    </row>
    <row r="282" spans="1:20" x14ac:dyDescent="0.25">
      <c r="A282" s="5">
        <v>44311</v>
      </c>
      <c r="B282">
        <v>0.41037699999999999</v>
      </c>
      <c r="C282">
        <v>0.45419999999999999</v>
      </c>
      <c r="D282">
        <v>0.39100000000000001</v>
      </c>
      <c r="E282">
        <v>0.41792000000000001</v>
      </c>
      <c r="F282">
        <v>28482098.899999999</v>
      </c>
      <c r="G282">
        <v>0</v>
      </c>
      <c r="L282" t="s">
        <v>8</v>
      </c>
      <c r="M282" t="s">
        <v>8</v>
      </c>
      <c r="N282" t="s">
        <v>7</v>
      </c>
      <c r="P282">
        <f t="shared" si="964"/>
        <v>-0.14810126582278454</v>
      </c>
      <c r="Q282">
        <f t="shared" si="965"/>
        <v>-4218234.9003797388</v>
      </c>
      <c r="R282">
        <f t="shared" si="966"/>
        <v>347964129.90146512</v>
      </c>
      <c r="S282">
        <f t="shared" si="967"/>
        <v>3479.6412990146514</v>
      </c>
      <c r="T282">
        <f t="shared" si="968"/>
        <v>3.4796412990146512</v>
      </c>
    </row>
    <row r="283" spans="1:20" x14ac:dyDescent="0.25">
      <c r="A283" s="5">
        <v>44310</v>
      </c>
      <c r="B283">
        <v>0.42729099999999998</v>
      </c>
      <c r="C283">
        <v>0.44</v>
      </c>
      <c r="D283">
        <v>0.39133899999999999</v>
      </c>
      <c r="E283">
        <v>0.411661</v>
      </c>
      <c r="F283">
        <v>38463049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-0.16475206017138971</v>
      </c>
      <c r="Q283">
        <f t="shared" si="965"/>
        <v>-6336866.5632231105</v>
      </c>
      <c r="R283">
        <f t="shared" si="966"/>
        <v>352182364.80184484</v>
      </c>
      <c r="S283">
        <f t="shared" si="967"/>
        <v>3521.8236480184482</v>
      </c>
      <c r="T283">
        <f t="shared" si="968"/>
        <v>3.5218236480184482</v>
      </c>
    </row>
    <row r="284" spans="1:20" x14ac:dyDescent="0.25">
      <c r="A284" s="5">
        <v>44309</v>
      </c>
      <c r="B284">
        <v>0.43700800000000001</v>
      </c>
      <c r="C284">
        <v>0.449438</v>
      </c>
      <c r="D284">
        <v>0.33530799999999999</v>
      </c>
      <c r="E284">
        <v>0.42728300000000002</v>
      </c>
      <c r="F284">
        <v>72861784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0.61175852098484218</v>
      </c>
      <c r="Q284">
        <f t="shared" si="965"/>
        <v>44573817.216157041</v>
      </c>
      <c r="R284">
        <f t="shared" si="966"/>
        <v>358519231.36506796</v>
      </c>
      <c r="S284">
        <f t="shared" si="967"/>
        <v>3585.1923136506798</v>
      </c>
      <c r="T284">
        <f t="shared" si="968"/>
        <v>3.5851923136506798</v>
      </c>
    </row>
    <row r="285" spans="1:20" x14ac:dyDescent="0.25">
      <c r="A285" s="5">
        <v>44308</v>
      </c>
      <c r="B285">
        <v>0.51010900000000003</v>
      </c>
      <c r="C285">
        <v>0.52898699999999999</v>
      </c>
      <c r="D285">
        <v>0.42967699999999998</v>
      </c>
      <c r="E285">
        <v>0.43790000000000001</v>
      </c>
      <c r="F285">
        <v>47721615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-0.83439734165743562</v>
      </c>
      <c r="Q285">
        <f t="shared" si="965"/>
        <v>-39818788.695599608</v>
      </c>
      <c r="R285">
        <f t="shared" si="966"/>
        <v>313945414.14891094</v>
      </c>
      <c r="S285">
        <f t="shared" si="967"/>
        <v>3139.4541414891096</v>
      </c>
      <c r="T285">
        <f t="shared" si="968"/>
        <v>3.1394541414891095</v>
      </c>
    </row>
    <row r="286" spans="1:20" x14ac:dyDescent="0.25">
      <c r="A286" s="5">
        <v>44307</v>
      </c>
      <c r="B286">
        <v>0.52364100000000002</v>
      </c>
      <c r="C286">
        <v>0.57689999999999997</v>
      </c>
      <c r="D286">
        <v>0.503</v>
      </c>
      <c r="E286">
        <v>0.51038700000000004</v>
      </c>
      <c r="F286">
        <v>43411572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-0.80008119079837525</v>
      </c>
      <c r="Q286">
        <f t="shared" si="965"/>
        <v>-34732782.220189407</v>
      </c>
      <c r="R286">
        <f t="shared" si="966"/>
        <v>353764202.84451056</v>
      </c>
      <c r="S286">
        <f t="shared" si="967"/>
        <v>3537.6420284451056</v>
      </c>
      <c r="T286">
        <f t="shared" si="968"/>
        <v>3.5376420284451053</v>
      </c>
    </row>
    <row r="287" spans="1:20" x14ac:dyDescent="0.25">
      <c r="A287" s="5">
        <v>44306</v>
      </c>
      <c r="B287">
        <v>0.51420200000000005</v>
      </c>
      <c r="C287">
        <v>0.53360200000000002</v>
      </c>
      <c r="D287">
        <v>0.448689</v>
      </c>
      <c r="E287">
        <v>0.52299099999999998</v>
      </c>
      <c r="F287">
        <v>48621221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0.75007360474838869</v>
      </c>
      <c r="Q287">
        <f t="shared" si="965"/>
        <v>36469494.502738059</v>
      </c>
      <c r="R287">
        <f t="shared" si="966"/>
        <v>388496985.06469995</v>
      </c>
      <c r="S287">
        <f t="shared" si="967"/>
        <v>3884.9698506469995</v>
      </c>
      <c r="T287">
        <f t="shared" si="968"/>
        <v>3.8849698506469994</v>
      </c>
    </row>
    <row r="288" spans="1:20" x14ac:dyDescent="0.25">
      <c r="A288" s="5">
        <v>44305</v>
      </c>
      <c r="B288">
        <v>0.56199200000000005</v>
      </c>
      <c r="C288">
        <v>0.57858299999999996</v>
      </c>
      <c r="D288">
        <v>0.50514999999999999</v>
      </c>
      <c r="E288">
        <v>0.51388999999999996</v>
      </c>
      <c r="F288">
        <v>31716094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-0.76195988179701302</v>
      </c>
      <c r="Q288">
        <f t="shared" si="965"/>
        <v>-24166391.235302955</v>
      </c>
      <c r="R288">
        <f t="shared" si="966"/>
        <v>352027490.56196189</v>
      </c>
      <c r="S288">
        <f t="shared" si="967"/>
        <v>3520.2749056196189</v>
      </c>
      <c r="T288">
        <f t="shared" si="968"/>
        <v>3.520274905619619</v>
      </c>
    </row>
    <row r="289" spans="1:20" x14ac:dyDescent="0.25">
      <c r="A289" s="5">
        <v>44304</v>
      </c>
      <c r="B289">
        <v>0.66076500000000005</v>
      </c>
      <c r="C289">
        <v>0.66858899999999999</v>
      </c>
      <c r="D289">
        <v>0.462204</v>
      </c>
      <c r="E289">
        <v>0.56106299999999998</v>
      </c>
      <c r="F289">
        <v>58031909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-4.1994330983356525E-2</v>
      </c>
      <c r="Q289">
        <f t="shared" si="965"/>
        <v>-2437011.1941420264</v>
      </c>
      <c r="R289">
        <f t="shared" si="966"/>
        <v>376193881.79726487</v>
      </c>
      <c r="S289">
        <f t="shared" si="967"/>
        <v>3761.9388179726488</v>
      </c>
      <c r="T289">
        <f t="shared" si="968"/>
        <v>3.761938817972649</v>
      </c>
    </row>
    <row r="290" spans="1:20" x14ac:dyDescent="0.25">
      <c r="A290" s="5">
        <v>44303</v>
      </c>
      <c r="B290">
        <v>0.70387599999999995</v>
      </c>
      <c r="C290">
        <v>0.71</v>
      </c>
      <c r="D290">
        <v>0.64403999999999995</v>
      </c>
      <c r="E290">
        <v>0.66076699999999999</v>
      </c>
      <c r="F290">
        <v>39087816</v>
      </c>
      <c r="G290">
        <v>0</v>
      </c>
      <c r="L290" t="s">
        <v>7</v>
      </c>
      <c r="M290" t="s">
        <v>7</v>
      </c>
      <c r="N290" t="s">
        <v>7</v>
      </c>
      <c r="P290">
        <f t="shared" si="964"/>
        <v>-0.49281382656155115</v>
      </c>
      <c r="Q290">
        <f t="shared" si="965"/>
        <v>-19263016.174893823</v>
      </c>
      <c r="R290">
        <f t="shared" si="966"/>
        <v>378630892.99140692</v>
      </c>
      <c r="S290">
        <f t="shared" si="967"/>
        <v>3786.3089299140693</v>
      </c>
      <c r="T290">
        <f t="shared" si="968"/>
        <v>3.7863089299140693</v>
      </c>
    </row>
    <row r="291" spans="1:20" x14ac:dyDescent="0.25">
      <c r="A291" s="5">
        <v>44302</v>
      </c>
      <c r="B291">
        <v>0.68246499999999999</v>
      </c>
      <c r="C291">
        <v>0.71</v>
      </c>
      <c r="D291">
        <v>0.62105100000000002</v>
      </c>
      <c r="E291">
        <v>0.70387699999999997</v>
      </c>
      <c r="F291">
        <v>50659501</v>
      </c>
      <c r="G291">
        <v>0</v>
      </c>
      <c r="L291" t="s">
        <v>8</v>
      </c>
      <c r="M291" t="s">
        <v>7</v>
      </c>
      <c r="N291" t="s">
        <v>7</v>
      </c>
      <c r="P291">
        <f t="shared" si="964"/>
        <v>0.86232560231143707</v>
      </c>
      <c r="Q291">
        <f t="shared" si="965"/>
        <v>43684984.712621845</v>
      </c>
      <c r="R291">
        <f t="shared" si="966"/>
        <v>397893909.16630071</v>
      </c>
      <c r="S291">
        <f t="shared" si="967"/>
        <v>3978.9390916630073</v>
      </c>
      <c r="T291">
        <f t="shared" si="968"/>
        <v>3.9789390916630074</v>
      </c>
    </row>
    <row r="292" spans="1:20" x14ac:dyDescent="0.25">
      <c r="A292" s="5">
        <v>44301</v>
      </c>
      <c r="B292">
        <v>0.645903</v>
      </c>
      <c r="C292">
        <v>0.698936</v>
      </c>
      <c r="D292">
        <v>0.64298599999999995</v>
      </c>
      <c r="E292">
        <v>0.68180700000000005</v>
      </c>
      <c r="F292">
        <v>26021058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0.38770330652368423</v>
      </c>
      <c r="Q292">
        <f t="shared" si="965"/>
        <v>10088450.225844566</v>
      </c>
      <c r="R292">
        <f t="shared" si="966"/>
        <v>354208924.45367885</v>
      </c>
      <c r="S292">
        <f t="shared" si="967"/>
        <v>3542.0892445367886</v>
      </c>
      <c r="T292">
        <f t="shared" si="968"/>
        <v>3.5420892445367884</v>
      </c>
    </row>
    <row r="293" spans="1:20" x14ac:dyDescent="0.25">
      <c r="A293" s="5">
        <v>44300</v>
      </c>
      <c r="B293">
        <v>0.66938200000000003</v>
      </c>
      <c r="C293">
        <v>0.67148699999999995</v>
      </c>
      <c r="D293">
        <v>0.61351</v>
      </c>
      <c r="E293">
        <v>0.64534999999999998</v>
      </c>
      <c r="F293">
        <v>27264175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9.8366593649206052E-2</v>
      </c>
      <c r="Q293">
        <f t="shared" si="965"/>
        <v>2681884.0234058425</v>
      </c>
      <c r="R293">
        <f t="shared" si="966"/>
        <v>344120474.22783428</v>
      </c>
      <c r="S293">
        <f t="shared" si="967"/>
        <v>3441.204742278343</v>
      </c>
      <c r="T293">
        <f t="shared" si="968"/>
        <v>3.4412047422783432</v>
      </c>
    </row>
    <row r="294" spans="1:20" x14ac:dyDescent="0.25">
      <c r="A294" s="5">
        <v>44299</v>
      </c>
      <c r="B294">
        <v>0.68734300000000004</v>
      </c>
      <c r="C294">
        <v>0.71199999999999997</v>
      </c>
      <c r="D294">
        <v>0.64423399999999997</v>
      </c>
      <c r="E294">
        <v>0.669381</v>
      </c>
      <c r="F294">
        <v>40379518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-0.25782840952690039</v>
      </c>
      <c r="Q294">
        <f t="shared" si="965"/>
        <v>-10410986.903402846</v>
      </c>
      <c r="R294">
        <f t="shared" si="966"/>
        <v>341438590.20442843</v>
      </c>
      <c r="S294">
        <f t="shared" si="967"/>
        <v>3414.3859020442842</v>
      </c>
      <c r="T294">
        <f t="shared" si="968"/>
        <v>3.4143859020442844</v>
      </c>
    </row>
    <row r="295" spans="1:20" x14ac:dyDescent="0.25">
      <c r="A295" s="5">
        <v>44298</v>
      </c>
      <c r="B295">
        <v>0.64099799999999996</v>
      </c>
      <c r="C295">
        <v>0.70830199999999999</v>
      </c>
      <c r="D295">
        <v>0.63139699999999999</v>
      </c>
      <c r="E295">
        <v>0.68739600000000001</v>
      </c>
      <c r="F295">
        <v>47936976</v>
      </c>
      <c r="G295">
        <v>0</v>
      </c>
      <c r="L295" t="s">
        <v>8</v>
      </c>
      <c r="M295" t="s">
        <v>7</v>
      </c>
      <c r="N295" t="s">
        <v>7</v>
      </c>
      <c r="P295">
        <f t="shared" si="964"/>
        <v>0.45631623431506457</v>
      </c>
      <c r="Q295">
        <f t="shared" si="965"/>
        <v>21874420.372771628</v>
      </c>
      <c r="R295">
        <f t="shared" si="966"/>
        <v>351849577.1078313</v>
      </c>
      <c r="S295">
        <f t="shared" si="967"/>
        <v>3518.4957710783128</v>
      </c>
      <c r="T295">
        <f t="shared" si="968"/>
        <v>3.5184957710783129</v>
      </c>
    </row>
    <row r="296" spans="1:20" x14ac:dyDescent="0.25">
      <c r="A296" s="5">
        <v>44297</v>
      </c>
      <c r="B296">
        <v>0.66398999999999997</v>
      </c>
      <c r="C296">
        <v>0.67700000000000005</v>
      </c>
      <c r="D296">
        <v>0.61541599999999996</v>
      </c>
      <c r="E296">
        <v>0.64181900000000003</v>
      </c>
      <c r="F296">
        <v>36809307</v>
      </c>
      <c r="G296">
        <v>0</v>
      </c>
      <c r="L296" t="s">
        <v>7</v>
      </c>
      <c r="M296" t="s">
        <v>7</v>
      </c>
      <c r="N296" t="s">
        <v>7</v>
      </c>
      <c r="P296">
        <f t="shared" si="964"/>
        <v>-0.14253702260327261</v>
      </c>
      <c r="Q296">
        <f t="shared" si="965"/>
        <v>-5246689.0238698004</v>
      </c>
      <c r="R296">
        <f t="shared" si="966"/>
        <v>329975156.73505968</v>
      </c>
      <c r="S296">
        <f t="shared" si="967"/>
        <v>3299.7515673505968</v>
      </c>
      <c r="T296">
        <f t="shared" si="968"/>
        <v>3.2997515673505968</v>
      </c>
    </row>
    <row r="297" spans="1:20" x14ac:dyDescent="0.25">
      <c r="A297" s="5">
        <v>44296</v>
      </c>
      <c r="B297">
        <v>0.698658</v>
      </c>
      <c r="C297">
        <v>0.70043500000000003</v>
      </c>
      <c r="D297">
        <v>0.63712899999999995</v>
      </c>
      <c r="E297">
        <v>0.66398999999999997</v>
      </c>
      <c r="F297">
        <v>41377764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-0.15139165323981968</v>
      </c>
      <c r="Q297">
        <f t="shared" si="965"/>
        <v>-6264248.0993270939</v>
      </c>
      <c r="R297">
        <f t="shared" si="966"/>
        <v>335221845.75892949</v>
      </c>
      <c r="S297">
        <f t="shared" si="967"/>
        <v>3352.2184575892948</v>
      </c>
      <c r="T297">
        <f t="shared" si="968"/>
        <v>3.3522184575892946</v>
      </c>
    </row>
    <row r="298" spans="1:20" x14ac:dyDescent="0.25">
      <c r="A298" s="5">
        <v>44295</v>
      </c>
      <c r="B298">
        <v>0.684199</v>
      </c>
      <c r="C298">
        <v>0.74999899999999997</v>
      </c>
      <c r="D298">
        <v>0.66079500000000002</v>
      </c>
      <c r="E298">
        <v>0.69866099999999998</v>
      </c>
      <c r="F298">
        <v>78443838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-0.15102461773014716</v>
      </c>
      <c r="Q298">
        <f t="shared" si="965"/>
        <v>-11846950.647235593</v>
      </c>
      <c r="R298">
        <f t="shared" si="966"/>
        <v>341486093.85825658</v>
      </c>
      <c r="S298">
        <f t="shared" si="967"/>
        <v>3414.8609385825657</v>
      </c>
      <c r="T298">
        <f t="shared" si="968"/>
        <v>3.4148609385825659</v>
      </c>
    </row>
    <row r="299" spans="1:20" x14ac:dyDescent="0.25">
      <c r="A299" s="5">
        <v>44294</v>
      </c>
      <c r="B299">
        <v>0.63342799999999999</v>
      </c>
      <c r="C299">
        <v>0.70579599999999998</v>
      </c>
      <c r="D299">
        <v>0.6</v>
      </c>
      <c r="E299">
        <v>0.68480600000000003</v>
      </c>
      <c r="F299">
        <v>68424381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0.60319860864304975</v>
      </c>
      <c r="Q299">
        <f t="shared" si="965"/>
        <v>41273491.41646193</v>
      </c>
      <c r="R299">
        <f t="shared" si="966"/>
        <v>353333044.50549215</v>
      </c>
      <c r="S299">
        <f t="shared" si="967"/>
        <v>3533.3304450549217</v>
      </c>
      <c r="T299">
        <f t="shared" si="968"/>
        <v>3.5333304450549217</v>
      </c>
    </row>
    <row r="300" spans="1:20" x14ac:dyDescent="0.25">
      <c r="A300" s="5">
        <v>44293</v>
      </c>
      <c r="B300">
        <v>0.636077</v>
      </c>
      <c r="C300">
        <v>0.65535500000000002</v>
      </c>
      <c r="D300">
        <v>0.53</v>
      </c>
      <c r="E300">
        <v>0.63209700000000002</v>
      </c>
      <c r="F300">
        <v>83805865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0.62892585058434047</v>
      </c>
      <c r="Q300">
        <f t="shared" si="965"/>
        <v>52707674.92908141</v>
      </c>
      <c r="R300">
        <f t="shared" si="966"/>
        <v>312059553.08903021</v>
      </c>
      <c r="S300">
        <f t="shared" si="967"/>
        <v>3120.5955308903021</v>
      </c>
      <c r="T300">
        <f t="shared" si="968"/>
        <v>3.1205955308903022</v>
      </c>
    </row>
    <row r="301" spans="1:20" x14ac:dyDescent="0.25">
      <c r="A301" s="5">
        <v>44292</v>
      </c>
      <c r="B301">
        <v>0.67146300000000003</v>
      </c>
      <c r="C301">
        <v>0.68198999999999999</v>
      </c>
      <c r="D301">
        <v>0.60187400000000002</v>
      </c>
      <c r="E301">
        <v>0.63589899999999999</v>
      </c>
      <c r="F301">
        <v>54711819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-0.15060662040041972</v>
      </c>
      <c r="Q301">
        <f t="shared" si="965"/>
        <v>-8239962.1555494713</v>
      </c>
      <c r="R301">
        <f t="shared" si="966"/>
        <v>259351878.1599488</v>
      </c>
      <c r="S301">
        <f t="shared" si="967"/>
        <v>2593.5187815994877</v>
      </c>
      <c r="T301">
        <f t="shared" si="968"/>
        <v>2.5935187815994878</v>
      </c>
    </row>
    <row r="302" spans="1:20" x14ac:dyDescent="0.25">
      <c r="A302" s="5">
        <v>44291</v>
      </c>
      <c r="B302">
        <v>0.71891799999999995</v>
      </c>
      <c r="C302">
        <v>0.75620100000000001</v>
      </c>
      <c r="D302">
        <v>0.66879100000000002</v>
      </c>
      <c r="E302">
        <v>0.67181100000000005</v>
      </c>
      <c r="F302">
        <v>56581633</v>
      </c>
      <c r="G302">
        <v>0</v>
      </c>
      <c r="L302" t="s">
        <v>8</v>
      </c>
      <c r="M302" t="s">
        <v>7</v>
      </c>
      <c r="N302" t="s">
        <v>8</v>
      </c>
      <c r="P302">
        <f t="shared" si="964"/>
        <v>-0.93090035465049714</v>
      </c>
      <c r="Q302">
        <f t="shared" si="965"/>
        <v>-52671862.226404272</v>
      </c>
      <c r="R302">
        <f t="shared" si="966"/>
        <v>267591840.31549826</v>
      </c>
      <c r="S302">
        <f t="shared" si="967"/>
        <v>2675.9184031549826</v>
      </c>
      <c r="T302">
        <f t="shared" si="968"/>
        <v>2.6759184031549825</v>
      </c>
    </row>
    <row r="303" spans="1:20" x14ac:dyDescent="0.25">
      <c r="A303" s="5">
        <v>44290</v>
      </c>
      <c r="B303">
        <v>0.67900000000000005</v>
      </c>
      <c r="C303">
        <v>0.74404400000000004</v>
      </c>
      <c r="D303">
        <v>0.66893100000000005</v>
      </c>
      <c r="E303">
        <v>0.71891799999999995</v>
      </c>
      <c r="F303">
        <v>40676448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0.33098132147564074</v>
      </c>
      <c r="Q303">
        <f t="shared" si="965"/>
        <v>13463144.511975184</v>
      </c>
      <c r="R303">
        <f t="shared" si="966"/>
        <v>320263702.54190254</v>
      </c>
      <c r="S303">
        <f t="shared" si="967"/>
        <v>3202.6370254190256</v>
      </c>
      <c r="T303">
        <f t="shared" si="968"/>
        <v>3.2026370254190257</v>
      </c>
    </row>
    <row r="304" spans="1:20" x14ac:dyDescent="0.25">
      <c r="A304" s="5">
        <v>44289</v>
      </c>
      <c r="B304">
        <v>0.76405699999999999</v>
      </c>
      <c r="C304">
        <v>0.765463</v>
      </c>
      <c r="D304">
        <v>0.67538100000000001</v>
      </c>
      <c r="E304">
        <v>0.67900000000000005</v>
      </c>
      <c r="F304">
        <v>46251791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-0.91965098465842143</v>
      </c>
      <c r="Q304">
        <f t="shared" si="965"/>
        <v>-42535505.135365516</v>
      </c>
      <c r="R304">
        <f t="shared" si="966"/>
        <v>306800558.02992737</v>
      </c>
      <c r="S304">
        <f t="shared" si="967"/>
        <v>3068.0055802992738</v>
      </c>
      <c r="T304">
        <f t="shared" si="968"/>
        <v>3.0680055802992738</v>
      </c>
    </row>
    <row r="305" spans="1:20" x14ac:dyDescent="0.25">
      <c r="A305" s="5">
        <v>44288</v>
      </c>
      <c r="B305">
        <v>0.75090299999999999</v>
      </c>
      <c r="C305">
        <v>0.78148200000000001</v>
      </c>
      <c r="D305">
        <v>0.72</v>
      </c>
      <c r="E305">
        <v>0.76385199999999998</v>
      </c>
      <c r="F305">
        <v>45552367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0.42649881266061535</v>
      </c>
      <c r="Q305">
        <f t="shared" si="965"/>
        <v>19428030.439380597</v>
      </c>
      <c r="R305">
        <f t="shared" si="966"/>
        <v>349336063.16529292</v>
      </c>
      <c r="S305">
        <f t="shared" si="967"/>
        <v>3493.360631652929</v>
      </c>
      <c r="T305">
        <f t="shared" si="968"/>
        <v>3.4933606316529291</v>
      </c>
    </row>
    <row r="306" spans="1:20" x14ac:dyDescent="0.25">
      <c r="A306" s="5">
        <v>44287</v>
      </c>
      <c r="B306">
        <v>0.80037700000000001</v>
      </c>
      <c r="C306">
        <v>0.80503999999999998</v>
      </c>
      <c r="D306">
        <v>0.73566500000000001</v>
      </c>
      <c r="E306">
        <v>0.75095800000000001</v>
      </c>
      <c r="F306">
        <v>50167087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-0.5591207207207205</v>
      </c>
      <c r="Q306">
        <f t="shared" si="965"/>
        <v>-28049457.839899089</v>
      </c>
      <c r="R306">
        <f t="shared" si="966"/>
        <v>329908032.72591233</v>
      </c>
      <c r="S306">
        <f t="shared" si="967"/>
        <v>3299.0803272591234</v>
      </c>
      <c r="T306">
        <f t="shared" si="968"/>
        <v>3.2990803272591234</v>
      </c>
    </row>
    <row r="307" spans="1:20" x14ac:dyDescent="0.25">
      <c r="A307" s="5">
        <v>44286</v>
      </c>
      <c r="B307">
        <v>0.82697600000000004</v>
      </c>
      <c r="C307">
        <v>0.84599999999999997</v>
      </c>
      <c r="D307">
        <v>0.72199999999999998</v>
      </c>
      <c r="E307">
        <v>0.80069900000000005</v>
      </c>
      <c r="F307">
        <v>63491099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0.26933870967742057</v>
      </c>
      <c r="Q307">
        <f t="shared" si="965"/>
        <v>17100610.680661369</v>
      </c>
      <c r="R307">
        <f t="shared" si="966"/>
        <v>357957490.5658114</v>
      </c>
      <c r="S307">
        <f t="shared" si="967"/>
        <v>3579.5749056581139</v>
      </c>
      <c r="T307">
        <f t="shared" si="968"/>
        <v>3.5795749056581139</v>
      </c>
    </row>
    <row r="308" spans="1:20" x14ac:dyDescent="0.25">
      <c r="A308" s="5">
        <v>44285</v>
      </c>
      <c r="B308">
        <v>0.78854199999999997</v>
      </c>
      <c r="C308">
        <v>0.85583799999999999</v>
      </c>
      <c r="D308">
        <v>0.77333700000000005</v>
      </c>
      <c r="E308">
        <v>0.82667000000000002</v>
      </c>
      <c r="F308">
        <v>59014057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0.29290554053890266</v>
      </c>
      <c r="Q308">
        <f t="shared" si="965"/>
        <v>17285544.264978614</v>
      </c>
      <c r="R308">
        <f t="shared" si="966"/>
        <v>340856879.88515002</v>
      </c>
      <c r="S308">
        <f t="shared" si="967"/>
        <v>3408.5687988515001</v>
      </c>
      <c r="T308">
        <f t="shared" si="968"/>
        <v>3.4085687988515003</v>
      </c>
    </row>
    <row r="309" spans="1:20" x14ac:dyDescent="0.25">
      <c r="A309" s="5">
        <v>44284</v>
      </c>
      <c r="B309">
        <v>0.80881999999999998</v>
      </c>
      <c r="C309">
        <v>0.87212500000000004</v>
      </c>
      <c r="D309">
        <v>0.75900000000000001</v>
      </c>
      <c r="E309">
        <v>0.78915199999999996</v>
      </c>
      <c r="F309">
        <v>80105496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-0.46692596685082965</v>
      </c>
      <c r="Q309">
        <f t="shared" si="965"/>
        <v>-37403336.169865265</v>
      </c>
      <c r="R309">
        <f t="shared" si="966"/>
        <v>323571335.62017143</v>
      </c>
      <c r="S309">
        <f t="shared" si="967"/>
        <v>3235.7133562017143</v>
      </c>
      <c r="T309">
        <f t="shared" si="968"/>
        <v>3.2357133562017144</v>
      </c>
    </row>
    <row r="310" spans="1:20" x14ac:dyDescent="0.25">
      <c r="A310" s="5">
        <v>44283</v>
      </c>
      <c r="B310">
        <v>0.713229</v>
      </c>
      <c r="C310">
        <v>0.90610100000000005</v>
      </c>
      <c r="D310">
        <v>0.67712600000000001</v>
      </c>
      <c r="E310">
        <v>0.80915099999999995</v>
      </c>
      <c r="F310">
        <v>174102088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0.15318266186264812</v>
      </c>
      <c r="Q310">
        <f t="shared" si="965"/>
        <v>26669421.275685005</v>
      </c>
      <c r="R310">
        <f t="shared" si="966"/>
        <v>360974671.79003668</v>
      </c>
      <c r="S310">
        <f t="shared" si="967"/>
        <v>3609.746717900367</v>
      </c>
      <c r="T310">
        <f t="shared" si="968"/>
        <v>3.6097467179003671</v>
      </c>
    </row>
    <row r="311" spans="1:20" x14ac:dyDescent="0.25">
      <c r="A311" s="5">
        <v>44282</v>
      </c>
      <c r="B311">
        <v>0.61935700000000005</v>
      </c>
      <c r="C311">
        <v>0.73471500000000001</v>
      </c>
      <c r="D311">
        <v>0.60450700000000002</v>
      </c>
      <c r="E311">
        <v>0.713202</v>
      </c>
      <c r="F311">
        <v>113136759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0.66955947407225358</v>
      </c>
      <c r="Q311">
        <f t="shared" si="965"/>
        <v>75751788.854279295</v>
      </c>
      <c r="R311">
        <f t="shared" si="966"/>
        <v>334305250.51435167</v>
      </c>
      <c r="S311">
        <f t="shared" si="967"/>
        <v>3343.0525051435166</v>
      </c>
      <c r="T311">
        <f t="shared" si="968"/>
        <v>3.3430525051435165</v>
      </c>
    </row>
    <row r="312" spans="1:20" x14ac:dyDescent="0.25">
      <c r="A312" s="5">
        <v>44281</v>
      </c>
      <c r="B312">
        <v>0.58413000000000004</v>
      </c>
      <c r="C312">
        <v>0.62571900000000003</v>
      </c>
      <c r="D312">
        <v>0.56908800000000004</v>
      </c>
      <c r="E312">
        <v>0.61920900000000001</v>
      </c>
      <c r="F312">
        <v>60409325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0.7700905864279276</v>
      </c>
      <c r="Q312">
        <f t="shared" si="965"/>
        <v>46520652.514965266</v>
      </c>
      <c r="R312">
        <f t="shared" si="966"/>
        <v>258553461.66007236</v>
      </c>
      <c r="S312">
        <f t="shared" si="967"/>
        <v>2585.5346166007234</v>
      </c>
      <c r="T312">
        <f t="shared" si="968"/>
        <v>2.5855346166007234</v>
      </c>
    </row>
    <row r="313" spans="1:20" x14ac:dyDescent="0.25">
      <c r="A313" s="5">
        <v>44280</v>
      </c>
      <c r="B313">
        <v>0.57212200000000002</v>
      </c>
      <c r="C313">
        <v>0.60278200000000004</v>
      </c>
      <c r="D313">
        <v>0.53694299999999995</v>
      </c>
      <c r="E313">
        <v>0.58416400000000002</v>
      </c>
      <c r="F313">
        <v>76413697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0.43443855465605502</v>
      </c>
      <c r="Q313">
        <f t="shared" si="965"/>
        <v>33197056.080605727</v>
      </c>
      <c r="R313">
        <f t="shared" si="966"/>
        <v>212032809.14510709</v>
      </c>
      <c r="S313">
        <f t="shared" si="967"/>
        <v>2120.328091451071</v>
      </c>
      <c r="T313">
        <f t="shared" si="968"/>
        <v>2.1203280914510709</v>
      </c>
    </row>
    <row r="314" spans="1:20" x14ac:dyDescent="0.25">
      <c r="A314" s="5">
        <v>44279</v>
      </c>
      <c r="B314">
        <v>0.56775299999999995</v>
      </c>
      <c r="C314">
        <v>0.659999</v>
      </c>
      <c r="D314">
        <v>0.54764500000000005</v>
      </c>
      <c r="E314">
        <v>0.57259400000000005</v>
      </c>
      <c r="F314">
        <v>131669131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-0.55588586076152147</v>
      </c>
      <c r="Q314">
        <f t="shared" si="965"/>
        <v>-73193008.221656531</v>
      </c>
      <c r="R314">
        <f t="shared" si="966"/>
        <v>178835753.06450137</v>
      </c>
      <c r="S314">
        <f t="shared" si="967"/>
        <v>1788.3575306450136</v>
      </c>
      <c r="T314">
        <f t="shared" si="968"/>
        <v>1.7883575306450137</v>
      </c>
    </row>
    <row r="315" spans="1:20" x14ac:dyDescent="0.25">
      <c r="A315" s="5">
        <v>44278</v>
      </c>
      <c r="B315">
        <v>0.55435900000000005</v>
      </c>
      <c r="C315">
        <v>0.59248199999999995</v>
      </c>
      <c r="D315">
        <v>0.50940399999999997</v>
      </c>
      <c r="E315">
        <v>0.566523</v>
      </c>
      <c r="F315">
        <v>77156337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0.37506921206577049</v>
      </c>
      <c r="Q315">
        <f t="shared" si="965"/>
        <v>28938966.524471052</v>
      </c>
      <c r="R315">
        <f t="shared" si="966"/>
        <v>252028761.28615791</v>
      </c>
      <c r="S315">
        <f t="shared" si="967"/>
        <v>2520.287612861579</v>
      </c>
      <c r="T315">
        <f t="shared" si="968"/>
        <v>2.520287612861579</v>
      </c>
    </row>
    <row r="316" spans="1:20" x14ac:dyDescent="0.25">
      <c r="A316" s="5">
        <v>44277</v>
      </c>
      <c r="B316">
        <v>0.56295499999999998</v>
      </c>
      <c r="C316">
        <v>0.61704599999999998</v>
      </c>
      <c r="D316">
        <v>0.52105699999999999</v>
      </c>
      <c r="E316">
        <v>0.55435800000000002</v>
      </c>
      <c r="F316">
        <v>99919164</v>
      </c>
      <c r="G316">
        <v>0</v>
      </c>
      <c r="L316" t="s">
        <v>8</v>
      </c>
      <c r="M316" t="s">
        <v>8</v>
      </c>
      <c r="N316" t="s">
        <v>7</v>
      </c>
      <c r="P316">
        <f t="shared" si="964"/>
        <v>-0.30614966298221613</v>
      </c>
      <c r="Q316">
        <f t="shared" si="965"/>
        <v>-30590218.384064782</v>
      </c>
      <c r="R316">
        <f t="shared" si="966"/>
        <v>223089794.76168686</v>
      </c>
      <c r="S316">
        <f t="shared" si="967"/>
        <v>2230.8979476168688</v>
      </c>
      <c r="T316">
        <f t="shared" si="968"/>
        <v>2.2308979476168687</v>
      </c>
    </row>
    <row r="317" spans="1:20" x14ac:dyDescent="0.25">
      <c r="A317" s="5">
        <v>44276</v>
      </c>
      <c r="B317">
        <v>0.53643600000000002</v>
      </c>
      <c r="C317">
        <v>0.6</v>
      </c>
      <c r="D317">
        <v>0.52627500000000005</v>
      </c>
      <c r="E317">
        <v>0.56206699999999998</v>
      </c>
      <c r="F317">
        <v>66886392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-2.9040352661920128E-2</v>
      </c>
      <c r="Q317">
        <f t="shared" si="965"/>
        <v>-1942404.4119634333</v>
      </c>
      <c r="R317">
        <f t="shared" si="966"/>
        <v>253680013.14575166</v>
      </c>
      <c r="S317">
        <f t="shared" si="967"/>
        <v>2536.8001314575167</v>
      </c>
      <c r="T317">
        <f t="shared" si="968"/>
        <v>2.5368001314575168</v>
      </c>
    </row>
    <row r="318" spans="1:20" x14ac:dyDescent="0.25">
      <c r="A318" s="5">
        <v>44275</v>
      </c>
      <c r="B318">
        <v>0.60448500000000005</v>
      </c>
      <c r="C318">
        <v>0.604738</v>
      </c>
      <c r="D318">
        <v>0.53578000000000003</v>
      </c>
      <c r="E318">
        <v>0.53736899999999999</v>
      </c>
      <c r="F318">
        <v>54357034</v>
      </c>
      <c r="G318">
        <v>0</v>
      </c>
      <c r="L318" t="s">
        <v>7</v>
      </c>
      <c r="M318" t="s">
        <v>7</v>
      </c>
      <c r="N318" t="s">
        <v>7</v>
      </c>
      <c r="P318">
        <f t="shared" si="964"/>
        <v>-0.95391397662345334</v>
      </c>
      <c r="Q318">
        <f t="shared" si="965"/>
        <v>-51851934.46039626</v>
      </c>
      <c r="R318">
        <f t="shared" si="966"/>
        <v>255622417.55771509</v>
      </c>
      <c r="S318">
        <f t="shared" si="967"/>
        <v>2556.2241755771511</v>
      </c>
      <c r="T318">
        <f t="shared" si="968"/>
        <v>2.5562241755771509</v>
      </c>
    </row>
    <row r="319" spans="1:20" x14ac:dyDescent="0.25">
      <c r="A319" s="5">
        <v>44274</v>
      </c>
      <c r="B319">
        <v>0.616031</v>
      </c>
      <c r="C319">
        <v>0.62392800000000004</v>
      </c>
      <c r="D319">
        <v>0.58689999999999998</v>
      </c>
      <c r="E319">
        <v>0.60378399999999999</v>
      </c>
      <c r="F319">
        <v>52667108</v>
      </c>
      <c r="G319">
        <v>0</v>
      </c>
      <c r="L319" t="s">
        <v>7</v>
      </c>
      <c r="M319" t="s">
        <v>8</v>
      </c>
      <c r="N319" t="s">
        <v>7</v>
      </c>
      <c r="P319">
        <f t="shared" si="964"/>
        <v>-8.8041482121638634E-2</v>
      </c>
      <c r="Q319">
        <f t="shared" si="965"/>
        <v>-4636890.2473804113</v>
      </c>
      <c r="R319">
        <f t="shared" si="966"/>
        <v>307474352.01811135</v>
      </c>
      <c r="S319">
        <f t="shared" si="967"/>
        <v>3074.7435201811136</v>
      </c>
      <c r="T319">
        <f t="shared" si="968"/>
        <v>3.0747435201811135</v>
      </c>
    </row>
    <row r="320" spans="1:20" x14ac:dyDescent="0.25">
      <c r="A320" s="5">
        <v>44273</v>
      </c>
      <c r="B320">
        <v>0.59696700000000003</v>
      </c>
      <c r="C320">
        <v>0.67372799999999999</v>
      </c>
      <c r="D320">
        <v>0.56546099999999999</v>
      </c>
      <c r="E320">
        <v>0.61564200000000002</v>
      </c>
      <c r="F320">
        <v>137317061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-7.301393776496938E-2</v>
      </c>
      <c r="Q320">
        <f t="shared" si="965"/>
        <v>-10026059.345922504</v>
      </c>
      <c r="R320">
        <f t="shared" si="966"/>
        <v>312111242.26549178</v>
      </c>
      <c r="S320">
        <f t="shared" si="967"/>
        <v>3121.1124226549177</v>
      </c>
      <c r="T320">
        <f t="shared" si="968"/>
        <v>3.1211124226549178</v>
      </c>
    </row>
    <row r="321" spans="1:20" x14ac:dyDescent="0.25">
      <c r="A321" s="5">
        <v>44272</v>
      </c>
      <c r="B321">
        <v>0.59139600000000003</v>
      </c>
      <c r="C321">
        <v>0.61825200000000002</v>
      </c>
      <c r="D321">
        <v>0.50354699999999997</v>
      </c>
      <c r="E321">
        <v>0.59545999999999999</v>
      </c>
      <c r="F321">
        <v>111324266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0.60259796870232296</v>
      </c>
      <c r="Q321">
        <f t="shared" si="965"/>
        <v>67083776.558877073</v>
      </c>
      <c r="R321">
        <f t="shared" si="966"/>
        <v>322137301.61141431</v>
      </c>
      <c r="S321">
        <f t="shared" si="967"/>
        <v>3221.373016114143</v>
      </c>
      <c r="T321">
        <f t="shared" si="968"/>
        <v>3.2213730161141432</v>
      </c>
    </row>
    <row r="322" spans="1:20" x14ac:dyDescent="0.25">
      <c r="A322" s="5">
        <v>44271</v>
      </c>
      <c r="B322">
        <v>0.66496</v>
      </c>
      <c r="C322">
        <v>0.68008999999999997</v>
      </c>
      <c r="D322">
        <v>0.56621600000000005</v>
      </c>
      <c r="E322">
        <v>0.592221</v>
      </c>
      <c r="F322">
        <v>77335494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-0.54326711979907683</v>
      </c>
      <c r="Q322">
        <f t="shared" si="965"/>
        <v>-42013831.08361879</v>
      </c>
      <c r="R322">
        <f t="shared" si="966"/>
        <v>255053525.05253723</v>
      </c>
      <c r="S322">
        <f t="shared" si="967"/>
        <v>2550.5352505253722</v>
      </c>
      <c r="T322">
        <f t="shared" si="968"/>
        <v>2.5505352505253724</v>
      </c>
    </row>
    <row r="323" spans="1:20" x14ac:dyDescent="0.25">
      <c r="A323" s="5">
        <v>44270</v>
      </c>
      <c r="B323">
        <v>0.68014200000000002</v>
      </c>
      <c r="C323">
        <v>0.71834399999999998</v>
      </c>
      <c r="D323">
        <v>0.60499999999999998</v>
      </c>
      <c r="E323">
        <v>0.66669599999999996</v>
      </c>
      <c r="F323">
        <v>86742318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8.8650479954827305E-2</v>
      </c>
      <c r="Q323">
        <f t="shared" si="965"/>
        <v>7689748.123094256</v>
      </c>
      <c r="R323">
        <f t="shared" si="966"/>
        <v>297067356.13615602</v>
      </c>
      <c r="S323">
        <f t="shared" si="967"/>
        <v>2970.6735613615601</v>
      </c>
      <c r="T323">
        <f t="shared" si="968"/>
        <v>2.97067356136156</v>
      </c>
    </row>
    <row r="324" spans="1:20" x14ac:dyDescent="0.25">
      <c r="A324" s="5">
        <v>44269</v>
      </c>
      <c r="B324">
        <v>0.68499699999999997</v>
      </c>
      <c r="C324">
        <v>0.75</v>
      </c>
      <c r="D324">
        <v>0.64578500000000005</v>
      </c>
      <c r="E324">
        <v>0.68014200000000002</v>
      </c>
      <c r="F324">
        <v>130467349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-0.34065153768651368</v>
      </c>
      <c r="Q324">
        <f t="shared" si="965"/>
        <v>-44443903.05473303</v>
      </c>
      <c r="R324">
        <f t="shared" si="966"/>
        <v>289377608.01306176</v>
      </c>
      <c r="S324">
        <f t="shared" si="967"/>
        <v>2893.7760801306176</v>
      </c>
      <c r="T324">
        <f t="shared" si="968"/>
        <v>2.8937760801306176</v>
      </c>
    </row>
    <row r="325" spans="1:20" x14ac:dyDescent="0.25">
      <c r="A325" s="5">
        <v>44268</v>
      </c>
      <c r="B325">
        <v>0.61132799999999998</v>
      </c>
      <c r="C325">
        <v>0.79800000000000004</v>
      </c>
      <c r="D325">
        <v>0.54913400000000001</v>
      </c>
      <c r="E325">
        <v>0.68457800000000002</v>
      </c>
      <c r="F325">
        <v>213498585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8.8489387863348076E-2</v>
      </c>
      <c r="Q325">
        <f t="shared" si="965"/>
        <v>18892359.096340988</v>
      </c>
      <c r="R325">
        <f t="shared" si="966"/>
        <v>333821511.0677948</v>
      </c>
      <c r="S325">
        <f t="shared" si="967"/>
        <v>3338.2151106779479</v>
      </c>
      <c r="T325">
        <f t="shared" si="968"/>
        <v>3.3382151106779481</v>
      </c>
    </row>
    <row r="326" spans="1:20" x14ac:dyDescent="0.25">
      <c r="A326" s="5">
        <v>44267</v>
      </c>
      <c r="B326">
        <v>0.53</v>
      </c>
      <c r="C326">
        <v>0.63</v>
      </c>
      <c r="D326">
        <v>0.5161</v>
      </c>
      <c r="E326">
        <v>0.61266799999999999</v>
      </c>
      <c r="F326">
        <v>137188524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0.69566286215978901</v>
      </c>
      <c r="Q326">
        <f t="shared" ref="Q326:Q389" si="970">F326*P326</f>
        <v>95436961.26131691</v>
      </c>
      <c r="R326">
        <f t="shared" ref="R326:R389" si="971">R327+Q326</f>
        <v>314929151.97145379</v>
      </c>
      <c r="S326">
        <f t="shared" ref="S326:S389" si="972">R326/100000</f>
        <v>3149.291519714538</v>
      </c>
      <c r="T326">
        <f t="shared" ref="T326:T389" si="973">S326/1000</f>
        <v>3.1492915197145379</v>
      </c>
    </row>
    <row r="327" spans="1:20" x14ac:dyDescent="0.25">
      <c r="A327" s="5">
        <v>44266</v>
      </c>
      <c r="B327">
        <v>0.48139599999999999</v>
      </c>
      <c r="C327">
        <v>0.56498400000000004</v>
      </c>
      <c r="D327">
        <v>0.47119699999999998</v>
      </c>
      <c r="E327">
        <v>0.53</v>
      </c>
      <c r="F327">
        <v>106550679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0.2539691001951232</v>
      </c>
      <c r="Q327">
        <f t="shared" si="970"/>
        <v>27060580.070809409</v>
      </c>
      <c r="R327">
        <f t="shared" si="971"/>
        <v>219492190.71013689</v>
      </c>
      <c r="S327">
        <f t="shared" si="972"/>
        <v>2194.921907101369</v>
      </c>
      <c r="T327">
        <f t="shared" si="973"/>
        <v>2.194921907101369</v>
      </c>
    </row>
    <row r="328" spans="1:20" x14ac:dyDescent="0.25">
      <c r="A328" s="5">
        <v>44265</v>
      </c>
      <c r="B328">
        <v>0.524926</v>
      </c>
      <c r="C328">
        <v>0.52642500000000003</v>
      </c>
      <c r="D328">
        <v>0.45117400000000002</v>
      </c>
      <c r="E328">
        <v>0.481458</v>
      </c>
      <c r="F328">
        <v>92923645</v>
      </c>
      <c r="G328">
        <v>0</v>
      </c>
      <c r="L328" t="s">
        <v>7</v>
      </c>
      <c r="M328" t="s">
        <v>7</v>
      </c>
      <c r="N328" t="s">
        <v>8</v>
      </c>
      <c r="P328">
        <f t="shared" si="969"/>
        <v>-0.19512033062683626</v>
      </c>
      <c r="Q328">
        <f t="shared" si="970"/>
        <v>-18131292.335450761</v>
      </c>
      <c r="R328">
        <f t="shared" si="971"/>
        <v>192431610.6393275</v>
      </c>
      <c r="S328">
        <f t="shared" si="972"/>
        <v>1924.316106393275</v>
      </c>
      <c r="T328">
        <f t="shared" si="973"/>
        <v>1.924316106393275</v>
      </c>
    </row>
    <row r="329" spans="1:20" x14ac:dyDescent="0.25">
      <c r="A329" s="5">
        <v>44264</v>
      </c>
      <c r="B329">
        <v>0.45946999999999999</v>
      </c>
      <c r="C329">
        <v>0.58391499999999996</v>
      </c>
      <c r="D329">
        <v>0.45875700000000003</v>
      </c>
      <c r="E329">
        <v>0.52489799999999998</v>
      </c>
      <c r="F329">
        <v>212859257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5.6920053052940824E-2</v>
      </c>
      <c r="Q329">
        <f t="shared" si="970"/>
        <v>12115960.201249566</v>
      </c>
      <c r="R329">
        <f t="shared" si="971"/>
        <v>210562902.97477826</v>
      </c>
      <c r="S329">
        <f t="shared" si="972"/>
        <v>2105.6290297477826</v>
      </c>
      <c r="T329">
        <f t="shared" si="973"/>
        <v>2.1056290297477824</v>
      </c>
    </row>
    <row r="330" spans="1:20" x14ac:dyDescent="0.25">
      <c r="A330" s="5">
        <v>44263</v>
      </c>
      <c r="B330">
        <v>0.37900499999999998</v>
      </c>
      <c r="C330">
        <v>0.48499999999999999</v>
      </c>
      <c r="D330">
        <v>0.37717000000000001</v>
      </c>
      <c r="E330">
        <v>0.45726</v>
      </c>
      <c r="F330">
        <v>150985870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0.48548641379949936</v>
      </c>
      <c r="Q330">
        <f t="shared" si="970"/>
        <v>73301588.560697421</v>
      </c>
      <c r="R330">
        <f t="shared" si="971"/>
        <v>198446942.7735287</v>
      </c>
      <c r="S330">
        <f t="shared" si="972"/>
        <v>1984.4694277352869</v>
      </c>
      <c r="T330">
        <f t="shared" si="973"/>
        <v>1.984469427735287</v>
      </c>
    </row>
    <row r="331" spans="1:20" x14ac:dyDescent="0.25">
      <c r="A331" s="5">
        <v>44262</v>
      </c>
      <c r="B331">
        <v>0.343866</v>
      </c>
      <c r="C331">
        <v>0.38999699999999998</v>
      </c>
      <c r="D331">
        <v>0.33817000000000003</v>
      </c>
      <c r="E331">
        <v>0.37920700000000002</v>
      </c>
      <c r="F331">
        <v>87282379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0.58361471819707966</v>
      </c>
      <c r="Q331">
        <f t="shared" si="970"/>
        <v>50939281.023655705</v>
      </c>
      <c r="R331">
        <f t="shared" si="971"/>
        <v>125145354.21283126</v>
      </c>
      <c r="S331">
        <f t="shared" si="972"/>
        <v>1251.4535421283126</v>
      </c>
      <c r="T331">
        <f t="shared" si="973"/>
        <v>1.2514535421283126</v>
      </c>
    </row>
    <row r="332" spans="1:20" x14ac:dyDescent="0.25">
      <c r="A332" s="5">
        <v>44261</v>
      </c>
      <c r="B332">
        <v>0.35070099999999998</v>
      </c>
      <c r="C332">
        <v>0.368948</v>
      </c>
      <c r="D332">
        <v>0.31647700000000001</v>
      </c>
      <c r="E332">
        <v>0.34335500000000002</v>
      </c>
      <c r="F332">
        <v>72068418</v>
      </c>
      <c r="G332">
        <v>0</v>
      </c>
      <c r="L332" t="s">
        <v>7</v>
      </c>
      <c r="M332" t="s">
        <v>7</v>
      </c>
      <c r="N332" t="s">
        <v>7</v>
      </c>
      <c r="P332">
        <f t="shared" si="969"/>
        <v>2.4489718130015367E-2</v>
      </c>
      <c r="Q332">
        <f t="shared" si="970"/>
        <v>1764935.2428961259</v>
      </c>
      <c r="R332">
        <f t="shared" si="971"/>
        <v>74206073.189175561</v>
      </c>
      <c r="S332">
        <f t="shared" si="972"/>
        <v>742.06073189175561</v>
      </c>
      <c r="T332">
        <f t="shared" si="973"/>
        <v>0.74206073189175559</v>
      </c>
    </row>
    <row r="333" spans="1:20" x14ac:dyDescent="0.25">
      <c r="A333" s="5">
        <v>44260</v>
      </c>
      <c r="B333">
        <v>0.35861700000000002</v>
      </c>
      <c r="C333">
        <v>0.42664600000000003</v>
      </c>
      <c r="D333">
        <v>0.33330799999999999</v>
      </c>
      <c r="E333">
        <v>0.35017599999999999</v>
      </c>
      <c r="F333">
        <v>225008826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-0.63856092909640261</v>
      </c>
      <c r="Q333">
        <f t="shared" si="970"/>
        <v>-143681844.9854508</v>
      </c>
      <c r="R333">
        <f t="shared" si="971"/>
        <v>72441137.946279436</v>
      </c>
      <c r="S333">
        <f t="shared" si="972"/>
        <v>724.41137946279434</v>
      </c>
      <c r="T333">
        <f t="shared" si="973"/>
        <v>0.72441137946279432</v>
      </c>
    </row>
    <row r="334" spans="1:20" x14ac:dyDescent="0.25">
      <c r="A334" s="5">
        <v>44259</v>
      </c>
      <c r="B334">
        <v>0.307224</v>
      </c>
      <c r="C334">
        <v>0.43257000000000001</v>
      </c>
      <c r="D334">
        <v>0.29289900000000002</v>
      </c>
      <c r="E334">
        <v>0.35799999999999998</v>
      </c>
      <c r="F334">
        <v>307709830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-6.7795032612353756E-2</v>
      </c>
      <c r="Q334">
        <f t="shared" si="970"/>
        <v>-20861197.959991831</v>
      </c>
      <c r="R334">
        <f t="shared" si="971"/>
        <v>216122982.93173024</v>
      </c>
      <c r="S334">
        <f t="shared" si="972"/>
        <v>2161.2298293173026</v>
      </c>
      <c r="T334">
        <f t="shared" si="973"/>
        <v>2.1612298293173025</v>
      </c>
    </row>
    <row r="335" spans="1:20" x14ac:dyDescent="0.25">
      <c r="A335" s="5">
        <v>44258</v>
      </c>
      <c r="B335">
        <v>0.25067</v>
      </c>
      <c r="C335">
        <v>0.31743300000000002</v>
      </c>
      <c r="D335">
        <v>0.24593599999999999</v>
      </c>
      <c r="E335">
        <v>0.30781900000000001</v>
      </c>
      <c r="F335">
        <v>99263544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0.73106563911772504</v>
      </c>
      <c r="Q335">
        <f t="shared" si="970"/>
        <v>72568166.235450417</v>
      </c>
      <c r="R335">
        <f t="shared" si="971"/>
        <v>236984180.89172208</v>
      </c>
      <c r="S335">
        <f t="shared" si="972"/>
        <v>2369.841808917221</v>
      </c>
      <c r="T335">
        <f t="shared" si="973"/>
        <v>2.3698418089172208</v>
      </c>
    </row>
    <row r="336" spans="1:20" x14ac:dyDescent="0.25">
      <c r="A336" s="5">
        <v>44257</v>
      </c>
      <c r="B336">
        <v>0.23999300000000001</v>
      </c>
      <c r="C336">
        <v>0.26517000000000002</v>
      </c>
      <c r="D336">
        <v>0.22839999999999999</v>
      </c>
      <c r="E336">
        <v>0.251</v>
      </c>
      <c r="F336">
        <v>62674884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0.22926298612999693</v>
      </c>
      <c r="Q336">
        <f t="shared" si="970"/>
        <v>14369031.061191166</v>
      </c>
      <c r="R336">
        <f t="shared" si="971"/>
        <v>164416014.65627167</v>
      </c>
      <c r="S336">
        <f t="shared" si="972"/>
        <v>1644.1601465627166</v>
      </c>
      <c r="T336">
        <f t="shared" si="973"/>
        <v>1.6441601465627167</v>
      </c>
    </row>
    <row r="337" spans="1:20" x14ac:dyDescent="0.25">
      <c r="A337" s="5">
        <v>44256</v>
      </c>
      <c r="B337">
        <v>0.22013099999999999</v>
      </c>
      <c r="C337">
        <v>0.245474</v>
      </c>
      <c r="D337">
        <v>0.21552399999999999</v>
      </c>
      <c r="E337">
        <v>0.24</v>
      </c>
      <c r="F337">
        <v>55206595</v>
      </c>
      <c r="G337">
        <v>0</v>
      </c>
      <c r="L337" t="s">
        <v>7</v>
      </c>
      <c r="M337" t="s">
        <v>8</v>
      </c>
      <c r="N337" t="s">
        <v>8</v>
      </c>
      <c r="P337">
        <f t="shared" si="969"/>
        <v>0.63445742904841362</v>
      </c>
      <c r="Q337">
        <f t="shared" si="970"/>
        <v>35026234.330217004</v>
      </c>
      <c r="R337">
        <f t="shared" si="971"/>
        <v>150046983.59508049</v>
      </c>
      <c r="S337">
        <f t="shared" si="972"/>
        <v>1500.469835950805</v>
      </c>
      <c r="T337">
        <f t="shared" si="973"/>
        <v>1.5004698359508049</v>
      </c>
    </row>
    <row r="338" spans="1:20" x14ac:dyDescent="0.25">
      <c r="A338" s="5">
        <v>44255</v>
      </c>
      <c r="B338">
        <v>0.24531700000000001</v>
      </c>
      <c r="C338">
        <v>0.26666600000000001</v>
      </c>
      <c r="D338">
        <v>0.19911499999999999</v>
      </c>
      <c r="E338">
        <v>0.22036500000000001</v>
      </c>
      <c r="F338">
        <v>52400033</v>
      </c>
      <c r="G338">
        <v>0</v>
      </c>
      <c r="L338" t="s">
        <v>8</v>
      </c>
      <c r="M338" t="s">
        <v>7</v>
      </c>
      <c r="N338" t="s">
        <v>8</v>
      </c>
      <c r="P338">
        <f t="shared" si="969"/>
        <v>-0.37084573137333243</v>
      </c>
      <c r="Q338">
        <f t="shared" si="970"/>
        <v>-19432328.561871756</v>
      </c>
      <c r="R338">
        <f t="shared" si="971"/>
        <v>115020749.26486348</v>
      </c>
      <c r="S338">
        <f t="shared" si="972"/>
        <v>1150.2074926486348</v>
      </c>
      <c r="T338">
        <f t="shared" si="973"/>
        <v>1.1502074926486348</v>
      </c>
    </row>
    <row r="339" spans="1:20" x14ac:dyDescent="0.25">
      <c r="A339" s="5">
        <v>44254</v>
      </c>
      <c r="B339">
        <v>0.23600199999999999</v>
      </c>
      <c r="C339">
        <v>0.26</v>
      </c>
      <c r="D339">
        <v>0.23452799999999999</v>
      </c>
      <c r="E339">
        <v>0.24526200000000001</v>
      </c>
      <c r="F339">
        <v>34531393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-0.15719221105527545</v>
      </c>
      <c r="Q339">
        <f t="shared" si="970"/>
        <v>-5428066.0164886611</v>
      </c>
      <c r="R339">
        <f t="shared" si="971"/>
        <v>134453077.82673523</v>
      </c>
      <c r="S339">
        <f t="shared" si="972"/>
        <v>1344.5307782673524</v>
      </c>
      <c r="T339">
        <f t="shared" si="973"/>
        <v>1.3445307782673523</v>
      </c>
    </row>
    <row r="340" spans="1:20" x14ac:dyDescent="0.25">
      <c r="A340" s="5">
        <v>44253</v>
      </c>
      <c r="B340">
        <v>0.232817</v>
      </c>
      <c r="C340">
        <v>0.248446</v>
      </c>
      <c r="D340">
        <v>0.21973599999999999</v>
      </c>
      <c r="E340">
        <v>0.23652599999999999</v>
      </c>
      <c r="F340">
        <v>53086549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0.16962730755834146</v>
      </c>
      <c r="Q340">
        <f t="shared" si="970"/>
        <v>9004928.3744339645</v>
      </c>
      <c r="R340">
        <f t="shared" si="971"/>
        <v>139881143.8432239</v>
      </c>
      <c r="S340">
        <f t="shared" si="972"/>
        <v>1398.8114384322389</v>
      </c>
      <c r="T340">
        <f t="shared" si="973"/>
        <v>1.398811438432239</v>
      </c>
    </row>
    <row r="341" spans="1:20" x14ac:dyDescent="0.25">
      <c r="A341" s="5">
        <v>44252</v>
      </c>
      <c r="B341">
        <v>0.247477</v>
      </c>
      <c r="C341">
        <v>0.26855499999999999</v>
      </c>
      <c r="D341">
        <v>0.23019300000000001</v>
      </c>
      <c r="E341">
        <v>0.23403599999999999</v>
      </c>
      <c r="F341">
        <v>46646166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-0.79964548250873324</v>
      </c>
      <c r="Q341">
        <f t="shared" si="970"/>
        <v>-37300395.918252468</v>
      </c>
      <c r="R341">
        <f t="shared" si="971"/>
        <v>130876215.46878994</v>
      </c>
      <c r="S341">
        <f t="shared" si="972"/>
        <v>1308.7621546878993</v>
      </c>
      <c r="T341">
        <f t="shared" si="973"/>
        <v>1.3087621546878994</v>
      </c>
    </row>
    <row r="342" spans="1:20" x14ac:dyDescent="0.25">
      <c r="A342" s="5">
        <v>44251</v>
      </c>
      <c r="B342">
        <v>0.24033299999999999</v>
      </c>
      <c r="C342">
        <v>0.27100000000000002</v>
      </c>
      <c r="D342">
        <v>0.21785199999999999</v>
      </c>
      <c r="E342">
        <v>0.24759900000000001</v>
      </c>
      <c r="F342">
        <v>79864137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0.11940242342138961</v>
      </c>
      <c r="Q342">
        <f t="shared" si="970"/>
        <v>9535971.5022578686</v>
      </c>
      <c r="R342">
        <f t="shared" si="971"/>
        <v>168176611.3870424</v>
      </c>
      <c r="S342">
        <f t="shared" si="972"/>
        <v>1681.7661138704241</v>
      </c>
      <c r="T342">
        <f t="shared" si="973"/>
        <v>1.6817661138704241</v>
      </c>
    </row>
    <row r="343" spans="1:20" x14ac:dyDescent="0.25">
      <c r="A343" s="5">
        <v>44250</v>
      </c>
      <c r="B343">
        <v>0.29477700000000001</v>
      </c>
      <c r="C343">
        <v>0.33139999999999997</v>
      </c>
      <c r="D343">
        <v>0.17299999999999999</v>
      </c>
      <c r="E343">
        <v>0.239755</v>
      </c>
      <c r="F343">
        <v>185962826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-0.15713383838383818</v>
      </c>
      <c r="Q343">
        <f t="shared" si="970"/>
        <v>-29221052.646085821</v>
      </c>
      <c r="R343">
        <f t="shared" si="971"/>
        <v>158640639.88478455</v>
      </c>
      <c r="S343">
        <f t="shared" si="972"/>
        <v>1586.4063988478456</v>
      </c>
      <c r="T343">
        <f t="shared" si="973"/>
        <v>1.5864063988478456</v>
      </c>
    </row>
    <row r="344" spans="1:20" x14ac:dyDescent="0.25">
      <c r="A344" s="5">
        <v>44249</v>
      </c>
      <c r="B344">
        <v>0.321073</v>
      </c>
      <c r="C344">
        <v>0.36799999999999999</v>
      </c>
      <c r="D344">
        <v>0.144339</v>
      </c>
      <c r="E344">
        <v>0.29475200000000001</v>
      </c>
      <c r="F344">
        <v>173636306</v>
      </c>
      <c r="G344">
        <v>0</v>
      </c>
      <c r="L344" t="s">
        <v>8</v>
      </c>
      <c r="M344" t="s">
        <v>8</v>
      </c>
      <c r="N344" t="s">
        <v>8</v>
      </c>
      <c r="P344">
        <f t="shared" si="969"/>
        <v>0.34500874090699785</v>
      </c>
      <c r="Q344">
        <f t="shared" si="970"/>
        <v>59906043.308802195</v>
      </c>
      <c r="R344">
        <f t="shared" si="971"/>
        <v>187861692.53087038</v>
      </c>
      <c r="S344">
        <f t="shared" si="972"/>
        <v>1878.6169253087037</v>
      </c>
      <c r="T344">
        <f t="shared" si="973"/>
        <v>1.8786169253087037</v>
      </c>
    </row>
    <row r="345" spans="1:20" x14ac:dyDescent="0.25">
      <c r="A345" s="5">
        <v>44248</v>
      </c>
      <c r="B345">
        <v>0.29559800000000003</v>
      </c>
      <c r="C345">
        <v>0.35</v>
      </c>
      <c r="D345">
        <v>0.28854800000000003</v>
      </c>
      <c r="E345">
        <v>0.321073</v>
      </c>
      <c r="F345">
        <v>87412400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5.854976241619464E-2</v>
      </c>
      <c r="Q345">
        <f t="shared" si="970"/>
        <v>5117975.252229372</v>
      </c>
      <c r="R345">
        <f t="shared" si="971"/>
        <v>127955649.22206819</v>
      </c>
      <c r="S345">
        <f t="shared" si="972"/>
        <v>1279.556492220682</v>
      </c>
      <c r="T345">
        <f t="shared" si="973"/>
        <v>1.2795564922206819</v>
      </c>
    </row>
    <row r="346" spans="1:20" x14ac:dyDescent="0.25">
      <c r="A346" s="5">
        <v>44247</v>
      </c>
      <c r="B346">
        <v>0.30649300000000002</v>
      </c>
      <c r="C346">
        <v>0.32500000000000001</v>
      </c>
      <c r="D346">
        <v>0.27329999999999999</v>
      </c>
      <c r="E346">
        <v>0.29559800000000003</v>
      </c>
      <c r="F346">
        <v>71515839</v>
      </c>
      <c r="G346">
        <v>0</v>
      </c>
      <c r="L346" t="s">
        <v>8</v>
      </c>
      <c r="M346" t="s">
        <v>7</v>
      </c>
      <c r="N346" t="s">
        <v>8</v>
      </c>
      <c r="P346">
        <f t="shared" si="969"/>
        <v>-0.13740812379110137</v>
      </c>
      <c r="Q346">
        <f t="shared" si="970"/>
        <v>-9826857.2583364751</v>
      </c>
      <c r="R346">
        <f t="shared" si="971"/>
        <v>122837673.96983881</v>
      </c>
      <c r="S346">
        <f t="shared" si="972"/>
        <v>1228.3767396983881</v>
      </c>
      <c r="T346">
        <f t="shared" si="973"/>
        <v>1.228376739698388</v>
      </c>
    </row>
    <row r="347" spans="1:20" x14ac:dyDescent="0.25">
      <c r="A347" s="5">
        <v>44246</v>
      </c>
      <c r="B347">
        <v>0.326233</v>
      </c>
      <c r="C347">
        <v>0.32831900000000003</v>
      </c>
      <c r="D347">
        <v>0.27191900000000002</v>
      </c>
      <c r="E347">
        <v>0.30652800000000002</v>
      </c>
      <c r="F347">
        <v>102618317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0.22726950354609921</v>
      </c>
      <c r="Q347">
        <f t="shared" si="970"/>
        <v>23322013.959326234</v>
      </c>
      <c r="R347">
        <f t="shared" si="971"/>
        <v>132664531.22817528</v>
      </c>
      <c r="S347">
        <f t="shared" si="972"/>
        <v>1326.6453122817529</v>
      </c>
      <c r="T347">
        <f t="shared" si="973"/>
        <v>1.326645312281753</v>
      </c>
    </row>
    <row r="348" spans="1:20" x14ac:dyDescent="0.25">
      <c r="A348" s="5">
        <v>44245</v>
      </c>
      <c r="B348">
        <v>0.24222399999999999</v>
      </c>
      <c r="C348">
        <v>0.34399800000000003</v>
      </c>
      <c r="D348">
        <v>0.23579</v>
      </c>
      <c r="E348">
        <v>0.32621699999999998</v>
      </c>
      <c r="F348">
        <v>236007383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0.67135516782492899</v>
      </c>
      <c r="Q348">
        <f t="shared" si="970"/>
        <v>158444776.22188729</v>
      </c>
      <c r="R348">
        <f t="shared" si="971"/>
        <v>109342517.26884905</v>
      </c>
      <c r="S348">
        <f t="shared" si="972"/>
        <v>1093.4251726884904</v>
      </c>
      <c r="T348">
        <f t="shared" si="973"/>
        <v>1.0934251726884905</v>
      </c>
    </row>
    <row r="349" spans="1:20" x14ac:dyDescent="0.25">
      <c r="A349" s="5">
        <v>44244</v>
      </c>
      <c r="B349">
        <v>0.23098199999999999</v>
      </c>
      <c r="C349">
        <v>0.264013</v>
      </c>
      <c r="D349">
        <v>0.205567</v>
      </c>
      <c r="E349">
        <v>0.24208499999999999</v>
      </c>
      <c r="F349">
        <v>121401661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0.24963213906854176</v>
      </c>
      <c r="Q349">
        <f t="shared" si="970"/>
        <v>30305756.321903963</v>
      </c>
      <c r="R349">
        <f t="shared" si="971"/>
        <v>-49102258.953038245</v>
      </c>
      <c r="S349">
        <f t="shared" si="972"/>
        <v>-491.02258953038245</v>
      </c>
      <c r="T349">
        <f t="shared" si="973"/>
        <v>-0.49102258953038247</v>
      </c>
    </row>
    <row r="350" spans="1:20" x14ac:dyDescent="0.25">
      <c r="A350" s="5">
        <v>44243</v>
      </c>
      <c r="B350">
        <v>0.238986</v>
      </c>
      <c r="C350">
        <v>0.24971299999999999</v>
      </c>
      <c r="D350">
        <v>0.21623600000000001</v>
      </c>
      <c r="E350">
        <v>0.23142799999999999</v>
      </c>
      <c r="F350">
        <v>59535799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-9.2391791379156263E-2</v>
      </c>
      <c r="Q350">
        <f t="shared" si="970"/>
        <v>-5500619.1207993804</v>
      </c>
      <c r="R350">
        <f t="shared" si="971"/>
        <v>-79408015.274942204</v>
      </c>
      <c r="S350">
        <f t="shared" si="972"/>
        <v>-794.08015274942204</v>
      </c>
      <c r="T350">
        <f t="shared" si="973"/>
        <v>-0.79408015274942201</v>
      </c>
    </row>
    <row r="351" spans="1:20" x14ac:dyDescent="0.25">
      <c r="A351" s="5">
        <v>44242</v>
      </c>
      <c r="B351">
        <v>0.26666600000000001</v>
      </c>
      <c r="C351">
        <v>0.27077099999999998</v>
      </c>
      <c r="D351">
        <v>0.19733500000000001</v>
      </c>
      <c r="E351">
        <v>0.240507</v>
      </c>
      <c r="F351">
        <v>148899213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0.17577210087695419</v>
      </c>
      <c r="Q351">
        <f t="shared" si="970"/>
        <v>26172327.487935089</v>
      </c>
      <c r="R351">
        <f t="shared" si="971"/>
        <v>-73907396.154142827</v>
      </c>
      <c r="S351">
        <f t="shared" si="972"/>
        <v>-739.07396154142828</v>
      </c>
      <c r="T351">
        <f t="shared" si="973"/>
        <v>-0.73907396154142824</v>
      </c>
    </row>
    <row r="352" spans="1:20" x14ac:dyDescent="0.25">
      <c r="A352" s="5">
        <v>44241</v>
      </c>
      <c r="B352">
        <v>0.20638899999999999</v>
      </c>
      <c r="C352">
        <v>0.29299999999999998</v>
      </c>
      <c r="D352">
        <v>0.19284000000000001</v>
      </c>
      <c r="E352">
        <v>0.26645200000000002</v>
      </c>
      <c r="F352">
        <v>485863308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0.46988817891373863</v>
      </c>
      <c r="Q352">
        <f t="shared" si="970"/>
        <v>228301424.99712491</v>
      </c>
      <c r="R352">
        <f t="shared" si="971"/>
        <v>-100079723.64207792</v>
      </c>
      <c r="S352">
        <f t="shared" si="972"/>
        <v>-1000.7972364207792</v>
      </c>
      <c r="T352">
        <f t="shared" si="973"/>
        <v>-1.0007972364207791</v>
      </c>
    </row>
    <row r="353" spans="1:20" x14ac:dyDescent="0.25">
      <c r="A353" s="5">
        <v>44240</v>
      </c>
      <c r="B353">
        <v>0.163993</v>
      </c>
      <c r="C353">
        <v>0.218</v>
      </c>
      <c r="D353">
        <v>0.16305600000000001</v>
      </c>
      <c r="E353">
        <v>0.20669799999999999</v>
      </c>
      <c r="F353">
        <v>204029827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0.58859930110658099</v>
      </c>
      <c r="Q353">
        <f t="shared" si="970"/>
        <v>120091813.57709663</v>
      </c>
      <c r="R353">
        <f t="shared" si="971"/>
        <v>-328381148.63920283</v>
      </c>
      <c r="S353">
        <f t="shared" si="972"/>
        <v>-3283.8114863920282</v>
      </c>
      <c r="T353">
        <f t="shared" si="973"/>
        <v>-3.283811486392028</v>
      </c>
    </row>
    <row r="354" spans="1:20" x14ac:dyDescent="0.25">
      <c r="A354" s="5">
        <v>44239</v>
      </c>
      <c r="B354">
        <v>0.16012499999999999</v>
      </c>
      <c r="C354">
        <v>0.16980000000000001</v>
      </c>
      <c r="D354">
        <v>0.14899999999999999</v>
      </c>
      <c r="E354">
        <v>0.163993</v>
      </c>
      <c r="F354">
        <v>68519212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0.44163461538461507</v>
      </c>
      <c r="Q354">
        <f t="shared" si="970"/>
        <v>30260455.838076901</v>
      </c>
      <c r="R354">
        <f t="shared" si="971"/>
        <v>-448472962.21629947</v>
      </c>
      <c r="S354">
        <f t="shared" si="972"/>
        <v>-4484.7296221629949</v>
      </c>
      <c r="T354">
        <f t="shared" si="973"/>
        <v>-4.4847296221629946</v>
      </c>
    </row>
    <row r="355" spans="1:20" x14ac:dyDescent="0.25">
      <c r="A355" s="5">
        <v>44238</v>
      </c>
      <c r="B355">
        <v>0.14688300000000001</v>
      </c>
      <c r="C355">
        <v>0.17199999999999999</v>
      </c>
      <c r="D355">
        <v>0.142043</v>
      </c>
      <c r="E355">
        <v>0.15903900000000001</v>
      </c>
      <c r="F355">
        <v>140377352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0.13469306005274362</v>
      </c>
      <c r="Q355">
        <f t="shared" si="970"/>
        <v>18907855.102981128</v>
      </c>
      <c r="R355">
        <f t="shared" si="971"/>
        <v>-478733418.05437636</v>
      </c>
      <c r="S355">
        <f t="shared" si="972"/>
        <v>-4787.334180543764</v>
      </c>
      <c r="T355">
        <f t="shared" si="973"/>
        <v>-4.7873341805437644</v>
      </c>
    </row>
    <row r="356" spans="1:20" x14ac:dyDescent="0.25">
      <c r="A356" s="5">
        <v>44237</v>
      </c>
      <c r="B356">
        <v>0.15335499999999999</v>
      </c>
      <c r="C356">
        <v>0.1598</v>
      </c>
      <c r="D356">
        <v>0.13400000000000001</v>
      </c>
      <c r="E356">
        <v>0.14663100000000001</v>
      </c>
      <c r="F356">
        <v>87957317</v>
      </c>
      <c r="G356">
        <v>0</v>
      </c>
      <c r="L356" t="s">
        <v>7</v>
      </c>
      <c r="M356" t="s">
        <v>7</v>
      </c>
      <c r="N356" t="s">
        <v>8</v>
      </c>
      <c r="P356">
        <f t="shared" si="969"/>
        <v>-2.085271317829392E-2</v>
      </c>
      <c r="Q356">
        <f t="shared" si="970"/>
        <v>-1834148.7033332759</v>
      </c>
      <c r="R356">
        <f t="shared" si="971"/>
        <v>-497641273.15735751</v>
      </c>
      <c r="S356">
        <f t="shared" si="972"/>
        <v>-4976.412731573575</v>
      </c>
      <c r="T356">
        <f t="shared" si="973"/>
        <v>-4.9764127315735749</v>
      </c>
    </row>
    <row r="357" spans="1:20" x14ac:dyDescent="0.25">
      <c r="A357" s="5">
        <v>44236</v>
      </c>
      <c r="B357">
        <v>0.14156099999999999</v>
      </c>
      <c r="C357">
        <v>0.16500000000000001</v>
      </c>
      <c r="D357">
        <v>0.13839299999999999</v>
      </c>
      <c r="E357">
        <v>0.153055</v>
      </c>
      <c r="F357">
        <v>92306976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0.10211598451535292</v>
      </c>
      <c r="Q357">
        <f t="shared" si="970"/>
        <v>9426017.7318750545</v>
      </c>
      <c r="R357">
        <f t="shared" si="971"/>
        <v>-495807124.45402426</v>
      </c>
      <c r="S357">
        <f t="shared" si="972"/>
        <v>-4958.0712445402423</v>
      </c>
      <c r="T357">
        <f t="shared" si="973"/>
        <v>-4.9580712445402426</v>
      </c>
    </row>
    <row r="358" spans="1:20" x14ac:dyDescent="0.25">
      <c r="A358" s="5">
        <v>44235</v>
      </c>
      <c r="B358">
        <v>0.126635</v>
      </c>
      <c r="C358">
        <v>0.14799999999999999</v>
      </c>
      <c r="D358">
        <v>0.122812</v>
      </c>
      <c r="E358">
        <v>0.14155999999999999</v>
      </c>
      <c r="F358">
        <v>156379496</v>
      </c>
      <c r="G358">
        <v>0</v>
      </c>
      <c r="L358" t="s">
        <v>8</v>
      </c>
      <c r="M358" t="s">
        <v>8</v>
      </c>
      <c r="N358" t="s">
        <v>7</v>
      </c>
      <c r="P358">
        <f t="shared" si="969"/>
        <v>0.48864538669207525</v>
      </c>
      <c r="Q358">
        <f t="shared" si="970"/>
        <v>76414119.293631837</v>
      </c>
      <c r="R358">
        <f t="shared" si="971"/>
        <v>-505233142.18589932</v>
      </c>
      <c r="S358">
        <f t="shared" si="972"/>
        <v>-5052.3314218589931</v>
      </c>
      <c r="T358">
        <f t="shared" si="973"/>
        <v>-5.0523314218589928</v>
      </c>
    </row>
    <row r="359" spans="1:20" x14ac:dyDescent="0.25">
      <c r="A359" s="5">
        <v>44234</v>
      </c>
      <c r="B359">
        <v>0.13054199999999999</v>
      </c>
      <c r="C359">
        <v>0.13450000000000001</v>
      </c>
      <c r="D359">
        <v>0.11024</v>
      </c>
      <c r="E359">
        <v>0.126635</v>
      </c>
      <c r="F359">
        <v>150770204</v>
      </c>
      <c r="G359">
        <v>0</v>
      </c>
      <c r="L359" t="s">
        <v>7</v>
      </c>
      <c r="M359" t="s">
        <v>7</v>
      </c>
      <c r="N359" t="s">
        <v>7</v>
      </c>
      <c r="P359">
        <f t="shared" si="969"/>
        <v>0.3516075845012358</v>
      </c>
      <c r="Q359">
        <f t="shared" si="970"/>
        <v>53011947.243198559</v>
      </c>
      <c r="R359">
        <f t="shared" si="971"/>
        <v>-581647261.47953117</v>
      </c>
      <c r="S359">
        <f t="shared" si="972"/>
        <v>-5816.4726147953115</v>
      </c>
      <c r="T359">
        <f t="shared" si="973"/>
        <v>-5.8164726147953116</v>
      </c>
    </row>
    <row r="360" spans="1:20" x14ac:dyDescent="0.25">
      <c r="A360" s="5">
        <v>44233</v>
      </c>
      <c r="B360">
        <v>0.14427899999999999</v>
      </c>
      <c r="C360">
        <v>0.15</v>
      </c>
      <c r="D360">
        <v>0.11833299999999999</v>
      </c>
      <c r="E360">
        <v>0.1305</v>
      </c>
      <c r="F360">
        <v>136223093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-0.2315659835159623</v>
      </c>
      <c r="Q360">
        <f t="shared" si="970"/>
        <v>-31544634.5081314</v>
      </c>
      <c r="R360">
        <f t="shared" si="971"/>
        <v>-634659208.72272968</v>
      </c>
      <c r="S360">
        <f t="shared" si="972"/>
        <v>-6346.5920872272973</v>
      </c>
      <c r="T360">
        <f t="shared" si="973"/>
        <v>-6.3465920872272976</v>
      </c>
    </row>
    <row r="361" spans="1:20" x14ac:dyDescent="0.25">
      <c r="A361" s="5">
        <v>44232</v>
      </c>
      <c r="B361">
        <v>0.100387</v>
      </c>
      <c r="C361">
        <v>0.15</v>
      </c>
      <c r="D361">
        <v>9.9092E-2</v>
      </c>
      <c r="E361">
        <v>0.14427899999999999</v>
      </c>
      <c r="F361">
        <v>250593325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0.77524161232026378</v>
      </c>
      <c r="Q361">
        <f t="shared" si="970"/>
        <v>194270373.30969587</v>
      </c>
      <c r="R361">
        <f t="shared" si="971"/>
        <v>-603114574.2145983</v>
      </c>
      <c r="S361">
        <f t="shared" si="972"/>
        <v>-6031.1457421459827</v>
      </c>
      <c r="T361">
        <f t="shared" si="973"/>
        <v>-6.0311457421459824</v>
      </c>
    </row>
    <row r="362" spans="1:20" x14ac:dyDescent="0.25">
      <c r="A362" s="5">
        <v>44231</v>
      </c>
      <c r="B362">
        <v>9.9793999999999994E-2</v>
      </c>
      <c r="C362">
        <v>0.1298</v>
      </c>
      <c r="D362">
        <v>9.0999999999999998E-2</v>
      </c>
      <c r="E362">
        <v>0.100407</v>
      </c>
      <c r="F362">
        <v>325039140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-0.51510309278350519</v>
      </c>
      <c r="Q362">
        <f t="shared" si="970"/>
        <v>-167428666.28969073</v>
      </c>
      <c r="R362">
        <f t="shared" si="971"/>
        <v>-797384947.52429414</v>
      </c>
      <c r="S362">
        <f t="shared" si="972"/>
        <v>-7973.8494752429415</v>
      </c>
      <c r="T362">
        <f t="shared" si="973"/>
        <v>-7.9738494752429414</v>
      </c>
    </row>
    <row r="363" spans="1:20" x14ac:dyDescent="0.25">
      <c r="A363" s="5">
        <v>44230</v>
      </c>
      <c r="B363">
        <v>9.6598000000000003E-2</v>
      </c>
      <c r="C363">
        <v>0.10199999999999999</v>
      </c>
      <c r="D363">
        <v>9.2840000000000006E-2</v>
      </c>
      <c r="E363">
        <v>9.9793000000000007E-2</v>
      </c>
      <c r="F363">
        <v>87104673</v>
      </c>
      <c r="G363">
        <v>0</v>
      </c>
      <c r="L363" t="s">
        <v>7</v>
      </c>
      <c r="M363" t="s">
        <v>8</v>
      </c>
      <c r="N363" t="s">
        <v>8</v>
      </c>
      <c r="P363">
        <f t="shared" si="969"/>
        <v>0.51812227074236028</v>
      </c>
      <c r="Q363">
        <f t="shared" si="970"/>
        <v>45130870.967030756</v>
      </c>
      <c r="R363">
        <f t="shared" si="971"/>
        <v>-629956281.2346034</v>
      </c>
      <c r="S363">
        <f t="shared" si="972"/>
        <v>-6299.5628123460338</v>
      </c>
      <c r="T363">
        <f t="shared" si="973"/>
        <v>-6.2995628123460339</v>
      </c>
    </row>
    <row r="364" spans="1:20" x14ac:dyDescent="0.25">
      <c r="A364" s="5">
        <v>44229</v>
      </c>
      <c r="B364">
        <v>8.2849999999999993E-2</v>
      </c>
      <c r="C364">
        <v>0.10317800000000001</v>
      </c>
      <c r="D364">
        <v>8.2719000000000001E-2</v>
      </c>
      <c r="E364">
        <v>9.6452999999999997E-2</v>
      </c>
      <c r="F364">
        <v>169284175</v>
      </c>
      <c r="G364">
        <v>0</v>
      </c>
      <c r="L364" t="s">
        <v>8</v>
      </c>
      <c r="M364" t="s">
        <v>8</v>
      </c>
      <c r="N364" t="s">
        <v>8</v>
      </c>
      <c r="P364">
        <f t="shared" si="969"/>
        <v>0.34258761425289536</v>
      </c>
      <c r="Q364">
        <f t="shared" si="970"/>
        <v>57994661.644019634</v>
      </c>
      <c r="R364">
        <f t="shared" si="971"/>
        <v>-675087152.20163417</v>
      </c>
      <c r="S364">
        <f t="shared" si="972"/>
        <v>-6750.8715220163413</v>
      </c>
      <c r="T364">
        <f t="shared" si="973"/>
        <v>-6.7508715220163413</v>
      </c>
    </row>
    <row r="365" spans="1:20" x14ac:dyDescent="0.25">
      <c r="A365" s="5">
        <v>44228</v>
      </c>
      <c r="B365">
        <v>8.2917000000000005E-2</v>
      </c>
      <c r="C365">
        <v>8.5999000000000006E-2</v>
      </c>
      <c r="D365">
        <v>7.7780000000000002E-2</v>
      </c>
      <c r="E365">
        <v>8.2916000000000004E-2</v>
      </c>
      <c r="F365">
        <v>59581159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0.24978707872003872</v>
      </c>
      <c r="Q365">
        <f t="shared" si="970"/>
        <v>14882603.653364144</v>
      </c>
      <c r="R365">
        <f t="shared" si="971"/>
        <v>-733081813.84565377</v>
      </c>
      <c r="S365">
        <f t="shared" si="972"/>
        <v>-7330.8181384565378</v>
      </c>
      <c r="T365">
        <f t="shared" si="973"/>
        <v>-7.3308181384565376</v>
      </c>
    </row>
    <row r="366" spans="1:20" x14ac:dyDescent="0.25">
      <c r="A366" s="5">
        <v>44227</v>
      </c>
      <c r="B366">
        <v>8.7753999999999999E-2</v>
      </c>
      <c r="C366">
        <v>9.1425999999999993E-2</v>
      </c>
      <c r="D366">
        <v>8.1000000000000003E-2</v>
      </c>
      <c r="E366">
        <v>8.3187999999999998E-2</v>
      </c>
      <c r="F366">
        <v>49733493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-0.58028006905812446</v>
      </c>
      <c r="Q366">
        <f t="shared" si="970"/>
        <v>-28859354.752541751</v>
      </c>
      <c r="R366">
        <f t="shared" si="971"/>
        <v>-747964417.49901795</v>
      </c>
      <c r="S366">
        <f t="shared" si="972"/>
        <v>-7479.6441749901796</v>
      </c>
      <c r="T366">
        <f t="shared" si="973"/>
        <v>-7.4796441749901792</v>
      </c>
    </row>
    <row r="367" spans="1:20" x14ac:dyDescent="0.25">
      <c r="A367" s="5">
        <v>44226</v>
      </c>
      <c r="B367">
        <v>8.8567999999999994E-2</v>
      </c>
      <c r="C367">
        <v>9.4100000000000003E-2</v>
      </c>
      <c r="D367">
        <v>8.5000999999999993E-2</v>
      </c>
      <c r="E367">
        <v>8.8098999999999997E-2</v>
      </c>
      <c r="F367">
        <v>55689380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-0.3190460490163754</v>
      </c>
      <c r="Q367">
        <f t="shared" si="970"/>
        <v>-17767476.661171556</v>
      </c>
      <c r="R367">
        <f t="shared" si="971"/>
        <v>-719105062.74647617</v>
      </c>
      <c r="S367">
        <f t="shared" si="972"/>
        <v>-7191.0506274647614</v>
      </c>
      <c r="T367">
        <f t="shared" si="973"/>
        <v>-7.1910506274647616</v>
      </c>
    </row>
    <row r="368" spans="1:20" x14ac:dyDescent="0.25">
      <c r="A368" s="5">
        <v>44225</v>
      </c>
      <c r="B368">
        <v>8.8690000000000005E-2</v>
      </c>
      <c r="C368">
        <v>9.9559999999999996E-2</v>
      </c>
      <c r="D368">
        <v>8.2500000000000004E-2</v>
      </c>
      <c r="E368">
        <v>8.8303999999999994E-2</v>
      </c>
      <c r="F368">
        <v>93373768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-0.31957796014068085</v>
      </c>
      <c r="Q368">
        <f t="shared" si="970"/>
        <v>-29840198.308089182</v>
      </c>
      <c r="R368">
        <f t="shared" si="971"/>
        <v>-701337586.08530462</v>
      </c>
      <c r="S368">
        <f t="shared" si="972"/>
        <v>-7013.3758608530461</v>
      </c>
      <c r="T368">
        <f t="shared" si="973"/>
        <v>-7.0133758608530465</v>
      </c>
    </row>
    <row r="369" spans="1:20" x14ac:dyDescent="0.25">
      <c r="A369" s="5">
        <v>44224</v>
      </c>
      <c r="B369">
        <v>8.1225000000000006E-2</v>
      </c>
      <c r="C369">
        <v>9.0833999999999998E-2</v>
      </c>
      <c r="D369">
        <v>7.7405000000000002E-2</v>
      </c>
      <c r="E369">
        <v>8.8609999999999994E-2</v>
      </c>
      <c r="F369">
        <v>82913633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0.66877652840866719</v>
      </c>
      <c r="Q369">
        <f t="shared" si="970"/>
        <v>55450691.635490306</v>
      </c>
      <c r="R369">
        <f t="shared" si="971"/>
        <v>-671497387.77721548</v>
      </c>
      <c r="S369">
        <f t="shared" si="972"/>
        <v>-6714.973877772155</v>
      </c>
      <c r="T369">
        <f t="shared" si="973"/>
        <v>-6.714973877772155</v>
      </c>
    </row>
    <row r="370" spans="1:20" x14ac:dyDescent="0.25">
      <c r="A370" s="5">
        <v>44223</v>
      </c>
      <c r="B370">
        <v>9.3256000000000006E-2</v>
      </c>
      <c r="C370">
        <v>9.5999000000000001E-2</v>
      </c>
      <c r="D370">
        <v>7.5479000000000004E-2</v>
      </c>
      <c r="E370">
        <v>8.1225000000000006E-2</v>
      </c>
      <c r="F370">
        <v>102123765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-0.439961013645224</v>
      </c>
      <c r="Q370">
        <f t="shared" si="970"/>
        <v>-44930475.166666649</v>
      </c>
      <c r="R370">
        <f t="shared" si="971"/>
        <v>-726948079.41270578</v>
      </c>
      <c r="S370">
        <f t="shared" si="972"/>
        <v>-7269.4807941270574</v>
      </c>
      <c r="T370">
        <f t="shared" si="973"/>
        <v>-7.2694807941270572</v>
      </c>
    </row>
    <row r="371" spans="1:20" x14ac:dyDescent="0.25">
      <c r="A371" s="5">
        <v>44222</v>
      </c>
      <c r="B371">
        <v>9.2743999999999993E-2</v>
      </c>
      <c r="C371">
        <v>9.8500000000000004E-2</v>
      </c>
      <c r="D371">
        <v>8.6230000000000001E-2</v>
      </c>
      <c r="E371">
        <v>9.2880000000000004E-2</v>
      </c>
      <c r="F371">
        <v>42483356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8.3944580277098849E-2</v>
      </c>
      <c r="Q371">
        <f t="shared" si="970"/>
        <v>3566247.4881825689</v>
      </c>
      <c r="R371">
        <f t="shared" si="971"/>
        <v>-682017604.24603915</v>
      </c>
      <c r="S371">
        <f t="shared" si="972"/>
        <v>-6820.1760424603917</v>
      </c>
      <c r="T371">
        <f t="shared" si="973"/>
        <v>-6.8201760424603917</v>
      </c>
    </row>
    <row r="372" spans="1:20" x14ac:dyDescent="0.25">
      <c r="A372" s="5">
        <v>44221</v>
      </c>
      <c r="B372">
        <v>9.5255999999999993E-2</v>
      </c>
      <c r="C372">
        <v>0.10462299999999999</v>
      </c>
      <c r="D372">
        <v>8.9004E-2</v>
      </c>
      <c r="E372">
        <v>9.2698000000000003E-2</v>
      </c>
      <c r="F372">
        <v>76392895</v>
      </c>
      <c r="G372">
        <v>0</v>
      </c>
      <c r="L372" t="s">
        <v>7</v>
      </c>
      <c r="M372" t="s">
        <v>7</v>
      </c>
      <c r="N372" t="s">
        <v>7</v>
      </c>
      <c r="P372">
        <f t="shared" si="969"/>
        <v>-0.52698636276330058</v>
      </c>
      <c r="Q372">
        <f t="shared" si="970"/>
        <v>-40258013.877008729</v>
      </c>
      <c r="R372">
        <f t="shared" si="971"/>
        <v>-685583851.7342217</v>
      </c>
      <c r="S372">
        <f t="shared" si="972"/>
        <v>-6855.8385173422166</v>
      </c>
      <c r="T372">
        <f t="shared" si="973"/>
        <v>-6.8558385173422165</v>
      </c>
    </row>
    <row r="373" spans="1:20" x14ac:dyDescent="0.25">
      <c r="A373" s="5">
        <v>44220</v>
      </c>
      <c r="B373">
        <v>0.101357</v>
      </c>
      <c r="C373">
        <v>0.102992</v>
      </c>
      <c r="D373">
        <v>9.1819999999999999E-2</v>
      </c>
      <c r="E373">
        <v>9.5258999999999996E-2</v>
      </c>
      <c r="F373">
        <v>50750256</v>
      </c>
      <c r="G373">
        <v>0</v>
      </c>
      <c r="L373" t="s">
        <v>7</v>
      </c>
      <c r="M373" t="s">
        <v>7</v>
      </c>
      <c r="N373" t="s">
        <v>7</v>
      </c>
      <c r="P373">
        <f t="shared" si="969"/>
        <v>-0.38435374149659912</v>
      </c>
      <c r="Q373">
        <f t="shared" si="970"/>
        <v>-19506050.775510229</v>
      </c>
      <c r="R373">
        <f t="shared" si="971"/>
        <v>-645325837.85721302</v>
      </c>
      <c r="S373">
        <f t="shared" si="972"/>
        <v>-6453.2583785721299</v>
      </c>
      <c r="T373">
        <f t="shared" si="973"/>
        <v>-6.45325837857213</v>
      </c>
    </row>
    <row r="374" spans="1:20" x14ac:dyDescent="0.25">
      <c r="A374" s="5">
        <v>44219</v>
      </c>
      <c r="B374">
        <v>0.109442</v>
      </c>
      <c r="C374">
        <v>0.111843</v>
      </c>
      <c r="D374">
        <v>9.6701999999999996E-2</v>
      </c>
      <c r="E374">
        <v>0.101107</v>
      </c>
      <c r="F374">
        <v>68485014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-0.41813618651343959</v>
      </c>
      <c r="Q374">
        <f t="shared" si="970"/>
        <v>-28636062.587279521</v>
      </c>
      <c r="R374">
        <f t="shared" si="971"/>
        <v>-625819787.08170283</v>
      </c>
      <c r="S374">
        <f t="shared" si="972"/>
        <v>-6258.1978708170282</v>
      </c>
      <c r="T374">
        <f t="shared" si="973"/>
        <v>-6.2581978708170283</v>
      </c>
    </row>
    <row r="375" spans="1:20" x14ac:dyDescent="0.25">
      <c r="A375" s="5">
        <v>44218</v>
      </c>
      <c r="B375">
        <v>0.108483</v>
      </c>
      <c r="C375">
        <v>0.11940000000000001</v>
      </c>
      <c r="D375">
        <v>9.3299999999999994E-2</v>
      </c>
      <c r="E375">
        <v>0.109443</v>
      </c>
      <c r="F375">
        <v>171631847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0.23701149425287335</v>
      </c>
      <c r="Q375">
        <f t="shared" si="970"/>
        <v>40678720.518850535</v>
      </c>
      <c r="R375">
        <f t="shared" si="971"/>
        <v>-597183724.49442327</v>
      </c>
      <c r="S375">
        <f t="shared" si="972"/>
        <v>-5971.8372449442331</v>
      </c>
      <c r="T375">
        <f t="shared" si="973"/>
        <v>-5.9718372449442327</v>
      </c>
    </row>
    <row r="376" spans="1:20" x14ac:dyDescent="0.25">
      <c r="A376" s="5">
        <v>44217</v>
      </c>
      <c r="B376">
        <v>5.3853999999999999E-2</v>
      </c>
      <c r="C376">
        <v>0.15880900000000001</v>
      </c>
      <c r="D376">
        <v>5.0500000000000003E-2</v>
      </c>
      <c r="E376">
        <v>0.108487</v>
      </c>
      <c r="F376">
        <v>1032182664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7.0769742126692986E-2</v>
      </c>
      <c r="Q376">
        <f t="shared" si="970"/>
        <v>73047300.958922997</v>
      </c>
      <c r="R376">
        <f t="shared" si="971"/>
        <v>-637862445.01327384</v>
      </c>
      <c r="S376">
        <f t="shared" si="972"/>
        <v>-6378.6244501327383</v>
      </c>
      <c r="T376">
        <f t="shared" si="973"/>
        <v>-6.3786244501327385</v>
      </c>
    </row>
    <row r="377" spans="1:20" x14ac:dyDescent="0.25">
      <c r="A377" s="5">
        <v>44216</v>
      </c>
      <c r="B377">
        <v>5.3913000000000003E-2</v>
      </c>
      <c r="C377">
        <v>6.0581000000000003E-2</v>
      </c>
      <c r="D377">
        <v>4.7951000000000001E-2</v>
      </c>
      <c r="E377">
        <v>5.3857000000000002E-2</v>
      </c>
      <c r="F377">
        <v>94276289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-6.476642913697539E-2</v>
      </c>
      <c r="Q377">
        <f t="shared" si="970"/>
        <v>-6105938.5908155125</v>
      </c>
      <c r="R377">
        <f t="shared" si="971"/>
        <v>-710909745.97219682</v>
      </c>
      <c r="S377">
        <f t="shared" si="972"/>
        <v>-7109.0974597219683</v>
      </c>
      <c r="T377">
        <f t="shared" si="973"/>
        <v>-7.1090974597219683</v>
      </c>
    </row>
    <row r="378" spans="1:20" x14ac:dyDescent="0.25">
      <c r="A378" s="5">
        <v>44215</v>
      </c>
      <c r="B378">
        <v>5.2089000000000003E-2</v>
      </c>
      <c r="C378">
        <v>5.8000000000000003E-2</v>
      </c>
      <c r="D378">
        <v>4.9797000000000001E-2</v>
      </c>
      <c r="E378">
        <v>5.3712000000000003E-2</v>
      </c>
      <c r="F378">
        <v>92974643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-4.5471169084481074E-2</v>
      </c>
      <c r="Q378">
        <f t="shared" si="970"/>
        <v>-4227665.7124222647</v>
      </c>
      <c r="R378">
        <f t="shared" si="971"/>
        <v>-704803807.38138127</v>
      </c>
      <c r="S378">
        <f t="shared" si="972"/>
        <v>-7048.0380738138128</v>
      </c>
      <c r="T378">
        <f t="shared" si="973"/>
        <v>-7.0480380738138129</v>
      </c>
    </row>
    <row r="379" spans="1:20" x14ac:dyDescent="0.25">
      <c r="A379" s="5">
        <v>44214</v>
      </c>
      <c r="B379">
        <v>5.1153999999999998E-2</v>
      </c>
      <c r="C379">
        <v>5.45E-2</v>
      </c>
      <c r="D379">
        <v>4.8000000000000001E-2</v>
      </c>
      <c r="E379">
        <v>5.2089999999999997E-2</v>
      </c>
      <c r="F379">
        <v>65011522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0.25846153846153758</v>
      </c>
      <c r="Q379">
        <f t="shared" si="970"/>
        <v>16802977.993846096</v>
      </c>
      <c r="R379">
        <f t="shared" si="971"/>
        <v>-700576141.66895902</v>
      </c>
      <c r="S379">
        <f t="shared" si="972"/>
        <v>-7005.7614166895901</v>
      </c>
      <c r="T379">
        <f t="shared" si="973"/>
        <v>-7.0057614166895901</v>
      </c>
    </row>
    <row r="380" spans="1:20" x14ac:dyDescent="0.25">
      <c r="A380" s="5">
        <v>44213</v>
      </c>
      <c r="B380">
        <v>4.3901000000000003E-2</v>
      </c>
      <c r="C380">
        <v>5.2999999999999999E-2</v>
      </c>
      <c r="D380">
        <v>4.2101E-2</v>
      </c>
      <c r="E380">
        <v>5.1041000000000003E-2</v>
      </c>
      <c r="F380">
        <v>134165835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0.64051747866776854</v>
      </c>
      <c r="Q380">
        <f t="shared" si="970"/>
        <v>85935562.357555851</v>
      </c>
      <c r="R380">
        <f t="shared" si="971"/>
        <v>-717379119.66280508</v>
      </c>
      <c r="S380">
        <f t="shared" si="972"/>
        <v>-7173.7911966280508</v>
      </c>
      <c r="T380">
        <f t="shared" si="973"/>
        <v>-7.1737911966280512</v>
      </c>
    </row>
    <row r="381" spans="1:20" x14ac:dyDescent="0.25">
      <c r="A381" s="5">
        <v>44212</v>
      </c>
      <c r="B381">
        <v>4.4109000000000002E-2</v>
      </c>
      <c r="C381">
        <v>4.7E-2</v>
      </c>
      <c r="D381">
        <v>4.2537999999999999E-2</v>
      </c>
      <c r="E381">
        <v>4.3950000000000003E-2</v>
      </c>
      <c r="F381">
        <v>53233491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-0.36709995517704919</v>
      </c>
      <c r="Q381">
        <f t="shared" si="970"/>
        <v>-19542012.160017852</v>
      </c>
      <c r="R381">
        <f t="shared" si="971"/>
        <v>-803314682.02036095</v>
      </c>
      <c r="S381">
        <f t="shared" si="972"/>
        <v>-8033.1468202036094</v>
      </c>
      <c r="T381">
        <f t="shared" si="973"/>
        <v>-8.0331468202036103</v>
      </c>
    </row>
    <row r="382" spans="1:20" x14ac:dyDescent="0.25">
      <c r="A382" s="5">
        <v>44211</v>
      </c>
      <c r="B382">
        <v>4.0894E-2</v>
      </c>
      <c r="C382">
        <v>4.6219999999999997E-2</v>
      </c>
      <c r="D382">
        <v>3.9909E-2</v>
      </c>
      <c r="E382">
        <v>4.3994999999999999E-2</v>
      </c>
      <c r="F382">
        <v>61544692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0.29488195214704521</v>
      </c>
      <c r="Q382">
        <f t="shared" si="970"/>
        <v>18148418.921248637</v>
      </c>
      <c r="R382">
        <f t="shared" si="971"/>
        <v>-783772669.8603431</v>
      </c>
      <c r="S382">
        <f t="shared" si="972"/>
        <v>-7837.726698603431</v>
      </c>
      <c r="T382">
        <f t="shared" si="973"/>
        <v>-7.8377266986034311</v>
      </c>
    </row>
    <row r="383" spans="1:20" x14ac:dyDescent="0.25">
      <c r="A383" s="5">
        <v>44210</v>
      </c>
      <c r="B383">
        <v>4.0523000000000003E-2</v>
      </c>
      <c r="C383">
        <v>4.2200000000000001E-2</v>
      </c>
      <c r="D383">
        <v>3.9447999999999997E-2</v>
      </c>
      <c r="E383">
        <v>4.0896000000000002E-2</v>
      </c>
      <c r="F383">
        <v>25480252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5.2325581395350658E-2</v>
      </c>
      <c r="Q383">
        <f t="shared" si="970"/>
        <v>1333269.0000000463</v>
      </c>
      <c r="R383">
        <f t="shared" si="971"/>
        <v>-801921088.78159177</v>
      </c>
      <c r="S383">
        <f t="shared" si="972"/>
        <v>-8019.2108878159179</v>
      </c>
      <c r="T383">
        <f t="shared" si="973"/>
        <v>-8.0192108878159178</v>
      </c>
    </row>
    <row r="384" spans="1:20" x14ac:dyDescent="0.25">
      <c r="A384" s="5">
        <v>44209</v>
      </c>
      <c r="B384">
        <v>3.7902999999999999E-2</v>
      </c>
      <c r="C384">
        <v>4.1500000000000002E-2</v>
      </c>
      <c r="D384">
        <v>3.6746000000000001E-2</v>
      </c>
      <c r="E384">
        <v>4.0724000000000003E-2</v>
      </c>
      <c r="F384">
        <v>27437962</v>
      </c>
      <c r="G384">
        <v>0</v>
      </c>
      <c r="L384" t="s">
        <v>8</v>
      </c>
      <c r="M384" t="s">
        <v>7</v>
      </c>
      <c r="N384" t="s">
        <v>7</v>
      </c>
      <c r="P384">
        <f t="shared" si="969"/>
        <v>0.67353807320151504</v>
      </c>
      <c r="Q384">
        <f t="shared" si="970"/>
        <v>18480512.058056388</v>
      </c>
      <c r="R384">
        <f t="shared" si="971"/>
        <v>-803254357.78159177</v>
      </c>
      <c r="S384">
        <f t="shared" si="972"/>
        <v>-8032.5435778159181</v>
      </c>
      <c r="T384">
        <f t="shared" si="973"/>
        <v>-8.0325435778159182</v>
      </c>
    </row>
    <row r="385" spans="1:20" x14ac:dyDescent="0.25">
      <c r="A385" s="5">
        <v>44208</v>
      </c>
      <c r="B385">
        <v>4.0501000000000002E-2</v>
      </c>
      <c r="C385">
        <v>4.0957E-2</v>
      </c>
      <c r="D385">
        <v>3.6500999999999999E-2</v>
      </c>
      <c r="E385">
        <v>3.7904E-2</v>
      </c>
      <c r="F385">
        <v>30698085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-0.37028725314183081</v>
      </c>
      <c r="Q385">
        <f t="shared" si="970"/>
        <v>-11367109.57136444</v>
      </c>
      <c r="R385">
        <f t="shared" si="971"/>
        <v>-821734869.83964813</v>
      </c>
      <c r="S385">
        <f t="shared" si="972"/>
        <v>-8217.3486983964813</v>
      </c>
      <c r="T385">
        <f t="shared" si="973"/>
        <v>-8.2173486983964814</v>
      </c>
    </row>
    <row r="386" spans="1:20" x14ac:dyDescent="0.25">
      <c r="A386" s="5">
        <v>44207</v>
      </c>
      <c r="B386">
        <v>4.2349999999999999E-2</v>
      </c>
      <c r="C386">
        <v>4.2450000000000002E-2</v>
      </c>
      <c r="D386">
        <v>3.4549999999999997E-2</v>
      </c>
      <c r="E386">
        <v>4.0615999999999999E-2</v>
      </c>
      <c r="F386">
        <v>51001503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0.53569620253164518</v>
      </c>
      <c r="Q386">
        <f t="shared" si="970"/>
        <v>27321311.480506308</v>
      </c>
      <c r="R386">
        <f t="shared" si="971"/>
        <v>-810367760.26828372</v>
      </c>
      <c r="S386">
        <f t="shared" si="972"/>
        <v>-8103.6776026828375</v>
      </c>
      <c r="T386">
        <f t="shared" si="973"/>
        <v>-8.1036776026828381</v>
      </c>
    </row>
    <row r="387" spans="1:20" x14ac:dyDescent="0.25">
      <c r="A387" s="5">
        <v>44206</v>
      </c>
      <c r="B387">
        <v>4.5936999999999999E-2</v>
      </c>
      <c r="C387">
        <v>4.6634000000000002E-2</v>
      </c>
      <c r="D387">
        <v>4.0698999999999999E-2</v>
      </c>
      <c r="E387">
        <v>4.2380000000000001E-2</v>
      </c>
      <c r="F387">
        <v>44380353</v>
      </c>
      <c r="G387">
        <v>0</v>
      </c>
      <c r="L387" t="s">
        <v>7</v>
      </c>
      <c r="M387" t="s">
        <v>8</v>
      </c>
      <c r="N387" t="s">
        <v>8</v>
      </c>
      <c r="P387">
        <f t="shared" si="969"/>
        <v>-0.43352990732940144</v>
      </c>
      <c r="Q387">
        <f t="shared" si="970"/>
        <v>-19240210.323336124</v>
      </c>
      <c r="R387">
        <f t="shared" si="971"/>
        <v>-837689071.74879003</v>
      </c>
      <c r="S387">
        <f t="shared" si="972"/>
        <v>-8376.8907174879005</v>
      </c>
      <c r="T387">
        <f t="shared" si="973"/>
        <v>-8.3768907174878997</v>
      </c>
    </row>
    <row r="388" spans="1:20" x14ac:dyDescent="0.25">
      <c r="A388" s="5">
        <v>44205</v>
      </c>
      <c r="B388">
        <v>4.3284999999999997E-2</v>
      </c>
      <c r="C388">
        <v>4.7490999999999998E-2</v>
      </c>
      <c r="D388">
        <v>4.1750000000000002E-2</v>
      </c>
      <c r="E388">
        <v>4.5938E-2</v>
      </c>
      <c r="F388">
        <v>49103494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0.45897927190384957</v>
      </c>
      <c r="Q388">
        <f t="shared" si="970"/>
        <v>22537485.924055047</v>
      </c>
      <c r="R388">
        <f t="shared" si="971"/>
        <v>-818448861.4254539</v>
      </c>
      <c r="S388">
        <f t="shared" si="972"/>
        <v>-8184.4886142545392</v>
      </c>
      <c r="T388">
        <f t="shared" si="973"/>
        <v>-8.1844886142545388</v>
      </c>
    </row>
    <row r="389" spans="1:20" x14ac:dyDescent="0.25">
      <c r="A389" s="5">
        <v>44204</v>
      </c>
      <c r="B389">
        <v>4.3573000000000001E-2</v>
      </c>
      <c r="C389">
        <v>4.7149999999999997E-2</v>
      </c>
      <c r="D389">
        <v>4.0600999999999998E-2</v>
      </c>
      <c r="E389">
        <v>4.3303000000000001E-2</v>
      </c>
      <c r="F389">
        <v>84682300</v>
      </c>
      <c r="G389">
        <v>0</v>
      </c>
      <c r="L389" t="s">
        <v>8</v>
      </c>
      <c r="M389" t="s">
        <v>8</v>
      </c>
      <c r="N389" t="s">
        <v>8</v>
      </c>
      <c r="P389">
        <f t="shared" si="969"/>
        <v>-0.17483585280195349</v>
      </c>
      <c r="Q389">
        <f t="shared" si="970"/>
        <v>-14805502.137730867</v>
      </c>
      <c r="R389">
        <f t="shared" si="971"/>
        <v>-840986347.349509</v>
      </c>
      <c r="S389">
        <f t="shared" si="972"/>
        <v>-8409.8634734950901</v>
      </c>
      <c r="T389">
        <f t="shared" si="973"/>
        <v>-8.4098634734950899</v>
      </c>
    </row>
    <row r="390" spans="1:20" x14ac:dyDescent="0.25">
      <c r="A390" s="5">
        <v>44203</v>
      </c>
      <c r="B390">
        <v>4.4629000000000002E-2</v>
      </c>
      <c r="C390">
        <v>4.6621999999999997E-2</v>
      </c>
      <c r="D390">
        <v>4.1000000000000002E-2</v>
      </c>
      <c r="E390">
        <v>4.3390999999999999E-2</v>
      </c>
      <c r="F390">
        <v>63937202</v>
      </c>
      <c r="G390">
        <v>0</v>
      </c>
      <c r="L390" t="s">
        <v>7</v>
      </c>
      <c r="M390" t="s">
        <v>8</v>
      </c>
      <c r="N390" t="s">
        <v>8</v>
      </c>
      <c r="P390">
        <f t="shared" ref="P390:P453" si="974">IF(C390=D390,0,((E390-D390)-(C390-E390))/(C390-D390))</f>
        <v>-0.14941302027748155</v>
      </c>
      <c r="Q390">
        <f t="shared" ref="Q390:Q453" si="975">F390*P390</f>
        <v>-9553050.4589114338</v>
      </c>
      <c r="R390">
        <f t="shared" ref="R390:R453" si="976">R391+Q390</f>
        <v>-826180845.21177816</v>
      </c>
      <c r="S390">
        <f t="shared" ref="S390:S453" si="977">R390/100000</f>
        <v>-8261.8084521177825</v>
      </c>
      <c r="T390">
        <f t="shared" ref="T390:T453" si="978">S390/1000</f>
        <v>-8.2618084521177817</v>
      </c>
    </row>
    <row r="391" spans="1:20" x14ac:dyDescent="0.25">
      <c r="A391" s="5">
        <v>44202</v>
      </c>
      <c r="B391">
        <v>4.1700000000000001E-2</v>
      </c>
      <c r="C391">
        <v>4.7721E-2</v>
      </c>
      <c r="D391">
        <v>4.0832E-2</v>
      </c>
      <c r="E391">
        <v>4.4655E-2</v>
      </c>
      <c r="F391">
        <v>85860022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0.10988532443025124</v>
      </c>
      <c r="Q391">
        <f t="shared" si="975"/>
        <v>9434756.3730585091</v>
      </c>
      <c r="R391">
        <f t="shared" si="976"/>
        <v>-816627794.75286674</v>
      </c>
      <c r="S391">
        <f t="shared" si="977"/>
        <v>-8166.277947528667</v>
      </c>
      <c r="T391">
        <f t="shared" si="978"/>
        <v>-8.1662779475286662</v>
      </c>
    </row>
    <row r="392" spans="1:20" x14ac:dyDescent="0.25">
      <c r="A392" s="5">
        <v>44201</v>
      </c>
      <c r="B392">
        <v>4.0432000000000003E-2</v>
      </c>
      <c r="C392">
        <v>4.4999999999999998E-2</v>
      </c>
      <c r="D392">
        <v>3.9E-2</v>
      </c>
      <c r="E392">
        <v>4.1700000000000001E-2</v>
      </c>
      <c r="F392">
        <v>67010639</v>
      </c>
      <c r="G392">
        <v>0</v>
      </c>
      <c r="L392" t="s">
        <v>8</v>
      </c>
      <c r="M392" t="s">
        <v>8</v>
      </c>
      <c r="N392" t="s">
        <v>7</v>
      </c>
      <c r="P392">
        <f t="shared" si="974"/>
        <v>-9.9999999999999423E-2</v>
      </c>
      <c r="Q392">
        <f t="shared" si="975"/>
        <v>-6701063.8999999613</v>
      </c>
      <c r="R392">
        <f t="shared" si="976"/>
        <v>-826062551.1259253</v>
      </c>
      <c r="S392">
        <f t="shared" si="977"/>
        <v>-8260.6255112592535</v>
      </c>
      <c r="T392">
        <f t="shared" si="978"/>
        <v>-8.2606255112592528</v>
      </c>
    </row>
    <row r="393" spans="1:20" x14ac:dyDescent="0.25">
      <c r="A393" s="5">
        <v>44200</v>
      </c>
      <c r="B393">
        <v>4.0936E-2</v>
      </c>
      <c r="C393">
        <v>4.2999999999999997E-2</v>
      </c>
      <c r="D393">
        <v>3.61E-2</v>
      </c>
      <c r="E393">
        <v>4.0432000000000003E-2</v>
      </c>
      <c r="F393">
        <v>43625078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0.25565217391304484</v>
      </c>
      <c r="Q393">
        <f t="shared" si="975"/>
        <v>11152846.027826147</v>
      </c>
      <c r="R393">
        <f t="shared" si="976"/>
        <v>-819361487.22592533</v>
      </c>
      <c r="S393">
        <f t="shared" si="977"/>
        <v>-8193.6148722592534</v>
      </c>
      <c r="T393">
        <f t="shared" si="978"/>
        <v>-8.1936148722592534</v>
      </c>
    </row>
    <row r="394" spans="1:20" x14ac:dyDescent="0.25">
      <c r="A394" s="5">
        <v>44199</v>
      </c>
      <c r="B394">
        <v>3.8161E-2</v>
      </c>
      <c r="C394">
        <v>4.1500000000000002E-2</v>
      </c>
      <c r="D394">
        <v>3.6866000000000003E-2</v>
      </c>
      <c r="E394">
        <v>4.0927999999999999E-2</v>
      </c>
      <c r="F394">
        <v>39392323</v>
      </c>
      <c r="G394">
        <v>0</v>
      </c>
      <c r="L394" t="s">
        <v>8</v>
      </c>
      <c r="M394" t="s">
        <v>8</v>
      </c>
      <c r="N394" t="s">
        <v>7</v>
      </c>
      <c r="P394">
        <f t="shared" si="974"/>
        <v>0.75312904618040433</v>
      </c>
      <c r="Q394">
        <f t="shared" si="975"/>
        <v>29667502.647820402</v>
      </c>
      <c r="R394">
        <f t="shared" si="976"/>
        <v>-830514333.25375152</v>
      </c>
      <c r="S394">
        <f t="shared" si="977"/>
        <v>-8305.1433325375147</v>
      </c>
      <c r="T394">
        <f t="shared" si="978"/>
        <v>-8.305143332537515</v>
      </c>
    </row>
    <row r="395" spans="1:20" x14ac:dyDescent="0.25">
      <c r="A395" s="5">
        <v>44198</v>
      </c>
      <c r="B395">
        <v>3.6972999999999999E-2</v>
      </c>
      <c r="C395">
        <v>3.9545999999999998E-2</v>
      </c>
      <c r="D395">
        <v>3.6414000000000002E-2</v>
      </c>
      <c r="E395">
        <v>3.8107000000000002E-2</v>
      </c>
      <c r="F395">
        <v>29435281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8.1098339719030826E-2</v>
      </c>
      <c r="Q395">
        <f t="shared" si="975"/>
        <v>2387152.4182631336</v>
      </c>
      <c r="R395">
        <f t="shared" si="976"/>
        <v>-860181835.90157187</v>
      </c>
      <c r="S395">
        <f t="shared" si="977"/>
        <v>-8601.8183590157187</v>
      </c>
      <c r="T395">
        <f t="shared" si="978"/>
        <v>-8.6018183590157182</v>
      </c>
    </row>
    <row r="396" spans="1:20" x14ac:dyDescent="0.25">
      <c r="A396" s="5">
        <v>44197</v>
      </c>
      <c r="B396">
        <v>3.5570999999999998E-2</v>
      </c>
      <c r="C396">
        <v>3.9009000000000002E-2</v>
      </c>
      <c r="D396">
        <v>3.5099999999999999E-2</v>
      </c>
      <c r="E396">
        <v>3.6972999999999999E-2</v>
      </c>
      <c r="F396">
        <v>22342660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-4.1698644154516067E-2</v>
      </c>
      <c r="Q396">
        <f t="shared" si="975"/>
        <v>-931658.62880533992</v>
      </c>
      <c r="R396">
        <f t="shared" si="976"/>
        <v>-862568988.31983495</v>
      </c>
      <c r="S396">
        <f t="shared" si="977"/>
        <v>-8625.689883198349</v>
      </c>
      <c r="T396">
        <f t="shared" si="978"/>
        <v>-8.6256898831983495</v>
      </c>
    </row>
    <row r="397" spans="1:20" x14ac:dyDescent="0.25">
      <c r="A397" s="5">
        <v>44196</v>
      </c>
      <c r="B397">
        <v>3.6166999999999998E-2</v>
      </c>
      <c r="C397">
        <v>3.6332999999999997E-2</v>
      </c>
      <c r="D397">
        <v>3.4011E-2</v>
      </c>
      <c r="E397">
        <v>3.5700000000000003E-2</v>
      </c>
      <c r="F397">
        <v>20620192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0.45478036175711001</v>
      </c>
      <c r="Q397">
        <f t="shared" si="975"/>
        <v>9377658.3772610649</v>
      </c>
      <c r="R397">
        <f t="shared" si="976"/>
        <v>-861637329.69102955</v>
      </c>
      <c r="S397">
        <f t="shared" si="977"/>
        <v>-8616.3732969102948</v>
      </c>
      <c r="T397">
        <f t="shared" si="978"/>
        <v>-8.6163732969102949</v>
      </c>
    </row>
    <row r="398" spans="1:20" x14ac:dyDescent="0.25">
      <c r="A398" s="5">
        <v>44195</v>
      </c>
      <c r="B398">
        <v>3.7259E-2</v>
      </c>
      <c r="C398">
        <v>3.8251E-2</v>
      </c>
      <c r="D398">
        <v>3.5714999999999997E-2</v>
      </c>
      <c r="E398">
        <v>3.6165000000000003E-2</v>
      </c>
      <c r="F398">
        <v>20496178</v>
      </c>
      <c r="G398">
        <v>0</v>
      </c>
      <c r="L398" t="s">
        <v>8</v>
      </c>
      <c r="M398" t="s">
        <v>7</v>
      </c>
      <c r="N398" t="s">
        <v>7</v>
      </c>
      <c r="P398">
        <f t="shared" si="974"/>
        <v>-0.64511041009463299</v>
      </c>
      <c r="Q398">
        <f t="shared" si="975"/>
        <v>-13222297.794952594</v>
      </c>
      <c r="R398">
        <f t="shared" si="976"/>
        <v>-871014988.06829059</v>
      </c>
      <c r="S398">
        <f t="shared" si="977"/>
        <v>-8710.1498806829059</v>
      </c>
      <c r="T398">
        <f t="shared" si="978"/>
        <v>-8.7101498806829056</v>
      </c>
    </row>
    <row r="399" spans="1:20" x14ac:dyDescent="0.25">
      <c r="A399" s="5">
        <v>44194</v>
      </c>
      <c r="B399">
        <v>3.9031999999999997E-2</v>
      </c>
      <c r="C399">
        <v>4.0126000000000002E-2</v>
      </c>
      <c r="D399">
        <v>3.4768E-2</v>
      </c>
      <c r="E399">
        <v>3.7260000000000001E-2</v>
      </c>
      <c r="F399">
        <v>45319985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-6.9802164986935283E-2</v>
      </c>
      <c r="Q399">
        <f t="shared" si="975"/>
        <v>-3163433.0701754321</v>
      </c>
      <c r="R399">
        <f t="shared" si="976"/>
        <v>-857792690.27333796</v>
      </c>
      <c r="S399">
        <f t="shared" si="977"/>
        <v>-8577.9269027333794</v>
      </c>
      <c r="T399">
        <f t="shared" si="978"/>
        <v>-8.5779269027333793</v>
      </c>
    </row>
    <row r="400" spans="1:20" x14ac:dyDescent="0.25">
      <c r="A400" s="5">
        <v>44193</v>
      </c>
      <c r="B400">
        <v>3.9475999999999997E-2</v>
      </c>
      <c r="C400">
        <v>4.165E-2</v>
      </c>
      <c r="D400">
        <v>3.85E-2</v>
      </c>
      <c r="E400">
        <v>3.8948000000000003E-2</v>
      </c>
      <c r="F400">
        <v>31324074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-0.71555555555555306</v>
      </c>
      <c r="Q400">
        <f t="shared" si="975"/>
        <v>-22414115.173333254</v>
      </c>
      <c r="R400">
        <f t="shared" si="976"/>
        <v>-854629257.20316255</v>
      </c>
      <c r="S400">
        <f t="shared" si="977"/>
        <v>-8546.2925720316252</v>
      </c>
      <c r="T400">
        <f t="shared" si="978"/>
        <v>-8.546292572031625</v>
      </c>
    </row>
    <row r="401" spans="1:20" x14ac:dyDescent="0.25">
      <c r="A401" s="5">
        <v>44192</v>
      </c>
      <c r="B401">
        <v>3.7966E-2</v>
      </c>
      <c r="C401">
        <v>4.2042000000000003E-2</v>
      </c>
      <c r="D401">
        <v>3.5657000000000001E-2</v>
      </c>
      <c r="E401">
        <v>3.9316999999999998E-2</v>
      </c>
      <c r="F401">
        <v>42505928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0.14643696162881614</v>
      </c>
      <c r="Q401">
        <f t="shared" si="975"/>
        <v>6224438.9475332219</v>
      </c>
      <c r="R401">
        <f t="shared" si="976"/>
        <v>-832215142.02982926</v>
      </c>
      <c r="S401">
        <f t="shared" si="977"/>
        <v>-8322.1514202982926</v>
      </c>
      <c r="T401">
        <f t="shared" si="978"/>
        <v>-8.322151420298292</v>
      </c>
    </row>
    <row r="402" spans="1:20" x14ac:dyDescent="0.25">
      <c r="A402" s="5">
        <v>44191</v>
      </c>
      <c r="B402">
        <v>3.9024000000000003E-2</v>
      </c>
      <c r="C402">
        <v>4.0430000000000001E-2</v>
      </c>
      <c r="D402">
        <v>3.7092E-2</v>
      </c>
      <c r="E402">
        <v>3.7870000000000001E-2</v>
      </c>
      <c r="F402">
        <v>30236160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-0.53385260635110798</v>
      </c>
      <c r="Q402">
        <f t="shared" si="975"/>
        <v>-16141652.822049117</v>
      </c>
      <c r="R402">
        <f t="shared" si="976"/>
        <v>-838439580.97736251</v>
      </c>
      <c r="S402">
        <f t="shared" si="977"/>
        <v>-8384.3958097736249</v>
      </c>
      <c r="T402">
        <f t="shared" si="978"/>
        <v>-8.3843958097736255</v>
      </c>
    </row>
    <row r="403" spans="1:20" x14ac:dyDescent="0.25">
      <c r="A403" s="5">
        <v>44190</v>
      </c>
      <c r="B403">
        <v>4.0155000000000003E-2</v>
      </c>
      <c r="C403">
        <v>4.2151000000000001E-2</v>
      </c>
      <c r="D403">
        <v>3.7991999999999998E-2</v>
      </c>
      <c r="E403">
        <v>3.9026999999999999E-2</v>
      </c>
      <c r="F403">
        <v>28510522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-0.50228420293339726</v>
      </c>
      <c r="Q403">
        <f t="shared" si="975"/>
        <v>-14320384.817985088</v>
      </c>
      <c r="R403">
        <f t="shared" si="976"/>
        <v>-822297928.15531337</v>
      </c>
      <c r="S403">
        <f t="shared" si="977"/>
        <v>-8222.9792815531346</v>
      </c>
      <c r="T403">
        <f t="shared" si="978"/>
        <v>-8.2229792815531351</v>
      </c>
    </row>
    <row r="404" spans="1:20" x14ac:dyDescent="0.25">
      <c r="A404" s="5">
        <v>44189</v>
      </c>
      <c r="B404">
        <v>3.8165999999999999E-2</v>
      </c>
      <c r="C404">
        <v>4.0849000000000003E-2</v>
      </c>
      <c r="D404">
        <v>3.5569000000000003E-2</v>
      </c>
      <c r="E404">
        <v>4.0430000000000001E-2</v>
      </c>
      <c r="F404">
        <v>42199309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0.84128787878787781</v>
      </c>
      <c r="Q404">
        <f t="shared" si="975"/>
        <v>35501767.154924199</v>
      </c>
      <c r="R404">
        <f t="shared" si="976"/>
        <v>-807977543.33732831</v>
      </c>
      <c r="S404">
        <f t="shared" si="977"/>
        <v>-8079.7754333732828</v>
      </c>
      <c r="T404">
        <f t="shared" si="978"/>
        <v>-8.0797754333732836</v>
      </c>
    </row>
    <row r="405" spans="1:20" x14ac:dyDescent="0.25">
      <c r="A405" s="5">
        <v>44188</v>
      </c>
      <c r="B405">
        <v>4.6391000000000002E-2</v>
      </c>
      <c r="C405">
        <v>4.6788999999999997E-2</v>
      </c>
      <c r="D405">
        <v>3.56E-2</v>
      </c>
      <c r="E405">
        <v>3.8165999999999999E-2</v>
      </c>
      <c r="F405">
        <v>63062655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-0.54133523996782562</v>
      </c>
      <c r="Q405">
        <f t="shared" si="975"/>
        <v>-34138037.477433197</v>
      </c>
      <c r="R405">
        <f t="shared" si="976"/>
        <v>-843479310.49225247</v>
      </c>
      <c r="S405">
        <f t="shared" si="977"/>
        <v>-8434.7931049225244</v>
      </c>
      <c r="T405">
        <f t="shared" si="978"/>
        <v>-8.4347931049225249</v>
      </c>
    </row>
    <row r="406" spans="1:20" x14ac:dyDescent="0.25">
      <c r="A406" s="5">
        <v>44187</v>
      </c>
      <c r="B406">
        <v>4.7544999999999997E-2</v>
      </c>
      <c r="C406">
        <v>4.9000000000000002E-2</v>
      </c>
      <c r="D406">
        <v>4.1887000000000001E-2</v>
      </c>
      <c r="E406">
        <v>4.6457999999999999E-2</v>
      </c>
      <c r="F406">
        <v>59106904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0.28525235484324418</v>
      </c>
      <c r="Q406">
        <f t="shared" si="975"/>
        <v>16860383.553493571</v>
      </c>
      <c r="R406">
        <f t="shared" si="976"/>
        <v>-809341273.01481926</v>
      </c>
      <c r="S406">
        <f t="shared" si="977"/>
        <v>-8093.4127301481931</v>
      </c>
      <c r="T406">
        <f t="shared" si="978"/>
        <v>-8.0934127301481933</v>
      </c>
    </row>
    <row r="407" spans="1:20" x14ac:dyDescent="0.25">
      <c r="A407" s="5">
        <v>44186</v>
      </c>
      <c r="B407">
        <v>4.9680000000000002E-2</v>
      </c>
      <c r="C407">
        <v>5.1147999999999999E-2</v>
      </c>
      <c r="D407">
        <v>4.5109999999999997E-2</v>
      </c>
      <c r="E407">
        <v>4.7546999999999999E-2</v>
      </c>
      <c r="F407">
        <v>49050860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-0.19277906591586585</v>
      </c>
      <c r="Q407">
        <f t="shared" si="975"/>
        <v>-9455978.9731699079</v>
      </c>
      <c r="R407">
        <f t="shared" si="976"/>
        <v>-826201656.56831288</v>
      </c>
      <c r="S407">
        <f t="shared" si="977"/>
        <v>-8262.0165656831286</v>
      </c>
      <c r="T407">
        <f t="shared" si="978"/>
        <v>-8.2620165656831279</v>
      </c>
    </row>
    <row r="408" spans="1:20" x14ac:dyDescent="0.25">
      <c r="A408" s="5">
        <v>44185</v>
      </c>
      <c r="B408">
        <v>5.1351000000000001E-2</v>
      </c>
      <c r="C408">
        <v>5.5800000000000002E-2</v>
      </c>
      <c r="D408">
        <v>4.8999000000000001E-2</v>
      </c>
      <c r="E408">
        <v>4.9697999999999999E-2</v>
      </c>
      <c r="F408">
        <v>88334060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-0.79444199382443814</v>
      </c>
      <c r="Q408">
        <f t="shared" si="975"/>
        <v>-70176286.749007553</v>
      </c>
      <c r="R408">
        <f t="shared" si="976"/>
        <v>-816745677.59514296</v>
      </c>
      <c r="S408">
        <f t="shared" si="977"/>
        <v>-8167.4567759514293</v>
      </c>
      <c r="T408">
        <f t="shared" si="978"/>
        <v>-8.1674567759514289</v>
      </c>
    </row>
    <row r="409" spans="1:20" x14ac:dyDescent="0.25">
      <c r="A409" s="5">
        <v>44184</v>
      </c>
      <c r="B409">
        <v>5.1166000000000003E-2</v>
      </c>
      <c r="C409">
        <v>5.2999999999999999E-2</v>
      </c>
      <c r="D409">
        <v>4.8930000000000001E-2</v>
      </c>
      <c r="E409">
        <v>5.1500999999999998E-2</v>
      </c>
      <c r="F409">
        <v>55645758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0.26339066339066275</v>
      </c>
      <c r="Q409">
        <f t="shared" si="975"/>
        <v>14656573.11449628</v>
      </c>
      <c r="R409">
        <f t="shared" si="976"/>
        <v>-746569390.84613538</v>
      </c>
      <c r="S409">
        <f t="shared" si="977"/>
        <v>-7465.6939084613541</v>
      </c>
      <c r="T409">
        <f t="shared" si="978"/>
        <v>-7.4656939084613541</v>
      </c>
    </row>
    <row r="410" spans="1:20" x14ac:dyDescent="0.25">
      <c r="A410" s="5">
        <v>44183</v>
      </c>
      <c r="B410">
        <v>4.9085999999999998E-2</v>
      </c>
      <c r="C410">
        <v>5.1990000000000001E-2</v>
      </c>
      <c r="D410">
        <v>4.7300000000000002E-2</v>
      </c>
      <c r="E410">
        <v>5.1347999999999998E-2</v>
      </c>
      <c r="F410">
        <v>40945811</v>
      </c>
      <c r="G410">
        <v>0</v>
      </c>
      <c r="L410" t="s">
        <v>7</v>
      </c>
      <c r="M410" t="s">
        <v>8</v>
      </c>
      <c r="N410" t="s">
        <v>8</v>
      </c>
      <c r="P410">
        <f t="shared" si="974"/>
        <v>0.72622601279317534</v>
      </c>
      <c r="Q410">
        <f t="shared" si="975"/>
        <v>29735913.063112941</v>
      </c>
      <c r="R410">
        <f t="shared" si="976"/>
        <v>-761225963.96063161</v>
      </c>
      <c r="S410">
        <f t="shared" si="977"/>
        <v>-7612.2596396063163</v>
      </c>
      <c r="T410">
        <f t="shared" si="978"/>
        <v>-7.6122596396063162</v>
      </c>
    </row>
    <row r="411" spans="1:20" x14ac:dyDescent="0.25">
      <c r="A411" s="5">
        <v>44182</v>
      </c>
      <c r="B411">
        <v>5.1928000000000002E-2</v>
      </c>
      <c r="C411">
        <v>5.2604999999999999E-2</v>
      </c>
      <c r="D411">
        <v>4.8548000000000001E-2</v>
      </c>
      <c r="E411">
        <v>4.9085999999999998E-2</v>
      </c>
      <c r="F411">
        <v>54517582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-0.73477939364062261</v>
      </c>
      <c r="Q411">
        <f t="shared" si="975"/>
        <v>-40058395.84471292</v>
      </c>
      <c r="R411">
        <f t="shared" si="976"/>
        <v>-790961877.02374458</v>
      </c>
      <c r="S411">
        <f t="shared" si="977"/>
        <v>-7909.6187702374455</v>
      </c>
      <c r="T411">
        <f t="shared" si="978"/>
        <v>-7.9096187702374454</v>
      </c>
    </row>
    <row r="412" spans="1:20" x14ac:dyDescent="0.25">
      <c r="A412" s="5">
        <v>44181</v>
      </c>
      <c r="B412">
        <v>5.2523E-2</v>
      </c>
      <c r="C412">
        <v>5.3652999999999999E-2</v>
      </c>
      <c r="D412">
        <v>4.8411000000000003E-2</v>
      </c>
      <c r="E412">
        <v>5.1928000000000002E-2</v>
      </c>
      <c r="F412">
        <v>60036397</v>
      </c>
      <c r="G412">
        <v>0</v>
      </c>
      <c r="L412" t="s">
        <v>7</v>
      </c>
      <c r="M412" t="s">
        <v>8</v>
      </c>
      <c r="N412" t="s">
        <v>8</v>
      </c>
      <c r="P412">
        <f t="shared" si="974"/>
        <v>0.34185425410148856</v>
      </c>
      <c r="Q412">
        <f t="shared" si="975"/>
        <v>20523697.715375844</v>
      </c>
      <c r="R412">
        <f t="shared" si="976"/>
        <v>-750903481.17903161</v>
      </c>
      <c r="S412">
        <f t="shared" si="977"/>
        <v>-7509.0348117903159</v>
      </c>
      <c r="T412">
        <f t="shared" si="978"/>
        <v>-7.5090348117903156</v>
      </c>
    </row>
    <row r="413" spans="1:20" x14ac:dyDescent="0.25">
      <c r="A413" s="5">
        <v>44180</v>
      </c>
      <c r="B413">
        <v>4.9801999999999999E-2</v>
      </c>
      <c r="C413">
        <v>5.3400000000000003E-2</v>
      </c>
      <c r="D413">
        <v>4.777E-2</v>
      </c>
      <c r="E413">
        <v>5.2572000000000001E-2</v>
      </c>
      <c r="F413">
        <v>39377151</v>
      </c>
      <c r="G413">
        <v>0</v>
      </c>
      <c r="L413" t="s">
        <v>8</v>
      </c>
      <c r="M413" t="s">
        <v>7</v>
      </c>
      <c r="N413" t="s">
        <v>8</v>
      </c>
      <c r="P413">
        <f t="shared" si="974"/>
        <v>0.70586145648312548</v>
      </c>
      <c r="Q413">
        <f t="shared" si="975"/>
        <v>27794813.157015961</v>
      </c>
      <c r="R413">
        <f t="shared" si="976"/>
        <v>-771427178.89440751</v>
      </c>
      <c r="S413">
        <f t="shared" si="977"/>
        <v>-7714.2717889440755</v>
      </c>
      <c r="T413">
        <f t="shared" si="978"/>
        <v>-7.7142717889440755</v>
      </c>
    </row>
    <row r="414" spans="1:20" x14ac:dyDescent="0.25">
      <c r="A414" s="5">
        <v>44179</v>
      </c>
      <c r="B414">
        <v>4.8305000000000001E-2</v>
      </c>
      <c r="C414">
        <v>5.2191000000000001E-2</v>
      </c>
      <c r="D414">
        <v>4.7E-2</v>
      </c>
      <c r="E414">
        <v>4.9702000000000003E-2</v>
      </c>
      <c r="F414">
        <v>31733741</v>
      </c>
      <c r="G414">
        <v>0</v>
      </c>
      <c r="L414" t="s">
        <v>8</v>
      </c>
      <c r="M414" t="s">
        <v>7</v>
      </c>
      <c r="N414" t="s">
        <v>8</v>
      </c>
      <c r="P414">
        <f t="shared" si="974"/>
        <v>4.1032556347525485E-2</v>
      </c>
      <c r="Q414">
        <f t="shared" si="975"/>
        <v>1302116.5157002797</v>
      </c>
      <c r="R414">
        <f t="shared" si="976"/>
        <v>-799221992.05142343</v>
      </c>
      <c r="S414">
        <f t="shared" si="977"/>
        <v>-7992.2199205142342</v>
      </c>
      <c r="T414">
        <f t="shared" si="978"/>
        <v>-7.9922199205142341</v>
      </c>
    </row>
    <row r="415" spans="1:20" x14ac:dyDescent="0.25">
      <c r="A415" s="5">
        <v>44178</v>
      </c>
      <c r="B415">
        <v>4.7502000000000003E-2</v>
      </c>
      <c r="C415">
        <v>0.05</v>
      </c>
      <c r="D415">
        <v>4.5999999999999999E-2</v>
      </c>
      <c r="E415">
        <v>4.8301999999999998E-2</v>
      </c>
      <c r="F415">
        <v>28228653</v>
      </c>
      <c r="G415">
        <v>0</v>
      </c>
      <c r="L415" t="s">
        <v>7</v>
      </c>
      <c r="M415" t="s">
        <v>7</v>
      </c>
      <c r="N415" t="s">
        <v>8</v>
      </c>
      <c r="P415">
        <f t="shared" si="974"/>
        <v>0.15099999999999822</v>
      </c>
      <c r="Q415">
        <f t="shared" si="975"/>
        <v>4262526.6029999498</v>
      </c>
      <c r="R415">
        <f t="shared" si="976"/>
        <v>-800524108.56712365</v>
      </c>
      <c r="S415">
        <f t="shared" si="977"/>
        <v>-8005.2410856712368</v>
      </c>
      <c r="T415">
        <f t="shared" si="978"/>
        <v>-8.005241085671237</v>
      </c>
    </row>
    <row r="416" spans="1:20" x14ac:dyDescent="0.25">
      <c r="A416" s="5">
        <v>44177</v>
      </c>
      <c r="B416">
        <v>4.5329000000000001E-2</v>
      </c>
      <c r="C416">
        <v>5.0529999999999999E-2</v>
      </c>
      <c r="D416">
        <v>4.5096999999999998E-2</v>
      </c>
      <c r="E416">
        <v>4.7620999999999997E-2</v>
      </c>
      <c r="F416">
        <v>46962485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-7.0863243143751767E-2</v>
      </c>
      <c r="Q416">
        <f t="shared" si="975"/>
        <v>-3327913.9931897954</v>
      </c>
      <c r="R416">
        <f t="shared" si="976"/>
        <v>-804786635.17012358</v>
      </c>
      <c r="S416">
        <f t="shared" si="977"/>
        <v>-8047.8663517012355</v>
      </c>
      <c r="T416">
        <f t="shared" si="978"/>
        <v>-8.0478663517012361</v>
      </c>
    </row>
    <row r="417" spans="1:20" x14ac:dyDescent="0.25">
      <c r="A417" s="5">
        <v>44176</v>
      </c>
      <c r="B417">
        <v>5.2642000000000001E-2</v>
      </c>
      <c r="C417">
        <v>5.4191999999999997E-2</v>
      </c>
      <c r="D417">
        <v>4.4999999999999998E-2</v>
      </c>
      <c r="E417">
        <v>4.5331999999999997E-2</v>
      </c>
      <c r="F417">
        <v>59915032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-0.92776327241079226</v>
      </c>
      <c r="Q417">
        <f t="shared" si="975"/>
        <v>-55586966.154917337</v>
      </c>
      <c r="R417">
        <f t="shared" si="976"/>
        <v>-801458721.17693377</v>
      </c>
      <c r="S417">
        <f t="shared" si="977"/>
        <v>-8014.587211769338</v>
      </c>
      <c r="T417">
        <f t="shared" si="978"/>
        <v>-8.0145872117693386</v>
      </c>
    </row>
    <row r="418" spans="1:20" x14ac:dyDescent="0.25">
      <c r="A418" s="5">
        <v>44175</v>
      </c>
      <c r="B418">
        <v>5.2499999999999998E-2</v>
      </c>
      <c r="C418">
        <v>5.62E-2</v>
      </c>
      <c r="D418">
        <v>4.8800000000000003E-2</v>
      </c>
      <c r="E418">
        <v>5.2642000000000001E-2</v>
      </c>
      <c r="F418">
        <v>135183601</v>
      </c>
      <c r="G418">
        <v>0</v>
      </c>
      <c r="L418" t="s">
        <v>8</v>
      </c>
      <c r="M418" t="s">
        <v>8</v>
      </c>
      <c r="N418" t="s">
        <v>8</v>
      </c>
      <c r="P418">
        <f t="shared" si="974"/>
        <v>3.8378378378378333E-2</v>
      </c>
      <c r="Q418">
        <f t="shared" si="975"/>
        <v>5188127.3897297233</v>
      </c>
      <c r="R418">
        <f t="shared" si="976"/>
        <v>-745871755.02201641</v>
      </c>
      <c r="S418">
        <f t="shared" si="977"/>
        <v>-7458.7175502201644</v>
      </c>
      <c r="T418">
        <f t="shared" si="978"/>
        <v>-7.4587175502201646</v>
      </c>
    </row>
    <row r="419" spans="1:20" x14ac:dyDescent="0.25">
      <c r="A419" s="5">
        <v>44174</v>
      </c>
      <c r="B419">
        <v>4.4535999999999999E-2</v>
      </c>
      <c r="C419">
        <v>5.3999999999999999E-2</v>
      </c>
      <c r="D419">
        <v>4.0489999999999998E-2</v>
      </c>
      <c r="E419">
        <v>5.2498999999999997E-2</v>
      </c>
      <c r="F419">
        <v>91756693</v>
      </c>
      <c r="G419">
        <v>0</v>
      </c>
      <c r="L419" t="s">
        <v>8</v>
      </c>
      <c r="M419" t="s">
        <v>8</v>
      </c>
      <c r="N419" t="s">
        <v>8</v>
      </c>
      <c r="P419">
        <f t="shared" si="974"/>
        <v>0.77779422649888941</v>
      </c>
      <c r="Q419">
        <f t="shared" si="975"/>
        <v>71367826.058031067</v>
      </c>
      <c r="R419">
        <f t="shared" si="976"/>
        <v>-751059882.41174614</v>
      </c>
      <c r="S419">
        <f t="shared" si="977"/>
        <v>-7510.5988241174618</v>
      </c>
      <c r="T419">
        <f t="shared" si="978"/>
        <v>-7.5105988241174622</v>
      </c>
    </row>
    <row r="420" spans="1:20" x14ac:dyDescent="0.25">
      <c r="A420" s="5">
        <v>44173</v>
      </c>
      <c r="B420">
        <v>4.5221999999999998E-2</v>
      </c>
      <c r="C420">
        <v>4.9000000000000002E-2</v>
      </c>
      <c r="D420">
        <v>4.3727000000000002E-2</v>
      </c>
      <c r="E420">
        <v>4.4512000000000003E-2</v>
      </c>
      <c r="F420">
        <v>55451861</v>
      </c>
      <c r="G420">
        <v>0</v>
      </c>
      <c r="L420" t="s">
        <v>8</v>
      </c>
      <c r="M420" t="s">
        <v>8</v>
      </c>
      <c r="N420" t="s">
        <v>7</v>
      </c>
      <c r="P420">
        <f t="shared" si="974"/>
        <v>-0.70225677982173296</v>
      </c>
      <c r="Q420">
        <f t="shared" si="975"/>
        <v>-38941445.34098234</v>
      </c>
      <c r="R420">
        <f t="shared" si="976"/>
        <v>-822427708.46977723</v>
      </c>
      <c r="S420">
        <f t="shared" si="977"/>
        <v>-8224.2770846977728</v>
      </c>
      <c r="T420">
        <f t="shared" si="978"/>
        <v>-8.2242770846977731</v>
      </c>
    </row>
    <row r="421" spans="1:20" x14ac:dyDescent="0.25">
      <c r="A421" s="5">
        <v>44172</v>
      </c>
      <c r="B421">
        <v>4.3236999999999998E-2</v>
      </c>
      <c r="C421">
        <v>4.7215E-2</v>
      </c>
      <c r="D421">
        <v>4.2535999999999997E-2</v>
      </c>
      <c r="E421">
        <v>4.5369E-2</v>
      </c>
      <c r="F421">
        <v>29270534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0.21094250908313769</v>
      </c>
      <c r="Q421">
        <f t="shared" si="975"/>
        <v>6174399.8841632903</v>
      </c>
      <c r="R421">
        <f t="shared" si="976"/>
        <v>-783486263.12879491</v>
      </c>
      <c r="S421">
        <f t="shared" si="977"/>
        <v>-7834.8626312879487</v>
      </c>
      <c r="T421">
        <f t="shared" si="978"/>
        <v>-7.8348626312879484</v>
      </c>
    </row>
    <row r="422" spans="1:20" x14ac:dyDescent="0.25">
      <c r="A422" s="5">
        <v>44171</v>
      </c>
      <c r="B422">
        <v>4.3548000000000003E-2</v>
      </c>
      <c r="C422">
        <v>4.5276999999999998E-2</v>
      </c>
      <c r="D422">
        <v>4.2516999999999999E-2</v>
      </c>
      <c r="E422">
        <v>4.3247000000000001E-2</v>
      </c>
      <c r="F422">
        <v>11573059</v>
      </c>
      <c r="G422">
        <v>0</v>
      </c>
      <c r="L422" t="s">
        <v>8</v>
      </c>
      <c r="M422" t="s">
        <v>7</v>
      </c>
      <c r="N422" t="s">
        <v>7</v>
      </c>
      <c r="P422">
        <f t="shared" si="974"/>
        <v>-0.47101449275362184</v>
      </c>
      <c r="Q422">
        <f t="shared" si="975"/>
        <v>-5451078.5144927381</v>
      </c>
      <c r="R422">
        <f t="shared" si="976"/>
        <v>-789660663.01295817</v>
      </c>
      <c r="S422">
        <f t="shared" si="977"/>
        <v>-7896.6066301295814</v>
      </c>
      <c r="T422">
        <f t="shared" si="978"/>
        <v>-7.8966066301295816</v>
      </c>
    </row>
    <row r="423" spans="1:20" x14ac:dyDescent="0.25">
      <c r="A423" s="5">
        <v>44170</v>
      </c>
      <c r="B423">
        <v>4.1901000000000001E-2</v>
      </c>
      <c r="C423">
        <v>4.4324000000000002E-2</v>
      </c>
      <c r="D423">
        <v>4.1064999999999997E-2</v>
      </c>
      <c r="E423">
        <v>4.3547000000000002E-2</v>
      </c>
      <c r="F423">
        <v>20893903</v>
      </c>
      <c r="G423">
        <v>0</v>
      </c>
      <c r="L423" t="s">
        <v>7</v>
      </c>
      <c r="M423" t="s">
        <v>7</v>
      </c>
      <c r="N423" t="s">
        <v>7</v>
      </c>
      <c r="P423">
        <f t="shared" si="974"/>
        <v>0.52316661552623578</v>
      </c>
      <c r="Q423">
        <f t="shared" si="975"/>
        <v>10930992.517643465</v>
      </c>
      <c r="R423">
        <f t="shared" si="976"/>
        <v>-784209584.49846542</v>
      </c>
      <c r="S423">
        <f t="shared" si="977"/>
        <v>-7842.0958449846539</v>
      </c>
      <c r="T423">
        <f t="shared" si="978"/>
        <v>-7.8420958449846543</v>
      </c>
    </row>
    <row r="424" spans="1:20" x14ac:dyDescent="0.25">
      <c r="A424" s="5">
        <v>44169</v>
      </c>
      <c r="B424">
        <v>4.6600999999999997E-2</v>
      </c>
      <c r="C424">
        <v>4.6998999999999999E-2</v>
      </c>
      <c r="D424">
        <v>4.1901000000000001E-2</v>
      </c>
      <c r="E424">
        <v>4.1902000000000002E-2</v>
      </c>
      <c r="F424">
        <v>24512212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-0.99960768928991717</v>
      </c>
      <c r="Q424">
        <f t="shared" si="975"/>
        <v>-24502595.59670458</v>
      </c>
      <c r="R424">
        <f t="shared" si="976"/>
        <v>-795140577.01610887</v>
      </c>
      <c r="S424">
        <f t="shared" si="977"/>
        <v>-7951.4057701610891</v>
      </c>
      <c r="T424">
        <f t="shared" si="978"/>
        <v>-7.951405770161089</v>
      </c>
    </row>
    <row r="425" spans="1:20" x14ac:dyDescent="0.25">
      <c r="A425" s="5">
        <v>44168</v>
      </c>
      <c r="B425">
        <v>4.7001000000000001E-2</v>
      </c>
      <c r="C425">
        <v>4.7974999999999997E-2</v>
      </c>
      <c r="D425">
        <v>4.5869E-2</v>
      </c>
      <c r="E425">
        <v>4.6771E-2</v>
      </c>
      <c r="F425">
        <v>20575699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-0.1433998100664754</v>
      </c>
      <c r="Q425">
        <f t="shared" si="975"/>
        <v>-2950551.3285849676</v>
      </c>
      <c r="R425">
        <f t="shared" si="976"/>
        <v>-770637981.41940427</v>
      </c>
      <c r="S425">
        <f t="shared" si="977"/>
        <v>-7706.3798141940424</v>
      </c>
      <c r="T425">
        <f t="shared" si="978"/>
        <v>-7.7063798141940421</v>
      </c>
    </row>
    <row r="426" spans="1:20" x14ac:dyDescent="0.25">
      <c r="A426" s="5">
        <v>44167</v>
      </c>
      <c r="B426">
        <v>4.5789999999999997E-2</v>
      </c>
      <c r="C426">
        <v>4.9084000000000003E-2</v>
      </c>
      <c r="D426">
        <v>4.3889999999999998E-2</v>
      </c>
      <c r="E426">
        <v>4.6973000000000001E-2</v>
      </c>
      <c r="F426">
        <v>30892181</v>
      </c>
      <c r="G426">
        <v>0</v>
      </c>
      <c r="L426" t="s">
        <v>8</v>
      </c>
      <c r="M426" t="s">
        <v>8</v>
      </c>
      <c r="N426" t="s">
        <v>7</v>
      </c>
      <c r="P426">
        <f t="shared" si="974"/>
        <v>0.18713900654601462</v>
      </c>
      <c r="Q426">
        <f t="shared" si="975"/>
        <v>5781132.0623796685</v>
      </c>
      <c r="R426">
        <f t="shared" si="976"/>
        <v>-767687430.09081936</v>
      </c>
      <c r="S426">
        <f t="shared" si="977"/>
        <v>-7676.8743009081936</v>
      </c>
      <c r="T426">
        <f t="shared" si="978"/>
        <v>-7.6768743009081932</v>
      </c>
    </row>
    <row r="427" spans="1:20" x14ac:dyDescent="0.25">
      <c r="A427" s="5">
        <v>44166</v>
      </c>
      <c r="B427">
        <v>4.8250000000000001E-2</v>
      </c>
      <c r="C427">
        <v>4.8670999999999999E-2</v>
      </c>
      <c r="D427">
        <v>4.3209999999999998E-2</v>
      </c>
      <c r="E427">
        <v>4.5813E-2</v>
      </c>
      <c r="F427">
        <v>30771745</v>
      </c>
      <c r="G427">
        <v>0</v>
      </c>
      <c r="L427" t="s">
        <v>7</v>
      </c>
      <c r="M427" t="s">
        <v>8</v>
      </c>
      <c r="N427" t="s">
        <v>7</v>
      </c>
      <c r="P427">
        <f t="shared" si="974"/>
        <v>-4.6694744552279482E-2</v>
      </c>
      <c r="Q427">
        <f t="shared" si="975"/>
        <v>-1436878.7722028834</v>
      </c>
      <c r="R427">
        <f t="shared" si="976"/>
        <v>-773468562.15319908</v>
      </c>
      <c r="S427">
        <f t="shared" si="977"/>
        <v>-7734.6856215319904</v>
      </c>
      <c r="T427">
        <f t="shared" si="978"/>
        <v>-7.7346856215319901</v>
      </c>
    </row>
    <row r="428" spans="1:20" x14ac:dyDescent="0.25">
      <c r="A428" s="5">
        <v>44165</v>
      </c>
      <c r="B428">
        <v>4.5568999999999998E-2</v>
      </c>
      <c r="C428">
        <v>4.9500000000000002E-2</v>
      </c>
      <c r="D428">
        <v>4.4860999999999998E-2</v>
      </c>
      <c r="E428">
        <v>4.8467000000000003E-2</v>
      </c>
      <c r="F428">
        <v>30618508</v>
      </c>
      <c r="G428">
        <v>0</v>
      </c>
      <c r="L428" t="s">
        <v>8</v>
      </c>
      <c r="M428" t="s">
        <v>8</v>
      </c>
      <c r="N428" t="s">
        <v>7</v>
      </c>
      <c r="P428">
        <f t="shared" si="974"/>
        <v>0.55464539771502552</v>
      </c>
      <c r="Q428">
        <f t="shared" si="975"/>
        <v>16982414.547100689</v>
      </c>
      <c r="R428">
        <f t="shared" si="976"/>
        <v>-772031683.38099623</v>
      </c>
      <c r="S428">
        <f t="shared" si="977"/>
        <v>-7720.3168338099622</v>
      </c>
      <c r="T428">
        <f t="shared" si="978"/>
        <v>-7.7203168338099619</v>
      </c>
    </row>
    <row r="429" spans="1:20" x14ac:dyDescent="0.25">
      <c r="A429" s="5">
        <v>44164</v>
      </c>
      <c r="B429">
        <v>4.4886000000000002E-2</v>
      </c>
      <c r="C429">
        <v>4.5983000000000003E-2</v>
      </c>
      <c r="D429">
        <v>4.3101E-2</v>
      </c>
      <c r="E429">
        <v>4.5569999999999999E-2</v>
      </c>
      <c r="F429">
        <v>20726093</v>
      </c>
      <c r="G429">
        <v>0</v>
      </c>
      <c r="L429" t="s">
        <v>8</v>
      </c>
      <c r="M429" t="s">
        <v>8</v>
      </c>
      <c r="N429" t="s">
        <v>7</v>
      </c>
      <c r="P429">
        <f t="shared" si="974"/>
        <v>0.71339347675225306</v>
      </c>
      <c r="Q429">
        <f t="shared" si="975"/>
        <v>14785859.544760535</v>
      </c>
      <c r="R429">
        <f t="shared" si="976"/>
        <v>-789014097.92809689</v>
      </c>
      <c r="S429">
        <f t="shared" si="977"/>
        <v>-7890.1409792809691</v>
      </c>
      <c r="T429">
        <f t="shared" si="978"/>
        <v>-7.8901409792809689</v>
      </c>
    </row>
    <row r="430" spans="1:20" x14ac:dyDescent="0.25">
      <c r="A430" s="5">
        <v>44163</v>
      </c>
      <c r="B430">
        <v>4.5630999999999998E-2</v>
      </c>
      <c r="C430">
        <v>4.6665999999999999E-2</v>
      </c>
      <c r="D430">
        <v>4.2909000000000003E-2</v>
      </c>
      <c r="E430">
        <v>4.4599E-2</v>
      </c>
      <c r="F430">
        <v>40998176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-0.10034602076124639</v>
      </c>
      <c r="Q430">
        <f t="shared" si="975"/>
        <v>-4114003.8200692334</v>
      </c>
      <c r="R430">
        <f t="shared" si="976"/>
        <v>-803799957.47285748</v>
      </c>
      <c r="S430">
        <f t="shared" si="977"/>
        <v>-8037.9995747285748</v>
      </c>
      <c r="T430">
        <f t="shared" si="978"/>
        <v>-8.0379995747285751</v>
      </c>
    </row>
    <row r="431" spans="1:20" x14ac:dyDescent="0.25">
      <c r="A431" s="5">
        <v>44162</v>
      </c>
      <c r="B431">
        <v>4.1446999999999998E-2</v>
      </c>
      <c r="C431">
        <v>4.6498999999999999E-2</v>
      </c>
      <c r="D431">
        <v>3.8956999999999999E-2</v>
      </c>
      <c r="E431">
        <v>4.5638999999999999E-2</v>
      </c>
      <c r="F431">
        <v>32790089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0.77194378149032095</v>
      </c>
      <c r="Q431">
        <f t="shared" si="975"/>
        <v>25312105.298064176</v>
      </c>
      <c r="R431">
        <f t="shared" si="976"/>
        <v>-799685953.65278828</v>
      </c>
      <c r="S431">
        <f t="shared" si="977"/>
        <v>-7996.8595365278825</v>
      </c>
      <c r="T431">
        <f t="shared" si="978"/>
        <v>-7.9968595365278823</v>
      </c>
    </row>
    <row r="432" spans="1:20" x14ac:dyDescent="0.25">
      <c r="A432" s="5">
        <v>44161</v>
      </c>
      <c r="B432">
        <v>4.4967E-2</v>
      </c>
      <c r="C432">
        <v>4.7500000000000001E-2</v>
      </c>
      <c r="D432">
        <v>3.6999999999999998E-2</v>
      </c>
      <c r="E432">
        <v>4.1443000000000001E-2</v>
      </c>
      <c r="F432">
        <v>57321170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-0.15371428571428544</v>
      </c>
      <c r="Q432">
        <f t="shared" si="975"/>
        <v>-8811082.7028571274</v>
      </c>
      <c r="R432">
        <f t="shared" si="976"/>
        <v>-824998058.95085251</v>
      </c>
      <c r="S432">
        <f t="shared" si="977"/>
        <v>-8249.9805895085246</v>
      </c>
      <c r="T432">
        <f t="shared" si="978"/>
        <v>-8.2499805895085245</v>
      </c>
    </row>
    <row r="433" spans="1:20" x14ac:dyDescent="0.25">
      <c r="A433" s="5">
        <v>44160</v>
      </c>
      <c r="B433">
        <v>4.5668E-2</v>
      </c>
      <c r="C433">
        <v>5.28E-2</v>
      </c>
      <c r="D433">
        <v>4.2768E-2</v>
      </c>
      <c r="E433">
        <v>4.5213000000000003E-2</v>
      </c>
      <c r="F433">
        <v>75441900</v>
      </c>
      <c r="G433">
        <v>0</v>
      </c>
      <c r="L433" t="s">
        <v>7</v>
      </c>
      <c r="M433" t="s">
        <v>7</v>
      </c>
      <c r="N433" t="s">
        <v>7</v>
      </c>
      <c r="P433">
        <f t="shared" si="974"/>
        <v>-0.51255980861243966</v>
      </c>
      <c r="Q433">
        <f t="shared" si="975"/>
        <v>-38668485.825358808</v>
      </c>
      <c r="R433">
        <f t="shared" si="976"/>
        <v>-816186976.24799538</v>
      </c>
      <c r="S433">
        <f t="shared" si="977"/>
        <v>-8161.8697624799534</v>
      </c>
      <c r="T433">
        <f t="shared" si="978"/>
        <v>-8.1618697624799541</v>
      </c>
    </row>
    <row r="434" spans="1:20" x14ac:dyDescent="0.25">
      <c r="A434" s="5">
        <v>44159</v>
      </c>
      <c r="B434">
        <v>4.7579000000000003E-2</v>
      </c>
      <c r="C434">
        <v>5.0576000000000003E-2</v>
      </c>
      <c r="D434">
        <v>4.5100000000000001E-2</v>
      </c>
      <c r="E434">
        <v>4.5370000000000001E-2</v>
      </c>
      <c r="F434">
        <v>87365743</v>
      </c>
      <c r="G434">
        <v>0</v>
      </c>
      <c r="L434" t="s">
        <v>7</v>
      </c>
      <c r="M434" t="s">
        <v>7</v>
      </c>
      <c r="N434" t="s">
        <v>8</v>
      </c>
      <c r="P434">
        <f t="shared" si="974"/>
        <v>-0.90138787436084755</v>
      </c>
      <c r="Q434">
        <f t="shared" si="975"/>
        <v>-78750421.374726102</v>
      </c>
      <c r="R434">
        <f t="shared" si="976"/>
        <v>-777518490.42263663</v>
      </c>
      <c r="S434">
        <f t="shared" si="977"/>
        <v>-7775.1849042263666</v>
      </c>
      <c r="T434">
        <f t="shared" si="978"/>
        <v>-7.775184904226367</v>
      </c>
    </row>
    <row r="435" spans="1:20" x14ac:dyDescent="0.25">
      <c r="A435" s="5">
        <v>44158</v>
      </c>
      <c r="B435">
        <v>4.5080000000000002E-2</v>
      </c>
      <c r="C435">
        <v>6.1698999999999997E-2</v>
      </c>
      <c r="D435">
        <v>4.1777000000000002E-2</v>
      </c>
      <c r="E435">
        <v>4.7760999999999998E-2</v>
      </c>
      <c r="F435">
        <v>231395104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-0.39925710270053233</v>
      </c>
      <c r="Q435">
        <f t="shared" si="975"/>
        <v>-92386138.80212836</v>
      </c>
      <c r="R435">
        <f t="shared" si="976"/>
        <v>-698768069.04791057</v>
      </c>
      <c r="S435">
        <f t="shared" si="977"/>
        <v>-6987.6806904791056</v>
      </c>
      <c r="T435">
        <f t="shared" si="978"/>
        <v>-6.987680690479106</v>
      </c>
    </row>
    <row r="436" spans="1:20" x14ac:dyDescent="0.25">
      <c r="A436" s="5">
        <v>44157</v>
      </c>
      <c r="B436">
        <v>4.0285000000000001E-2</v>
      </c>
      <c r="C436">
        <v>4.9999000000000002E-2</v>
      </c>
      <c r="D436">
        <v>3.5545E-2</v>
      </c>
      <c r="E436">
        <v>4.5089999999999998E-2</v>
      </c>
      <c r="F436">
        <v>140161801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0.32074166320741621</v>
      </c>
      <c r="Q436">
        <f t="shared" si="975"/>
        <v>44955729.170886889</v>
      </c>
      <c r="R436">
        <f t="shared" si="976"/>
        <v>-606381930.24578226</v>
      </c>
      <c r="S436">
        <f t="shared" si="977"/>
        <v>-6063.8193024578222</v>
      </c>
      <c r="T436">
        <f t="shared" si="978"/>
        <v>-6.063819302457822</v>
      </c>
    </row>
    <row r="437" spans="1:20" x14ac:dyDescent="0.25">
      <c r="A437" s="5">
        <v>44156</v>
      </c>
      <c r="B437">
        <v>3.637E-2</v>
      </c>
      <c r="C437">
        <v>4.1000000000000002E-2</v>
      </c>
      <c r="D437">
        <v>3.6123000000000002E-2</v>
      </c>
      <c r="E437">
        <v>4.0219999999999999E-2</v>
      </c>
      <c r="F437">
        <v>31608195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0.6801312282140648</v>
      </c>
      <c r="Q437">
        <f t="shared" si="975"/>
        <v>21497720.486979663</v>
      </c>
      <c r="R437">
        <f t="shared" si="976"/>
        <v>-651337659.41666913</v>
      </c>
      <c r="S437">
        <f t="shared" si="977"/>
        <v>-6513.3765941666916</v>
      </c>
      <c r="T437">
        <f t="shared" si="978"/>
        <v>-6.5133765941666919</v>
      </c>
    </row>
    <row r="438" spans="1:20" x14ac:dyDescent="0.25">
      <c r="A438" s="5">
        <v>44155</v>
      </c>
      <c r="B438">
        <v>3.56E-2</v>
      </c>
      <c r="C438">
        <v>3.7692000000000003E-2</v>
      </c>
      <c r="D438">
        <v>3.56E-2</v>
      </c>
      <c r="E438">
        <v>3.6371000000000001E-2</v>
      </c>
      <c r="F438">
        <v>23053362</v>
      </c>
      <c r="G438">
        <v>0</v>
      </c>
      <c r="L438" t="s">
        <v>8</v>
      </c>
      <c r="M438" t="s">
        <v>7</v>
      </c>
      <c r="N438" t="s">
        <v>7</v>
      </c>
      <c r="P438">
        <f t="shared" si="974"/>
        <v>-0.26290630975143447</v>
      </c>
      <c r="Q438">
        <f t="shared" si="975"/>
        <v>-6060874.3307839492</v>
      </c>
      <c r="R438">
        <f t="shared" si="976"/>
        <v>-672835379.90364885</v>
      </c>
      <c r="S438">
        <f t="shared" si="977"/>
        <v>-6728.3537990364885</v>
      </c>
      <c r="T438">
        <f t="shared" si="978"/>
        <v>-6.7283537990364888</v>
      </c>
    </row>
    <row r="439" spans="1:20" x14ac:dyDescent="0.25">
      <c r="A439" s="5">
        <v>44154</v>
      </c>
      <c r="B439">
        <v>3.5559E-2</v>
      </c>
      <c r="C439">
        <v>3.7351000000000002E-2</v>
      </c>
      <c r="D439">
        <v>3.5001999999999998E-2</v>
      </c>
      <c r="E439">
        <v>3.56E-2</v>
      </c>
      <c r="F439">
        <v>20733411</v>
      </c>
      <c r="G439">
        <v>0</v>
      </c>
      <c r="L439" t="s">
        <v>8</v>
      </c>
      <c r="M439" t="s">
        <v>7</v>
      </c>
      <c r="N439" t="s">
        <v>7</v>
      </c>
      <c r="P439">
        <f t="shared" si="974"/>
        <v>-0.49084716900808828</v>
      </c>
      <c r="Q439">
        <f t="shared" si="975"/>
        <v>-10176936.093231156</v>
      </c>
      <c r="R439">
        <f t="shared" si="976"/>
        <v>-666774505.57286489</v>
      </c>
      <c r="S439">
        <f t="shared" si="977"/>
        <v>-6667.7450557286493</v>
      </c>
      <c r="T439">
        <f t="shared" si="978"/>
        <v>-6.6677450557286493</v>
      </c>
    </row>
    <row r="440" spans="1:20" x14ac:dyDescent="0.25">
      <c r="A440" s="5">
        <v>44153</v>
      </c>
      <c r="B440">
        <v>3.7231E-2</v>
      </c>
      <c r="C440">
        <v>3.7571E-2</v>
      </c>
      <c r="D440">
        <v>3.3917999999999997E-2</v>
      </c>
      <c r="E440">
        <v>3.5559E-2</v>
      </c>
      <c r="F440">
        <v>25365204</v>
      </c>
      <c r="G440">
        <v>0</v>
      </c>
      <c r="L440" t="s">
        <v>7</v>
      </c>
      <c r="M440" t="s">
        <v>7</v>
      </c>
      <c r="N440" t="s">
        <v>7</v>
      </c>
      <c r="P440">
        <f t="shared" si="974"/>
        <v>-0.10156036134683712</v>
      </c>
      <c r="Q440">
        <f t="shared" si="975"/>
        <v>-2576099.2838762384</v>
      </c>
      <c r="R440">
        <f t="shared" si="976"/>
        <v>-656597569.47963369</v>
      </c>
      <c r="S440">
        <f t="shared" si="977"/>
        <v>-6565.9756947963369</v>
      </c>
      <c r="T440">
        <f t="shared" si="978"/>
        <v>-6.5659756947963368</v>
      </c>
    </row>
    <row r="441" spans="1:20" x14ac:dyDescent="0.25">
      <c r="A441" s="5">
        <v>44152</v>
      </c>
      <c r="B441">
        <v>3.8739999999999997E-2</v>
      </c>
      <c r="C441">
        <v>3.918E-2</v>
      </c>
      <c r="D441">
        <v>3.6269000000000003E-2</v>
      </c>
      <c r="E441">
        <v>3.7231E-2</v>
      </c>
      <c r="F441">
        <v>30148979</v>
      </c>
      <c r="G441">
        <v>0</v>
      </c>
      <c r="L441" t="s">
        <v>7</v>
      </c>
      <c r="M441" t="s">
        <v>7</v>
      </c>
      <c r="N441" t="s">
        <v>7</v>
      </c>
      <c r="P441">
        <f t="shared" si="974"/>
        <v>-0.339058742700104</v>
      </c>
      <c r="Q441">
        <f t="shared" si="975"/>
        <v>-10222274.913431838</v>
      </c>
      <c r="R441">
        <f t="shared" si="976"/>
        <v>-654021470.19575751</v>
      </c>
      <c r="S441">
        <f t="shared" si="977"/>
        <v>-6540.214701957575</v>
      </c>
      <c r="T441">
        <f t="shared" si="978"/>
        <v>-6.5402147019575754</v>
      </c>
    </row>
    <row r="442" spans="1:20" x14ac:dyDescent="0.25">
      <c r="A442" s="5">
        <v>44151</v>
      </c>
      <c r="B442">
        <v>3.7721999999999999E-2</v>
      </c>
      <c r="C442">
        <v>3.9275999999999998E-2</v>
      </c>
      <c r="D442">
        <v>3.7275999999999997E-2</v>
      </c>
      <c r="E442">
        <v>3.8599000000000001E-2</v>
      </c>
      <c r="F442">
        <v>28255141</v>
      </c>
      <c r="G442">
        <v>0</v>
      </c>
      <c r="L442" t="s">
        <v>7</v>
      </c>
      <c r="M442" t="s">
        <v>7</v>
      </c>
      <c r="N442" t="s">
        <v>7</v>
      </c>
      <c r="P442">
        <f t="shared" si="974"/>
        <v>0.32300000000000356</v>
      </c>
      <c r="Q442">
        <f t="shared" si="975"/>
        <v>9126410.5430001002</v>
      </c>
      <c r="R442">
        <f t="shared" si="976"/>
        <v>-643799195.28232563</v>
      </c>
      <c r="S442">
        <f t="shared" si="977"/>
        <v>-6437.9919528232558</v>
      </c>
      <c r="T442">
        <f t="shared" si="978"/>
        <v>-6.4379919528232561</v>
      </c>
    </row>
    <row r="443" spans="1:20" x14ac:dyDescent="0.25">
      <c r="A443" s="5">
        <v>44150</v>
      </c>
      <c r="B443">
        <v>3.8399999999999997E-2</v>
      </c>
      <c r="C443">
        <v>4.0631E-2</v>
      </c>
      <c r="D443">
        <v>3.7097999999999999E-2</v>
      </c>
      <c r="E443">
        <v>3.7567999999999997E-2</v>
      </c>
      <c r="F443">
        <v>37853985</v>
      </c>
      <c r="G443">
        <v>0</v>
      </c>
      <c r="L443" t="s">
        <v>8</v>
      </c>
      <c r="M443" t="s">
        <v>7</v>
      </c>
      <c r="N443" t="s">
        <v>7</v>
      </c>
      <c r="P443">
        <f t="shared" si="974"/>
        <v>-0.73393716388338637</v>
      </c>
      <c r="Q443">
        <f t="shared" si="975"/>
        <v>-27782446.392584249</v>
      </c>
      <c r="R443">
        <f t="shared" si="976"/>
        <v>-652925605.82532573</v>
      </c>
      <c r="S443">
        <f t="shared" si="977"/>
        <v>-6529.2560582532569</v>
      </c>
      <c r="T443">
        <f t="shared" si="978"/>
        <v>-6.5292560582532566</v>
      </c>
    </row>
    <row r="444" spans="1:20" x14ac:dyDescent="0.25">
      <c r="A444" s="5">
        <v>44149</v>
      </c>
      <c r="B444">
        <v>3.9126000000000001E-2</v>
      </c>
      <c r="C444">
        <v>3.9827000000000001E-2</v>
      </c>
      <c r="D444">
        <v>3.6910999999999999E-2</v>
      </c>
      <c r="E444">
        <v>3.8406000000000003E-2</v>
      </c>
      <c r="F444">
        <v>22177158</v>
      </c>
      <c r="G444">
        <v>0</v>
      </c>
      <c r="L444" t="s">
        <v>7</v>
      </c>
      <c r="M444" t="s">
        <v>7</v>
      </c>
      <c r="N444" t="s">
        <v>7</v>
      </c>
      <c r="P444">
        <f t="shared" si="974"/>
        <v>2.5377229080934351E-2</v>
      </c>
      <c r="Q444">
        <f t="shared" si="975"/>
        <v>562794.81893007585</v>
      </c>
      <c r="R444">
        <f t="shared" si="976"/>
        <v>-625143159.43274152</v>
      </c>
      <c r="S444">
        <f t="shared" si="977"/>
        <v>-6251.431594327415</v>
      </c>
      <c r="T444">
        <f t="shared" si="978"/>
        <v>-6.251431594327415</v>
      </c>
    </row>
    <row r="445" spans="1:20" x14ac:dyDescent="0.25">
      <c r="A445" s="5">
        <v>44148</v>
      </c>
      <c r="B445">
        <v>3.8800000000000001E-2</v>
      </c>
      <c r="C445">
        <v>4.1739999999999999E-2</v>
      </c>
      <c r="D445">
        <v>3.8315000000000002E-2</v>
      </c>
      <c r="E445">
        <v>3.9069E-2</v>
      </c>
      <c r="F445">
        <v>61583264</v>
      </c>
      <c r="G445">
        <v>0</v>
      </c>
      <c r="L445" t="s">
        <v>7</v>
      </c>
      <c r="M445" t="s">
        <v>7</v>
      </c>
      <c r="N445" t="s">
        <v>7</v>
      </c>
      <c r="P445">
        <f t="shared" si="974"/>
        <v>-0.55970802919708129</v>
      </c>
      <c r="Q445">
        <f t="shared" si="975"/>
        <v>-34468647.324963562</v>
      </c>
      <c r="R445">
        <f t="shared" si="976"/>
        <v>-625705954.25167155</v>
      </c>
      <c r="S445">
        <f t="shared" si="977"/>
        <v>-6257.0595425167157</v>
      </c>
      <c r="T445">
        <f t="shared" si="978"/>
        <v>-6.2570595425167159</v>
      </c>
    </row>
    <row r="446" spans="1:20" x14ac:dyDescent="0.25">
      <c r="A446" s="5">
        <v>44147</v>
      </c>
      <c r="B446">
        <v>4.2651000000000001E-2</v>
      </c>
      <c r="C446">
        <v>5.5695000000000001E-2</v>
      </c>
      <c r="D446">
        <v>3.8126E-2</v>
      </c>
      <c r="E446">
        <v>3.8925000000000001E-2</v>
      </c>
      <c r="F446">
        <v>164181816</v>
      </c>
      <c r="G446">
        <v>0</v>
      </c>
      <c r="L446" t="s">
        <v>8</v>
      </c>
      <c r="M446" t="s">
        <v>8</v>
      </c>
      <c r="N446" t="s">
        <v>8</v>
      </c>
      <c r="P446">
        <f t="shared" si="974"/>
        <v>-0.9090443394615515</v>
      </c>
      <c r="Q446">
        <f t="shared" si="975"/>
        <v>-149248550.47731799</v>
      </c>
      <c r="R446">
        <f t="shared" si="976"/>
        <v>-591237306.92670798</v>
      </c>
      <c r="S446">
        <f t="shared" si="977"/>
        <v>-5912.3730692670797</v>
      </c>
      <c r="T446">
        <f t="shared" si="978"/>
        <v>-5.9123730692670797</v>
      </c>
    </row>
    <row r="447" spans="1:20" x14ac:dyDescent="0.25">
      <c r="A447" s="5">
        <v>44146</v>
      </c>
      <c r="B447">
        <v>4.1589000000000001E-2</v>
      </c>
      <c r="C447">
        <v>4.3900000000000002E-2</v>
      </c>
      <c r="D447">
        <v>4.0176999999999997E-2</v>
      </c>
      <c r="E447">
        <v>4.2673000000000003E-2</v>
      </c>
      <c r="F447">
        <v>35755846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0.34085414987913104</v>
      </c>
      <c r="Q447">
        <f t="shared" si="975"/>
        <v>12187528.491539128</v>
      </c>
      <c r="R447">
        <f t="shared" si="976"/>
        <v>-441988756.44938999</v>
      </c>
      <c r="S447">
        <f t="shared" si="977"/>
        <v>-4419.8875644938998</v>
      </c>
      <c r="T447">
        <f t="shared" si="978"/>
        <v>-4.4198875644938997</v>
      </c>
    </row>
    <row r="448" spans="1:20" x14ac:dyDescent="0.25">
      <c r="A448" s="5">
        <v>44145</v>
      </c>
      <c r="B448">
        <v>3.7928000000000003E-2</v>
      </c>
      <c r="C448">
        <v>4.2444000000000003E-2</v>
      </c>
      <c r="D448">
        <v>3.7775000000000003E-2</v>
      </c>
      <c r="E448">
        <v>4.1591000000000003E-2</v>
      </c>
      <c r="F448">
        <v>35084215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0.63461126579567373</v>
      </c>
      <c r="Q448">
        <f t="shared" si="975"/>
        <v>22264838.090597562</v>
      </c>
      <c r="R448">
        <f t="shared" si="976"/>
        <v>-454176284.94092911</v>
      </c>
      <c r="S448">
        <f t="shared" si="977"/>
        <v>-4541.7628494092914</v>
      </c>
      <c r="T448">
        <f t="shared" si="978"/>
        <v>-4.5417628494092916</v>
      </c>
    </row>
    <row r="449" spans="1:20" x14ac:dyDescent="0.25">
      <c r="A449" s="5">
        <v>44144</v>
      </c>
      <c r="B449">
        <v>3.7997000000000003E-2</v>
      </c>
      <c r="C449">
        <v>3.9899999999999998E-2</v>
      </c>
      <c r="D449">
        <v>3.5999999999999997E-2</v>
      </c>
      <c r="E449">
        <v>3.7999999999999999E-2</v>
      </c>
      <c r="F449">
        <v>25723459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2.5641025641026372E-2</v>
      </c>
      <c r="Q449">
        <f t="shared" si="975"/>
        <v>659575.87179489061</v>
      </c>
      <c r="R449">
        <f t="shared" si="976"/>
        <v>-476441123.03152668</v>
      </c>
      <c r="S449">
        <f t="shared" si="977"/>
        <v>-4764.4112303152669</v>
      </c>
      <c r="T449">
        <f t="shared" si="978"/>
        <v>-4.7644112303152673</v>
      </c>
    </row>
    <row r="450" spans="1:20" x14ac:dyDescent="0.25">
      <c r="A450" s="5">
        <v>44143</v>
      </c>
      <c r="B450">
        <v>3.6344000000000001E-2</v>
      </c>
      <c r="C450">
        <v>3.8699999999999998E-2</v>
      </c>
      <c r="D450">
        <v>3.5154999999999999E-2</v>
      </c>
      <c r="E450">
        <v>3.8101000000000003E-2</v>
      </c>
      <c r="F450">
        <v>20153921</v>
      </c>
      <c r="G450">
        <v>0</v>
      </c>
      <c r="L450" t="s">
        <v>7</v>
      </c>
      <c r="M450" t="s">
        <v>8</v>
      </c>
      <c r="N450" t="s">
        <v>8</v>
      </c>
      <c r="P450">
        <f t="shared" si="974"/>
        <v>0.66205923836389535</v>
      </c>
      <c r="Q450">
        <f t="shared" si="975"/>
        <v>13343089.587306116</v>
      </c>
      <c r="R450">
        <f t="shared" si="976"/>
        <v>-477100698.90332156</v>
      </c>
      <c r="S450">
        <f t="shared" si="977"/>
        <v>-4771.0069890332161</v>
      </c>
      <c r="T450">
        <f t="shared" si="978"/>
        <v>-4.7710069890332161</v>
      </c>
    </row>
    <row r="451" spans="1:20" x14ac:dyDescent="0.25">
      <c r="A451" s="5">
        <v>44142</v>
      </c>
      <c r="B451">
        <v>3.7588000000000003E-2</v>
      </c>
      <c r="C451">
        <v>4.1000000000000002E-2</v>
      </c>
      <c r="D451">
        <v>3.4200000000000001E-2</v>
      </c>
      <c r="E451">
        <v>3.6371000000000001E-2</v>
      </c>
      <c r="F451">
        <v>46177560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-0.36147058823529438</v>
      </c>
      <c r="Q451">
        <f t="shared" si="975"/>
        <v>-16691829.7764706</v>
      </c>
      <c r="R451">
        <f t="shared" si="976"/>
        <v>-490443788.49062771</v>
      </c>
      <c r="S451">
        <f t="shared" si="977"/>
        <v>-4904.4378849062768</v>
      </c>
      <c r="T451">
        <f t="shared" si="978"/>
        <v>-4.9044378849062769</v>
      </c>
    </row>
    <row r="452" spans="1:20" x14ac:dyDescent="0.25">
      <c r="A452" s="5">
        <v>44141</v>
      </c>
      <c r="B452">
        <v>3.4082000000000001E-2</v>
      </c>
      <c r="C452">
        <v>3.85E-2</v>
      </c>
      <c r="D452">
        <v>3.3742000000000001E-2</v>
      </c>
      <c r="E452">
        <v>3.7388999999999999E-2</v>
      </c>
      <c r="F452">
        <v>28402753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0.53299705758722105</v>
      </c>
      <c r="Q452">
        <f t="shared" si="975"/>
        <v>15138583.776376616</v>
      </c>
      <c r="R452">
        <f t="shared" si="976"/>
        <v>-473751958.7141571</v>
      </c>
      <c r="S452">
        <f t="shared" si="977"/>
        <v>-4737.5195871415708</v>
      </c>
      <c r="T452">
        <f t="shared" si="978"/>
        <v>-4.7375195871415707</v>
      </c>
    </row>
    <row r="453" spans="1:20" x14ac:dyDescent="0.25">
      <c r="A453" s="5">
        <v>44140</v>
      </c>
      <c r="B453">
        <v>3.1699999999999999E-2</v>
      </c>
      <c r="C453">
        <v>3.7658999999999998E-2</v>
      </c>
      <c r="D453">
        <v>3.15E-2</v>
      </c>
      <c r="E453">
        <v>3.3950000000000001E-2</v>
      </c>
      <c r="F453">
        <v>64945569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-0.20441630134762082</v>
      </c>
      <c r="Q453">
        <f t="shared" si="975"/>
        <v>-13275933.0038967</v>
      </c>
      <c r="R453">
        <f t="shared" si="976"/>
        <v>-488890542.49053371</v>
      </c>
      <c r="S453">
        <f t="shared" si="977"/>
        <v>-4888.905424905337</v>
      </c>
      <c r="T453">
        <f t="shared" si="978"/>
        <v>-4.888905424905337</v>
      </c>
    </row>
    <row r="454" spans="1:20" x14ac:dyDescent="0.25">
      <c r="A454" s="5">
        <v>44139</v>
      </c>
      <c r="B454">
        <v>3.0898999999999999E-2</v>
      </c>
      <c r="C454">
        <v>3.1868E-2</v>
      </c>
      <c r="D454">
        <v>2.8799999999999999E-2</v>
      </c>
      <c r="E454">
        <v>3.1747999999999998E-2</v>
      </c>
      <c r="F454">
        <v>31990712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0.92177314211212391</v>
      </c>
      <c r="Q454">
        <f t="shared" ref="Q454:Q517" si="980">F454*P454</f>
        <v>29488179.118644029</v>
      </c>
      <c r="R454">
        <f t="shared" ref="R454:R517" si="981">R455+Q454</f>
        <v>-475614609.486637</v>
      </c>
      <c r="S454">
        <f t="shared" ref="S454:S517" si="982">R454/100000</f>
        <v>-4756.1460948663698</v>
      </c>
      <c r="T454">
        <f t="shared" ref="T454:T517" si="983">S454/1000</f>
        <v>-4.7561460948663701</v>
      </c>
    </row>
    <row r="455" spans="1:20" x14ac:dyDescent="0.25">
      <c r="A455" s="5">
        <v>44138</v>
      </c>
      <c r="B455">
        <v>3.5298999999999997E-2</v>
      </c>
      <c r="C455">
        <v>3.5298999999999997E-2</v>
      </c>
      <c r="D455">
        <v>0.03</v>
      </c>
      <c r="E455">
        <v>3.09E-2</v>
      </c>
      <c r="F455">
        <v>33819445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-0.66031326665408496</v>
      </c>
      <c r="Q455">
        <f t="shared" si="980"/>
        <v>-22331428.204378162</v>
      </c>
      <c r="R455">
        <f t="shared" si="981"/>
        <v>-505102788.605281</v>
      </c>
      <c r="S455">
        <f t="shared" si="982"/>
        <v>-5051.0278860528097</v>
      </c>
      <c r="T455">
        <f t="shared" si="983"/>
        <v>-5.0510278860528093</v>
      </c>
    </row>
    <row r="456" spans="1:20" x14ac:dyDescent="0.25">
      <c r="A456" s="5">
        <v>44137</v>
      </c>
      <c r="B456">
        <v>3.5536999999999999E-2</v>
      </c>
      <c r="C456">
        <v>3.6257999999999999E-2</v>
      </c>
      <c r="D456">
        <v>3.3500000000000002E-2</v>
      </c>
      <c r="E456">
        <v>3.5298999999999997E-2</v>
      </c>
      <c r="F456">
        <v>14739815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0.30456852791877975</v>
      </c>
      <c r="Q456">
        <f t="shared" si="980"/>
        <v>4489283.7563451482</v>
      </c>
      <c r="R456">
        <f t="shared" si="981"/>
        <v>-482771360.40090281</v>
      </c>
      <c r="S456">
        <f t="shared" si="982"/>
        <v>-4827.7136040090281</v>
      </c>
      <c r="T456">
        <f t="shared" si="983"/>
        <v>-4.8277136040090278</v>
      </c>
    </row>
    <row r="457" spans="1:20" x14ac:dyDescent="0.25">
      <c r="A457" s="5">
        <v>44136</v>
      </c>
      <c r="B457">
        <v>3.5395999999999997E-2</v>
      </c>
      <c r="C457">
        <v>3.6399000000000001E-2</v>
      </c>
      <c r="D457">
        <v>3.4644000000000001E-2</v>
      </c>
      <c r="E457">
        <v>3.5589999999999997E-2</v>
      </c>
      <c r="F457">
        <v>12687912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7.8062678062673113E-2</v>
      </c>
      <c r="Q457">
        <f t="shared" si="980"/>
        <v>990452.38974352693</v>
      </c>
      <c r="R457">
        <f t="shared" si="981"/>
        <v>-487260644.15724796</v>
      </c>
      <c r="S457">
        <f t="shared" si="982"/>
        <v>-4872.6064415724795</v>
      </c>
      <c r="T457">
        <f t="shared" si="983"/>
        <v>-4.8726064415724792</v>
      </c>
    </row>
    <row r="458" spans="1:20" x14ac:dyDescent="0.25">
      <c r="A458" s="5">
        <v>44135</v>
      </c>
      <c r="B458">
        <v>3.5659999999999997E-2</v>
      </c>
      <c r="C458">
        <v>3.6999999999999998E-2</v>
      </c>
      <c r="D458">
        <v>3.4500000000000003E-2</v>
      </c>
      <c r="E458">
        <v>3.5403999999999998E-2</v>
      </c>
      <c r="F458">
        <v>11711229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-0.27680000000000254</v>
      </c>
      <c r="Q458">
        <f t="shared" si="980"/>
        <v>-3241668.1872000298</v>
      </c>
      <c r="R458">
        <f t="shared" si="981"/>
        <v>-488251096.54699147</v>
      </c>
      <c r="S458">
        <f t="shared" si="982"/>
        <v>-4882.5109654699145</v>
      </c>
      <c r="T458">
        <f t="shared" si="983"/>
        <v>-4.8825109654699146</v>
      </c>
    </row>
    <row r="459" spans="1:20" x14ac:dyDescent="0.25">
      <c r="A459" s="5">
        <v>44134</v>
      </c>
      <c r="B459">
        <v>3.7679999999999998E-2</v>
      </c>
      <c r="C459">
        <v>3.8995000000000002E-2</v>
      </c>
      <c r="D459">
        <v>3.4000000000000002E-2</v>
      </c>
      <c r="E459">
        <v>3.5666999999999997E-2</v>
      </c>
      <c r="F459">
        <v>35494804</v>
      </c>
      <c r="G459">
        <v>0</v>
      </c>
      <c r="L459" t="s">
        <v>8</v>
      </c>
      <c r="M459" t="s">
        <v>7</v>
      </c>
      <c r="N459" t="s">
        <v>7</v>
      </c>
      <c r="P459">
        <f t="shared" si="979"/>
        <v>-0.33253253253253451</v>
      </c>
      <c r="Q459">
        <f t="shared" si="980"/>
        <v>-11803177.065865936</v>
      </c>
      <c r="R459">
        <f t="shared" si="981"/>
        <v>-485009428.35979146</v>
      </c>
      <c r="S459">
        <f t="shared" si="982"/>
        <v>-4850.0942835979149</v>
      </c>
      <c r="T459">
        <f t="shared" si="983"/>
        <v>-4.8500942835979153</v>
      </c>
    </row>
    <row r="460" spans="1:20" x14ac:dyDescent="0.25">
      <c r="A460" s="5">
        <v>44133</v>
      </c>
      <c r="B460">
        <v>3.5284000000000003E-2</v>
      </c>
      <c r="C460">
        <v>3.9385000000000003E-2</v>
      </c>
      <c r="D460">
        <v>3.3048000000000001E-2</v>
      </c>
      <c r="E460">
        <v>3.7442000000000003E-2</v>
      </c>
      <c r="F460">
        <v>35924279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0.38677607700804811</v>
      </c>
      <c r="Q460">
        <f t="shared" si="980"/>
        <v>13894651.700962605</v>
      </c>
      <c r="R460">
        <f t="shared" si="981"/>
        <v>-473206251.29392552</v>
      </c>
      <c r="S460">
        <f t="shared" si="982"/>
        <v>-4732.0625129392556</v>
      </c>
      <c r="T460">
        <f t="shared" si="983"/>
        <v>-4.7320625129392555</v>
      </c>
    </row>
    <row r="461" spans="1:20" x14ac:dyDescent="0.25">
      <c r="A461" s="5">
        <v>44132</v>
      </c>
      <c r="B461">
        <v>3.7975000000000002E-2</v>
      </c>
      <c r="C461">
        <v>3.8501000000000001E-2</v>
      </c>
      <c r="D461">
        <v>3.4166000000000002E-2</v>
      </c>
      <c r="E461">
        <v>3.5184E-2</v>
      </c>
      <c r="F461">
        <v>38025660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-0.53033448673587158</v>
      </c>
      <c r="Q461">
        <f t="shared" si="980"/>
        <v>-20166318.878892761</v>
      </c>
      <c r="R461">
        <f t="shared" si="981"/>
        <v>-487100902.99488813</v>
      </c>
      <c r="S461">
        <f t="shared" si="982"/>
        <v>-4871.0090299488811</v>
      </c>
      <c r="T461">
        <f t="shared" si="983"/>
        <v>-4.8710090299488815</v>
      </c>
    </row>
    <row r="462" spans="1:20" x14ac:dyDescent="0.25">
      <c r="A462" s="5">
        <v>44131</v>
      </c>
      <c r="B462">
        <v>3.7815000000000001E-2</v>
      </c>
      <c r="C462">
        <v>3.9065999999999997E-2</v>
      </c>
      <c r="D462">
        <v>3.755E-2</v>
      </c>
      <c r="E462">
        <v>3.78E-2</v>
      </c>
      <c r="F462">
        <v>14271594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-0.67018469656991975</v>
      </c>
      <c r="Q462">
        <f t="shared" si="980"/>
        <v>-9564603.8944590874</v>
      </c>
      <c r="R462">
        <f t="shared" si="981"/>
        <v>-466934584.11599535</v>
      </c>
      <c r="S462">
        <f t="shared" si="982"/>
        <v>-4669.3458411599531</v>
      </c>
      <c r="T462">
        <f t="shared" si="983"/>
        <v>-4.6693458411599531</v>
      </c>
    </row>
    <row r="463" spans="1:20" x14ac:dyDescent="0.25">
      <c r="A463" s="5">
        <v>44130</v>
      </c>
      <c r="B463">
        <v>3.9301000000000003E-2</v>
      </c>
      <c r="C463">
        <v>4.1468999999999999E-2</v>
      </c>
      <c r="D463">
        <v>3.7311999999999998E-2</v>
      </c>
      <c r="E463">
        <v>3.7814E-2</v>
      </c>
      <c r="F463">
        <v>28051156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-0.75847967284098994</v>
      </c>
      <c r="Q463">
        <f t="shared" si="980"/>
        <v>-21276231.62569157</v>
      </c>
      <c r="R463">
        <f t="shared" si="981"/>
        <v>-457369980.22153628</v>
      </c>
      <c r="S463">
        <f t="shared" si="982"/>
        <v>-4573.699802215363</v>
      </c>
      <c r="T463">
        <f t="shared" si="983"/>
        <v>-4.573699802215363</v>
      </c>
    </row>
    <row r="464" spans="1:20" x14ac:dyDescent="0.25">
      <c r="A464" s="5">
        <v>44129</v>
      </c>
      <c r="B464">
        <v>4.0598000000000002E-2</v>
      </c>
      <c r="C464">
        <v>4.0947999999999998E-2</v>
      </c>
      <c r="D464">
        <v>3.8295000000000003E-2</v>
      </c>
      <c r="E464">
        <v>3.9300000000000002E-2</v>
      </c>
      <c r="F464">
        <v>21727506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-0.24236713154918915</v>
      </c>
      <c r="Q464">
        <f t="shared" si="980"/>
        <v>-5266033.3049377967</v>
      </c>
      <c r="R464">
        <f t="shared" si="981"/>
        <v>-436093748.59584469</v>
      </c>
      <c r="S464">
        <f t="shared" si="982"/>
        <v>-4360.9374859584468</v>
      </c>
      <c r="T464">
        <f t="shared" si="983"/>
        <v>-4.3609374859584467</v>
      </c>
    </row>
    <row r="465" spans="1:20" x14ac:dyDescent="0.25">
      <c r="A465" s="5">
        <v>44128</v>
      </c>
      <c r="B465">
        <v>3.9933999999999997E-2</v>
      </c>
      <c r="C465">
        <v>4.2500000000000003E-2</v>
      </c>
      <c r="D465">
        <v>3.9850999999999998E-2</v>
      </c>
      <c r="E465">
        <v>4.0599999999999997E-2</v>
      </c>
      <c r="F465">
        <v>16822639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-0.43450358625896707</v>
      </c>
      <c r="Q465">
        <f t="shared" si="980"/>
        <v>-7309496.9758399632</v>
      </c>
      <c r="R465">
        <f t="shared" si="981"/>
        <v>-430827715.29090691</v>
      </c>
      <c r="S465">
        <f t="shared" si="982"/>
        <v>-4308.2771529090687</v>
      </c>
      <c r="T465">
        <f t="shared" si="983"/>
        <v>-4.3082771529090689</v>
      </c>
    </row>
    <row r="466" spans="1:20" x14ac:dyDescent="0.25">
      <c r="A466" s="5">
        <v>44127</v>
      </c>
      <c r="B466">
        <v>3.9938000000000001E-2</v>
      </c>
      <c r="C466">
        <v>4.2999999999999997E-2</v>
      </c>
      <c r="D466">
        <v>3.8757E-2</v>
      </c>
      <c r="E466">
        <v>3.9933999999999997E-2</v>
      </c>
      <c r="F466">
        <v>39390744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-0.44520386518972499</v>
      </c>
      <c r="Q466">
        <f t="shared" si="980"/>
        <v>-17536911.481498968</v>
      </c>
      <c r="R466">
        <f t="shared" si="981"/>
        <v>-423518218.31506693</v>
      </c>
      <c r="S466">
        <f t="shared" si="982"/>
        <v>-4235.1821831506695</v>
      </c>
      <c r="T466">
        <f t="shared" si="983"/>
        <v>-4.2351821831506697</v>
      </c>
    </row>
    <row r="467" spans="1:20" x14ac:dyDescent="0.25">
      <c r="A467" s="5">
        <v>44126</v>
      </c>
      <c r="B467">
        <v>3.8332999999999999E-2</v>
      </c>
      <c r="C467">
        <v>4.1714000000000001E-2</v>
      </c>
      <c r="D467">
        <v>3.8262999999999998E-2</v>
      </c>
      <c r="E467">
        <v>3.9938000000000001E-2</v>
      </c>
      <c r="F467">
        <v>26718518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-2.9266879165458375E-2</v>
      </c>
      <c r="Q467">
        <f t="shared" si="980"/>
        <v>-781967.6377861246</v>
      </c>
      <c r="R467">
        <f t="shared" si="981"/>
        <v>-405981306.83356798</v>
      </c>
      <c r="S467">
        <f t="shared" si="982"/>
        <v>-4059.8130683356799</v>
      </c>
      <c r="T467">
        <f t="shared" si="983"/>
        <v>-4.0598130683356795</v>
      </c>
    </row>
    <row r="468" spans="1:20" x14ac:dyDescent="0.25">
      <c r="A468" s="5">
        <v>44125</v>
      </c>
      <c r="B468">
        <v>3.8825999999999999E-2</v>
      </c>
      <c r="C468">
        <v>3.9586000000000003E-2</v>
      </c>
      <c r="D468">
        <v>3.6537E-2</v>
      </c>
      <c r="E468">
        <v>3.8332999999999999E-2</v>
      </c>
      <c r="F468">
        <v>34851076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0.17809117743522279</v>
      </c>
      <c r="Q468">
        <f t="shared" si="980"/>
        <v>6206669.1597244348</v>
      </c>
      <c r="R468">
        <f t="shared" si="981"/>
        <v>-405199339.19578183</v>
      </c>
      <c r="S468">
        <f t="shared" si="982"/>
        <v>-4051.9933919578184</v>
      </c>
      <c r="T468">
        <f t="shared" si="983"/>
        <v>-4.0519933919578186</v>
      </c>
    </row>
    <row r="469" spans="1:20" x14ac:dyDescent="0.25">
      <c r="A469" s="5">
        <v>44124</v>
      </c>
      <c r="B469">
        <v>4.0597000000000001E-2</v>
      </c>
      <c r="C469">
        <v>4.1791000000000002E-2</v>
      </c>
      <c r="D469">
        <v>3.8029E-2</v>
      </c>
      <c r="E469">
        <v>3.8877000000000002E-2</v>
      </c>
      <c r="F469">
        <v>25381518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-0.54917597022860121</v>
      </c>
      <c r="Q469">
        <f t="shared" si="980"/>
        <v>-13938919.773524705</v>
      </c>
      <c r="R469">
        <f t="shared" si="981"/>
        <v>-411406008.35550624</v>
      </c>
      <c r="S469">
        <f t="shared" si="982"/>
        <v>-4114.0600835550622</v>
      </c>
      <c r="T469">
        <f t="shared" si="983"/>
        <v>-4.1140600835550618</v>
      </c>
    </row>
    <row r="470" spans="1:20" x14ac:dyDescent="0.25">
      <c r="A470" s="5">
        <v>44123</v>
      </c>
      <c r="B470">
        <v>4.2626999999999998E-2</v>
      </c>
      <c r="C470">
        <v>4.3889999999999998E-2</v>
      </c>
      <c r="D470">
        <v>4.0500000000000001E-2</v>
      </c>
      <c r="E470">
        <v>4.0597000000000001E-2</v>
      </c>
      <c r="F470">
        <v>30121217</v>
      </c>
      <c r="G470">
        <v>0</v>
      </c>
      <c r="L470" t="s">
        <v>7</v>
      </c>
      <c r="M470" t="s">
        <v>7</v>
      </c>
      <c r="N470" t="s">
        <v>8</v>
      </c>
      <c r="P470">
        <f t="shared" si="979"/>
        <v>-0.94277286135693217</v>
      </c>
      <c r="Q470">
        <f t="shared" si="980"/>
        <v>-28397465.938643068</v>
      </c>
      <c r="R470">
        <f t="shared" si="981"/>
        <v>-397467088.58198154</v>
      </c>
      <c r="S470">
        <f t="shared" si="982"/>
        <v>-3974.6708858198153</v>
      </c>
      <c r="T470">
        <f t="shared" si="983"/>
        <v>-3.9746708858198154</v>
      </c>
    </row>
    <row r="471" spans="1:20" x14ac:dyDescent="0.25">
      <c r="A471" s="5">
        <v>44122</v>
      </c>
      <c r="B471">
        <v>4.3150000000000001E-2</v>
      </c>
      <c r="C471">
        <v>4.3550999999999999E-2</v>
      </c>
      <c r="D471">
        <v>4.2144000000000001E-2</v>
      </c>
      <c r="E471">
        <v>4.2479999999999997E-2</v>
      </c>
      <c r="F471">
        <v>12064199</v>
      </c>
      <c r="G471">
        <v>0</v>
      </c>
      <c r="L471" t="s">
        <v>8</v>
      </c>
      <c r="M471" t="s">
        <v>7</v>
      </c>
      <c r="N471" t="s">
        <v>8</v>
      </c>
      <c r="P471">
        <f t="shared" si="979"/>
        <v>-0.52238805970149771</v>
      </c>
      <c r="Q471">
        <f t="shared" si="980"/>
        <v>-6302193.5074627493</v>
      </c>
      <c r="R471">
        <f t="shared" si="981"/>
        <v>-369069622.6433385</v>
      </c>
      <c r="S471">
        <f t="shared" si="982"/>
        <v>-3690.6962264333852</v>
      </c>
      <c r="T471">
        <f t="shared" si="983"/>
        <v>-3.6906962264333854</v>
      </c>
    </row>
    <row r="472" spans="1:20" x14ac:dyDescent="0.25">
      <c r="A472" s="5">
        <v>44121</v>
      </c>
      <c r="B472">
        <v>4.3444000000000003E-2</v>
      </c>
      <c r="C472">
        <v>4.4283999999999997E-2</v>
      </c>
      <c r="D472">
        <v>4.2570999999999998E-2</v>
      </c>
      <c r="E472">
        <v>4.3076000000000003E-2</v>
      </c>
      <c r="F472">
        <v>11435390</v>
      </c>
      <c r="G472">
        <v>0</v>
      </c>
      <c r="L472" t="s">
        <v>8</v>
      </c>
      <c r="M472" t="s">
        <v>7</v>
      </c>
      <c r="N472" t="s">
        <v>8</v>
      </c>
      <c r="P472">
        <f t="shared" si="979"/>
        <v>-0.41039112667833549</v>
      </c>
      <c r="Q472">
        <f t="shared" si="980"/>
        <v>-4692982.5861061709</v>
      </c>
      <c r="R472">
        <f t="shared" si="981"/>
        <v>-362767429.13587576</v>
      </c>
      <c r="S472">
        <f t="shared" si="982"/>
        <v>-3627.6742913587577</v>
      </c>
      <c r="T472">
        <f t="shared" si="983"/>
        <v>-3.6276742913587579</v>
      </c>
    </row>
    <row r="473" spans="1:20" x14ac:dyDescent="0.25">
      <c r="A473" s="5">
        <v>44120</v>
      </c>
      <c r="B473">
        <v>4.4808000000000001E-2</v>
      </c>
      <c r="C473">
        <v>4.5040999999999998E-2</v>
      </c>
      <c r="D473">
        <v>4.0733999999999999E-2</v>
      </c>
      <c r="E473">
        <v>4.3513999999999997E-2</v>
      </c>
      <c r="F473">
        <v>27073932</v>
      </c>
      <c r="G473">
        <v>0</v>
      </c>
      <c r="L473" t="s">
        <v>7</v>
      </c>
      <c r="M473" t="s">
        <v>7</v>
      </c>
      <c r="N473" t="s">
        <v>8</v>
      </c>
      <c r="P473">
        <f t="shared" si="979"/>
        <v>0.29092175528209835</v>
      </c>
      <c r="Q473">
        <f t="shared" si="980"/>
        <v>7876395.8198281713</v>
      </c>
      <c r="R473">
        <f t="shared" si="981"/>
        <v>-358074446.54976958</v>
      </c>
      <c r="S473">
        <f t="shared" si="982"/>
        <v>-3580.7444654976957</v>
      </c>
      <c r="T473">
        <f t="shared" si="983"/>
        <v>-3.5807444654976956</v>
      </c>
    </row>
    <row r="474" spans="1:20" x14ac:dyDescent="0.25">
      <c r="A474" s="5">
        <v>44119</v>
      </c>
      <c r="B474">
        <v>4.5754999999999997E-2</v>
      </c>
      <c r="C474">
        <v>4.6199999999999998E-2</v>
      </c>
      <c r="D474">
        <v>4.4052000000000001E-2</v>
      </c>
      <c r="E474">
        <v>4.4914999999999997E-2</v>
      </c>
      <c r="F474">
        <v>11428312</v>
      </c>
      <c r="G474">
        <v>0</v>
      </c>
      <c r="L474" t="s">
        <v>7</v>
      </c>
      <c r="M474" t="s">
        <v>8</v>
      </c>
      <c r="N474" t="s">
        <v>8</v>
      </c>
      <c r="P474">
        <f t="shared" si="979"/>
        <v>-0.19646182495344799</v>
      </c>
      <c r="Q474">
        <f t="shared" si="980"/>
        <v>-2245227.0316573894</v>
      </c>
      <c r="R474">
        <f t="shared" si="981"/>
        <v>-365950842.36959773</v>
      </c>
      <c r="S474">
        <f t="shared" si="982"/>
        <v>-3659.5084236959774</v>
      </c>
      <c r="T474">
        <f t="shared" si="983"/>
        <v>-3.6595084236959776</v>
      </c>
    </row>
    <row r="475" spans="1:20" x14ac:dyDescent="0.25">
      <c r="A475" s="5">
        <v>44118</v>
      </c>
      <c r="B475">
        <v>4.6350000000000002E-2</v>
      </c>
      <c r="C475">
        <v>4.7101999999999998E-2</v>
      </c>
      <c r="D475">
        <v>4.4999999999999998E-2</v>
      </c>
      <c r="E475">
        <v>4.5984999999999998E-2</v>
      </c>
      <c r="F475">
        <v>16665532</v>
      </c>
      <c r="G475">
        <v>0</v>
      </c>
      <c r="L475" t="s">
        <v>7</v>
      </c>
      <c r="M475" t="s">
        <v>8</v>
      </c>
      <c r="N475" t="s">
        <v>8</v>
      </c>
      <c r="P475">
        <f t="shared" si="979"/>
        <v>-6.2797335870599519E-2</v>
      </c>
      <c r="Q475">
        <f t="shared" si="980"/>
        <v>-1046551.0104662242</v>
      </c>
      <c r="R475">
        <f t="shared" si="981"/>
        <v>-363705615.33794034</v>
      </c>
      <c r="S475">
        <f t="shared" si="982"/>
        <v>-3637.0561533794034</v>
      </c>
      <c r="T475">
        <f t="shared" si="983"/>
        <v>-3.6370561533794032</v>
      </c>
    </row>
    <row r="476" spans="1:20" x14ac:dyDescent="0.25">
      <c r="A476" s="5">
        <v>44117</v>
      </c>
      <c r="B476">
        <v>4.7317999999999999E-2</v>
      </c>
      <c r="C476">
        <v>4.9286000000000003E-2</v>
      </c>
      <c r="D476">
        <v>4.5386999999999997E-2</v>
      </c>
      <c r="E476">
        <v>4.6366999999999998E-2</v>
      </c>
      <c r="F476">
        <v>26356115</v>
      </c>
      <c r="G476">
        <v>0</v>
      </c>
      <c r="L476" t="s">
        <v>7</v>
      </c>
      <c r="M476" t="s">
        <v>8</v>
      </c>
      <c r="N476" t="s">
        <v>8</v>
      </c>
      <c r="P476">
        <f t="shared" si="979"/>
        <v>-0.4973070017953321</v>
      </c>
      <c r="Q476">
        <f t="shared" si="980"/>
        <v>-13107080.529622979</v>
      </c>
      <c r="R476">
        <f t="shared" si="981"/>
        <v>-362659064.32747412</v>
      </c>
      <c r="S476">
        <f t="shared" si="982"/>
        <v>-3626.5906432747411</v>
      </c>
      <c r="T476">
        <f t="shared" si="983"/>
        <v>-3.6265906432747412</v>
      </c>
    </row>
    <row r="477" spans="1:20" x14ac:dyDescent="0.25">
      <c r="A477" s="5">
        <v>44116</v>
      </c>
      <c r="B477">
        <v>4.8611000000000001E-2</v>
      </c>
      <c r="C477">
        <v>5.0492000000000002E-2</v>
      </c>
      <c r="D477">
        <v>4.6399999999999997E-2</v>
      </c>
      <c r="E477">
        <v>4.7316999999999998E-2</v>
      </c>
      <c r="F477">
        <v>35294513</v>
      </c>
      <c r="G477">
        <v>0</v>
      </c>
      <c r="L477" t="s">
        <v>8</v>
      </c>
      <c r="M477" t="s">
        <v>8</v>
      </c>
      <c r="N477" t="s">
        <v>8</v>
      </c>
      <c r="P477">
        <f t="shared" si="979"/>
        <v>-0.55180840664711639</v>
      </c>
      <c r="Q477">
        <f t="shared" si="980"/>
        <v>-19475808.981915936</v>
      </c>
      <c r="R477">
        <f t="shared" si="981"/>
        <v>-349551983.79785115</v>
      </c>
      <c r="S477">
        <f t="shared" si="982"/>
        <v>-3495.5198379785115</v>
      </c>
      <c r="T477">
        <f t="shared" si="983"/>
        <v>-3.4955198379785117</v>
      </c>
    </row>
    <row r="478" spans="1:20" x14ac:dyDescent="0.25">
      <c r="A478" s="5">
        <v>44115</v>
      </c>
      <c r="B478">
        <v>4.5600000000000002E-2</v>
      </c>
      <c r="C478">
        <v>4.9659000000000002E-2</v>
      </c>
      <c r="D478">
        <v>4.5157999999999997E-2</v>
      </c>
      <c r="E478">
        <v>4.8887E-2</v>
      </c>
      <c r="F478">
        <v>22970830</v>
      </c>
      <c r="G478">
        <v>0</v>
      </c>
      <c r="L478" t="s">
        <v>7</v>
      </c>
      <c r="M478" t="s">
        <v>8</v>
      </c>
      <c r="N478" t="s">
        <v>8</v>
      </c>
      <c r="P478">
        <f t="shared" si="979"/>
        <v>0.65696511886247455</v>
      </c>
      <c r="Q478">
        <f t="shared" si="980"/>
        <v>15091034.061319696</v>
      </c>
      <c r="R478">
        <f t="shared" si="981"/>
        <v>-330076174.81593519</v>
      </c>
      <c r="S478">
        <f t="shared" si="982"/>
        <v>-3300.761748159352</v>
      </c>
      <c r="T478">
        <f t="shared" si="983"/>
        <v>-3.3007617481593519</v>
      </c>
    </row>
    <row r="479" spans="1:20" x14ac:dyDescent="0.25">
      <c r="A479" s="5">
        <v>44114</v>
      </c>
      <c r="B479">
        <v>4.9699E-2</v>
      </c>
      <c r="C479">
        <v>5.1527000000000003E-2</v>
      </c>
      <c r="D479">
        <v>4.5199999999999997E-2</v>
      </c>
      <c r="E479">
        <v>4.5802000000000002E-2</v>
      </c>
      <c r="F479">
        <v>39441533</v>
      </c>
      <c r="G479">
        <v>0</v>
      </c>
      <c r="L479" t="s">
        <v>8</v>
      </c>
      <c r="M479" t="s">
        <v>8</v>
      </c>
      <c r="N479" t="s">
        <v>8</v>
      </c>
      <c r="P479">
        <f t="shared" si="979"/>
        <v>-0.80970444128338714</v>
      </c>
      <c r="Q479">
        <f t="shared" si="980"/>
        <v>-31935984.441125277</v>
      </c>
      <c r="R479">
        <f t="shared" si="981"/>
        <v>-345167208.8772549</v>
      </c>
      <c r="S479">
        <f t="shared" si="982"/>
        <v>-3451.6720887725492</v>
      </c>
      <c r="T479">
        <f t="shared" si="983"/>
        <v>-3.4516720887725492</v>
      </c>
    </row>
    <row r="480" spans="1:20" x14ac:dyDescent="0.25">
      <c r="A480" s="5">
        <v>44113</v>
      </c>
      <c r="B480">
        <v>4.7946999999999997E-2</v>
      </c>
      <c r="C480">
        <v>5.0422000000000002E-2</v>
      </c>
      <c r="D480">
        <v>4.5900000000000003E-2</v>
      </c>
      <c r="E480">
        <v>4.9703999999999998E-2</v>
      </c>
      <c r="F480">
        <v>23636082</v>
      </c>
      <c r="G480">
        <v>0</v>
      </c>
      <c r="L480" t="s">
        <v>8</v>
      </c>
      <c r="M480" t="s">
        <v>7</v>
      </c>
      <c r="N480" t="s">
        <v>8</v>
      </c>
      <c r="P480">
        <f t="shared" si="979"/>
        <v>0.68244139761167466</v>
      </c>
      <c r="Q480">
        <f t="shared" si="980"/>
        <v>16130240.834144147</v>
      </c>
      <c r="R480">
        <f t="shared" si="981"/>
        <v>-313231224.43612963</v>
      </c>
      <c r="S480">
        <f t="shared" si="982"/>
        <v>-3132.3122443612965</v>
      </c>
      <c r="T480">
        <f t="shared" si="983"/>
        <v>-3.1323122443612963</v>
      </c>
    </row>
    <row r="481" spans="1:20" x14ac:dyDescent="0.25">
      <c r="A481" s="5">
        <v>44112</v>
      </c>
      <c r="B481">
        <v>4.5456999999999997E-2</v>
      </c>
      <c r="C481">
        <v>4.8000000000000001E-2</v>
      </c>
      <c r="D481">
        <v>4.2999999999999997E-2</v>
      </c>
      <c r="E481">
        <v>4.7717000000000002E-2</v>
      </c>
      <c r="F481">
        <v>18228183</v>
      </c>
      <c r="G481">
        <v>0</v>
      </c>
      <c r="L481" t="s">
        <v>8</v>
      </c>
      <c r="M481" t="s">
        <v>7</v>
      </c>
      <c r="N481" t="s">
        <v>8</v>
      </c>
      <c r="P481">
        <f t="shared" si="979"/>
        <v>0.8868000000000007</v>
      </c>
      <c r="Q481">
        <f t="shared" si="980"/>
        <v>16164752.684400013</v>
      </c>
      <c r="R481">
        <f t="shared" si="981"/>
        <v>-329361465.2702738</v>
      </c>
      <c r="S481">
        <f t="shared" si="982"/>
        <v>-3293.6146527027381</v>
      </c>
      <c r="T481">
        <f t="shared" si="983"/>
        <v>-3.2936146527027379</v>
      </c>
    </row>
    <row r="482" spans="1:20" x14ac:dyDescent="0.25">
      <c r="A482" s="5">
        <v>44111</v>
      </c>
      <c r="B482">
        <v>4.6644999999999999E-2</v>
      </c>
      <c r="C482">
        <v>4.6760000000000003E-2</v>
      </c>
      <c r="D482">
        <v>4.2533000000000001E-2</v>
      </c>
      <c r="E482">
        <v>4.5407000000000003E-2</v>
      </c>
      <c r="F482">
        <v>20601821</v>
      </c>
      <c r="G482">
        <v>0</v>
      </c>
      <c r="L482" t="s">
        <v>7</v>
      </c>
      <c r="M482" t="s">
        <v>7</v>
      </c>
      <c r="N482" t="s">
        <v>8</v>
      </c>
      <c r="P482">
        <f t="shared" si="979"/>
        <v>0.35982966643009251</v>
      </c>
      <c r="Q482">
        <f t="shared" si="980"/>
        <v>7413146.3782824753</v>
      </c>
      <c r="R482">
        <f t="shared" si="981"/>
        <v>-345526217.95467383</v>
      </c>
      <c r="S482">
        <f t="shared" si="982"/>
        <v>-3455.2621795467385</v>
      </c>
      <c r="T482">
        <f t="shared" si="983"/>
        <v>-3.4552621795467386</v>
      </c>
    </row>
    <row r="483" spans="1:20" x14ac:dyDescent="0.25">
      <c r="A483" s="5">
        <v>44110</v>
      </c>
      <c r="B483">
        <v>5.0896999999999998E-2</v>
      </c>
      <c r="C483">
        <v>5.0916000000000003E-2</v>
      </c>
      <c r="D483">
        <v>4.5672999999999998E-2</v>
      </c>
      <c r="E483">
        <v>4.6363000000000001E-2</v>
      </c>
      <c r="F483">
        <v>45825504</v>
      </c>
      <c r="G483">
        <v>0</v>
      </c>
      <c r="L483" t="s">
        <v>7</v>
      </c>
      <c r="M483" t="s">
        <v>7</v>
      </c>
      <c r="N483" t="s">
        <v>8</v>
      </c>
      <c r="P483">
        <f t="shared" si="979"/>
        <v>-0.73679191302689206</v>
      </c>
      <c r="Q483">
        <f t="shared" si="980"/>
        <v>-33763860.757581495</v>
      </c>
      <c r="R483">
        <f t="shared" si="981"/>
        <v>-352939364.33295631</v>
      </c>
      <c r="S483">
        <f t="shared" si="982"/>
        <v>-3529.393643329563</v>
      </c>
      <c r="T483">
        <f t="shared" si="983"/>
        <v>-3.5293936433295632</v>
      </c>
    </row>
    <row r="484" spans="1:20" x14ac:dyDescent="0.25">
      <c r="A484" s="5">
        <v>44109</v>
      </c>
      <c r="B484">
        <v>4.8397999999999997E-2</v>
      </c>
      <c r="C484">
        <v>5.4528E-2</v>
      </c>
      <c r="D484">
        <v>4.709E-2</v>
      </c>
      <c r="E484">
        <v>5.0896999999999998E-2</v>
      </c>
      <c r="F484">
        <v>79367204</v>
      </c>
      <c r="G484">
        <v>0</v>
      </c>
      <c r="L484" t="s">
        <v>8</v>
      </c>
      <c r="M484" t="s">
        <v>8</v>
      </c>
      <c r="N484" t="s">
        <v>8</v>
      </c>
      <c r="P484">
        <f t="shared" si="979"/>
        <v>2.366227480505453E-2</v>
      </c>
      <c r="Q484">
        <f t="shared" si="980"/>
        <v>1878008.5915568231</v>
      </c>
      <c r="R484">
        <f t="shared" si="981"/>
        <v>-319175503.57537484</v>
      </c>
      <c r="S484">
        <f t="shared" si="982"/>
        <v>-3191.7550357537484</v>
      </c>
      <c r="T484">
        <f t="shared" si="983"/>
        <v>-3.1917550357537485</v>
      </c>
    </row>
    <row r="485" spans="1:20" x14ac:dyDescent="0.25">
      <c r="A485" s="5">
        <v>44108</v>
      </c>
      <c r="B485">
        <v>4.5283999999999998E-2</v>
      </c>
      <c r="C485">
        <v>4.888E-2</v>
      </c>
      <c r="D485">
        <v>4.2209000000000003E-2</v>
      </c>
      <c r="E485">
        <v>4.8599999999999997E-2</v>
      </c>
      <c r="F485">
        <v>45636836</v>
      </c>
      <c r="G485">
        <v>0</v>
      </c>
      <c r="L485" t="s">
        <v>8</v>
      </c>
      <c r="M485" t="s">
        <v>8</v>
      </c>
      <c r="N485" t="s">
        <v>7</v>
      </c>
      <c r="P485">
        <f t="shared" si="979"/>
        <v>0.91605456453305278</v>
      </c>
      <c r="Q485">
        <f t="shared" si="980"/>
        <v>41805831.928646348</v>
      </c>
      <c r="R485">
        <f t="shared" si="981"/>
        <v>-321053512.16693169</v>
      </c>
      <c r="S485">
        <f t="shared" si="982"/>
        <v>-3210.535121669317</v>
      </c>
      <c r="T485">
        <f t="shared" si="983"/>
        <v>-3.210535121669317</v>
      </c>
    </row>
    <row r="486" spans="1:20" x14ac:dyDescent="0.25">
      <c r="A486" s="5">
        <v>44107</v>
      </c>
      <c r="B486">
        <v>4.0925000000000003E-2</v>
      </c>
      <c r="C486">
        <v>4.7244000000000001E-2</v>
      </c>
      <c r="D486">
        <v>4.0837999999999999E-2</v>
      </c>
      <c r="E486">
        <v>4.5290999999999998E-2</v>
      </c>
      <c r="F486">
        <v>47591080</v>
      </c>
      <c r="G486">
        <v>0</v>
      </c>
      <c r="L486" t="s">
        <v>8</v>
      </c>
      <c r="M486" t="s">
        <v>8</v>
      </c>
      <c r="N486" t="s">
        <v>7</v>
      </c>
      <c r="P486">
        <f t="shared" si="979"/>
        <v>0.39025913206368945</v>
      </c>
      <c r="Q486">
        <f t="shared" si="980"/>
        <v>18572853.57477361</v>
      </c>
      <c r="R486">
        <f t="shared" si="981"/>
        <v>-362859344.09557801</v>
      </c>
      <c r="S486">
        <f t="shared" si="982"/>
        <v>-3628.5934409557804</v>
      </c>
      <c r="T486">
        <f t="shared" si="983"/>
        <v>-3.6285934409557803</v>
      </c>
    </row>
    <row r="487" spans="1:20" x14ac:dyDescent="0.25">
      <c r="A487" s="5">
        <v>44106</v>
      </c>
      <c r="B487">
        <v>4.2426999999999999E-2</v>
      </c>
      <c r="C487">
        <v>4.3450000000000003E-2</v>
      </c>
      <c r="D487">
        <v>3.9133000000000001E-2</v>
      </c>
      <c r="E487">
        <v>4.0925000000000003E-2</v>
      </c>
      <c r="F487">
        <v>30274129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-0.16979383831364311</v>
      </c>
      <c r="Q487">
        <f t="shared" si="980"/>
        <v>-5140360.5645123739</v>
      </c>
      <c r="R487">
        <f t="shared" si="981"/>
        <v>-381432197.67035162</v>
      </c>
      <c r="S487">
        <f t="shared" si="982"/>
        <v>-3814.3219767035162</v>
      </c>
      <c r="T487">
        <f t="shared" si="983"/>
        <v>-3.8143219767035164</v>
      </c>
    </row>
    <row r="488" spans="1:20" x14ac:dyDescent="0.25">
      <c r="A488" s="5">
        <v>44105</v>
      </c>
      <c r="B488">
        <v>4.6153E-2</v>
      </c>
      <c r="C488">
        <v>4.6785E-2</v>
      </c>
      <c r="D488">
        <v>4.1000000000000002E-2</v>
      </c>
      <c r="E488">
        <v>4.2426999999999999E-2</v>
      </c>
      <c r="F488">
        <v>33640492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-0.5066551426101995</v>
      </c>
      <c r="Q488">
        <f t="shared" si="980"/>
        <v>-17044128.271737274</v>
      </c>
      <c r="R488">
        <f t="shared" si="981"/>
        <v>-376291837.10583925</v>
      </c>
      <c r="S488">
        <f t="shared" si="982"/>
        <v>-3762.9183710583925</v>
      </c>
      <c r="T488">
        <f t="shared" si="983"/>
        <v>-3.7629183710583924</v>
      </c>
    </row>
    <row r="489" spans="1:20" x14ac:dyDescent="0.25">
      <c r="A489" s="5">
        <v>44104</v>
      </c>
      <c r="B489">
        <v>4.3586E-2</v>
      </c>
      <c r="C489">
        <v>4.8059999999999999E-2</v>
      </c>
      <c r="D489">
        <v>4.2102000000000001E-2</v>
      </c>
      <c r="E489">
        <v>4.6153E-2</v>
      </c>
      <c r="F489">
        <v>60182366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0.35985229942933883</v>
      </c>
      <c r="Q489">
        <f t="shared" si="980"/>
        <v>21656762.790198062</v>
      </c>
      <c r="R489">
        <f t="shared" si="981"/>
        <v>-359247708.83410197</v>
      </c>
      <c r="S489">
        <f t="shared" si="982"/>
        <v>-3592.4770883410197</v>
      </c>
      <c r="T489">
        <f t="shared" si="983"/>
        <v>-3.5924770883410195</v>
      </c>
    </row>
    <row r="490" spans="1:20" x14ac:dyDescent="0.25">
      <c r="A490" s="5">
        <v>44103</v>
      </c>
      <c r="B490">
        <v>4.1611000000000002E-2</v>
      </c>
      <c r="C490">
        <v>4.3999999999999997E-2</v>
      </c>
      <c r="D490">
        <v>4.1324E-2</v>
      </c>
      <c r="E490">
        <v>4.3586E-2</v>
      </c>
      <c r="F490">
        <v>26164860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0.69058295964125704</v>
      </c>
      <c r="Q490">
        <f t="shared" si="980"/>
        <v>18069006.457399141</v>
      </c>
      <c r="R490">
        <f t="shared" si="981"/>
        <v>-380904471.62430006</v>
      </c>
      <c r="S490">
        <f t="shared" si="982"/>
        <v>-3809.0447162430005</v>
      </c>
      <c r="T490">
        <f t="shared" si="983"/>
        <v>-3.8090447162430006</v>
      </c>
    </row>
    <row r="491" spans="1:20" x14ac:dyDescent="0.25">
      <c r="A491" s="5">
        <v>44102</v>
      </c>
      <c r="B491">
        <v>4.3157000000000001E-2</v>
      </c>
      <c r="C491">
        <v>4.5699999999999998E-2</v>
      </c>
      <c r="D491">
        <v>4.0714E-2</v>
      </c>
      <c r="E491">
        <v>4.1611000000000002E-2</v>
      </c>
      <c r="F491">
        <v>52291820</v>
      </c>
      <c r="G491">
        <v>0</v>
      </c>
      <c r="L491" t="s">
        <v>8</v>
      </c>
      <c r="M491" t="s">
        <v>7</v>
      </c>
      <c r="N491" t="s">
        <v>7</v>
      </c>
      <c r="P491">
        <f t="shared" si="979"/>
        <v>-0.64019253910950569</v>
      </c>
      <c r="Q491">
        <f t="shared" si="980"/>
        <v>-33476833.020457231</v>
      </c>
      <c r="R491">
        <f t="shared" si="981"/>
        <v>-398973478.08169919</v>
      </c>
      <c r="S491">
        <f t="shared" si="982"/>
        <v>-3989.734780816992</v>
      </c>
      <c r="T491">
        <f t="shared" si="983"/>
        <v>-3.9897347808169918</v>
      </c>
    </row>
    <row r="492" spans="1:20" x14ac:dyDescent="0.25">
      <c r="A492" s="5">
        <v>44101</v>
      </c>
      <c r="B492">
        <v>4.6399999999999997E-2</v>
      </c>
      <c r="C492">
        <v>4.6494000000000001E-2</v>
      </c>
      <c r="D492">
        <v>4.1099999999999998E-2</v>
      </c>
      <c r="E492">
        <v>4.3240000000000001E-2</v>
      </c>
      <c r="F492">
        <v>64324503</v>
      </c>
      <c r="G492">
        <v>0</v>
      </c>
      <c r="L492" t="s">
        <v>7</v>
      </c>
      <c r="M492" t="s">
        <v>7</v>
      </c>
      <c r="N492" t="s">
        <v>7</v>
      </c>
      <c r="P492">
        <f t="shared" si="979"/>
        <v>-0.20652576937337713</v>
      </c>
      <c r="Q492">
        <f t="shared" si="980"/>
        <v>-13284667.471635105</v>
      </c>
      <c r="R492">
        <f t="shared" si="981"/>
        <v>-365496645.06124198</v>
      </c>
      <c r="S492">
        <f t="shared" si="982"/>
        <v>-3654.96645061242</v>
      </c>
      <c r="T492">
        <f t="shared" si="983"/>
        <v>-3.6549664506124198</v>
      </c>
    </row>
    <row r="493" spans="1:20" x14ac:dyDescent="0.25">
      <c r="A493" s="5">
        <v>44100</v>
      </c>
      <c r="B493">
        <v>4.8391999999999998E-2</v>
      </c>
      <c r="C493">
        <v>4.8899999999999999E-2</v>
      </c>
      <c r="D493">
        <v>4.5312999999999999E-2</v>
      </c>
      <c r="E493">
        <v>4.6543000000000001E-2</v>
      </c>
      <c r="F493">
        <v>34526641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-0.31419013102871374</v>
      </c>
      <c r="Q493">
        <f t="shared" si="980"/>
        <v>-10847929.85977136</v>
      </c>
      <c r="R493">
        <f t="shared" si="981"/>
        <v>-352211977.58960688</v>
      </c>
      <c r="S493">
        <f t="shared" si="982"/>
        <v>-3522.1197758960689</v>
      </c>
      <c r="T493">
        <f t="shared" si="983"/>
        <v>-3.5221197758960687</v>
      </c>
    </row>
    <row r="494" spans="1:20" x14ac:dyDescent="0.25">
      <c r="A494" s="5">
        <v>44099</v>
      </c>
      <c r="B494">
        <v>4.7820000000000001E-2</v>
      </c>
      <c r="C494">
        <v>5.0119999999999998E-2</v>
      </c>
      <c r="D494">
        <v>4.5600000000000002E-2</v>
      </c>
      <c r="E494">
        <v>4.8397000000000003E-2</v>
      </c>
      <c r="F494">
        <v>69028105</v>
      </c>
      <c r="G494">
        <v>0</v>
      </c>
      <c r="L494" t="s">
        <v>7</v>
      </c>
      <c r="M494" t="s">
        <v>8</v>
      </c>
      <c r="N494" t="s">
        <v>7</v>
      </c>
      <c r="P494">
        <f t="shared" si="979"/>
        <v>0.23761061946902795</v>
      </c>
      <c r="Q494">
        <f t="shared" si="980"/>
        <v>16401810.789823106</v>
      </c>
      <c r="R494">
        <f t="shared" si="981"/>
        <v>-341364047.72983551</v>
      </c>
      <c r="S494">
        <f t="shared" si="982"/>
        <v>-3413.6404772983551</v>
      </c>
      <c r="T494">
        <f t="shared" si="983"/>
        <v>-3.4136404772983551</v>
      </c>
    </row>
    <row r="495" spans="1:20" x14ac:dyDescent="0.25">
      <c r="A495" s="5">
        <v>44098</v>
      </c>
      <c r="B495">
        <v>4.2751999999999998E-2</v>
      </c>
      <c r="C495">
        <v>5.0999999999999997E-2</v>
      </c>
      <c r="D495">
        <v>4.2346000000000002E-2</v>
      </c>
      <c r="E495">
        <v>4.7823999999999998E-2</v>
      </c>
      <c r="F495">
        <v>134291939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0.26600415992604576</v>
      </c>
      <c r="Q495">
        <f t="shared" si="980"/>
        <v>35722214.418534778</v>
      </c>
      <c r="R495">
        <f t="shared" si="981"/>
        <v>-357765858.51965863</v>
      </c>
      <c r="S495">
        <f t="shared" si="982"/>
        <v>-3577.658585196586</v>
      </c>
      <c r="T495">
        <f t="shared" si="983"/>
        <v>-3.5776585851965859</v>
      </c>
    </row>
    <row r="496" spans="1:20" x14ac:dyDescent="0.25">
      <c r="A496" s="5">
        <v>44097</v>
      </c>
      <c r="B496">
        <v>4.3736999999999998E-2</v>
      </c>
      <c r="C496">
        <v>4.9500000000000002E-2</v>
      </c>
      <c r="D496">
        <v>4.1102E-2</v>
      </c>
      <c r="E496">
        <v>4.2729000000000003E-2</v>
      </c>
      <c r="F496">
        <v>127165767</v>
      </c>
      <c r="G496">
        <v>0</v>
      </c>
      <c r="L496" t="s">
        <v>8</v>
      </c>
      <c r="M496" t="s">
        <v>8</v>
      </c>
      <c r="N496" t="s">
        <v>7</v>
      </c>
      <c r="P496">
        <f t="shared" si="979"/>
        <v>-0.61252679209335481</v>
      </c>
      <c r="Q496">
        <f t="shared" si="980"/>
        <v>-77892439.324600995</v>
      </c>
      <c r="R496">
        <f t="shared" si="981"/>
        <v>-393488072.93819338</v>
      </c>
      <c r="S496">
        <f t="shared" si="982"/>
        <v>-3934.8807293819336</v>
      </c>
      <c r="T496">
        <f t="shared" si="983"/>
        <v>-3.9348807293819337</v>
      </c>
    </row>
    <row r="497" spans="1:20" x14ac:dyDescent="0.25">
      <c r="A497" s="5">
        <v>44096</v>
      </c>
      <c r="B497">
        <v>3.8399999999999997E-2</v>
      </c>
      <c r="C497">
        <v>4.4767000000000001E-2</v>
      </c>
      <c r="D497">
        <v>3.6305999999999998E-2</v>
      </c>
      <c r="E497">
        <v>4.3864E-2</v>
      </c>
      <c r="F497">
        <v>52209615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0.78655005318520255</v>
      </c>
      <c r="Q497">
        <f t="shared" si="980"/>
        <v>41065475.455028951</v>
      </c>
      <c r="R497">
        <f t="shared" si="981"/>
        <v>-315595633.61359239</v>
      </c>
      <c r="S497">
        <f t="shared" si="982"/>
        <v>-3155.9563361359237</v>
      </c>
      <c r="T497">
        <f t="shared" si="983"/>
        <v>-3.1559563361359237</v>
      </c>
    </row>
    <row r="498" spans="1:20" x14ac:dyDescent="0.25">
      <c r="A498" s="5">
        <v>44095</v>
      </c>
      <c r="B498">
        <v>4.2937999999999997E-2</v>
      </c>
      <c r="C498">
        <v>4.4698000000000002E-2</v>
      </c>
      <c r="D498">
        <v>3.6200000000000003E-2</v>
      </c>
      <c r="E498">
        <v>3.8399999999999997E-2</v>
      </c>
      <c r="F498">
        <v>49730131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-0.48223111320310802</v>
      </c>
      <c r="Q498">
        <f t="shared" si="980"/>
        <v>-23981416.431866392</v>
      </c>
      <c r="R498">
        <f t="shared" si="981"/>
        <v>-356661109.06862134</v>
      </c>
      <c r="S498">
        <f t="shared" si="982"/>
        <v>-3566.6110906862132</v>
      </c>
      <c r="T498">
        <f t="shared" si="983"/>
        <v>-3.5666110906862132</v>
      </c>
    </row>
    <row r="499" spans="1:20" x14ac:dyDescent="0.25">
      <c r="A499" s="5">
        <v>44094</v>
      </c>
      <c r="B499">
        <v>4.7238000000000002E-2</v>
      </c>
      <c r="C499">
        <v>4.82E-2</v>
      </c>
      <c r="D499">
        <v>4.2209999999999998E-2</v>
      </c>
      <c r="E499">
        <v>4.2967999999999999E-2</v>
      </c>
      <c r="F499">
        <v>27533136</v>
      </c>
      <c r="G499">
        <v>0</v>
      </c>
      <c r="L499" t="s">
        <v>8</v>
      </c>
      <c r="M499" t="s">
        <v>8</v>
      </c>
      <c r="N499" t="s">
        <v>7</v>
      </c>
      <c r="P499">
        <f t="shared" si="979"/>
        <v>-0.74691151919866394</v>
      </c>
      <c r="Q499">
        <f t="shared" si="980"/>
        <v>-20564816.438063424</v>
      </c>
      <c r="R499">
        <f t="shared" si="981"/>
        <v>-332679692.63675493</v>
      </c>
      <c r="S499">
        <f t="shared" si="982"/>
        <v>-3326.7969263675491</v>
      </c>
      <c r="T499">
        <f t="shared" si="983"/>
        <v>-3.3267969263675492</v>
      </c>
    </row>
    <row r="500" spans="1:20" x14ac:dyDescent="0.25">
      <c r="A500" s="5">
        <v>44093</v>
      </c>
      <c r="B500">
        <v>4.3958999999999998E-2</v>
      </c>
      <c r="C500">
        <v>4.8633999999999997E-2</v>
      </c>
      <c r="D500">
        <v>4.2403000000000003E-2</v>
      </c>
      <c r="E500">
        <v>4.7105000000000001E-2</v>
      </c>
      <c r="F500">
        <v>41934004</v>
      </c>
      <c r="G500">
        <v>0</v>
      </c>
      <c r="L500" t="s">
        <v>7</v>
      </c>
      <c r="M500" t="s">
        <v>8</v>
      </c>
      <c r="N500" t="s">
        <v>7</v>
      </c>
      <c r="P500">
        <f t="shared" si="979"/>
        <v>0.50922805328197807</v>
      </c>
      <c r="Q500">
        <f t="shared" si="980"/>
        <v>21353971.223238681</v>
      </c>
      <c r="R500">
        <f t="shared" si="981"/>
        <v>-312114876.19869149</v>
      </c>
      <c r="S500">
        <f t="shared" si="982"/>
        <v>-3121.1487619869149</v>
      </c>
      <c r="T500">
        <f t="shared" si="983"/>
        <v>-3.1211487619869147</v>
      </c>
    </row>
    <row r="501" spans="1:20" x14ac:dyDescent="0.25">
      <c r="A501" s="5">
        <v>44092</v>
      </c>
      <c r="B501">
        <v>4.3831000000000002E-2</v>
      </c>
      <c r="C501">
        <v>4.7244000000000001E-2</v>
      </c>
      <c r="D501">
        <v>4.2916000000000003E-2</v>
      </c>
      <c r="E501">
        <v>4.3959999999999999E-2</v>
      </c>
      <c r="F501">
        <v>38918564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-0.51756007393715497</v>
      </c>
      <c r="Q501">
        <f t="shared" si="980"/>
        <v>-20142694.861367896</v>
      </c>
      <c r="R501">
        <f t="shared" si="981"/>
        <v>-333468847.42193019</v>
      </c>
      <c r="S501">
        <f t="shared" si="982"/>
        <v>-3334.688474219302</v>
      </c>
      <c r="T501">
        <f t="shared" si="983"/>
        <v>-3.3346884742193019</v>
      </c>
    </row>
    <row r="502" spans="1:20" x14ac:dyDescent="0.25">
      <c r="A502" s="5">
        <v>44091</v>
      </c>
      <c r="B502">
        <v>4.4495E-2</v>
      </c>
      <c r="C502">
        <v>4.6933999999999997E-2</v>
      </c>
      <c r="D502">
        <v>4.2389000000000003E-2</v>
      </c>
      <c r="E502">
        <v>4.3888999999999997E-2</v>
      </c>
      <c r="F502">
        <v>28267299</v>
      </c>
      <c r="G502">
        <v>0</v>
      </c>
      <c r="L502" t="s">
        <v>8</v>
      </c>
      <c r="M502" t="s">
        <v>7</v>
      </c>
      <c r="N502" t="s">
        <v>7</v>
      </c>
      <c r="P502">
        <f t="shared" si="979"/>
        <v>-0.33993399339934144</v>
      </c>
      <c r="Q502">
        <f t="shared" si="980"/>
        <v>-9609015.831683211</v>
      </c>
      <c r="R502">
        <f t="shared" si="981"/>
        <v>-313326152.56056231</v>
      </c>
      <c r="S502">
        <f t="shared" si="982"/>
        <v>-3133.2615256056233</v>
      </c>
      <c r="T502">
        <f t="shared" si="983"/>
        <v>-3.1332615256056231</v>
      </c>
    </row>
    <row r="503" spans="1:20" x14ac:dyDescent="0.25">
      <c r="A503" s="5">
        <v>44090</v>
      </c>
      <c r="B503">
        <v>4.2216999999999998E-2</v>
      </c>
      <c r="C503">
        <v>4.9947999999999999E-2</v>
      </c>
      <c r="D503">
        <v>4.0400999999999999E-2</v>
      </c>
      <c r="E503">
        <v>4.4171000000000002E-2</v>
      </c>
      <c r="F503">
        <v>52313451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-0.2102231067350995</v>
      </c>
      <c r="Q503">
        <f t="shared" si="980"/>
        <v>-10997496.193254398</v>
      </c>
      <c r="R503">
        <f t="shared" si="981"/>
        <v>-303717136.72887909</v>
      </c>
      <c r="S503">
        <f t="shared" si="982"/>
        <v>-3037.1713672887909</v>
      </c>
      <c r="T503">
        <f t="shared" si="983"/>
        <v>-3.0371713672887908</v>
      </c>
    </row>
    <row r="504" spans="1:20" x14ac:dyDescent="0.25">
      <c r="A504" s="5">
        <v>44089</v>
      </c>
      <c r="B504">
        <v>4.6316999999999997E-2</v>
      </c>
      <c r="C504">
        <v>5.0854999999999997E-2</v>
      </c>
      <c r="D504">
        <v>4.2000000000000003E-2</v>
      </c>
      <c r="E504">
        <v>4.2201000000000002E-2</v>
      </c>
      <c r="F504">
        <v>74584125</v>
      </c>
      <c r="G504">
        <v>0</v>
      </c>
      <c r="L504" t="s">
        <v>8</v>
      </c>
      <c r="M504" t="s">
        <v>8</v>
      </c>
      <c r="N504" t="s">
        <v>7</v>
      </c>
      <c r="P504">
        <f t="shared" si="979"/>
        <v>-0.9546019198193112</v>
      </c>
      <c r="Q504">
        <f t="shared" si="980"/>
        <v>-71198148.913043484</v>
      </c>
      <c r="R504">
        <f t="shared" si="981"/>
        <v>-292719640.53562468</v>
      </c>
      <c r="S504">
        <f t="shared" si="982"/>
        <v>-2927.1964053562469</v>
      </c>
      <c r="T504">
        <f t="shared" si="983"/>
        <v>-2.9271964053562471</v>
      </c>
    </row>
    <row r="505" spans="1:20" x14ac:dyDescent="0.25">
      <c r="A505" s="5">
        <v>44088</v>
      </c>
      <c r="B505">
        <v>4.3631999999999997E-2</v>
      </c>
      <c r="C505">
        <v>4.7678999999999999E-2</v>
      </c>
      <c r="D505">
        <v>4.1140000000000003E-2</v>
      </c>
      <c r="E505">
        <v>4.6350000000000002E-2</v>
      </c>
      <c r="F505">
        <v>55021437</v>
      </c>
      <c r="G505">
        <v>0</v>
      </c>
      <c r="L505" t="s">
        <v>7</v>
      </c>
      <c r="M505" t="s">
        <v>7</v>
      </c>
      <c r="N505" t="s">
        <v>7</v>
      </c>
      <c r="P505">
        <f t="shared" si="979"/>
        <v>0.59351582810827419</v>
      </c>
      <c r="Q505">
        <f t="shared" si="980"/>
        <v>32656093.744762238</v>
      </c>
      <c r="R505">
        <f t="shared" si="981"/>
        <v>-221521491.62258118</v>
      </c>
      <c r="S505">
        <f t="shared" si="982"/>
        <v>-2215.214916225812</v>
      </c>
      <c r="T505">
        <f t="shared" si="983"/>
        <v>-2.2152149162258121</v>
      </c>
    </row>
    <row r="506" spans="1:20" x14ac:dyDescent="0.25">
      <c r="A506" s="5">
        <v>44087</v>
      </c>
      <c r="B506">
        <v>4.9104000000000002E-2</v>
      </c>
      <c r="C506">
        <v>4.99E-2</v>
      </c>
      <c r="D506">
        <v>4.1599999999999998E-2</v>
      </c>
      <c r="E506">
        <v>4.3520999999999997E-2</v>
      </c>
      <c r="F506">
        <v>51335182</v>
      </c>
      <c r="G506">
        <v>0</v>
      </c>
      <c r="L506" t="s">
        <v>7</v>
      </c>
      <c r="M506" t="s">
        <v>7</v>
      </c>
      <c r="N506" t="s">
        <v>7</v>
      </c>
      <c r="P506">
        <f t="shared" si="979"/>
        <v>-0.5371084337349401</v>
      </c>
      <c r="Q506">
        <f t="shared" si="980"/>
        <v>-27572559.199518088</v>
      </c>
      <c r="R506">
        <f t="shared" si="981"/>
        <v>-254177585.36734343</v>
      </c>
      <c r="S506">
        <f t="shared" si="982"/>
        <v>-2541.7758536734341</v>
      </c>
      <c r="T506">
        <f t="shared" si="983"/>
        <v>-2.5417758536734341</v>
      </c>
    </row>
    <row r="507" spans="1:20" x14ac:dyDescent="0.25">
      <c r="A507" s="5">
        <v>44086</v>
      </c>
      <c r="B507">
        <v>5.151E-2</v>
      </c>
      <c r="C507">
        <v>5.151E-2</v>
      </c>
      <c r="D507">
        <v>4.7254999999999998E-2</v>
      </c>
      <c r="E507">
        <v>4.9368000000000002E-2</v>
      </c>
      <c r="F507">
        <v>43012168</v>
      </c>
      <c r="G507">
        <v>0</v>
      </c>
      <c r="L507" t="s">
        <v>7</v>
      </c>
      <c r="M507" t="s">
        <v>8</v>
      </c>
      <c r="N507" t="s">
        <v>8</v>
      </c>
      <c r="P507">
        <f t="shared" si="979"/>
        <v>-6.8155111633359097E-3</v>
      </c>
      <c r="Q507">
        <f t="shared" si="980"/>
        <v>-293149.91116327961</v>
      </c>
      <c r="R507">
        <f t="shared" si="981"/>
        <v>-226605026.16782534</v>
      </c>
      <c r="S507">
        <f t="shared" si="982"/>
        <v>-2266.0502616782533</v>
      </c>
      <c r="T507">
        <f t="shared" si="983"/>
        <v>-2.2660502616782532</v>
      </c>
    </row>
    <row r="508" spans="1:20" x14ac:dyDescent="0.25">
      <c r="A508" s="5">
        <v>44085</v>
      </c>
      <c r="B508">
        <v>4.9480000000000003E-2</v>
      </c>
      <c r="C508">
        <v>5.5E-2</v>
      </c>
      <c r="D508">
        <v>4.6307000000000001E-2</v>
      </c>
      <c r="E508">
        <v>5.151E-2</v>
      </c>
      <c r="F508">
        <v>93726866</v>
      </c>
      <c r="G508">
        <v>0</v>
      </c>
      <c r="L508" t="s">
        <v>8</v>
      </c>
      <c r="M508" t="s">
        <v>8</v>
      </c>
      <c r="N508" t="s">
        <v>8</v>
      </c>
      <c r="P508">
        <f t="shared" si="979"/>
        <v>0.19705510180605076</v>
      </c>
      <c r="Q508">
        <f t="shared" si="980"/>
        <v>18469357.121592078</v>
      </c>
      <c r="R508">
        <f t="shared" si="981"/>
        <v>-226311876.25666207</v>
      </c>
      <c r="S508">
        <f t="shared" si="982"/>
        <v>-2263.1187625666207</v>
      </c>
      <c r="T508">
        <f t="shared" si="983"/>
        <v>-2.2631187625666209</v>
      </c>
    </row>
    <row r="509" spans="1:20" x14ac:dyDescent="0.25">
      <c r="A509" s="5">
        <v>44084</v>
      </c>
      <c r="B509">
        <v>4.8209000000000002E-2</v>
      </c>
      <c r="C509">
        <v>5.3525000000000003E-2</v>
      </c>
      <c r="D509">
        <v>4.7E-2</v>
      </c>
      <c r="E509">
        <v>4.9487000000000003E-2</v>
      </c>
      <c r="F509">
        <v>102235982</v>
      </c>
      <c r="G509">
        <v>0</v>
      </c>
      <c r="L509" t="s">
        <v>8</v>
      </c>
      <c r="M509" t="s">
        <v>7</v>
      </c>
      <c r="N509" t="s">
        <v>8</v>
      </c>
      <c r="P509">
        <f t="shared" si="979"/>
        <v>-0.23770114942528675</v>
      </c>
      <c r="Q509">
        <f t="shared" si="980"/>
        <v>-24301610.434022926</v>
      </c>
      <c r="R509">
        <f t="shared" si="981"/>
        <v>-244781233.37825415</v>
      </c>
      <c r="S509">
        <f t="shared" si="982"/>
        <v>-2447.8123337825414</v>
      </c>
      <c r="T509">
        <f t="shared" si="983"/>
        <v>-2.4478123337825415</v>
      </c>
    </row>
    <row r="510" spans="1:20" x14ac:dyDescent="0.25">
      <c r="A510" s="5">
        <v>44083</v>
      </c>
      <c r="B510">
        <v>4.9571999999999998E-2</v>
      </c>
      <c r="C510">
        <v>5.6800000000000003E-2</v>
      </c>
      <c r="D510">
        <v>4.6200999999999999E-2</v>
      </c>
      <c r="E510">
        <v>4.8208000000000001E-2</v>
      </c>
      <c r="F510">
        <v>203073037</v>
      </c>
      <c r="G510">
        <v>0</v>
      </c>
      <c r="L510" t="s">
        <v>7</v>
      </c>
      <c r="M510" t="s">
        <v>7</v>
      </c>
      <c r="N510" t="s">
        <v>8</v>
      </c>
      <c r="P510">
        <f t="shared" si="979"/>
        <v>-0.62128502688932896</v>
      </c>
      <c r="Q510">
        <f t="shared" si="980"/>
        <v>-126166237.2530427</v>
      </c>
      <c r="R510">
        <f t="shared" si="981"/>
        <v>-220479622.94423121</v>
      </c>
      <c r="S510">
        <f t="shared" si="982"/>
        <v>-2204.7962294423123</v>
      </c>
      <c r="T510">
        <f t="shared" si="983"/>
        <v>-2.2047962294423122</v>
      </c>
    </row>
    <row r="511" spans="1:20" x14ac:dyDescent="0.25">
      <c r="A511" s="5">
        <v>44082</v>
      </c>
      <c r="B511">
        <v>3.8818999999999999E-2</v>
      </c>
      <c r="C511">
        <v>5.8453999999999999E-2</v>
      </c>
      <c r="D511">
        <v>3.6900000000000002E-2</v>
      </c>
      <c r="E511">
        <v>4.9600999999999999E-2</v>
      </c>
      <c r="F511">
        <v>256418605</v>
      </c>
      <c r="G511">
        <v>0</v>
      </c>
      <c r="L511" t="s">
        <v>8</v>
      </c>
      <c r="M511" t="s">
        <v>8</v>
      </c>
      <c r="N511" t="s">
        <v>8</v>
      </c>
      <c r="P511">
        <f t="shared" si="979"/>
        <v>0.17852834740651377</v>
      </c>
      <c r="Q511">
        <f t="shared" si="980"/>
        <v>45777989.794933632</v>
      </c>
      <c r="R511">
        <f t="shared" si="981"/>
        <v>-94313385.691188499</v>
      </c>
      <c r="S511">
        <f t="shared" si="982"/>
        <v>-943.133856911885</v>
      </c>
      <c r="T511">
        <f t="shared" si="983"/>
        <v>-0.943133856911885</v>
      </c>
    </row>
    <row r="512" spans="1:20" x14ac:dyDescent="0.25">
      <c r="A512" s="5">
        <v>44081</v>
      </c>
      <c r="B512">
        <v>4.0890000000000003E-2</v>
      </c>
      <c r="C512">
        <v>4.1188000000000002E-2</v>
      </c>
      <c r="D512">
        <v>3.3514000000000002E-2</v>
      </c>
      <c r="E512">
        <v>3.8955999999999998E-2</v>
      </c>
      <c r="F512">
        <v>43860658</v>
      </c>
      <c r="G512">
        <v>0</v>
      </c>
      <c r="L512" t="s">
        <v>8</v>
      </c>
      <c r="M512" t="s">
        <v>8</v>
      </c>
      <c r="N512" t="s">
        <v>7</v>
      </c>
      <c r="P512">
        <f t="shared" si="979"/>
        <v>0.41829554339327474</v>
      </c>
      <c r="Q512">
        <f t="shared" si="980"/>
        <v>18346717.771696582</v>
      </c>
      <c r="R512">
        <f t="shared" si="981"/>
        <v>-140091375.48612213</v>
      </c>
      <c r="S512">
        <f t="shared" si="982"/>
        <v>-1400.9137548612214</v>
      </c>
      <c r="T512">
        <f t="shared" si="983"/>
        <v>-1.4009137548612214</v>
      </c>
    </row>
    <row r="513" spans="1:20" x14ac:dyDescent="0.25">
      <c r="A513" s="5">
        <v>44080</v>
      </c>
      <c r="B513">
        <v>3.7526999999999998E-2</v>
      </c>
      <c r="C513">
        <v>4.2655999999999999E-2</v>
      </c>
      <c r="D513">
        <v>3.3258999999999997E-2</v>
      </c>
      <c r="E513">
        <v>4.0948999999999999E-2</v>
      </c>
      <c r="F513">
        <v>58413360</v>
      </c>
      <c r="G513">
        <v>0</v>
      </c>
      <c r="L513" t="s">
        <v>7</v>
      </c>
      <c r="M513" t="s">
        <v>7</v>
      </c>
      <c r="N513" t="s">
        <v>7</v>
      </c>
      <c r="P513">
        <f t="shared" si="979"/>
        <v>0.63669256145578379</v>
      </c>
      <c r="Q513">
        <f t="shared" si="980"/>
        <v>37191351.801638819</v>
      </c>
      <c r="R513">
        <f t="shared" si="981"/>
        <v>-158438093.25781873</v>
      </c>
      <c r="S513">
        <f t="shared" si="982"/>
        <v>-1584.3809325781872</v>
      </c>
      <c r="T513">
        <f t="shared" si="983"/>
        <v>-1.5843809325781872</v>
      </c>
    </row>
    <row r="514" spans="1:20" x14ac:dyDescent="0.25">
      <c r="A514" s="5">
        <v>44079</v>
      </c>
      <c r="B514">
        <v>4.4907000000000002E-2</v>
      </c>
      <c r="C514">
        <v>4.7E-2</v>
      </c>
      <c r="D514">
        <v>3.5004E-2</v>
      </c>
      <c r="E514">
        <v>3.7526999999999998E-2</v>
      </c>
      <c r="F514">
        <v>65244909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-0.57935978659553222</v>
      </c>
      <c r="Q514">
        <f t="shared" si="980"/>
        <v>-37800276.554684922</v>
      </c>
      <c r="R514">
        <f t="shared" si="981"/>
        <v>-195629445.05945754</v>
      </c>
      <c r="S514">
        <f t="shared" si="982"/>
        <v>-1956.2944505945754</v>
      </c>
      <c r="T514">
        <f t="shared" si="983"/>
        <v>-1.9562944505945754</v>
      </c>
    </row>
    <row r="515" spans="1:20" x14ac:dyDescent="0.25">
      <c r="A515" s="5">
        <v>44078</v>
      </c>
      <c r="B515">
        <v>4.3887000000000002E-2</v>
      </c>
      <c r="C515">
        <v>4.7495000000000002E-2</v>
      </c>
      <c r="D515">
        <v>3.7400999999999997E-2</v>
      </c>
      <c r="E515">
        <v>4.4868999999999999E-2</v>
      </c>
      <c r="F515">
        <v>73165446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0.47969090548840859</v>
      </c>
      <c r="Q515">
        <f t="shared" si="980"/>
        <v>35096799.042203262</v>
      </c>
      <c r="R515">
        <f t="shared" si="981"/>
        <v>-157829168.5047726</v>
      </c>
      <c r="S515">
        <f t="shared" si="982"/>
        <v>-1578.2916850477261</v>
      </c>
      <c r="T515">
        <f t="shared" si="983"/>
        <v>-1.5782916850477262</v>
      </c>
    </row>
    <row r="516" spans="1:20" x14ac:dyDescent="0.25">
      <c r="A516" s="5">
        <v>44077</v>
      </c>
      <c r="B516">
        <v>5.8302E-2</v>
      </c>
      <c r="C516">
        <v>5.9499999999999997E-2</v>
      </c>
      <c r="D516">
        <v>4.3418999999999999E-2</v>
      </c>
      <c r="E516">
        <v>4.3680999999999998E-2</v>
      </c>
      <c r="F516">
        <v>84224482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-0.96741496175610986</v>
      </c>
      <c r="Q516">
        <f t="shared" si="980"/>
        <v>-81480024.032958165</v>
      </c>
      <c r="R516">
        <f t="shared" si="981"/>
        <v>-192925967.54697588</v>
      </c>
      <c r="S516">
        <f t="shared" si="982"/>
        <v>-1929.2596754697588</v>
      </c>
      <c r="T516">
        <f t="shared" si="983"/>
        <v>-1.9292596754697589</v>
      </c>
    </row>
    <row r="517" spans="1:20" x14ac:dyDescent="0.25">
      <c r="A517" s="5">
        <v>44076</v>
      </c>
      <c r="B517">
        <v>5.9794E-2</v>
      </c>
      <c r="C517">
        <v>6.08E-2</v>
      </c>
      <c r="D517">
        <v>5.0842999999999999E-2</v>
      </c>
      <c r="E517">
        <v>5.8299999999999998E-2</v>
      </c>
      <c r="F517">
        <v>97783959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0.49784071507482131</v>
      </c>
      <c r="Q517">
        <f t="shared" si="980"/>
        <v>48680836.071407005</v>
      </c>
      <c r="R517">
        <f t="shared" si="981"/>
        <v>-111445943.51401772</v>
      </c>
      <c r="S517">
        <f t="shared" si="982"/>
        <v>-1114.4594351401772</v>
      </c>
      <c r="T517">
        <f t="shared" si="983"/>
        <v>-1.1144594351401773</v>
      </c>
    </row>
    <row r="518" spans="1:20" x14ac:dyDescent="0.25">
      <c r="A518" s="5">
        <v>44075</v>
      </c>
      <c r="B518">
        <v>7.0004999999999998E-2</v>
      </c>
      <c r="C518">
        <v>7.0898000000000003E-2</v>
      </c>
      <c r="D518">
        <v>5.9299999999999999E-2</v>
      </c>
      <c r="E518">
        <v>5.9798999999999998E-2</v>
      </c>
      <c r="F518">
        <v>130753976</v>
      </c>
      <c r="G518">
        <v>0</v>
      </c>
      <c r="L518" t="s">
        <v>7</v>
      </c>
      <c r="M518" t="s">
        <v>7</v>
      </c>
      <c r="N518" t="s">
        <v>8</v>
      </c>
      <c r="P518">
        <f t="shared" ref="P518:P581" si="984">IF(C518=D518,0,((E518-D518)-(C518-E518))/(C518-D518))</f>
        <v>-0.91395068115192291</v>
      </c>
      <c r="Q518">
        <f t="shared" ref="Q518:Q581" si="985">F518*P518</f>
        <v>-119502685.42852218</v>
      </c>
      <c r="R518">
        <f t="shared" ref="R518:R581" si="986">R519+Q518</f>
        <v>-160126779.58542472</v>
      </c>
      <c r="S518">
        <f t="shared" ref="S518:S581" si="987">R518/100000</f>
        <v>-1601.2677958542472</v>
      </c>
      <c r="T518">
        <f t="shared" ref="T518:T581" si="988">S518/1000</f>
        <v>-1.6012677958542472</v>
      </c>
    </row>
    <row r="519" spans="1:20" x14ac:dyDescent="0.25">
      <c r="A519" s="5">
        <v>44074</v>
      </c>
      <c r="B519">
        <v>6.6900000000000001E-2</v>
      </c>
      <c r="C519">
        <v>7.8466999999999995E-2</v>
      </c>
      <c r="D519">
        <v>6.6900000000000001E-2</v>
      </c>
      <c r="E519">
        <v>7.0004999999999998E-2</v>
      </c>
      <c r="F519">
        <v>114062160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-0.4631278637503245</v>
      </c>
      <c r="Q519">
        <f t="shared" si="985"/>
        <v>-52825364.495547712</v>
      </c>
      <c r="R519">
        <f t="shared" si="986"/>
        <v>-40624094.156902522</v>
      </c>
      <c r="S519">
        <f t="shared" si="987"/>
        <v>-406.24094156902521</v>
      </c>
      <c r="T519">
        <f t="shared" si="988"/>
        <v>-0.40624094156902524</v>
      </c>
    </row>
    <row r="520" spans="1:20" x14ac:dyDescent="0.25">
      <c r="A520" s="5">
        <v>44073</v>
      </c>
      <c r="B520">
        <v>7.2764999999999996E-2</v>
      </c>
      <c r="C520">
        <v>7.3800000000000004E-2</v>
      </c>
      <c r="D520">
        <v>6.4600000000000005E-2</v>
      </c>
      <c r="E520">
        <v>6.6653000000000004E-2</v>
      </c>
      <c r="F520">
        <v>77047896</v>
      </c>
      <c r="G520">
        <v>0</v>
      </c>
      <c r="L520" t="s">
        <v>7</v>
      </c>
      <c r="M520" t="s">
        <v>7</v>
      </c>
      <c r="N520" t="s">
        <v>8</v>
      </c>
      <c r="P520">
        <f t="shared" si="984"/>
        <v>-0.55369565217391314</v>
      </c>
      <c r="Q520">
        <f t="shared" si="985"/>
        <v>-42661085.024347834</v>
      </c>
      <c r="R520">
        <f t="shared" si="986"/>
        <v>12201270.33864519</v>
      </c>
      <c r="S520">
        <f t="shared" si="987"/>
        <v>122.0127033864519</v>
      </c>
      <c r="T520">
        <f t="shared" si="988"/>
        <v>0.1220127033864519</v>
      </c>
    </row>
    <row r="521" spans="1:20" x14ac:dyDescent="0.25">
      <c r="A521" s="5">
        <v>44072</v>
      </c>
      <c r="B521">
        <v>6.9828000000000001E-2</v>
      </c>
      <c r="C521">
        <v>7.4499999999999997E-2</v>
      </c>
      <c r="D521">
        <v>6.5112000000000003E-2</v>
      </c>
      <c r="E521">
        <v>7.2766999999999998E-2</v>
      </c>
      <c r="F521">
        <v>91906481</v>
      </c>
      <c r="G521">
        <v>0</v>
      </c>
      <c r="L521" t="s">
        <v>7</v>
      </c>
      <c r="M521" t="s">
        <v>7</v>
      </c>
      <c r="N521" t="s">
        <v>8</v>
      </c>
      <c r="P521">
        <f t="shared" si="984"/>
        <v>0.63080528334043473</v>
      </c>
      <c r="Q521">
        <f t="shared" si="985"/>
        <v>57975093.788027279</v>
      </c>
      <c r="R521">
        <f t="shared" si="986"/>
        <v>54862355.362993024</v>
      </c>
      <c r="S521">
        <f t="shared" si="987"/>
        <v>548.62355362993026</v>
      </c>
      <c r="T521">
        <f t="shared" si="988"/>
        <v>0.54862355362993021</v>
      </c>
    </row>
    <row r="522" spans="1:20" x14ac:dyDescent="0.25">
      <c r="A522" s="5">
        <v>44071</v>
      </c>
      <c r="B522">
        <v>7.4220999999999995E-2</v>
      </c>
      <c r="C522">
        <v>8.2500000000000004E-2</v>
      </c>
      <c r="D522">
        <v>6.8501000000000006E-2</v>
      </c>
      <c r="E522">
        <v>6.9975999999999997E-2</v>
      </c>
      <c r="F522">
        <v>206290561</v>
      </c>
      <c r="G522">
        <v>0</v>
      </c>
      <c r="L522" t="s">
        <v>8</v>
      </c>
      <c r="M522" t="s">
        <v>8</v>
      </c>
      <c r="N522" t="s">
        <v>8</v>
      </c>
      <c r="P522">
        <f t="shared" si="984"/>
        <v>-0.78927066219015785</v>
      </c>
      <c r="Q522">
        <f t="shared" si="985"/>
        <v>-162819087.68404916</v>
      </c>
      <c r="R522">
        <f t="shared" si="986"/>
        <v>-3112738.4250342548</v>
      </c>
      <c r="S522">
        <f t="shared" si="987"/>
        <v>-31.127384250342548</v>
      </c>
      <c r="T522">
        <f t="shared" si="988"/>
        <v>-3.1127384250342546E-2</v>
      </c>
    </row>
    <row r="523" spans="1:20" x14ac:dyDescent="0.25">
      <c r="A523" s="5">
        <v>44070</v>
      </c>
      <c r="B523">
        <v>5.8508999999999999E-2</v>
      </c>
      <c r="C523">
        <v>7.5525999999999996E-2</v>
      </c>
      <c r="D523">
        <v>5.4183000000000002E-2</v>
      </c>
      <c r="E523">
        <v>7.3953000000000005E-2</v>
      </c>
      <c r="F523">
        <v>268039013</v>
      </c>
      <c r="G523">
        <v>0</v>
      </c>
      <c r="L523" t="s">
        <v>8</v>
      </c>
      <c r="M523" t="s">
        <v>8</v>
      </c>
      <c r="N523" t="s">
        <v>8</v>
      </c>
      <c r="P523">
        <f t="shared" si="984"/>
        <v>0.85259804151244045</v>
      </c>
      <c r="Q523">
        <f t="shared" si="985"/>
        <v>228529537.53272757</v>
      </c>
      <c r="R523">
        <f t="shared" si="986"/>
        <v>159706349.2590149</v>
      </c>
      <c r="S523">
        <f t="shared" si="987"/>
        <v>1597.0634925901491</v>
      </c>
      <c r="T523">
        <f t="shared" si="988"/>
        <v>1.597063492590149</v>
      </c>
    </row>
    <row r="524" spans="1:20" x14ac:dyDescent="0.25">
      <c r="A524" s="5">
        <v>44069</v>
      </c>
      <c r="B524">
        <v>4.8050000000000002E-2</v>
      </c>
      <c r="C524">
        <v>5.8688999999999998E-2</v>
      </c>
      <c r="D524">
        <v>4.6896E-2</v>
      </c>
      <c r="E524">
        <v>5.8570999999999998E-2</v>
      </c>
      <c r="F524">
        <v>78970460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0.97998812855083528</v>
      </c>
      <c r="Q524">
        <f t="shared" si="985"/>
        <v>77390113.306198597</v>
      </c>
      <c r="R524">
        <f t="shared" si="986"/>
        <v>-68823188.273712665</v>
      </c>
      <c r="S524">
        <f t="shared" si="987"/>
        <v>-688.23188273712663</v>
      </c>
      <c r="T524">
        <f t="shared" si="988"/>
        <v>-0.68823188273712665</v>
      </c>
    </row>
    <row r="525" spans="1:20" x14ac:dyDescent="0.25">
      <c r="A525" s="5">
        <v>44068</v>
      </c>
      <c r="B525">
        <v>5.1232E-2</v>
      </c>
      <c r="C525">
        <v>5.6750000000000002E-2</v>
      </c>
      <c r="D525">
        <v>4.4999999999999998E-2</v>
      </c>
      <c r="E525">
        <v>4.8002000000000003E-2</v>
      </c>
      <c r="F525">
        <v>74226864</v>
      </c>
      <c r="G525">
        <v>0</v>
      </c>
      <c r="L525" t="s">
        <v>8</v>
      </c>
      <c r="M525" t="s">
        <v>8</v>
      </c>
      <c r="N525" t="s">
        <v>7</v>
      </c>
      <c r="P525">
        <f t="shared" si="984"/>
        <v>-0.48902127659574401</v>
      </c>
      <c r="Q525">
        <f t="shared" si="985"/>
        <v>-36298515.790978678</v>
      </c>
      <c r="R525">
        <f t="shared" si="986"/>
        <v>-146213301.57991126</v>
      </c>
      <c r="S525">
        <f t="shared" si="987"/>
        <v>-1462.1330157991126</v>
      </c>
      <c r="T525">
        <f t="shared" si="988"/>
        <v>-1.4621330157991126</v>
      </c>
    </row>
    <row r="526" spans="1:20" x14ac:dyDescent="0.25">
      <c r="A526" s="5">
        <v>44067</v>
      </c>
      <c r="B526">
        <v>4.3652000000000003E-2</v>
      </c>
      <c r="C526">
        <v>5.3748999999999998E-2</v>
      </c>
      <c r="D526">
        <v>4.2063000000000003E-2</v>
      </c>
      <c r="E526">
        <v>5.0735000000000002E-2</v>
      </c>
      <c r="F526">
        <v>74190522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0.48416909122026408</v>
      </c>
      <c r="Q526">
        <f t="shared" si="985"/>
        <v>35920757.613897011</v>
      </c>
      <c r="R526">
        <f t="shared" si="986"/>
        <v>-109914785.78893258</v>
      </c>
      <c r="S526">
        <f t="shared" si="987"/>
        <v>-1099.1478578893257</v>
      </c>
      <c r="T526">
        <f t="shared" si="988"/>
        <v>-1.0991478578893257</v>
      </c>
    </row>
    <row r="527" spans="1:20" x14ac:dyDescent="0.25">
      <c r="A527" s="5">
        <v>44066</v>
      </c>
      <c r="B527">
        <v>4.5973E-2</v>
      </c>
      <c r="C527">
        <v>4.8322999999999998E-2</v>
      </c>
      <c r="D527">
        <v>4.1792999999999997E-2</v>
      </c>
      <c r="E527">
        <v>4.3610999999999997E-2</v>
      </c>
      <c r="F527">
        <v>32322297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-0.44318529862174583</v>
      </c>
      <c r="Q527">
        <f t="shared" si="985"/>
        <v>-14324766.848085759</v>
      </c>
      <c r="R527">
        <f t="shared" si="986"/>
        <v>-145835543.40282959</v>
      </c>
      <c r="S527">
        <f t="shared" si="987"/>
        <v>-1458.3554340282958</v>
      </c>
      <c r="T527">
        <f t="shared" si="988"/>
        <v>-1.4583554340282958</v>
      </c>
    </row>
    <row r="528" spans="1:20" x14ac:dyDescent="0.25">
      <c r="A528" s="5">
        <v>44065</v>
      </c>
      <c r="B528">
        <v>4.4230999999999999E-2</v>
      </c>
      <c r="C528">
        <v>4.9099999999999998E-2</v>
      </c>
      <c r="D528">
        <v>4.0202000000000002E-2</v>
      </c>
      <c r="E528">
        <v>4.5973E-2</v>
      </c>
      <c r="F528">
        <v>55057194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0.29714542593841331</v>
      </c>
      <c r="Q528">
        <f t="shared" si="985"/>
        <v>16359993.362103853</v>
      </c>
      <c r="R528">
        <f t="shared" si="986"/>
        <v>-131510776.55474383</v>
      </c>
      <c r="S528">
        <f t="shared" si="987"/>
        <v>-1315.1077655474382</v>
      </c>
      <c r="T528">
        <f t="shared" si="988"/>
        <v>-1.3151077655474384</v>
      </c>
    </row>
    <row r="529" spans="1:20" x14ac:dyDescent="0.25">
      <c r="A529" s="5">
        <v>44064</v>
      </c>
      <c r="B529">
        <v>5.3870000000000001E-2</v>
      </c>
      <c r="C529">
        <v>5.3870000000000001E-2</v>
      </c>
      <c r="D529">
        <v>4.4005000000000002E-2</v>
      </c>
      <c r="E529">
        <v>4.4249999999999998E-2</v>
      </c>
      <c r="F529">
        <v>67549095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-0.95032944754181548</v>
      </c>
      <c r="Q529">
        <f t="shared" si="985"/>
        <v>-64193894.133299612</v>
      </c>
      <c r="R529">
        <f t="shared" si="986"/>
        <v>-147870769.91684768</v>
      </c>
      <c r="S529">
        <f t="shared" si="987"/>
        <v>-1478.7076991684767</v>
      </c>
      <c r="T529">
        <f t="shared" si="988"/>
        <v>-1.4787076991684767</v>
      </c>
    </row>
    <row r="530" spans="1:20" x14ac:dyDescent="0.25">
      <c r="A530" s="5">
        <v>44063</v>
      </c>
      <c r="B530">
        <v>5.2519000000000003E-2</v>
      </c>
      <c r="C530">
        <v>5.7332000000000001E-2</v>
      </c>
      <c r="D530">
        <v>5.076E-2</v>
      </c>
      <c r="E530">
        <v>5.3483000000000003E-2</v>
      </c>
      <c r="F530">
        <v>67304708</v>
      </c>
      <c r="G530">
        <v>0</v>
      </c>
      <c r="L530" t="s">
        <v>8</v>
      </c>
      <c r="M530" t="s">
        <v>8</v>
      </c>
      <c r="N530" t="s">
        <v>7</v>
      </c>
      <c r="P530">
        <f t="shared" si="984"/>
        <v>-0.17133292757151472</v>
      </c>
      <c r="Q530">
        <f t="shared" si="985"/>
        <v>-11531512.660985947</v>
      </c>
      <c r="R530">
        <f t="shared" si="986"/>
        <v>-83676875.783548072</v>
      </c>
      <c r="S530">
        <f t="shared" si="987"/>
        <v>-836.76875783548076</v>
      </c>
      <c r="T530">
        <f t="shared" si="988"/>
        <v>-0.83676875783548077</v>
      </c>
    </row>
    <row r="531" spans="1:20" x14ac:dyDescent="0.25">
      <c r="A531" s="5">
        <v>44062</v>
      </c>
      <c r="B531">
        <v>5.1409999999999997E-2</v>
      </c>
      <c r="C531">
        <v>5.7099999999999998E-2</v>
      </c>
      <c r="D531">
        <v>4.8000000000000001E-2</v>
      </c>
      <c r="E531">
        <v>5.1942000000000002E-2</v>
      </c>
      <c r="F531">
        <v>76398711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-0.13362637362637311</v>
      </c>
      <c r="Q531">
        <f t="shared" si="985"/>
        <v>-10208882.700659301</v>
      </c>
      <c r="R531">
        <f t="shared" si="986"/>
        <v>-72145363.122562125</v>
      </c>
      <c r="S531">
        <f t="shared" si="987"/>
        <v>-721.45363122562128</v>
      </c>
      <c r="T531">
        <f t="shared" si="988"/>
        <v>-0.72145363122562123</v>
      </c>
    </row>
    <row r="532" spans="1:20" x14ac:dyDescent="0.25">
      <c r="A532" s="5">
        <v>44061</v>
      </c>
      <c r="B532">
        <v>5.3813E-2</v>
      </c>
      <c r="C532">
        <v>6.1052000000000002E-2</v>
      </c>
      <c r="D532">
        <v>5.0205E-2</v>
      </c>
      <c r="E532">
        <v>5.1631000000000003E-2</v>
      </c>
      <c r="F532">
        <v>80926224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-0.73707015764727513</v>
      </c>
      <c r="Q532">
        <f t="shared" si="985"/>
        <v>-59648304.681478702</v>
      </c>
      <c r="R532">
        <f t="shared" si="986"/>
        <v>-61936480.421902828</v>
      </c>
      <c r="S532">
        <f t="shared" si="987"/>
        <v>-619.36480421902831</v>
      </c>
      <c r="T532">
        <f t="shared" si="988"/>
        <v>-0.61936480421902829</v>
      </c>
    </row>
    <row r="533" spans="1:20" x14ac:dyDescent="0.25">
      <c r="A533" s="5">
        <v>44060</v>
      </c>
      <c r="B533">
        <v>6.0852999999999997E-2</v>
      </c>
      <c r="C533">
        <v>6.5198999999999993E-2</v>
      </c>
      <c r="D533">
        <v>5.2345000000000003E-2</v>
      </c>
      <c r="E533">
        <v>5.3811999999999999E-2</v>
      </c>
      <c r="F533">
        <v>106548486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-0.77174420413878997</v>
      </c>
      <c r="Q533">
        <f t="shared" si="985"/>
        <v>-82228176.530263007</v>
      </c>
      <c r="R533">
        <f t="shared" si="986"/>
        <v>-2288175.7404241264</v>
      </c>
      <c r="S533">
        <f t="shared" si="987"/>
        <v>-22.881757404241263</v>
      </c>
      <c r="T533">
        <f t="shared" si="988"/>
        <v>-2.2881757404241265E-2</v>
      </c>
    </row>
    <row r="534" spans="1:20" x14ac:dyDescent="0.25">
      <c r="A534" s="5">
        <v>44059</v>
      </c>
      <c r="B534">
        <v>5.1413E-2</v>
      </c>
      <c r="C534">
        <v>7.0027000000000006E-2</v>
      </c>
      <c r="D534">
        <v>4.8000000000000001E-2</v>
      </c>
      <c r="E534">
        <v>6.0852000000000003E-2</v>
      </c>
      <c r="F534">
        <v>295461524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0.16693149316747624</v>
      </c>
      <c r="Q534">
        <f t="shared" si="985"/>
        <v>49321833.374858119</v>
      </c>
      <c r="R534">
        <f t="shared" si="986"/>
        <v>79940000.78983888</v>
      </c>
      <c r="S534">
        <f t="shared" si="987"/>
        <v>799.40000789838882</v>
      </c>
      <c r="T534">
        <f t="shared" si="988"/>
        <v>0.79940000789838883</v>
      </c>
    </row>
    <row r="535" spans="1:20" x14ac:dyDescent="0.25">
      <c r="A535" s="5">
        <v>44058</v>
      </c>
      <c r="B535">
        <v>6.5817000000000001E-2</v>
      </c>
      <c r="C535">
        <v>7.0869000000000001E-2</v>
      </c>
      <c r="D535">
        <v>4.9000000000000002E-2</v>
      </c>
      <c r="E535">
        <v>5.1101000000000001E-2</v>
      </c>
      <c r="F535">
        <v>372663272</v>
      </c>
      <c r="G535">
        <v>0</v>
      </c>
      <c r="L535" t="s">
        <v>7</v>
      </c>
      <c r="M535" t="s">
        <v>7</v>
      </c>
      <c r="N535" t="s">
        <v>7</v>
      </c>
      <c r="P535">
        <f t="shared" si="984"/>
        <v>-0.80785586903836493</v>
      </c>
      <c r="Q535">
        <f t="shared" si="985"/>
        <v>-301058211.46024054</v>
      </c>
      <c r="R535">
        <f t="shared" si="986"/>
        <v>30618167.414980769</v>
      </c>
      <c r="S535">
        <f t="shared" si="987"/>
        <v>306.18167414980769</v>
      </c>
      <c r="T535">
        <f t="shared" si="988"/>
        <v>0.30618167414980768</v>
      </c>
    </row>
    <row r="536" spans="1:20" x14ac:dyDescent="0.25">
      <c r="A536" s="5">
        <v>44057</v>
      </c>
      <c r="B536">
        <v>8.3330000000000001E-3</v>
      </c>
      <c r="C536">
        <v>9.4710000000000003E-2</v>
      </c>
      <c r="D536">
        <v>8.3330000000000001E-3</v>
      </c>
      <c r="E536">
        <v>6.5997E-2</v>
      </c>
      <c r="F536">
        <v>989575855</v>
      </c>
      <c r="G536">
        <v>0</v>
      </c>
      <c r="P536">
        <f t="shared" si="984"/>
        <v>0.33517024207833096</v>
      </c>
      <c r="Q536">
        <f t="shared" si="985"/>
        <v>331676378.87522131</v>
      </c>
      <c r="R536">
        <f t="shared" si="986"/>
        <v>331676378.87522131</v>
      </c>
      <c r="S536">
        <f t="shared" si="987"/>
        <v>3316.7637887522133</v>
      </c>
      <c r="T536">
        <f t="shared" si="988"/>
        <v>3.3167637887522132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H530" sqref="JH53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$A$529</v>
      </c>
      <c r="D111" s="1" t="str">
        <f>ADDRESS(C121-1,D121,1,1)</f>
        <v>$JH$529</v>
      </c>
      <c r="E111"/>
    </row>
    <row r="112" spans="1:5" x14ac:dyDescent="0.25">
      <c r="A112" s="7">
        <v>12164.144957890772</v>
      </c>
      <c r="C112" s="1" t="str">
        <f>ADDRESS(C121,1,1,1)</f>
        <v>$A$530</v>
      </c>
      <c r="D112" s="1" t="str">
        <f>ADDRESS(C121,D121-1,1,1)</f>
        <v>$JG$530</v>
      </c>
      <c r="E112"/>
    </row>
    <row r="113" spans="1:5" x14ac:dyDescent="0.25">
      <c r="A113" s="7">
        <v>11925.63231165762</v>
      </c>
      <c r="C113" s="1" t="str">
        <f>ADDRESS(C121+1,1,1,1)</f>
        <v>$A$531</v>
      </c>
      <c r="D113" s="1" t="str">
        <f>ADDRESS(C121-1,D121+1,1,1)</f>
        <v>$JI$529</v>
      </c>
    </row>
    <row r="114" spans="1:5" x14ac:dyDescent="0.25">
      <c r="A114" s="7">
        <v>11691.796383978059</v>
      </c>
      <c r="C114" s="1" t="str">
        <f>ADDRESS(C121,D121,1,1)</f>
        <v>$JH$530</v>
      </c>
      <c r="D114" s="1" t="str">
        <f>ADDRESS(C121+1,D121+1,1,1)</f>
        <v>$JI$531</v>
      </c>
    </row>
    <row r="115" spans="1:5" x14ac:dyDescent="0.25">
      <c r="A115" s="7">
        <v>11462.545474488292</v>
      </c>
      <c r="C115" s="1" t="str">
        <f>ADDRESS(C121+1,D121,1,1)</f>
        <v>$JH$531</v>
      </c>
    </row>
    <row r="116" spans="1:5" x14ac:dyDescent="0.25">
      <c r="A116" s="7">
        <v>11237.789680870874</v>
      </c>
      <c r="C116" s="1">
        <f>C117-1</f>
        <v>529</v>
      </c>
    </row>
    <row r="117" spans="1:5" x14ac:dyDescent="0.25">
      <c r="A117" s="7">
        <v>11017.440863598895</v>
      </c>
      <c r="C117" s="1">
        <f>C121</f>
        <v>530</v>
      </c>
      <c r="D117" s="1">
        <f>D121</f>
        <v>268</v>
      </c>
    </row>
    <row r="118" spans="1:5" x14ac:dyDescent="0.25">
      <c r="A118" s="7">
        <v>10801.412611371465</v>
      </c>
      <c r="C118" s="1">
        <f>C117+1</f>
        <v>531</v>
      </c>
      <c r="D118" s="1">
        <f>D117+1</f>
        <v>269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530</v>
      </c>
      <c r="D121" s="19">
        <v>268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R530</v>
      </c>
      <c r="D123" s="1" t="str">
        <f>"C"&amp;D121</f>
        <v>C268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3.0917885922132262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237" x14ac:dyDescent="0.25">
      <c r="A465" s="7">
        <v>11.200075620783522</v>
      </c>
      <c r="B465"/>
      <c r="C465"/>
      <c r="D465"/>
      <c r="E465"/>
    </row>
    <row r="466" spans="1:237" x14ac:dyDescent="0.25">
      <c r="A466" s="7">
        <v>10.980466294885806</v>
      </c>
      <c r="B466"/>
      <c r="C466"/>
      <c r="D466"/>
      <c r="E466"/>
    </row>
    <row r="467" spans="1:237" x14ac:dyDescent="0.25">
      <c r="A467" s="7">
        <v>10.765163034201771</v>
      </c>
      <c r="B467"/>
      <c r="C467"/>
      <c r="D467"/>
      <c r="E467"/>
    </row>
    <row r="468" spans="1:237" x14ac:dyDescent="0.25">
      <c r="A468" s="7">
        <v>10.554081406080169</v>
      </c>
      <c r="B468"/>
      <c r="C468"/>
      <c r="D468"/>
      <c r="E468"/>
    </row>
    <row r="469" spans="1:237" x14ac:dyDescent="0.25">
      <c r="A469" s="7">
        <v>10.34713863341193</v>
      </c>
      <c r="B469"/>
      <c r="C469"/>
      <c r="D469"/>
      <c r="E469"/>
    </row>
    <row r="470" spans="1:237" x14ac:dyDescent="0.25">
      <c r="A470" s="7">
        <v>10.14425356216856</v>
      </c>
      <c r="B470"/>
      <c r="C470"/>
      <c r="D470"/>
      <c r="E470"/>
    </row>
    <row r="471" spans="1:237" x14ac:dyDescent="0.25">
      <c r="A471" s="7">
        <v>9.9453466295770188</v>
      </c>
      <c r="B471"/>
      <c r="C471"/>
      <c r="D471"/>
      <c r="E471"/>
    </row>
    <row r="472" spans="1:237" x14ac:dyDescent="0.25">
      <c r="A472" s="7">
        <v>9.7503398329186464</v>
      </c>
      <c r="B472"/>
      <c r="C472"/>
      <c r="D472"/>
      <c r="E472"/>
    </row>
    <row r="473" spans="1:237" x14ac:dyDescent="0.25">
      <c r="A473" s="7">
        <v>9.5591566989398498</v>
      </c>
      <c r="B473"/>
      <c r="C473"/>
      <c r="D473"/>
      <c r="E473"/>
    </row>
    <row r="474" spans="1:237" x14ac:dyDescent="0.25">
      <c r="A474" s="7">
        <v>9.3717222538625968</v>
      </c>
      <c r="B474"/>
      <c r="C474"/>
      <c r="D474"/>
      <c r="E474"/>
    </row>
    <row r="475" spans="1:237" x14ac:dyDescent="0.25">
      <c r="A475" s="7">
        <v>9.1879629939829375</v>
      </c>
      <c r="B475"/>
      <c r="C475"/>
      <c r="D475"/>
      <c r="E475"/>
    </row>
    <row r="476" spans="1:237" x14ac:dyDescent="0.25">
      <c r="A476" s="7">
        <v>9.0078068568460168</v>
      </c>
      <c r="B476"/>
      <c r="C476"/>
      <c r="D476"/>
      <c r="E476"/>
    </row>
    <row r="477" spans="1:237" x14ac:dyDescent="0.25">
      <c r="A477" s="7">
        <v>8.8311831929862912</v>
      </c>
      <c r="B477"/>
      <c r="C477"/>
      <c r="D477"/>
      <c r="E477"/>
    </row>
    <row r="478" spans="1:237" x14ac:dyDescent="0.25">
      <c r="A478" s="7">
        <v>8.6580227382218542</v>
      </c>
      <c r="B478"/>
      <c r="C478"/>
      <c r="D478"/>
      <c r="E478"/>
    </row>
    <row r="479" spans="1:237" x14ac:dyDescent="0.25">
      <c r="A479" s="7">
        <v>8.4882575864920131</v>
      </c>
      <c r="B479"/>
      <c r="C479"/>
      <c r="D479"/>
      <c r="E479"/>
    </row>
    <row r="480" spans="1:237" x14ac:dyDescent="0.25">
      <c r="A480" s="7">
        <v>8.3218211632274635</v>
      </c>
      <c r="B480"/>
      <c r="C480"/>
      <c r="D480"/>
      <c r="E480"/>
      <c r="IC480" s="27" t="s">
        <v>8</v>
      </c>
    </row>
    <row r="481" spans="1:255" x14ac:dyDescent="0.25">
      <c r="A481" s="7">
        <v>8.1586481992426112</v>
      </c>
      <c r="B481"/>
      <c r="C481"/>
      <c r="D481"/>
      <c r="E481"/>
      <c r="IC481" s="27" t="s">
        <v>8</v>
      </c>
      <c r="ID481" s="27" t="s">
        <v>7</v>
      </c>
    </row>
    <row r="482" spans="1:255" x14ac:dyDescent="0.25">
      <c r="A482" s="7">
        <v>7.9986747051398144</v>
      </c>
      <c r="B482"/>
      <c r="C482"/>
      <c r="D482"/>
      <c r="E482"/>
      <c r="IC482" s="27" t="s">
        <v>8</v>
      </c>
      <c r="ID482" s="27" t="s">
        <v>7</v>
      </c>
    </row>
    <row r="483" spans="1:255" x14ac:dyDescent="0.25">
      <c r="A483" s="7">
        <v>7.8418379462155041</v>
      </c>
      <c r="B483"/>
      <c r="C483"/>
      <c r="D483"/>
      <c r="E483"/>
      <c r="IC483" s="27" t="s">
        <v>8</v>
      </c>
      <c r="ID483" s="27" t="s">
        <v>7</v>
      </c>
      <c r="IE483" s="27" t="s">
        <v>8</v>
      </c>
    </row>
    <row r="484" spans="1:255" x14ac:dyDescent="0.25">
      <c r="A484" s="7">
        <v>7.688076417858337</v>
      </c>
      <c r="B484"/>
      <c r="C484"/>
      <c r="D484"/>
      <c r="E484"/>
      <c r="IC484" s="27" t="s">
        <v>8</v>
      </c>
      <c r="ID484" s="27" t="s">
        <v>7</v>
      </c>
      <c r="IE484" s="27" t="s">
        <v>8</v>
      </c>
      <c r="IF484" s="27" t="s">
        <v>7</v>
      </c>
    </row>
    <row r="485" spans="1:255" x14ac:dyDescent="0.25">
      <c r="A485" s="7">
        <v>7.5373298214297417</v>
      </c>
      <c r="B485"/>
      <c r="C485"/>
      <c r="D485"/>
      <c r="E485"/>
      <c r="IC485" s="27" t="s">
        <v>8</v>
      </c>
      <c r="ID485" s="27" t="s">
        <v>7</v>
      </c>
      <c r="IE485" s="27" t="s">
        <v>8</v>
      </c>
      <c r="IF485" s="27" t="s">
        <v>7</v>
      </c>
    </row>
    <row r="486" spans="1:255" x14ac:dyDescent="0.25">
      <c r="A486" s="7">
        <v>7.389539040617394</v>
      </c>
      <c r="B486"/>
      <c r="C486"/>
      <c r="D486"/>
      <c r="E486"/>
      <c r="IC486" s="27" t="s">
        <v>8</v>
      </c>
      <c r="ID486" s="27" t="s">
        <v>7</v>
      </c>
      <c r="IE486" s="27" t="s">
        <v>8</v>
      </c>
      <c r="IF486" s="27" t="s">
        <v>7</v>
      </c>
    </row>
    <row r="487" spans="1:255" x14ac:dyDescent="0.25">
      <c r="A487" s="7">
        <v>7.2446461182523469</v>
      </c>
      <c r="B487"/>
      <c r="C487"/>
      <c r="D487"/>
      <c r="E487"/>
      <c r="IC487" s="27" t="s">
        <v>8</v>
      </c>
      <c r="ID487" s="27" t="s">
        <v>7</v>
      </c>
      <c r="IE487" s="27" t="s">
        <v>8</v>
      </c>
      <c r="IF487" s="27" t="s">
        <v>7</v>
      </c>
    </row>
    <row r="488" spans="1:255" x14ac:dyDescent="0.25">
      <c r="A488" s="7">
        <v>7.1025942335807324</v>
      </c>
      <c r="B488"/>
      <c r="C488"/>
      <c r="D488"/>
      <c r="E488"/>
      <c r="IC488" s="27" t="s">
        <v>8</v>
      </c>
      <c r="ID488" s="27" t="s">
        <v>7</v>
      </c>
      <c r="IE488" s="27" t="s">
        <v>8</v>
      </c>
      <c r="IF488" s="27" t="s">
        <v>7</v>
      </c>
    </row>
    <row r="489" spans="1:255" x14ac:dyDescent="0.25">
      <c r="A489" s="7">
        <v>6.9633276799811101</v>
      </c>
      <c r="B489"/>
      <c r="C489"/>
      <c r="D489"/>
      <c r="E489"/>
      <c r="IC489" s="27" t="s">
        <v>8</v>
      </c>
      <c r="ID489" s="27" t="s">
        <v>7</v>
      </c>
      <c r="IE489" s="27" t="s">
        <v>8</v>
      </c>
      <c r="IF489" s="27" t="s">
        <v>7</v>
      </c>
      <c r="IS489" s="27" t="s">
        <v>8</v>
      </c>
    </row>
    <row r="490" spans="1:255" x14ac:dyDescent="0.25">
      <c r="A490" s="7">
        <v>6.8267918431187349</v>
      </c>
      <c r="B490"/>
      <c r="C490"/>
      <c r="D490"/>
      <c r="E490"/>
      <c r="IC490" s="27" t="s">
        <v>8</v>
      </c>
      <c r="ID490" s="27" t="s">
        <v>7</v>
      </c>
      <c r="IE490" s="27" t="s">
        <v>8</v>
      </c>
      <c r="IF490" s="27" t="s">
        <v>7</v>
      </c>
      <c r="IS490" s="27" t="s">
        <v>8</v>
      </c>
      <c r="IT490" s="27" t="s">
        <v>7</v>
      </c>
    </row>
    <row r="491" spans="1:255" x14ac:dyDescent="0.25">
      <c r="A491" s="7">
        <v>6.692933179528171</v>
      </c>
      <c r="B491"/>
      <c r="C491"/>
      <c r="D491"/>
      <c r="E491"/>
      <c r="IC491" s="27" t="s">
        <v>8</v>
      </c>
      <c r="ID491" s="27" t="s">
        <v>7</v>
      </c>
      <c r="IE491" s="27" t="s">
        <v>8</v>
      </c>
      <c r="IF491" s="27" t="s">
        <v>7</v>
      </c>
      <c r="IS491" s="27" t="s">
        <v>8</v>
      </c>
      <c r="IT491" s="27" t="s">
        <v>7</v>
      </c>
    </row>
    <row r="492" spans="1:255" x14ac:dyDescent="0.25">
      <c r="A492" s="7">
        <v>6.5616991956158541</v>
      </c>
      <c r="B492"/>
      <c r="C492"/>
      <c r="D492"/>
      <c r="E492"/>
      <c r="IC492" s="27" t="s">
        <v>8</v>
      </c>
      <c r="ID492" s="27" t="s">
        <v>7</v>
      </c>
      <c r="IE492" s="27" t="s">
        <v>8</v>
      </c>
      <c r="IF492" s="27" t="s">
        <v>7</v>
      </c>
      <c r="IS492" s="27" t="s">
        <v>8</v>
      </c>
      <c r="IT492" s="27" t="s">
        <v>7</v>
      </c>
    </row>
    <row r="493" spans="1:255" x14ac:dyDescent="0.25">
      <c r="A493" s="7">
        <v>6.4330384270743668</v>
      </c>
      <c r="B493"/>
      <c r="C493"/>
      <c r="D493"/>
      <c r="E493"/>
      <c r="IC493" s="27" t="s">
        <v>8</v>
      </c>
      <c r="ID493" s="27" t="s">
        <v>7</v>
      </c>
      <c r="IE493" s="27" t="s">
        <v>8</v>
      </c>
      <c r="IF493" s="27" t="s">
        <v>7</v>
      </c>
      <c r="IS493" s="27" t="s">
        <v>8</v>
      </c>
      <c r="IT493" s="27" t="s">
        <v>7</v>
      </c>
    </row>
    <row r="494" spans="1:255" x14ac:dyDescent="0.25">
      <c r="A494" s="7">
        <v>6.3069004187003594</v>
      </c>
      <c r="B494"/>
      <c r="C494"/>
      <c r="D494"/>
      <c r="E494"/>
      <c r="IC494" s="27" t="s">
        <v>8</v>
      </c>
      <c r="ID494" s="27" t="s">
        <v>7</v>
      </c>
      <c r="IE494" s="27" t="s">
        <v>8</v>
      </c>
      <c r="IF494" s="27" t="s">
        <v>7</v>
      </c>
      <c r="IS494" s="27" t="s">
        <v>8</v>
      </c>
      <c r="IT494" s="27" t="s">
        <v>7</v>
      </c>
    </row>
    <row r="495" spans="1:255" x14ac:dyDescent="0.25">
      <c r="A495" s="7">
        <v>6.1832357046081956</v>
      </c>
      <c r="B495"/>
      <c r="C495"/>
      <c r="D495"/>
      <c r="E495"/>
      <c r="IC495" s="27" t="s">
        <v>8</v>
      </c>
      <c r="ID495" s="27" t="s">
        <v>7</v>
      </c>
      <c r="IE495" s="27" t="s">
        <v>8</v>
      </c>
      <c r="IF495" s="27" t="s">
        <v>7</v>
      </c>
      <c r="IS495" s="27" t="s">
        <v>8</v>
      </c>
      <c r="IT495" s="27" t="s">
        <v>7</v>
      </c>
    </row>
    <row r="496" spans="1:255" x14ac:dyDescent="0.25">
      <c r="A496" s="7">
        <v>6.0619957888315641</v>
      </c>
      <c r="B496"/>
      <c r="C496"/>
      <c r="D496"/>
      <c r="E496"/>
      <c r="IC496" s="27" t="s">
        <v>8</v>
      </c>
      <c r="ID496" s="27" t="s">
        <v>7</v>
      </c>
      <c r="IE496" s="27" t="s">
        <v>8</v>
      </c>
      <c r="IF496" s="27" t="s">
        <v>7</v>
      </c>
      <c r="IG496" s="27" t="s">
        <v>8</v>
      </c>
      <c r="IS496" s="27" t="s">
        <v>8</v>
      </c>
      <c r="IT496" s="27" t="s">
        <v>7</v>
      </c>
      <c r="IU496" s="27" t="s">
        <v>8</v>
      </c>
    </row>
    <row r="497" spans="1:264" x14ac:dyDescent="0.25">
      <c r="A497" s="7">
        <v>5.9431331263054545</v>
      </c>
      <c r="B497"/>
      <c r="C497"/>
      <c r="D497"/>
      <c r="E497"/>
      <c r="IC497" s="27" t="s">
        <v>8</v>
      </c>
      <c r="ID497" s="27" t="s">
        <v>7</v>
      </c>
      <c r="IE497" s="27" t="s">
        <v>8</v>
      </c>
      <c r="IF497" s="27" t="s">
        <v>7</v>
      </c>
      <c r="IG497" s="27" t="s">
        <v>8</v>
      </c>
      <c r="IH497" s="27" t="s">
        <v>7</v>
      </c>
      <c r="IS497" s="27" t="s">
        <v>8</v>
      </c>
      <c r="IT497" s="27" t="s">
        <v>7</v>
      </c>
      <c r="IU497" s="27" t="s">
        <v>8</v>
      </c>
      <c r="IV497" s="27" t="s">
        <v>7</v>
      </c>
    </row>
    <row r="498" spans="1:264" x14ac:dyDescent="0.25">
      <c r="A498" s="7">
        <v>5.8266011042210337</v>
      </c>
      <c r="B498"/>
      <c r="C498"/>
      <c r="D498"/>
      <c r="E498"/>
      <c r="IC498" s="27" t="s">
        <v>8</v>
      </c>
      <c r="ID498" s="27" t="s">
        <v>7</v>
      </c>
      <c r="IF498" s="27" t="s">
        <v>7</v>
      </c>
      <c r="IG498" s="27" t="s">
        <v>8</v>
      </c>
      <c r="IH498" s="27" t="s">
        <v>7</v>
      </c>
      <c r="IS498" s="27" t="s">
        <v>8</v>
      </c>
      <c r="IT498" s="27" t="s">
        <v>7</v>
      </c>
      <c r="IU498" s="27" t="s">
        <v>8</v>
      </c>
      <c r="IV498" s="27" t="s">
        <v>7</v>
      </c>
    </row>
    <row r="499" spans="1:264" x14ac:dyDescent="0.25">
      <c r="A499" s="7">
        <v>5.7123540237461112</v>
      </c>
      <c r="B499"/>
      <c r="C499"/>
      <c r="D499"/>
      <c r="E499"/>
      <c r="IC499" s="27" t="s">
        <v>8</v>
      </c>
      <c r="IF499" s="27" t="s">
        <v>7</v>
      </c>
      <c r="IG499" s="27" t="s">
        <v>8</v>
      </c>
      <c r="IH499" s="27" t="s">
        <v>7</v>
      </c>
      <c r="II499" s="27" t="s">
        <v>8</v>
      </c>
      <c r="IS499" s="27" t="s">
        <v>8</v>
      </c>
      <c r="IT499" s="27" t="s">
        <v>7</v>
      </c>
      <c r="IU499" s="27" t="s">
        <v>8</v>
      </c>
      <c r="IV499" s="27" t="s">
        <v>7</v>
      </c>
    </row>
    <row r="500" spans="1:264" x14ac:dyDescent="0.25">
      <c r="A500" s="7">
        <v>5.6003470821040304</v>
      </c>
      <c r="B500"/>
      <c r="C500"/>
      <c r="D500"/>
      <c r="E500"/>
      <c r="IC500" s="27" t="s">
        <v>8</v>
      </c>
      <c r="IF500" s="27" t="s">
        <v>7</v>
      </c>
      <c r="IG500" s="27" t="s">
        <v>8</v>
      </c>
      <c r="IH500" s="27" t="s">
        <v>7</v>
      </c>
      <c r="II500" s="27" t="s">
        <v>8</v>
      </c>
      <c r="IJ500" s="27" t="s">
        <v>7</v>
      </c>
      <c r="IK500" s="27" t="s">
        <v>8</v>
      </c>
      <c r="IM500" s="27" t="s">
        <v>8</v>
      </c>
      <c r="IS500" s="27" t="s">
        <v>8</v>
      </c>
      <c r="IT500" s="27" t="s">
        <v>7</v>
      </c>
      <c r="IV500" s="27" t="s">
        <v>7</v>
      </c>
    </row>
    <row r="501" spans="1:264" x14ac:dyDescent="0.25">
      <c r="A501" s="7">
        <v>5.4905363550039512</v>
      </c>
      <c r="B501"/>
      <c r="C501"/>
      <c r="D501"/>
      <c r="E501"/>
      <c r="IC501" s="27" t="s">
        <v>8</v>
      </c>
      <c r="IF501" s="27" t="s">
        <v>7</v>
      </c>
      <c r="IG501" s="27" t="s">
        <v>8</v>
      </c>
      <c r="IH501" s="27" t="s">
        <v>7</v>
      </c>
      <c r="II501" s="27" t="s">
        <v>8</v>
      </c>
      <c r="IJ501" s="27" t="s">
        <v>7</v>
      </c>
      <c r="IK501" s="27" t="s">
        <v>8</v>
      </c>
      <c r="IL501" s="27" t="s">
        <v>7</v>
      </c>
      <c r="IM501" s="27" t="s">
        <v>8</v>
      </c>
      <c r="IN501" s="27" t="s">
        <v>7</v>
      </c>
      <c r="IS501" s="27" t="s">
        <v>8</v>
      </c>
      <c r="IV501" s="27" t="s">
        <v>7</v>
      </c>
    </row>
    <row r="502" spans="1:264" x14ac:dyDescent="0.25">
      <c r="A502" s="7">
        <v>5.3828787794156385</v>
      </c>
      <c r="B502"/>
      <c r="C502"/>
      <c r="D502"/>
      <c r="E502"/>
      <c r="IC502" s="27" t="s">
        <v>8</v>
      </c>
      <c r="IF502" s="27" t="s">
        <v>7</v>
      </c>
      <c r="IG502" s="27" t="s">
        <v>8</v>
      </c>
      <c r="IH502" s="27" t="s">
        <v>7</v>
      </c>
      <c r="II502" s="27" t="s">
        <v>8</v>
      </c>
      <c r="IJ502" s="27" t="s">
        <v>7</v>
      </c>
      <c r="IK502" s="27" t="s">
        <v>8</v>
      </c>
      <c r="IL502" s="27" t="s">
        <v>7</v>
      </c>
      <c r="IM502" s="27" t="s">
        <v>8</v>
      </c>
      <c r="IN502" s="27" t="s">
        <v>7</v>
      </c>
      <c r="IS502" s="27" t="s">
        <v>8</v>
      </c>
      <c r="IV502" s="27" t="s">
        <v>7</v>
      </c>
      <c r="IW502" s="27" t="s">
        <v>8</v>
      </c>
    </row>
    <row r="503" spans="1:264" x14ac:dyDescent="0.25">
      <c r="A503" s="7">
        <v>5.2773321366819985</v>
      </c>
      <c r="B503"/>
      <c r="C503"/>
      <c r="D503"/>
      <c r="E503"/>
      <c r="IC503" s="27" t="s">
        <v>8</v>
      </c>
      <c r="IF503" s="27" t="s">
        <v>7</v>
      </c>
      <c r="IG503" s="27" t="s">
        <v>8</v>
      </c>
      <c r="IH503" s="27" t="s">
        <v>7</v>
      </c>
      <c r="II503" s="27" t="s">
        <v>8</v>
      </c>
      <c r="IJ503" s="27" t="s">
        <v>7</v>
      </c>
      <c r="IK503" s="27" t="s">
        <v>8</v>
      </c>
      <c r="IL503" s="27" t="s">
        <v>7</v>
      </c>
      <c r="IM503" s="27" t="s">
        <v>8</v>
      </c>
      <c r="IN503" s="27" t="s">
        <v>7</v>
      </c>
      <c r="IO503" s="27" t="s">
        <v>8</v>
      </c>
      <c r="IQ503" s="27" t="s">
        <v>8</v>
      </c>
      <c r="IS503" s="27" t="s">
        <v>8</v>
      </c>
      <c r="IV503" s="27" t="s">
        <v>7</v>
      </c>
      <c r="IW503" s="27" t="s">
        <v>8</v>
      </c>
      <c r="IX503" s="27" t="s">
        <v>7</v>
      </c>
    </row>
    <row r="504" spans="1:264" x14ac:dyDescent="0.25">
      <c r="A504" s="7">
        <v>5.1738550359627435</v>
      </c>
      <c r="B504"/>
      <c r="C504"/>
      <c r="D504"/>
      <c r="E504"/>
      <c r="IC504" s="27" t="s">
        <v>8</v>
      </c>
      <c r="IF504" s="27" t="s">
        <v>7</v>
      </c>
      <c r="IG504" s="27" t="s">
        <v>8</v>
      </c>
      <c r="IH504" s="27" t="s">
        <v>7</v>
      </c>
      <c r="II504" s="27" t="s">
        <v>8</v>
      </c>
      <c r="IJ504" s="27" t="s">
        <v>7</v>
      </c>
      <c r="IK504" s="27" t="s">
        <v>8</v>
      </c>
      <c r="IL504" s="27" t="s">
        <v>7</v>
      </c>
      <c r="IM504" s="27" t="s">
        <v>8</v>
      </c>
      <c r="IN504" s="27" t="s">
        <v>7</v>
      </c>
      <c r="IO504" s="27" t="s">
        <v>8</v>
      </c>
      <c r="IP504" s="27" t="s">
        <v>7</v>
      </c>
      <c r="IQ504" s="27" t="s">
        <v>8</v>
      </c>
      <c r="IR504" s="27" t="s">
        <v>7</v>
      </c>
      <c r="IS504" s="27" t="s">
        <v>8</v>
      </c>
      <c r="IV504" s="27" t="s">
        <v>7</v>
      </c>
      <c r="IW504" s="27" t="s">
        <v>8</v>
      </c>
      <c r="IX504" s="27" t="s">
        <v>7</v>
      </c>
      <c r="JA504" s="27" t="s">
        <v>8</v>
      </c>
    </row>
    <row r="505" spans="1:264" x14ac:dyDescent="0.25">
      <c r="A505" s="7">
        <v>5.07240689800269</v>
      </c>
      <c r="B505"/>
      <c r="C505"/>
      <c r="D505"/>
      <c r="E505"/>
      <c r="IC505" s="27" t="s">
        <v>8</v>
      </c>
      <c r="IF505" s="27" t="s">
        <v>7</v>
      </c>
      <c r="IG505" s="27" t="s">
        <v>8</v>
      </c>
      <c r="IH505" s="27" t="s">
        <v>7</v>
      </c>
      <c r="II505" s="27" t="s">
        <v>8</v>
      </c>
      <c r="IJ505" s="27" t="s">
        <v>7</v>
      </c>
      <c r="IL505" s="27" t="s">
        <v>7</v>
      </c>
      <c r="IM505" s="27" t="s">
        <v>8</v>
      </c>
      <c r="IN505" s="27" t="s">
        <v>7</v>
      </c>
      <c r="IO505" s="27" t="s">
        <v>8</v>
      </c>
      <c r="IP505" s="27" t="s">
        <v>7</v>
      </c>
      <c r="IQ505" s="27" t="s">
        <v>8</v>
      </c>
      <c r="IR505" s="27" t="s">
        <v>7</v>
      </c>
      <c r="IS505" s="27" t="s">
        <v>8</v>
      </c>
      <c r="IV505" s="27" t="s">
        <v>7</v>
      </c>
      <c r="IW505" s="27" t="s">
        <v>8</v>
      </c>
      <c r="IX505" s="27" t="s">
        <v>7</v>
      </c>
      <c r="JA505" s="27" t="s">
        <v>8</v>
      </c>
      <c r="JB505" s="27" t="s">
        <v>7</v>
      </c>
    </row>
    <row r="506" spans="1:264" x14ac:dyDescent="0.25">
      <c r="A506" s="7">
        <v>4.9729479392183231</v>
      </c>
      <c r="B506"/>
      <c r="C506"/>
      <c r="D506"/>
      <c r="E506"/>
      <c r="IC506" s="27" t="s">
        <v>8</v>
      </c>
      <c r="IF506" s="27" t="s">
        <v>7</v>
      </c>
      <c r="IG506" s="27" t="s">
        <v>8</v>
      </c>
      <c r="IH506" s="27" t="s">
        <v>7</v>
      </c>
      <c r="II506" s="27" t="s">
        <v>8</v>
      </c>
      <c r="IL506" s="27" t="s">
        <v>7</v>
      </c>
      <c r="IM506" s="27" t="s">
        <v>8</v>
      </c>
      <c r="IN506" s="27" t="s">
        <v>7</v>
      </c>
      <c r="IO506" s="27" t="s">
        <v>8</v>
      </c>
      <c r="IP506" s="27" t="s">
        <v>7</v>
      </c>
      <c r="IQ506" s="27" t="s">
        <v>8</v>
      </c>
      <c r="IR506" s="27" t="s">
        <v>7</v>
      </c>
      <c r="IS506" s="27" t="s">
        <v>8</v>
      </c>
      <c r="IV506" s="27" t="s">
        <v>7</v>
      </c>
      <c r="IW506" s="27" t="s">
        <v>8</v>
      </c>
      <c r="IX506" s="27" t="s">
        <v>7</v>
      </c>
      <c r="JA506" s="27" t="s">
        <v>8</v>
      </c>
      <c r="JB506" s="27" t="s">
        <v>7</v>
      </c>
      <c r="JC506" s="27" t="s">
        <v>8</v>
      </c>
    </row>
    <row r="507" spans="1:264" x14ac:dyDescent="0.25">
      <c r="A507" s="7">
        <v>4.8754391560963954</v>
      </c>
      <c r="B507"/>
      <c r="C507"/>
      <c r="D507"/>
      <c r="E507"/>
      <c r="IC507" s="27" t="s">
        <v>8</v>
      </c>
      <c r="IF507" s="27" t="s">
        <v>7</v>
      </c>
      <c r="IG507" s="27" t="s">
        <v>8</v>
      </c>
      <c r="IH507" s="27" t="s">
        <v>7</v>
      </c>
      <c r="II507" s="27" t="s">
        <v>8</v>
      </c>
      <c r="IL507" s="27" t="s">
        <v>7</v>
      </c>
      <c r="IM507" s="27" t="s">
        <v>8</v>
      </c>
      <c r="IN507" s="27" t="s">
        <v>7</v>
      </c>
      <c r="IO507" s="27" t="s">
        <v>8</v>
      </c>
      <c r="IP507" s="27" t="s">
        <v>7</v>
      </c>
      <c r="IQ507" s="27" t="s">
        <v>8</v>
      </c>
      <c r="IR507" s="27" t="s">
        <v>7</v>
      </c>
      <c r="IS507" s="27" t="s">
        <v>8</v>
      </c>
      <c r="IV507" s="27" t="s">
        <v>7</v>
      </c>
      <c r="IW507" s="27" t="s">
        <v>8</v>
      </c>
      <c r="IX507" s="27" t="s">
        <v>7</v>
      </c>
      <c r="IY507" s="27" t="s">
        <v>8</v>
      </c>
      <c r="JA507" s="27" t="s">
        <v>8</v>
      </c>
      <c r="JB507" s="27" t="s">
        <v>7</v>
      </c>
      <c r="JC507" s="27" t="s">
        <v>8</v>
      </c>
      <c r="JD507" s="27" t="s">
        <v>7</v>
      </c>
    </row>
    <row r="508" spans="1:264" x14ac:dyDescent="0.25">
      <c r="A508" s="7">
        <v>4.7798423098984264</v>
      </c>
      <c r="B508"/>
      <c r="C508"/>
      <c r="D508"/>
      <c r="E508"/>
      <c r="IC508" s="27" t="s">
        <v>8</v>
      </c>
      <c r="IF508" s="27" t="s">
        <v>7</v>
      </c>
      <c r="IG508" s="27" t="s">
        <v>8</v>
      </c>
      <c r="IH508" s="27" t="s">
        <v>7</v>
      </c>
      <c r="IL508" s="27" t="s">
        <v>7</v>
      </c>
      <c r="IN508" s="27" t="s">
        <v>7</v>
      </c>
      <c r="IO508" s="27" t="s">
        <v>8</v>
      </c>
      <c r="IP508" s="27" t="s">
        <v>7</v>
      </c>
      <c r="IQ508" s="27" t="s">
        <v>8</v>
      </c>
      <c r="IR508" s="27" t="s">
        <v>7</v>
      </c>
      <c r="IV508" s="27" t="s">
        <v>7</v>
      </c>
      <c r="IX508" s="27" t="s">
        <v>7</v>
      </c>
      <c r="IY508" s="27" t="s">
        <v>8</v>
      </c>
      <c r="IZ508" s="27" t="s">
        <v>7</v>
      </c>
      <c r="JA508" s="27" t="s">
        <v>8</v>
      </c>
      <c r="JB508" s="27" t="s">
        <v>7</v>
      </c>
      <c r="JC508" s="27" t="s">
        <v>8</v>
      </c>
      <c r="JD508" s="27" t="s">
        <v>7</v>
      </c>
    </row>
    <row r="509" spans="1:264" x14ac:dyDescent="0.25">
      <c r="A509" s="7">
        <v>4.6861199116651235</v>
      </c>
      <c r="B509"/>
      <c r="C509"/>
      <c r="D509"/>
      <c r="E509"/>
      <c r="HY509" s="27" t="s">
        <v>8</v>
      </c>
      <c r="IC509" s="27" t="s">
        <v>8</v>
      </c>
      <c r="IF509" s="27" t="s">
        <v>7</v>
      </c>
      <c r="IG509" s="27" t="s">
        <v>8</v>
      </c>
      <c r="IN509" s="27" t="s">
        <v>7</v>
      </c>
      <c r="IO509" s="27" t="s">
        <v>8</v>
      </c>
      <c r="IP509" s="27" t="s">
        <v>7</v>
      </c>
      <c r="IX509" s="27" t="s">
        <v>7</v>
      </c>
      <c r="IY509" s="27" t="s">
        <v>8</v>
      </c>
      <c r="IZ509" s="27" t="s">
        <v>7</v>
      </c>
      <c r="JA509" s="27" t="s">
        <v>8</v>
      </c>
      <c r="JB509" s="27" t="s">
        <v>7</v>
      </c>
      <c r="JD509" s="27" t="s">
        <v>7</v>
      </c>
    </row>
    <row r="510" spans="1:264" x14ac:dyDescent="0.25">
      <c r="A510" s="7">
        <v>4.5942352075148269</v>
      </c>
      <c r="B510"/>
      <c r="C510"/>
      <c r="D510"/>
      <c r="E510"/>
      <c r="HY510" s="27" t="s">
        <v>8</v>
      </c>
      <c r="HZ510" s="27" t="s">
        <v>7</v>
      </c>
      <c r="IC510" s="27" t="s">
        <v>8</v>
      </c>
      <c r="IF510" s="27" t="s">
        <v>7</v>
      </c>
      <c r="IG510" s="27" t="s">
        <v>8</v>
      </c>
      <c r="IN510" s="27" t="s">
        <v>7</v>
      </c>
      <c r="IO510" s="27" t="s">
        <v>8</v>
      </c>
      <c r="IX510" s="27" t="s">
        <v>7</v>
      </c>
      <c r="IY510" s="27" t="s">
        <v>8</v>
      </c>
      <c r="IZ510" s="27" t="s">
        <v>7</v>
      </c>
      <c r="JA510" s="27" t="s">
        <v>8</v>
      </c>
      <c r="JD510" s="27" t="s">
        <v>7</v>
      </c>
    </row>
    <row r="511" spans="1:264" x14ac:dyDescent="0.25">
      <c r="A511" s="7">
        <v>4.5041521642302227</v>
      </c>
      <c r="B511"/>
      <c r="C511"/>
      <c r="D511"/>
      <c r="E511"/>
      <c r="HY511" s="27" t="s">
        <v>8</v>
      </c>
      <c r="HZ511" s="27" t="s">
        <v>7</v>
      </c>
      <c r="IC511" s="27" t="s">
        <v>8</v>
      </c>
      <c r="IF511" s="27" t="s">
        <v>7</v>
      </c>
      <c r="IG511" s="27" t="s">
        <v>8</v>
      </c>
      <c r="IN511" s="27" t="s">
        <v>7</v>
      </c>
      <c r="IX511" s="27" t="s">
        <v>7</v>
      </c>
      <c r="IZ511" s="27" t="s">
        <v>7</v>
      </c>
      <c r="JA511" s="27" t="s">
        <v>8</v>
      </c>
      <c r="JD511" s="27" t="s">
        <v>7</v>
      </c>
    </row>
    <row r="512" spans="1:264" x14ac:dyDescent="0.25">
      <c r="A512" s="7">
        <v>4.4158354551276693</v>
      </c>
      <c r="B512"/>
      <c r="C512"/>
      <c r="D512"/>
      <c r="E512"/>
      <c r="HY512" s="27" t="s">
        <v>8</v>
      </c>
      <c r="HZ512" s="27" t="s">
        <v>7</v>
      </c>
      <c r="IA512" s="27" t="s">
        <v>8</v>
      </c>
      <c r="IC512" s="27" t="s">
        <v>8</v>
      </c>
      <c r="IF512" s="27" t="s">
        <v>7</v>
      </c>
      <c r="IG512" s="27" t="s">
        <v>8</v>
      </c>
      <c r="IZ512" s="27" t="s">
        <v>7</v>
      </c>
      <c r="JA512" s="27" t="s">
        <v>8</v>
      </c>
      <c r="JD512" s="27" t="s">
        <v>7</v>
      </c>
    </row>
    <row r="513" spans="1:268" x14ac:dyDescent="0.25">
      <c r="A513" s="7">
        <v>4.3292504462035977</v>
      </c>
      <c r="B513"/>
      <c r="C513"/>
      <c r="D513"/>
      <c r="E513"/>
      <c r="HY513" s="27" t="s">
        <v>8</v>
      </c>
      <c r="HZ513" s="27" t="s">
        <v>7</v>
      </c>
      <c r="IA513" s="27" t="s">
        <v>8</v>
      </c>
      <c r="IB513" s="27" t="s">
        <v>7</v>
      </c>
      <c r="IC513" s="27" t="s">
        <v>8</v>
      </c>
      <c r="IF513" s="27" t="s">
        <v>7</v>
      </c>
      <c r="IG513" s="27" t="s">
        <v>8</v>
      </c>
      <c r="IZ513" s="27" t="s">
        <v>7</v>
      </c>
      <c r="JA513" s="27" t="s">
        <v>8</v>
      </c>
      <c r="JD513" s="27" t="s">
        <v>7</v>
      </c>
    </row>
    <row r="514" spans="1:268" x14ac:dyDescent="0.25">
      <c r="A514" s="7">
        <v>4.2443631825525463</v>
      </c>
      <c r="B514"/>
      <c r="C514"/>
      <c r="D514"/>
      <c r="E514"/>
      <c r="HY514" s="27" t="s">
        <v>8</v>
      </c>
      <c r="HZ514" s="27" t="s">
        <v>7</v>
      </c>
      <c r="IA514" s="27" t="s">
        <v>8</v>
      </c>
      <c r="IB514" s="27" t="s">
        <v>7</v>
      </c>
      <c r="IC514" s="27" t="s">
        <v>8</v>
      </c>
      <c r="IF514" s="27" t="s">
        <v>7</v>
      </c>
      <c r="IG514" s="27" t="s">
        <v>8</v>
      </c>
      <c r="IZ514" s="27" t="s">
        <v>7</v>
      </c>
      <c r="JD514" s="27" t="s">
        <v>7</v>
      </c>
    </row>
    <row r="515" spans="1:268" x14ac:dyDescent="0.25">
      <c r="A515" s="7">
        <v>4.1611403750515157</v>
      </c>
      <c r="B515"/>
      <c r="C515"/>
      <c r="D515"/>
      <c r="E515"/>
      <c r="HY515" s="27" t="s">
        <v>8</v>
      </c>
      <c r="HZ515" s="27" t="s">
        <v>7</v>
      </c>
      <c r="IA515" s="27" t="s">
        <v>8</v>
      </c>
      <c r="IB515" s="27" t="s">
        <v>7</v>
      </c>
      <c r="IC515" s="27" t="s">
        <v>8</v>
      </c>
      <c r="IF515" s="27" t="s">
        <v>7</v>
      </c>
      <c r="JD515" s="27" t="s">
        <v>7</v>
      </c>
    </row>
    <row r="516" spans="1:268" x14ac:dyDescent="0.25">
      <c r="A516" s="7">
        <v>4.0795493873054074</v>
      </c>
      <c r="B516"/>
      <c r="C516"/>
      <c r="D516"/>
      <c r="E516"/>
      <c r="HY516" s="27" t="s">
        <v>8</v>
      </c>
      <c r="HZ516" s="27" t="s">
        <v>7</v>
      </c>
      <c r="IA516" s="27" t="s">
        <v>8</v>
      </c>
      <c r="IB516" s="27" t="s">
        <v>7</v>
      </c>
      <c r="IC516" s="27" t="s">
        <v>8</v>
      </c>
      <c r="JD516" s="27" t="s">
        <v>7</v>
      </c>
    </row>
    <row r="517" spans="1:268" x14ac:dyDescent="0.25">
      <c r="A517" s="7">
        <v>3.9995582228484383</v>
      </c>
      <c r="B517"/>
      <c r="C517"/>
      <c r="D517"/>
      <c r="E517"/>
      <c r="HY517" s="27" t="s">
        <v>8</v>
      </c>
      <c r="HZ517" s="27" t="s">
        <v>7</v>
      </c>
      <c r="IB517" s="27" t="s">
        <v>7</v>
      </c>
      <c r="IC517" s="27" t="s">
        <v>8</v>
      </c>
      <c r="JD517" s="27" t="s">
        <v>7</v>
      </c>
    </row>
    <row r="518" spans="1:268" x14ac:dyDescent="0.25">
      <c r="A518" s="7">
        <v>3.9211355125965079</v>
      </c>
      <c r="B518"/>
      <c r="C518"/>
      <c r="D518"/>
      <c r="E518"/>
      <c r="HY518" s="27" t="s">
        <v>8</v>
      </c>
      <c r="IB518" s="27" t="s">
        <v>7</v>
      </c>
      <c r="IC518" s="27" t="s">
        <v>8</v>
      </c>
      <c r="JD518" s="27" t="s">
        <v>7</v>
      </c>
    </row>
    <row r="519" spans="1:268" x14ac:dyDescent="0.25">
      <c r="A519" s="7">
        <v>3.844250502545596</v>
      </c>
      <c r="B519"/>
      <c r="C519"/>
      <c r="D519"/>
      <c r="E519"/>
      <c r="HY519" s="27" t="s">
        <v>8</v>
      </c>
      <c r="IB519" s="27" t="s">
        <v>7</v>
      </c>
      <c r="IC519" s="27" t="s">
        <v>8</v>
      </c>
      <c r="JD519" s="27" t="s">
        <v>7</v>
      </c>
    </row>
    <row r="520" spans="1:268" x14ac:dyDescent="0.25">
      <c r="A520" s="7">
        <v>3.7688730417113687</v>
      </c>
      <c r="B520"/>
      <c r="C520"/>
      <c r="D520"/>
      <c r="E520"/>
      <c r="HY520" s="27" t="s">
        <v>8</v>
      </c>
      <c r="IB520" s="27" t="s">
        <v>7</v>
      </c>
      <c r="JD520" s="27" t="s">
        <v>7</v>
      </c>
    </row>
    <row r="521" spans="1:268" x14ac:dyDescent="0.25">
      <c r="A521" s="7">
        <v>3.6949735703052635</v>
      </c>
      <c r="B521"/>
      <c r="C521"/>
      <c r="D521"/>
      <c r="E521"/>
      <c r="HY521" s="27" t="s">
        <v>8</v>
      </c>
      <c r="JD521" s="27" t="s">
        <v>7</v>
      </c>
    </row>
    <row r="522" spans="1:268" x14ac:dyDescent="0.25">
      <c r="A522" s="7">
        <v>3.6225231081424152</v>
      </c>
      <c r="B522"/>
      <c r="C522"/>
      <c r="D522"/>
      <c r="E522"/>
      <c r="HY522" s="27" t="s">
        <v>8</v>
      </c>
      <c r="JD522" s="27" t="s">
        <v>7</v>
      </c>
    </row>
    <row r="523" spans="1:268" x14ac:dyDescent="0.25">
      <c r="A523" s="7">
        <v>3.5514932432768775</v>
      </c>
      <c r="B523"/>
      <c r="C523"/>
      <c r="D523"/>
      <c r="E523"/>
      <c r="HY523" s="27" t="s">
        <v>8</v>
      </c>
      <c r="JD523" s="27" t="s">
        <v>7</v>
      </c>
    </row>
    <row r="524" spans="1:268" x14ac:dyDescent="0.25">
      <c r="A524" s="7">
        <v>3.4818561208596837</v>
      </c>
      <c r="B524"/>
      <c r="C524"/>
      <c r="D524"/>
      <c r="E524"/>
      <c r="HY524" s="27" t="s">
        <v>8</v>
      </c>
      <c r="JD524" s="27" t="s">
        <v>7</v>
      </c>
    </row>
    <row r="525" spans="1:268" x14ac:dyDescent="0.25">
      <c r="A525" s="7">
        <v>3.4135844322153761</v>
      </c>
      <c r="B525"/>
      <c r="C525"/>
      <c r="D525"/>
      <c r="E525"/>
      <c r="HS525" s="27" t="s">
        <v>8</v>
      </c>
      <c r="HY525" s="27" t="s">
        <v>8</v>
      </c>
      <c r="JD525" s="27" t="s">
        <v>7</v>
      </c>
      <c r="JG525" s="27" t="s">
        <v>8</v>
      </c>
    </row>
    <row r="526" spans="1:268" x14ac:dyDescent="0.25">
      <c r="A526" s="7">
        <v>3.3466514041327216</v>
      </c>
      <c r="B526"/>
      <c r="C526"/>
      <c r="D526"/>
      <c r="E526"/>
      <c r="HS526" s="27" t="s">
        <v>8</v>
      </c>
      <c r="HT526" s="27" t="s">
        <v>7</v>
      </c>
      <c r="HY526" s="27" t="s">
        <v>8</v>
      </c>
      <c r="JD526" s="27" t="s">
        <v>7</v>
      </c>
      <c r="JG526" s="27" t="s">
        <v>8</v>
      </c>
      <c r="JH526" s="27" t="s">
        <v>7</v>
      </c>
    </row>
    <row r="527" spans="1:268" x14ac:dyDescent="0.25">
      <c r="A527" s="7">
        <v>3.2810307883654133</v>
      </c>
      <c r="B527"/>
      <c r="C527"/>
      <c r="D527"/>
      <c r="E527"/>
      <c r="HS527" s="27" t="s">
        <v>8</v>
      </c>
      <c r="HT527" s="27" t="s">
        <v>7</v>
      </c>
      <c r="HY527" s="27" t="s">
        <v>8</v>
      </c>
      <c r="JD527" s="27" t="s">
        <v>7</v>
      </c>
      <c r="JG527" s="27" t="s">
        <v>8</v>
      </c>
      <c r="JH527" s="27" t="s">
        <v>7</v>
      </c>
    </row>
    <row r="528" spans="1:268" x14ac:dyDescent="0.25">
      <c r="A528" s="7">
        <v>3.2166968513386403</v>
      </c>
      <c r="B528"/>
      <c r="C528"/>
      <c r="D528"/>
      <c r="E528"/>
      <c r="HS528" s="27" t="s">
        <v>8</v>
      </c>
      <c r="HT528" s="27" t="s">
        <v>7</v>
      </c>
      <c r="HY528" s="27" t="s">
        <v>8</v>
      </c>
      <c r="JD528" s="27" t="s">
        <v>7</v>
      </c>
      <c r="JE528" s="27" t="s">
        <v>8</v>
      </c>
      <c r="JG528" s="27" t="s">
        <v>8</v>
      </c>
      <c r="JH528" s="27" t="s">
        <v>7</v>
      </c>
    </row>
    <row r="529" spans="1:268" x14ac:dyDescent="0.25">
      <c r="A529" s="7">
        <v>3.1536243640574906</v>
      </c>
      <c r="B529"/>
      <c r="C529"/>
      <c r="D529"/>
      <c r="E529"/>
      <c r="HS529" s="27" t="s">
        <v>8</v>
      </c>
      <c r="HT529" s="27" t="s">
        <v>7</v>
      </c>
      <c r="HW529" s="27" t="s">
        <v>8</v>
      </c>
      <c r="HY529" s="27" t="s">
        <v>8</v>
      </c>
      <c r="JD529" s="27" t="s">
        <v>7</v>
      </c>
      <c r="JE529" s="27" t="s">
        <v>8</v>
      </c>
      <c r="JF529" s="27" t="s">
        <v>7</v>
      </c>
      <c r="JG529" s="27" t="s">
        <v>8</v>
      </c>
      <c r="JH529" s="27" t="s">
        <v>7</v>
      </c>
    </row>
    <row r="530" spans="1:268" x14ac:dyDescent="0.25">
      <c r="A530" s="7">
        <v>3.0917885922132262</v>
      </c>
      <c r="B530"/>
      <c r="C530"/>
      <c r="D530"/>
      <c r="E530"/>
      <c r="HS530" s="27" t="s">
        <v>8</v>
      </c>
      <c r="HT530" s="27" t="s">
        <v>7</v>
      </c>
      <c r="HW530" s="27" t="s">
        <v>8</v>
      </c>
      <c r="HX530" s="27" t="s">
        <v>7</v>
      </c>
      <c r="HY530" s="27" t="s">
        <v>8</v>
      </c>
      <c r="JD530" s="27" t="s">
        <v>7</v>
      </c>
      <c r="JE530" s="27" t="s">
        <v>8</v>
      </c>
      <c r="JF530" s="27" t="s">
        <v>7</v>
      </c>
      <c r="JG530" s="27" t="s">
        <v>8</v>
      </c>
      <c r="JH530" s="27" t="s">
        <v>7</v>
      </c>
    </row>
    <row r="531" spans="1:268" x14ac:dyDescent="0.25">
      <c r="A531" s="7">
        <v>3.0311652864835552</v>
      </c>
      <c r="B531"/>
      <c r="C531"/>
      <c r="D531"/>
      <c r="E531"/>
      <c r="HS531" s="27" t="s">
        <v>8</v>
      </c>
      <c r="HT531" s="27" t="s">
        <v>7</v>
      </c>
      <c r="HW531" s="27" t="s">
        <v>8</v>
      </c>
      <c r="HX531" s="27" t="s">
        <v>7</v>
      </c>
      <c r="HY531" s="27" t="s">
        <v>8</v>
      </c>
      <c r="JD531" s="27" t="s">
        <v>7</v>
      </c>
      <c r="JE531" s="27" t="s">
        <v>8</v>
      </c>
      <c r="JF531" s="27" t="s">
        <v>7</v>
      </c>
      <c r="JG531" s="27" t="s">
        <v>8</v>
      </c>
    </row>
    <row r="532" spans="1:268" x14ac:dyDescent="0.25">
      <c r="A532" s="7">
        <v>2.9717306730230932</v>
      </c>
      <c r="B532"/>
      <c r="C532"/>
      <c r="D532"/>
      <c r="E532"/>
      <c r="HS532" s="27" t="s">
        <v>8</v>
      </c>
      <c r="HT532" s="27" t="s">
        <v>7</v>
      </c>
      <c r="HW532" s="27" t="s">
        <v>8</v>
      </c>
      <c r="HX532" s="27" t="s">
        <v>7</v>
      </c>
      <c r="HY532" s="27" t="s">
        <v>8</v>
      </c>
      <c r="JD532" s="27" t="s">
        <v>7</v>
      </c>
      <c r="JE532" s="27" t="s">
        <v>8</v>
      </c>
      <c r="JF532" s="27" t="s">
        <v>7</v>
      </c>
      <c r="JG532" s="27" t="s">
        <v>8</v>
      </c>
    </row>
    <row r="533" spans="1:268" x14ac:dyDescent="0.25">
      <c r="A533" s="7">
        <v>2.9134614441402875</v>
      </c>
      <c r="B533"/>
      <c r="C533"/>
      <c r="D533"/>
      <c r="E533"/>
      <c r="HS533" s="27" t="s">
        <v>8</v>
      </c>
      <c r="HT533" s="27" t="s">
        <v>7</v>
      </c>
      <c r="HW533" s="27" t="s">
        <v>8</v>
      </c>
      <c r="HX533" s="27" t="s">
        <v>7</v>
      </c>
      <c r="HY533" s="27" t="s">
        <v>8</v>
      </c>
      <c r="JD533" s="27" t="s">
        <v>7</v>
      </c>
      <c r="JE533" s="27" t="s">
        <v>8</v>
      </c>
      <c r="JF533" s="27" t="s">
        <v>7</v>
      </c>
      <c r="JG533" s="27" t="s">
        <v>8</v>
      </c>
    </row>
    <row r="534" spans="1:268" x14ac:dyDescent="0.25">
      <c r="A534" s="7">
        <v>2.8563347491571447</v>
      </c>
      <c r="B534"/>
      <c r="C534"/>
      <c r="D534"/>
      <c r="E534"/>
      <c r="HS534" s="27" t="s">
        <v>8</v>
      </c>
      <c r="HT534" s="27" t="s">
        <v>7</v>
      </c>
      <c r="HU534" s="27" t="s">
        <v>8</v>
      </c>
      <c r="HW534" s="27" t="s">
        <v>8</v>
      </c>
      <c r="HX534" s="27" t="s">
        <v>7</v>
      </c>
      <c r="HY534" s="27" t="s">
        <v>8</v>
      </c>
      <c r="JD534" s="27" t="s">
        <v>7</v>
      </c>
      <c r="JE534" s="27" t="s">
        <v>8</v>
      </c>
      <c r="JF534" s="27" t="s">
        <v>7</v>
      </c>
      <c r="JG534" s="27" t="s">
        <v>8</v>
      </c>
    </row>
    <row r="535" spans="1:268" x14ac:dyDescent="0.25">
      <c r="A535" s="7">
        <v>2.8003281854481812</v>
      </c>
      <c r="B535"/>
      <c r="C535"/>
      <c r="D535"/>
      <c r="E535"/>
      <c r="HS535" s="27" t="s">
        <v>8</v>
      </c>
      <c r="HT535" s="27" t="s">
        <v>7</v>
      </c>
      <c r="HU535" s="27" t="s">
        <v>8</v>
      </c>
      <c r="HV535" s="27" t="s">
        <v>7</v>
      </c>
      <c r="HW535" s="27" t="s">
        <v>8</v>
      </c>
      <c r="HX535" s="27" t="s">
        <v>7</v>
      </c>
      <c r="HY535" s="27" t="s">
        <v>8</v>
      </c>
      <c r="JD535" s="27" t="s">
        <v>7</v>
      </c>
      <c r="JE535" s="27" t="s">
        <v>8</v>
      </c>
      <c r="JF535" s="27" t="s">
        <v>7</v>
      </c>
      <c r="JG535" s="27" t="s">
        <v>8</v>
      </c>
    </row>
    <row r="536" spans="1:268" x14ac:dyDescent="0.25">
      <c r="A536" s="7">
        <v>2.7454197896550796</v>
      </c>
      <c r="B536"/>
      <c r="C536"/>
      <c r="D536"/>
      <c r="E536"/>
      <c r="HS536" s="27" t="s">
        <v>8</v>
      </c>
      <c r="HT536" s="27" t="s">
        <v>7</v>
      </c>
      <c r="HU536" s="27" t="s">
        <v>8</v>
      </c>
      <c r="HV536" s="27" t="s">
        <v>7</v>
      </c>
      <c r="HW536" s="27" t="s">
        <v>8</v>
      </c>
      <c r="HX536" s="27" t="s">
        <v>7</v>
      </c>
      <c r="JD536" s="27" t="s">
        <v>7</v>
      </c>
      <c r="JE536" s="27" t="s">
        <v>8</v>
      </c>
      <c r="JF536" s="27" t="s">
        <v>7</v>
      </c>
      <c r="JG536" s="27" t="s">
        <v>8</v>
      </c>
    </row>
    <row r="537" spans="1:268" x14ac:dyDescent="0.25">
      <c r="A537" s="7">
        <v>2.6915880290736074</v>
      </c>
      <c r="B537"/>
      <c r="C537"/>
      <c r="D537"/>
      <c r="E537"/>
      <c r="HS537" s="27" t="s">
        <v>8</v>
      </c>
      <c r="HT537" s="27" t="s">
        <v>7</v>
      </c>
      <c r="HU537" s="27" t="s">
        <v>8</v>
      </c>
      <c r="HV537" s="27" t="s">
        <v>7</v>
      </c>
      <c r="HW537" s="27" t="s">
        <v>8</v>
      </c>
      <c r="JD537" s="27" t="s">
        <v>7</v>
      </c>
      <c r="JE537" s="27" t="s">
        <v>8</v>
      </c>
      <c r="JF537" s="27" t="s">
        <v>7</v>
      </c>
      <c r="JG537" s="27" t="s">
        <v>8</v>
      </c>
    </row>
    <row r="538" spans="1:268" x14ac:dyDescent="0.25">
      <c r="A538" s="7">
        <v>2.6388117932094191</v>
      </c>
      <c r="B538"/>
      <c r="C538"/>
      <c r="D538"/>
      <c r="E538"/>
      <c r="HS538" s="27" t="s">
        <v>8</v>
      </c>
      <c r="HT538" s="27" t="s">
        <v>7</v>
      </c>
      <c r="HU538" s="27" t="s">
        <v>8</v>
      </c>
      <c r="HV538" s="27" t="s">
        <v>7</v>
      </c>
      <c r="HW538" s="27" t="s">
        <v>8</v>
      </c>
      <c r="JD538" s="27" t="s">
        <v>7</v>
      </c>
      <c r="JE538" s="27" t="s">
        <v>8</v>
      </c>
      <c r="JF538" s="27" t="s">
        <v>7</v>
      </c>
    </row>
    <row r="539" spans="1:268" x14ac:dyDescent="0.25">
      <c r="A539" s="7">
        <v>2.5870703854994304</v>
      </c>
      <c r="B539"/>
      <c r="C539"/>
      <c r="D539"/>
      <c r="E539"/>
      <c r="HS539" s="27" t="s">
        <v>8</v>
      </c>
      <c r="HT539" s="27" t="s">
        <v>7</v>
      </c>
      <c r="HU539" s="27" t="s">
        <v>8</v>
      </c>
      <c r="HV539" s="27" t="s">
        <v>7</v>
      </c>
      <c r="HW539" s="27" t="s">
        <v>8</v>
      </c>
      <c r="JD539" s="27" t="s">
        <v>7</v>
      </c>
    </row>
    <row r="540" spans="1:268" x14ac:dyDescent="0.25">
      <c r="A540" s="7">
        <v>2.53634351519552</v>
      </c>
      <c r="B540"/>
      <c r="C540"/>
      <c r="D540"/>
      <c r="E540"/>
      <c r="HS540" s="27" t="s">
        <v>8</v>
      </c>
      <c r="HT540" s="27" t="s">
        <v>7</v>
      </c>
      <c r="HU540" s="27" t="s">
        <v>8</v>
      </c>
      <c r="HV540" s="27" t="s">
        <v>7</v>
      </c>
      <c r="HW540" s="27" t="s">
        <v>8</v>
      </c>
    </row>
    <row r="541" spans="1:268" x14ac:dyDescent="0.25">
      <c r="A541" s="7">
        <v>2.4866112894073726</v>
      </c>
      <c r="B541"/>
      <c r="C541"/>
      <c r="D541"/>
      <c r="E541"/>
      <c r="HS541" s="27" t="s">
        <v>8</v>
      </c>
      <c r="HT541" s="27" t="s">
        <v>7</v>
      </c>
      <c r="HU541" s="27" t="s">
        <v>8</v>
      </c>
      <c r="HV541" s="27" t="s">
        <v>7</v>
      </c>
      <c r="HW541" s="27" t="s">
        <v>8</v>
      </c>
    </row>
    <row r="542" spans="1:268" x14ac:dyDescent="0.25">
      <c r="A542" s="7">
        <v>2.4378542053013459</v>
      </c>
      <c r="B542"/>
      <c r="C542"/>
      <c r="D542"/>
      <c r="E542"/>
      <c r="HQ542" s="27" t="s">
        <v>8</v>
      </c>
      <c r="HS542" s="27" t="s">
        <v>8</v>
      </c>
      <c r="HT542" s="27" t="s">
        <v>7</v>
      </c>
      <c r="HV542" s="27" t="s">
        <v>7</v>
      </c>
      <c r="HW542" s="27" t="s">
        <v>8</v>
      </c>
    </row>
    <row r="543" spans="1:268" x14ac:dyDescent="0.25">
      <c r="A543" s="7">
        <v>2.3900531424522997</v>
      </c>
      <c r="B543"/>
      <c r="C543"/>
      <c r="D543"/>
      <c r="E543"/>
      <c r="HQ543" s="27" t="s">
        <v>8</v>
      </c>
      <c r="HR543" s="27" t="s">
        <v>7</v>
      </c>
      <c r="HS543" s="27" t="s">
        <v>8</v>
      </c>
      <c r="HV543" s="27" t="s">
        <v>7</v>
      </c>
      <c r="HW543" s="27" t="s">
        <v>8</v>
      </c>
    </row>
    <row r="544" spans="1:268" x14ac:dyDescent="0.25">
      <c r="A544" s="7">
        <v>2.343189355345392</v>
      </c>
      <c r="B544"/>
      <c r="C544"/>
      <c r="D544"/>
      <c r="E544"/>
      <c r="HQ544" s="27" t="s">
        <v>8</v>
      </c>
      <c r="HR544" s="27" t="s">
        <v>7</v>
      </c>
      <c r="HS544" s="27" t="s">
        <v>8</v>
      </c>
      <c r="HV544" s="27" t="s">
        <v>7</v>
      </c>
      <c r="HW544" s="27" t="s">
        <v>8</v>
      </c>
    </row>
    <row r="545" spans="1:231" x14ac:dyDescent="0.25">
      <c r="A545" s="7">
        <v>2.2972444660248938</v>
      </c>
      <c r="B545"/>
      <c r="C545"/>
      <c r="D545"/>
      <c r="E545"/>
      <c r="HQ545" s="27" t="s">
        <v>8</v>
      </c>
      <c r="HR545" s="27" t="s">
        <v>7</v>
      </c>
      <c r="HS545" s="27" t="s">
        <v>8</v>
      </c>
      <c r="HV545" s="27" t="s">
        <v>7</v>
      </c>
      <c r="HW545" s="27" t="s">
        <v>8</v>
      </c>
    </row>
    <row r="546" spans="1:231" x14ac:dyDescent="0.25">
      <c r="A546" s="7">
        <v>2.252200456887151</v>
      </c>
      <c r="B546"/>
      <c r="C546"/>
      <c r="D546"/>
      <c r="E546"/>
      <c r="HQ546" s="27" t="s">
        <v>8</v>
      </c>
      <c r="HR546" s="27" t="s">
        <v>7</v>
      </c>
      <c r="HS546" s="27" t="s">
        <v>8</v>
      </c>
      <c r="HV546" s="27" t="s">
        <v>7</v>
      </c>
      <c r="HW546" s="27" t="s">
        <v>8</v>
      </c>
    </row>
    <row r="547" spans="1:231" x14ac:dyDescent="0.25">
      <c r="A547" s="7">
        <v>2.208039663614854</v>
      </c>
      <c r="B547"/>
      <c r="C547"/>
      <c r="D547"/>
      <c r="E547"/>
      <c r="HQ547" s="27" t="s">
        <v>8</v>
      </c>
      <c r="HR547" s="27" t="s">
        <v>7</v>
      </c>
      <c r="HS547" s="27" t="s">
        <v>8</v>
      </c>
      <c r="HV547" s="27" t="s">
        <v>7</v>
      </c>
      <c r="HW547" s="27" t="s">
        <v>8</v>
      </c>
    </row>
    <row r="548" spans="1:231" x14ac:dyDescent="0.25">
      <c r="A548" s="7">
        <v>2.1647447682498568</v>
      </c>
      <c r="B548"/>
      <c r="C548"/>
      <c r="D548"/>
      <c r="E548"/>
      <c r="HQ548" s="27" t="s">
        <v>8</v>
      </c>
      <c r="HR548" s="27" t="s">
        <v>7</v>
      </c>
      <c r="HS548" s="27" t="s">
        <v>8</v>
      </c>
      <c r="HV548" s="27" t="s">
        <v>7</v>
      </c>
      <c r="HW548" s="27" t="s">
        <v>8</v>
      </c>
    </row>
    <row r="549" spans="1:231" x14ac:dyDescent="0.25">
      <c r="A549" s="7">
        <v>2.1222987924018204</v>
      </c>
      <c r="B549"/>
      <c r="C549"/>
      <c r="D549"/>
      <c r="E549"/>
      <c r="HQ549" s="27" t="s">
        <v>8</v>
      </c>
      <c r="HR549" s="27" t="s">
        <v>7</v>
      </c>
      <c r="HS549" s="27" t="s">
        <v>8</v>
      </c>
      <c r="HV549" s="27" t="s">
        <v>7</v>
      </c>
      <c r="HW549" s="27" t="s">
        <v>8</v>
      </c>
    </row>
    <row r="550" spans="1:231" x14ac:dyDescent="0.25">
      <c r="A550" s="7">
        <v>2.0806850905900198</v>
      </c>
      <c r="B550"/>
      <c r="C550"/>
      <c r="D550"/>
      <c r="E550"/>
      <c r="HQ550" s="27" t="s">
        <v>8</v>
      </c>
      <c r="HR550" s="27" t="s">
        <v>7</v>
      </c>
      <c r="HS550" s="27" t="s">
        <v>8</v>
      </c>
      <c r="HV550" s="27" t="s">
        <v>7</v>
      </c>
      <c r="HW550" s="27" t="s">
        <v>8</v>
      </c>
    </row>
    <row r="551" spans="1:231" x14ac:dyDescent="0.25">
      <c r="A551" s="7">
        <v>2.0398873437157055</v>
      </c>
      <c r="B551"/>
      <c r="C551"/>
      <c r="D551"/>
      <c r="E551"/>
      <c r="HQ551" s="27" t="s">
        <v>8</v>
      </c>
      <c r="HR551" s="27" t="s">
        <v>7</v>
      </c>
      <c r="HS551" s="27" t="s">
        <v>8</v>
      </c>
      <c r="HV551" s="27" t="s">
        <v>7</v>
      </c>
    </row>
    <row r="552" spans="1:231" x14ac:dyDescent="0.25">
      <c r="A552" s="7">
        <v>1.9998895526624565</v>
      </c>
      <c r="B552"/>
      <c r="C552"/>
      <c r="D552"/>
      <c r="E552"/>
      <c r="HQ552" s="27" t="s">
        <v>8</v>
      </c>
      <c r="HR552" s="27" t="s">
        <v>7</v>
      </c>
      <c r="HS552" s="27" t="s">
        <v>8</v>
      </c>
    </row>
    <row r="553" spans="1:231" x14ac:dyDescent="0.25">
      <c r="A553" s="7">
        <v>1.9606760320220162</v>
      </c>
      <c r="B553"/>
      <c r="C553"/>
      <c r="D553"/>
      <c r="E553"/>
      <c r="HQ553" s="27" t="s">
        <v>8</v>
      </c>
      <c r="HR553" s="27" t="s">
        <v>7</v>
      </c>
      <c r="HS553" s="27" t="s">
        <v>8</v>
      </c>
    </row>
    <row r="554" spans="1:231" x14ac:dyDescent="0.25">
      <c r="A554" s="7">
        <v>1.9222314039431532</v>
      </c>
      <c r="B554"/>
      <c r="C554"/>
      <c r="D554"/>
      <c r="E554"/>
      <c r="HQ554" s="27" t="s">
        <v>8</v>
      </c>
      <c r="HR554" s="27" t="s">
        <v>7</v>
      </c>
      <c r="HS554" s="27" t="s">
        <v>8</v>
      </c>
    </row>
    <row r="555" spans="1:231" x14ac:dyDescent="0.25">
      <c r="A555" s="7">
        <v>1.8845405921011305</v>
      </c>
      <c r="B555"/>
      <c r="C555"/>
      <c r="D555"/>
      <c r="E555"/>
      <c r="HQ555" s="27" t="s">
        <v>8</v>
      </c>
      <c r="HR555" s="27" t="s">
        <v>7</v>
      </c>
      <c r="HS555" s="27" t="s">
        <v>8</v>
      </c>
    </row>
    <row r="556" spans="1:231" x14ac:dyDescent="0.25">
      <c r="A556" s="7">
        <v>1.8475888157854219</v>
      </c>
      <c r="B556"/>
      <c r="C556"/>
      <c r="D556"/>
      <c r="E556"/>
      <c r="HQ556" s="27" t="s">
        <v>8</v>
      </c>
      <c r="HR556" s="27" t="s">
        <v>7</v>
      </c>
      <c r="HS556" s="27" t="s">
        <v>8</v>
      </c>
    </row>
    <row r="557" spans="1:231" x14ac:dyDescent="0.25">
      <c r="A557" s="7">
        <v>1.8113615841033548</v>
      </c>
      <c r="B557"/>
      <c r="C557"/>
      <c r="D557"/>
      <c r="E557"/>
      <c r="HQ557" s="27" t="s">
        <v>8</v>
      </c>
      <c r="HR557" s="27" t="s">
        <v>7</v>
      </c>
      <c r="HS557" s="27" t="s">
        <v>8</v>
      </c>
    </row>
    <row r="558" spans="1:231" x14ac:dyDescent="0.25">
      <c r="A558" s="7">
        <v>1.7758446902974065</v>
      </c>
      <c r="B558"/>
      <c r="C558"/>
      <c r="D558"/>
      <c r="E558"/>
      <c r="HQ558" s="27" t="s">
        <v>8</v>
      </c>
      <c r="HR558" s="27" t="s">
        <v>7</v>
      </c>
      <c r="HS558" s="27" t="s">
        <v>8</v>
      </c>
    </row>
    <row r="559" spans="1:231" x14ac:dyDescent="0.25">
      <c r="A559" s="7">
        <v>1.7410242061739281</v>
      </c>
      <c r="B559"/>
      <c r="C559"/>
      <c r="D559"/>
      <c r="E559"/>
      <c r="HQ559" s="27" t="s">
        <v>8</v>
      </c>
      <c r="HR559" s="27" t="s">
        <v>7</v>
      </c>
      <c r="HS559" s="27" t="s">
        <v>8</v>
      </c>
    </row>
    <row r="560" spans="1:231" x14ac:dyDescent="0.25">
      <c r="A560" s="7">
        <v>1.7068864766411058</v>
      </c>
      <c r="B560"/>
      <c r="C560"/>
      <c r="D560"/>
      <c r="E560"/>
      <c r="HQ560" s="27" t="s">
        <v>8</v>
      </c>
      <c r="HR560" s="27" t="s">
        <v>7</v>
      </c>
      <c r="HS560" s="27" t="s">
        <v>8</v>
      </c>
    </row>
    <row r="561" spans="1:227" x14ac:dyDescent="0.25">
      <c r="A561" s="7">
        <v>1.6734181143540252</v>
      </c>
      <c r="B561"/>
      <c r="C561"/>
      <c r="D561"/>
      <c r="E561"/>
      <c r="HQ561" s="27" t="s">
        <v>8</v>
      </c>
      <c r="HR561" s="27" t="s">
        <v>7</v>
      </c>
      <c r="HS561" s="27" t="s">
        <v>8</v>
      </c>
    </row>
    <row r="562" spans="1:227" x14ac:dyDescent="0.25">
      <c r="A562" s="7">
        <v>1.6406059944647307</v>
      </c>
      <c r="B562"/>
      <c r="C562"/>
      <c r="D562"/>
      <c r="E562"/>
      <c r="HQ562" s="27" t="s">
        <v>8</v>
      </c>
      <c r="HR562" s="27" t="s">
        <v>7</v>
      </c>
      <c r="HS562" s="27" t="s">
        <v>8</v>
      </c>
    </row>
    <row r="563" spans="1:227" x14ac:dyDescent="0.25">
      <c r="A563" s="7">
        <v>1.6084372494752261</v>
      </c>
      <c r="B563"/>
      <c r="C563"/>
      <c r="D563"/>
      <c r="E563"/>
      <c r="HQ563" s="27" t="s">
        <v>8</v>
      </c>
      <c r="HR563" s="27" t="s">
        <v>7</v>
      </c>
      <c r="HS563" s="27" t="s">
        <v>8</v>
      </c>
    </row>
    <row r="564" spans="1:227" x14ac:dyDescent="0.25">
      <c r="A564" s="7">
        <v>1.5768992641913981</v>
      </c>
      <c r="B564"/>
      <c r="C564"/>
      <c r="D564"/>
      <c r="E564"/>
      <c r="HQ564" s="27" t="s">
        <v>8</v>
      </c>
      <c r="HR564" s="27" t="s">
        <v>7</v>
      </c>
      <c r="HS564" s="27" t="s">
        <v>8</v>
      </c>
    </row>
    <row r="565" spans="1:227" x14ac:dyDescent="0.25">
      <c r="A565" s="7">
        <v>1.5459796707758806</v>
      </c>
      <c r="B565"/>
      <c r="C565"/>
      <c r="D565"/>
      <c r="E565"/>
      <c r="HQ565" s="27" t="s">
        <v>8</v>
      </c>
      <c r="HR565" s="27" t="s">
        <v>7</v>
      </c>
    </row>
    <row r="566" spans="1:227" x14ac:dyDescent="0.25">
      <c r="A566" s="7">
        <v>1.5156663438979221</v>
      </c>
      <c r="B566"/>
      <c r="C566"/>
      <c r="D566"/>
      <c r="E566"/>
      <c r="HQ566" s="27" t="s">
        <v>8</v>
      </c>
    </row>
    <row r="567" spans="1:227" x14ac:dyDescent="0.25">
      <c r="A567" s="7">
        <v>1.4859473959783549</v>
      </c>
      <c r="B567"/>
      <c r="C567"/>
      <c r="D567"/>
      <c r="E567"/>
      <c r="HQ567" s="27" t="s">
        <v>8</v>
      </c>
    </row>
    <row r="568" spans="1:227" x14ac:dyDescent="0.25">
      <c r="A568" s="7">
        <v>1.4568111725277988</v>
      </c>
      <c r="B568"/>
      <c r="C568"/>
      <c r="D568"/>
      <c r="E568"/>
      <c r="HQ568" s="27" t="s">
        <v>8</v>
      </c>
    </row>
    <row r="569" spans="1:227" x14ac:dyDescent="0.25">
      <c r="A569" s="7">
        <v>1.4282462475762734</v>
      </c>
      <c r="B569"/>
      <c r="C569"/>
      <c r="D569"/>
      <c r="E569"/>
      <c r="HQ569" s="27" t="s">
        <v>8</v>
      </c>
    </row>
    <row r="570" spans="1:227" x14ac:dyDescent="0.25">
      <c r="A570" s="7">
        <v>1.4002414191924248</v>
      </c>
      <c r="B570"/>
      <c r="C570"/>
      <c r="D570"/>
      <c r="E570"/>
      <c r="HQ570" s="27" t="s">
        <v>8</v>
      </c>
    </row>
    <row r="571" spans="1:227" x14ac:dyDescent="0.25">
      <c r="A571" s="7">
        <v>1.3727857050906125</v>
      </c>
      <c r="B571"/>
      <c r="C571"/>
      <c r="D571"/>
      <c r="E571"/>
      <c r="HQ571" s="27" t="s">
        <v>8</v>
      </c>
    </row>
    <row r="572" spans="1:227" x14ac:dyDescent="0.25">
      <c r="A572" s="7">
        <v>1.3458683383241299</v>
      </c>
      <c r="B572"/>
      <c r="C572"/>
      <c r="D572"/>
      <c r="E572"/>
      <c r="HQ572" s="27" t="s">
        <v>8</v>
      </c>
    </row>
    <row r="573" spans="1:227" x14ac:dyDescent="0.25">
      <c r="A573" s="7">
        <v>1.3194787630628724</v>
      </c>
      <c r="B573"/>
      <c r="C573"/>
      <c r="D573"/>
      <c r="E573"/>
      <c r="HQ573" s="27" t="s">
        <v>8</v>
      </c>
    </row>
    <row r="574" spans="1:227" x14ac:dyDescent="0.25">
      <c r="A574" s="7">
        <v>1.2936066304537963</v>
      </c>
      <c r="B574"/>
      <c r="C574"/>
      <c r="D574"/>
      <c r="E574"/>
      <c r="HQ574" s="27" t="s">
        <v>8</v>
      </c>
    </row>
    <row r="575" spans="1:227" x14ac:dyDescent="0.25">
      <c r="A575" s="7">
        <v>1.2682417945625455</v>
      </c>
      <c r="B575"/>
      <c r="C575"/>
      <c r="D575"/>
      <c r="E575"/>
      <c r="HQ575" s="27" t="s">
        <v>8</v>
      </c>
    </row>
    <row r="576" spans="1:227" x14ac:dyDescent="0.25">
      <c r="A576" s="7">
        <v>1.2433743083946525</v>
      </c>
      <c r="B576"/>
      <c r="C576"/>
      <c r="D576"/>
      <c r="E576"/>
      <c r="HQ576" s="27" t="s">
        <v>8</v>
      </c>
    </row>
    <row r="577" spans="1:225" x14ac:dyDescent="0.25">
      <c r="A577" s="7">
        <v>1.2189944199947573</v>
      </c>
      <c r="B577"/>
      <c r="C577"/>
      <c r="D577"/>
      <c r="E577"/>
      <c r="HQ577" s="27" t="s">
        <v>8</v>
      </c>
    </row>
    <row r="578" spans="1:225" x14ac:dyDescent="0.25">
      <c r="A578" s="7">
        <v>1.1950925686223111</v>
      </c>
      <c r="B578"/>
      <c r="C578"/>
      <c r="D578"/>
      <c r="E578"/>
      <c r="GQ578" s="27" t="s">
        <v>8</v>
      </c>
      <c r="HQ578" s="27" t="s">
        <v>8</v>
      </c>
    </row>
    <row r="579" spans="1:225" x14ac:dyDescent="0.25">
      <c r="A579" s="7">
        <v>1.1716593810022657</v>
      </c>
      <c r="B579"/>
      <c r="C579"/>
      <c r="D579"/>
      <c r="E579"/>
      <c r="GQ579" s="27" t="s">
        <v>8</v>
      </c>
      <c r="GR579" s="27" t="s">
        <v>7</v>
      </c>
      <c r="HQ579" s="27" t="s">
        <v>8</v>
      </c>
    </row>
    <row r="580" spans="1:225" x14ac:dyDescent="0.25">
      <c r="A580" s="7">
        <v>1.14868566764928</v>
      </c>
      <c r="B580"/>
      <c r="C580"/>
      <c r="D580"/>
      <c r="E580"/>
      <c r="GQ580" s="27" t="s">
        <v>8</v>
      </c>
      <c r="GR580" s="27" t="s">
        <v>7</v>
      </c>
      <c r="HQ580" s="27" t="s">
        <v>8</v>
      </c>
    </row>
    <row r="581" spans="1:225" x14ac:dyDescent="0.25">
      <c r="A581" s="7">
        <v>1.1261624192640001</v>
      </c>
      <c r="B581"/>
      <c r="C581"/>
      <c r="D581"/>
      <c r="E581"/>
      <c r="GQ581" s="27" t="s">
        <v>8</v>
      </c>
      <c r="GR581" s="27" t="s">
        <v>7</v>
      </c>
      <c r="GS581" s="27" t="s">
        <v>8</v>
      </c>
      <c r="HQ581" s="27" t="s">
        <v>8</v>
      </c>
    </row>
    <row r="582" spans="1:225" x14ac:dyDescent="0.25">
      <c r="A582" s="7">
        <v>1.1040808032</v>
      </c>
      <c r="B582"/>
      <c r="C582"/>
      <c r="D582"/>
      <c r="E582"/>
      <c r="GQ582" s="27" t="s">
        <v>8</v>
      </c>
      <c r="GR582" s="27" t="s">
        <v>7</v>
      </c>
      <c r="GS582" s="27" t="s">
        <v>8</v>
      </c>
      <c r="GT582" s="27" t="s">
        <v>7</v>
      </c>
      <c r="HQ582" s="27" t="s">
        <v>8</v>
      </c>
    </row>
    <row r="583" spans="1:225" x14ac:dyDescent="0.25">
      <c r="A583" s="7">
        <v>1.08243216</v>
      </c>
      <c r="B583"/>
      <c r="C583"/>
      <c r="D583"/>
      <c r="E583"/>
      <c r="GQ583" s="27" t="s">
        <v>8</v>
      </c>
      <c r="GR583" s="27" t="s">
        <v>7</v>
      </c>
      <c r="GS583" s="27" t="s">
        <v>8</v>
      </c>
      <c r="GT583" s="27" t="s">
        <v>7</v>
      </c>
      <c r="GU583" s="27" t="s">
        <v>8</v>
      </c>
      <c r="HQ583" s="27" t="s">
        <v>8</v>
      </c>
    </row>
    <row r="584" spans="1:225" x14ac:dyDescent="0.25">
      <c r="A584" s="7">
        <v>1.0612079999999999</v>
      </c>
      <c r="B584"/>
      <c r="C584"/>
      <c r="D584"/>
      <c r="E584"/>
      <c r="GQ584" s="27" t="s">
        <v>8</v>
      </c>
      <c r="GR584" s="27" t="s">
        <v>7</v>
      </c>
      <c r="GS584" s="27" t="s">
        <v>8</v>
      </c>
      <c r="GT584" s="27" t="s">
        <v>7</v>
      </c>
      <c r="GU584" s="27" t="s">
        <v>8</v>
      </c>
      <c r="GV584" s="27" t="s">
        <v>7</v>
      </c>
      <c r="HQ584" s="27" t="s">
        <v>8</v>
      </c>
    </row>
    <row r="585" spans="1:225" x14ac:dyDescent="0.25">
      <c r="A585" s="7">
        <v>1.0404</v>
      </c>
      <c r="B585"/>
      <c r="C585"/>
      <c r="D585"/>
      <c r="E585"/>
      <c r="GQ585" s="27" t="s">
        <v>8</v>
      </c>
      <c r="GR585" s="27" t="s">
        <v>7</v>
      </c>
      <c r="GS585" s="27" t="s">
        <v>8</v>
      </c>
      <c r="GT585" s="27" t="s">
        <v>7</v>
      </c>
      <c r="GU585" s="27" t="s">
        <v>8</v>
      </c>
      <c r="GV585" s="27" t="s">
        <v>7</v>
      </c>
      <c r="HQ585" s="27" t="s">
        <v>8</v>
      </c>
    </row>
    <row r="586" spans="1:225" x14ac:dyDescent="0.25">
      <c r="A586" s="7">
        <v>1.02</v>
      </c>
      <c r="B586"/>
      <c r="C586"/>
      <c r="D586"/>
      <c r="E586"/>
      <c r="GQ586" s="27" t="s">
        <v>8</v>
      </c>
      <c r="GR586" s="27" t="s">
        <v>7</v>
      </c>
      <c r="GS586" s="27" t="s">
        <v>8</v>
      </c>
      <c r="GT586" s="27" t="s">
        <v>7</v>
      </c>
      <c r="GU586" s="27" t="s">
        <v>8</v>
      </c>
      <c r="GV586" s="27" t="s">
        <v>7</v>
      </c>
      <c r="HQ586" s="27" t="s">
        <v>8</v>
      </c>
    </row>
    <row r="587" spans="1:225" x14ac:dyDescent="0.25">
      <c r="A587" s="7">
        <v>1</v>
      </c>
      <c r="B587"/>
      <c r="C587"/>
      <c r="D587"/>
      <c r="E587" s="29" t="s">
        <v>8</v>
      </c>
      <c r="GQ587" s="27" t="s">
        <v>8</v>
      </c>
      <c r="GR587" s="27" t="s">
        <v>7</v>
      </c>
      <c r="GS587" s="27" t="s">
        <v>8</v>
      </c>
      <c r="GT587" s="27" t="s">
        <v>7</v>
      </c>
      <c r="GU587" s="27" t="s">
        <v>8</v>
      </c>
      <c r="GV587" s="27" t="s">
        <v>7</v>
      </c>
      <c r="HQ587" s="27" t="s">
        <v>8</v>
      </c>
    </row>
    <row r="588" spans="1:225" x14ac:dyDescent="0.25">
      <c r="A588" s="7">
        <v>0.98039215686274506</v>
      </c>
      <c r="B588"/>
      <c r="C588"/>
      <c r="D588"/>
      <c r="E588"/>
      <c r="F588" s="27" t="s">
        <v>7</v>
      </c>
      <c r="GQ588" s="27" t="s">
        <v>8</v>
      </c>
      <c r="GR588" s="27" t="s">
        <v>7</v>
      </c>
      <c r="GS588" s="27" t="s">
        <v>8</v>
      </c>
      <c r="GT588" s="27" t="s">
        <v>7</v>
      </c>
      <c r="GU588" s="27" t="s">
        <v>8</v>
      </c>
      <c r="GV588" s="27" t="s">
        <v>7</v>
      </c>
      <c r="HQ588" s="27" t="s">
        <v>8</v>
      </c>
    </row>
    <row r="589" spans="1:225" x14ac:dyDescent="0.25">
      <c r="A589" s="7">
        <v>0.96116878123798544</v>
      </c>
      <c r="B589"/>
      <c r="C589"/>
      <c r="D589"/>
      <c r="E589"/>
      <c r="F589" s="27" t="s">
        <v>7</v>
      </c>
      <c r="GQ589" s="27" t="s">
        <v>8</v>
      </c>
      <c r="GR589" s="27" t="s">
        <v>7</v>
      </c>
      <c r="GS589" s="27" t="s">
        <v>8</v>
      </c>
      <c r="GT589" s="27" t="s">
        <v>7</v>
      </c>
      <c r="GV589" s="27" t="s">
        <v>7</v>
      </c>
      <c r="HQ589" s="27" t="s">
        <v>8</v>
      </c>
    </row>
    <row r="590" spans="1:225" x14ac:dyDescent="0.25">
      <c r="A590" s="7">
        <v>0.94232233454704462</v>
      </c>
      <c r="B590"/>
      <c r="C590"/>
      <c r="D590"/>
      <c r="E590"/>
      <c r="F590" s="27" t="s">
        <v>7</v>
      </c>
      <c r="GQ590" s="27" t="s">
        <v>8</v>
      </c>
      <c r="GR590" s="27" t="s">
        <v>7</v>
      </c>
      <c r="GS590" s="27" t="s">
        <v>8</v>
      </c>
      <c r="GV590" s="27" t="s">
        <v>7</v>
      </c>
      <c r="HQ590" s="27" t="s">
        <v>8</v>
      </c>
    </row>
    <row r="591" spans="1:225" x14ac:dyDescent="0.25">
      <c r="A591" s="7">
        <v>0.92384542602651432</v>
      </c>
      <c r="B591"/>
      <c r="C591"/>
      <c r="D591"/>
      <c r="E591"/>
      <c r="F591" s="27" t="s">
        <v>7</v>
      </c>
      <c r="GQ591" s="27" t="s">
        <v>8</v>
      </c>
      <c r="GR591" s="27" t="s">
        <v>7</v>
      </c>
      <c r="GS591" s="27" t="s">
        <v>8</v>
      </c>
      <c r="GV591" s="27" t="s">
        <v>7</v>
      </c>
      <c r="HQ591" s="27" t="s">
        <v>8</v>
      </c>
    </row>
    <row r="592" spans="1:225" x14ac:dyDescent="0.25">
      <c r="A592" s="7">
        <v>0.90573080982991594</v>
      </c>
      <c r="B592"/>
      <c r="C592"/>
      <c r="D592"/>
      <c r="E592"/>
      <c r="F592" s="27" t="s">
        <v>7</v>
      </c>
      <c r="DK592" s="27" t="s">
        <v>8</v>
      </c>
      <c r="GQ592" s="27" t="s">
        <v>8</v>
      </c>
      <c r="GR592" s="27" t="s">
        <v>7</v>
      </c>
      <c r="GV592" s="27" t="s">
        <v>7</v>
      </c>
      <c r="HQ592" s="27" t="s">
        <v>8</v>
      </c>
    </row>
    <row r="593" spans="1:225" x14ac:dyDescent="0.25">
      <c r="A593" s="7">
        <v>0.8879713821861922</v>
      </c>
      <c r="B593"/>
      <c r="C593"/>
      <c r="D593"/>
      <c r="E593"/>
      <c r="F593" s="27" t="s">
        <v>7</v>
      </c>
      <c r="DK593" s="27" t="s">
        <v>8</v>
      </c>
      <c r="DL593" s="27" t="s">
        <v>7</v>
      </c>
      <c r="GQ593" s="27" t="s">
        <v>8</v>
      </c>
      <c r="GV593" s="27" t="s">
        <v>7</v>
      </c>
      <c r="HQ593" s="27" t="s">
        <v>8</v>
      </c>
    </row>
    <row r="594" spans="1:225" x14ac:dyDescent="0.25">
      <c r="A594" s="7">
        <v>0.87056017861391399</v>
      </c>
      <c r="B594"/>
      <c r="C594"/>
      <c r="D594"/>
      <c r="E594"/>
      <c r="F594" s="27" t="s">
        <v>7</v>
      </c>
      <c r="DK594" s="27" t="s">
        <v>8</v>
      </c>
      <c r="DL594" s="27" t="s">
        <v>7</v>
      </c>
      <c r="GQ594" s="27" t="s">
        <v>8</v>
      </c>
      <c r="GV594" s="27" t="s">
        <v>7</v>
      </c>
      <c r="GW594" s="27" t="s">
        <v>8</v>
      </c>
      <c r="HI594" s="27" t="s">
        <v>8</v>
      </c>
      <c r="HQ594" s="27" t="s">
        <v>8</v>
      </c>
    </row>
    <row r="595" spans="1:225" x14ac:dyDescent="0.25">
      <c r="A595" s="7">
        <v>0.85349037119011173</v>
      </c>
      <c r="B595"/>
      <c r="C595"/>
      <c r="D595"/>
      <c r="E595"/>
      <c r="F595" s="27" t="s">
        <v>7</v>
      </c>
      <c r="DK595" s="27" t="s">
        <v>8</v>
      </c>
      <c r="DL595" s="27" t="s">
        <v>7</v>
      </c>
      <c r="DM595" s="27" t="s">
        <v>8</v>
      </c>
      <c r="GO595" s="27" t="s">
        <v>8</v>
      </c>
      <c r="GQ595" s="27" t="s">
        <v>8</v>
      </c>
      <c r="GV595" s="27" t="s">
        <v>7</v>
      </c>
      <c r="GW595" s="27" t="s">
        <v>8</v>
      </c>
      <c r="GX595" s="27" t="s">
        <v>7</v>
      </c>
      <c r="HI595" s="27" t="s">
        <v>8</v>
      </c>
      <c r="HJ595" s="27" t="s">
        <v>7</v>
      </c>
      <c r="HQ595" s="27" t="s">
        <v>8</v>
      </c>
    </row>
    <row r="596" spans="1:225" x14ac:dyDescent="0.25">
      <c r="A596" s="7">
        <v>0.83675526587265858</v>
      </c>
      <c r="B596"/>
      <c r="C596"/>
      <c r="D596"/>
      <c r="E596"/>
      <c r="F596" s="27" t="s">
        <v>7</v>
      </c>
      <c r="DK596" s="27" t="s">
        <v>8</v>
      </c>
      <c r="DL596" s="27" t="s">
        <v>7</v>
      </c>
      <c r="DM596" s="27" t="s">
        <v>8</v>
      </c>
      <c r="DN596" s="27" t="s">
        <v>7</v>
      </c>
      <c r="FU596" s="27" t="s">
        <v>8</v>
      </c>
      <c r="GO596" s="27" t="s">
        <v>8</v>
      </c>
      <c r="GP596" s="27" t="s">
        <v>7</v>
      </c>
      <c r="GQ596" s="27" t="s">
        <v>8</v>
      </c>
      <c r="GV596" s="27" t="s">
        <v>7</v>
      </c>
      <c r="GW596" s="27" t="s">
        <v>8</v>
      </c>
      <c r="GX596" s="27" t="s">
        <v>7</v>
      </c>
      <c r="GY596" s="27" t="s">
        <v>8</v>
      </c>
      <c r="HA596" s="27" t="s">
        <v>8</v>
      </c>
      <c r="HI596" s="27" t="s">
        <v>8</v>
      </c>
      <c r="HJ596" s="27" t="s">
        <v>7</v>
      </c>
      <c r="HQ596" s="27" t="s">
        <v>8</v>
      </c>
    </row>
    <row r="597" spans="1:225" x14ac:dyDescent="0.25">
      <c r="A597" s="7">
        <v>0.82034829987515545</v>
      </c>
      <c r="B597"/>
      <c r="C597"/>
      <c r="D597"/>
      <c r="E597"/>
      <c r="F597" s="27" t="s">
        <v>7</v>
      </c>
      <c r="DK597" s="27" t="s">
        <v>8</v>
      </c>
      <c r="DL597" s="27" t="s">
        <v>7</v>
      </c>
      <c r="DM597" s="27" t="s">
        <v>8</v>
      </c>
      <c r="DN597" s="27" t="s">
        <v>7</v>
      </c>
      <c r="FU597" s="27" t="s">
        <v>8</v>
      </c>
      <c r="FV597" s="27" t="s">
        <v>7</v>
      </c>
      <c r="GO597" s="27" t="s">
        <v>8</v>
      </c>
      <c r="GP597" s="27" t="s">
        <v>7</v>
      </c>
      <c r="GQ597" s="27" t="s">
        <v>8</v>
      </c>
      <c r="GV597" s="27" t="s">
        <v>7</v>
      </c>
      <c r="GW597" s="27" t="s">
        <v>8</v>
      </c>
      <c r="GX597" s="27" t="s">
        <v>7</v>
      </c>
      <c r="GY597" s="27" t="s">
        <v>8</v>
      </c>
      <c r="GZ597" s="27" t="s">
        <v>7</v>
      </c>
      <c r="HA597" s="27" t="s">
        <v>8</v>
      </c>
      <c r="HB597" s="27" t="s">
        <v>7</v>
      </c>
      <c r="HI597" s="27" t="s">
        <v>8</v>
      </c>
      <c r="HJ597" s="27" t="s">
        <v>7</v>
      </c>
      <c r="HK597" s="27" t="s">
        <v>8</v>
      </c>
      <c r="HQ597" s="27" t="s">
        <v>8</v>
      </c>
    </row>
    <row r="598" spans="1:225" x14ac:dyDescent="0.25">
      <c r="A598" s="7">
        <v>0.80426303909328967</v>
      </c>
      <c r="B598"/>
      <c r="C598"/>
      <c r="D598"/>
      <c r="E598"/>
      <c r="F598" s="27" t="s">
        <v>7</v>
      </c>
      <c r="DK598" s="27" t="s">
        <v>8</v>
      </c>
      <c r="DL598" s="27" t="s">
        <v>7</v>
      </c>
      <c r="DM598" s="27" t="s">
        <v>8</v>
      </c>
      <c r="DN598" s="27" t="s">
        <v>7</v>
      </c>
      <c r="DO598" s="27" t="s">
        <v>8</v>
      </c>
      <c r="FU598" s="27" t="s">
        <v>8</v>
      </c>
      <c r="FV598" s="27" t="s">
        <v>7</v>
      </c>
      <c r="GO598" s="27" t="s">
        <v>8</v>
      </c>
      <c r="GP598" s="27" t="s">
        <v>7</v>
      </c>
      <c r="GQ598" s="27" t="s">
        <v>8</v>
      </c>
      <c r="GV598" s="27" t="s">
        <v>7</v>
      </c>
      <c r="GW598" s="27" t="s">
        <v>8</v>
      </c>
      <c r="GX598" s="27" t="s">
        <v>7</v>
      </c>
      <c r="GY598" s="27" t="s">
        <v>8</v>
      </c>
      <c r="GZ598" s="27" t="s">
        <v>7</v>
      </c>
      <c r="HA598" s="27" t="s">
        <v>8</v>
      </c>
      <c r="HB598" s="27" t="s">
        <v>7</v>
      </c>
      <c r="HI598" s="27" t="s">
        <v>8</v>
      </c>
      <c r="HJ598" s="27" t="s">
        <v>7</v>
      </c>
      <c r="HK598" s="27" t="s">
        <v>8</v>
      </c>
      <c r="HL598" s="27" t="s">
        <v>7</v>
      </c>
      <c r="HO598" s="27" t="s">
        <v>8</v>
      </c>
      <c r="HQ598" s="27" t="s">
        <v>8</v>
      </c>
    </row>
    <row r="599" spans="1:225" x14ac:dyDescent="0.25">
      <c r="A599" s="7">
        <v>0.78849317558165644</v>
      </c>
      <c r="B599"/>
      <c r="C599"/>
      <c r="D599"/>
      <c r="E599"/>
      <c r="F599" s="27" t="s">
        <v>7</v>
      </c>
      <c r="DC599" s="27" t="s">
        <v>8</v>
      </c>
      <c r="DK599" s="27" t="s">
        <v>8</v>
      </c>
      <c r="DL599" s="27" t="s">
        <v>7</v>
      </c>
      <c r="DM599" s="27" t="s">
        <v>8</v>
      </c>
      <c r="DN599" s="27" t="s">
        <v>7</v>
      </c>
      <c r="DO599" s="27" t="s">
        <v>8</v>
      </c>
      <c r="DP599" s="27" t="s">
        <v>7</v>
      </c>
      <c r="FU599" s="27" t="s">
        <v>8</v>
      </c>
      <c r="FV599" s="27" t="s">
        <v>7</v>
      </c>
      <c r="GO599" s="27" t="s">
        <v>8</v>
      </c>
      <c r="GP599" s="27" t="s">
        <v>7</v>
      </c>
      <c r="GQ599" s="27" t="s">
        <v>8</v>
      </c>
      <c r="GV599" s="27" t="s">
        <v>7</v>
      </c>
      <c r="GW599" s="27" t="s">
        <v>8</v>
      </c>
      <c r="GX599" s="27" t="s">
        <v>7</v>
      </c>
      <c r="GY599" s="27" t="s">
        <v>8</v>
      </c>
      <c r="GZ599" s="27" t="s">
        <v>7</v>
      </c>
      <c r="HA599" s="27" t="s">
        <v>8</v>
      </c>
      <c r="HB599" s="27" t="s">
        <v>7</v>
      </c>
      <c r="HI599" s="27" t="s">
        <v>8</v>
      </c>
      <c r="HJ599" s="27" t="s">
        <v>7</v>
      </c>
      <c r="HK599" s="27" t="s">
        <v>8</v>
      </c>
      <c r="HL599" s="27" t="s">
        <v>7</v>
      </c>
      <c r="HM599" s="27" t="s">
        <v>8</v>
      </c>
      <c r="HO599" s="27" t="s">
        <v>8</v>
      </c>
      <c r="HP599" s="27" t="s">
        <v>7</v>
      </c>
      <c r="HQ599" s="27" t="s">
        <v>8</v>
      </c>
    </row>
    <row r="600" spans="1:225" x14ac:dyDescent="0.25">
      <c r="A600" s="7">
        <v>0.77303252508005538</v>
      </c>
      <c r="B600"/>
      <c r="C600"/>
      <c r="D600"/>
      <c r="E600"/>
      <c r="F600" s="27" t="s">
        <v>7</v>
      </c>
      <c r="DC600" s="27" t="s">
        <v>8</v>
      </c>
      <c r="DD600" s="27" t="s">
        <v>7</v>
      </c>
      <c r="DK600" s="27" t="s">
        <v>8</v>
      </c>
      <c r="DL600" s="27" t="s">
        <v>7</v>
      </c>
      <c r="DN600" s="27" t="s">
        <v>7</v>
      </c>
      <c r="DO600" s="27" t="s">
        <v>8</v>
      </c>
      <c r="DP600" s="27" t="s">
        <v>7</v>
      </c>
      <c r="FU600" s="27" t="s">
        <v>8</v>
      </c>
      <c r="FV600" s="27" t="s">
        <v>7</v>
      </c>
      <c r="GO600" s="27" t="s">
        <v>8</v>
      </c>
      <c r="GP600" s="27" t="s">
        <v>7</v>
      </c>
      <c r="GQ600" s="27" t="s">
        <v>8</v>
      </c>
      <c r="GV600" s="27" t="s">
        <v>7</v>
      </c>
      <c r="GW600" s="27" t="s">
        <v>8</v>
      </c>
      <c r="GX600" s="27" t="s">
        <v>7</v>
      </c>
      <c r="GY600" s="27" t="s">
        <v>8</v>
      </c>
      <c r="GZ600" s="27" t="s">
        <v>7</v>
      </c>
      <c r="HA600" s="27" t="s">
        <v>8</v>
      </c>
      <c r="HB600" s="27" t="s">
        <v>7</v>
      </c>
      <c r="HI600" s="27" t="s">
        <v>8</v>
      </c>
      <c r="HJ600" s="27" t="s">
        <v>7</v>
      </c>
      <c r="HK600" s="27" t="s">
        <v>8</v>
      </c>
      <c r="HL600" s="27" t="s">
        <v>7</v>
      </c>
      <c r="HM600" s="27" t="s">
        <v>8</v>
      </c>
      <c r="HN600" s="27" t="s">
        <v>7</v>
      </c>
      <c r="HO600" s="27" t="s">
        <v>8</v>
      </c>
      <c r="HP600" s="27" t="s">
        <v>7</v>
      </c>
      <c r="HQ600" s="27" t="s">
        <v>8</v>
      </c>
    </row>
    <row r="601" spans="1:225" x14ac:dyDescent="0.25">
      <c r="A601" s="7">
        <v>0.75787502458828959</v>
      </c>
      <c r="B601"/>
      <c r="C601"/>
      <c r="D601"/>
      <c r="E601"/>
      <c r="F601" s="27" t="s">
        <v>7</v>
      </c>
      <c r="DC601" s="27" t="s">
        <v>8</v>
      </c>
      <c r="DD601" s="27" t="s">
        <v>7</v>
      </c>
      <c r="DK601" s="27" t="s">
        <v>8</v>
      </c>
      <c r="DN601" s="27" t="s">
        <v>7</v>
      </c>
      <c r="DO601" s="27" t="s">
        <v>8</v>
      </c>
      <c r="DP601" s="27" t="s">
        <v>7</v>
      </c>
      <c r="FU601" s="27" t="s">
        <v>8</v>
      </c>
      <c r="FV601" s="27" t="s">
        <v>7</v>
      </c>
      <c r="GO601" s="27" t="s">
        <v>8</v>
      </c>
      <c r="GP601" s="27" t="s">
        <v>7</v>
      </c>
      <c r="GQ601" s="27" t="s">
        <v>8</v>
      </c>
      <c r="GV601" s="27" t="s">
        <v>7</v>
      </c>
      <c r="GW601" s="27" t="s">
        <v>8</v>
      </c>
      <c r="GX601" s="27" t="s">
        <v>7</v>
      </c>
      <c r="GZ601" s="27" t="s">
        <v>7</v>
      </c>
      <c r="HA601" s="27" t="s">
        <v>8</v>
      </c>
      <c r="HB601" s="27" t="s">
        <v>7</v>
      </c>
      <c r="HI601" s="27" t="s">
        <v>8</v>
      </c>
      <c r="HJ601" s="27" t="s">
        <v>7</v>
      </c>
      <c r="HK601" s="27" t="s">
        <v>8</v>
      </c>
      <c r="HL601" s="27" t="s">
        <v>7</v>
      </c>
      <c r="HM601" s="27" t="s">
        <v>8</v>
      </c>
      <c r="HN601" s="27" t="s">
        <v>7</v>
      </c>
      <c r="HO601" s="27" t="s">
        <v>8</v>
      </c>
      <c r="HP601" s="27" t="s">
        <v>7</v>
      </c>
      <c r="HQ601" s="27" t="s">
        <v>8</v>
      </c>
    </row>
    <row r="602" spans="1:225" x14ac:dyDescent="0.25">
      <c r="A602" s="7">
        <v>0.74301472998851925</v>
      </c>
      <c r="B602"/>
      <c r="C602"/>
      <c r="D602"/>
      <c r="E602"/>
      <c r="F602" s="27" t="s">
        <v>7</v>
      </c>
      <c r="DC602" s="27" t="s">
        <v>8</v>
      </c>
      <c r="DD602" s="27" t="s">
        <v>7</v>
      </c>
      <c r="DK602" s="27" t="s">
        <v>8</v>
      </c>
      <c r="DN602" s="27" t="s">
        <v>7</v>
      </c>
      <c r="DO602" s="27" t="s">
        <v>8</v>
      </c>
      <c r="DP602" s="27" t="s">
        <v>7</v>
      </c>
      <c r="DQ602" s="27" t="s">
        <v>8</v>
      </c>
      <c r="DS602" s="27" t="s">
        <v>8</v>
      </c>
      <c r="FU602" s="27" t="s">
        <v>8</v>
      </c>
      <c r="FV602" s="27" t="s">
        <v>7</v>
      </c>
      <c r="FW602" s="27" t="s">
        <v>8</v>
      </c>
      <c r="GO602" s="27" t="s">
        <v>8</v>
      </c>
      <c r="GP602" s="27" t="s">
        <v>7</v>
      </c>
      <c r="GQ602" s="27" t="s">
        <v>8</v>
      </c>
      <c r="GV602" s="27" t="s">
        <v>7</v>
      </c>
      <c r="GW602" s="27" t="s">
        <v>8</v>
      </c>
      <c r="GZ602" s="27" t="s">
        <v>7</v>
      </c>
      <c r="HA602" s="27" t="s">
        <v>8</v>
      </c>
      <c r="HB602" s="27" t="s">
        <v>7</v>
      </c>
      <c r="HC602" s="27" t="s">
        <v>8</v>
      </c>
      <c r="HI602" s="27" t="s">
        <v>8</v>
      </c>
      <c r="HJ602" s="27" t="s">
        <v>7</v>
      </c>
      <c r="HL602" s="27" t="s">
        <v>7</v>
      </c>
      <c r="HM602" s="27" t="s">
        <v>8</v>
      </c>
      <c r="HN602" s="27" t="s">
        <v>7</v>
      </c>
      <c r="HO602" s="27" t="s">
        <v>8</v>
      </c>
      <c r="HP602" s="27" t="s">
        <v>7</v>
      </c>
    </row>
    <row r="603" spans="1:225" x14ac:dyDescent="0.25">
      <c r="A603" s="7">
        <v>0.72844581371423456</v>
      </c>
      <c r="B603"/>
      <c r="C603"/>
      <c r="D603"/>
      <c r="E603"/>
      <c r="F603" s="27" t="s">
        <v>7</v>
      </c>
      <c r="DC603" s="27" t="s">
        <v>8</v>
      </c>
      <c r="DD603" s="27" t="s">
        <v>7</v>
      </c>
      <c r="DK603" s="27" t="s">
        <v>8</v>
      </c>
      <c r="DN603" s="27" t="s">
        <v>7</v>
      </c>
      <c r="DP603" s="27" t="s">
        <v>7</v>
      </c>
      <c r="DQ603" s="27" t="s">
        <v>8</v>
      </c>
      <c r="DR603" s="27" t="s">
        <v>7</v>
      </c>
      <c r="DS603" s="27" t="s">
        <v>8</v>
      </c>
      <c r="DT603" s="27" t="s">
        <v>7</v>
      </c>
      <c r="EG603" s="27" t="s">
        <v>8</v>
      </c>
      <c r="FU603" s="27" t="s">
        <v>8</v>
      </c>
      <c r="FV603" s="27" t="s">
        <v>7</v>
      </c>
      <c r="FW603" s="27" t="s">
        <v>8</v>
      </c>
      <c r="FX603" s="27" t="s">
        <v>7</v>
      </c>
      <c r="GG603" s="27" t="s">
        <v>8</v>
      </c>
      <c r="GO603" s="27" t="s">
        <v>8</v>
      </c>
      <c r="GP603" s="27" t="s">
        <v>7</v>
      </c>
      <c r="GQ603" s="27" t="s">
        <v>8</v>
      </c>
      <c r="GV603" s="27" t="s">
        <v>7</v>
      </c>
      <c r="GW603" s="27" t="s">
        <v>8</v>
      </c>
      <c r="GZ603" s="27" t="s">
        <v>7</v>
      </c>
      <c r="HA603" s="27" t="s">
        <v>8</v>
      </c>
      <c r="HB603" s="27" t="s">
        <v>7</v>
      </c>
      <c r="HC603" s="27" t="s">
        <v>8</v>
      </c>
      <c r="HD603" s="27" t="s">
        <v>7</v>
      </c>
      <c r="HI603" s="27" t="s">
        <v>8</v>
      </c>
      <c r="HL603" s="27" t="s">
        <v>7</v>
      </c>
      <c r="HM603" s="27" t="s">
        <v>8</v>
      </c>
      <c r="HN603" s="27" t="s">
        <v>7</v>
      </c>
      <c r="HO603" s="27" t="s">
        <v>8</v>
      </c>
    </row>
    <row r="604" spans="1:225" x14ac:dyDescent="0.25">
      <c r="A604" s="7">
        <v>0.71416256246493581</v>
      </c>
      <c r="B604"/>
      <c r="C604"/>
      <c r="D604"/>
      <c r="E604"/>
      <c r="F604" s="27" t="s">
        <v>7</v>
      </c>
      <c r="DC604" s="27" t="s">
        <v>8</v>
      </c>
      <c r="DD604" s="27" t="s">
        <v>7</v>
      </c>
      <c r="DK604" s="27" t="s">
        <v>8</v>
      </c>
      <c r="DP604" s="27" t="s">
        <v>7</v>
      </c>
      <c r="DQ604" s="27" t="s">
        <v>8</v>
      </c>
      <c r="DR604" s="27" t="s">
        <v>7</v>
      </c>
      <c r="DS604" s="27" t="s">
        <v>8</v>
      </c>
      <c r="DT604" s="27" t="s">
        <v>7</v>
      </c>
      <c r="EG604" s="27" t="s">
        <v>8</v>
      </c>
      <c r="EH604" s="27" t="s">
        <v>7</v>
      </c>
      <c r="FU604" s="27" t="s">
        <v>8</v>
      </c>
      <c r="FV604" s="27" t="s">
        <v>7</v>
      </c>
      <c r="FW604" s="27" t="s">
        <v>8</v>
      </c>
      <c r="FX604" s="27" t="s">
        <v>7</v>
      </c>
      <c r="GG604" s="27" t="s">
        <v>8</v>
      </c>
      <c r="GH604" s="27" t="s">
        <v>7</v>
      </c>
      <c r="GM604" s="27" t="s">
        <v>8</v>
      </c>
      <c r="GO604" s="27" t="s">
        <v>8</v>
      </c>
      <c r="GP604" s="27" t="s">
        <v>7</v>
      </c>
      <c r="GQ604" s="27" t="s">
        <v>8</v>
      </c>
      <c r="GV604" s="27" t="s">
        <v>7</v>
      </c>
      <c r="GW604" s="27" t="s">
        <v>8</v>
      </c>
      <c r="GZ604" s="27" t="s">
        <v>7</v>
      </c>
      <c r="HB604" s="27" t="s">
        <v>7</v>
      </c>
      <c r="HC604" s="27" t="s">
        <v>8</v>
      </c>
      <c r="HD604" s="27" t="s">
        <v>7</v>
      </c>
      <c r="HI604" s="27" t="s">
        <v>8</v>
      </c>
      <c r="HL604" s="27" t="s">
        <v>7</v>
      </c>
      <c r="HM604" s="27" t="s">
        <v>8</v>
      </c>
      <c r="HN604" s="27" t="s">
        <v>7</v>
      </c>
    </row>
    <row r="605" spans="1:225" x14ac:dyDescent="0.25">
      <c r="A605" s="7">
        <v>0.7001593749656233</v>
      </c>
      <c r="B605"/>
      <c r="C605"/>
      <c r="D605"/>
      <c r="E605"/>
      <c r="F605" s="27" t="s">
        <v>7</v>
      </c>
      <c r="DC605" s="27" t="s">
        <v>8</v>
      </c>
      <c r="DD605" s="27" t="s">
        <v>7</v>
      </c>
      <c r="DK605" s="27" t="s">
        <v>8</v>
      </c>
      <c r="DP605" s="27" t="s">
        <v>7</v>
      </c>
      <c r="DQ605" s="27" t="s">
        <v>8</v>
      </c>
      <c r="DR605" s="27" t="s">
        <v>7</v>
      </c>
      <c r="DS605" s="27" t="s">
        <v>8</v>
      </c>
      <c r="DT605" s="27" t="s">
        <v>7</v>
      </c>
      <c r="DU605" s="27" t="s">
        <v>8</v>
      </c>
      <c r="DW605" s="27" t="s">
        <v>8</v>
      </c>
      <c r="EG605" s="27" t="s">
        <v>8</v>
      </c>
      <c r="EH605" s="27" t="s">
        <v>7</v>
      </c>
      <c r="FU605" s="27" t="s">
        <v>8</v>
      </c>
      <c r="FV605" s="27" t="s">
        <v>7</v>
      </c>
      <c r="FW605" s="27" t="s">
        <v>8</v>
      </c>
      <c r="FX605" s="27" t="s">
        <v>7</v>
      </c>
      <c r="GG605" s="27" t="s">
        <v>8</v>
      </c>
      <c r="GH605" s="27" t="s">
        <v>7</v>
      </c>
      <c r="GM605" s="27" t="s">
        <v>8</v>
      </c>
      <c r="GN605" s="27" t="s">
        <v>7</v>
      </c>
      <c r="GO605" s="27" t="s">
        <v>8</v>
      </c>
      <c r="GP605" s="27" t="s">
        <v>7</v>
      </c>
      <c r="GQ605" s="27" t="s">
        <v>8</v>
      </c>
      <c r="GV605" s="27" t="s">
        <v>7</v>
      </c>
      <c r="GW605" s="27" t="s">
        <v>8</v>
      </c>
      <c r="HB605" s="27" t="s">
        <v>7</v>
      </c>
      <c r="HC605" s="27" t="s">
        <v>8</v>
      </c>
      <c r="HD605" s="27" t="s">
        <v>7</v>
      </c>
      <c r="HI605" s="27" t="s">
        <v>8</v>
      </c>
      <c r="HL605" s="27" t="s">
        <v>7</v>
      </c>
      <c r="HM605" s="27" t="s">
        <v>8</v>
      </c>
    </row>
    <row r="606" spans="1:225" x14ac:dyDescent="0.25">
      <c r="A606" s="7">
        <v>0.68643075977021883</v>
      </c>
      <c r="B606"/>
      <c r="C606"/>
      <c r="D606"/>
      <c r="E606"/>
      <c r="F606" s="27" t="s">
        <v>7</v>
      </c>
      <c r="DC606" s="27" t="s">
        <v>8</v>
      </c>
      <c r="DD606" s="27" t="s">
        <v>7</v>
      </c>
      <c r="DK606" s="27" t="s">
        <v>8</v>
      </c>
      <c r="DP606" s="27" t="s">
        <v>7</v>
      </c>
      <c r="DQ606" s="27" t="s">
        <v>8</v>
      </c>
      <c r="DR606" s="27" t="s">
        <v>7</v>
      </c>
      <c r="DS606" s="27" t="s">
        <v>8</v>
      </c>
      <c r="DT606" s="27" t="s">
        <v>7</v>
      </c>
      <c r="DU606" s="27" t="s">
        <v>8</v>
      </c>
      <c r="DV606" s="27" t="s">
        <v>7</v>
      </c>
      <c r="DW606" s="27" t="s">
        <v>8</v>
      </c>
      <c r="DX606" s="27" t="s">
        <v>7</v>
      </c>
      <c r="EG606" s="27" t="s">
        <v>8</v>
      </c>
      <c r="EH606" s="27" t="s">
        <v>7</v>
      </c>
      <c r="FQ606" s="27" t="s">
        <v>8</v>
      </c>
      <c r="FU606" s="27" t="s">
        <v>8</v>
      </c>
      <c r="FV606" s="27" t="s">
        <v>7</v>
      </c>
      <c r="FW606" s="27" t="s">
        <v>8</v>
      </c>
      <c r="FX606" s="27" t="s">
        <v>7</v>
      </c>
      <c r="GG606" s="27" t="s">
        <v>8</v>
      </c>
      <c r="GH606" s="27" t="s">
        <v>7</v>
      </c>
      <c r="GK606" s="27" t="s">
        <v>8</v>
      </c>
      <c r="GM606" s="27" t="s">
        <v>8</v>
      </c>
      <c r="GN606" s="27" t="s">
        <v>7</v>
      </c>
      <c r="GO606" s="27" t="s">
        <v>8</v>
      </c>
      <c r="GP606" s="27" t="s">
        <v>7</v>
      </c>
      <c r="GQ606" s="27" t="s">
        <v>8</v>
      </c>
      <c r="GV606" s="27" t="s">
        <v>7</v>
      </c>
      <c r="GW606" s="27" t="s">
        <v>8</v>
      </c>
      <c r="HB606" s="27" t="s">
        <v>7</v>
      </c>
      <c r="HC606" s="27" t="s">
        <v>8</v>
      </c>
      <c r="HD606" s="27" t="s">
        <v>7</v>
      </c>
      <c r="HE606" s="27" t="s">
        <v>8</v>
      </c>
      <c r="HI606" s="27" t="s">
        <v>8</v>
      </c>
      <c r="HL606" s="27" t="s">
        <v>7</v>
      </c>
    </row>
    <row r="607" spans="1:225" x14ac:dyDescent="0.25">
      <c r="A607" s="7">
        <v>0.67297133310805768</v>
      </c>
      <c r="B607"/>
      <c r="C607"/>
      <c r="D607"/>
      <c r="E607"/>
      <c r="F607" s="27" t="s">
        <v>7</v>
      </c>
      <c r="DC607" s="27" t="s">
        <v>8</v>
      </c>
      <c r="DD607" s="27" t="s">
        <v>7</v>
      </c>
      <c r="DE607" s="27" t="s">
        <v>8</v>
      </c>
      <c r="DK607" s="27" t="s">
        <v>8</v>
      </c>
      <c r="DP607" s="27" t="s">
        <v>7</v>
      </c>
      <c r="DR607" s="27" t="s">
        <v>7</v>
      </c>
      <c r="DS607" s="27" t="s">
        <v>8</v>
      </c>
      <c r="DT607" s="27" t="s">
        <v>7</v>
      </c>
      <c r="DU607" s="27" t="s">
        <v>8</v>
      </c>
      <c r="DV607" s="27" t="s">
        <v>7</v>
      </c>
      <c r="DW607" s="27" t="s">
        <v>8</v>
      </c>
      <c r="DX607" s="27" t="s">
        <v>7</v>
      </c>
      <c r="EG607" s="27" t="s">
        <v>8</v>
      </c>
      <c r="EH607" s="27" t="s">
        <v>7</v>
      </c>
      <c r="FQ607" s="27" t="s">
        <v>8</v>
      </c>
      <c r="FR607" s="27" t="s">
        <v>7</v>
      </c>
      <c r="FU607" s="27" t="s">
        <v>8</v>
      </c>
      <c r="FV607" s="27" t="s">
        <v>7</v>
      </c>
      <c r="FW607" s="27" t="s">
        <v>8</v>
      </c>
      <c r="FX607" s="27" t="s">
        <v>7</v>
      </c>
      <c r="FY607" s="27" t="s">
        <v>8</v>
      </c>
      <c r="GE607" s="27" t="s">
        <v>8</v>
      </c>
      <c r="GG607" s="27" t="s">
        <v>8</v>
      </c>
      <c r="GH607" s="27" t="s">
        <v>7</v>
      </c>
      <c r="GK607" s="27" t="s">
        <v>8</v>
      </c>
      <c r="GL607" s="27" t="s">
        <v>7</v>
      </c>
      <c r="GM607" s="27" t="s">
        <v>8</v>
      </c>
      <c r="GN607" s="27" t="s">
        <v>7</v>
      </c>
      <c r="GO607" s="27" t="s">
        <v>8</v>
      </c>
      <c r="GP607" s="27" t="s">
        <v>7</v>
      </c>
      <c r="GQ607" s="27" t="s">
        <v>8</v>
      </c>
      <c r="GV607" s="27" t="s">
        <v>7</v>
      </c>
      <c r="GW607" s="27" t="s">
        <v>8</v>
      </c>
      <c r="HB607" s="27" t="s">
        <v>7</v>
      </c>
      <c r="HC607" s="27" t="s">
        <v>8</v>
      </c>
      <c r="HD607" s="27" t="s">
        <v>7</v>
      </c>
      <c r="HE607" s="27" t="s">
        <v>8</v>
      </c>
      <c r="HF607" s="27" t="s">
        <v>7</v>
      </c>
      <c r="HG607" s="27" t="s">
        <v>8</v>
      </c>
      <c r="HI607" s="27" t="s">
        <v>8</v>
      </c>
    </row>
    <row r="608" spans="1:225" x14ac:dyDescent="0.25">
      <c r="A608" s="7">
        <v>0.65977581677260566</v>
      </c>
      <c r="B608"/>
      <c r="C608"/>
      <c r="D608"/>
      <c r="E608"/>
      <c r="F608" s="27" t="s">
        <v>7</v>
      </c>
      <c r="DC608" s="27" t="s">
        <v>8</v>
      </c>
      <c r="DD608" s="27" t="s">
        <v>7</v>
      </c>
      <c r="DE608" s="27" t="s">
        <v>8</v>
      </c>
      <c r="DF608" s="27" t="s">
        <v>7</v>
      </c>
      <c r="DI608" s="27" t="s">
        <v>8</v>
      </c>
      <c r="DK608" s="27" t="s">
        <v>8</v>
      </c>
      <c r="DR608" s="27" t="s">
        <v>7</v>
      </c>
      <c r="DS608" s="27" t="s">
        <v>8</v>
      </c>
      <c r="DT608" s="27" t="s">
        <v>7</v>
      </c>
      <c r="DU608" s="27" t="s">
        <v>8</v>
      </c>
      <c r="DV608" s="27" t="s">
        <v>7</v>
      </c>
      <c r="DW608" s="27" t="s">
        <v>8</v>
      </c>
      <c r="DX608" s="27" t="s">
        <v>7</v>
      </c>
      <c r="EG608" s="27" t="s">
        <v>8</v>
      </c>
      <c r="EH608" s="27" t="s">
        <v>7</v>
      </c>
      <c r="FQ608" s="27" t="s">
        <v>8</v>
      </c>
      <c r="FR608" s="27" t="s">
        <v>7</v>
      </c>
      <c r="FU608" s="27" t="s">
        <v>8</v>
      </c>
      <c r="FV608" s="27" t="s">
        <v>7</v>
      </c>
      <c r="FW608" s="27" t="s">
        <v>8</v>
      </c>
      <c r="FX608" s="27" t="s">
        <v>7</v>
      </c>
      <c r="FY608" s="27" t="s">
        <v>8</v>
      </c>
      <c r="FZ608" s="27" t="s">
        <v>7</v>
      </c>
      <c r="GC608" s="27" t="s">
        <v>8</v>
      </c>
      <c r="GE608" s="27" t="s">
        <v>8</v>
      </c>
      <c r="GF608" s="27" t="s">
        <v>7</v>
      </c>
      <c r="GG608" s="27" t="s">
        <v>8</v>
      </c>
      <c r="GH608" s="27" t="s">
        <v>7</v>
      </c>
      <c r="GI608" s="27" t="s">
        <v>8</v>
      </c>
      <c r="GK608" s="27" t="s">
        <v>8</v>
      </c>
      <c r="GL608" s="27" t="s">
        <v>7</v>
      </c>
      <c r="GM608" s="27" t="s">
        <v>8</v>
      </c>
      <c r="GN608" s="27" t="s">
        <v>7</v>
      </c>
      <c r="GO608" s="27" t="s">
        <v>8</v>
      </c>
      <c r="GP608" s="27" t="s">
        <v>7</v>
      </c>
      <c r="GQ608" s="27" t="s">
        <v>8</v>
      </c>
      <c r="GV608" s="27" t="s">
        <v>7</v>
      </c>
      <c r="GW608" s="27" t="s">
        <v>8</v>
      </c>
      <c r="HB608" s="27" t="s">
        <v>7</v>
      </c>
      <c r="HC608" s="27" t="s">
        <v>8</v>
      </c>
      <c r="HD608" s="27" t="s">
        <v>7</v>
      </c>
      <c r="HE608" s="27" t="s">
        <v>8</v>
      </c>
      <c r="HF608" s="27" t="s">
        <v>7</v>
      </c>
      <c r="HG608" s="27" t="s">
        <v>8</v>
      </c>
      <c r="HH608" s="27" t="s">
        <v>7</v>
      </c>
      <c r="HI608" s="27" t="s">
        <v>8</v>
      </c>
    </row>
    <row r="609" spans="1:217" x14ac:dyDescent="0.25">
      <c r="A609" s="7">
        <v>0.64683903605157422</v>
      </c>
      <c r="B609"/>
      <c r="C609"/>
      <c r="D609"/>
      <c r="E609"/>
      <c r="F609" s="27" t="s">
        <v>7</v>
      </c>
      <c r="DC609" s="27" t="s">
        <v>8</v>
      </c>
      <c r="DD609" s="27" t="s">
        <v>7</v>
      </c>
      <c r="DE609" s="27" t="s">
        <v>8</v>
      </c>
      <c r="DF609" s="27" t="s">
        <v>7</v>
      </c>
      <c r="DI609" s="27" t="s">
        <v>8</v>
      </c>
      <c r="DJ609" s="27" t="s">
        <v>7</v>
      </c>
      <c r="DK609" s="27" t="s">
        <v>8</v>
      </c>
      <c r="DR609" s="27" t="s">
        <v>7</v>
      </c>
      <c r="DS609" s="27" t="s">
        <v>8</v>
      </c>
      <c r="DT609" s="27" t="s">
        <v>7</v>
      </c>
      <c r="DU609" s="27" t="s">
        <v>8</v>
      </c>
      <c r="DV609" s="27" t="s">
        <v>7</v>
      </c>
      <c r="DW609" s="27" t="s">
        <v>8</v>
      </c>
      <c r="DX609" s="27" t="s">
        <v>7</v>
      </c>
      <c r="EG609" s="27" t="s">
        <v>8</v>
      </c>
      <c r="EH609" s="27" t="s">
        <v>7</v>
      </c>
      <c r="FQ609" s="27" t="s">
        <v>8</v>
      </c>
      <c r="FR609" s="27" t="s">
        <v>7</v>
      </c>
      <c r="FU609" s="27" t="s">
        <v>8</v>
      </c>
      <c r="FV609" s="27" t="s">
        <v>7</v>
      </c>
      <c r="FW609" s="27" t="s">
        <v>8</v>
      </c>
      <c r="FX609" s="27" t="s">
        <v>7</v>
      </c>
      <c r="FY609" s="27" t="s">
        <v>8</v>
      </c>
      <c r="FZ609" s="27" t="s">
        <v>7</v>
      </c>
      <c r="GA609" s="27" t="s">
        <v>8</v>
      </c>
      <c r="GC609" s="27" t="s">
        <v>8</v>
      </c>
      <c r="GD609" s="27" t="s">
        <v>7</v>
      </c>
      <c r="GE609" s="27" t="s">
        <v>8</v>
      </c>
      <c r="GF609" s="27" t="s">
        <v>7</v>
      </c>
      <c r="GG609" s="27" t="s">
        <v>8</v>
      </c>
      <c r="GH609" s="27" t="s">
        <v>7</v>
      </c>
      <c r="GI609" s="27" t="s">
        <v>8</v>
      </c>
      <c r="GJ609" s="27" t="s">
        <v>7</v>
      </c>
      <c r="GK609" s="27" t="s">
        <v>8</v>
      </c>
      <c r="GL609" s="27" t="s">
        <v>7</v>
      </c>
      <c r="GM609" s="27" t="s">
        <v>8</v>
      </c>
      <c r="GN609" s="27" t="s">
        <v>7</v>
      </c>
      <c r="GO609" s="27" t="s">
        <v>8</v>
      </c>
      <c r="GP609" s="27" t="s">
        <v>7</v>
      </c>
      <c r="GV609" s="27" t="s">
        <v>7</v>
      </c>
      <c r="GW609" s="27" t="s">
        <v>8</v>
      </c>
      <c r="HB609" s="27" t="s">
        <v>7</v>
      </c>
      <c r="HC609" s="27" t="s">
        <v>8</v>
      </c>
      <c r="HD609" s="27" t="s">
        <v>7</v>
      </c>
      <c r="HE609" s="27" t="s">
        <v>8</v>
      </c>
      <c r="HF609" s="27" t="s">
        <v>7</v>
      </c>
      <c r="HG609" s="27" t="s">
        <v>8</v>
      </c>
      <c r="HH609" s="27" t="s">
        <v>7</v>
      </c>
      <c r="HI609" s="27" t="s">
        <v>8</v>
      </c>
    </row>
    <row r="610" spans="1:217" x14ac:dyDescent="0.25">
      <c r="A610" s="7">
        <v>0.63415591769762181</v>
      </c>
      <c r="B610"/>
      <c r="C610"/>
      <c r="D610"/>
      <c r="E610"/>
      <c r="F610" s="27" t="s">
        <v>7</v>
      </c>
      <c r="DC610" s="27" t="s">
        <v>8</v>
      </c>
      <c r="DD610" s="27" t="s">
        <v>7</v>
      </c>
      <c r="DE610" s="27" t="s">
        <v>8</v>
      </c>
      <c r="DF610" s="27" t="s">
        <v>7</v>
      </c>
      <c r="DI610" s="27" t="s">
        <v>8</v>
      </c>
      <c r="DJ610" s="27" t="s">
        <v>7</v>
      </c>
      <c r="DK610" s="27" t="s">
        <v>8</v>
      </c>
      <c r="DR610" s="27" t="s">
        <v>7</v>
      </c>
      <c r="DS610" s="27" t="s">
        <v>8</v>
      </c>
      <c r="DT610" s="27" t="s">
        <v>7</v>
      </c>
      <c r="DU610" s="27" t="s">
        <v>8</v>
      </c>
      <c r="DV610" s="27" t="s">
        <v>7</v>
      </c>
      <c r="DW610" s="27" t="s">
        <v>8</v>
      </c>
      <c r="DX610" s="27" t="s">
        <v>7</v>
      </c>
      <c r="EG610" s="27" t="s">
        <v>8</v>
      </c>
      <c r="EH610" s="27" t="s">
        <v>7</v>
      </c>
      <c r="FQ610" s="27" t="s">
        <v>8</v>
      </c>
      <c r="FR610" s="27" t="s">
        <v>7</v>
      </c>
      <c r="FU610" s="27" t="s">
        <v>8</v>
      </c>
      <c r="FV610" s="27" t="s">
        <v>7</v>
      </c>
      <c r="FW610" s="27" t="s">
        <v>8</v>
      </c>
      <c r="FX610" s="27" t="s">
        <v>7</v>
      </c>
      <c r="FY610" s="27" t="s">
        <v>8</v>
      </c>
      <c r="FZ610" s="27" t="s">
        <v>7</v>
      </c>
      <c r="GA610" s="27" t="s">
        <v>8</v>
      </c>
      <c r="GB610" s="27" t="s">
        <v>7</v>
      </c>
      <c r="GC610" s="27" t="s">
        <v>8</v>
      </c>
      <c r="GD610" s="27" t="s">
        <v>7</v>
      </c>
      <c r="GE610" s="27" t="s">
        <v>8</v>
      </c>
      <c r="GF610" s="27" t="s">
        <v>7</v>
      </c>
      <c r="GG610" s="27" t="s">
        <v>8</v>
      </c>
      <c r="GH610" s="27" t="s">
        <v>7</v>
      </c>
      <c r="GI610" s="27" t="s">
        <v>8</v>
      </c>
      <c r="GJ610" s="27" t="s">
        <v>7</v>
      </c>
      <c r="GK610" s="27" t="s">
        <v>8</v>
      </c>
      <c r="GL610" s="27" t="s">
        <v>7</v>
      </c>
      <c r="GM610" s="27" t="s">
        <v>8</v>
      </c>
      <c r="GN610" s="27" t="s">
        <v>7</v>
      </c>
      <c r="GO610" s="27" t="s">
        <v>8</v>
      </c>
      <c r="GV610" s="27" t="s">
        <v>7</v>
      </c>
      <c r="GW610" s="27" t="s">
        <v>8</v>
      </c>
      <c r="HB610" s="27" t="s">
        <v>7</v>
      </c>
      <c r="HC610" s="27" t="s">
        <v>8</v>
      </c>
      <c r="HD610" s="27" t="s">
        <v>7</v>
      </c>
      <c r="HF610" s="27" t="s">
        <v>7</v>
      </c>
      <c r="HG610" s="27" t="s">
        <v>8</v>
      </c>
      <c r="HH610" s="27" t="s">
        <v>7</v>
      </c>
      <c r="HI610" s="27" t="s">
        <v>8</v>
      </c>
    </row>
    <row r="611" spans="1:217" x14ac:dyDescent="0.25">
      <c r="A611" s="7">
        <v>0.62172148793884496</v>
      </c>
      <c r="B611"/>
      <c r="C611"/>
      <c r="D611"/>
      <c r="E611"/>
      <c r="F611" s="27" t="s">
        <v>7</v>
      </c>
      <c r="DC611" s="27" t="s">
        <v>8</v>
      </c>
      <c r="DD611" s="27" t="s">
        <v>7</v>
      </c>
      <c r="DE611" s="27" t="s">
        <v>8</v>
      </c>
      <c r="DF611" s="27" t="s">
        <v>7</v>
      </c>
      <c r="DI611" s="27" t="s">
        <v>8</v>
      </c>
      <c r="DJ611" s="27" t="s">
        <v>7</v>
      </c>
      <c r="DK611" s="27" t="s">
        <v>8</v>
      </c>
      <c r="DR611" s="27" t="s">
        <v>7</v>
      </c>
      <c r="DS611" s="27" t="s">
        <v>8</v>
      </c>
      <c r="DT611" s="27" t="s">
        <v>7</v>
      </c>
      <c r="DV611" s="27" t="s">
        <v>7</v>
      </c>
      <c r="DX611" s="27" t="s">
        <v>7</v>
      </c>
      <c r="EE611" s="27" t="s">
        <v>8</v>
      </c>
      <c r="EG611" s="27" t="s">
        <v>8</v>
      </c>
      <c r="EH611" s="27" t="s">
        <v>7</v>
      </c>
      <c r="FQ611" s="27" t="s">
        <v>8</v>
      </c>
      <c r="FR611" s="27" t="s">
        <v>7</v>
      </c>
      <c r="FU611" s="27" t="s">
        <v>8</v>
      </c>
      <c r="FV611" s="27" t="s">
        <v>7</v>
      </c>
      <c r="FW611" s="27" t="s">
        <v>8</v>
      </c>
      <c r="FX611" s="27" t="s">
        <v>7</v>
      </c>
      <c r="FZ611" s="27" t="s">
        <v>7</v>
      </c>
      <c r="GA611" s="27" t="s">
        <v>8</v>
      </c>
      <c r="GB611" s="27" t="s">
        <v>7</v>
      </c>
      <c r="GC611" s="27" t="s">
        <v>8</v>
      </c>
      <c r="GD611" s="27" t="s">
        <v>7</v>
      </c>
      <c r="GE611" s="27" t="s">
        <v>8</v>
      </c>
      <c r="GF611" s="27" t="s">
        <v>7</v>
      </c>
      <c r="GG611" s="27" t="s">
        <v>8</v>
      </c>
      <c r="GH611" s="27" t="s">
        <v>7</v>
      </c>
      <c r="GJ611" s="27" t="s">
        <v>7</v>
      </c>
      <c r="GL611" s="27" t="s">
        <v>7</v>
      </c>
      <c r="GM611" s="27" t="s">
        <v>8</v>
      </c>
      <c r="GN611" s="27" t="s">
        <v>7</v>
      </c>
      <c r="GO611" s="27" t="s">
        <v>8</v>
      </c>
      <c r="GV611" s="27" t="s">
        <v>7</v>
      </c>
      <c r="HB611" s="27" t="s">
        <v>7</v>
      </c>
      <c r="HC611" s="27" t="s">
        <v>8</v>
      </c>
      <c r="HF611" s="27" t="s">
        <v>7</v>
      </c>
      <c r="HH611" s="27" t="s">
        <v>7</v>
      </c>
      <c r="HI611" s="27" t="s">
        <v>8</v>
      </c>
    </row>
    <row r="612" spans="1:217" x14ac:dyDescent="0.25">
      <c r="A612" s="7">
        <v>0.60953087052827937</v>
      </c>
      <c r="B612"/>
      <c r="C612"/>
      <c r="D612"/>
      <c r="E612"/>
      <c r="F612" s="27" t="s">
        <v>7</v>
      </c>
      <c r="DC612" s="27" t="s">
        <v>8</v>
      </c>
      <c r="DD612" s="27" t="s">
        <v>7</v>
      </c>
      <c r="DE612" s="27" t="s">
        <v>8</v>
      </c>
      <c r="DF612" s="27" t="s">
        <v>7</v>
      </c>
      <c r="DG612" s="27" t="s">
        <v>8</v>
      </c>
      <c r="DI612" s="27" t="s">
        <v>8</v>
      </c>
      <c r="DJ612" s="27" t="s">
        <v>7</v>
      </c>
      <c r="DK612" s="27" t="s">
        <v>8</v>
      </c>
      <c r="DR612" s="27" t="s">
        <v>7</v>
      </c>
      <c r="DS612" s="27" t="s">
        <v>8</v>
      </c>
      <c r="DX612" s="27" t="s">
        <v>7</v>
      </c>
      <c r="EC612" s="27" t="s">
        <v>8</v>
      </c>
      <c r="EE612" s="27" t="s">
        <v>8</v>
      </c>
      <c r="EF612" s="27" t="s">
        <v>7</v>
      </c>
      <c r="EG612" s="27" t="s">
        <v>8</v>
      </c>
      <c r="EH612" s="27" t="s">
        <v>7</v>
      </c>
      <c r="FQ612" s="27" t="s">
        <v>8</v>
      </c>
      <c r="FR612" s="27" t="s">
        <v>7</v>
      </c>
      <c r="FU612" s="27" t="s">
        <v>8</v>
      </c>
      <c r="FV612" s="27" t="s">
        <v>7</v>
      </c>
      <c r="FW612" s="27" t="s">
        <v>8</v>
      </c>
      <c r="FZ612" s="27" t="s">
        <v>7</v>
      </c>
      <c r="GA612" s="27" t="s">
        <v>8</v>
      </c>
      <c r="GB612" s="27" t="s">
        <v>7</v>
      </c>
      <c r="GC612" s="27" t="s">
        <v>8</v>
      </c>
      <c r="GD612" s="27" t="s">
        <v>7</v>
      </c>
      <c r="GF612" s="27" t="s">
        <v>7</v>
      </c>
      <c r="GL612" s="27" t="s">
        <v>7</v>
      </c>
      <c r="GM612" s="27" t="s">
        <v>8</v>
      </c>
      <c r="GN612" s="27" t="s">
        <v>7</v>
      </c>
      <c r="GO612" s="27" t="s">
        <v>8</v>
      </c>
      <c r="HB612" s="27" t="s">
        <v>7</v>
      </c>
      <c r="HC612" s="27" t="s">
        <v>8</v>
      </c>
      <c r="HH612" s="27" t="s">
        <v>7</v>
      </c>
      <c r="HI612" s="27" t="s">
        <v>8</v>
      </c>
    </row>
    <row r="613" spans="1:217" x14ac:dyDescent="0.25">
      <c r="A613" s="7">
        <v>0.59757928483164646</v>
      </c>
      <c r="B613"/>
      <c r="C613"/>
      <c r="D613"/>
      <c r="E613"/>
      <c r="F613" s="27" t="s">
        <v>7</v>
      </c>
      <c r="DC613" s="27" t="s">
        <v>8</v>
      </c>
      <c r="DD613" s="27" t="s">
        <v>7</v>
      </c>
      <c r="DE613" s="27" t="s">
        <v>8</v>
      </c>
      <c r="DF613" s="27" t="s">
        <v>7</v>
      </c>
      <c r="DG613" s="27" t="s">
        <v>8</v>
      </c>
      <c r="DH613" s="27" t="s">
        <v>7</v>
      </c>
      <c r="DI613" s="27" t="s">
        <v>8</v>
      </c>
      <c r="DJ613" s="27" t="s">
        <v>7</v>
      </c>
      <c r="DK613" s="27" t="s">
        <v>8</v>
      </c>
      <c r="DR613" s="27" t="s">
        <v>7</v>
      </c>
      <c r="DS613" s="27" t="s">
        <v>8</v>
      </c>
      <c r="DX613" s="27" t="s">
        <v>7</v>
      </c>
      <c r="EC613" s="27" t="s">
        <v>8</v>
      </c>
      <c r="ED613" s="27" t="s">
        <v>7</v>
      </c>
      <c r="EE613" s="27" t="s">
        <v>8</v>
      </c>
      <c r="EF613" s="27" t="s">
        <v>7</v>
      </c>
      <c r="EG613" s="27" t="s">
        <v>8</v>
      </c>
      <c r="EH613" s="27" t="s">
        <v>7</v>
      </c>
      <c r="FQ613" s="27" t="s">
        <v>8</v>
      </c>
      <c r="FR613" s="27" t="s">
        <v>7</v>
      </c>
      <c r="FU613" s="27" t="s">
        <v>8</v>
      </c>
      <c r="FV613" s="27" t="s">
        <v>7</v>
      </c>
      <c r="FW613" s="27" t="s">
        <v>8</v>
      </c>
      <c r="FZ613" s="27" t="s">
        <v>7</v>
      </c>
      <c r="GA613" s="27" t="s">
        <v>8</v>
      </c>
      <c r="GB613" s="27" t="s">
        <v>7</v>
      </c>
      <c r="GC613" s="27" t="s">
        <v>8</v>
      </c>
      <c r="GL613" s="27" t="s">
        <v>7</v>
      </c>
      <c r="GM613" s="27" t="s">
        <v>8</v>
      </c>
      <c r="GN613" s="27" t="s">
        <v>7</v>
      </c>
      <c r="HB613" s="27" t="s">
        <v>7</v>
      </c>
      <c r="HC613" s="27" t="s">
        <v>8</v>
      </c>
      <c r="HH613" s="27" t="s">
        <v>7</v>
      </c>
      <c r="HI613" s="27" t="s">
        <v>8</v>
      </c>
    </row>
    <row r="614" spans="1:217" x14ac:dyDescent="0.25">
      <c r="A614" s="7">
        <v>0.58586204395259456</v>
      </c>
      <c r="B614"/>
      <c r="C614"/>
      <c r="D614"/>
      <c r="E614"/>
      <c r="F614" s="27" t="s">
        <v>7</v>
      </c>
      <c r="DC614" s="27" t="s">
        <v>8</v>
      </c>
      <c r="DD614" s="27" t="s">
        <v>7</v>
      </c>
      <c r="DE614" s="27" t="s">
        <v>8</v>
      </c>
      <c r="DF614" s="27" t="s">
        <v>7</v>
      </c>
      <c r="DG614" s="27" t="s">
        <v>8</v>
      </c>
      <c r="DH614" s="27" t="s">
        <v>7</v>
      </c>
      <c r="DI614" s="27" t="s">
        <v>8</v>
      </c>
      <c r="DJ614" s="27" t="s">
        <v>7</v>
      </c>
      <c r="DK614" s="27" t="s">
        <v>8</v>
      </c>
      <c r="DR614" s="27" t="s">
        <v>7</v>
      </c>
      <c r="DS614" s="27" t="s">
        <v>8</v>
      </c>
      <c r="DX614" s="27" t="s">
        <v>7</v>
      </c>
      <c r="EC614" s="27" t="s">
        <v>8</v>
      </c>
      <c r="ED614" s="27" t="s">
        <v>7</v>
      </c>
      <c r="EE614" s="27" t="s">
        <v>8</v>
      </c>
      <c r="EF614" s="27" t="s">
        <v>7</v>
      </c>
      <c r="EG614" s="27" t="s">
        <v>8</v>
      </c>
      <c r="EH614" s="27" t="s">
        <v>7</v>
      </c>
      <c r="FQ614" s="27" t="s">
        <v>8</v>
      </c>
      <c r="FR614" s="27" t="s">
        <v>7</v>
      </c>
      <c r="FU614" s="27" t="s">
        <v>8</v>
      </c>
      <c r="FV614" s="27" t="s">
        <v>7</v>
      </c>
      <c r="FW614" s="27" t="s">
        <v>8</v>
      </c>
      <c r="FZ614" s="27" t="s">
        <v>7</v>
      </c>
      <c r="GB614" s="27" t="s">
        <v>7</v>
      </c>
      <c r="GL614" s="27" t="s">
        <v>7</v>
      </c>
      <c r="GM614" s="27" t="s">
        <v>8</v>
      </c>
      <c r="HB614" s="27" t="s">
        <v>7</v>
      </c>
      <c r="HH614" s="27" t="s">
        <v>7</v>
      </c>
    </row>
    <row r="615" spans="1:217" x14ac:dyDescent="0.25">
      <c r="A615" s="7">
        <v>0.57437455289470052</v>
      </c>
      <c r="B615"/>
      <c r="C615"/>
      <c r="D615"/>
      <c r="E615"/>
      <c r="F615" s="27" t="s">
        <v>7</v>
      </c>
      <c r="DA615" s="27" t="s">
        <v>8</v>
      </c>
      <c r="DC615" s="27" t="s">
        <v>8</v>
      </c>
      <c r="DD615" s="27" t="s">
        <v>7</v>
      </c>
      <c r="DE615" s="27" t="s">
        <v>8</v>
      </c>
      <c r="DF615" s="27" t="s">
        <v>7</v>
      </c>
      <c r="DG615" s="27" t="s">
        <v>8</v>
      </c>
      <c r="DH615" s="27" t="s">
        <v>7</v>
      </c>
      <c r="DI615" s="27" t="s">
        <v>8</v>
      </c>
      <c r="DJ615" s="27" t="s">
        <v>7</v>
      </c>
      <c r="DK615" s="27" t="s">
        <v>8</v>
      </c>
      <c r="DR615" s="27" t="s">
        <v>7</v>
      </c>
      <c r="DS615" s="27" t="s">
        <v>8</v>
      </c>
      <c r="DX615" s="27" t="s">
        <v>7</v>
      </c>
      <c r="DY615" s="27" t="s">
        <v>8</v>
      </c>
      <c r="EA615" s="27" t="s">
        <v>8</v>
      </c>
      <c r="EC615" s="27" t="s">
        <v>8</v>
      </c>
      <c r="ED615" s="27" t="s">
        <v>7</v>
      </c>
      <c r="EE615" s="27" t="s">
        <v>8</v>
      </c>
      <c r="EF615" s="27" t="s">
        <v>7</v>
      </c>
      <c r="EG615" s="27" t="s">
        <v>8</v>
      </c>
      <c r="EH615" s="27" t="s">
        <v>7</v>
      </c>
      <c r="FQ615" s="27" t="s">
        <v>8</v>
      </c>
      <c r="FR615" s="27" t="s">
        <v>7</v>
      </c>
      <c r="FU615" s="27" t="s">
        <v>8</v>
      </c>
      <c r="FV615" s="27" t="s">
        <v>7</v>
      </c>
      <c r="GL615" s="27" t="s">
        <v>7</v>
      </c>
      <c r="GM615" s="27" t="s">
        <v>8</v>
      </c>
    </row>
    <row r="616" spans="1:217" x14ac:dyDescent="0.25">
      <c r="A616" s="7">
        <v>0.56311230675951029</v>
      </c>
      <c r="B616"/>
      <c r="C616"/>
      <c r="D616"/>
      <c r="E616"/>
      <c r="F616" s="27" t="s">
        <v>7</v>
      </c>
      <c r="DA616" s="27" t="s">
        <v>8</v>
      </c>
      <c r="DB616" s="27" t="s">
        <v>7</v>
      </c>
      <c r="DC616" s="27" t="s">
        <v>8</v>
      </c>
      <c r="DD616" s="27" t="s">
        <v>7</v>
      </c>
      <c r="DE616" s="27" t="s">
        <v>8</v>
      </c>
      <c r="DF616" s="27" t="s">
        <v>7</v>
      </c>
      <c r="DG616" s="27" t="s">
        <v>8</v>
      </c>
      <c r="DH616" s="27" t="s">
        <v>7</v>
      </c>
      <c r="DI616" s="27" t="s">
        <v>8</v>
      </c>
      <c r="DJ616" s="27" t="s">
        <v>7</v>
      </c>
      <c r="DK616" s="27" t="s">
        <v>8</v>
      </c>
      <c r="DR616" s="27" t="s">
        <v>7</v>
      </c>
      <c r="DS616" s="27" t="s">
        <v>8</v>
      </c>
      <c r="DX616" s="27" t="s">
        <v>7</v>
      </c>
      <c r="DY616" s="27" t="s">
        <v>8</v>
      </c>
      <c r="DZ616" s="27" t="s">
        <v>7</v>
      </c>
      <c r="EA616" s="27" t="s">
        <v>8</v>
      </c>
      <c r="EB616" s="27" t="s">
        <v>7</v>
      </c>
      <c r="EC616" s="27" t="s">
        <v>8</v>
      </c>
      <c r="ED616" s="27" t="s">
        <v>7</v>
      </c>
      <c r="EE616" s="27" t="s">
        <v>8</v>
      </c>
      <c r="EF616" s="27" t="s">
        <v>7</v>
      </c>
      <c r="EH616" s="27" t="s">
        <v>7</v>
      </c>
      <c r="EI616" s="27" t="s">
        <v>8</v>
      </c>
      <c r="FQ616" s="27" t="s">
        <v>8</v>
      </c>
      <c r="FR616" s="27" t="s">
        <v>7</v>
      </c>
      <c r="FU616" s="27" t="s">
        <v>8</v>
      </c>
      <c r="GL616" s="27" t="s">
        <v>7</v>
      </c>
    </row>
    <row r="617" spans="1:217" x14ac:dyDescent="0.25">
      <c r="A617" s="7">
        <v>0.55207088897991208</v>
      </c>
      <c r="B617"/>
      <c r="C617"/>
      <c r="D617"/>
      <c r="E617"/>
      <c r="F617" s="27" t="s">
        <v>7</v>
      </c>
      <c r="DA617" s="27" t="s">
        <v>8</v>
      </c>
      <c r="DB617" s="27" t="s">
        <v>7</v>
      </c>
      <c r="DC617" s="27" t="s">
        <v>8</v>
      </c>
      <c r="DD617" s="27" t="s">
        <v>7</v>
      </c>
      <c r="DE617" s="27" t="s">
        <v>8</v>
      </c>
      <c r="DF617" s="27" t="s">
        <v>7</v>
      </c>
      <c r="DG617" s="27" t="s">
        <v>8</v>
      </c>
      <c r="DH617" s="27" t="s">
        <v>7</v>
      </c>
      <c r="DI617" s="27" t="s">
        <v>8</v>
      </c>
      <c r="DJ617" s="27" t="s">
        <v>7</v>
      </c>
      <c r="DK617" s="27" t="s">
        <v>8</v>
      </c>
      <c r="DR617" s="27" t="s">
        <v>7</v>
      </c>
      <c r="DS617" s="27" t="s">
        <v>8</v>
      </c>
      <c r="DX617" s="27" t="s">
        <v>7</v>
      </c>
      <c r="DY617" s="27" t="s">
        <v>8</v>
      </c>
      <c r="DZ617" s="27" t="s">
        <v>7</v>
      </c>
      <c r="EA617" s="27" t="s">
        <v>8</v>
      </c>
      <c r="EB617" s="27" t="s">
        <v>7</v>
      </c>
      <c r="EC617" s="27" t="s">
        <v>8</v>
      </c>
      <c r="ED617" s="27" t="s">
        <v>7</v>
      </c>
      <c r="EE617" s="27" t="s">
        <v>8</v>
      </c>
      <c r="EH617" s="27" t="s">
        <v>7</v>
      </c>
      <c r="EI617" s="27" t="s">
        <v>8</v>
      </c>
      <c r="EJ617" s="27" t="s">
        <v>7</v>
      </c>
      <c r="FQ617" s="27" t="s">
        <v>8</v>
      </c>
      <c r="FR617" s="27" t="s">
        <v>7</v>
      </c>
      <c r="FU617" s="27" t="s">
        <v>8</v>
      </c>
    </row>
    <row r="618" spans="1:217" x14ac:dyDescent="0.25">
      <c r="A618" s="7">
        <v>0.54124596958814908</v>
      </c>
      <c r="B618"/>
      <c r="C618"/>
      <c r="D618"/>
      <c r="E618"/>
      <c r="F618" s="27" t="s">
        <v>7</v>
      </c>
      <c r="DA618" s="27" t="s">
        <v>8</v>
      </c>
      <c r="DB618" s="27" t="s">
        <v>7</v>
      </c>
      <c r="DC618" s="27" t="s">
        <v>8</v>
      </c>
      <c r="DD618" s="27" t="s">
        <v>7</v>
      </c>
      <c r="DE618" s="27" t="s">
        <v>8</v>
      </c>
      <c r="DF618" s="27" t="s">
        <v>7</v>
      </c>
      <c r="DG618" s="27" t="s">
        <v>8</v>
      </c>
      <c r="DH618" s="27" t="s">
        <v>7</v>
      </c>
      <c r="DI618" s="27" t="s">
        <v>8</v>
      </c>
      <c r="DJ618" s="27" t="s">
        <v>7</v>
      </c>
      <c r="DR618" s="27" t="s">
        <v>7</v>
      </c>
      <c r="DS618" s="27" t="s">
        <v>8</v>
      </c>
      <c r="DX618" s="27" t="s">
        <v>7</v>
      </c>
      <c r="DY618" s="27" t="s">
        <v>8</v>
      </c>
      <c r="DZ618" s="27" t="s">
        <v>7</v>
      </c>
      <c r="EA618" s="27" t="s">
        <v>8</v>
      </c>
      <c r="EB618" s="27" t="s">
        <v>7</v>
      </c>
      <c r="EC618" s="27" t="s">
        <v>8</v>
      </c>
      <c r="ED618" s="27" t="s">
        <v>7</v>
      </c>
      <c r="EH618" s="27" t="s">
        <v>7</v>
      </c>
      <c r="EI618" s="27" t="s">
        <v>8</v>
      </c>
      <c r="EJ618" s="27" t="s">
        <v>7</v>
      </c>
      <c r="FO618" s="27" t="s">
        <v>8</v>
      </c>
      <c r="FQ618" s="27" t="s">
        <v>8</v>
      </c>
      <c r="FR618" s="27" t="s">
        <v>7</v>
      </c>
      <c r="FU618" s="27" t="s">
        <v>8</v>
      </c>
    </row>
    <row r="619" spans="1:217" x14ac:dyDescent="0.25">
      <c r="A619" s="7">
        <v>0.53063330351779314</v>
      </c>
      <c r="B619"/>
      <c r="C619"/>
      <c r="D619"/>
      <c r="E619"/>
      <c r="F619" s="27" t="s">
        <v>7</v>
      </c>
      <c r="DA619" s="27" t="s">
        <v>8</v>
      </c>
      <c r="DB619" s="27" t="s">
        <v>7</v>
      </c>
      <c r="DC619" s="27" t="s">
        <v>8</v>
      </c>
      <c r="DD619" s="27" t="s">
        <v>7</v>
      </c>
      <c r="DE619" s="27" t="s">
        <v>8</v>
      </c>
      <c r="DF619" s="27" t="s">
        <v>7</v>
      </c>
      <c r="DH619" s="27" t="s">
        <v>7</v>
      </c>
      <c r="DI619" s="27" t="s">
        <v>8</v>
      </c>
      <c r="DR619" s="27" t="s">
        <v>7</v>
      </c>
      <c r="DX619" s="27" t="s">
        <v>7</v>
      </c>
      <c r="DY619" s="27" t="s">
        <v>8</v>
      </c>
      <c r="DZ619" s="27" t="s">
        <v>7</v>
      </c>
      <c r="EA619" s="27" t="s">
        <v>8</v>
      </c>
      <c r="EB619" s="27" t="s">
        <v>7</v>
      </c>
      <c r="EC619" s="27" t="s">
        <v>8</v>
      </c>
      <c r="EH619" s="27" t="s">
        <v>7</v>
      </c>
      <c r="EJ619" s="27" t="s">
        <v>7</v>
      </c>
      <c r="EK619" s="27" t="s">
        <v>8</v>
      </c>
      <c r="FM619" s="27" t="s">
        <v>8</v>
      </c>
      <c r="FO619" s="27" t="s">
        <v>8</v>
      </c>
      <c r="FP619" s="27" t="s">
        <v>7</v>
      </c>
      <c r="FQ619" s="27" t="s">
        <v>8</v>
      </c>
      <c r="FR619" s="27" t="s">
        <v>7</v>
      </c>
      <c r="FU619" s="27" t="s">
        <v>8</v>
      </c>
    </row>
    <row r="620" spans="1:217" x14ac:dyDescent="0.25">
      <c r="A620" s="7">
        <v>0.52022872893901284</v>
      </c>
      <c r="B620"/>
      <c r="C620"/>
      <c r="D620"/>
      <c r="E620"/>
      <c r="F620" s="27" t="s">
        <v>7</v>
      </c>
      <c r="DA620" s="27" t="s">
        <v>8</v>
      </c>
      <c r="DB620" s="27" t="s">
        <v>7</v>
      </c>
      <c r="DC620" s="27" t="s">
        <v>8</v>
      </c>
      <c r="DD620" s="27" t="s">
        <v>7</v>
      </c>
      <c r="DE620" s="27" t="s">
        <v>8</v>
      </c>
      <c r="DH620" s="27" t="s">
        <v>7</v>
      </c>
      <c r="DI620" s="27" t="s">
        <v>8</v>
      </c>
      <c r="DX620" s="27" t="s">
        <v>7</v>
      </c>
      <c r="DY620" s="27" t="s">
        <v>8</v>
      </c>
      <c r="DZ620" s="27" t="s">
        <v>7</v>
      </c>
      <c r="EA620" s="27" t="s">
        <v>8</v>
      </c>
      <c r="EB620" s="27" t="s">
        <v>7</v>
      </c>
      <c r="EC620" s="27" t="s">
        <v>8</v>
      </c>
      <c r="EJ620" s="27" t="s">
        <v>7</v>
      </c>
      <c r="EK620" s="27" t="s">
        <v>8</v>
      </c>
      <c r="EL620" s="27" t="s">
        <v>7</v>
      </c>
      <c r="FM620" s="27" t="s">
        <v>8</v>
      </c>
      <c r="FN620" s="27" t="s">
        <v>7</v>
      </c>
      <c r="FO620" s="27" t="s">
        <v>8</v>
      </c>
      <c r="FP620" s="27" t="s">
        <v>7</v>
      </c>
      <c r="FQ620" s="27" t="s">
        <v>8</v>
      </c>
      <c r="FR620" s="27" t="s">
        <v>7</v>
      </c>
      <c r="FS620" s="27" t="s">
        <v>8</v>
      </c>
      <c r="FU620" s="27" t="s">
        <v>8</v>
      </c>
    </row>
    <row r="621" spans="1:217" x14ac:dyDescent="0.25">
      <c r="A621" s="7">
        <v>0.51002816562648323</v>
      </c>
      <c r="B621"/>
      <c r="C621"/>
      <c r="D621"/>
      <c r="E621"/>
      <c r="F621" s="27" t="s">
        <v>7</v>
      </c>
      <c r="DA621" s="27" t="s">
        <v>8</v>
      </c>
      <c r="DB621" s="27" t="s">
        <v>7</v>
      </c>
      <c r="DC621" s="27" t="s">
        <v>8</v>
      </c>
      <c r="DD621" s="27" t="s">
        <v>7</v>
      </c>
      <c r="DH621" s="27" t="s">
        <v>7</v>
      </c>
      <c r="DX621" s="27" t="s">
        <v>7</v>
      </c>
      <c r="DY621" s="27" t="s">
        <v>8</v>
      </c>
      <c r="DZ621" s="27" t="s">
        <v>7</v>
      </c>
      <c r="EA621" s="27" t="s">
        <v>8</v>
      </c>
      <c r="EB621" s="27" t="s">
        <v>7</v>
      </c>
      <c r="EC621" s="27" t="s">
        <v>8</v>
      </c>
      <c r="EJ621" s="27" t="s">
        <v>7</v>
      </c>
      <c r="EK621" s="27" t="s">
        <v>8</v>
      </c>
      <c r="EL621" s="27" t="s">
        <v>7</v>
      </c>
      <c r="EM621" s="27" t="s">
        <v>8</v>
      </c>
      <c r="FM621" s="27" t="s">
        <v>8</v>
      </c>
      <c r="FN621" s="27" t="s">
        <v>7</v>
      </c>
      <c r="FO621" s="27" t="s">
        <v>8</v>
      </c>
      <c r="FP621" s="27" t="s">
        <v>7</v>
      </c>
      <c r="FQ621" s="27" t="s">
        <v>8</v>
      </c>
      <c r="FR621" s="27" t="s">
        <v>7</v>
      </c>
      <c r="FS621" s="27" t="s">
        <v>8</v>
      </c>
      <c r="FT621" s="27" t="s">
        <v>7</v>
      </c>
      <c r="FU621" s="27" t="s">
        <v>8</v>
      </c>
    </row>
    <row r="622" spans="1:217" x14ac:dyDescent="0.25">
      <c r="A622" s="7">
        <v>0.50002761335929735</v>
      </c>
      <c r="B622"/>
      <c r="C622"/>
      <c r="D622"/>
      <c r="E622"/>
      <c r="F622" s="27" t="s">
        <v>7</v>
      </c>
      <c r="DA622" s="27" t="s">
        <v>8</v>
      </c>
      <c r="DB622" s="27" t="s">
        <v>7</v>
      </c>
      <c r="DC622" s="27" t="s">
        <v>8</v>
      </c>
      <c r="DX622" s="27" t="s">
        <v>7</v>
      </c>
      <c r="DY622" s="27" t="s">
        <v>8</v>
      </c>
      <c r="DZ622" s="27" t="s">
        <v>7</v>
      </c>
      <c r="EA622" s="27" t="s">
        <v>8</v>
      </c>
      <c r="EB622" s="27" t="s">
        <v>7</v>
      </c>
      <c r="EC622" s="27" t="s">
        <v>8</v>
      </c>
      <c r="EJ622" s="27" t="s">
        <v>7</v>
      </c>
      <c r="EK622" s="27" t="s">
        <v>8</v>
      </c>
      <c r="EL622" s="27" t="s">
        <v>7</v>
      </c>
      <c r="EM622" s="27" t="s">
        <v>8</v>
      </c>
      <c r="EN622" s="27" t="s">
        <v>7</v>
      </c>
      <c r="FM622" s="27" t="s">
        <v>8</v>
      </c>
      <c r="FN622" s="27" t="s">
        <v>7</v>
      </c>
      <c r="FO622" s="27" t="s">
        <v>8</v>
      </c>
      <c r="FP622" s="27" t="s">
        <v>7</v>
      </c>
      <c r="FQ622" s="27" t="s">
        <v>8</v>
      </c>
      <c r="FR622" s="27" t="s">
        <v>7</v>
      </c>
      <c r="FS622" s="27" t="s">
        <v>8</v>
      </c>
      <c r="FT622" s="27" t="s">
        <v>7</v>
      </c>
      <c r="FU622" s="27" t="s">
        <v>8</v>
      </c>
    </row>
    <row r="623" spans="1:217" x14ac:dyDescent="0.25">
      <c r="A623" s="7">
        <v>0.49022315035225228</v>
      </c>
      <c r="B623"/>
      <c r="C623"/>
      <c r="D623"/>
      <c r="E623"/>
      <c r="F623" s="27" t="s">
        <v>7</v>
      </c>
      <c r="DA623" s="27" t="s">
        <v>8</v>
      </c>
      <c r="DB623" s="27" t="s">
        <v>7</v>
      </c>
      <c r="DC623" s="27" t="s">
        <v>8</v>
      </c>
      <c r="DX623" s="27" t="s">
        <v>7</v>
      </c>
      <c r="DY623" s="27" t="s">
        <v>8</v>
      </c>
      <c r="DZ623" s="27" t="s">
        <v>7</v>
      </c>
      <c r="EA623" s="27" t="s">
        <v>8</v>
      </c>
      <c r="EB623" s="27" t="s">
        <v>7</v>
      </c>
      <c r="EC623" s="27" t="s">
        <v>8</v>
      </c>
      <c r="EJ623" s="27" t="s">
        <v>7</v>
      </c>
      <c r="EK623" s="27" t="s">
        <v>8</v>
      </c>
      <c r="EL623" s="27" t="s">
        <v>7</v>
      </c>
      <c r="EM623" s="27" t="s">
        <v>8</v>
      </c>
      <c r="EN623" s="27" t="s">
        <v>7</v>
      </c>
      <c r="FM623" s="27" t="s">
        <v>8</v>
      </c>
      <c r="FN623" s="27" t="s">
        <v>7</v>
      </c>
      <c r="FO623" s="27" t="s">
        <v>8</v>
      </c>
      <c r="FP623" s="27" t="s">
        <v>7</v>
      </c>
      <c r="FQ623" s="27" t="s">
        <v>8</v>
      </c>
      <c r="FR623" s="27" t="s">
        <v>7</v>
      </c>
      <c r="FS623" s="27" t="s">
        <v>8</v>
      </c>
      <c r="FT623" s="27" t="s">
        <v>7</v>
      </c>
      <c r="FU623" s="27" t="s">
        <v>8</v>
      </c>
    </row>
    <row r="624" spans="1:217" x14ac:dyDescent="0.25">
      <c r="A624" s="7">
        <v>0.48061093171789437</v>
      </c>
      <c r="B624"/>
      <c r="C624"/>
      <c r="D624"/>
      <c r="E624"/>
      <c r="F624" s="27" t="s">
        <v>7</v>
      </c>
      <c r="DA624" s="27" t="s">
        <v>8</v>
      </c>
      <c r="DB624" s="27" t="s">
        <v>7</v>
      </c>
      <c r="DC624" s="27" t="s">
        <v>8</v>
      </c>
      <c r="DX624" s="27" t="s">
        <v>7</v>
      </c>
      <c r="DY624" s="27" t="s">
        <v>8</v>
      </c>
      <c r="DZ624" s="27" t="s">
        <v>7</v>
      </c>
      <c r="EA624" s="27" t="s">
        <v>8</v>
      </c>
      <c r="EB624" s="27" t="s">
        <v>7</v>
      </c>
      <c r="EC624" s="27" t="s">
        <v>8</v>
      </c>
      <c r="EJ624" s="27" t="s">
        <v>7</v>
      </c>
      <c r="EK624" s="27" t="s">
        <v>8</v>
      </c>
      <c r="EL624" s="27" t="s">
        <v>7</v>
      </c>
      <c r="EM624" s="27" t="s">
        <v>8</v>
      </c>
      <c r="EN624" s="27" t="s">
        <v>7</v>
      </c>
      <c r="FM624" s="27" t="s">
        <v>8</v>
      </c>
      <c r="FN624" s="27" t="s">
        <v>7</v>
      </c>
      <c r="FO624" s="27" t="s">
        <v>8</v>
      </c>
      <c r="FP624" s="27" t="s">
        <v>7</v>
      </c>
      <c r="FQ624" s="27" t="s">
        <v>8</v>
      </c>
      <c r="FR624" s="27" t="s">
        <v>7</v>
      </c>
      <c r="FS624" s="27" t="s">
        <v>8</v>
      </c>
      <c r="FT624" s="27" t="s">
        <v>7</v>
      </c>
      <c r="FU624" s="27" t="s">
        <v>8</v>
      </c>
    </row>
    <row r="625" spans="1:177" x14ac:dyDescent="0.25">
      <c r="A625" s="7">
        <v>0.47118718795871994</v>
      </c>
      <c r="B625"/>
      <c r="C625"/>
      <c r="D625"/>
      <c r="E625"/>
      <c r="F625" s="27" t="s">
        <v>7</v>
      </c>
      <c r="DA625" s="27" t="s">
        <v>8</v>
      </c>
      <c r="DB625" s="27" t="s">
        <v>7</v>
      </c>
      <c r="DC625" s="27" t="s">
        <v>8</v>
      </c>
      <c r="DX625" s="27" t="s">
        <v>7</v>
      </c>
      <c r="DZ625" s="27" t="s">
        <v>7</v>
      </c>
      <c r="EA625" s="27" t="s">
        <v>8</v>
      </c>
      <c r="EB625" s="27" t="s">
        <v>7</v>
      </c>
      <c r="EC625" s="27" t="s">
        <v>8</v>
      </c>
      <c r="EJ625" s="27" t="s">
        <v>7</v>
      </c>
      <c r="EK625" s="27" t="s">
        <v>8</v>
      </c>
      <c r="EL625" s="27" t="s">
        <v>7</v>
      </c>
      <c r="EM625" s="27" t="s">
        <v>8</v>
      </c>
      <c r="EN625" s="27" t="s">
        <v>7</v>
      </c>
      <c r="EQ625" s="27" t="s">
        <v>8</v>
      </c>
      <c r="FM625" s="27" t="s">
        <v>8</v>
      </c>
      <c r="FN625" s="27" t="s">
        <v>7</v>
      </c>
      <c r="FO625" s="27" t="s">
        <v>8</v>
      </c>
      <c r="FP625" s="27" t="s">
        <v>7</v>
      </c>
      <c r="FQ625" s="27" t="s">
        <v>8</v>
      </c>
      <c r="FR625" s="27" t="s">
        <v>7</v>
      </c>
      <c r="FS625" s="27" t="s">
        <v>8</v>
      </c>
      <c r="FT625" s="27" t="s">
        <v>7</v>
      </c>
      <c r="FU625" s="27" t="s">
        <v>8</v>
      </c>
    </row>
    <row r="626" spans="1:177" x14ac:dyDescent="0.25">
      <c r="A626" s="7">
        <v>0.46194822348894116</v>
      </c>
      <c r="B626"/>
      <c r="C626"/>
      <c r="D626"/>
      <c r="E626"/>
      <c r="F626" s="27" t="s">
        <v>7</v>
      </c>
      <c r="DA626" s="27" t="s">
        <v>8</v>
      </c>
      <c r="DB626" s="27" t="s">
        <v>7</v>
      </c>
      <c r="DC626" s="27" t="s">
        <v>8</v>
      </c>
      <c r="DZ626" s="27" t="s">
        <v>7</v>
      </c>
      <c r="EA626" s="27" t="s">
        <v>8</v>
      </c>
      <c r="EB626" s="27" t="s">
        <v>7</v>
      </c>
      <c r="EC626" s="27" t="s">
        <v>8</v>
      </c>
      <c r="EJ626" s="27" t="s">
        <v>7</v>
      </c>
      <c r="EK626" s="27" t="s">
        <v>8</v>
      </c>
      <c r="EL626" s="27" t="s">
        <v>7</v>
      </c>
      <c r="EM626" s="27" t="s">
        <v>8</v>
      </c>
      <c r="EN626" s="27" t="s">
        <v>7</v>
      </c>
      <c r="EQ626" s="27" t="s">
        <v>8</v>
      </c>
      <c r="ER626" s="27" t="s">
        <v>7</v>
      </c>
      <c r="FM626" s="27" t="s">
        <v>8</v>
      </c>
      <c r="FN626" s="27" t="s">
        <v>7</v>
      </c>
      <c r="FO626" s="27" t="s">
        <v>8</v>
      </c>
      <c r="FP626" s="27" t="s">
        <v>7</v>
      </c>
      <c r="FQ626" s="27" t="s">
        <v>8</v>
      </c>
      <c r="FR626" s="27" t="s">
        <v>7</v>
      </c>
      <c r="FS626" s="27" t="s">
        <v>8</v>
      </c>
      <c r="FT626" s="27" t="s">
        <v>7</v>
      </c>
      <c r="FU626" s="27" t="s">
        <v>8</v>
      </c>
    </row>
    <row r="627" spans="1:177" x14ac:dyDescent="0.25">
      <c r="A627" s="7">
        <v>0.45289041518523643</v>
      </c>
      <c r="B627"/>
      <c r="C627"/>
      <c r="D627"/>
      <c r="E627"/>
      <c r="F627" s="27" t="s">
        <v>7</v>
      </c>
      <c r="DA627" s="27" t="s">
        <v>8</v>
      </c>
      <c r="DB627" s="27" t="s">
        <v>7</v>
      </c>
      <c r="DZ627" s="27" t="s">
        <v>7</v>
      </c>
      <c r="EB627" s="27" t="s">
        <v>7</v>
      </c>
      <c r="EC627" s="27" t="s">
        <v>8</v>
      </c>
      <c r="EJ627" s="27" t="s">
        <v>7</v>
      </c>
      <c r="EK627" s="27" t="s">
        <v>8</v>
      </c>
      <c r="EL627" s="27" t="s">
        <v>7</v>
      </c>
      <c r="EM627" s="27" t="s">
        <v>8</v>
      </c>
      <c r="EN627" s="27" t="s">
        <v>7</v>
      </c>
      <c r="EQ627" s="27" t="s">
        <v>8</v>
      </c>
      <c r="ER627" s="27" t="s">
        <v>7</v>
      </c>
      <c r="FM627" s="27" t="s">
        <v>8</v>
      </c>
      <c r="FN627" s="27" t="s">
        <v>7</v>
      </c>
      <c r="FO627" s="27" t="s">
        <v>8</v>
      </c>
      <c r="FP627" s="27" t="s">
        <v>7</v>
      </c>
      <c r="FQ627" s="27" t="s">
        <v>8</v>
      </c>
      <c r="FR627" s="27" t="s">
        <v>7</v>
      </c>
      <c r="FS627" s="27" t="s">
        <v>8</v>
      </c>
      <c r="FT627" s="27" t="s">
        <v>7</v>
      </c>
      <c r="FU627" s="27" t="s">
        <v>8</v>
      </c>
    </row>
    <row r="628" spans="1:177" x14ac:dyDescent="0.25">
      <c r="A628" s="7">
        <v>0.44401021096591808</v>
      </c>
      <c r="B628"/>
      <c r="C628"/>
      <c r="D628"/>
      <c r="E628"/>
      <c r="F628" s="27" t="s">
        <v>7</v>
      </c>
      <c r="DA628" s="27" t="s">
        <v>8</v>
      </c>
      <c r="EB628" s="27" t="s">
        <v>7</v>
      </c>
      <c r="EC628" s="27" t="s">
        <v>8</v>
      </c>
      <c r="EJ628" s="27" t="s">
        <v>7</v>
      </c>
      <c r="EK628" s="27" t="s">
        <v>8</v>
      </c>
      <c r="EL628" s="27" t="s">
        <v>7</v>
      </c>
      <c r="EM628" s="27" t="s">
        <v>8</v>
      </c>
      <c r="EN628" s="27" t="s">
        <v>7</v>
      </c>
      <c r="EQ628" s="27" t="s">
        <v>8</v>
      </c>
      <c r="ER628" s="27" t="s">
        <v>7</v>
      </c>
      <c r="FM628" s="27" t="s">
        <v>8</v>
      </c>
      <c r="FN628" s="27" t="s">
        <v>7</v>
      </c>
      <c r="FO628" s="27" t="s">
        <v>8</v>
      </c>
      <c r="FP628" s="27" t="s">
        <v>7</v>
      </c>
      <c r="FQ628" s="27" t="s">
        <v>8</v>
      </c>
      <c r="FR628" s="27" t="s">
        <v>7</v>
      </c>
      <c r="FS628" s="27" t="s">
        <v>8</v>
      </c>
      <c r="FT628" s="27" t="s">
        <v>7</v>
      </c>
      <c r="FU628" s="27" t="s">
        <v>8</v>
      </c>
    </row>
    <row r="629" spans="1:177" x14ac:dyDescent="0.25">
      <c r="A629" s="7">
        <v>0.4353041283979589</v>
      </c>
      <c r="B629"/>
      <c r="C629"/>
      <c r="D629"/>
      <c r="E629"/>
      <c r="F629" s="27" t="s">
        <v>7</v>
      </c>
      <c r="DA629" s="27" t="s">
        <v>8</v>
      </c>
      <c r="EB629" s="27" t="s">
        <v>7</v>
      </c>
      <c r="EC629" s="27" t="s">
        <v>8</v>
      </c>
      <c r="EJ629" s="27" t="s">
        <v>7</v>
      </c>
      <c r="EL629" s="27" t="s">
        <v>7</v>
      </c>
      <c r="EM629" s="27" t="s">
        <v>8</v>
      </c>
      <c r="EN629" s="27" t="s">
        <v>7</v>
      </c>
      <c r="EQ629" s="27" t="s">
        <v>8</v>
      </c>
      <c r="ER629" s="27" t="s">
        <v>7</v>
      </c>
      <c r="FM629" s="27" t="s">
        <v>8</v>
      </c>
      <c r="FN629" s="27" t="s">
        <v>7</v>
      </c>
      <c r="FO629" s="27" t="s">
        <v>8</v>
      </c>
      <c r="FP629" s="27" t="s">
        <v>7</v>
      </c>
      <c r="FQ629" s="27" t="s">
        <v>8</v>
      </c>
      <c r="FR629" s="27" t="s">
        <v>7</v>
      </c>
      <c r="FS629" s="27" t="s">
        <v>8</v>
      </c>
      <c r="FT629" s="27" t="s">
        <v>7</v>
      </c>
      <c r="FU629" s="27" t="s">
        <v>8</v>
      </c>
    </row>
    <row r="630" spans="1:177" x14ac:dyDescent="0.25">
      <c r="A630" s="7">
        <v>0.4267687533313323</v>
      </c>
      <c r="B630"/>
      <c r="C630"/>
      <c r="D630"/>
      <c r="E630"/>
      <c r="F630" s="27" t="s">
        <v>7</v>
      </c>
      <c r="CY630" s="27" t="s">
        <v>8</v>
      </c>
      <c r="DA630" s="27" t="s">
        <v>8</v>
      </c>
      <c r="EB630" s="27" t="s">
        <v>7</v>
      </c>
      <c r="EC630" s="27" t="s">
        <v>8</v>
      </c>
      <c r="EL630" s="27" t="s">
        <v>7</v>
      </c>
      <c r="EM630" s="27" t="s">
        <v>8</v>
      </c>
      <c r="EN630" s="27" t="s">
        <v>7</v>
      </c>
      <c r="EQ630" s="27" t="s">
        <v>8</v>
      </c>
      <c r="ER630" s="27" t="s">
        <v>7</v>
      </c>
      <c r="FM630" s="27" t="s">
        <v>8</v>
      </c>
      <c r="FN630" s="27" t="s">
        <v>7</v>
      </c>
      <c r="FO630" s="27" t="s">
        <v>8</v>
      </c>
      <c r="FP630" s="27" t="s">
        <v>7</v>
      </c>
      <c r="FQ630" s="27" t="s">
        <v>8</v>
      </c>
      <c r="FR630" s="27" t="s">
        <v>7</v>
      </c>
      <c r="FT630" s="27" t="s">
        <v>7</v>
      </c>
      <c r="FU630" s="27" t="s">
        <v>8</v>
      </c>
    </row>
    <row r="631" spans="1:177" x14ac:dyDescent="0.25">
      <c r="A631" s="7">
        <v>0.41840073856012971</v>
      </c>
      <c r="B631"/>
      <c r="C631"/>
      <c r="D631"/>
      <c r="E631"/>
      <c r="F631" s="27" t="s">
        <v>7</v>
      </c>
      <c r="CY631" s="27" t="s">
        <v>8</v>
      </c>
      <c r="CZ631" s="27" t="s">
        <v>7</v>
      </c>
      <c r="DA631" s="27" t="s">
        <v>8</v>
      </c>
      <c r="EB631" s="27" t="s">
        <v>7</v>
      </c>
      <c r="EC631" s="27" t="s">
        <v>8</v>
      </c>
      <c r="EL631" s="27" t="s">
        <v>7</v>
      </c>
      <c r="EM631" s="27" t="s">
        <v>8</v>
      </c>
      <c r="EN631" s="27" t="s">
        <v>7</v>
      </c>
      <c r="EO631" s="27" t="s">
        <v>8</v>
      </c>
      <c r="EQ631" s="27" t="s">
        <v>8</v>
      </c>
      <c r="ER631" s="27" t="s">
        <v>7</v>
      </c>
      <c r="FM631" s="27" t="s">
        <v>8</v>
      </c>
      <c r="FN631" s="27" t="s">
        <v>7</v>
      </c>
      <c r="FO631" s="27" t="s">
        <v>8</v>
      </c>
      <c r="FP631" s="27" t="s">
        <v>7</v>
      </c>
      <c r="FQ631" s="27" t="s">
        <v>8</v>
      </c>
      <c r="FT631" s="18" t="s">
        <v>7</v>
      </c>
      <c r="FU631" s="27" t="s">
        <v>8</v>
      </c>
    </row>
    <row r="632" spans="1:177" x14ac:dyDescent="0.25">
      <c r="A632" s="7">
        <v>0.41019680250993112</v>
      </c>
      <c r="B632"/>
      <c r="C632"/>
      <c r="D632"/>
      <c r="E632"/>
      <c r="F632" s="27" t="s">
        <v>7</v>
      </c>
      <c r="CY632" s="27" t="s">
        <v>8</v>
      </c>
      <c r="CZ632" s="27" t="s">
        <v>7</v>
      </c>
      <c r="DA632" s="27" t="s">
        <v>8</v>
      </c>
      <c r="EB632" s="27" t="s">
        <v>7</v>
      </c>
      <c r="EC632" s="27" t="s">
        <v>8</v>
      </c>
      <c r="EL632" s="27" t="s">
        <v>7</v>
      </c>
      <c r="EM632" s="27" t="s">
        <v>8</v>
      </c>
      <c r="EN632" s="27" t="s">
        <v>7</v>
      </c>
      <c r="EO632" s="27" t="s">
        <v>8</v>
      </c>
      <c r="EP632" s="27" t="s">
        <v>7</v>
      </c>
      <c r="EQ632" s="27" t="s">
        <v>8</v>
      </c>
      <c r="ER632" s="27" t="s">
        <v>7</v>
      </c>
      <c r="FM632" s="27" t="s">
        <v>8</v>
      </c>
      <c r="FN632" s="27" t="s">
        <v>7</v>
      </c>
      <c r="FO632" s="27" t="s">
        <v>8</v>
      </c>
      <c r="FP632" s="27" t="s">
        <v>7</v>
      </c>
      <c r="FQ632" s="27" t="s">
        <v>8</v>
      </c>
      <c r="FT632" s="27" t="s">
        <v>7</v>
      </c>
      <c r="FU632" s="27" t="s">
        <v>8</v>
      </c>
    </row>
    <row r="633" spans="1:177" x14ac:dyDescent="0.25">
      <c r="A633" s="7">
        <v>0.40215372795091286</v>
      </c>
      <c r="B633"/>
      <c r="C633"/>
      <c r="D633"/>
      <c r="E633"/>
      <c r="F633" s="27" t="s">
        <v>7</v>
      </c>
      <c r="CY633" s="27" t="s">
        <v>8</v>
      </c>
      <c r="CZ633" s="27" t="s">
        <v>7</v>
      </c>
      <c r="DA633" s="27" t="s">
        <v>8</v>
      </c>
      <c r="EB633" s="27" t="s">
        <v>7</v>
      </c>
      <c r="EC633" s="27" t="s">
        <v>8</v>
      </c>
      <c r="EL633" s="27" t="s">
        <v>7</v>
      </c>
      <c r="EM633" s="27" t="s">
        <v>8</v>
      </c>
      <c r="EN633" s="27" t="s">
        <v>7</v>
      </c>
      <c r="EO633" s="27" t="s">
        <v>8</v>
      </c>
      <c r="EP633" s="27" t="s">
        <v>7</v>
      </c>
      <c r="EQ633" s="27" t="s">
        <v>8</v>
      </c>
      <c r="ER633" s="27" t="s">
        <v>7</v>
      </c>
      <c r="FM633" s="27" t="s">
        <v>8</v>
      </c>
      <c r="FN633" s="27" t="s">
        <v>7</v>
      </c>
      <c r="FO633" s="27" t="s">
        <v>8</v>
      </c>
      <c r="FP633" s="27" t="s">
        <v>7</v>
      </c>
      <c r="FQ633" s="27" t="s">
        <v>8</v>
      </c>
      <c r="FT633" s="27" t="s">
        <v>7</v>
      </c>
      <c r="FU633" s="27" t="s">
        <v>8</v>
      </c>
    </row>
    <row r="634" spans="1:177" x14ac:dyDescent="0.25">
      <c r="A634" s="7">
        <v>0.39426836073618904</v>
      </c>
      <c r="B634"/>
      <c r="C634"/>
      <c r="D634"/>
      <c r="E634"/>
      <c r="F634" s="27" t="s">
        <v>7</v>
      </c>
      <c r="CY634" s="27" t="s">
        <v>8</v>
      </c>
      <c r="CZ634" s="27" t="s">
        <v>7</v>
      </c>
      <c r="DA634" s="27" t="s">
        <v>8</v>
      </c>
      <c r="EB634" s="27" t="s">
        <v>7</v>
      </c>
      <c r="EC634" s="27" t="s">
        <v>8</v>
      </c>
      <c r="EL634" s="27" t="s">
        <v>7</v>
      </c>
      <c r="EN634" s="27" t="s">
        <v>7</v>
      </c>
      <c r="EO634" s="27" t="s">
        <v>8</v>
      </c>
      <c r="EP634" s="27" t="s">
        <v>7</v>
      </c>
      <c r="EQ634" s="27" t="s">
        <v>8</v>
      </c>
      <c r="ER634" s="27" t="s">
        <v>7</v>
      </c>
      <c r="FM634" s="27" t="s">
        <v>8</v>
      </c>
      <c r="FN634" s="27" t="s">
        <v>7</v>
      </c>
      <c r="FO634" s="27" t="s">
        <v>8</v>
      </c>
      <c r="FP634" s="27" t="s">
        <v>7</v>
      </c>
      <c r="FQ634" s="27" t="s">
        <v>8</v>
      </c>
      <c r="FT634" s="27" t="s">
        <v>7</v>
      </c>
      <c r="FU634" s="27" t="s">
        <v>8</v>
      </c>
    </row>
    <row r="635" spans="1:177" x14ac:dyDescent="0.25">
      <c r="A635" s="7">
        <v>0.38653760856489122</v>
      </c>
      <c r="B635"/>
      <c r="C635"/>
      <c r="D635"/>
      <c r="E635"/>
      <c r="F635" s="27" t="s">
        <v>7</v>
      </c>
      <c r="CY635" s="27" t="s">
        <v>8</v>
      </c>
      <c r="CZ635" s="27" t="s">
        <v>7</v>
      </c>
      <c r="DA635" s="27" t="s">
        <v>8</v>
      </c>
      <c r="EB635" s="27" t="s">
        <v>7</v>
      </c>
      <c r="EC635" s="27" t="s">
        <v>8</v>
      </c>
      <c r="EN635" s="27" t="s">
        <v>7</v>
      </c>
      <c r="EO635" s="27" t="s">
        <v>8</v>
      </c>
      <c r="EP635" s="27" t="s">
        <v>7</v>
      </c>
      <c r="EQ635" s="27" t="s">
        <v>8</v>
      </c>
      <c r="ER635" s="27" t="s">
        <v>7</v>
      </c>
      <c r="EU635" s="27" t="s">
        <v>8</v>
      </c>
      <c r="FM635" s="27" t="s">
        <v>8</v>
      </c>
      <c r="FN635" s="27" t="s">
        <v>7</v>
      </c>
      <c r="FO635" s="27" t="s">
        <v>8</v>
      </c>
      <c r="FP635" s="27" t="s">
        <v>7</v>
      </c>
      <c r="FT635" s="27" t="s">
        <v>7</v>
      </c>
      <c r="FU635" s="27" t="s">
        <v>8</v>
      </c>
    </row>
    <row r="636" spans="1:177" x14ac:dyDescent="0.25">
      <c r="A636" s="7">
        <v>0.37895843976950117</v>
      </c>
      <c r="B636"/>
      <c r="C636"/>
      <c r="D636"/>
      <c r="E636"/>
      <c r="F636" s="27" t="s">
        <v>7</v>
      </c>
      <c r="CY636" s="27" t="s">
        <v>8</v>
      </c>
      <c r="CZ636" s="27" t="s">
        <v>7</v>
      </c>
      <c r="DA636" s="27" t="s">
        <v>8</v>
      </c>
      <c r="EB636" s="27" t="s">
        <v>7</v>
      </c>
      <c r="EC636" s="27" t="s">
        <v>8</v>
      </c>
      <c r="EN636" s="27" t="s">
        <v>7</v>
      </c>
      <c r="EO636" s="27" t="s">
        <v>8</v>
      </c>
      <c r="EP636" s="27" t="s">
        <v>7</v>
      </c>
      <c r="EQ636" s="27" t="s">
        <v>8</v>
      </c>
      <c r="ER636" s="27" t="s">
        <v>7</v>
      </c>
      <c r="EU636" s="27" t="s">
        <v>8</v>
      </c>
      <c r="EV636" s="27" t="s">
        <v>7</v>
      </c>
      <c r="FM636" s="27" t="s">
        <v>8</v>
      </c>
      <c r="FN636" s="27" t="s">
        <v>7</v>
      </c>
      <c r="FO636" s="27" t="s">
        <v>8</v>
      </c>
      <c r="FT636" s="27" t="s">
        <v>7</v>
      </c>
      <c r="FU636" s="27" t="s">
        <v>8</v>
      </c>
    </row>
    <row r="637" spans="1:177" x14ac:dyDescent="0.25">
      <c r="A637" s="7">
        <v>0.37152788212696197</v>
      </c>
      <c r="B637"/>
      <c r="C637"/>
      <c r="D637"/>
      <c r="E637"/>
      <c r="F637" s="27" t="s">
        <v>7</v>
      </c>
      <c r="CY637" s="27" t="s">
        <v>8</v>
      </c>
      <c r="CZ637" s="27" t="s">
        <v>7</v>
      </c>
      <c r="DA637" s="27" t="s">
        <v>8</v>
      </c>
      <c r="EB637" s="27" t="s">
        <v>7</v>
      </c>
      <c r="EC637" s="27" t="s">
        <v>8</v>
      </c>
      <c r="EN637" s="27" t="s">
        <v>7</v>
      </c>
      <c r="EO637" s="27" t="s">
        <v>8</v>
      </c>
      <c r="EP637" s="27" t="s">
        <v>7</v>
      </c>
      <c r="EQ637" s="27" t="s">
        <v>8</v>
      </c>
      <c r="ER637" s="27" t="s">
        <v>7</v>
      </c>
      <c r="EU637" s="27" t="s">
        <v>8</v>
      </c>
      <c r="EV637" s="27" t="s">
        <v>7</v>
      </c>
      <c r="FM637" s="27" t="s">
        <v>8</v>
      </c>
      <c r="FN637" s="27" t="s">
        <v>7</v>
      </c>
      <c r="FT637" s="27" t="s">
        <v>7</v>
      </c>
      <c r="FU637" s="27" t="s">
        <v>8</v>
      </c>
    </row>
    <row r="638" spans="1:177" x14ac:dyDescent="0.25">
      <c r="A638" s="7">
        <v>0.36424302169310002</v>
      </c>
      <c r="B638"/>
      <c r="C638"/>
      <c r="D638"/>
      <c r="E638"/>
      <c r="F638" s="27" t="s">
        <v>7</v>
      </c>
      <c r="CS638" s="27" t="s">
        <v>8</v>
      </c>
      <c r="CY638" s="27" t="s">
        <v>8</v>
      </c>
      <c r="CZ638" s="27" t="s">
        <v>7</v>
      </c>
      <c r="DA638" s="27" t="s">
        <v>8</v>
      </c>
      <c r="EB638" s="27" t="s">
        <v>7</v>
      </c>
      <c r="EC638" s="27" t="s">
        <v>8</v>
      </c>
      <c r="EN638" s="27" t="s">
        <v>7</v>
      </c>
      <c r="EO638" s="27" t="s">
        <v>8</v>
      </c>
      <c r="EP638" s="27" t="s">
        <v>7</v>
      </c>
      <c r="EQ638" s="27" t="s">
        <v>8</v>
      </c>
      <c r="ER638" s="27" t="s">
        <v>7</v>
      </c>
      <c r="EU638" s="27" t="s">
        <v>8</v>
      </c>
      <c r="EV638" s="27" t="s">
        <v>7</v>
      </c>
      <c r="EY638" s="27" t="s">
        <v>8</v>
      </c>
      <c r="FM638" s="27" t="s">
        <v>8</v>
      </c>
      <c r="FT638" s="27" t="s">
        <v>7</v>
      </c>
    </row>
    <row r="639" spans="1:177" x14ac:dyDescent="0.25">
      <c r="A639" s="7">
        <v>0.35710100165990194</v>
      </c>
      <c r="B639"/>
      <c r="C639"/>
      <c r="D639"/>
      <c r="E639"/>
      <c r="F639" s="27" t="s">
        <v>7</v>
      </c>
      <c r="CS639" s="27" t="s">
        <v>8</v>
      </c>
      <c r="CT639" s="27" t="s">
        <v>7</v>
      </c>
      <c r="CY639" s="27" t="s">
        <v>8</v>
      </c>
      <c r="CZ639" s="27" t="s">
        <v>7</v>
      </c>
      <c r="DA639" s="27" t="s">
        <v>8</v>
      </c>
      <c r="EB639" s="27" t="s">
        <v>7</v>
      </c>
      <c r="EC639" s="27" t="s">
        <v>8</v>
      </c>
      <c r="EN639" s="27" t="s">
        <v>7</v>
      </c>
      <c r="EP639" s="27" t="s">
        <v>7</v>
      </c>
      <c r="EQ639" s="27" t="s">
        <v>8</v>
      </c>
      <c r="ER639" s="27" t="s">
        <v>7</v>
      </c>
      <c r="EU639" s="27" t="s">
        <v>8</v>
      </c>
      <c r="EV639" s="27" t="s">
        <v>7</v>
      </c>
      <c r="EY639" s="27" t="s">
        <v>8</v>
      </c>
      <c r="EZ639" s="27" t="s">
        <v>7</v>
      </c>
      <c r="FM639" s="27" t="s">
        <v>8</v>
      </c>
    </row>
    <row r="640" spans="1:177" x14ac:dyDescent="0.25">
      <c r="A640" s="7">
        <v>0.35009902123519804</v>
      </c>
      <c r="B640"/>
      <c r="C640"/>
      <c r="D640"/>
      <c r="E640"/>
      <c r="F640" s="27" t="s">
        <v>7</v>
      </c>
      <c r="CS640" s="27" t="s">
        <v>8</v>
      </c>
      <c r="CT640" s="27" t="s">
        <v>7</v>
      </c>
      <c r="CY640" s="27" t="s">
        <v>8</v>
      </c>
      <c r="CZ640" s="27" t="s">
        <v>7</v>
      </c>
      <c r="DA640" s="27" t="s">
        <v>8</v>
      </c>
      <c r="EB640" s="27" t="s">
        <v>7</v>
      </c>
      <c r="EC640" s="27" t="s">
        <v>8</v>
      </c>
      <c r="EP640" s="27" t="s">
        <v>7</v>
      </c>
      <c r="EQ640" s="27" t="s">
        <v>8</v>
      </c>
      <c r="ER640" s="27" t="s">
        <v>7</v>
      </c>
      <c r="EU640" s="27" t="s">
        <v>8</v>
      </c>
      <c r="EV640" s="27" t="s">
        <v>7</v>
      </c>
      <c r="EY640" s="27" t="s">
        <v>8</v>
      </c>
      <c r="EZ640" s="27" t="s">
        <v>7</v>
      </c>
      <c r="FM640" s="27" t="s">
        <v>8</v>
      </c>
    </row>
    <row r="641" spans="1:169" x14ac:dyDescent="0.25">
      <c r="A641" s="7">
        <v>0.34323433454431179</v>
      </c>
      <c r="B641"/>
      <c r="C641"/>
      <c r="D641"/>
      <c r="E641"/>
      <c r="F641" s="27" t="s">
        <v>7</v>
      </c>
      <c r="CQ641" s="27" t="s">
        <v>8</v>
      </c>
      <c r="CS641" s="27" t="s">
        <v>8</v>
      </c>
      <c r="CT641" s="27" t="s">
        <v>7</v>
      </c>
      <c r="CY641" s="27" t="s">
        <v>8</v>
      </c>
      <c r="CZ641" s="27" t="s">
        <v>7</v>
      </c>
      <c r="DA641" s="27" t="s">
        <v>8</v>
      </c>
      <c r="EB641" s="27" t="s">
        <v>7</v>
      </c>
      <c r="EC641" s="27" t="s">
        <v>8</v>
      </c>
      <c r="EP641" s="27" t="s">
        <v>7</v>
      </c>
      <c r="EQ641" s="27" t="s">
        <v>8</v>
      </c>
      <c r="ER641" s="27" t="s">
        <v>7</v>
      </c>
      <c r="EU641" s="27" t="s">
        <v>8</v>
      </c>
      <c r="EV641" s="27" t="s">
        <v>7</v>
      </c>
      <c r="EY641" s="27" t="s">
        <v>8</v>
      </c>
      <c r="EZ641" s="27" t="s">
        <v>7</v>
      </c>
      <c r="FA641" s="27" t="s">
        <v>8</v>
      </c>
      <c r="FC641" s="27" t="s">
        <v>8</v>
      </c>
      <c r="FM641" s="27" t="s">
        <v>8</v>
      </c>
    </row>
    <row r="642" spans="1:169" x14ac:dyDescent="0.25">
      <c r="A642" s="7">
        <v>0.33650424955324681</v>
      </c>
      <c r="B642"/>
      <c r="C642"/>
      <c r="D642"/>
      <c r="E642"/>
      <c r="F642" s="27" t="s">
        <v>7</v>
      </c>
      <c r="CQ642" s="27" t="s">
        <v>8</v>
      </c>
      <c r="CR642" s="27" t="s">
        <v>7</v>
      </c>
      <c r="CS642" s="27" t="s">
        <v>8</v>
      </c>
      <c r="CT642" s="27" t="s">
        <v>7</v>
      </c>
      <c r="CY642" s="27" t="s">
        <v>8</v>
      </c>
      <c r="CZ642" s="27" t="s">
        <v>7</v>
      </c>
      <c r="DA642" s="27" t="s">
        <v>8</v>
      </c>
      <c r="EB642" s="27" t="s">
        <v>7</v>
      </c>
      <c r="EP642" s="27" t="s">
        <v>7</v>
      </c>
      <c r="EQ642" s="27" t="s">
        <v>8</v>
      </c>
      <c r="ER642" s="27" t="s">
        <v>7</v>
      </c>
      <c r="EU642" s="27" t="s">
        <v>8</v>
      </c>
      <c r="EV642" s="27" t="s">
        <v>7</v>
      </c>
      <c r="EY642" s="27" t="s">
        <v>8</v>
      </c>
      <c r="EZ642" s="27" t="s">
        <v>7</v>
      </c>
      <c r="FA642" s="27" t="s">
        <v>8</v>
      </c>
      <c r="FB642" s="27" t="s">
        <v>7</v>
      </c>
      <c r="FC642" s="27" t="s">
        <v>8</v>
      </c>
      <c r="FD642" s="27" t="s">
        <v>7</v>
      </c>
      <c r="FM642" s="27" t="s">
        <v>8</v>
      </c>
    </row>
    <row r="643" spans="1:169" x14ac:dyDescent="0.25">
      <c r="A643" s="7">
        <v>0.3299061270129871</v>
      </c>
      <c r="B643"/>
      <c r="C643"/>
      <c r="D643"/>
      <c r="E643"/>
      <c r="F643" s="27" t="s">
        <v>7</v>
      </c>
      <c r="CQ643" s="27" t="s">
        <v>8</v>
      </c>
      <c r="CR643" s="27" t="s">
        <v>7</v>
      </c>
      <c r="CS643" s="27" t="s">
        <v>8</v>
      </c>
      <c r="CT643" s="27" t="s">
        <v>7</v>
      </c>
      <c r="CY643" s="27" t="s">
        <v>8</v>
      </c>
      <c r="CZ643" s="27" t="s">
        <v>7</v>
      </c>
      <c r="DA643" s="27" t="s">
        <v>8</v>
      </c>
      <c r="EP643" s="27" t="s">
        <v>7</v>
      </c>
      <c r="EQ643" s="27" t="s">
        <v>8</v>
      </c>
      <c r="ER643" s="27" t="s">
        <v>7</v>
      </c>
      <c r="EU643" s="27" t="s">
        <v>8</v>
      </c>
      <c r="EV643" s="27" t="s">
        <v>7</v>
      </c>
      <c r="EW643" s="27" t="s">
        <v>8</v>
      </c>
      <c r="EY643" s="27" t="s">
        <v>8</v>
      </c>
      <c r="EZ643" s="27" t="s">
        <v>7</v>
      </c>
      <c r="FA643" s="27" t="s">
        <v>8</v>
      </c>
      <c r="FB643" s="27" t="s">
        <v>7</v>
      </c>
      <c r="FC643" s="27" t="s">
        <v>8</v>
      </c>
      <c r="FD643" s="27" t="s">
        <v>7</v>
      </c>
      <c r="FM643" s="27" t="s">
        <v>8</v>
      </c>
    </row>
    <row r="644" spans="1:169" x14ac:dyDescent="0.25">
      <c r="A644" s="7">
        <v>0.32343737942449713</v>
      </c>
      <c r="B644"/>
      <c r="C644"/>
      <c r="D644"/>
      <c r="E644"/>
      <c r="F644" s="27" t="s">
        <v>7</v>
      </c>
      <c r="CQ644" s="27" t="s">
        <v>8</v>
      </c>
      <c r="CR644" s="27" t="s">
        <v>7</v>
      </c>
      <c r="CS644" s="27" t="s">
        <v>8</v>
      </c>
      <c r="CT644" s="27" t="s">
        <v>7</v>
      </c>
      <c r="CY644" s="27" t="s">
        <v>8</v>
      </c>
      <c r="CZ644" s="27" t="s">
        <v>7</v>
      </c>
      <c r="DA644" s="27" t="s">
        <v>8</v>
      </c>
      <c r="EP644" s="27" t="s">
        <v>7</v>
      </c>
      <c r="EQ644" s="27" t="s">
        <v>8</v>
      </c>
      <c r="ER644" s="27" t="s">
        <v>7</v>
      </c>
      <c r="EU644" s="27" t="s">
        <v>8</v>
      </c>
      <c r="EV644" s="27" t="s">
        <v>7</v>
      </c>
      <c r="EW644" s="27" t="s">
        <v>8</v>
      </c>
      <c r="EX644" s="27" t="s">
        <v>7</v>
      </c>
      <c r="EY644" s="27" t="s">
        <v>8</v>
      </c>
      <c r="EZ644" s="27" t="s">
        <v>7</v>
      </c>
      <c r="FA644" s="27" t="s">
        <v>8</v>
      </c>
      <c r="FB644" s="27" t="s">
        <v>7</v>
      </c>
      <c r="FC644" s="27" t="s">
        <v>8</v>
      </c>
      <c r="FD644" s="27" t="s">
        <v>7</v>
      </c>
      <c r="FM644" s="27" t="s">
        <v>8</v>
      </c>
    </row>
    <row r="645" spans="1:169" x14ac:dyDescent="0.25">
      <c r="A645" s="7">
        <v>0.31709547002401678</v>
      </c>
      <c r="B645"/>
      <c r="C645"/>
      <c r="D645"/>
      <c r="E645"/>
      <c r="F645" s="27" t="s">
        <v>7</v>
      </c>
      <c r="CQ645" s="27" t="s">
        <v>8</v>
      </c>
      <c r="CR645" s="27" t="s">
        <v>7</v>
      </c>
      <c r="CS645" s="27" t="s">
        <v>8</v>
      </c>
      <c r="CT645" s="27" t="s">
        <v>7</v>
      </c>
      <c r="CY645" s="27" t="s">
        <v>8</v>
      </c>
      <c r="CZ645" s="27" t="s">
        <v>7</v>
      </c>
      <c r="EP645" s="27" t="s">
        <v>7</v>
      </c>
      <c r="EQ645" s="27" t="s">
        <v>8</v>
      </c>
      <c r="ER645" s="27" t="s">
        <v>7</v>
      </c>
      <c r="ES645" s="27" t="s">
        <v>8</v>
      </c>
      <c r="EU645" s="27" t="s">
        <v>8</v>
      </c>
      <c r="EV645" s="27" t="s">
        <v>7</v>
      </c>
      <c r="EW645" s="27" t="s">
        <v>8</v>
      </c>
      <c r="EX645" s="27" t="s">
        <v>7</v>
      </c>
      <c r="EY645" s="27" t="s">
        <v>8</v>
      </c>
      <c r="EZ645" s="27" t="s">
        <v>7</v>
      </c>
      <c r="FA645" s="27" t="s">
        <v>8</v>
      </c>
      <c r="FB645" s="27" t="s">
        <v>7</v>
      </c>
      <c r="FC645" s="27" t="s">
        <v>8</v>
      </c>
      <c r="FD645" s="27" t="s">
        <v>7</v>
      </c>
      <c r="FM645" s="27" t="s">
        <v>8</v>
      </c>
    </row>
    <row r="646" spans="1:169" x14ac:dyDescent="0.25">
      <c r="A646" s="7">
        <v>0.31087791178825175</v>
      </c>
      <c r="B646"/>
      <c r="C646"/>
      <c r="D646"/>
      <c r="E646"/>
      <c r="F646" s="27" t="s">
        <v>7</v>
      </c>
      <c r="CQ646" s="27" t="s">
        <v>8</v>
      </c>
      <c r="CR646" s="27" t="s">
        <v>7</v>
      </c>
      <c r="CS646" s="27" t="s">
        <v>8</v>
      </c>
      <c r="CT646" s="27" t="s">
        <v>7</v>
      </c>
      <c r="CY646" s="27" t="s">
        <v>8</v>
      </c>
      <c r="EP646" s="27" t="s">
        <v>7</v>
      </c>
      <c r="EQ646" s="27" t="s">
        <v>8</v>
      </c>
      <c r="ER646" s="27" t="s">
        <v>7</v>
      </c>
      <c r="ES646" s="27" t="s">
        <v>8</v>
      </c>
      <c r="ET646" s="27" t="s">
        <v>7</v>
      </c>
      <c r="EU646" s="27" t="s">
        <v>8</v>
      </c>
      <c r="EV646" s="27" t="s">
        <v>7</v>
      </c>
      <c r="EW646" s="27" t="s">
        <v>8</v>
      </c>
      <c r="EX646" s="27" t="s">
        <v>7</v>
      </c>
      <c r="EZ646" s="27" t="s">
        <v>7</v>
      </c>
      <c r="FB646" s="27" t="s">
        <v>7</v>
      </c>
      <c r="FC646" s="27" t="s">
        <v>8</v>
      </c>
      <c r="FD646" s="27" t="s">
        <v>7</v>
      </c>
      <c r="FM646" s="27" t="s">
        <v>8</v>
      </c>
    </row>
    <row r="647" spans="1:169" x14ac:dyDescent="0.25">
      <c r="A647" s="7">
        <v>0.30478226645907036</v>
      </c>
      <c r="B647"/>
      <c r="C647"/>
      <c r="D647"/>
      <c r="E647"/>
      <c r="F647" s="27" t="s">
        <v>7</v>
      </c>
      <c r="CQ647" s="27" t="s">
        <v>8</v>
      </c>
      <c r="CR647" s="27" t="s">
        <v>7</v>
      </c>
      <c r="CS647" s="27" t="s">
        <v>8</v>
      </c>
      <c r="CT647" s="27" t="s">
        <v>7</v>
      </c>
      <c r="CY647" s="27" t="s">
        <v>8</v>
      </c>
      <c r="EP647" s="27" t="s">
        <v>7</v>
      </c>
      <c r="EQ647" s="27" t="s">
        <v>8</v>
      </c>
      <c r="ER647" s="27" t="s">
        <v>7</v>
      </c>
      <c r="ES647" s="27" t="s">
        <v>8</v>
      </c>
      <c r="ET647" s="27" t="s">
        <v>7</v>
      </c>
      <c r="EU647" s="27" t="s">
        <v>8</v>
      </c>
      <c r="EV647" s="27" t="s">
        <v>7</v>
      </c>
      <c r="EW647" s="27" t="s">
        <v>8</v>
      </c>
      <c r="FB647" s="27" t="s">
        <v>7</v>
      </c>
      <c r="FC647" s="27" t="s">
        <v>8</v>
      </c>
      <c r="FD647" s="27" t="s">
        <v>7</v>
      </c>
      <c r="FM647" s="27" t="s">
        <v>8</v>
      </c>
    </row>
    <row r="648" spans="1:169" x14ac:dyDescent="0.25">
      <c r="A648" s="7">
        <v>0.29880614358732388</v>
      </c>
      <c r="B648"/>
      <c r="C648"/>
      <c r="D648"/>
      <c r="E648"/>
      <c r="F648" s="27" t="s">
        <v>7</v>
      </c>
      <c r="CQ648" s="27" t="s">
        <v>8</v>
      </c>
      <c r="CR648" s="27" t="s">
        <v>7</v>
      </c>
      <c r="CS648" s="27" t="s">
        <v>8</v>
      </c>
      <c r="CT648" s="27" t="s">
        <v>7</v>
      </c>
      <c r="CY648" s="27" t="s">
        <v>8</v>
      </c>
      <c r="EP648" s="27" t="s">
        <v>7</v>
      </c>
      <c r="EQ648" s="27" t="s">
        <v>8</v>
      </c>
      <c r="ER648" s="27" t="s">
        <v>7</v>
      </c>
      <c r="ES648" s="27" t="s">
        <v>8</v>
      </c>
      <c r="ET648" s="27" t="s">
        <v>7</v>
      </c>
      <c r="EU648" s="27" t="s">
        <v>8</v>
      </c>
      <c r="EV648" s="27" t="s">
        <v>7</v>
      </c>
      <c r="EW648" s="27" t="s">
        <v>8</v>
      </c>
      <c r="FB648" s="27" t="s">
        <v>7</v>
      </c>
      <c r="FC648" s="27" t="s">
        <v>8</v>
      </c>
      <c r="FD648" s="27" t="s">
        <v>7</v>
      </c>
      <c r="FE648" s="27" t="s">
        <v>8</v>
      </c>
      <c r="FK648" s="27" t="s">
        <v>8</v>
      </c>
      <c r="FM648" s="27" t="s">
        <v>8</v>
      </c>
    </row>
    <row r="649" spans="1:169" x14ac:dyDescent="0.25">
      <c r="A649" s="7">
        <v>0.2929471995954156</v>
      </c>
      <c r="B649"/>
      <c r="C649"/>
      <c r="D649"/>
      <c r="E649"/>
      <c r="F649" s="27" t="s">
        <v>7</v>
      </c>
      <c r="CO649" s="27" t="s">
        <v>8</v>
      </c>
      <c r="CQ649" s="27" t="s">
        <v>8</v>
      </c>
      <c r="CR649" s="27" t="s">
        <v>7</v>
      </c>
      <c r="CS649" s="27" t="s">
        <v>8</v>
      </c>
      <c r="CT649" s="27" t="s">
        <v>7</v>
      </c>
      <c r="CY649" s="27" t="s">
        <v>8</v>
      </c>
      <c r="EP649" s="27" t="s">
        <v>7</v>
      </c>
      <c r="EQ649" s="27" t="s">
        <v>8</v>
      </c>
      <c r="ER649" s="27" t="s">
        <v>7</v>
      </c>
      <c r="ES649" s="27" t="s">
        <v>8</v>
      </c>
      <c r="ET649" s="27" t="s">
        <v>7</v>
      </c>
      <c r="EU649" s="27" t="s">
        <v>8</v>
      </c>
      <c r="EV649" s="27" t="s">
        <v>7</v>
      </c>
      <c r="EW649" s="27" t="s">
        <v>8</v>
      </c>
      <c r="FB649" s="27" t="s">
        <v>7</v>
      </c>
      <c r="FC649" s="27" t="s">
        <v>8</v>
      </c>
      <c r="FD649" s="27" t="s">
        <v>7</v>
      </c>
      <c r="FE649" s="27" t="s">
        <v>8</v>
      </c>
      <c r="FF649" s="27" t="s">
        <v>7</v>
      </c>
      <c r="FK649" s="27" t="s">
        <v>8</v>
      </c>
      <c r="FL649" s="27" t="s">
        <v>7</v>
      </c>
      <c r="FM649" s="27" t="s">
        <v>8</v>
      </c>
    </row>
    <row r="650" spans="1:169" x14ac:dyDescent="0.25">
      <c r="A650" s="7">
        <v>0.28720313685825055</v>
      </c>
      <c r="B650"/>
      <c r="C650"/>
      <c r="D650"/>
      <c r="E650"/>
      <c r="F650" s="27" t="s">
        <v>7</v>
      </c>
      <c r="CO650" s="27" t="s">
        <v>8</v>
      </c>
      <c r="CP650" s="27" t="s">
        <v>7</v>
      </c>
      <c r="CQ650" s="27" t="s">
        <v>8</v>
      </c>
      <c r="CR650" s="27" t="s">
        <v>7</v>
      </c>
      <c r="CS650" s="27" t="s">
        <v>8</v>
      </c>
      <c r="CT650" s="27" t="s">
        <v>7</v>
      </c>
      <c r="CY650" s="27" t="s">
        <v>8</v>
      </c>
      <c r="EP650" s="27" t="s">
        <v>7</v>
      </c>
      <c r="EQ650" s="27" t="s">
        <v>8</v>
      </c>
      <c r="ER650" s="27" t="s">
        <v>7</v>
      </c>
      <c r="ES650" s="27" t="s">
        <v>8</v>
      </c>
      <c r="ET650" s="27" t="s">
        <v>7</v>
      </c>
      <c r="EU650" s="27" t="s">
        <v>8</v>
      </c>
      <c r="EV650" s="27" t="s">
        <v>7</v>
      </c>
      <c r="EW650" s="27" t="s">
        <v>8</v>
      </c>
      <c r="FB650" s="27" t="s">
        <v>7</v>
      </c>
      <c r="FC650" s="27" t="s">
        <v>8</v>
      </c>
      <c r="FD650" s="27" t="s">
        <v>7</v>
      </c>
      <c r="FE650" s="27" t="s">
        <v>8</v>
      </c>
      <c r="FF650" s="27" t="s">
        <v>7</v>
      </c>
      <c r="FK650" s="27" t="s">
        <v>8</v>
      </c>
      <c r="FL650" s="27" t="s">
        <v>7</v>
      </c>
      <c r="FM650" s="27" t="s">
        <v>8</v>
      </c>
    </row>
    <row r="651" spans="1:169" x14ac:dyDescent="0.25">
      <c r="A651" s="7">
        <v>0.28157170280220645</v>
      </c>
      <c r="B651"/>
      <c r="C651"/>
      <c r="D651"/>
      <c r="E651"/>
      <c r="F651" s="27" t="s">
        <v>7</v>
      </c>
      <c r="CO651" s="27" t="s">
        <v>8</v>
      </c>
      <c r="CP651" s="27" t="s">
        <v>7</v>
      </c>
      <c r="CQ651" s="27" t="s">
        <v>8</v>
      </c>
      <c r="CR651" s="27" t="s">
        <v>7</v>
      </c>
      <c r="CS651" s="27" t="s">
        <v>8</v>
      </c>
      <c r="CT651" s="27" t="s">
        <v>7</v>
      </c>
      <c r="CY651" s="27" t="s">
        <v>8</v>
      </c>
      <c r="EP651" s="27" t="s">
        <v>7</v>
      </c>
      <c r="EQ651" s="27" t="s">
        <v>8</v>
      </c>
      <c r="ER651" s="27" t="s">
        <v>7</v>
      </c>
      <c r="ES651" s="27" t="s">
        <v>8</v>
      </c>
      <c r="ET651" s="27" t="s">
        <v>7</v>
      </c>
      <c r="EU651" s="27" t="s">
        <v>8</v>
      </c>
      <c r="EV651" s="27" t="s">
        <v>7</v>
      </c>
      <c r="FB651" s="27" t="s">
        <v>7</v>
      </c>
      <c r="FC651" s="27" t="s">
        <v>8</v>
      </c>
      <c r="FD651" s="27" t="s">
        <v>7</v>
      </c>
      <c r="FE651" s="27" t="s">
        <v>8</v>
      </c>
      <c r="FF651" s="27" t="s">
        <v>7</v>
      </c>
      <c r="FK651" s="27" t="s">
        <v>8</v>
      </c>
      <c r="FL651" s="27" t="s">
        <v>7</v>
      </c>
      <c r="FM651" s="27" t="s">
        <v>8</v>
      </c>
    </row>
    <row r="652" spans="1:169" x14ac:dyDescent="0.25">
      <c r="A652" s="7">
        <v>0.27605068902177105</v>
      </c>
      <c r="B652"/>
      <c r="C652"/>
      <c r="D652"/>
      <c r="E652"/>
      <c r="F652" s="27" t="s">
        <v>7</v>
      </c>
      <c r="CO652" s="27" t="s">
        <v>8</v>
      </c>
      <c r="CP652" s="27" t="s">
        <v>7</v>
      </c>
      <c r="CQ652" s="27" t="s">
        <v>8</v>
      </c>
      <c r="CR652" s="27" t="s">
        <v>7</v>
      </c>
      <c r="CT652" s="27" t="s">
        <v>7</v>
      </c>
      <c r="CY652" s="27" t="s">
        <v>8</v>
      </c>
      <c r="EP652" s="27" t="s">
        <v>7</v>
      </c>
      <c r="EQ652" s="27" t="s">
        <v>8</v>
      </c>
      <c r="ER652" s="27" t="s">
        <v>7</v>
      </c>
      <c r="ES652" s="27" t="s">
        <v>8</v>
      </c>
      <c r="ET652" s="27" t="s">
        <v>7</v>
      </c>
      <c r="EU652" s="27" t="s">
        <v>8</v>
      </c>
      <c r="FB652" s="27" t="s">
        <v>7</v>
      </c>
      <c r="FC652" s="27" t="s">
        <v>8</v>
      </c>
      <c r="FD652" s="27" t="s">
        <v>7</v>
      </c>
      <c r="FE652" s="27" t="s">
        <v>8</v>
      </c>
      <c r="FF652" s="27" t="s">
        <v>7</v>
      </c>
      <c r="FK652" s="27" t="s">
        <v>8</v>
      </c>
      <c r="FL652" s="27" t="s">
        <v>7</v>
      </c>
      <c r="FM652" s="27" t="s">
        <v>8</v>
      </c>
    </row>
    <row r="653" spans="1:169" x14ac:dyDescent="0.25">
      <c r="A653" s="7">
        <v>0.27063793041350104</v>
      </c>
      <c r="B653"/>
      <c r="C653"/>
      <c r="D653"/>
      <c r="E653"/>
      <c r="F653" s="27" t="s">
        <v>7</v>
      </c>
      <c r="CO653" s="27" t="s">
        <v>8</v>
      </c>
      <c r="CP653" s="27" t="s">
        <v>7</v>
      </c>
      <c r="CQ653" s="27" t="s">
        <v>8</v>
      </c>
      <c r="CT653" s="27" t="s">
        <v>7</v>
      </c>
      <c r="CU653" s="27" t="s">
        <v>8</v>
      </c>
      <c r="CY653" s="27" t="s">
        <v>8</v>
      </c>
      <c r="EP653" s="27" t="s">
        <v>7</v>
      </c>
      <c r="EQ653" s="27" t="s">
        <v>8</v>
      </c>
      <c r="ER653" s="27" t="s">
        <v>7</v>
      </c>
      <c r="ES653" s="27" t="s">
        <v>8</v>
      </c>
      <c r="ET653" s="27" t="s">
        <v>7</v>
      </c>
      <c r="EU653" s="27" t="s">
        <v>8</v>
      </c>
      <c r="FB653" s="27" t="s">
        <v>7</v>
      </c>
      <c r="FC653" s="27" t="s">
        <v>8</v>
      </c>
      <c r="FD653" s="27" t="s">
        <v>7</v>
      </c>
      <c r="FE653" s="27" t="s">
        <v>8</v>
      </c>
      <c r="FF653" s="27" t="s">
        <v>7</v>
      </c>
      <c r="FI653" s="27" t="s">
        <v>8</v>
      </c>
      <c r="FK653" s="27" t="s">
        <v>8</v>
      </c>
      <c r="FL653" s="27" t="s">
        <v>7</v>
      </c>
      <c r="FM653" s="27" t="s">
        <v>8</v>
      </c>
    </row>
    <row r="654" spans="1:169" x14ac:dyDescent="0.25">
      <c r="A654" s="7">
        <v>0.26533130432696184</v>
      </c>
      <c r="B654"/>
      <c r="C654"/>
      <c r="D654"/>
      <c r="E654"/>
      <c r="F654" s="27" t="s">
        <v>7</v>
      </c>
      <c r="CO654" s="27" t="s">
        <v>8</v>
      </c>
      <c r="CP654" s="27" t="s">
        <v>7</v>
      </c>
      <c r="CQ654" s="27" t="s">
        <v>8</v>
      </c>
      <c r="CT654" s="27" t="s">
        <v>7</v>
      </c>
      <c r="CU654" s="27" t="s">
        <v>8</v>
      </c>
      <c r="CV654" s="27" t="s">
        <v>7</v>
      </c>
      <c r="CW654" s="27" t="s">
        <v>8</v>
      </c>
      <c r="CY654" s="27" t="s">
        <v>8</v>
      </c>
      <c r="EP654" s="27" t="s">
        <v>7</v>
      </c>
      <c r="EQ654" s="27" t="s">
        <v>8</v>
      </c>
      <c r="ER654" s="27" t="s">
        <v>7</v>
      </c>
      <c r="ES654" s="27" t="s">
        <v>8</v>
      </c>
      <c r="ET654" s="27" t="s">
        <v>7</v>
      </c>
      <c r="FB654" s="27" t="s">
        <v>7</v>
      </c>
      <c r="FC654" s="27" t="s">
        <v>8</v>
      </c>
      <c r="FD654" s="27" t="s">
        <v>7</v>
      </c>
      <c r="FE654" s="27" t="s">
        <v>8</v>
      </c>
      <c r="FF654" s="27" t="s">
        <v>7</v>
      </c>
      <c r="FI654" s="27" t="s">
        <v>8</v>
      </c>
      <c r="FJ654" s="27" t="s">
        <v>7</v>
      </c>
      <c r="FK654" s="27" t="s">
        <v>8</v>
      </c>
      <c r="FL654" s="27" t="s">
        <v>7</v>
      </c>
      <c r="FM654" s="27" t="s">
        <v>8</v>
      </c>
    </row>
    <row r="655" spans="1:169" x14ac:dyDescent="0.25">
      <c r="A655" s="7">
        <v>0.26012872973231554</v>
      </c>
      <c r="B655"/>
      <c r="C655"/>
      <c r="D655"/>
      <c r="E655"/>
      <c r="F655" s="27" t="s">
        <v>7</v>
      </c>
      <c r="CO655" s="27" t="s">
        <v>8</v>
      </c>
      <c r="CP655" s="27" t="s">
        <v>7</v>
      </c>
      <c r="CQ655" s="27" t="s">
        <v>8</v>
      </c>
      <c r="CT655" s="27" t="s">
        <v>7</v>
      </c>
      <c r="CU655" s="27" t="s">
        <v>8</v>
      </c>
      <c r="CV655" s="27" t="s">
        <v>7</v>
      </c>
      <c r="CW655" s="27" t="s">
        <v>8</v>
      </c>
      <c r="CX655" s="27" t="s">
        <v>7</v>
      </c>
      <c r="CY655" s="27" t="s">
        <v>8</v>
      </c>
      <c r="EP655" s="27" t="s">
        <v>7</v>
      </c>
      <c r="EQ655" s="27" t="s">
        <v>8</v>
      </c>
      <c r="ER655" s="27" t="s">
        <v>7</v>
      </c>
      <c r="ES655" s="27" t="s">
        <v>8</v>
      </c>
      <c r="FB655" s="27" t="s">
        <v>7</v>
      </c>
      <c r="FC655" s="27" t="s">
        <v>8</v>
      </c>
      <c r="FD655" s="27" t="s">
        <v>7</v>
      </c>
      <c r="FE655" s="27" t="s">
        <v>8</v>
      </c>
      <c r="FF655" s="27" t="s">
        <v>7</v>
      </c>
      <c r="FI655" s="27" t="s">
        <v>8</v>
      </c>
      <c r="FJ655" s="27" t="s">
        <v>7</v>
      </c>
      <c r="FK655" s="27" t="s">
        <v>8</v>
      </c>
      <c r="FL655" s="27" t="s">
        <v>7</v>
      </c>
    </row>
    <row r="656" spans="1:169" x14ac:dyDescent="0.25">
      <c r="A656" s="7">
        <v>0.25502816640423093</v>
      </c>
      <c r="B656"/>
      <c r="C656"/>
      <c r="D656"/>
      <c r="E656"/>
      <c r="F656" s="27" t="s">
        <v>7</v>
      </c>
      <c r="CO656" s="27" t="s">
        <v>8</v>
      </c>
      <c r="CP656" s="27" t="s">
        <v>7</v>
      </c>
      <c r="CQ656" s="27" t="s">
        <v>8</v>
      </c>
      <c r="CT656" s="27" t="s">
        <v>7</v>
      </c>
      <c r="CU656" s="27" t="s">
        <v>8</v>
      </c>
      <c r="CV656" s="27" t="s">
        <v>7</v>
      </c>
      <c r="CW656" s="27" t="s">
        <v>8</v>
      </c>
      <c r="CX656" s="27" t="s">
        <v>7</v>
      </c>
      <c r="CY656" s="27" t="s">
        <v>8</v>
      </c>
      <c r="EP656" s="27" t="s">
        <v>7</v>
      </c>
      <c r="EQ656" s="27" t="s">
        <v>8</v>
      </c>
      <c r="ER656" s="27" t="s">
        <v>7</v>
      </c>
      <c r="ES656" s="27" t="s">
        <v>8</v>
      </c>
      <c r="FB656" s="27" t="s">
        <v>7</v>
      </c>
      <c r="FC656" s="27" t="s">
        <v>8</v>
      </c>
      <c r="FD656" s="27" t="s">
        <v>7</v>
      </c>
      <c r="FF656" s="27" t="s">
        <v>7</v>
      </c>
      <c r="FI656" s="27" t="s">
        <v>8</v>
      </c>
      <c r="FJ656" s="27" t="s">
        <v>7</v>
      </c>
      <c r="FK656" s="27" t="s">
        <v>8</v>
      </c>
    </row>
    <row r="657" spans="1:167" x14ac:dyDescent="0.25">
      <c r="A657" s="7">
        <v>0.25002761412179503</v>
      </c>
      <c r="B657"/>
      <c r="C657"/>
      <c r="D657"/>
      <c r="E657"/>
      <c r="F657" s="27" t="s">
        <v>7</v>
      </c>
      <c r="CO657" s="27" t="s">
        <v>8</v>
      </c>
      <c r="CP657" s="27" t="s">
        <v>7</v>
      </c>
      <c r="CQ657" s="27" t="s">
        <v>8</v>
      </c>
      <c r="CT657" s="27" t="s">
        <v>7</v>
      </c>
      <c r="CU657" s="27" t="s">
        <v>8</v>
      </c>
      <c r="CV657" s="27" t="s">
        <v>7</v>
      </c>
      <c r="CW657" s="27" t="s">
        <v>8</v>
      </c>
      <c r="CX657" s="27" t="s">
        <v>7</v>
      </c>
      <c r="CY657" s="27" t="s">
        <v>8</v>
      </c>
      <c r="EP657" s="27" t="s">
        <v>7</v>
      </c>
      <c r="EQ657" s="27" t="s">
        <v>8</v>
      </c>
      <c r="ER657" s="27" t="s">
        <v>7</v>
      </c>
      <c r="ES657" s="27" t="s">
        <v>8</v>
      </c>
      <c r="FB657" s="27" t="s">
        <v>7</v>
      </c>
      <c r="FF657" s="27" t="s">
        <v>7</v>
      </c>
      <c r="FI657" s="27" t="s">
        <v>8</v>
      </c>
      <c r="FJ657" s="27" t="s">
        <v>7</v>
      </c>
      <c r="FK657" s="27" t="s">
        <v>8</v>
      </c>
    </row>
    <row r="658" spans="1:167" x14ac:dyDescent="0.25">
      <c r="A658" s="7">
        <v>0.24512511188411276</v>
      </c>
      <c r="B658"/>
      <c r="C658"/>
      <c r="D658"/>
      <c r="E658"/>
      <c r="F658" s="27" t="s">
        <v>7</v>
      </c>
      <c r="CO658" s="27" t="s">
        <v>8</v>
      </c>
      <c r="CP658" s="27" t="s">
        <v>7</v>
      </c>
      <c r="CQ658" s="27" t="s">
        <v>8</v>
      </c>
      <c r="CT658" s="27" t="s">
        <v>7</v>
      </c>
      <c r="CU658" s="27" t="s">
        <v>8</v>
      </c>
      <c r="CV658" s="27" t="s">
        <v>7</v>
      </c>
      <c r="CW658" s="27" t="s">
        <v>8</v>
      </c>
      <c r="CX658" s="27" t="s">
        <v>7</v>
      </c>
      <c r="CY658" s="27" t="s">
        <v>8</v>
      </c>
      <c r="EP658" s="27" t="s">
        <v>7</v>
      </c>
      <c r="EQ658" s="27" t="s">
        <v>8</v>
      </c>
      <c r="ER658" s="27" t="s">
        <v>7</v>
      </c>
      <c r="ES658" s="27" t="s">
        <v>8</v>
      </c>
      <c r="FF658" s="27" t="s">
        <v>7</v>
      </c>
      <c r="FI658" s="27" t="s">
        <v>8</v>
      </c>
      <c r="FJ658" s="27" t="s">
        <v>7</v>
      </c>
      <c r="FK658" s="27" t="s">
        <v>8</v>
      </c>
    </row>
    <row r="659" spans="1:167" x14ac:dyDescent="0.25">
      <c r="A659" s="7">
        <v>0.24031873714128701</v>
      </c>
      <c r="B659"/>
      <c r="C659"/>
      <c r="D659"/>
      <c r="E659"/>
      <c r="F659" s="27" t="s">
        <v>7</v>
      </c>
      <c r="CO659" s="27" t="s">
        <v>8</v>
      </c>
      <c r="CP659" s="27" t="s">
        <v>7</v>
      </c>
      <c r="CQ659" s="27" t="s">
        <v>8</v>
      </c>
      <c r="CT659" s="27" t="s">
        <v>7</v>
      </c>
      <c r="CU659" s="27" t="s">
        <v>8</v>
      </c>
      <c r="CV659" s="27" t="s">
        <v>7</v>
      </c>
      <c r="CW659" s="27" t="s">
        <v>8</v>
      </c>
      <c r="CX659" s="27" t="s">
        <v>7</v>
      </c>
      <c r="CY659" s="27" t="s">
        <v>8</v>
      </c>
      <c r="EP659" s="27" t="s">
        <v>7</v>
      </c>
      <c r="EQ659" s="27" t="s">
        <v>8</v>
      </c>
      <c r="ER659" s="27" t="s">
        <v>7</v>
      </c>
      <c r="ES659" s="27" t="s">
        <v>8</v>
      </c>
      <c r="FF659" s="27" t="s">
        <v>7</v>
      </c>
      <c r="FI659" s="27" t="s">
        <v>8</v>
      </c>
      <c r="FJ659" s="27" t="s">
        <v>7</v>
      </c>
      <c r="FK659" s="27" t="s">
        <v>8</v>
      </c>
    </row>
    <row r="660" spans="1:167" x14ac:dyDescent="0.25">
      <c r="A660" s="7">
        <v>0.23560660504047748</v>
      </c>
      <c r="B660"/>
      <c r="C660"/>
      <c r="D660"/>
      <c r="E660"/>
      <c r="F660" s="27" t="s">
        <v>7</v>
      </c>
      <c r="CO660" s="27" t="s">
        <v>8</v>
      </c>
      <c r="CP660" s="27" t="s">
        <v>7</v>
      </c>
      <c r="CQ660" s="27" t="s">
        <v>8</v>
      </c>
      <c r="CT660" s="27" t="s">
        <v>7</v>
      </c>
      <c r="CU660" s="27" t="s">
        <v>8</v>
      </c>
      <c r="CV660" s="27" t="s">
        <v>7</v>
      </c>
      <c r="CW660" s="27" t="s">
        <v>8</v>
      </c>
      <c r="CX660" s="27" t="s">
        <v>7</v>
      </c>
      <c r="CY660" s="27" t="s">
        <v>8</v>
      </c>
      <c r="EP660" s="27" t="s">
        <v>7</v>
      </c>
      <c r="EQ660" s="27" t="s">
        <v>8</v>
      </c>
      <c r="ER660" s="27" t="s">
        <v>7</v>
      </c>
      <c r="FF660" s="27" t="s">
        <v>7</v>
      </c>
      <c r="FI660" s="27" t="s">
        <v>8</v>
      </c>
      <c r="FJ660" s="27" t="s">
        <v>7</v>
      </c>
      <c r="FK660" s="27" t="s">
        <v>8</v>
      </c>
    </row>
    <row r="661" spans="1:167" x14ac:dyDescent="0.25">
      <c r="A661" s="7">
        <v>0.23098686768674265</v>
      </c>
      <c r="B661"/>
      <c r="C661"/>
      <c r="D661"/>
      <c r="E661"/>
      <c r="F661" s="27" t="s">
        <v>7</v>
      </c>
      <c r="CO661" s="27" t="s">
        <v>8</v>
      </c>
      <c r="CP661" s="27" t="s">
        <v>7</v>
      </c>
      <c r="CQ661" s="27" t="s">
        <v>8</v>
      </c>
      <c r="CT661" s="27" t="s">
        <v>7</v>
      </c>
      <c r="CU661" s="27" t="s">
        <v>8</v>
      </c>
      <c r="CV661" s="27" t="s">
        <v>7</v>
      </c>
      <c r="CW661" s="27" t="s">
        <v>8</v>
      </c>
      <c r="CX661" s="27" t="s">
        <v>7</v>
      </c>
      <c r="CY661" s="27" t="s">
        <v>8</v>
      </c>
      <c r="EP661" s="27" t="s">
        <v>7</v>
      </c>
      <c r="EQ661" s="27" t="s">
        <v>8</v>
      </c>
      <c r="FF661" s="27" t="s">
        <v>7</v>
      </c>
      <c r="FI661" s="27" t="s">
        <v>8</v>
      </c>
      <c r="FJ661" s="27" t="s">
        <v>7</v>
      </c>
      <c r="FK661" s="27" t="s">
        <v>8</v>
      </c>
    </row>
    <row r="662" spans="1:167" x14ac:dyDescent="0.25">
      <c r="A662" s="7">
        <v>0.22645771341837515</v>
      </c>
      <c r="B662"/>
      <c r="C662"/>
      <c r="D662"/>
      <c r="E662"/>
      <c r="F662" s="27" t="s">
        <v>7</v>
      </c>
      <c r="CO662" s="27" t="s">
        <v>8</v>
      </c>
      <c r="CP662" s="27" t="s">
        <v>7</v>
      </c>
      <c r="CQ662" s="27" t="s">
        <v>8</v>
      </c>
      <c r="CT662" s="27" t="s">
        <v>7</v>
      </c>
      <c r="CU662" s="27" t="s">
        <v>8</v>
      </c>
      <c r="CV662" s="27" t="s">
        <v>7</v>
      </c>
      <c r="CW662" s="27" t="s">
        <v>8</v>
      </c>
      <c r="CX662" s="27" t="s">
        <v>7</v>
      </c>
      <c r="CY662" s="27" t="s">
        <v>8</v>
      </c>
      <c r="EP662" s="27" t="s">
        <v>7</v>
      </c>
      <c r="EQ662" s="27" t="s">
        <v>8</v>
      </c>
      <c r="FF662" s="27" t="s">
        <v>7</v>
      </c>
      <c r="FI662" s="27" t="s">
        <v>8</v>
      </c>
      <c r="FJ662" s="27" t="s">
        <v>7</v>
      </c>
      <c r="FK662" s="27" t="s">
        <v>8</v>
      </c>
    </row>
    <row r="663" spans="1:167" x14ac:dyDescent="0.25">
      <c r="A663" s="7">
        <v>0.22201736609644623</v>
      </c>
      <c r="B663"/>
      <c r="C663"/>
      <c r="D663"/>
      <c r="E663"/>
      <c r="F663" s="27" t="s">
        <v>7</v>
      </c>
      <c r="CO663" s="27" t="s">
        <v>8</v>
      </c>
      <c r="CP663" s="27" t="s">
        <v>7</v>
      </c>
      <c r="CQ663" s="27" t="s">
        <v>8</v>
      </c>
      <c r="CT663" s="27" t="s">
        <v>7</v>
      </c>
      <c r="CU663" s="27" t="s">
        <v>8</v>
      </c>
      <c r="CV663" s="27" t="s">
        <v>7</v>
      </c>
      <c r="CX663" s="27" t="s">
        <v>7</v>
      </c>
      <c r="CY663" s="27" t="s">
        <v>8</v>
      </c>
      <c r="EP663" s="27" t="s">
        <v>7</v>
      </c>
      <c r="EQ663" s="27" t="s">
        <v>8</v>
      </c>
      <c r="FF663" s="27" t="s">
        <v>7</v>
      </c>
      <c r="FI663" s="27" t="s">
        <v>8</v>
      </c>
      <c r="FJ663" s="27" t="s">
        <v>7</v>
      </c>
    </row>
    <row r="664" spans="1:167" x14ac:dyDescent="0.25">
      <c r="A664" s="7">
        <v>0.21766408440828061</v>
      </c>
      <c r="B664"/>
      <c r="C664"/>
      <c r="D664"/>
      <c r="E664"/>
      <c r="F664" s="27" t="s">
        <v>7</v>
      </c>
      <c r="CO664" s="27" t="s">
        <v>8</v>
      </c>
      <c r="CP664" s="27" t="s">
        <v>7</v>
      </c>
      <c r="CQ664" s="27" t="s">
        <v>8</v>
      </c>
      <c r="CT664" s="27" t="s">
        <v>7</v>
      </c>
      <c r="CU664" s="27" t="s">
        <v>8</v>
      </c>
      <c r="CX664" s="27" t="s">
        <v>7</v>
      </c>
      <c r="EP664" s="27" t="s">
        <v>7</v>
      </c>
      <c r="EQ664" s="27" t="s">
        <v>8</v>
      </c>
      <c r="FF664" s="27" t="s">
        <v>7</v>
      </c>
      <c r="FI664" s="27" t="s">
        <v>8</v>
      </c>
    </row>
    <row r="665" spans="1:167" x14ac:dyDescent="0.25">
      <c r="A665" s="7">
        <v>0.21339616118458882</v>
      </c>
      <c r="B665"/>
      <c r="C665"/>
      <c r="D665"/>
      <c r="E665"/>
      <c r="F665" s="27" t="s">
        <v>7</v>
      </c>
      <c r="CO665" s="27" t="s">
        <v>8</v>
      </c>
      <c r="CP665" s="27" t="s">
        <v>7</v>
      </c>
      <c r="CQ665" s="27" t="s">
        <v>8</v>
      </c>
      <c r="CT665" s="27" t="s">
        <v>7</v>
      </c>
      <c r="CU665" s="27" t="s">
        <v>8</v>
      </c>
      <c r="EP665" s="27" t="s">
        <v>7</v>
      </c>
      <c r="EQ665" s="27" t="s">
        <v>8</v>
      </c>
      <c r="FF665" s="27" t="s">
        <v>7</v>
      </c>
      <c r="FI665" s="27" t="s">
        <v>8</v>
      </c>
    </row>
    <row r="666" spans="1:167" x14ac:dyDescent="0.25">
      <c r="A666" s="7">
        <v>0.20921192272998904</v>
      </c>
      <c r="B666"/>
      <c r="C666"/>
      <c r="D666"/>
      <c r="E666"/>
      <c r="F666" s="27" t="s">
        <v>7</v>
      </c>
      <c r="CO666" s="27" t="s">
        <v>8</v>
      </c>
      <c r="CP666" s="27" t="s">
        <v>7</v>
      </c>
      <c r="CQ666" s="27" t="s">
        <v>8</v>
      </c>
      <c r="CT666" s="27" t="s">
        <v>7</v>
      </c>
      <c r="CU666" s="27" t="s">
        <v>8</v>
      </c>
      <c r="EP666" s="27" t="s">
        <v>7</v>
      </c>
      <c r="EQ666" s="27" t="s">
        <v>8</v>
      </c>
      <c r="FF666" s="27" t="s">
        <v>7</v>
      </c>
      <c r="FG666" s="27" t="s">
        <v>8</v>
      </c>
      <c r="FI666" s="27" t="s">
        <v>8</v>
      </c>
    </row>
    <row r="667" spans="1:167" x14ac:dyDescent="0.25">
      <c r="A667" s="7">
        <v>0.20510972816665593</v>
      </c>
      <c r="B667"/>
      <c r="C667"/>
      <c r="D667"/>
      <c r="E667"/>
      <c r="F667" s="27" t="s">
        <v>7</v>
      </c>
      <c r="CO667" s="27" t="s">
        <v>8</v>
      </c>
      <c r="CP667" s="27" t="s">
        <v>7</v>
      </c>
      <c r="CQ667" s="27" t="s">
        <v>8</v>
      </c>
      <c r="CT667" s="27" t="s">
        <v>7</v>
      </c>
      <c r="CU667" s="27" t="s">
        <v>8</v>
      </c>
      <c r="EP667" s="27" t="s">
        <v>7</v>
      </c>
      <c r="EQ667" s="27" t="s">
        <v>8</v>
      </c>
      <c r="FF667" s="27" t="s">
        <v>7</v>
      </c>
      <c r="FG667" s="27" t="s">
        <v>8</v>
      </c>
      <c r="FH667" s="27" t="s">
        <v>7</v>
      </c>
      <c r="FI667" s="27" t="s">
        <v>8</v>
      </c>
    </row>
    <row r="668" spans="1:167" x14ac:dyDescent="0.25">
      <c r="A668" s="7">
        <v>0.20108796879083912</v>
      </c>
      <c r="B668"/>
      <c r="C668"/>
      <c r="D668"/>
      <c r="E668"/>
      <c r="F668" s="27" t="s">
        <v>7</v>
      </c>
      <c r="CO668" s="27" t="s">
        <v>8</v>
      </c>
      <c r="CP668" s="27" t="s">
        <v>7</v>
      </c>
      <c r="CT668" s="27" t="s">
        <v>7</v>
      </c>
      <c r="CU668" s="27" t="s">
        <v>8</v>
      </c>
      <c r="EP668" s="27" t="s">
        <v>7</v>
      </c>
      <c r="EQ668" s="27" t="s">
        <v>8</v>
      </c>
      <c r="FF668" s="27" t="s">
        <v>7</v>
      </c>
      <c r="FG668" s="27" t="s">
        <v>8</v>
      </c>
      <c r="FH668" s="27" t="s">
        <v>7</v>
      </c>
      <c r="FI668" s="27" t="s">
        <v>8</v>
      </c>
    </row>
    <row r="669" spans="1:167" x14ac:dyDescent="0.25">
      <c r="A669" s="7">
        <v>0.19714506744199917</v>
      </c>
      <c r="B669"/>
      <c r="C669"/>
      <c r="D669"/>
      <c r="E669"/>
      <c r="F669" s="27" t="s">
        <v>7</v>
      </c>
      <c r="CO669" s="27" t="s">
        <v>8</v>
      </c>
      <c r="CT669" s="27" t="s">
        <v>7</v>
      </c>
      <c r="CU669" s="27" t="s">
        <v>8</v>
      </c>
      <c r="EP669" s="27" t="s">
        <v>7</v>
      </c>
      <c r="EQ669" s="27" t="s">
        <v>8</v>
      </c>
      <c r="FF669" s="27" t="s">
        <v>7</v>
      </c>
      <c r="FG669" s="27" t="s">
        <v>8</v>
      </c>
      <c r="FH669" s="27" t="s">
        <v>7</v>
      </c>
      <c r="FI669" s="27" t="s">
        <v>8</v>
      </c>
    </row>
    <row r="670" spans="1:167" x14ac:dyDescent="0.25">
      <c r="A670" s="7">
        <v>0.19327947788431293</v>
      </c>
      <c r="B670"/>
      <c r="C670"/>
      <c r="D670"/>
      <c r="E670"/>
      <c r="F670" s="27" t="s">
        <v>7</v>
      </c>
      <c r="CO670" s="27" t="s">
        <v>8</v>
      </c>
      <c r="CT670" s="27" t="s">
        <v>7</v>
      </c>
      <c r="CU670" s="27" t="s">
        <v>8</v>
      </c>
      <c r="EP670" s="27" t="s">
        <v>7</v>
      </c>
      <c r="EQ670" s="27" t="s">
        <v>8</v>
      </c>
      <c r="FF670" s="27" t="s">
        <v>7</v>
      </c>
      <c r="FG670" s="27" t="s">
        <v>8</v>
      </c>
      <c r="FH670" s="27" t="s">
        <v>7</v>
      </c>
      <c r="FI670" s="27" t="s">
        <v>8</v>
      </c>
    </row>
    <row r="671" spans="1:167" x14ac:dyDescent="0.25">
      <c r="A671" s="7">
        <v>0.18948968420030682</v>
      </c>
      <c r="B671"/>
      <c r="C671"/>
      <c r="D671"/>
      <c r="E671"/>
      <c r="F671" s="27" t="s">
        <v>7</v>
      </c>
      <c r="CO671" s="27" t="s">
        <v>8</v>
      </c>
      <c r="CT671" s="27" t="s">
        <v>7</v>
      </c>
      <c r="CU671" s="27" t="s">
        <v>8</v>
      </c>
      <c r="EP671" s="27" t="s">
        <v>7</v>
      </c>
      <c r="EQ671" s="27" t="s">
        <v>8</v>
      </c>
      <c r="FF671" s="27" t="s">
        <v>7</v>
      </c>
      <c r="FG671" s="27" t="s">
        <v>8</v>
      </c>
      <c r="FH671" s="27" t="s">
        <v>7</v>
      </c>
      <c r="FI671" s="27" t="s">
        <v>8</v>
      </c>
    </row>
    <row r="672" spans="1:167" x14ac:dyDescent="0.25">
      <c r="A672" s="7">
        <v>0.18577420019637925</v>
      </c>
      <c r="B672"/>
      <c r="C672"/>
      <c r="D672"/>
      <c r="E672"/>
      <c r="F672" s="27" t="s">
        <v>7</v>
      </c>
      <c r="CO672" s="27" t="s">
        <v>8</v>
      </c>
      <c r="CT672" s="27" t="s">
        <v>7</v>
      </c>
      <c r="CU672" s="27" t="s">
        <v>8</v>
      </c>
      <c r="EP672" s="27" t="s">
        <v>7</v>
      </c>
      <c r="EQ672" s="27" t="s">
        <v>8</v>
      </c>
      <c r="FF672" s="27" t="s">
        <v>7</v>
      </c>
      <c r="FG672" s="27" t="s">
        <v>8</v>
      </c>
      <c r="FH672" s="27" t="s">
        <v>7</v>
      </c>
      <c r="FI672" s="27" t="s">
        <v>8</v>
      </c>
    </row>
    <row r="673" spans="1:165" x14ac:dyDescent="0.25">
      <c r="A673" s="7">
        <v>0.18213156881997963</v>
      </c>
      <c r="B673"/>
      <c r="C673"/>
      <c r="D673"/>
      <c r="E673"/>
      <c r="F673" s="27" t="s">
        <v>7</v>
      </c>
      <c r="CO673" s="27" t="s">
        <v>8</v>
      </c>
      <c r="CT673" s="27" t="s">
        <v>7</v>
      </c>
      <c r="CU673" s="27" t="s">
        <v>8</v>
      </c>
      <c r="EP673" s="27" t="s">
        <v>7</v>
      </c>
      <c r="EQ673" s="27" t="s">
        <v>8</v>
      </c>
      <c r="FF673" s="27" t="s">
        <v>7</v>
      </c>
      <c r="FG673" s="27" t="s">
        <v>8</v>
      </c>
      <c r="FH673" s="27" t="s">
        <v>7</v>
      </c>
      <c r="FI673" s="27" t="s">
        <v>8</v>
      </c>
    </row>
    <row r="674" spans="1:165" x14ac:dyDescent="0.25">
      <c r="A674" s="7">
        <v>0.17856036158821534</v>
      </c>
      <c r="B674"/>
      <c r="C674"/>
      <c r="D674"/>
      <c r="E674"/>
      <c r="F674" s="27" t="s">
        <v>7</v>
      </c>
      <c r="CO674" s="27" t="s">
        <v>8</v>
      </c>
      <c r="CT674" s="27" t="s">
        <v>7</v>
      </c>
      <c r="CU674" s="27" t="s">
        <v>8</v>
      </c>
      <c r="EP674" s="27" t="s">
        <v>7</v>
      </c>
      <c r="EQ674" s="27" t="s">
        <v>8</v>
      </c>
      <c r="FF674" s="27" t="s">
        <v>7</v>
      </c>
      <c r="FG674" s="27" t="s">
        <v>8</v>
      </c>
      <c r="FH674" s="27" t="s">
        <v>7</v>
      </c>
      <c r="FI674" s="27" t="s">
        <v>8</v>
      </c>
    </row>
    <row r="675" spans="1:165" x14ac:dyDescent="0.25">
      <c r="A675" s="7">
        <v>0.17505917802766208</v>
      </c>
      <c r="B675"/>
      <c r="C675"/>
      <c r="D675"/>
      <c r="E675"/>
      <c r="F675" s="27" t="s">
        <v>7</v>
      </c>
      <c r="CO675" s="27" t="s">
        <v>8</v>
      </c>
      <c r="CT675" s="27" t="s">
        <v>7</v>
      </c>
      <c r="EP675" s="27" t="s">
        <v>7</v>
      </c>
      <c r="FF675" s="27" t="s">
        <v>7</v>
      </c>
      <c r="FG675" s="27" t="s">
        <v>8</v>
      </c>
      <c r="FH675" s="27" t="s">
        <v>7</v>
      </c>
      <c r="FI675" s="27" t="s">
        <v>8</v>
      </c>
    </row>
    <row r="676" spans="1:165" x14ac:dyDescent="0.25">
      <c r="A676" s="7">
        <v>0.17162664512515888</v>
      </c>
      <c r="B676"/>
      <c r="C676"/>
      <c r="D676"/>
      <c r="E676"/>
      <c r="F676" s="27" t="s">
        <v>7</v>
      </c>
      <c r="CM676" s="27" t="s">
        <v>8</v>
      </c>
      <c r="CO676" s="27" t="s">
        <v>8</v>
      </c>
      <c r="FF676" s="27" t="s">
        <v>7</v>
      </c>
      <c r="FG676" s="27" t="s">
        <v>8</v>
      </c>
      <c r="FH676" s="27" t="s">
        <v>7</v>
      </c>
    </row>
    <row r="677" spans="1:165" x14ac:dyDescent="0.25">
      <c r="A677" s="7">
        <v>0.16826141678937145</v>
      </c>
      <c r="B677"/>
      <c r="C677"/>
      <c r="D677"/>
      <c r="E677"/>
      <c r="F677" s="27" t="s">
        <v>7</v>
      </c>
      <c r="CM677" s="27" t="s">
        <v>8</v>
      </c>
      <c r="CN677" s="27" t="s">
        <v>7</v>
      </c>
      <c r="CO677" s="27" t="s">
        <v>8</v>
      </c>
      <c r="FF677" s="27" t="s">
        <v>7</v>
      </c>
      <c r="FG677" s="27" t="s">
        <v>8</v>
      </c>
    </row>
    <row r="678" spans="1:165" x14ac:dyDescent="0.25">
      <c r="A678" s="7">
        <v>0.16496217332291319</v>
      </c>
      <c r="B678"/>
      <c r="C678"/>
      <c r="D678"/>
      <c r="E678"/>
      <c r="F678" s="27" t="s">
        <v>7</v>
      </c>
      <c r="CK678" s="27" t="s">
        <v>8</v>
      </c>
      <c r="CM678" s="27" t="s">
        <v>8</v>
      </c>
      <c r="CN678" s="27" t="s">
        <v>7</v>
      </c>
      <c r="CO678" s="27" t="s">
        <v>8</v>
      </c>
      <c r="FF678" s="27" t="s">
        <v>7</v>
      </c>
      <c r="FG678" s="27" t="s">
        <v>8</v>
      </c>
    </row>
    <row r="679" spans="1:165" x14ac:dyDescent="0.25">
      <c r="A679" s="7">
        <v>0.16172762090481685</v>
      </c>
      <c r="B679"/>
      <c r="C679"/>
      <c r="D679"/>
      <c r="E679"/>
      <c r="F679" s="27" t="s">
        <v>7</v>
      </c>
      <c r="CK679" s="27" t="s">
        <v>8</v>
      </c>
      <c r="CL679" s="27" t="s">
        <v>7</v>
      </c>
      <c r="CM679" s="27" t="s">
        <v>8</v>
      </c>
      <c r="CN679" s="27" t="s">
        <v>7</v>
      </c>
      <c r="CO679" s="27" t="s">
        <v>8</v>
      </c>
      <c r="FF679" s="27" t="s">
        <v>7</v>
      </c>
      <c r="FG679" s="27" t="s">
        <v>8</v>
      </c>
    </row>
    <row r="680" spans="1:165" x14ac:dyDescent="0.25">
      <c r="A680" s="7">
        <v>0.15855649108315376</v>
      </c>
      <c r="B680"/>
      <c r="C680"/>
      <c r="D680"/>
      <c r="E680"/>
      <c r="F680" s="27" t="s">
        <v>7</v>
      </c>
      <c r="CA680" s="27" t="s">
        <v>8</v>
      </c>
      <c r="CK680" s="27" t="s">
        <v>8</v>
      </c>
      <c r="CL680" s="27" t="s">
        <v>7</v>
      </c>
      <c r="CM680" s="27" t="s">
        <v>8</v>
      </c>
      <c r="CN680" s="27" t="s">
        <v>7</v>
      </c>
      <c r="CO680" s="27" t="s">
        <v>8</v>
      </c>
      <c r="FF680" s="27" t="s">
        <v>7</v>
      </c>
      <c r="FG680" s="27" t="s">
        <v>8</v>
      </c>
    </row>
    <row r="681" spans="1:165" x14ac:dyDescent="0.25">
      <c r="A681" s="7">
        <v>0.15544754027760171</v>
      </c>
      <c r="B681"/>
      <c r="C681"/>
      <c r="D681"/>
      <c r="E681"/>
      <c r="F681" s="27" t="s">
        <v>7</v>
      </c>
      <c r="CA681" s="27" t="s">
        <v>8</v>
      </c>
      <c r="CB681" s="27" t="s">
        <v>7</v>
      </c>
      <c r="CK681" s="27" t="s">
        <v>8</v>
      </c>
      <c r="CL681" s="27" t="s">
        <v>7</v>
      </c>
      <c r="CM681" s="27" t="s">
        <v>8</v>
      </c>
      <c r="CN681" s="27" t="s">
        <v>7</v>
      </c>
      <c r="CO681" s="27" t="s">
        <v>8</v>
      </c>
      <c r="FF681" s="27" t="s">
        <v>7</v>
      </c>
      <c r="FG681" s="27" t="s">
        <v>8</v>
      </c>
    </row>
    <row r="682" spans="1:165" x14ac:dyDescent="0.25">
      <c r="A682" s="7">
        <v>0.15239954929176638</v>
      </c>
      <c r="B682"/>
      <c r="C682"/>
      <c r="D682"/>
      <c r="E682"/>
      <c r="F682" s="27" t="s">
        <v>7</v>
      </c>
      <c r="CA682" s="27" t="s">
        <v>8</v>
      </c>
      <c r="CB682" s="27" t="s">
        <v>7</v>
      </c>
      <c r="CK682" s="27" t="s">
        <v>8</v>
      </c>
      <c r="CL682" s="27" t="s">
        <v>7</v>
      </c>
      <c r="CM682" s="27" t="s">
        <v>8</v>
      </c>
      <c r="CN682" s="27" t="s">
        <v>7</v>
      </c>
      <c r="CO682" s="27" t="s">
        <v>8</v>
      </c>
      <c r="FF682" s="27" t="s">
        <v>7</v>
      </c>
      <c r="FG682" s="27" t="s">
        <v>8</v>
      </c>
    </row>
    <row r="683" spans="1:165" x14ac:dyDescent="0.25">
      <c r="A683" s="7">
        <v>0.14941132283506509</v>
      </c>
      <c r="B683"/>
      <c r="C683"/>
      <c r="D683"/>
      <c r="E683"/>
      <c r="F683" s="27" t="s">
        <v>7</v>
      </c>
      <c r="CA683" s="27" t="s">
        <v>8</v>
      </c>
      <c r="CB683" s="27" t="s">
        <v>7</v>
      </c>
      <c r="CI683" s="27" t="s">
        <v>8</v>
      </c>
      <c r="CK683" s="27" t="s">
        <v>8</v>
      </c>
      <c r="CL683" s="27" t="s">
        <v>7</v>
      </c>
      <c r="CM683" s="27" t="s">
        <v>8</v>
      </c>
      <c r="CN683" s="27" t="s">
        <v>7</v>
      </c>
      <c r="FF683" s="27" t="s">
        <v>7</v>
      </c>
    </row>
    <row r="684" spans="1:165" x14ac:dyDescent="0.25">
      <c r="A684" s="7">
        <v>0.14648168905398537</v>
      </c>
      <c r="B684"/>
      <c r="C684"/>
      <c r="D684"/>
      <c r="E684"/>
      <c r="F684" s="27" t="s">
        <v>7</v>
      </c>
      <c r="CA684" s="27" t="s">
        <v>8</v>
      </c>
      <c r="CB684" s="27" t="s">
        <v>7</v>
      </c>
      <c r="CI684" s="27" t="s">
        <v>8</v>
      </c>
      <c r="CJ684" s="27" t="s">
        <v>7</v>
      </c>
      <c r="CK684" s="27" t="s">
        <v>8</v>
      </c>
      <c r="CL684" s="27" t="s">
        <v>7</v>
      </c>
      <c r="CM684" s="27" t="s">
        <v>8</v>
      </c>
    </row>
    <row r="685" spans="1:165" x14ac:dyDescent="0.25">
      <c r="A685" s="7">
        <v>0.14360949907253467</v>
      </c>
      <c r="B685"/>
      <c r="C685"/>
      <c r="D685"/>
      <c r="E685"/>
      <c r="F685" s="27" t="s">
        <v>7</v>
      </c>
      <c r="CA685" s="27" t="s">
        <v>8</v>
      </c>
      <c r="CB685" s="27" t="s">
        <v>7</v>
      </c>
      <c r="CI685" s="27" t="s">
        <v>8</v>
      </c>
      <c r="CJ685" s="27" t="s">
        <v>7</v>
      </c>
      <c r="CK685" s="27" t="s">
        <v>8</v>
      </c>
      <c r="CL685" s="27" t="s">
        <v>7</v>
      </c>
      <c r="CM685" s="27" t="s">
        <v>8</v>
      </c>
    </row>
    <row r="686" spans="1:165" x14ac:dyDescent="0.25">
      <c r="A686" s="7">
        <v>0.14079362654170066</v>
      </c>
      <c r="B686"/>
      <c r="C686"/>
      <c r="D686"/>
      <c r="E686"/>
      <c r="F686" s="27" t="s">
        <v>7</v>
      </c>
      <c r="CA686" s="27" t="s">
        <v>8</v>
      </c>
      <c r="CB686" s="27" t="s">
        <v>7</v>
      </c>
      <c r="CI686" s="27" t="s">
        <v>8</v>
      </c>
      <c r="CJ686" s="27" t="s">
        <v>7</v>
      </c>
      <c r="CK686" s="27" t="s">
        <v>8</v>
      </c>
      <c r="CL686" s="27" t="s">
        <v>7</v>
      </c>
      <c r="CM686" s="27" t="s">
        <v>8</v>
      </c>
    </row>
    <row r="687" spans="1:165" x14ac:dyDescent="0.25">
      <c r="A687" s="7">
        <v>0.13803296719774574</v>
      </c>
      <c r="B687"/>
      <c r="C687"/>
      <c r="D687"/>
      <c r="E687"/>
      <c r="F687" s="27" t="s">
        <v>7</v>
      </c>
      <c r="CA687" s="27" t="s">
        <v>8</v>
      </c>
      <c r="CB687" s="27" t="s">
        <v>7</v>
      </c>
      <c r="CI687" s="27" t="s">
        <v>8</v>
      </c>
      <c r="CJ687" s="27" t="s">
        <v>7</v>
      </c>
      <c r="CK687" s="27" t="s">
        <v>8</v>
      </c>
      <c r="CL687" s="27" t="s">
        <v>7</v>
      </c>
      <c r="CM687" s="27" t="s">
        <v>8</v>
      </c>
    </row>
    <row r="688" spans="1:165" x14ac:dyDescent="0.25">
      <c r="A688" s="7">
        <v>0.1353264384291625</v>
      </c>
      <c r="B688"/>
      <c r="C688"/>
      <c r="D688"/>
      <c r="E688"/>
      <c r="F688" s="27" t="s">
        <v>7</v>
      </c>
      <c r="CA688" s="27" t="s">
        <v>8</v>
      </c>
      <c r="CB688" s="27" t="s">
        <v>7</v>
      </c>
      <c r="CI688" s="27" t="s">
        <v>8</v>
      </c>
      <c r="CJ688" s="27" t="s">
        <v>7</v>
      </c>
      <c r="CK688" s="27" t="s">
        <v>8</v>
      </c>
      <c r="CL688" s="27" t="s">
        <v>7</v>
      </c>
    </row>
    <row r="689" spans="1:89" x14ac:dyDescent="0.25">
      <c r="A689" s="7">
        <v>0.13267297885212009</v>
      </c>
      <c r="B689"/>
      <c r="C689"/>
      <c r="D689"/>
      <c r="E689"/>
      <c r="F689" s="27" t="s">
        <v>7</v>
      </c>
      <c r="CA689" s="27" t="s">
        <v>8</v>
      </c>
      <c r="CB689" s="27" t="s">
        <v>7</v>
      </c>
      <c r="CI689" s="27" t="s">
        <v>8</v>
      </c>
      <c r="CJ689" s="27" t="s">
        <v>7</v>
      </c>
      <c r="CK689" s="27" t="s">
        <v>8</v>
      </c>
    </row>
    <row r="690" spans="1:89" x14ac:dyDescent="0.25">
      <c r="A690" s="7">
        <v>0.13007154789423539</v>
      </c>
      <c r="B690"/>
      <c r="C690"/>
      <c r="D690"/>
      <c r="E690"/>
      <c r="F690" s="27" t="s">
        <v>7</v>
      </c>
      <c r="CA690" s="27" t="s">
        <v>8</v>
      </c>
      <c r="CB690" s="27" t="s">
        <v>7</v>
      </c>
      <c r="CI690" s="27" t="s">
        <v>8</v>
      </c>
      <c r="CJ690" s="27" t="s">
        <v>7</v>
      </c>
      <c r="CK690" s="27" t="s">
        <v>8</v>
      </c>
    </row>
    <row r="691" spans="1:89" x14ac:dyDescent="0.25">
      <c r="A691" s="7">
        <v>0.12752112538650529</v>
      </c>
      <c r="B691"/>
      <c r="C691"/>
      <c r="D691"/>
      <c r="E691"/>
      <c r="F691" s="27" t="s">
        <v>7</v>
      </c>
      <c r="CA691" s="27" t="s">
        <v>8</v>
      </c>
      <c r="CB691" s="27" t="s">
        <v>7</v>
      </c>
      <c r="CI691" s="27" t="s">
        <v>8</v>
      </c>
      <c r="CJ691" s="27" t="s">
        <v>7</v>
      </c>
      <c r="CK691" s="27" t="s">
        <v>8</v>
      </c>
    </row>
    <row r="692" spans="1:89" x14ac:dyDescent="0.25">
      <c r="A692" s="7">
        <v>0.12502071116324048</v>
      </c>
      <c r="B692"/>
      <c r="C692"/>
      <c r="D692"/>
      <c r="E692"/>
      <c r="F692" s="27" t="s">
        <v>7</v>
      </c>
      <c r="CA692" s="27" t="s">
        <v>8</v>
      </c>
      <c r="CB692" s="27" t="s">
        <v>7</v>
      </c>
      <c r="CI692" s="27" t="s">
        <v>8</v>
      </c>
      <c r="CJ692" s="27" t="s">
        <v>7</v>
      </c>
      <c r="CK692" s="27" t="s">
        <v>8</v>
      </c>
    </row>
    <row r="693" spans="1:89" x14ac:dyDescent="0.25">
      <c r="A693" s="7">
        <v>0.1225693246698436</v>
      </c>
      <c r="B693"/>
      <c r="C693"/>
      <c r="D693"/>
      <c r="E693"/>
      <c r="F693" s="27" t="s">
        <v>7</v>
      </c>
      <c r="CA693" s="27" t="s">
        <v>8</v>
      </c>
      <c r="CB693" s="27" t="s">
        <v>7</v>
      </c>
      <c r="CI693" s="27" t="s">
        <v>8</v>
      </c>
      <c r="CJ693" s="27" t="s">
        <v>7</v>
      </c>
      <c r="CK693" s="27" t="s">
        <v>8</v>
      </c>
    </row>
    <row r="694" spans="1:89" x14ac:dyDescent="0.25">
      <c r="A694" s="7">
        <v>0.12016600457827803</v>
      </c>
      <c r="B694"/>
      <c r="C694"/>
      <c r="D694"/>
      <c r="E694"/>
      <c r="F694" s="27" t="s">
        <v>7</v>
      </c>
      <c r="CA694" s="27" t="s">
        <v>8</v>
      </c>
      <c r="CB694" s="27" t="s">
        <v>7</v>
      </c>
      <c r="CI694" s="27" t="s">
        <v>8</v>
      </c>
      <c r="CJ694" s="27" t="s">
        <v>7</v>
      </c>
      <c r="CK694" s="27" t="s">
        <v>8</v>
      </c>
    </row>
    <row r="695" spans="1:89" x14ac:dyDescent="0.25">
      <c r="A695" s="7">
        <v>0.1178098084100765</v>
      </c>
      <c r="B695"/>
      <c r="C695"/>
      <c r="D695"/>
      <c r="E695"/>
      <c r="F695" s="27" t="s">
        <v>7</v>
      </c>
      <c r="CA695" s="27" t="s">
        <v>8</v>
      </c>
      <c r="CB695" s="27" t="s">
        <v>7</v>
      </c>
      <c r="CI695" s="27" t="s">
        <v>8</v>
      </c>
      <c r="CJ695" s="27" t="s">
        <v>7</v>
      </c>
      <c r="CK695" s="27" t="s">
        <v>8</v>
      </c>
    </row>
    <row r="696" spans="1:89" x14ac:dyDescent="0.25">
      <c r="A696" s="7">
        <v>0.11549981216674166</v>
      </c>
      <c r="B696"/>
      <c r="C696"/>
      <c r="D696"/>
      <c r="E696"/>
      <c r="F696" s="27" t="s">
        <v>7</v>
      </c>
      <c r="CA696" s="27" t="s">
        <v>8</v>
      </c>
      <c r="CB696" s="27" t="s">
        <v>7</v>
      </c>
      <c r="CI696" s="27" t="s">
        <v>8</v>
      </c>
      <c r="CJ696" s="27" t="s">
        <v>7</v>
      </c>
      <c r="CK696" s="27" t="s">
        <v>8</v>
      </c>
    </row>
    <row r="697" spans="1:89" x14ac:dyDescent="0.25">
      <c r="A697" s="7">
        <v>0.11323510996739378</v>
      </c>
      <c r="B697"/>
      <c r="C697"/>
      <c r="D697"/>
      <c r="E697"/>
      <c r="F697" s="27" t="s">
        <v>7</v>
      </c>
      <c r="CA697" s="27" t="s">
        <v>8</v>
      </c>
      <c r="CB697" s="27" t="s">
        <v>7</v>
      </c>
      <c r="CI697" s="27" t="s">
        <v>8</v>
      </c>
      <c r="CJ697" s="27" t="s">
        <v>7</v>
      </c>
      <c r="CK697" s="27" t="s">
        <v>8</v>
      </c>
    </row>
    <row r="698" spans="1:89" x14ac:dyDescent="0.25">
      <c r="A698" s="7">
        <v>0.11101481369352331</v>
      </c>
      <c r="B698"/>
      <c r="C698"/>
      <c r="D698"/>
      <c r="E698"/>
      <c r="F698" s="27" t="s">
        <v>7</v>
      </c>
      <c r="CA698" s="27" t="s">
        <v>8</v>
      </c>
      <c r="CB698" s="27" t="s">
        <v>7</v>
      </c>
      <c r="CC698" s="27" t="s">
        <v>8</v>
      </c>
      <c r="CI698" s="27" t="s">
        <v>8</v>
      </c>
      <c r="CJ698" s="27" t="s">
        <v>7</v>
      </c>
    </row>
    <row r="699" spans="1:89" x14ac:dyDescent="0.25">
      <c r="A699" s="7">
        <v>0.10883805264070913</v>
      </c>
      <c r="B699"/>
      <c r="C699"/>
      <c r="D699"/>
      <c r="E699"/>
      <c r="F699" s="27" t="s">
        <v>7</v>
      </c>
      <c r="CA699" s="27" t="s">
        <v>8</v>
      </c>
      <c r="CB699" s="27" t="s">
        <v>7</v>
      </c>
      <c r="CC699" s="27" t="s">
        <v>8</v>
      </c>
      <c r="CD699" s="27" t="s">
        <v>7</v>
      </c>
      <c r="CI699" s="27" t="s">
        <v>8</v>
      </c>
    </row>
    <row r="700" spans="1:89" x14ac:dyDescent="0.25">
      <c r="A700" s="7">
        <v>0.10670397317716582</v>
      </c>
      <c r="B700"/>
      <c r="C700"/>
      <c r="D700"/>
      <c r="E700"/>
      <c r="F700" s="27" t="s">
        <v>7</v>
      </c>
      <c r="CA700" s="27" t="s">
        <v>8</v>
      </c>
      <c r="CB700" s="27" t="s">
        <v>7</v>
      </c>
      <c r="CC700" s="27" t="s">
        <v>8</v>
      </c>
      <c r="CD700" s="27" t="s">
        <v>7</v>
      </c>
      <c r="CI700" s="27" t="s">
        <v>8</v>
      </c>
    </row>
    <row r="701" spans="1:89" x14ac:dyDescent="0.25">
      <c r="A701" s="7">
        <v>0.1046117384089861</v>
      </c>
      <c r="B701"/>
      <c r="C701"/>
      <c r="D701"/>
      <c r="E701"/>
      <c r="F701" s="27" t="s">
        <v>7</v>
      </c>
      <c r="CA701" s="27" t="s">
        <v>8</v>
      </c>
      <c r="CB701" s="27" t="s">
        <v>7</v>
      </c>
      <c r="CC701" s="27" t="s">
        <v>8</v>
      </c>
      <c r="CD701" s="27" t="s">
        <v>7</v>
      </c>
      <c r="CI701" s="27" t="s">
        <v>8</v>
      </c>
    </row>
    <row r="702" spans="1:89" x14ac:dyDescent="0.25">
      <c r="A702" s="7">
        <v>0.10256052785194716</v>
      </c>
      <c r="B702"/>
      <c r="C702"/>
      <c r="D702"/>
      <c r="E702"/>
      <c r="F702" s="27" t="s">
        <v>7</v>
      </c>
      <c r="CA702" s="27" t="s">
        <v>8</v>
      </c>
      <c r="CB702" s="27" t="s">
        <v>7</v>
      </c>
      <c r="CC702" s="27" t="s">
        <v>8</v>
      </c>
      <c r="CD702" s="27" t="s">
        <v>7</v>
      </c>
      <c r="CG702" s="27" t="s">
        <v>8</v>
      </c>
      <c r="CI702" s="27" t="s">
        <v>8</v>
      </c>
    </row>
    <row r="703" spans="1:89" x14ac:dyDescent="0.25">
      <c r="A703" s="7">
        <v>0.10054953710975212</v>
      </c>
      <c r="B703"/>
      <c r="C703"/>
      <c r="D703"/>
      <c r="E703"/>
      <c r="F703" s="27" t="s">
        <v>7</v>
      </c>
      <c r="CA703" s="27" t="s">
        <v>8</v>
      </c>
      <c r="CB703" s="27" t="s">
        <v>7</v>
      </c>
      <c r="CC703" s="27" t="s">
        <v>8</v>
      </c>
      <c r="CD703" s="27" t="s">
        <v>7</v>
      </c>
      <c r="CG703" s="27" t="s">
        <v>8</v>
      </c>
      <c r="CH703" s="27" t="s">
        <v>7</v>
      </c>
      <c r="CI703" s="27" t="s">
        <v>8</v>
      </c>
    </row>
    <row r="704" spans="1:89" x14ac:dyDescent="0.25">
      <c r="A704" s="7">
        <v>9.8577977558580512E-2</v>
      </c>
      <c r="B704"/>
      <c r="C704"/>
      <c r="D704"/>
      <c r="E704"/>
      <c r="F704" s="27" t="s">
        <v>7</v>
      </c>
      <c r="CA704" s="27" t="s">
        <v>8</v>
      </c>
      <c r="CB704" s="27" t="s">
        <v>7</v>
      </c>
      <c r="CC704" s="27" t="s">
        <v>8</v>
      </c>
      <c r="CD704" s="27" t="s">
        <v>7</v>
      </c>
      <c r="CE704" s="27" t="s">
        <v>8</v>
      </c>
      <c r="CG704" s="27" t="s">
        <v>8</v>
      </c>
      <c r="CH704" s="27" t="s">
        <v>7</v>
      </c>
      <c r="CI704" s="27" t="s">
        <v>8</v>
      </c>
    </row>
    <row r="705" spans="1:87" x14ac:dyDescent="0.25">
      <c r="A705" s="7">
        <v>9.6645076037824032E-2</v>
      </c>
      <c r="B705"/>
      <c r="C705"/>
      <c r="D705"/>
      <c r="E705"/>
      <c r="F705" s="27" t="s">
        <v>7</v>
      </c>
      <c r="CA705" s="27" t="s">
        <v>8</v>
      </c>
      <c r="CB705" s="27" t="s">
        <v>7</v>
      </c>
      <c r="CC705" s="27" t="s">
        <v>8</v>
      </c>
      <c r="CD705" s="27" t="s">
        <v>7</v>
      </c>
      <c r="CE705" s="27" t="s">
        <v>8</v>
      </c>
      <c r="CF705" s="27" t="s">
        <v>7</v>
      </c>
      <c r="CG705" s="27" t="s">
        <v>8</v>
      </c>
      <c r="CH705" s="27" t="s">
        <v>7</v>
      </c>
      <c r="CI705" s="27" t="s">
        <v>8</v>
      </c>
    </row>
    <row r="706" spans="1:87" x14ac:dyDescent="0.25">
      <c r="A706" s="7">
        <v>9.4750074546886304E-2</v>
      </c>
      <c r="B706"/>
      <c r="C706"/>
      <c r="D706"/>
      <c r="E706"/>
      <c r="F706" s="27" t="s">
        <v>7</v>
      </c>
      <c r="CA706" s="27" t="s">
        <v>8</v>
      </c>
      <c r="CB706" s="27" t="s">
        <v>7</v>
      </c>
      <c r="CD706" s="27" t="s">
        <v>7</v>
      </c>
      <c r="CE706" s="27" t="s">
        <v>8</v>
      </c>
      <c r="CF706" s="27" t="s">
        <v>7</v>
      </c>
      <c r="CG706" s="27" t="s">
        <v>8</v>
      </c>
      <c r="CH706" s="27" t="s">
        <v>7</v>
      </c>
      <c r="CI706" s="27" t="s">
        <v>8</v>
      </c>
    </row>
    <row r="707" spans="1:87" x14ac:dyDescent="0.25">
      <c r="A707" s="7">
        <v>9.2892229947927743E-2</v>
      </c>
      <c r="B707"/>
      <c r="C707"/>
      <c r="D707"/>
      <c r="E707"/>
      <c r="F707" s="27" t="s">
        <v>7</v>
      </c>
      <c r="CA707" s="27" t="s">
        <v>8</v>
      </c>
      <c r="CD707" s="27" t="s">
        <v>7</v>
      </c>
      <c r="CE707" s="27" t="s">
        <v>8</v>
      </c>
      <c r="CF707" s="27" t="s">
        <v>7</v>
      </c>
      <c r="CG707" s="27" t="s">
        <v>8</v>
      </c>
      <c r="CH707" s="27" t="s">
        <v>7</v>
      </c>
      <c r="CI707" s="27" t="s">
        <v>8</v>
      </c>
    </row>
    <row r="708" spans="1:87" x14ac:dyDescent="0.25">
      <c r="A708" s="7">
        <v>9.1070813674438963E-2</v>
      </c>
      <c r="B708"/>
      <c r="C708"/>
      <c r="D708"/>
      <c r="E708"/>
      <c r="F708" s="27" t="s">
        <v>7</v>
      </c>
      <c r="CA708" s="27" t="s">
        <v>8</v>
      </c>
      <c r="CD708" s="27" t="s">
        <v>7</v>
      </c>
      <c r="CE708" s="27" t="s">
        <v>8</v>
      </c>
      <c r="CF708" s="27" t="s">
        <v>7</v>
      </c>
      <c r="CG708" s="27" t="s">
        <v>8</v>
      </c>
      <c r="CH708" s="27" t="s">
        <v>7</v>
      </c>
    </row>
    <row r="709" spans="1:87" x14ac:dyDescent="0.25">
      <c r="A709" s="7">
        <v>8.9285111445528392E-2</v>
      </c>
      <c r="B709"/>
      <c r="C709"/>
      <c r="D709"/>
      <c r="E709"/>
      <c r="F709" s="27" t="s">
        <v>7</v>
      </c>
      <c r="CA709" s="27" t="s">
        <v>8</v>
      </c>
      <c r="CD709" s="27" t="s">
        <v>7</v>
      </c>
      <c r="CE709" s="27" t="s">
        <v>8</v>
      </c>
      <c r="CF709" s="27" t="s">
        <v>7</v>
      </c>
      <c r="CG709" s="27" t="s">
        <v>8</v>
      </c>
    </row>
    <row r="710" spans="1:87" x14ac:dyDescent="0.25">
      <c r="A710" s="7">
        <v>8.7534422985812155E-2</v>
      </c>
      <c r="B710"/>
      <c r="C710"/>
      <c r="D710"/>
      <c r="E710"/>
      <c r="F710" s="27" t="s">
        <v>7</v>
      </c>
      <c r="CA710" s="27" t="s">
        <v>8</v>
      </c>
      <c r="CD710" s="27" t="s">
        <v>7</v>
      </c>
      <c r="CE710" s="27" t="s">
        <v>8</v>
      </c>
      <c r="CF710" s="27" t="s">
        <v>7</v>
      </c>
      <c r="CG710" s="27" t="s">
        <v>8</v>
      </c>
    </row>
    <row r="711" spans="1:87" x14ac:dyDescent="0.25">
      <c r="A711" s="7">
        <v>8.5818061750796232E-2</v>
      </c>
      <c r="B711"/>
      <c r="C711"/>
      <c r="D711"/>
      <c r="E711"/>
      <c r="F711" s="27" t="s">
        <v>7</v>
      </c>
      <c r="CA711" s="27" t="s">
        <v>8</v>
      </c>
      <c r="CD711" s="27" t="s">
        <v>7</v>
      </c>
      <c r="CE711" s="27" t="s">
        <v>8</v>
      </c>
      <c r="CF711" s="27" t="s">
        <v>7</v>
      </c>
      <c r="CG711" s="27" t="s">
        <v>8</v>
      </c>
    </row>
    <row r="712" spans="1:87" x14ac:dyDescent="0.25">
      <c r="A712" s="7">
        <v>8.4135354657643366E-2</v>
      </c>
      <c r="B712"/>
      <c r="C712"/>
      <c r="D712"/>
      <c r="E712"/>
      <c r="F712" s="27" t="s">
        <v>7</v>
      </c>
      <c r="CA712" s="27" t="s">
        <v>8</v>
      </c>
      <c r="CD712" s="27" t="s">
        <v>7</v>
      </c>
      <c r="CE712" s="27" t="s">
        <v>8</v>
      </c>
      <c r="CF712" s="27" t="s">
        <v>7</v>
      </c>
      <c r="CG712" s="27" t="s">
        <v>8</v>
      </c>
    </row>
    <row r="713" spans="1:87" x14ac:dyDescent="0.25">
      <c r="A713" s="7">
        <v>8.248564182121898E-2</v>
      </c>
      <c r="B713"/>
      <c r="C713"/>
      <c r="D713"/>
      <c r="E713"/>
      <c r="F713" s="27" t="s">
        <v>7</v>
      </c>
      <c r="K713" s="27" t="s">
        <v>8</v>
      </c>
      <c r="CA713" s="27" t="s">
        <v>8</v>
      </c>
      <c r="CD713" s="27" t="s">
        <v>7</v>
      </c>
      <c r="CE713" s="27" t="s">
        <v>8</v>
      </c>
      <c r="CF713" s="27" t="s">
        <v>7</v>
      </c>
      <c r="CG713" s="27" t="s">
        <v>8</v>
      </c>
    </row>
    <row r="714" spans="1:87" x14ac:dyDescent="0.25">
      <c r="A714" s="7">
        <v>8.0868276295312735E-2</v>
      </c>
      <c r="B714"/>
      <c r="C714"/>
      <c r="D714"/>
      <c r="E714"/>
      <c r="F714" s="27" t="s">
        <v>7</v>
      </c>
      <c r="K714" s="27" t="s">
        <v>8</v>
      </c>
      <c r="L714" s="27" t="s">
        <v>7</v>
      </c>
      <c r="CA714" s="27" t="s">
        <v>8</v>
      </c>
      <c r="CD714" s="27" t="s">
        <v>7</v>
      </c>
      <c r="CE714" s="27" t="s">
        <v>8</v>
      </c>
      <c r="CF714" s="27" t="s">
        <v>7</v>
      </c>
      <c r="CG714" s="27" t="s">
        <v>8</v>
      </c>
    </row>
    <row r="715" spans="1:87" x14ac:dyDescent="0.25">
      <c r="A715" s="7">
        <v>7.9282623818934056E-2</v>
      </c>
      <c r="B715"/>
      <c r="C715"/>
      <c r="D715"/>
      <c r="E715"/>
      <c r="F715" s="27" t="s">
        <v>7</v>
      </c>
      <c r="K715" s="27" t="s">
        <v>8</v>
      </c>
      <c r="L715" s="27" t="s">
        <v>7</v>
      </c>
      <c r="CA715" s="27" t="s">
        <v>8</v>
      </c>
      <c r="CD715" s="27" t="s">
        <v>7</v>
      </c>
      <c r="CE715" s="27" t="s">
        <v>8</v>
      </c>
      <c r="CF715" s="27" t="s">
        <v>7</v>
      </c>
    </row>
    <row r="716" spans="1:87" x14ac:dyDescent="0.25">
      <c r="A716" s="7">
        <v>7.7728062567582412E-2</v>
      </c>
      <c r="B716"/>
      <c r="C716"/>
      <c r="D716"/>
      <c r="E716"/>
      <c r="F716" s="27" t="s">
        <v>7</v>
      </c>
      <c r="K716" s="27" t="s">
        <v>8</v>
      </c>
      <c r="L716" s="27" t="s">
        <v>7</v>
      </c>
      <c r="M716" s="27" t="s">
        <v>8</v>
      </c>
      <c r="CA716" s="27" t="s">
        <v>8</v>
      </c>
      <c r="CD716" s="27" t="s">
        <v>7</v>
      </c>
      <c r="CE716" s="27" t="s">
        <v>8</v>
      </c>
    </row>
    <row r="717" spans="1:87" x14ac:dyDescent="0.25">
      <c r="A717" s="7">
        <v>7.6203982909394521E-2</v>
      </c>
      <c r="B717"/>
      <c r="C717"/>
      <c r="D717"/>
      <c r="E717"/>
      <c r="F717" s="27" t="s">
        <v>7</v>
      </c>
      <c r="K717" s="27" t="s">
        <v>8</v>
      </c>
      <c r="L717" s="27" t="s">
        <v>7</v>
      </c>
      <c r="M717" s="27" t="s">
        <v>8</v>
      </c>
      <c r="N717" s="27" t="s">
        <v>7</v>
      </c>
      <c r="CA717" s="27" t="s">
        <v>8</v>
      </c>
      <c r="CD717" s="27" t="s">
        <v>7</v>
      </c>
    </row>
    <row r="718" spans="1:87" x14ac:dyDescent="0.25">
      <c r="A718" s="7">
        <v>7.4709787166073058E-2</v>
      </c>
      <c r="B718"/>
      <c r="C718"/>
      <c r="D718"/>
      <c r="E718"/>
      <c r="F718" s="27" t="s">
        <v>7</v>
      </c>
      <c r="K718" s="27" t="s">
        <v>8</v>
      </c>
      <c r="L718" s="27" t="s">
        <v>7</v>
      </c>
      <c r="M718" s="27" t="s">
        <v>8</v>
      </c>
      <c r="N718" s="27" t="s">
        <v>7</v>
      </c>
      <c r="CA718" s="27" t="s">
        <v>8</v>
      </c>
    </row>
    <row r="719" spans="1:87" x14ac:dyDescent="0.25">
      <c r="A719" s="7">
        <v>7.3244889378503E-2</v>
      </c>
      <c r="B719"/>
      <c r="C719"/>
      <c r="D719"/>
      <c r="E719"/>
      <c r="F719" s="27" t="s">
        <v>7</v>
      </c>
      <c r="K719" s="27" t="s">
        <v>8</v>
      </c>
      <c r="L719" s="27" t="s">
        <v>7</v>
      </c>
      <c r="M719" s="27" t="s">
        <v>8</v>
      </c>
      <c r="N719" s="27" t="s">
        <v>7</v>
      </c>
      <c r="CA719" s="27" t="s">
        <v>8</v>
      </c>
    </row>
    <row r="720" spans="1:87" x14ac:dyDescent="0.25">
      <c r="A720" s="7">
        <v>7.1808715076963722E-2</v>
      </c>
      <c r="B720"/>
      <c r="C720"/>
      <c r="D720"/>
      <c r="E720"/>
      <c r="F720" s="27" t="s">
        <v>7</v>
      </c>
      <c r="K720" s="27" t="s">
        <v>8</v>
      </c>
      <c r="L720" s="27" t="s">
        <v>7</v>
      </c>
      <c r="M720" s="27" t="s">
        <v>8</v>
      </c>
      <c r="N720" s="27" t="s">
        <v>7</v>
      </c>
      <c r="CA720" s="27" t="s">
        <v>8</v>
      </c>
    </row>
    <row r="721" spans="1:79" x14ac:dyDescent="0.25">
      <c r="A721" s="7">
        <v>7.0400701055846782E-2</v>
      </c>
      <c r="B721"/>
      <c r="C721"/>
      <c r="D721"/>
      <c r="E721"/>
      <c r="F721" s="27" t="s">
        <v>7</v>
      </c>
      <c r="K721" s="27" t="s">
        <v>8</v>
      </c>
      <c r="L721" s="27" t="s">
        <v>7</v>
      </c>
      <c r="M721" s="27" t="s">
        <v>8</v>
      </c>
      <c r="N721" s="27" t="s">
        <v>7</v>
      </c>
      <c r="CA721" s="27" t="s">
        <v>8</v>
      </c>
    </row>
    <row r="722" spans="1:79" x14ac:dyDescent="0.25">
      <c r="A722" s="7">
        <v>6.9020295152790956E-2</v>
      </c>
      <c r="B722"/>
      <c r="C722"/>
      <c r="D722"/>
      <c r="E722"/>
      <c r="F722" s="27" t="s">
        <v>7</v>
      </c>
      <c r="K722" s="27" t="s">
        <v>8</v>
      </c>
      <c r="L722" s="27" t="s">
        <v>7</v>
      </c>
      <c r="M722" s="27" t="s">
        <v>8</v>
      </c>
      <c r="N722" s="27" t="s">
        <v>7</v>
      </c>
      <c r="CA722" s="27" t="s">
        <v>8</v>
      </c>
    </row>
    <row r="723" spans="1:79" x14ac:dyDescent="0.25">
      <c r="A723" s="7">
        <v>6.7666956032147993E-2</v>
      </c>
      <c r="B723"/>
      <c r="C723"/>
      <c r="D723"/>
      <c r="E723"/>
      <c r="F723" s="27" t="s">
        <v>7</v>
      </c>
      <c r="K723" s="27" t="s">
        <v>8</v>
      </c>
      <c r="L723" s="27" t="s">
        <v>7</v>
      </c>
      <c r="M723" s="27" t="s">
        <v>8</v>
      </c>
      <c r="N723" s="27" t="s">
        <v>7</v>
      </c>
      <c r="CA723" s="27" t="s">
        <v>8</v>
      </c>
    </row>
    <row r="724" spans="1:79" x14ac:dyDescent="0.25">
      <c r="A724" s="7">
        <v>6.6340152972694105E-2</v>
      </c>
      <c r="B724"/>
      <c r="C724"/>
      <c r="D724"/>
      <c r="E724"/>
      <c r="F724" s="27" t="s">
        <v>7</v>
      </c>
      <c r="K724" s="27" t="s">
        <v>8</v>
      </c>
      <c r="L724" s="27" t="s">
        <v>7</v>
      </c>
      <c r="M724" s="27" t="s">
        <v>8</v>
      </c>
      <c r="N724" s="27" t="s">
        <v>7</v>
      </c>
      <c r="CA724" s="27" t="s">
        <v>8</v>
      </c>
    </row>
    <row r="725" spans="1:79" x14ac:dyDescent="0.25">
      <c r="A725" s="7">
        <v>6.5039365659504023E-2</v>
      </c>
      <c r="B725"/>
      <c r="C725"/>
      <c r="D725"/>
      <c r="E725"/>
      <c r="F725" s="27" t="s">
        <v>7</v>
      </c>
      <c r="G725" s="27" t="s">
        <v>8</v>
      </c>
      <c r="K725" s="27" t="s">
        <v>8</v>
      </c>
      <c r="L725" s="27" t="s">
        <v>7</v>
      </c>
      <c r="N725" s="27" t="s">
        <v>7</v>
      </c>
      <c r="CA725" s="27" t="s">
        <v>8</v>
      </c>
    </row>
    <row r="726" spans="1:79" x14ac:dyDescent="0.25">
      <c r="A726" s="7">
        <v>6.3764083979905906E-2</v>
      </c>
      <c r="B726"/>
      <c r="C726"/>
      <c r="D726"/>
      <c r="E726"/>
      <c r="F726" s="27" t="s">
        <v>7</v>
      </c>
      <c r="G726" s="27" t="s">
        <v>8</v>
      </c>
      <c r="H726" s="27" t="s">
        <v>7</v>
      </c>
      <c r="K726" s="27" t="s">
        <v>8</v>
      </c>
      <c r="N726" s="27" t="s">
        <v>7</v>
      </c>
      <c r="CA726" s="27" t="s">
        <v>8</v>
      </c>
    </row>
    <row r="727" spans="1:79" x14ac:dyDescent="0.25">
      <c r="A727" s="7">
        <v>6.251380782343717E-2</v>
      </c>
      <c r="B727"/>
      <c r="C727"/>
      <c r="D727"/>
      <c r="E727"/>
      <c r="F727" s="27" t="s">
        <v>7</v>
      </c>
      <c r="G727" s="27" t="s">
        <v>8</v>
      </c>
      <c r="H727" s="27" t="s">
        <v>7</v>
      </c>
      <c r="K727" s="27" t="s">
        <v>8</v>
      </c>
      <c r="N727" s="27" t="s">
        <v>7</v>
      </c>
      <c r="CA727" s="27" t="s">
        <v>8</v>
      </c>
    </row>
    <row r="728" spans="1:79" x14ac:dyDescent="0.25">
      <c r="A728" s="7">
        <v>6.1288046885722716E-2</v>
      </c>
      <c r="B728"/>
      <c r="C728"/>
      <c r="D728"/>
      <c r="E728"/>
      <c r="F728" s="27" t="s">
        <v>7</v>
      </c>
      <c r="G728" s="27" t="s">
        <v>8</v>
      </c>
      <c r="H728" s="27" t="s">
        <v>7</v>
      </c>
      <c r="K728" s="27" t="s">
        <v>8</v>
      </c>
      <c r="N728" s="27" t="s">
        <v>7</v>
      </c>
      <c r="AW728" s="27" t="s">
        <v>8</v>
      </c>
      <c r="CA728" s="27" t="s">
        <v>8</v>
      </c>
    </row>
    <row r="729" spans="1:79" x14ac:dyDescent="0.25">
      <c r="A729" s="7">
        <v>6.0086320476198739E-2</v>
      </c>
      <c r="B729"/>
      <c r="C729"/>
      <c r="D729"/>
      <c r="E729"/>
      <c r="F729" s="27" t="s">
        <v>7</v>
      </c>
      <c r="G729" s="27" t="s">
        <v>8</v>
      </c>
      <c r="H729" s="27" t="s">
        <v>7</v>
      </c>
      <c r="K729" s="27" t="s">
        <v>8</v>
      </c>
      <c r="N729" s="27" t="s">
        <v>7</v>
      </c>
      <c r="AW729" s="27" t="s">
        <v>8</v>
      </c>
      <c r="AX729" s="27" t="s">
        <v>7</v>
      </c>
      <c r="CA729" s="27" t="s">
        <v>8</v>
      </c>
    </row>
    <row r="730" spans="1:79" x14ac:dyDescent="0.25">
      <c r="A730" s="7">
        <v>5.8908157329606609E-2</v>
      </c>
      <c r="B730"/>
      <c r="C730"/>
      <c r="D730"/>
      <c r="E730"/>
      <c r="F730" s="27" t="s">
        <v>7</v>
      </c>
      <c r="G730" s="27" t="s">
        <v>8</v>
      </c>
      <c r="H730" s="27" t="s">
        <v>7</v>
      </c>
      <c r="K730" s="27" t="s">
        <v>8</v>
      </c>
      <c r="N730" s="27" t="s">
        <v>7</v>
      </c>
      <c r="AW730" s="27" t="s">
        <v>8</v>
      </c>
      <c r="AX730" s="27" t="s">
        <v>7</v>
      </c>
      <c r="CA730" s="27" t="s">
        <v>8</v>
      </c>
    </row>
    <row r="731" spans="1:79" x14ac:dyDescent="0.25">
      <c r="A731" s="7">
        <v>5.7753095421182947E-2</v>
      </c>
      <c r="B731"/>
      <c r="C731"/>
      <c r="D731"/>
      <c r="E731"/>
      <c r="F731" s="27" t="s">
        <v>7</v>
      </c>
      <c r="G731" s="27" t="s">
        <v>8</v>
      </c>
      <c r="H731" s="27" t="s">
        <v>7</v>
      </c>
      <c r="K731" s="27" t="s">
        <v>8</v>
      </c>
      <c r="N731" s="27" t="s">
        <v>7</v>
      </c>
      <c r="O731" s="27" t="s">
        <v>8</v>
      </c>
      <c r="AW731" s="27" t="s">
        <v>8</v>
      </c>
      <c r="AX731" s="27" t="s">
        <v>7</v>
      </c>
      <c r="CA731" s="27" t="s">
        <v>8</v>
      </c>
    </row>
    <row r="732" spans="1:79" x14ac:dyDescent="0.25">
      <c r="A732" s="7">
        <v>5.6620681785473484E-2</v>
      </c>
      <c r="B732"/>
      <c r="C732"/>
      <c r="D732"/>
      <c r="E732"/>
      <c r="F732" s="27" t="s">
        <v>7</v>
      </c>
      <c r="G732" s="27" t="s">
        <v>8</v>
      </c>
      <c r="H732" s="27" t="s">
        <v>7</v>
      </c>
      <c r="I732" s="27" t="s">
        <v>8</v>
      </c>
      <c r="K732" s="27" t="s">
        <v>8</v>
      </c>
      <c r="N732" s="27" t="s">
        <v>7</v>
      </c>
      <c r="O732" s="27" t="s">
        <v>8</v>
      </c>
      <c r="P732" s="27" t="s">
        <v>7</v>
      </c>
      <c r="AW732" s="27" t="s">
        <v>8</v>
      </c>
      <c r="AX732" s="27" t="s">
        <v>7</v>
      </c>
      <c r="CA732" s="27" t="s">
        <v>8</v>
      </c>
    </row>
    <row r="733" spans="1:79" x14ac:dyDescent="0.25">
      <c r="A733" s="7">
        <v>5.5510472338699497E-2</v>
      </c>
      <c r="B733"/>
      <c r="C733"/>
      <c r="D733"/>
      <c r="E733"/>
      <c r="F733" s="27" t="s">
        <v>7</v>
      </c>
      <c r="G733" s="27" t="s">
        <v>8</v>
      </c>
      <c r="H733" s="27" t="s">
        <v>7</v>
      </c>
      <c r="I733" s="27" t="s">
        <v>8</v>
      </c>
      <c r="J733" s="27" t="s">
        <v>7</v>
      </c>
      <c r="K733" s="27" t="s">
        <v>8</v>
      </c>
      <c r="N733" s="27" t="s">
        <v>7</v>
      </c>
      <c r="O733" s="27" t="s">
        <v>8</v>
      </c>
      <c r="P733" s="27" t="s">
        <v>7</v>
      </c>
      <c r="AS733" s="27" t="s">
        <v>8</v>
      </c>
      <c r="AW733" s="27" t="s">
        <v>8</v>
      </c>
      <c r="AX733" s="27" t="s">
        <v>7</v>
      </c>
      <c r="BE733" s="27" t="s">
        <v>8</v>
      </c>
      <c r="BM733" s="27" t="s">
        <v>8</v>
      </c>
      <c r="CA733" s="27" t="s">
        <v>8</v>
      </c>
    </row>
    <row r="734" spans="1:79" x14ac:dyDescent="0.25">
      <c r="A734" s="7">
        <v>5.4422031704607354E-2</v>
      </c>
      <c r="B734"/>
      <c r="C734"/>
      <c r="D734"/>
      <c r="E734"/>
      <c r="F734" s="27" t="s">
        <v>7</v>
      </c>
      <c r="G734" s="27" t="s">
        <v>8</v>
      </c>
      <c r="H734" s="27" t="s">
        <v>7</v>
      </c>
      <c r="I734" s="27" t="s">
        <v>8</v>
      </c>
      <c r="J734" s="27" t="s">
        <v>7</v>
      </c>
      <c r="K734" s="27" t="s">
        <v>8</v>
      </c>
      <c r="N734" s="27" t="s">
        <v>7</v>
      </c>
      <c r="O734" s="27" t="s">
        <v>8</v>
      </c>
      <c r="P734" s="27" t="s">
        <v>7</v>
      </c>
      <c r="Q734" s="27" t="s">
        <v>8</v>
      </c>
      <c r="AE734" s="27" t="s">
        <v>8</v>
      </c>
      <c r="AS734" s="27" t="s">
        <v>8</v>
      </c>
      <c r="AT734" s="27" t="s">
        <v>7</v>
      </c>
      <c r="AW734" s="27" t="s">
        <v>8</v>
      </c>
      <c r="AX734" s="27" t="s">
        <v>7</v>
      </c>
      <c r="BE734" s="27" t="s">
        <v>8</v>
      </c>
      <c r="BF734" s="27" t="s">
        <v>7</v>
      </c>
      <c r="BM734" s="27" t="s">
        <v>8</v>
      </c>
      <c r="BN734" s="27" t="s">
        <v>7</v>
      </c>
      <c r="CA734" s="27" t="s">
        <v>8</v>
      </c>
    </row>
    <row r="735" spans="1:79" x14ac:dyDescent="0.25">
      <c r="A735" s="7">
        <v>5.3354933043732705E-2</v>
      </c>
      <c r="B735"/>
      <c r="C735"/>
      <c r="D735"/>
      <c r="E735"/>
      <c r="F735" s="27" t="s">
        <v>7</v>
      </c>
      <c r="G735" s="27" t="s">
        <v>8</v>
      </c>
      <c r="H735" s="27" t="s">
        <v>7</v>
      </c>
      <c r="I735" s="27" t="s">
        <v>8</v>
      </c>
      <c r="J735" s="27" t="s">
        <v>7</v>
      </c>
      <c r="K735" s="27" t="s">
        <v>8</v>
      </c>
      <c r="N735" s="27" t="s">
        <v>7</v>
      </c>
      <c r="O735" s="27" t="s">
        <v>8</v>
      </c>
      <c r="P735" s="27" t="s">
        <v>7</v>
      </c>
      <c r="Q735" s="27" t="s">
        <v>8</v>
      </c>
      <c r="R735" s="27" t="s">
        <v>7</v>
      </c>
      <c r="AE735" s="27" t="s">
        <v>8</v>
      </c>
      <c r="AF735" s="27" t="s">
        <v>7</v>
      </c>
      <c r="AS735" s="27" t="s">
        <v>8</v>
      </c>
      <c r="AT735" s="27" t="s">
        <v>7</v>
      </c>
      <c r="AW735" s="27" t="s">
        <v>8</v>
      </c>
      <c r="AX735" s="27" t="s">
        <v>7</v>
      </c>
      <c r="BE735" s="27" t="s">
        <v>8</v>
      </c>
      <c r="BF735" s="27" t="s">
        <v>7</v>
      </c>
      <c r="BI735" s="27" t="s">
        <v>8</v>
      </c>
      <c r="BM735" s="27" t="s">
        <v>8</v>
      </c>
      <c r="BN735" s="27" t="s">
        <v>7</v>
      </c>
      <c r="CA735" s="27" t="s">
        <v>8</v>
      </c>
    </row>
    <row r="736" spans="1:79" x14ac:dyDescent="0.25">
      <c r="A736" s="7">
        <v>5.2308757886012455E-2</v>
      </c>
      <c r="B736"/>
      <c r="C736"/>
      <c r="D736"/>
      <c r="E736"/>
      <c r="F736" s="27" t="s">
        <v>7</v>
      </c>
      <c r="G736" s="27" t="s">
        <v>8</v>
      </c>
      <c r="H736" s="27" t="s">
        <v>7</v>
      </c>
      <c r="I736" s="27" t="s">
        <v>8</v>
      </c>
      <c r="J736" s="27" t="s">
        <v>7</v>
      </c>
      <c r="K736" s="27" t="s">
        <v>8</v>
      </c>
      <c r="N736" s="27" t="s">
        <v>7</v>
      </c>
      <c r="O736" s="27" t="s">
        <v>8</v>
      </c>
      <c r="P736" s="27" t="s">
        <v>7</v>
      </c>
      <c r="Q736" s="27" t="s">
        <v>8</v>
      </c>
      <c r="R736" s="27" t="s">
        <v>7</v>
      </c>
      <c r="AE736" s="27" t="s">
        <v>8</v>
      </c>
      <c r="AF736" s="27" t="s">
        <v>7</v>
      </c>
      <c r="AS736" s="27" t="s">
        <v>8</v>
      </c>
      <c r="AT736" s="27" t="s">
        <v>7</v>
      </c>
      <c r="AW736" s="27" t="s">
        <v>8</v>
      </c>
      <c r="AX736" s="27" t="s">
        <v>7</v>
      </c>
      <c r="BE736" s="27" t="s">
        <v>8</v>
      </c>
      <c r="BF736" s="27" t="s">
        <v>7</v>
      </c>
      <c r="BI736" s="27" t="s">
        <v>8</v>
      </c>
      <c r="BJ736" s="27" t="s">
        <v>7</v>
      </c>
      <c r="BK736" s="27" t="s">
        <v>8</v>
      </c>
      <c r="BM736" s="27" t="s">
        <v>8</v>
      </c>
      <c r="BN736" s="27" t="s">
        <v>7</v>
      </c>
      <c r="CA736" s="27" t="s">
        <v>8</v>
      </c>
    </row>
    <row r="737" spans="1:79" x14ac:dyDescent="0.25">
      <c r="A737" s="7">
        <v>5.1283095966678877E-2</v>
      </c>
      <c r="B737"/>
      <c r="C737"/>
      <c r="D737"/>
      <c r="E737"/>
      <c r="F737" s="27" t="s">
        <v>7</v>
      </c>
      <c r="G737" s="27" t="s">
        <v>8</v>
      </c>
      <c r="H737" s="27" t="s">
        <v>7</v>
      </c>
      <c r="I737" s="27" t="s">
        <v>8</v>
      </c>
      <c r="J737" s="27" t="s">
        <v>7</v>
      </c>
      <c r="K737" s="27" t="s">
        <v>8</v>
      </c>
      <c r="N737" s="27" t="s">
        <v>7</v>
      </c>
      <c r="O737" s="27" t="s">
        <v>8</v>
      </c>
      <c r="P737" s="27" t="s">
        <v>7</v>
      </c>
      <c r="Q737" s="27" t="s">
        <v>8</v>
      </c>
      <c r="R737" s="27" t="s">
        <v>7</v>
      </c>
      <c r="AE737" s="27" t="s">
        <v>8</v>
      </c>
      <c r="AF737" s="27" t="s">
        <v>7</v>
      </c>
      <c r="AG737" s="27" t="s">
        <v>8</v>
      </c>
      <c r="AS737" s="27" t="s">
        <v>8</v>
      </c>
      <c r="AT737" s="27" t="s">
        <v>7</v>
      </c>
      <c r="AW737" s="27" t="s">
        <v>8</v>
      </c>
      <c r="AX737" s="27" t="s">
        <v>7</v>
      </c>
      <c r="BE737" s="27" t="s">
        <v>8</v>
      </c>
      <c r="BF737" s="27" t="s">
        <v>7</v>
      </c>
      <c r="BI737" s="27" t="s">
        <v>8</v>
      </c>
      <c r="BJ737" s="27" t="s">
        <v>7</v>
      </c>
      <c r="BK737" s="27" t="s">
        <v>8</v>
      </c>
      <c r="BL737" s="27" t="s">
        <v>7</v>
      </c>
      <c r="BM737" s="27" t="s">
        <v>8</v>
      </c>
      <c r="BN737" s="27" t="s">
        <v>7</v>
      </c>
      <c r="CA737" s="27" t="s">
        <v>8</v>
      </c>
    </row>
    <row r="738" spans="1:79" x14ac:dyDescent="0.25">
      <c r="A738" s="7">
        <v>5.0277545065371444E-2</v>
      </c>
      <c r="B738"/>
      <c r="C738"/>
      <c r="D738"/>
      <c r="E738"/>
      <c r="F738" s="27" t="s">
        <v>7</v>
      </c>
      <c r="G738" s="27" t="s">
        <v>8</v>
      </c>
      <c r="H738" s="27" t="s">
        <v>7</v>
      </c>
      <c r="I738" s="27" t="s">
        <v>8</v>
      </c>
      <c r="J738" s="27" t="s">
        <v>7</v>
      </c>
      <c r="K738" s="27" t="s">
        <v>8</v>
      </c>
      <c r="N738" s="27" t="s">
        <v>7</v>
      </c>
      <c r="O738" s="27" t="s">
        <v>8</v>
      </c>
      <c r="P738" s="27" t="s">
        <v>7</v>
      </c>
      <c r="Q738" s="27" t="s">
        <v>8</v>
      </c>
      <c r="R738" s="27" t="s">
        <v>7</v>
      </c>
      <c r="S738" s="27" t="s">
        <v>8</v>
      </c>
      <c r="Y738" s="27" t="s">
        <v>8</v>
      </c>
      <c r="AE738" s="27" t="s">
        <v>8</v>
      </c>
      <c r="AF738" s="27" t="s">
        <v>7</v>
      </c>
      <c r="AG738" s="27" t="s">
        <v>8</v>
      </c>
      <c r="AH738" s="27" t="s">
        <v>7</v>
      </c>
      <c r="AI738" s="27" t="s">
        <v>8</v>
      </c>
      <c r="AS738" s="27" t="s">
        <v>8</v>
      </c>
      <c r="AT738" s="27" t="s">
        <v>7</v>
      </c>
      <c r="AW738" s="27" t="s">
        <v>8</v>
      </c>
      <c r="AX738" s="27" t="s">
        <v>7</v>
      </c>
      <c r="BE738" s="27" t="s">
        <v>8</v>
      </c>
      <c r="BF738" s="27" t="s">
        <v>7</v>
      </c>
      <c r="BG738" s="27" t="s">
        <v>8</v>
      </c>
      <c r="BI738" s="27" t="s">
        <v>8</v>
      </c>
      <c r="BJ738" s="27" t="s">
        <v>7</v>
      </c>
      <c r="BK738" s="27" t="s">
        <v>8</v>
      </c>
      <c r="BL738" s="27" t="s">
        <v>7</v>
      </c>
      <c r="BM738" s="27" t="s">
        <v>8</v>
      </c>
      <c r="BN738" s="27" t="s">
        <v>7</v>
      </c>
      <c r="CA738" s="27" t="s">
        <v>8</v>
      </c>
    </row>
    <row r="739" spans="1:79" x14ac:dyDescent="0.25">
      <c r="A739" s="7">
        <v>4.9291710848403378E-2</v>
      </c>
      <c r="B739"/>
      <c r="C739"/>
      <c r="D739"/>
      <c r="E739"/>
      <c r="F739" s="27" t="s">
        <v>7</v>
      </c>
      <c r="G739" s="27" t="s">
        <v>8</v>
      </c>
      <c r="H739" s="27" t="s">
        <v>7</v>
      </c>
      <c r="I739" s="27" t="s">
        <v>8</v>
      </c>
      <c r="J739" s="27" t="s">
        <v>7</v>
      </c>
      <c r="K739" s="27" t="s">
        <v>8</v>
      </c>
      <c r="N739" s="27" t="s">
        <v>7</v>
      </c>
      <c r="O739" s="27" t="s">
        <v>8</v>
      </c>
      <c r="P739" s="27" t="s">
        <v>7</v>
      </c>
      <c r="Q739" s="27" t="s">
        <v>8</v>
      </c>
      <c r="R739" s="27" t="s">
        <v>7</v>
      </c>
      <c r="S739" s="27" t="s">
        <v>8</v>
      </c>
      <c r="T739" s="27" t="s">
        <v>7</v>
      </c>
      <c r="Y739" s="27" t="s">
        <v>8</v>
      </c>
      <c r="Z739" s="27" t="s">
        <v>7</v>
      </c>
      <c r="AE739" s="27" t="s">
        <v>8</v>
      </c>
      <c r="AF739" s="27" t="s">
        <v>7</v>
      </c>
      <c r="AG739" s="27" t="s">
        <v>8</v>
      </c>
      <c r="AH739" s="27" t="s">
        <v>7</v>
      </c>
      <c r="AI739" s="27" t="s">
        <v>8</v>
      </c>
      <c r="AJ739" s="27" t="s">
        <v>7</v>
      </c>
      <c r="AS739" s="27" t="s">
        <v>8</v>
      </c>
      <c r="AT739" s="27" t="s">
        <v>7</v>
      </c>
      <c r="AW739" s="27" t="s">
        <v>8</v>
      </c>
      <c r="AX739" s="27" t="s">
        <v>7</v>
      </c>
      <c r="BA739" s="27" t="s">
        <v>8</v>
      </c>
      <c r="BE739" s="27" t="s">
        <v>8</v>
      </c>
      <c r="BF739" s="27" t="s">
        <v>7</v>
      </c>
      <c r="BG739" s="27" t="s">
        <v>8</v>
      </c>
      <c r="BH739" s="27" t="s">
        <v>7</v>
      </c>
      <c r="BI739" s="27" t="s">
        <v>8</v>
      </c>
      <c r="BJ739" s="27" t="s">
        <v>7</v>
      </c>
      <c r="BL739" s="27" t="s">
        <v>7</v>
      </c>
      <c r="BM739" s="27" t="s">
        <v>8</v>
      </c>
      <c r="BN739" s="27" t="s">
        <v>7</v>
      </c>
      <c r="CA739" s="27" t="s">
        <v>8</v>
      </c>
    </row>
    <row r="740" spans="1:79" x14ac:dyDescent="0.25">
      <c r="A740" s="7">
        <v>4.8325206714120959E-2</v>
      </c>
      <c r="B740"/>
      <c r="C740"/>
      <c r="D740"/>
      <c r="E740"/>
      <c r="F740" s="27" t="s">
        <v>7</v>
      </c>
      <c r="H740" s="27" t="s">
        <v>7</v>
      </c>
      <c r="J740" s="27" t="s">
        <v>7</v>
      </c>
      <c r="K740" s="27" t="s">
        <v>8</v>
      </c>
      <c r="N740" s="27" t="s">
        <v>7</v>
      </c>
      <c r="O740" s="27" t="s">
        <v>8</v>
      </c>
      <c r="P740" s="27" t="s">
        <v>7</v>
      </c>
      <c r="Q740" s="27" t="s">
        <v>8</v>
      </c>
      <c r="R740" s="27" t="s">
        <v>7</v>
      </c>
      <c r="S740" s="27" t="s">
        <v>8</v>
      </c>
      <c r="T740" s="27" t="s">
        <v>7</v>
      </c>
      <c r="Y740" s="27" t="s">
        <v>8</v>
      </c>
      <c r="Z740" s="27" t="s">
        <v>7</v>
      </c>
      <c r="AE740" s="27" t="s">
        <v>8</v>
      </c>
      <c r="AF740" s="27" t="s">
        <v>7</v>
      </c>
      <c r="AG740" s="27" t="s">
        <v>8</v>
      </c>
      <c r="AH740" s="27" t="s">
        <v>7</v>
      </c>
      <c r="AI740" s="27" t="s">
        <v>8</v>
      </c>
      <c r="AJ740" s="27" t="s">
        <v>7</v>
      </c>
      <c r="AS740" s="27" t="s">
        <v>8</v>
      </c>
      <c r="AT740" s="27" t="s">
        <v>7</v>
      </c>
      <c r="AW740" s="27" t="s">
        <v>8</v>
      </c>
      <c r="AX740" s="27" t="s">
        <v>7</v>
      </c>
      <c r="BA740" s="27" t="s">
        <v>8</v>
      </c>
      <c r="BB740" s="27" t="s">
        <v>7</v>
      </c>
      <c r="BC740" s="27" t="s">
        <v>8</v>
      </c>
      <c r="BE740" s="27" t="s">
        <v>8</v>
      </c>
      <c r="BF740" s="27" t="s">
        <v>7</v>
      </c>
      <c r="BG740" s="27" t="s">
        <v>8</v>
      </c>
      <c r="BH740" s="27" t="s">
        <v>7</v>
      </c>
      <c r="BI740" s="27" t="s">
        <v>8</v>
      </c>
      <c r="BL740" s="27" t="s">
        <v>7</v>
      </c>
      <c r="BM740" s="27" t="s">
        <v>8</v>
      </c>
      <c r="BN740" s="27" t="s">
        <v>7</v>
      </c>
      <c r="CA740" s="27" t="s">
        <v>8</v>
      </c>
    </row>
    <row r="741" spans="1:79" x14ac:dyDescent="0.25">
      <c r="A741" s="7">
        <v>4.7377653641295057E-2</v>
      </c>
      <c r="B741"/>
      <c r="C741"/>
      <c r="D741"/>
      <c r="E741"/>
      <c r="J741" s="27" t="s">
        <v>7</v>
      </c>
      <c r="K741" s="27" t="s">
        <v>8</v>
      </c>
      <c r="N741" s="27" t="s">
        <v>7</v>
      </c>
      <c r="O741" s="27" t="s">
        <v>8</v>
      </c>
      <c r="P741" s="27" t="s">
        <v>7</v>
      </c>
      <c r="Q741" s="27" t="s">
        <v>8</v>
      </c>
      <c r="R741" s="27" t="s">
        <v>7</v>
      </c>
      <c r="S741" s="27" t="s">
        <v>8</v>
      </c>
      <c r="T741" s="27" t="s">
        <v>7</v>
      </c>
      <c r="W741" s="27" t="s">
        <v>8</v>
      </c>
      <c r="Y741" s="27" t="s">
        <v>8</v>
      </c>
      <c r="Z741" s="27" t="s">
        <v>7</v>
      </c>
      <c r="AC741" s="27" t="s">
        <v>8</v>
      </c>
      <c r="AE741" s="27" t="s">
        <v>8</v>
      </c>
      <c r="AF741" s="27" t="s">
        <v>7</v>
      </c>
      <c r="AG741" s="27" t="s">
        <v>8</v>
      </c>
      <c r="AH741" s="27" t="s">
        <v>7</v>
      </c>
      <c r="AI741" s="27" t="s">
        <v>8</v>
      </c>
      <c r="AJ741" s="27" t="s">
        <v>7</v>
      </c>
      <c r="AS741" s="27" t="s">
        <v>8</v>
      </c>
      <c r="AT741" s="27" t="s">
        <v>7</v>
      </c>
      <c r="AW741" s="27" t="s">
        <v>8</v>
      </c>
      <c r="AX741" s="27" t="s">
        <v>7</v>
      </c>
      <c r="BA741" s="27" t="s">
        <v>8</v>
      </c>
      <c r="BB741" s="27" t="s">
        <v>7</v>
      </c>
      <c r="BC741" s="27" t="s">
        <v>8</v>
      </c>
      <c r="BD741" s="27" t="s">
        <v>7</v>
      </c>
      <c r="BE741" s="27" t="s">
        <v>8</v>
      </c>
      <c r="BF741" s="27" t="s">
        <v>7</v>
      </c>
      <c r="BG741" s="27" t="s">
        <v>8</v>
      </c>
      <c r="BH741" s="27" t="s">
        <v>7</v>
      </c>
      <c r="BI741" s="27" t="s">
        <v>8</v>
      </c>
      <c r="BL741" s="27" t="s">
        <v>7</v>
      </c>
      <c r="BN741" s="27" t="s">
        <v>7</v>
      </c>
      <c r="BW741" s="27" t="s">
        <v>8</v>
      </c>
      <c r="BY741" s="27" t="s">
        <v>8</v>
      </c>
      <c r="CA741" s="27" t="s">
        <v>8</v>
      </c>
    </row>
    <row r="742" spans="1:79" x14ac:dyDescent="0.25">
      <c r="A742" s="7">
        <v>4.644868004048535E-2</v>
      </c>
      <c r="B742"/>
      <c r="C742"/>
      <c r="D742"/>
      <c r="E742"/>
      <c r="J742" s="27" t="s">
        <v>7</v>
      </c>
      <c r="K742" s="27" t="s">
        <v>8</v>
      </c>
      <c r="N742" s="27" t="s">
        <v>7</v>
      </c>
      <c r="O742" s="27" t="s">
        <v>8</v>
      </c>
      <c r="P742" s="27" t="s">
        <v>7</v>
      </c>
      <c r="R742" s="27" t="s">
        <v>7</v>
      </c>
      <c r="S742" s="27" t="s">
        <v>8</v>
      </c>
      <c r="T742" s="27" t="s">
        <v>7</v>
      </c>
      <c r="U742" s="27" t="s">
        <v>8</v>
      </c>
      <c r="W742" s="27" t="s">
        <v>8</v>
      </c>
      <c r="X742" s="27" t="s">
        <v>7</v>
      </c>
      <c r="Y742" s="27" t="s">
        <v>8</v>
      </c>
      <c r="Z742" s="27" t="s">
        <v>7</v>
      </c>
      <c r="AC742" s="27" t="s">
        <v>8</v>
      </c>
      <c r="AD742" s="27" t="s">
        <v>7</v>
      </c>
      <c r="AE742" s="27" t="s">
        <v>8</v>
      </c>
      <c r="AF742" s="27" t="s">
        <v>7</v>
      </c>
      <c r="AG742" s="27" t="s">
        <v>8</v>
      </c>
      <c r="AH742" s="27" t="s">
        <v>7</v>
      </c>
      <c r="AI742" s="27" t="s">
        <v>8</v>
      </c>
      <c r="AJ742" s="27" t="s">
        <v>7</v>
      </c>
      <c r="AS742" s="27" t="s">
        <v>8</v>
      </c>
      <c r="AT742" s="27" t="s">
        <v>7</v>
      </c>
      <c r="AW742" s="27" t="s">
        <v>8</v>
      </c>
      <c r="AX742" s="27" t="s">
        <v>7</v>
      </c>
      <c r="AY742" s="27" t="s">
        <v>8</v>
      </c>
      <c r="BA742" s="27" t="s">
        <v>8</v>
      </c>
      <c r="BB742" s="27" t="s">
        <v>7</v>
      </c>
      <c r="BC742" s="27" t="s">
        <v>8</v>
      </c>
      <c r="BD742" s="27" t="s">
        <v>7</v>
      </c>
      <c r="BE742" s="27" t="s">
        <v>8</v>
      </c>
      <c r="BF742" s="27" t="s">
        <v>7</v>
      </c>
      <c r="BG742" s="27" t="s">
        <v>8</v>
      </c>
      <c r="BH742" s="27" t="s">
        <v>7</v>
      </c>
      <c r="BN742" s="27" t="s">
        <v>7</v>
      </c>
      <c r="BW742" s="27" t="s">
        <v>8</v>
      </c>
      <c r="BX742" s="27" t="s">
        <v>7</v>
      </c>
      <c r="BY742" s="27" t="s">
        <v>8</v>
      </c>
      <c r="BZ742" s="27" t="s">
        <v>7</v>
      </c>
      <c r="CA742" s="27" t="s">
        <v>8</v>
      </c>
    </row>
    <row r="743" spans="1:79" x14ac:dyDescent="0.25">
      <c r="A743" s="7">
        <v>4.5537921608318974E-2</v>
      </c>
      <c r="B743"/>
      <c r="C743"/>
      <c r="D743"/>
      <c r="E743"/>
      <c r="J743" s="27" t="s">
        <v>7</v>
      </c>
      <c r="K743" s="27" t="s">
        <v>8</v>
      </c>
      <c r="N743" s="27" t="s">
        <v>7</v>
      </c>
      <c r="O743" s="27" t="s">
        <v>8</v>
      </c>
      <c r="R743" s="27" t="s">
        <v>7</v>
      </c>
      <c r="S743" s="27" t="s">
        <v>8</v>
      </c>
      <c r="T743" s="27" t="s">
        <v>7</v>
      </c>
      <c r="U743" s="27" t="s">
        <v>8</v>
      </c>
      <c r="V743" s="27" t="s">
        <v>7</v>
      </c>
      <c r="W743" s="27" t="s">
        <v>8</v>
      </c>
      <c r="X743" s="27" t="s">
        <v>7</v>
      </c>
      <c r="Y743" s="27" t="s">
        <v>8</v>
      </c>
      <c r="Z743" s="27" t="s">
        <v>7</v>
      </c>
      <c r="AA743" s="27" t="s">
        <v>8</v>
      </c>
      <c r="AC743" s="27" t="s">
        <v>8</v>
      </c>
      <c r="AD743" s="27" t="s">
        <v>7</v>
      </c>
      <c r="AE743" s="27" t="s">
        <v>8</v>
      </c>
      <c r="AF743" s="27" t="s">
        <v>7</v>
      </c>
      <c r="AG743" s="27" t="s">
        <v>8</v>
      </c>
      <c r="AH743" s="27" t="s">
        <v>7</v>
      </c>
      <c r="AJ743" s="27" t="s">
        <v>7</v>
      </c>
      <c r="AS743" s="27" t="s">
        <v>8</v>
      </c>
      <c r="AT743" s="27" t="s">
        <v>7</v>
      </c>
      <c r="AW743" s="27" t="s">
        <v>8</v>
      </c>
      <c r="AX743" s="27" t="s">
        <v>7</v>
      </c>
      <c r="AY743" s="27" t="s">
        <v>8</v>
      </c>
      <c r="AZ743" s="27" t="s">
        <v>7</v>
      </c>
      <c r="BA743" s="27" t="s">
        <v>8</v>
      </c>
      <c r="BB743" s="27" t="s">
        <v>7</v>
      </c>
      <c r="BC743" s="27" t="s">
        <v>8</v>
      </c>
      <c r="BD743" s="27" t="s">
        <v>7</v>
      </c>
      <c r="BE743" s="27" t="s">
        <v>8</v>
      </c>
      <c r="BF743" s="27" t="s">
        <v>7</v>
      </c>
      <c r="BN743" s="27" t="s">
        <v>7</v>
      </c>
      <c r="BW743" s="27" t="s">
        <v>8</v>
      </c>
      <c r="BX743" s="27" t="s">
        <v>7</v>
      </c>
      <c r="BY743" s="27" t="s">
        <v>8</v>
      </c>
      <c r="BZ743" s="27" t="s">
        <v>7</v>
      </c>
      <c r="CA743" s="27" t="s">
        <v>8</v>
      </c>
    </row>
    <row r="744" spans="1:79" x14ac:dyDescent="0.25">
      <c r="A744" s="7">
        <v>4.4645021184626446E-2</v>
      </c>
      <c r="B744"/>
      <c r="C744"/>
      <c r="D744"/>
      <c r="E744"/>
      <c r="J744" s="27" t="s">
        <v>7</v>
      </c>
      <c r="K744" s="27" t="s">
        <v>8</v>
      </c>
      <c r="N744" s="27" t="s">
        <v>7</v>
      </c>
      <c r="O744" s="27" t="s">
        <v>8</v>
      </c>
      <c r="R744" s="27" t="s">
        <v>7</v>
      </c>
      <c r="S744" s="27" t="s">
        <v>8</v>
      </c>
      <c r="T744" s="27" t="s">
        <v>7</v>
      </c>
      <c r="U744" s="27" t="s">
        <v>8</v>
      </c>
      <c r="V744" s="27" t="s">
        <v>7</v>
      </c>
      <c r="W744" s="27" t="s">
        <v>8</v>
      </c>
      <c r="X744" s="27" t="s">
        <v>7</v>
      </c>
      <c r="Y744" s="27" t="s">
        <v>8</v>
      </c>
      <c r="Z744" s="27" t="s">
        <v>7</v>
      </c>
      <c r="AA744" s="27" t="s">
        <v>8</v>
      </c>
      <c r="AB744" s="27" t="s">
        <v>7</v>
      </c>
      <c r="AC744" s="27" t="s">
        <v>8</v>
      </c>
      <c r="AD744" s="27" t="s">
        <v>7</v>
      </c>
      <c r="AE744" s="27" t="s">
        <v>8</v>
      </c>
      <c r="AF744" s="27" t="s">
        <v>7</v>
      </c>
      <c r="AG744" s="27" t="s">
        <v>8</v>
      </c>
      <c r="AJ744" s="27" t="s">
        <v>7</v>
      </c>
      <c r="AS744" s="27" t="s">
        <v>8</v>
      </c>
      <c r="AT744" s="27" t="s">
        <v>7</v>
      </c>
      <c r="AW744" s="27" t="s">
        <v>8</v>
      </c>
      <c r="AX744" s="27" t="s">
        <v>7</v>
      </c>
      <c r="AY744" s="27" t="s">
        <v>8</v>
      </c>
      <c r="AZ744" s="27" t="s">
        <v>7</v>
      </c>
      <c r="BA744" s="27" t="s">
        <v>8</v>
      </c>
      <c r="BB744" s="27" t="s">
        <v>7</v>
      </c>
      <c r="BC744" s="27" t="s">
        <v>8</v>
      </c>
      <c r="BD744" s="27" t="s">
        <v>7</v>
      </c>
      <c r="BE744" s="27" t="s">
        <v>8</v>
      </c>
      <c r="BN744" s="27" t="s">
        <v>7</v>
      </c>
      <c r="BW744" s="27" t="s">
        <v>8</v>
      </c>
      <c r="BX744" s="27" t="s">
        <v>7</v>
      </c>
      <c r="BY744" s="27" t="s">
        <v>8</v>
      </c>
      <c r="BZ744" s="27" t="s">
        <v>7</v>
      </c>
      <c r="CA744" s="27" t="s">
        <v>8</v>
      </c>
    </row>
    <row r="745" spans="1:79" x14ac:dyDescent="0.25">
      <c r="A745" s="7">
        <v>4.3769628612378868E-2</v>
      </c>
      <c r="B745"/>
      <c r="C745"/>
      <c r="D745"/>
      <c r="E745"/>
      <c r="J745" s="27" t="s">
        <v>7</v>
      </c>
      <c r="K745" s="27" t="s">
        <v>8</v>
      </c>
      <c r="N745" s="27" t="s">
        <v>7</v>
      </c>
      <c r="O745" s="27" t="s">
        <v>8</v>
      </c>
      <c r="R745" s="27" t="s">
        <v>7</v>
      </c>
      <c r="S745" s="27" t="s">
        <v>8</v>
      </c>
      <c r="T745" s="27" t="s">
        <v>7</v>
      </c>
      <c r="U745" s="27" t="s">
        <v>8</v>
      </c>
      <c r="V745" s="27" t="s">
        <v>7</v>
      </c>
      <c r="W745" s="27" t="s">
        <v>8</v>
      </c>
      <c r="X745" s="27" t="s">
        <v>7</v>
      </c>
      <c r="Y745" s="27" t="s">
        <v>8</v>
      </c>
      <c r="Z745" s="27" t="s">
        <v>7</v>
      </c>
      <c r="AA745" s="27" t="s">
        <v>8</v>
      </c>
      <c r="AB745" s="27" t="s">
        <v>7</v>
      </c>
      <c r="AC745" s="27" t="s">
        <v>8</v>
      </c>
      <c r="AD745" s="27" t="s">
        <v>7</v>
      </c>
      <c r="AE745" s="27" t="s">
        <v>8</v>
      </c>
      <c r="AF745" s="27" t="s">
        <v>7</v>
      </c>
      <c r="AG745" s="27" t="s">
        <v>8</v>
      </c>
      <c r="AJ745" s="27" t="s">
        <v>7</v>
      </c>
      <c r="AK745" s="27" t="s">
        <v>8</v>
      </c>
      <c r="AS745" s="27" t="s">
        <v>8</v>
      </c>
      <c r="AT745" s="27" t="s">
        <v>7</v>
      </c>
      <c r="AW745" s="27" t="s">
        <v>8</v>
      </c>
      <c r="AX745" s="27" t="s">
        <v>7</v>
      </c>
      <c r="AY745" s="27" t="s">
        <v>8</v>
      </c>
      <c r="AZ745" s="27" t="s">
        <v>7</v>
      </c>
      <c r="BA745" s="27" t="s">
        <v>8</v>
      </c>
      <c r="BB745" s="27" t="s">
        <v>7</v>
      </c>
      <c r="BD745" s="27" t="s">
        <v>7</v>
      </c>
      <c r="BE745" s="27" t="s">
        <v>8</v>
      </c>
      <c r="BN745" s="27" t="s">
        <v>7</v>
      </c>
      <c r="BW745" s="27" t="s">
        <v>8</v>
      </c>
      <c r="BX745" s="27" t="s">
        <v>7</v>
      </c>
      <c r="BY745" s="27" t="s">
        <v>8</v>
      </c>
      <c r="BZ745" s="27" t="s">
        <v>7</v>
      </c>
      <c r="CA745" s="27" t="s">
        <v>8</v>
      </c>
    </row>
    <row r="746" spans="1:79" x14ac:dyDescent="0.25">
      <c r="A746" s="7">
        <v>4.2911400600371442E-2</v>
      </c>
      <c r="B746"/>
      <c r="C746"/>
      <c r="D746"/>
      <c r="E746"/>
      <c r="J746" s="27" t="s">
        <v>7</v>
      </c>
      <c r="K746" s="27" t="s">
        <v>8</v>
      </c>
      <c r="N746" s="27" t="s">
        <v>7</v>
      </c>
      <c r="O746" s="27" t="s">
        <v>8</v>
      </c>
      <c r="R746" s="27" t="s">
        <v>7</v>
      </c>
      <c r="S746" s="27" t="s">
        <v>8</v>
      </c>
      <c r="T746" s="27" t="s">
        <v>7</v>
      </c>
      <c r="U746" s="27" t="s">
        <v>8</v>
      </c>
      <c r="V746" s="27" t="s">
        <v>7</v>
      </c>
      <c r="X746" s="27" t="s">
        <v>7</v>
      </c>
      <c r="Y746" s="27" t="s">
        <v>8</v>
      </c>
      <c r="Z746" s="27" t="s">
        <v>7</v>
      </c>
      <c r="AA746" s="27" t="s">
        <v>8</v>
      </c>
      <c r="AB746" s="27" t="s">
        <v>7</v>
      </c>
      <c r="AC746" s="27" t="s">
        <v>8</v>
      </c>
      <c r="AD746" s="27" t="s">
        <v>7</v>
      </c>
      <c r="AE746" s="27" t="s">
        <v>8</v>
      </c>
      <c r="AF746" s="27" t="s">
        <v>7</v>
      </c>
      <c r="AJ746" s="27" t="s">
        <v>7</v>
      </c>
      <c r="AK746" s="27" t="s">
        <v>8</v>
      </c>
      <c r="AL746" s="27" t="s">
        <v>7</v>
      </c>
      <c r="AM746" s="27" t="s">
        <v>8</v>
      </c>
      <c r="AS746" s="27" t="s">
        <v>8</v>
      </c>
      <c r="AT746" s="27" t="s">
        <v>7</v>
      </c>
      <c r="AW746" s="27" t="s">
        <v>8</v>
      </c>
      <c r="AX746" s="27" t="s">
        <v>7</v>
      </c>
      <c r="AY746" s="27" t="s">
        <v>8</v>
      </c>
      <c r="AZ746" s="27" t="s">
        <v>7</v>
      </c>
      <c r="BD746" s="27" t="s">
        <v>7</v>
      </c>
      <c r="BE746" s="27" t="s">
        <v>8</v>
      </c>
      <c r="BN746" s="27" t="s">
        <v>7</v>
      </c>
      <c r="BW746" s="27" t="s">
        <v>8</v>
      </c>
      <c r="BX746" s="27" t="s">
        <v>7</v>
      </c>
      <c r="BY746" s="27" t="s">
        <v>8</v>
      </c>
      <c r="BZ746" s="27" t="s">
        <v>7</v>
      </c>
      <c r="CA746" s="27" t="s">
        <v>8</v>
      </c>
    </row>
    <row r="747" spans="1:79" x14ac:dyDescent="0.25">
      <c r="A747" s="7">
        <v>4.2070000588599457E-2</v>
      </c>
      <c r="B747"/>
      <c r="C747"/>
      <c r="D747"/>
      <c r="E747"/>
      <c r="J747" s="27" t="s">
        <v>7</v>
      </c>
      <c r="K747" s="27" t="s">
        <v>8</v>
      </c>
      <c r="N747" s="27" t="s">
        <v>7</v>
      </c>
      <c r="O747" s="27" t="s">
        <v>8</v>
      </c>
      <c r="R747" s="27" t="s">
        <v>7</v>
      </c>
      <c r="S747" s="27" t="s">
        <v>8</v>
      </c>
      <c r="T747" s="27" t="s">
        <v>7</v>
      </c>
      <c r="U747" s="27" t="s">
        <v>8</v>
      </c>
      <c r="X747" s="27" t="s">
        <v>7</v>
      </c>
      <c r="Y747" s="27" t="s">
        <v>8</v>
      </c>
      <c r="Z747" s="27" t="s">
        <v>7</v>
      </c>
      <c r="AA747" s="27" t="s">
        <v>8</v>
      </c>
      <c r="AB747" s="27" t="s">
        <v>7</v>
      </c>
      <c r="AD747" s="27" t="s">
        <v>7</v>
      </c>
      <c r="AE747" s="27" t="s">
        <v>8</v>
      </c>
      <c r="AJ747" s="27" t="s">
        <v>7</v>
      </c>
      <c r="AK747" s="27" t="s">
        <v>8</v>
      </c>
      <c r="AL747" s="27" t="s">
        <v>7</v>
      </c>
      <c r="AM747" s="27" t="s">
        <v>8</v>
      </c>
      <c r="AN747" s="27" t="s">
        <v>7</v>
      </c>
      <c r="AS747" s="27" t="s">
        <v>8</v>
      </c>
      <c r="AT747" s="27" t="s">
        <v>7</v>
      </c>
      <c r="AW747" s="27" t="s">
        <v>8</v>
      </c>
      <c r="AX747" s="27" t="s">
        <v>7</v>
      </c>
      <c r="AY747" s="27" t="s">
        <v>8</v>
      </c>
      <c r="BD747" s="27" t="s">
        <v>7</v>
      </c>
      <c r="BE747" s="27" t="s">
        <v>8</v>
      </c>
      <c r="BN747" s="27" t="s">
        <v>7</v>
      </c>
      <c r="BO747" s="27" t="s">
        <v>8</v>
      </c>
      <c r="BW747" s="27" t="s">
        <v>8</v>
      </c>
      <c r="BX747" s="27" t="s">
        <v>7</v>
      </c>
      <c r="BY747" s="27" t="s">
        <v>8</v>
      </c>
      <c r="BZ747" s="27" t="s">
        <v>7</v>
      </c>
      <c r="CA747" s="27" t="s">
        <v>8</v>
      </c>
    </row>
    <row r="748" spans="1:79" x14ac:dyDescent="0.25">
      <c r="A748" s="7">
        <v>4.1245098616273977E-2</v>
      </c>
      <c r="B748"/>
      <c r="C748"/>
      <c r="D748"/>
      <c r="E748"/>
      <c r="J748" s="27" t="s">
        <v>7</v>
      </c>
      <c r="K748" s="27" t="s">
        <v>8</v>
      </c>
      <c r="N748" s="27" t="s">
        <v>7</v>
      </c>
      <c r="O748" s="27" t="s">
        <v>8</v>
      </c>
      <c r="R748" s="27" t="s">
        <v>7</v>
      </c>
      <c r="T748" s="27" t="s">
        <v>7</v>
      </c>
      <c r="U748" s="27" t="s">
        <v>8</v>
      </c>
      <c r="X748" s="27" t="s">
        <v>7</v>
      </c>
      <c r="Y748" s="27" t="s">
        <v>8</v>
      </c>
      <c r="Z748" s="27" t="s">
        <v>7</v>
      </c>
      <c r="AD748" s="27" t="s">
        <v>7</v>
      </c>
      <c r="AE748" s="27" t="s">
        <v>8</v>
      </c>
      <c r="AJ748" s="27" t="s">
        <v>7</v>
      </c>
      <c r="AL748" s="27" t="s">
        <v>7</v>
      </c>
      <c r="AM748" s="27" t="s">
        <v>8</v>
      </c>
      <c r="AN748" s="27" t="s">
        <v>7</v>
      </c>
      <c r="AS748" s="27" t="s">
        <v>8</v>
      </c>
      <c r="AT748" s="27" t="s">
        <v>7</v>
      </c>
      <c r="AW748" s="27" t="s">
        <v>8</v>
      </c>
      <c r="AX748" s="27" t="s">
        <v>7</v>
      </c>
      <c r="AY748" s="27" t="s">
        <v>8</v>
      </c>
      <c r="BD748" s="27" t="s">
        <v>7</v>
      </c>
      <c r="BN748" s="27" t="s">
        <v>7</v>
      </c>
      <c r="BO748" s="27" t="s">
        <v>8</v>
      </c>
      <c r="BP748" s="27" t="s">
        <v>7</v>
      </c>
      <c r="BQ748" s="27" t="s">
        <v>8</v>
      </c>
      <c r="BW748" s="27" t="s">
        <v>8</v>
      </c>
      <c r="BX748" s="27" t="s">
        <v>7</v>
      </c>
      <c r="BZ748" s="27" t="s">
        <v>7</v>
      </c>
      <c r="CA748" s="27" t="s">
        <v>8</v>
      </c>
    </row>
    <row r="749" spans="1:79" x14ac:dyDescent="0.25">
      <c r="A749" s="7">
        <v>4.043637119242547E-2</v>
      </c>
      <c r="B749"/>
      <c r="C749"/>
      <c r="D749"/>
      <c r="E749"/>
      <c r="J749" s="27" t="s">
        <v>7</v>
      </c>
      <c r="N749" s="27" t="s">
        <v>7</v>
      </c>
      <c r="O749" s="27" t="s">
        <v>8</v>
      </c>
      <c r="T749" s="27" t="s">
        <v>7</v>
      </c>
      <c r="X749" s="27" t="s">
        <v>7</v>
      </c>
      <c r="Y749" s="27" t="s">
        <v>8</v>
      </c>
      <c r="AD749" s="27" t="s">
        <v>7</v>
      </c>
      <c r="AE749" s="27" t="s">
        <v>8</v>
      </c>
      <c r="AL749" s="27" t="s">
        <v>7</v>
      </c>
      <c r="AM749" s="27" t="s">
        <v>8</v>
      </c>
      <c r="AN749" s="27" t="s">
        <v>7</v>
      </c>
      <c r="AQ749" s="27" t="s">
        <v>8</v>
      </c>
      <c r="AS749" s="27" t="s">
        <v>8</v>
      </c>
      <c r="AT749" s="27" t="s">
        <v>7</v>
      </c>
      <c r="AU749" s="27" t="s">
        <v>8</v>
      </c>
      <c r="AW749" s="27" t="s">
        <v>8</v>
      </c>
      <c r="AX749" s="27" t="s">
        <v>7</v>
      </c>
      <c r="AY749" s="27" t="s">
        <v>8</v>
      </c>
      <c r="BN749" s="27" t="s">
        <v>7</v>
      </c>
      <c r="BO749" s="27" t="s">
        <v>8</v>
      </c>
      <c r="BP749" s="27" t="s">
        <v>7</v>
      </c>
      <c r="BQ749" s="27" t="s">
        <v>8</v>
      </c>
      <c r="BR749" s="27" t="s">
        <v>7</v>
      </c>
      <c r="BW749" s="27" t="s">
        <v>8</v>
      </c>
      <c r="BZ749" s="27" t="s">
        <v>7</v>
      </c>
      <c r="CA749" s="27" t="s">
        <v>8</v>
      </c>
    </row>
    <row r="750" spans="1:79" x14ac:dyDescent="0.25">
      <c r="A750" s="7">
        <v>3.9643501169044582E-2</v>
      </c>
      <c r="B750"/>
      <c r="C750"/>
      <c r="D750"/>
      <c r="E750"/>
      <c r="N750" s="27" t="s">
        <v>7</v>
      </c>
      <c r="O750" s="27" t="s">
        <v>8</v>
      </c>
      <c r="X750" s="27" t="s">
        <v>7</v>
      </c>
      <c r="Y750" s="27" t="s">
        <v>8</v>
      </c>
      <c r="AD750" s="27" t="s">
        <v>7</v>
      </c>
      <c r="AL750" s="27" t="s">
        <v>7</v>
      </c>
      <c r="AM750" s="27" t="s">
        <v>8</v>
      </c>
      <c r="AN750" s="27" t="s">
        <v>7</v>
      </c>
      <c r="AQ750" s="27" t="s">
        <v>8</v>
      </c>
      <c r="AR750" s="27" t="s">
        <v>7</v>
      </c>
      <c r="AS750" s="27" t="s">
        <v>8</v>
      </c>
      <c r="AT750" s="27" t="s">
        <v>7</v>
      </c>
      <c r="AU750" s="27" t="s">
        <v>8</v>
      </c>
      <c r="AV750" s="27" t="s">
        <v>7</v>
      </c>
      <c r="AW750" s="27" t="s">
        <v>8</v>
      </c>
      <c r="AX750" s="27" t="s">
        <v>7</v>
      </c>
      <c r="AY750" s="27" t="s">
        <v>8</v>
      </c>
      <c r="BN750" s="27" t="s">
        <v>7</v>
      </c>
      <c r="BO750" s="27" t="s">
        <v>8</v>
      </c>
      <c r="BP750" s="27" t="s">
        <v>7</v>
      </c>
      <c r="BQ750" s="27" t="s">
        <v>8</v>
      </c>
      <c r="BR750" s="27" t="s">
        <v>7</v>
      </c>
      <c r="BW750" s="27" t="s">
        <v>8</v>
      </c>
      <c r="BZ750" s="27" t="s">
        <v>7</v>
      </c>
      <c r="CA750" s="27" t="s">
        <v>8</v>
      </c>
    </row>
    <row r="751" spans="1:79" x14ac:dyDescent="0.25">
      <c r="A751" s="7">
        <v>3.8866177616710372E-2</v>
      </c>
      <c r="B751"/>
      <c r="C751"/>
      <c r="D751"/>
      <c r="E751"/>
      <c r="N751" s="27" t="s">
        <v>7</v>
      </c>
      <c r="O751" s="27" t="s">
        <v>8</v>
      </c>
      <c r="X751" s="27" t="s">
        <v>7</v>
      </c>
      <c r="Y751" s="27" t="s">
        <v>8</v>
      </c>
      <c r="AL751" s="27" t="s">
        <v>7</v>
      </c>
      <c r="AM751" s="27" t="s">
        <v>8</v>
      </c>
      <c r="AN751" s="27" t="s">
        <v>7</v>
      </c>
      <c r="AO751" s="27" t="s">
        <v>8</v>
      </c>
      <c r="AQ751" s="27" t="s">
        <v>8</v>
      </c>
      <c r="AR751" s="27" t="s">
        <v>7</v>
      </c>
      <c r="AS751" s="27" t="s">
        <v>8</v>
      </c>
      <c r="AT751" s="27" t="s">
        <v>7</v>
      </c>
      <c r="AU751" s="27" t="s">
        <v>8</v>
      </c>
      <c r="AV751" s="27" t="s">
        <v>7</v>
      </c>
      <c r="AW751" s="27" t="s">
        <v>8</v>
      </c>
      <c r="AX751" s="27" t="s">
        <v>7</v>
      </c>
      <c r="AY751" s="27" t="s">
        <v>8</v>
      </c>
      <c r="BN751" s="27" t="s">
        <v>7</v>
      </c>
      <c r="BO751" s="27" t="s">
        <v>8</v>
      </c>
      <c r="BP751" s="27" t="s">
        <v>7</v>
      </c>
      <c r="BQ751" s="27" t="s">
        <v>8</v>
      </c>
      <c r="BR751" s="27" t="s">
        <v>7</v>
      </c>
      <c r="BU751" s="27" t="s">
        <v>8</v>
      </c>
      <c r="BW751" s="27" t="s">
        <v>8</v>
      </c>
      <c r="BZ751" s="27" t="s">
        <v>7</v>
      </c>
      <c r="CA751" s="27" t="s">
        <v>8</v>
      </c>
    </row>
    <row r="752" spans="1:79" x14ac:dyDescent="0.25">
      <c r="A752" s="7">
        <v>3.8104095702657229E-2</v>
      </c>
      <c r="B752"/>
      <c r="C752"/>
      <c r="D752"/>
      <c r="E752"/>
      <c r="N752" s="27" t="s">
        <v>7</v>
      </c>
      <c r="O752" s="27" t="s">
        <v>8</v>
      </c>
      <c r="X752" s="27" t="s">
        <v>7</v>
      </c>
      <c r="Y752" s="27" t="s">
        <v>8</v>
      </c>
      <c r="AL752" s="27" t="s">
        <v>7</v>
      </c>
      <c r="AM752" s="27" t="s">
        <v>8</v>
      </c>
      <c r="AN752" s="27" t="s">
        <v>7</v>
      </c>
      <c r="AO752" s="27" t="s">
        <v>8</v>
      </c>
      <c r="AP752" s="27" t="s">
        <v>7</v>
      </c>
      <c r="AQ752" s="27" t="s">
        <v>8</v>
      </c>
      <c r="AR752" s="27" t="s">
        <v>7</v>
      </c>
      <c r="AS752" s="27" t="s">
        <v>8</v>
      </c>
      <c r="AT752" s="27" t="s">
        <v>7</v>
      </c>
      <c r="AU752" s="27" t="s">
        <v>8</v>
      </c>
      <c r="AV752" s="27" t="s">
        <v>7</v>
      </c>
      <c r="AW752" s="27" t="s">
        <v>8</v>
      </c>
      <c r="AX752" s="27" t="s">
        <v>7</v>
      </c>
      <c r="AY752" s="27" t="s">
        <v>8</v>
      </c>
      <c r="BN752" s="27" t="s">
        <v>7</v>
      </c>
      <c r="BO752" s="27" t="s">
        <v>8</v>
      </c>
      <c r="BP752" s="27" t="s">
        <v>7</v>
      </c>
      <c r="BQ752" s="27" t="s">
        <v>8</v>
      </c>
      <c r="BR752" s="27" t="s">
        <v>7</v>
      </c>
      <c r="BS752" s="27" t="s">
        <v>8</v>
      </c>
      <c r="BU752" s="27" t="s">
        <v>8</v>
      </c>
      <c r="BV752" s="27" t="s">
        <v>7</v>
      </c>
      <c r="BW752" s="27" t="s">
        <v>8</v>
      </c>
      <c r="BZ752" s="27" t="s">
        <v>7</v>
      </c>
      <c r="CA752" s="27" t="s">
        <v>8</v>
      </c>
    </row>
    <row r="753" spans="1:79" x14ac:dyDescent="0.25">
      <c r="A753" s="7">
        <v>3.7356956571232579E-2</v>
      </c>
      <c r="B753"/>
      <c r="C753"/>
      <c r="D753"/>
      <c r="E753"/>
      <c r="N753" s="27" t="s">
        <v>7</v>
      </c>
      <c r="O753" s="27" t="s">
        <v>8</v>
      </c>
      <c r="X753" s="27" t="s">
        <v>7</v>
      </c>
      <c r="Y753" s="27" t="s">
        <v>8</v>
      </c>
      <c r="AL753" s="27" t="s">
        <v>7</v>
      </c>
      <c r="AM753" s="27" t="s">
        <v>8</v>
      </c>
      <c r="AN753" s="27" t="s">
        <v>7</v>
      </c>
      <c r="AO753" s="27" t="s">
        <v>8</v>
      </c>
      <c r="AP753" s="27" t="s">
        <v>7</v>
      </c>
      <c r="AQ753" s="27" t="s">
        <v>8</v>
      </c>
      <c r="AR753" s="27" t="s">
        <v>7</v>
      </c>
      <c r="AS753" s="27" t="s">
        <v>8</v>
      </c>
      <c r="AT753" s="27" t="s">
        <v>7</v>
      </c>
      <c r="AV753" s="27" t="s">
        <v>7</v>
      </c>
      <c r="AW753" s="27" t="s">
        <v>8</v>
      </c>
      <c r="AX753" s="27" t="s">
        <v>7</v>
      </c>
      <c r="BN753" s="27" t="s">
        <v>7</v>
      </c>
      <c r="BO753" s="27" t="s">
        <v>8</v>
      </c>
      <c r="BP753" s="27" t="s">
        <v>7</v>
      </c>
      <c r="BQ753" s="27" t="s">
        <v>8</v>
      </c>
      <c r="BR753" s="27" t="s">
        <v>7</v>
      </c>
      <c r="BS753" s="27" t="s">
        <v>8</v>
      </c>
      <c r="BT753" s="27" t="s">
        <v>7</v>
      </c>
      <c r="BU753" s="27" t="s">
        <v>8</v>
      </c>
      <c r="BV753" s="27" t="s">
        <v>7</v>
      </c>
      <c r="BW753" s="27" t="s">
        <v>8</v>
      </c>
      <c r="BZ753" s="27" t="s">
        <v>7</v>
      </c>
      <c r="CA753" s="27" t="s">
        <v>8</v>
      </c>
    </row>
    <row r="754" spans="1:79" x14ac:dyDescent="0.25">
      <c r="A754" s="7">
        <v>3.6624467226698605E-2</v>
      </c>
      <c r="B754"/>
      <c r="C754"/>
      <c r="D754"/>
      <c r="E754"/>
      <c r="N754" s="27" t="s">
        <v>7</v>
      </c>
      <c r="O754" s="27" t="s">
        <v>8</v>
      </c>
      <c r="X754" s="27" t="s">
        <v>7</v>
      </c>
      <c r="AL754" s="27" t="s">
        <v>7</v>
      </c>
      <c r="AN754" s="27" t="s">
        <v>7</v>
      </c>
      <c r="AO754" s="27" t="s">
        <v>8</v>
      </c>
      <c r="AP754" s="27" t="s">
        <v>7</v>
      </c>
      <c r="AQ754" s="27" t="s">
        <v>8</v>
      </c>
      <c r="AR754" s="27" t="s">
        <v>7</v>
      </c>
      <c r="AS754" s="27" t="s">
        <v>8</v>
      </c>
      <c r="AV754" s="27" t="s">
        <v>7</v>
      </c>
      <c r="AW754" s="27" t="s">
        <v>8</v>
      </c>
      <c r="BN754" s="27" t="s">
        <v>7</v>
      </c>
      <c r="BO754" s="27" t="s">
        <v>8</v>
      </c>
      <c r="BP754" s="27" t="s">
        <v>7</v>
      </c>
      <c r="BQ754" s="27" t="s">
        <v>8</v>
      </c>
      <c r="BR754" s="27" t="s">
        <v>7</v>
      </c>
      <c r="BS754" s="27" t="s">
        <v>8</v>
      </c>
      <c r="BT754" s="27" t="s">
        <v>7</v>
      </c>
      <c r="BU754" s="27" t="s">
        <v>8</v>
      </c>
      <c r="BV754" s="27" t="s">
        <v>7</v>
      </c>
      <c r="BZ754" s="27" t="s">
        <v>7</v>
      </c>
      <c r="CA754" s="27" t="s">
        <v>8</v>
      </c>
    </row>
    <row r="755" spans="1:79" x14ac:dyDescent="0.25">
      <c r="A755" s="7">
        <v>3.5906340418331961E-2</v>
      </c>
      <c r="B755"/>
      <c r="C755"/>
      <c r="D755"/>
      <c r="E755"/>
      <c r="N755" s="27" t="s">
        <v>7</v>
      </c>
      <c r="O755" s="27" t="s">
        <v>8</v>
      </c>
      <c r="AN755" s="27" t="s">
        <v>7</v>
      </c>
      <c r="AO755" s="27" t="s">
        <v>8</v>
      </c>
      <c r="AP755" s="27" t="s">
        <v>7</v>
      </c>
      <c r="AQ755" s="27" t="s">
        <v>8</v>
      </c>
      <c r="AR755" s="27" t="s">
        <v>7</v>
      </c>
      <c r="AS755" s="27" t="s">
        <v>8</v>
      </c>
      <c r="AV755" s="27" t="s">
        <v>7</v>
      </c>
      <c r="AW755" s="27" t="s">
        <v>8</v>
      </c>
      <c r="BN755" s="27" t="s">
        <v>7</v>
      </c>
      <c r="BP755" s="27" t="s">
        <v>7</v>
      </c>
      <c r="BR755" s="27" t="s">
        <v>7</v>
      </c>
      <c r="BS755" s="27" t="s">
        <v>8</v>
      </c>
      <c r="BT755" s="27" t="s">
        <v>7</v>
      </c>
      <c r="BU755" s="27" t="s">
        <v>8</v>
      </c>
      <c r="BZ755" s="27" t="s">
        <v>7</v>
      </c>
      <c r="CA755" s="27" t="s">
        <v>8</v>
      </c>
    </row>
    <row r="756" spans="1:79" x14ac:dyDescent="0.25">
      <c r="A756" s="7">
        <v>3.5202294527776436E-2</v>
      </c>
      <c r="B756"/>
      <c r="C756"/>
      <c r="D756"/>
      <c r="E756"/>
      <c r="N756" s="27" t="s">
        <v>7</v>
      </c>
      <c r="O756" s="27" t="s">
        <v>8</v>
      </c>
      <c r="AN756" s="27" t="s">
        <v>7</v>
      </c>
      <c r="AO756" s="27" t="s">
        <v>8</v>
      </c>
      <c r="AP756" s="27" t="s">
        <v>7</v>
      </c>
      <c r="AQ756" s="27" t="s">
        <v>8</v>
      </c>
      <c r="AR756" s="27" t="s">
        <v>7</v>
      </c>
      <c r="AV756" s="27" t="s">
        <v>7</v>
      </c>
      <c r="AW756" s="27" t="s">
        <v>8</v>
      </c>
      <c r="BR756" s="27" t="s">
        <v>7</v>
      </c>
      <c r="BT756" s="27" t="s">
        <v>7</v>
      </c>
      <c r="BU756" s="27" t="s">
        <v>8</v>
      </c>
      <c r="BZ756" s="27" t="s">
        <v>7</v>
      </c>
    </row>
    <row r="757" spans="1:79" x14ac:dyDescent="0.25">
      <c r="A757" s="7">
        <v>3.451205345860435E-2</v>
      </c>
      <c r="B757"/>
      <c r="C757"/>
      <c r="D757"/>
      <c r="E757"/>
      <c r="N757" s="27" t="s">
        <v>7</v>
      </c>
      <c r="O757" s="27" t="s">
        <v>8</v>
      </c>
      <c r="AN757" s="27" t="s">
        <v>7</v>
      </c>
      <c r="AO757" s="27" t="s">
        <v>8</v>
      </c>
      <c r="AP757" s="27" t="s">
        <v>7</v>
      </c>
      <c r="AQ757" s="27" t="s">
        <v>8</v>
      </c>
      <c r="AV757" s="27" t="s">
        <v>7</v>
      </c>
      <c r="BT757" s="27" t="s">
        <v>7</v>
      </c>
    </row>
    <row r="758" spans="1:79" x14ac:dyDescent="0.25">
      <c r="A758" s="7">
        <v>3.3835346528043479E-2</v>
      </c>
      <c r="B758"/>
      <c r="C758"/>
      <c r="D758"/>
      <c r="E758"/>
      <c r="N758" s="27" t="s">
        <v>7</v>
      </c>
      <c r="AN758" s="27" t="s">
        <v>7</v>
      </c>
      <c r="AO758" s="27" t="s">
        <v>8</v>
      </c>
      <c r="AP758" s="27" t="s">
        <v>7</v>
      </c>
      <c r="AQ758" s="27" t="s">
        <v>8</v>
      </c>
    </row>
    <row r="759" spans="1:79" x14ac:dyDescent="0.25">
      <c r="A759" s="7">
        <v>3.3171908360826938E-2</v>
      </c>
      <c r="B759"/>
      <c r="C759"/>
      <c r="D759"/>
      <c r="E759"/>
      <c r="AN759" s="27" t="s">
        <v>7</v>
      </c>
      <c r="AP759" s="27" t="s">
        <v>7</v>
      </c>
      <c r="AQ759" s="27" t="s">
        <v>8</v>
      </c>
    </row>
    <row r="760" spans="1:79" x14ac:dyDescent="0.25">
      <c r="A760" s="7">
        <v>3.2521478785124451E-2</v>
      </c>
      <c r="B760"/>
      <c r="C760"/>
      <c r="D760"/>
      <c r="E760"/>
      <c r="AP760" s="27" t="s">
        <v>7</v>
      </c>
      <c r="AQ760" s="27" t="s">
        <v>8</v>
      </c>
    </row>
    <row r="761" spans="1:79" x14ac:dyDescent="0.25">
      <c r="A761" s="7">
        <v>3.1883802730514173E-2</v>
      </c>
      <c r="B761"/>
      <c r="C761"/>
      <c r="D761"/>
      <c r="E761"/>
      <c r="AP761" s="27" t="s">
        <v>7</v>
      </c>
      <c r="AQ761" s="27" t="s">
        <v>8</v>
      </c>
    </row>
    <row r="762" spans="1:79" x14ac:dyDescent="0.25">
      <c r="A762" s="7">
        <v>3.1258630127955073E-2</v>
      </c>
      <c r="B762"/>
      <c r="C762"/>
      <c r="D762"/>
      <c r="E762"/>
      <c r="AP762" s="27" t="s">
        <v>7</v>
      </c>
      <c r="AQ762" s="27" t="s">
        <v>8</v>
      </c>
    </row>
    <row r="763" spans="1:79" x14ac:dyDescent="0.25">
      <c r="A763" s="7">
        <v>3.064571581172066E-2</v>
      </c>
      <c r="B763"/>
      <c r="C763"/>
      <c r="D763"/>
      <c r="E763"/>
      <c r="AP763" s="27" t="s">
        <v>7</v>
      </c>
      <c r="AQ763" s="27" t="s">
        <v>8</v>
      </c>
    </row>
    <row r="764" spans="1:79" x14ac:dyDescent="0.25">
      <c r="A764" s="7">
        <v>3.0044819423255549E-2</v>
      </c>
      <c r="B764"/>
      <c r="C764"/>
      <c r="D764"/>
      <c r="E764"/>
      <c r="AP764" s="27" t="s">
        <v>7</v>
      </c>
      <c r="AQ764" s="27" t="s">
        <v>8</v>
      </c>
    </row>
    <row r="765" spans="1:79" x14ac:dyDescent="0.25">
      <c r="A765" s="7">
        <v>2.9455705316917203E-2</v>
      </c>
      <c r="B765"/>
      <c r="C765"/>
      <c r="D765"/>
      <c r="E765"/>
      <c r="AP765" s="27" t="s">
        <v>7</v>
      </c>
      <c r="AQ765" s="27" t="s">
        <v>8</v>
      </c>
    </row>
    <row r="766" spans="1:79" x14ac:dyDescent="0.25">
      <c r="A766" s="7">
        <v>2.8878142467565884E-2</v>
      </c>
      <c r="B766"/>
      <c r="C766"/>
      <c r="D766"/>
      <c r="E766"/>
      <c r="AP766" s="27" t="s">
        <v>7</v>
      </c>
    </row>
    <row r="767" spans="1:79" x14ac:dyDescent="0.25">
      <c r="A767" s="7">
        <v>2.8311904379966554E-2</v>
      </c>
      <c r="B767"/>
      <c r="C767"/>
      <c r="D767"/>
      <c r="E767"/>
    </row>
    <row r="768" spans="1:79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37" operator="equal">
      <formula>$U$1</formula>
    </cfRule>
    <cfRule type="cellIs" dxfId="89" priority="938" operator="equal">
      <formula>$S$1</formula>
    </cfRule>
  </conditionalFormatting>
  <conditionalFormatting sqref="D27">
    <cfRule type="cellIs" dxfId="88" priority="935" operator="equal">
      <formula>$S$1</formula>
    </cfRule>
    <cfRule type="cellIs" dxfId="87" priority="936" operator="equal">
      <formula>$U$1</formula>
    </cfRule>
  </conditionalFormatting>
  <conditionalFormatting sqref="C164">
    <cfRule type="cellIs" dxfId="86" priority="933" operator="equal">
      <formula>$U$1</formula>
    </cfRule>
    <cfRule type="cellIs" dxfId="85" priority="934" operator="equal">
      <formula>$S$1</formula>
    </cfRule>
  </conditionalFormatting>
  <conditionalFormatting sqref="D164">
    <cfRule type="cellIs" dxfId="84" priority="931" operator="equal">
      <formula>$S$1</formula>
    </cfRule>
    <cfRule type="cellIs" dxfId="83" priority="932" operator="equal">
      <formula>$U$1</formula>
    </cfRule>
  </conditionalFormatting>
  <conditionalFormatting sqref="C55">
    <cfRule type="cellIs" dxfId="82" priority="929" operator="equal">
      <formula>$U$1</formula>
    </cfRule>
    <cfRule type="cellIs" dxfId="81" priority="930" operator="equal">
      <formula>$S$1</formula>
    </cfRule>
  </conditionalFormatting>
  <conditionalFormatting sqref="D55">
    <cfRule type="cellIs" dxfId="80" priority="927" operator="equal">
      <formula>$S$1</formula>
    </cfRule>
    <cfRule type="cellIs" dxfId="79" priority="928" operator="equal">
      <formula>$U$1</formula>
    </cfRule>
  </conditionalFormatting>
  <conditionalFormatting sqref="C89">
    <cfRule type="cellIs" dxfId="78" priority="925" operator="equal">
      <formula>$U$1</formula>
    </cfRule>
    <cfRule type="cellIs" dxfId="77" priority="926" operator="equal">
      <formula>$S$1</formula>
    </cfRule>
  </conditionalFormatting>
  <conditionalFormatting sqref="D89">
    <cfRule type="cellIs" dxfId="76" priority="923" operator="equal">
      <formula>$S$1</formula>
    </cfRule>
    <cfRule type="cellIs" dxfId="75" priority="924" operator="equal">
      <formula>$U$1</formula>
    </cfRule>
  </conditionalFormatting>
  <conditionalFormatting sqref="C136">
    <cfRule type="cellIs" dxfId="74" priority="921" operator="equal">
      <formula>$U$1</formula>
    </cfRule>
    <cfRule type="cellIs" dxfId="73" priority="922" operator="equal">
      <formula>$S$1</formula>
    </cfRule>
  </conditionalFormatting>
  <conditionalFormatting sqref="D136">
    <cfRule type="cellIs" dxfId="72" priority="919" operator="equal">
      <formula>$S$1</formula>
    </cfRule>
    <cfRule type="cellIs" dxfId="71" priority="920" operator="equal">
      <formula>$U$1</formula>
    </cfRule>
  </conditionalFormatting>
  <conditionalFormatting sqref="C1">
    <cfRule type="cellIs" dxfId="70" priority="918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40" zoomScale="90" zoomScaleNormal="90" workbookViewId="0">
      <pane xSplit="4" topLeftCell="CN1" activePane="topRight" state="frozen"/>
      <selection activeCell="A109" sqref="A109"/>
      <selection pane="topRight" activeCell="FG215" sqref="FG21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$A$214</v>
      </c>
      <c r="D111" s="1" t="str">
        <f>ADDRESS(C121-1,D121,1,1)</f>
        <v>$FG$214</v>
      </c>
      <c r="E111"/>
    </row>
    <row r="112" spans="1:5" x14ac:dyDescent="0.25">
      <c r="A112" s="30">
        <v>515.50191262726139</v>
      </c>
      <c r="C112" s="1" t="str">
        <f>ADDRESS(C121,1,1,1)</f>
        <v>$A$215</v>
      </c>
      <c r="D112" s="1" t="str">
        <f>ADDRESS(C121,D121-1,1,1)</f>
        <v>$FF$215</v>
      </c>
      <c r="E112"/>
    </row>
    <row r="113" spans="1:5" x14ac:dyDescent="0.25">
      <c r="A113" s="30">
        <v>490.95420250215363</v>
      </c>
      <c r="C113" s="1" t="str">
        <f>ADDRESS(C121+1,1,1,1)</f>
        <v>$A$216</v>
      </c>
      <c r="D113" s="1" t="str">
        <f>ADDRESS(C121-1,D121+1,1,1)</f>
        <v>$FH$214</v>
      </c>
    </row>
    <row r="114" spans="1:5" x14ac:dyDescent="0.25">
      <c r="A114" s="30">
        <v>467.57543095443202</v>
      </c>
      <c r="C114" s="1" t="str">
        <f>ADDRESS(C121,D121,1,1)</f>
        <v>$FG$215</v>
      </c>
      <c r="D114" s="1" t="str">
        <f>ADDRESS(C121+1,D121+1,1,1)</f>
        <v>$FH$216</v>
      </c>
    </row>
    <row r="115" spans="1:5" x14ac:dyDescent="0.25">
      <c r="A115" s="30">
        <v>445.30993424231622</v>
      </c>
      <c r="C115" s="1" t="str">
        <f>ADDRESS(C121+1,D121,1,1)</f>
        <v>$FG$216</v>
      </c>
    </row>
    <row r="116" spans="1:5" x14ac:dyDescent="0.25">
      <c r="A116" s="30">
        <v>424.10469927839637</v>
      </c>
      <c r="C116" s="1">
        <f>C117-1</f>
        <v>214</v>
      </c>
    </row>
    <row r="117" spans="1:5" x14ac:dyDescent="0.25">
      <c r="A117" s="30">
        <v>403.9092374079965</v>
      </c>
      <c r="C117" s="1">
        <f>C121</f>
        <v>215</v>
      </c>
      <c r="D117" s="1">
        <f>D121</f>
        <v>163</v>
      </c>
    </row>
    <row r="118" spans="1:5" x14ac:dyDescent="0.25">
      <c r="A118" s="30">
        <v>384.6754641980919</v>
      </c>
      <c r="C118" s="1">
        <f>C117+1</f>
        <v>216</v>
      </c>
      <c r="D118" s="1">
        <f>D117+1</f>
        <v>164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215</v>
      </c>
      <c r="D121" s="19">
        <v>163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R215</v>
      </c>
      <c r="D123" s="1" t="str">
        <f>"C"&amp;D121</f>
        <v>C163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3.3863549408993889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160" x14ac:dyDescent="0.25">
      <c r="A193" s="30">
        <v>9.9059710923258422</v>
      </c>
      <c r="E193"/>
    </row>
    <row r="194" spans="1:160" x14ac:dyDescent="0.25">
      <c r="A194" s="30">
        <v>9.4342581831674686</v>
      </c>
      <c r="E194"/>
    </row>
    <row r="195" spans="1:160" x14ac:dyDescent="0.25">
      <c r="A195" s="30">
        <v>8.9850077934928265</v>
      </c>
      <c r="E195"/>
    </row>
    <row r="196" spans="1:160" x14ac:dyDescent="0.25">
      <c r="A196" s="30">
        <v>8.5571502795169767</v>
      </c>
      <c r="E196"/>
    </row>
    <row r="197" spans="1:160" x14ac:dyDescent="0.25">
      <c r="A197" s="30">
        <v>8.1496669328733109</v>
      </c>
      <c r="E197"/>
      <c r="EQ197" s="27" t="s">
        <v>8</v>
      </c>
    </row>
    <row r="198" spans="1:160" x14ac:dyDescent="0.25">
      <c r="A198" s="30">
        <v>7.7615875551174378</v>
      </c>
      <c r="E198"/>
      <c r="EQ198" s="27" t="s">
        <v>8</v>
      </c>
      <c r="ER198" s="27" t="s">
        <v>7</v>
      </c>
      <c r="ES198" s="27" t="s">
        <v>8</v>
      </c>
    </row>
    <row r="199" spans="1:160" x14ac:dyDescent="0.25">
      <c r="A199" s="30">
        <v>7.3919881477308929</v>
      </c>
      <c r="E199"/>
      <c r="EQ199" s="27" t="s">
        <v>8</v>
      </c>
      <c r="ER199" s="27" t="s">
        <v>7</v>
      </c>
      <c r="ES199" s="27" t="s">
        <v>8</v>
      </c>
      <c r="ET199" s="27" t="s">
        <v>7</v>
      </c>
    </row>
    <row r="200" spans="1:160" x14ac:dyDescent="0.25">
      <c r="A200" s="30">
        <v>7.0399887121246598</v>
      </c>
      <c r="E200"/>
      <c r="EQ200" s="27" t="s">
        <v>8</v>
      </c>
      <c r="ER200" s="27" t="s">
        <v>7</v>
      </c>
      <c r="ES200" s="27" t="s">
        <v>8</v>
      </c>
      <c r="ET200" s="27" t="s">
        <v>7</v>
      </c>
    </row>
    <row r="201" spans="1:160" x14ac:dyDescent="0.25">
      <c r="A201" s="30">
        <v>6.7047511544044376</v>
      </c>
      <c r="E201"/>
      <c r="EQ201" s="27" t="s">
        <v>8</v>
      </c>
      <c r="ER201" s="27" t="s">
        <v>7</v>
      </c>
      <c r="ES201" s="27" t="s">
        <v>8</v>
      </c>
      <c r="ET201" s="27" t="s">
        <v>7</v>
      </c>
      <c r="FA201" s="27" t="s">
        <v>8</v>
      </c>
    </row>
    <row r="202" spans="1:160" x14ac:dyDescent="0.25">
      <c r="A202" s="30">
        <v>6.3854772899089882</v>
      </c>
      <c r="E202"/>
      <c r="EQ202" s="27" t="s">
        <v>8</v>
      </c>
      <c r="ER202" s="27" t="s">
        <v>7</v>
      </c>
      <c r="ES202" s="27" t="s">
        <v>8</v>
      </c>
      <c r="ET202" s="27" t="s">
        <v>7</v>
      </c>
      <c r="FA202" s="27" t="s">
        <v>8</v>
      </c>
      <c r="FB202" s="27" t="s">
        <v>7</v>
      </c>
    </row>
    <row r="203" spans="1:160" x14ac:dyDescent="0.25">
      <c r="A203" s="30">
        <v>6.0814069427704647</v>
      </c>
      <c r="C203" s="7"/>
      <c r="D203"/>
      <c r="E203"/>
      <c r="EQ203" s="27" t="s">
        <v>8</v>
      </c>
      <c r="ER203" s="27" t="s">
        <v>7</v>
      </c>
      <c r="ES203" s="27" t="s">
        <v>8</v>
      </c>
      <c r="ET203" s="27" t="s">
        <v>7</v>
      </c>
      <c r="EU203" s="27" t="s">
        <v>8</v>
      </c>
      <c r="FA203" s="27" t="s">
        <v>8</v>
      </c>
      <c r="FB203" s="27" t="s">
        <v>7</v>
      </c>
    </row>
    <row r="204" spans="1:160" x14ac:dyDescent="0.25">
      <c r="A204" s="30">
        <v>5.7918161359718709</v>
      </c>
      <c r="E204"/>
      <c r="EQ204" s="27" t="s">
        <v>8</v>
      </c>
      <c r="ER204" s="27" t="s">
        <v>7</v>
      </c>
      <c r="ET204" s="27" t="s">
        <v>7</v>
      </c>
      <c r="EU204" s="27" t="s">
        <v>8</v>
      </c>
      <c r="EV204" s="27" t="s">
        <v>7</v>
      </c>
      <c r="FA204" s="27" t="s">
        <v>8</v>
      </c>
      <c r="FB204" s="27" t="s">
        <v>7</v>
      </c>
    </row>
    <row r="205" spans="1:160" x14ac:dyDescent="0.25">
      <c r="A205" s="30">
        <v>5.5160153675922574</v>
      </c>
      <c r="E205"/>
      <c r="EQ205" s="27" t="s">
        <v>8</v>
      </c>
      <c r="ET205" s="27" t="s">
        <v>7</v>
      </c>
      <c r="EU205" s="27" t="s">
        <v>8</v>
      </c>
      <c r="EV205" s="27" t="s">
        <v>7</v>
      </c>
      <c r="EW205" s="27" t="s">
        <v>8</v>
      </c>
      <c r="EY205" s="27" t="s">
        <v>8</v>
      </c>
      <c r="FA205" s="27" t="s">
        <v>8</v>
      </c>
      <c r="FB205" s="27" t="s">
        <v>7</v>
      </c>
    </row>
    <row r="206" spans="1:160" x14ac:dyDescent="0.25">
      <c r="A206" s="30">
        <v>5.2533479691354827</v>
      </c>
      <c r="C206"/>
      <c r="D206"/>
      <c r="E206"/>
      <c r="EQ206" s="27" t="s">
        <v>8</v>
      </c>
      <c r="ET206" s="27" t="s">
        <v>7</v>
      </c>
      <c r="EU206" s="27" t="s">
        <v>8</v>
      </c>
      <c r="EV206" s="27" t="s">
        <v>7</v>
      </c>
      <c r="EW206" s="27" t="s">
        <v>8</v>
      </c>
      <c r="EX206" s="27" t="s">
        <v>7</v>
      </c>
      <c r="EY206" s="27" t="s">
        <v>8</v>
      </c>
      <c r="EZ206" s="27" t="s">
        <v>7</v>
      </c>
      <c r="FA206" s="27" t="s">
        <v>8</v>
      </c>
      <c r="FB206" s="27" t="s">
        <v>7</v>
      </c>
    </row>
    <row r="207" spans="1:160" x14ac:dyDescent="0.25">
      <c r="A207" s="30">
        <v>5.0031885420337927</v>
      </c>
      <c r="E207"/>
      <c r="EQ207" s="27" t="s">
        <v>8</v>
      </c>
      <c r="ET207" s="27" t="s">
        <v>7</v>
      </c>
      <c r="EU207" s="27" t="s">
        <v>8</v>
      </c>
      <c r="EV207" s="27" t="s">
        <v>7</v>
      </c>
      <c r="EW207" s="27" t="s">
        <v>8</v>
      </c>
      <c r="EX207" s="27" t="s">
        <v>7</v>
      </c>
      <c r="EY207" s="27" t="s">
        <v>8</v>
      </c>
      <c r="EZ207" s="27" t="s">
        <v>7</v>
      </c>
      <c r="FA207" s="27" t="s">
        <v>8</v>
      </c>
      <c r="FB207" s="27" t="s">
        <v>7</v>
      </c>
      <c r="FC207" s="27" t="s">
        <v>8</v>
      </c>
    </row>
    <row r="208" spans="1:160" x14ac:dyDescent="0.25">
      <c r="A208" s="30">
        <v>4.7649414686036122</v>
      </c>
      <c r="E208"/>
      <c r="EQ208" s="27" t="s">
        <v>8</v>
      </c>
      <c r="ET208" s="27" t="s">
        <v>7</v>
      </c>
      <c r="EU208" s="27" t="s">
        <v>8</v>
      </c>
      <c r="EV208" s="27" t="s">
        <v>7</v>
      </c>
      <c r="EX208" s="27" t="s">
        <v>7</v>
      </c>
      <c r="EZ208" s="27" t="s">
        <v>7</v>
      </c>
      <c r="FA208" s="27" t="s">
        <v>8</v>
      </c>
      <c r="FB208" s="27" t="s">
        <v>7</v>
      </c>
      <c r="FC208" s="27" t="s">
        <v>8</v>
      </c>
      <c r="FD208" s="27" t="s">
        <v>7</v>
      </c>
    </row>
    <row r="209" spans="1:163" x14ac:dyDescent="0.25">
      <c r="A209" s="30">
        <v>4.5380394939082018</v>
      </c>
      <c r="E209"/>
      <c r="EO209" s="27" t="s">
        <v>8</v>
      </c>
      <c r="EQ209" s="27" t="s">
        <v>8</v>
      </c>
      <c r="ET209" s="27" t="s">
        <v>7</v>
      </c>
      <c r="EU209" s="27" t="s">
        <v>8</v>
      </c>
      <c r="EZ209" s="27" t="s">
        <v>7</v>
      </c>
      <c r="FB209" s="27" t="s">
        <v>7</v>
      </c>
      <c r="FC209" s="27" t="s">
        <v>8</v>
      </c>
      <c r="FD209" s="27" t="s">
        <v>7</v>
      </c>
    </row>
    <row r="210" spans="1:163" x14ac:dyDescent="0.25">
      <c r="A210" s="30">
        <v>4.3219423751506678</v>
      </c>
      <c r="C210"/>
      <c r="E210"/>
      <c r="EO210" s="27" t="s">
        <v>8</v>
      </c>
      <c r="EP210" s="27" t="s">
        <v>7</v>
      </c>
      <c r="EQ210" s="27" t="s">
        <v>8</v>
      </c>
      <c r="ET210" s="27" t="s">
        <v>7</v>
      </c>
      <c r="FB210" s="27" t="s">
        <v>7</v>
      </c>
      <c r="FD210" s="27" t="s">
        <v>7</v>
      </c>
    </row>
    <row r="211" spans="1:163" x14ac:dyDescent="0.25">
      <c r="A211" s="30">
        <v>4.1161355953815884</v>
      </c>
      <c r="E211"/>
      <c r="EO211" s="27" t="s">
        <v>8</v>
      </c>
      <c r="EP211" s="27" t="s">
        <v>7</v>
      </c>
      <c r="EQ211" s="27" t="s">
        <v>8</v>
      </c>
      <c r="FD211" s="27" t="s">
        <v>7</v>
      </c>
    </row>
    <row r="212" spans="1:163" x14ac:dyDescent="0.25">
      <c r="A212" s="30">
        <v>3.9201291384586554</v>
      </c>
      <c r="E212"/>
      <c r="EO212" s="27" t="s">
        <v>8</v>
      </c>
      <c r="EP212" s="27" t="s">
        <v>7</v>
      </c>
      <c r="EQ212" s="27" t="s">
        <v>8</v>
      </c>
      <c r="FD212" s="27" t="s">
        <v>7</v>
      </c>
    </row>
    <row r="213" spans="1:163" x14ac:dyDescent="0.25">
      <c r="A213" s="30">
        <v>3.7334563223415764</v>
      </c>
      <c r="E213"/>
      <c r="EO213" s="27" t="s">
        <v>8</v>
      </c>
      <c r="EP213" s="27" t="s">
        <v>7</v>
      </c>
      <c r="FD213" s="27" t="s">
        <v>7</v>
      </c>
    </row>
    <row r="214" spans="1:163" x14ac:dyDescent="0.25">
      <c r="A214" s="30">
        <v>3.5556726879443583</v>
      </c>
      <c r="E214"/>
      <c r="EO214" s="27" t="s">
        <v>8</v>
      </c>
      <c r="FD214" s="27" t="s">
        <v>7</v>
      </c>
    </row>
    <row r="215" spans="1:163" x14ac:dyDescent="0.25">
      <c r="A215" s="30">
        <v>3.3863549408993889</v>
      </c>
      <c r="E215"/>
      <c r="EM215" s="27" t="s">
        <v>8</v>
      </c>
      <c r="EO215" s="27" t="s">
        <v>8</v>
      </c>
      <c r="FD215" s="27" t="s">
        <v>7</v>
      </c>
      <c r="FG215" s="27" t="s">
        <v>8</v>
      </c>
    </row>
    <row r="216" spans="1:163" x14ac:dyDescent="0.25">
      <c r="A216" s="30">
        <v>3.2250999437137038</v>
      </c>
      <c r="E216"/>
      <c r="EM216" s="27" t="s">
        <v>8</v>
      </c>
      <c r="EN216" s="27" t="s">
        <v>7</v>
      </c>
      <c r="EO216" s="27" t="s">
        <v>8</v>
      </c>
      <c r="FD216" s="27" t="s">
        <v>7</v>
      </c>
      <c r="FE216" s="27" t="s">
        <v>8</v>
      </c>
      <c r="FG216" s="27" t="s">
        <v>8</v>
      </c>
    </row>
    <row r="217" spans="1:163" x14ac:dyDescent="0.25">
      <c r="A217" s="30">
        <v>3.0715237559178128</v>
      </c>
      <c r="E217"/>
      <c r="EM217" s="27" t="s">
        <v>8</v>
      </c>
      <c r="EN217" s="27" t="s">
        <v>7</v>
      </c>
      <c r="EO217" s="27" t="s">
        <v>8</v>
      </c>
      <c r="FD217" s="27" t="s">
        <v>7</v>
      </c>
      <c r="FE217" s="27" t="s">
        <v>8</v>
      </c>
      <c r="FF217" s="27" t="s">
        <v>7</v>
      </c>
      <c r="FG217" s="27" t="s">
        <v>8</v>
      </c>
    </row>
    <row r="218" spans="1:163" x14ac:dyDescent="0.25">
      <c r="A218" s="30">
        <v>2.9252607199217264</v>
      </c>
      <c r="E218"/>
      <c r="EM218" s="27" t="s">
        <v>8</v>
      </c>
      <c r="EN218" s="27" t="s">
        <v>7</v>
      </c>
      <c r="EO218" s="27" t="s">
        <v>8</v>
      </c>
      <c r="FD218" s="27" t="s">
        <v>7</v>
      </c>
      <c r="FE218" s="27" t="s">
        <v>8</v>
      </c>
      <c r="FF218" s="27" t="s">
        <v>7</v>
      </c>
      <c r="FG218" s="27" t="s">
        <v>8</v>
      </c>
    </row>
    <row r="219" spans="1:163" x14ac:dyDescent="0.25">
      <c r="A219" s="30">
        <v>2.7859625904016441</v>
      </c>
      <c r="E219"/>
      <c r="EM219" s="27" t="s">
        <v>8</v>
      </c>
      <c r="EN219" s="27" t="s">
        <v>7</v>
      </c>
      <c r="EO219" s="27" t="s">
        <v>8</v>
      </c>
      <c r="FD219" s="27" t="s">
        <v>7</v>
      </c>
      <c r="FE219" s="27" t="s">
        <v>8</v>
      </c>
      <c r="FF219" s="27" t="s">
        <v>7</v>
      </c>
      <c r="FG219" s="27" t="s">
        <v>8</v>
      </c>
    </row>
    <row r="220" spans="1:163" x14ac:dyDescent="0.25">
      <c r="A220" s="30">
        <v>2.6532977051444226</v>
      </c>
      <c r="E220"/>
      <c r="EM220" s="27" t="s">
        <v>8</v>
      </c>
      <c r="EN220" s="27" t="s">
        <v>7</v>
      </c>
      <c r="EO220" s="27" t="s">
        <v>8</v>
      </c>
      <c r="FD220" s="27" t="s">
        <v>7</v>
      </c>
      <c r="FF220" s="27" t="s">
        <v>7</v>
      </c>
    </row>
    <row r="221" spans="1:163" x14ac:dyDescent="0.25">
      <c r="A221" s="30">
        <v>2.5269501953756404</v>
      </c>
      <c r="E221"/>
      <c r="EM221" s="27" t="s">
        <v>8</v>
      </c>
      <c r="EN221" s="27" t="s">
        <v>7</v>
      </c>
      <c r="EO221" s="27" t="s">
        <v>8</v>
      </c>
    </row>
    <row r="222" spans="1:163" x14ac:dyDescent="0.25">
      <c r="A222" s="30">
        <v>2.4066192336910861</v>
      </c>
      <c r="E222"/>
      <c r="EK222" s="27" t="s">
        <v>8</v>
      </c>
      <c r="EM222" s="27" t="s">
        <v>8</v>
      </c>
      <c r="EN222" s="27" t="s">
        <v>7</v>
      </c>
      <c r="EO222" s="27" t="s">
        <v>8</v>
      </c>
    </row>
    <row r="223" spans="1:163" x14ac:dyDescent="0.25">
      <c r="A223" s="30">
        <v>2.2920183178010345</v>
      </c>
      <c r="E223"/>
      <c r="EK223" s="27" t="s">
        <v>8</v>
      </c>
      <c r="EL223" s="27" t="s">
        <v>7</v>
      </c>
      <c r="EM223" s="27" t="s">
        <v>8</v>
      </c>
      <c r="EN223" s="27" t="s">
        <v>7</v>
      </c>
      <c r="EO223" s="27" t="s">
        <v>8</v>
      </c>
    </row>
    <row r="224" spans="1:163" x14ac:dyDescent="0.25">
      <c r="A224" s="30">
        <v>2.1828745883819374</v>
      </c>
      <c r="E224"/>
      <c r="EK224" s="27" t="s">
        <v>8</v>
      </c>
      <c r="EL224" s="27" t="s">
        <v>7</v>
      </c>
      <c r="EM224" s="27" t="s">
        <v>8</v>
      </c>
      <c r="EN224" s="27" t="s">
        <v>7</v>
      </c>
      <c r="EO224" s="27" t="s">
        <v>8</v>
      </c>
    </row>
    <row r="225" spans="1:144" x14ac:dyDescent="0.25">
      <c r="A225" s="30">
        <v>2.0789281794113688</v>
      </c>
      <c r="E225"/>
      <c r="EK225" s="27" t="s">
        <v>8</v>
      </c>
      <c r="EL225" s="27" t="s">
        <v>7</v>
      </c>
      <c r="EM225" s="27" t="s">
        <v>8</v>
      </c>
      <c r="EN225" s="27" t="s">
        <v>7</v>
      </c>
    </row>
    <row r="226" spans="1:144" x14ac:dyDescent="0.25">
      <c r="A226" s="30">
        <v>1.9799315994393987</v>
      </c>
      <c r="E226"/>
      <c r="EK226" s="27" t="s">
        <v>8</v>
      </c>
      <c r="EL226" s="27" t="s">
        <v>7</v>
      </c>
      <c r="EM226" s="27" t="s">
        <v>8</v>
      </c>
    </row>
    <row r="227" spans="1:144" x14ac:dyDescent="0.25">
      <c r="A227" s="30">
        <v>1.8856491423232367</v>
      </c>
      <c r="E227"/>
      <c r="EK227" s="27" t="s">
        <v>8</v>
      </c>
      <c r="EL227" s="27" t="s">
        <v>7</v>
      </c>
      <c r="EM227" s="27" t="s">
        <v>8</v>
      </c>
    </row>
    <row r="228" spans="1:144" x14ac:dyDescent="0.25">
      <c r="A228" s="30">
        <v>1.7958563260221301</v>
      </c>
      <c r="C228" s="7"/>
      <c r="D228"/>
      <c r="E228"/>
      <c r="EK228" s="27" t="s">
        <v>8</v>
      </c>
      <c r="EL228" s="27" t="s">
        <v>7</v>
      </c>
      <c r="EM228" s="27" t="s">
        <v>8</v>
      </c>
    </row>
    <row r="229" spans="1:144" x14ac:dyDescent="0.25">
      <c r="A229" s="30">
        <v>1.7103393581163142</v>
      </c>
      <c r="E229"/>
      <c r="EK229" s="27" t="s">
        <v>8</v>
      </c>
      <c r="EL229" s="27" t="s">
        <v>7</v>
      </c>
      <c r="EM229" s="27" t="s">
        <v>8</v>
      </c>
    </row>
    <row r="230" spans="1:144" x14ac:dyDescent="0.25">
      <c r="A230" s="30">
        <v>1.628894626777442</v>
      </c>
      <c r="E230"/>
      <c r="EK230" s="27" t="s">
        <v>8</v>
      </c>
      <c r="EL230" s="27" t="s">
        <v>7</v>
      </c>
      <c r="EM230" s="27" t="s">
        <v>8</v>
      </c>
    </row>
    <row r="231" spans="1:144" x14ac:dyDescent="0.25">
      <c r="A231" s="30">
        <v>1.5513282159785162</v>
      </c>
      <c r="C231"/>
      <c r="D231"/>
      <c r="E231"/>
      <c r="EK231" s="27" t="s">
        <v>8</v>
      </c>
      <c r="EL231" s="27" t="s">
        <v>7</v>
      </c>
    </row>
    <row r="232" spans="1:144" x14ac:dyDescent="0.25">
      <c r="A232" s="30">
        <v>1.477455443789063</v>
      </c>
      <c r="E232"/>
      <c r="EK232" s="27" t="s">
        <v>8</v>
      </c>
    </row>
    <row r="233" spans="1:144" x14ac:dyDescent="0.25">
      <c r="A233" s="30">
        <v>1.4071004226562505</v>
      </c>
      <c r="E233"/>
      <c r="EK233" s="27" t="s">
        <v>8</v>
      </c>
    </row>
    <row r="234" spans="1:144" x14ac:dyDescent="0.25">
      <c r="A234" s="30">
        <v>1.3400956406250004</v>
      </c>
      <c r="E234"/>
      <c r="EK234" s="27" t="s">
        <v>8</v>
      </c>
    </row>
    <row r="235" spans="1:144" x14ac:dyDescent="0.25">
      <c r="A235" s="30">
        <v>1.2762815625000004</v>
      </c>
      <c r="C235"/>
      <c r="E235"/>
      <c r="EK235" s="27" t="s">
        <v>8</v>
      </c>
    </row>
    <row r="236" spans="1:144" x14ac:dyDescent="0.25">
      <c r="A236" s="30">
        <v>1.2155062500000002</v>
      </c>
      <c r="E236"/>
      <c r="EK236" s="27" t="s">
        <v>8</v>
      </c>
    </row>
    <row r="237" spans="1:14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DW237" s="27" t="s">
        <v>8</v>
      </c>
      <c r="EK237" s="27" t="s">
        <v>8</v>
      </c>
    </row>
    <row r="238" spans="1:144" x14ac:dyDescent="0.25">
      <c r="A238" s="30">
        <v>1.1025</v>
      </c>
      <c r="E238"/>
      <c r="DW238" s="27" t="s">
        <v>8</v>
      </c>
      <c r="DX238" s="27" t="s">
        <v>7</v>
      </c>
      <c r="DY238" s="27" t="s">
        <v>8</v>
      </c>
      <c r="EK238" s="27" t="s">
        <v>8</v>
      </c>
    </row>
    <row r="239" spans="1:144" x14ac:dyDescent="0.25">
      <c r="A239" s="30">
        <v>1.05</v>
      </c>
      <c r="E239"/>
      <c r="DW239" s="27" t="s">
        <v>8</v>
      </c>
      <c r="DX239" s="27" t="s">
        <v>7</v>
      </c>
      <c r="DY239" s="27" t="s">
        <v>8</v>
      </c>
      <c r="DZ239" s="27" t="s">
        <v>7</v>
      </c>
      <c r="EK239" s="27" t="s">
        <v>8</v>
      </c>
    </row>
    <row r="240" spans="1:144" x14ac:dyDescent="0.25">
      <c r="A240" s="30">
        <v>1</v>
      </c>
      <c r="E240" s="29" t="s">
        <v>8</v>
      </c>
      <c r="DW240" s="27" t="s">
        <v>8</v>
      </c>
      <c r="DX240" s="27" t="s">
        <v>7</v>
      </c>
      <c r="DY240" s="27" t="s">
        <v>8</v>
      </c>
      <c r="DZ240" s="27" t="s">
        <v>7</v>
      </c>
      <c r="EK240" s="27" t="s">
        <v>8</v>
      </c>
    </row>
    <row r="241" spans="1:141" x14ac:dyDescent="0.25">
      <c r="A241" s="30">
        <v>0.952380952380952</v>
      </c>
      <c r="B241"/>
      <c r="C241"/>
      <c r="D241"/>
      <c r="E241"/>
      <c r="F241" s="27" t="s">
        <v>7</v>
      </c>
      <c r="DW241" s="27" t="s">
        <v>8</v>
      </c>
      <c r="DX241" s="27" t="s">
        <v>7</v>
      </c>
      <c r="DY241" s="27" t="s">
        <v>8</v>
      </c>
      <c r="DZ241" s="27" t="s">
        <v>7</v>
      </c>
      <c r="EK241" s="27" t="s">
        <v>8</v>
      </c>
    </row>
    <row r="242" spans="1:141" x14ac:dyDescent="0.25">
      <c r="A242" s="30">
        <v>0.90702947845804915</v>
      </c>
      <c r="B242"/>
      <c r="C242"/>
      <c r="D242"/>
      <c r="E242"/>
      <c r="F242" s="27" t="s">
        <v>7</v>
      </c>
      <c r="DW242" s="27" t="s">
        <v>8</v>
      </c>
      <c r="DX242" s="27" t="s">
        <v>7</v>
      </c>
      <c r="DZ242" s="27" t="s">
        <v>7</v>
      </c>
      <c r="EK242" s="27" t="s">
        <v>8</v>
      </c>
    </row>
    <row r="243" spans="1:141" x14ac:dyDescent="0.25">
      <c r="A243" s="30">
        <v>0.86383759853147501</v>
      </c>
      <c r="B243"/>
      <c r="C243"/>
      <c r="D243"/>
      <c r="E243"/>
      <c r="F243" s="27" t="s">
        <v>7</v>
      </c>
      <c r="BY243" s="27" t="s">
        <v>8</v>
      </c>
      <c r="DU243" s="27" t="s">
        <v>8</v>
      </c>
      <c r="DW243" s="27" t="s">
        <v>8</v>
      </c>
      <c r="DZ243" s="27" t="s">
        <v>7</v>
      </c>
      <c r="EA243" s="27" t="s">
        <v>8</v>
      </c>
      <c r="EG243" s="27" t="s">
        <v>8</v>
      </c>
      <c r="EI243" s="27" t="s">
        <v>8</v>
      </c>
      <c r="EK243" s="27" t="s">
        <v>8</v>
      </c>
    </row>
    <row r="244" spans="1:141" x14ac:dyDescent="0.25">
      <c r="A244" s="30">
        <v>0.82270247479188063</v>
      </c>
      <c r="B244"/>
      <c r="C244"/>
      <c r="D244"/>
      <c r="E244"/>
      <c r="F244" s="27" t="s">
        <v>7</v>
      </c>
      <c r="BY244" s="27" t="s">
        <v>8</v>
      </c>
      <c r="BZ244" s="27" t="s">
        <v>7</v>
      </c>
      <c r="DM244" s="27" t="s">
        <v>8</v>
      </c>
      <c r="DU244" s="27" t="s">
        <v>8</v>
      </c>
      <c r="DV244" s="27" t="s">
        <v>7</v>
      </c>
      <c r="DW244" s="27" t="s">
        <v>8</v>
      </c>
      <c r="DZ244" s="27" t="s">
        <v>7</v>
      </c>
      <c r="EA244" s="27" t="s">
        <v>8</v>
      </c>
      <c r="EB244" s="27" t="s">
        <v>7</v>
      </c>
      <c r="EC244" s="27" t="s">
        <v>8</v>
      </c>
      <c r="EG244" s="27" t="s">
        <v>8</v>
      </c>
      <c r="EH244" s="27" t="s">
        <v>7</v>
      </c>
      <c r="EI244" s="27" t="s">
        <v>8</v>
      </c>
      <c r="EJ244" s="27" t="s">
        <v>7</v>
      </c>
      <c r="EK244" s="27" t="s">
        <v>8</v>
      </c>
    </row>
    <row r="245" spans="1:141" x14ac:dyDescent="0.25">
      <c r="A245" s="30">
        <v>0.78352616646845741</v>
      </c>
      <c r="B245"/>
      <c r="C245"/>
      <c r="D245"/>
      <c r="E245"/>
      <c r="F245" s="27" t="s">
        <v>7</v>
      </c>
      <c r="BQ245" s="27" t="s">
        <v>8</v>
      </c>
      <c r="BY245" s="27" t="s">
        <v>8</v>
      </c>
      <c r="BZ245" s="27" t="s">
        <v>7</v>
      </c>
      <c r="DM245" s="27" t="s">
        <v>8</v>
      </c>
      <c r="DN245" s="27" t="s">
        <v>7</v>
      </c>
      <c r="DU245" s="27" t="s">
        <v>8</v>
      </c>
      <c r="DV245" s="27" t="s">
        <v>7</v>
      </c>
      <c r="DW245" s="27" t="s">
        <v>8</v>
      </c>
      <c r="DZ245" s="27" t="s">
        <v>7</v>
      </c>
      <c r="EA245" s="27" t="s">
        <v>8</v>
      </c>
      <c r="EB245" s="27" t="s">
        <v>7</v>
      </c>
      <c r="EC245" s="27" t="s">
        <v>8</v>
      </c>
      <c r="ED245" s="27" t="s">
        <v>7</v>
      </c>
      <c r="EG245" s="27" t="s">
        <v>8</v>
      </c>
      <c r="EH245" s="27" t="s">
        <v>7</v>
      </c>
      <c r="EI245" s="27" t="s">
        <v>8</v>
      </c>
      <c r="EJ245" s="27" t="s">
        <v>7</v>
      </c>
      <c r="EK245" s="27" t="s">
        <v>8</v>
      </c>
    </row>
    <row r="246" spans="1:141" x14ac:dyDescent="0.25">
      <c r="A246" s="30">
        <v>0.74621539663662584</v>
      </c>
      <c r="B246"/>
      <c r="C246"/>
      <c r="D246"/>
      <c r="E246"/>
      <c r="F246" s="27" t="s">
        <v>7</v>
      </c>
      <c r="BQ246" s="27" t="s">
        <v>8</v>
      </c>
      <c r="BR246" s="27" t="s">
        <v>7</v>
      </c>
      <c r="BY246" s="27" t="s">
        <v>8</v>
      </c>
      <c r="BZ246" s="27" t="s">
        <v>7</v>
      </c>
      <c r="CA246" s="27" t="s">
        <v>8</v>
      </c>
      <c r="DM246" s="27" t="s">
        <v>8</v>
      </c>
      <c r="DN246" s="27" t="s">
        <v>7</v>
      </c>
      <c r="DO246" s="27" t="s">
        <v>8</v>
      </c>
      <c r="DU246" s="27" t="s">
        <v>8</v>
      </c>
      <c r="DV246" s="27" t="s">
        <v>7</v>
      </c>
      <c r="DW246" s="27" t="s">
        <v>8</v>
      </c>
      <c r="DZ246" s="27" t="s">
        <v>7</v>
      </c>
      <c r="EA246" s="27" t="s">
        <v>8</v>
      </c>
      <c r="EB246" s="27" t="s">
        <v>7</v>
      </c>
      <c r="EC246" s="27" t="s">
        <v>8</v>
      </c>
      <c r="ED246" s="27" t="s">
        <v>7</v>
      </c>
      <c r="EE246" s="27" t="s">
        <v>8</v>
      </c>
      <c r="EG246" s="27" t="s">
        <v>8</v>
      </c>
      <c r="EH246" s="27" t="s">
        <v>7</v>
      </c>
      <c r="EI246" s="27" t="s">
        <v>8</v>
      </c>
      <c r="EJ246" s="27" t="s">
        <v>7</v>
      </c>
    </row>
    <row r="247" spans="1:141" x14ac:dyDescent="0.25">
      <c r="A247" s="30">
        <v>0.71068133013011958</v>
      </c>
      <c r="B247"/>
      <c r="C247"/>
      <c r="D247"/>
      <c r="E247"/>
      <c r="F247" s="27" t="s">
        <v>7</v>
      </c>
      <c r="BQ247" s="27" t="s">
        <v>8</v>
      </c>
      <c r="BR247" s="27" t="s">
        <v>7</v>
      </c>
      <c r="BY247" s="27" t="s">
        <v>8</v>
      </c>
      <c r="BZ247" s="27" t="s">
        <v>7</v>
      </c>
      <c r="CA247" s="27" t="s">
        <v>8</v>
      </c>
      <c r="CB247" s="27" t="s">
        <v>7</v>
      </c>
      <c r="CG247" s="27" t="s">
        <v>8</v>
      </c>
      <c r="DM247" s="27" t="s">
        <v>8</v>
      </c>
      <c r="DN247" s="27" t="s">
        <v>7</v>
      </c>
      <c r="DO247" s="27" t="s">
        <v>8</v>
      </c>
      <c r="DP247" s="27" t="s">
        <v>7</v>
      </c>
      <c r="DQ247" s="27" t="s">
        <v>8</v>
      </c>
      <c r="DS247" s="27" t="s">
        <v>8</v>
      </c>
      <c r="DU247" s="27" t="s">
        <v>8</v>
      </c>
      <c r="DV247" s="27" t="s">
        <v>7</v>
      </c>
      <c r="DW247" s="27" t="s">
        <v>8</v>
      </c>
      <c r="DZ247" s="27" t="s">
        <v>7</v>
      </c>
      <c r="EA247" s="27" t="s">
        <v>8</v>
      </c>
      <c r="EB247" s="27" t="s">
        <v>7</v>
      </c>
      <c r="ED247" s="27" t="s">
        <v>7</v>
      </c>
      <c r="EE247" s="27" t="s">
        <v>8</v>
      </c>
      <c r="EF247" s="27" t="s">
        <v>7</v>
      </c>
      <c r="EG247" s="27" t="s">
        <v>8</v>
      </c>
      <c r="EH247" s="27" t="s">
        <v>7</v>
      </c>
    </row>
    <row r="248" spans="1:141" x14ac:dyDescent="0.25">
      <c r="A248" s="30">
        <v>0.676839362028685</v>
      </c>
      <c r="B248"/>
      <c r="C248"/>
      <c r="D248"/>
      <c r="E248"/>
      <c r="F248" s="27" t="s">
        <v>7</v>
      </c>
      <c r="BQ248" s="27" t="s">
        <v>8</v>
      </c>
      <c r="BR248" s="27" t="s">
        <v>7</v>
      </c>
      <c r="BY248" s="27" t="s">
        <v>8</v>
      </c>
      <c r="BZ248" s="27" t="s">
        <v>7</v>
      </c>
      <c r="CA248" s="27" t="s">
        <v>8</v>
      </c>
      <c r="CB248" s="27" t="s">
        <v>7</v>
      </c>
      <c r="CG248" s="27" t="s">
        <v>8</v>
      </c>
      <c r="CH248" s="27" t="s">
        <v>7</v>
      </c>
      <c r="DI248" s="27" t="s">
        <v>8</v>
      </c>
      <c r="DM248" s="27" t="s">
        <v>8</v>
      </c>
      <c r="DN248" s="27" t="s">
        <v>7</v>
      </c>
      <c r="DO248" s="27" t="s">
        <v>8</v>
      </c>
      <c r="DP248" s="27" t="s">
        <v>7</v>
      </c>
      <c r="DQ248" s="27" t="s">
        <v>8</v>
      </c>
      <c r="DR248" s="27" t="s">
        <v>7</v>
      </c>
      <c r="DS248" s="27" t="s">
        <v>8</v>
      </c>
      <c r="DT248" s="27" t="s">
        <v>7</v>
      </c>
      <c r="DU248" s="27" t="s">
        <v>8</v>
      </c>
      <c r="DV248" s="27" t="s">
        <v>7</v>
      </c>
      <c r="DW248" s="27" t="s">
        <v>8</v>
      </c>
      <c r="DZ248" s="27" t="s">
        <v>7</v>
      </c>
      <c r="EA248" s="27" t="s">
        <v>8</v>
      </c>
      <c r="ED248" s="27" t="s">
        <v>7</v>
      </c>
      <c r="EE248" s="27" t="s">
        <v>8</v>
      </c>
      <c r="EF248" s="27" t="s">
        <v>7</v>
      </c>
      <c r="EG248" s="27" t="s">
        <v>8</v>
      </c>
    </row>
    <row r="249" spans="1:141" x14ac:dyDescent="0.25">
      <c r="A249" s="30">
        <v>0.64460891621779492</v>
      </c>
      <c r="B249"/>
      <c r="C249"/>
      <c r="D249"/>
      <c r="E249"/>
      <c r="F249" s="27" t="s">
        <v>7</v>
      </c>
      <c r="BQ249" s="27" t="s">
        <v>8</v>
      </c>
      <c r="BR249" s="27" t="s">
        <v>7</v>
      </c>
      <c r="BS249" s="27" t="s">
        <v>8</v>
      </c>
      <c r="BW249" s="27" t="s">
        <v>8</v>
      </c>
      <c r="BY249" s="27" t="s">
        <v>8</v>
      </c>
      <c r="BZ249" s="27" t="s">
        <v>7</v>
      </c>
      <c r="CA249" s="27" t="s">
        <v>8</v>
      </c>
      <c r="CB249" s="27" t="s">
        <v>7</v>
      </c>
      <c r="CG249" s="27" t="s">
        <v>8</v>
      </c>
      <c r="CH249" s="27" t="s">
        <v>7</v>
      </c>
      <c r="DI249" s="27" t="s">
        <v>8</v>
      </c>
      <c r="DJ249" s="27" t="s">
        <v>7</v>
      </c>
      <c r="DM249" s="27" t="s">
        <v>8</v>
      </c>
      <c r="DN249" s="27" t="s">
        <v>7</v>
      </c>
      <c r="DO249" s="27" t="s">
        <v>8</v>
      </c>
      <c r="DP249" s="27" t="s">
        <v>7</v>
      </c>
      <c r="DQ249" s="27" t="s">
        <v>8</v>
      </c>
      <c r="DR249" s="27" t="s">
        <v>7</v>
      </c>
      <c r="DS249" s="27" t="s">
        <v>8</v>
      </c>
      <c r="DT249" s="27" t="s">
        <v>7</v>
      </c>
      <c r="DU249" s="27" t="s">
        <v>8</v>
      </c>
      <c r="DV249" s="27" t="s">
        <v>7</v>
      </c>
      <c r="DZ249" s="27" t="s">
        <v>7</v>
      </c>
      <c r="EA249" s="27" t="s">
        <v>8</v>
      </c>
      <c r="ED249" s="27" t="s">
        <v>7</v>
      </c>
      <c r="EE249" s="27" t="s">
        <v>8</v>
      </c>
      <c r="EF249" s="27" t="s">
        <v>7</v>
      </c>
      <c r="EG249" s="27" t="s">
        <v>8</v>
      </c>
    </row>
    <row r="250" spans="1:141" x14ac:dyDescent="0.25">
      <c r="A250" s="30">
        <v>0.61391325354075688</v>
      </c>
      <c r="B250"/>
      <c r="C250"/>
      <c r="D250"/>
      <c r="E250"/>
      <c r="F250" s="27" t="s">
        <v>7</v>
      </c>
      <c r="BQ250" s="27" t="s">
        <v>8</v>
      </c>
      <c r="BR250" s="27" t="s">
        <v>7</v>
      </c>
      <c r="BS250" s="27" t="s">
        <v>8</v>
      </c>
      <c r="BT250" s="27" t="s">
        <v>7</v>
      </c>
      <c r="BU250" s="27" t="s">
        <v>8</v>
      </c>
      <c r="BW250" s="27" t="s">
        <v>8</v>
      </c>
      <c r="BX250" s="27" t="s">
        <v>7</v>
      </c>
      <c r="BY250" s="27" t="s">
        <v>8</v>
      </c>
      <c r="BZ250" s="27" t="s">
        <v>7</v>
      </c>
      <c r="CA250" s="27" t="s">
        <v>8</v>
      </c>
      <c r="CB250" s="27" t="s">
        <v>7</v>
      </c>
      <c r="CG250" s="27" t="s">
        <v>8</v>
      </c>
      <c r="CH250" s="27" t="s">
        <v>7</v>
      </c>
      <c r="DI250" s="27" t="s">
        <v>8</v>
      </c>
      <c r="DJ250" s="27" t="s">
        <v>7</v>
      </c>
      <c r="DM250" s="27" t="s">
        <v>8</v>
      </c>
      <c r="DN250" s="27" t="s">
        <v>7</v>
      </c>
      <c r="DO250" s="27" t="s">
        <v>8</v>
      </c>
      <c r="DP250" s="27" t="s">
        <v>7</v>
      </c>
      <c r="DQ250" s="27" t="s">
        <v>8</v>
      </c>
      <c r="DR250" s="27" t="s">
        <v>7</v>
      </c>
      <c r="DS250" s="27" t="s">
        <v>8</v>
      </c>
      <c r="DT250" s="27" t="s">
        <v>7</v>
      </c>
      <c r="DZ250" s="27" t="s">
        <v>7</v>
      </c>
      <c r="ED250" s="27" t="s">
        <v>7</v>
      </c>
      <c r="EE250" s="27" t="s">
        <v>8</v>
      </c>
      <c r="EF250" s="27" t="s">
        <v>7</v>
      </c>
      <c r="EG250" s="27" t="s">
        <v>8</v>
      </c>
    </row>
    <row r="251" spans="1:141" x14ac:dyDescent="0.25">
      <c r="A251" s="30">
        <v>0.58467928908643485</v>
      </c>
      <c r="B251"/>
      <c r="C251"/>
      <c r="D251"/>
      <c r="E251"/>
      <c r="F251" s="27" t="s">
        <v>7</v>
      </c>
      <c r="BQ251" s="27" t="s">
        <v>8</v>
      </c>
      <c r="BR251" s="27" t="s">
        <v>7</v>
      </c>
      <c r="BS251" s="27" t="s">
        <v>8</v>
      </c>
      <c r="BT251" s="27" t="s">
        <v>7</v>
      </c>
      <c r="BU251" s="27" t="s">
        <v>8</v>
      </c>
      <c r="BV251" s="27" t="s">
        <v>7</v>
      </c>
      <c r="BW251" s="27" t="s">
        <v>8</v>
      </c>
      <c r="BX251" s="27" t="s">
        <v>7</v>
      </c>
      <c r="BY251" s="27" t="s">
        <v>8</v>
      </c>
      <c r="BZ251" s="27" t="s">
        <v>7</v>
      </c>
      <c r="CA251" s="27" t="s">
        <v>8</v>
      </c>
      <c r="CB251" s="27" t="s">
        <v>7</v>
      </c>
      <c r="CG251" s="27" t="s">
        <v>8</v>
      </c>
      <c r="CH251" s="27" t="s">
        <v>7</v>
      </c>
      <c r="DI251" s="27" t="s">
        <v>8</v>
      </c>
      <c r="DJ251" s="27" t="s">
        <v>7</v>
      </c>
      <c r="DM251" s="27" t="s">
        <v>8</v>
      </c>
      <c r="DN251" s="27" t="s">
        <v>7</v>
      </c>
      <c r="DP251" s="27" t="s">
        <v>7</v>
      </c>
      <c r="DR251" s="27" t="s">
        <v>7</v>
      </c>
      <c r="DS251" s="27" t="s">
        <v>8</v>
      </c>
      <c r="ED251" s="27" t="s">
        <v>7</v>
      </c>
      <c r="EF251" s="27" t="s">
        <v>7</v>
      </c>
    </row>
    <row r="252" spans="1:141" x14ac:dyDescent="0.25">
      <c r="A252" s="30">
        <v>0.55683741817755672</v>
      </c>
      <c r="B252"/>
      <c r="C252"/>
      <c r="D252"/>
      <c r="E252"/>
      <c r="F252" s="27" t="s">
        <v>7</v>
      </c>
      <c r="BO252" s="27" t="s">
        <v>8</v>
      </c>
      <c r="BQ252" s="27" t="s">
        <v>8</v>
      </c>
      <c r="BR252" s="27" t="s">
        <v>7</v>
      </c>
      <c r="BS252" s="27" t="s">
        <v>8</v>
      </c>
      <c r="BT252" s="27" t="s">
        <v>7</v>
      </c>
      <c r="BU252" s="27" t="s">
        <v>8</v>
      </c>
      <c r="BV252" s="27" t="s">
        <v>7</v>
      </c>
      <c r="BW252" s="27" t="s">
        <v>8</v>
      </c>
      <c r="BX252" s="27" t="s">
        <v>7</v>
      </c>
      <c r="BZ252" s="27" t="s">
        <v>7</v>
      </c>
      <c r="CA252" s="27" t="s">
        <v>8</v>
      </c>
      <c r="CB252" s="27" t="s">
        <v>7</v>
      </c>
      <c r="CC252" s="27" t="s">
        <v>8</v>
      </c>
      <c r="CE252" s="27" t="s">
        <v>8</v>
      </c>
      <c r="CG252" s="27" t="s">
        <v>8</v>
      </c>
      <c r="CH252" s="27" t="s">
        <v>7</v>
      </c>
      <c r="DI252" s="27" t="s">
        <v>8</v>
      </c>
      <c r="DJ252" s="27" t="s">
        <v>7</v>
      </c>
      <c r="DM252" s="27" t="s">
        <v>8</v>
      </c>
      <c r="DR252" s="27" t="s">
        <v>7</v>
      </c>
    </row>
    <row r="253" spans="1:141" x14ac:dyDescent="0.25">
      <c r="A253" s="30">
        <v>0.53032135064529184</v>
      </c>
      <c r="B253"/>
      <c r="C253"/>
      <c r="D253"/>
      <c r="E253"/>
      <c r="F253" s="27" t="s">
        <v>7</v>
      </c>
      <c r="BO253" s="27" t="s">
        <v>8</v>
      </c>
      <c r="BP253" s="27" t="s">
        <v>7</v>
      </c>
      <c r="BQ253" s="27" t="s">
        <v>8</v>
      </c>
      <c r="BR253" s="27" t="s">
        <v>7</v>
      </c>
      <c r="BS253" s="27" t="s">
        <v>8</v>
      </c>
      <c r="BT253" s="27" t="s">
        <v>7</v>
      </c>
      <c r="BV253" s="27" t="s">
        <v>7</v>
      </c>
      <c r="BZ253" s="27" t="s">
        <v>7</v>
      </c>
      <c r="CB253" s="27" t="s">
        <v>7</v>
      </c>
      <c r="CC253" s="27" t="s">
        <v>8</v>
      </c>
      <c r="CD253" s="27" t="s">
        <v>7</v>
      </c>
      <c r="CE253" s="27" t="s">
        <v>8</v>
      </c>
      <c r="CF253" s="27" t="s">
        <v>7</v>
      </c>
      <c r="CG253" s="27" t="s">
        <v>8</v>
      </c>
      <c r="CH253" s="27" t="s">
        <v>7</v>
      </c>
      <c r="CI253" s="27" t="s">
        <v>8</v>
      </c>
      <c r="DE253" s="27" t="s">
        <v>8</v>
      </c>
      <c r="DG253" s="27" t="s">
        <v>8</v>
      </c>
      <c r="DI253" s="27" t="s">
        <v>8</v>
      </c>
      <c r="DJ253" s="27" t="s">
        <v>7</v>
      </c>
      <c r="DM253" s="32" t="s">
        <v>8</v>
      </c>
    </row>
    <row r="254" spans="1:141" x14ac:dyDescent="0.25">
      <c r="A254" s="30">
        <v>0.50506795299551588</v>
      </c>
      <c r="B254"/>
      <c r="C254"/>
      <c r="D254"/>
      <c r="E254"/>
      <c r="F254" s="27" t="s">
        <v>7</v>
      </c>
      <c r="BO254" s="27" t="s">
        <v>8</v>
      </c>
      <c r="BP254" s="27" t="s">
        <v>7</v>
      </c>
      <c r="BQ254" s="27" t="s">
        <v>8</v>
      </c>
      <c r="BR254" s="27" t="s">
        <v>7</v>
      </c>
      <c r="CB254" s="27" t="s">
        <v>7</v>
      </c>
      <c r="CC254" s="27" t="s">
        <v>8</v>
      </c>
      <c r="CD254" s="27" t="s">
        <v>7</v>
      </c>
      <c r="CE254" s="27" t="s">
        <v>8</v>
      </c>
      <c r="CF254" s="27" t="s">
        <v>7</v>
      </c>
      <c r="CG254" s="27" t="s">
        <v>8</v>
      </c>
      <c r="CH254" s="27" t="s">
        <v>7</v>
      </c>
      <c r="CI254" s="27" t="s">
        <v>8</v>
      </c>
      <c r="CJ254" s="27" t="s">
        <v>7</v>
      </c>
      <c r="CK254" s="27" t="s">
        <v>8</v>
      </c>
      <c r="DE254" s="27" t="s">
        <v>8</v>
      </c>
      <c r="DF254" s="27" t="s">
        <v>7</v>
      </c>
      <c r="DG254" s="27" t="s">
        <v>8</v>
      </c>
      <c r="DH254" s="27" t="s">
        <v>7</v>
      </c>
      <c r="DI254" s="27" t="s">
        <v>8</v>
      </c>
      <c r="DJ254" s="27" t="s">
        <v>7</v>
      </c>
      <c r="DK254" s="27" t="s">
        <v>8</v>
      </c>
      <c r="DM254" s="27" t="s">
        <v>8</v>
      </c>
    </row>
    <row r="255" spans="1:141" x14ac:dyDescent="0.25">
      <c r="A255" s="30">
        <v>0.48101709809096732</v>
      </c>
      <c r="E255"/>
      <c r="F255" s="27" t="s">
        <v>7</v>
      </c>
      <c r="BO255" s="27" t="s">
        <v>8</v>
      </c>
      <c r="BP255" s="27" t="s">
        <v>7</v>
      </c>
      <c r="BQ255" s="27" t="s">
        <v>8</v>
      </c>
      <c r="CB255" s="27" t="s">
        <v>7</v>
      </c>
      <c r="CD255" s="27" t="s">
        <v>7</v>
      </c>
      <c r="CE255" s="27" t="s">
        <v>8</v>
      </c>
      <c r="CF255" s="27" t="s">
        <v>7</v>
      </c>
      <c r="CG255" s="27" t="s">
        <v>8</v>
      </c>
      <c r="CH255" s="27" t="s">
        <v>7</v>
      </c>
      <c r="CI255" s="27" t="s">
        <v>8</v>
      </c>
      <c r="CJ255" s="27" t="s">
        <v>7</v>
      </c>
      <c r="CK255" s="27" t="s">
        <v>8</v>
      </c>
      <c r="CL255" s="27" t="s">
        <v>7</v>
      </c>
      <c r="DE255" s="27" t="s">
        <v>8</v>
      </c>
      <c r="DF255" s="27" t="s">
        <v>7</v>
      </c>
      <c r="DG255" s="27" t="s">
        <v>8</v>
      </c>
      <c r="DH255" s="27" t="s">
        <v>7</v>
      </c>
      <c r="DI255" s="27" t="s">
        <v>8</v>
      </c>
      <c r="DJ255" s="27" t="s">
        <v>7</v>
      </c>
      <c r="DK255" s="27" t="s">
        <v>8</v>
      </c>
      <c r="DL255" s="27" t="s">
        <v>7</v>
      </c>
      <c r="DM255" s="27" t="s">
        <v>8</v>
      </c>
    </row>
    <row r="256" spans="1:141" x14ac:dyDescent="0.25">
      <c r="A256" s="30">
        <v>0.45811152199139726</v>
      </c>
      <c r="E256"/>
      <c r="F256" s="27" t="s">
        <v>7</v>
      </c>
      <c r="BO256" s="27" t="s">
        <v>8</v>
      </c>
      <c r="BP256" s="27" t="s">
        <v>7</v>
      </c>
      <c r="CD256" s="27" t="s">
        <v>7</v>
      </c>
      <c r="CF256" s="27" t="s">
        <v>7</v>
      </c>
      <c r="CG256" s="27" t="s">
        <v>8</v>
      </c>
      <c r="CH256" s="27" t="s">
        <v>7</v>
      </c>
      <c r="CI256" s="27" t="s">
        <v>8</v>
      </c>
      <c r="CJ256" s="27" t="s">
        <v>7</v>
      </c>
      <c r="CK256" s="27" t="s">
        <v>8</v>
      </c>
      <c r="CL256" s="27" t="s">
        <v>7</v>
      </c>
      <c r="CO256" s="27" t="s">
        <v>8</v>
      </c>
      <c r="DE256" s="27" t="s">
        <v>8</v>
      </c>
      <c r="DF256" s="27" t="s">
        <v>7</v>
      </c>
      <c r="DG256" s="27" t="s">
        <v>8</v>
      </c>
      <c r="DH256" s="27" t="s">
        <v>7</v>
      </c>
      <c r="DI256" s="27" t="s">
        <v>8</v>
      </c>
      <c r="DJ256" s="27" t="s">
        <v>7</v>
      </c>
      <c r="DK256" s="27" t="s">
        <v>8</v>
      </c>
      <c r="DL256" s="27" t="s">
        <v>7</v>
      </c>
      <c r="DM256" s="27" t="s">
        <v>8</v>
      </c>
    </row>
    <row r="257" spans="1:117" x14ac:dyDescent="0.25">
      <c r="A257" s="30">
        <v>0.43629668761085438</v>
      </c>
      <c r="B257"/>
      <c r="C257"/>
      <c r="D257"/>
      <c r="E257"/>
      <c r="F257" s="27" t="s">
        <v>7</v>
      </c>
      <c r="BO257" s="27" t="s">
        <v>8</v>
      </c>
      <c r="CF257" s="27" t="s">
        <v>7</v>
      </c>
      <c r="CG257" s="27" t="s">
        <v>8</v>
      </c>
      <c r="CH257" s="27" t="s">
        <v>7</v>
      </c>
      <c r="CJ257" s="27" t="s">
        <v>7</v>
      </c>
      <c r="CK257" s="27" t="s">
        <v>8</v>
      </c>
      <c r="CL257" s="27" t="s">
        <v>7</v>
      </c>
      <c r="CO257" s="27" t="s">
        <v>8</v>
      </c>
      <c r="CP257" s="27" t="s">
        <v>7</v>
      </c>
      <c r="DE257" s="27" t="s">
        <v>8</v>
      </c>
      <c r="DF257" s="27" t="s">
        <v>7</v>
      </c>
      <c r="DG257" s="27" t="s">
        <v>8</v>
      </c>
      <c r="DH257" s="27" t="s">
        <v>7</v>
      </c>
      <c r="DI257" s="27" t="s">
        <v>8</v>
      </c>
      <c r="DJ257" s="27" t="s">
        <v>7</v>
      </c>
      <c r="DL257" s="18" t="s">
        <v>7</v>
      </c>
      <c r="DM257" s="27" t="s">
        <v>8</v>
      </c>
    </row>
    <row r="258" spans="1:117" x14ac:dyDescent="0.25">
      <c r="A258" s="30">
        <v>0.41552065486748019</v>
      </c>
      <c r="B258"/>
      <c r="C258"/>
      <c r="D258"/>
      <c r="E258"/>
      <c r="F258" s="27" t="s">
        <v>7</v>
      </c>
      <c r="BM258" s="27" t="s">
        <v>8</v>
      </c>
      <c r="BO258" s="27" t="s">
        <v>8</v>
      </c>
      <c r="CF258" s="27" t="s">
        <v>7</v>
      </c>
      <c r="CG258" s="27" t="s">
        <v>8</v>
      </c>
      <c r="CJ258" s="27" t="s">
        <v>7</v>
      </c>
      <c r="CK258" s="27" t="s">
        <v>8</v>
      </c>
      <c r="CL258" s="27" t="s">
        <v>7</v>
      </c>
      <c r="CM258" s="27" t="s">
        <v>8</v>
      </c>
      <c r="CO258" s="27" t="s">
        <v>8</v>
      </c>
      <c r="CP258" s="27" t="s">
        <v>7</v>
      </c>
      <c r="DE258" s="27" t="s">
        <v>8</v>
      </c>
      <c r="DF258" s="27" t="s">
        <v>7</v>
      </c>
      <c r="DG258" s="27" t="s">
        <v>8</v>
      </c>
      <c r="DH258" s="27" t="s">
        <v>7</v>
      </c>
      <c r="DI258" s="27" t="s">
        <v>8</v>
      </c>
      <c r="DL258" s="31" t="s">
        <v>7</v>
      </c>
      <c r="DM258" s="27" t="s">
        <v>8</v>
      </c>
    </row>
    <row r="259" spans="1:117" x14ac:dyDescent="0.25">
      <c r="A259" s="30">
        <v>0.39573395701664765</v>
      </c>
      <c r="B259"/>
      <c r="C259"/>
      <c r="D259"/>
      <c r="E259"/>
      <c r="F259" s="27" t="s">
        <v>7</v>
      </c>
      <c r="BM259" s="27" t="s">
        <v>8</v>
      </c>
      <c r="BN259" s="27" t="s">
        <v>7</v>
      </c>
      <c r="BO259" s="27" t="s">
        <v>8</v>
      </c>
      <c r="CF259" s="27" t="s">
        <v>7</v>
      </c>
      <c r="CG259" s="27" t="s">
        <v>8</v>
      </c>
      <c r="CJ259" s="27" t="s">
        <v>7</v>
      </c>
      <c r="CL259" s="27" t="s">
        <v>7</v>
      </c>
      <c r="CM259" s="27" t="s">
        <v>8</v>
      </c>
      <c r="CN259" s="27" t="s">
        <v>7</v>
      </c>
      <c r="CO259" s="27" t="s">
        <v>8</v>
      </c>
      <c r="CP259" s="27" t="s">
        <v>7</v>
      </c>
      <c r="DE259" s="27" t="s">
        <v>8</v>
      </c>
      <c r="DF259" s="27" t="s">
        <v>7</v>
      </c>
      <c r="DG259" s="27" t="s">
        <v>8</v>
      </c>
      <c r="DH259" s="27" t="s">
        <v>7</v>
      </c>
      <c r="DL259" s="27" t="s">
        <v>7</v>
      </c>
      <c r="DM259" s="27" t="s">
        <v>8</v>
      </c>
    </row>
    <row r="260" spans="1:117" x14ac:dyDescent="0.25">
      <c r="A260" s="30">
        <v>0.37688948287299762</v>
      </c>
      <c r="B260"/>
      <c r="C260"/>
      <c r="D260"/>
      <c r="E260"/>
      <c r="F260" s="27" t="s">
        <v>7</v>
      </c>
      <c r="BM260" s="27" t="s">
        <v>8</v>
      </c>
      <c r="BN260" s="27" t="s">
        <v>7</v>
      </c>
      <c r="BO260" s="27" t="s">
        <v>8</v>
      </c>
      <c r="CF260" s="27" t="s">
        <v>7</v>
      </c>
      <c r="CG260" s="27" t="s">
        <v>8</v>
      </c>
      <c r="CL260" s="27" t="s">
        <v>7</v>
      </c>
      <c r="CM260" s="27" t="s">
        <v>8</v>
      </c>
      <c r="CN260" s="27" t="s">
        <v>7</v>
      </c>
      <c r="CO260" s="27" t="s">
        <v>8</v>
      </c>
      <c r="CP260" s="27" t="s">
        <v>7</v>
      </c>
      <c r="CS260" s="27" t="s">
        <v>8</v>
      </c>
      <c r="DE260" s="27" t="s">
        <v>8</v>
      </c>
      <c r="DF260" s="27" t="s">
        <v>7</v>
      </c>
      <c r="DL260" s="27" t="s">
        <v>7</v>
      </c>
    </row>
    <row r="261" spans="1:117" x14ac:dyDescent="0.25">
      <c r="A261" s="30">
        <v>0.35894236464094997</v>
      </c>
      <c r="B261"/>
      <c r="C261"/>
      <c r="D261"/>
      <c r="E261"/>
      <c r="F261" s="27" t="s">
        <v>7</v>
      </c>
      <c r="BG261" s="27" t="s">
        <v>8</v>
      </c>
      <c r="BM261" s="27" t="s">
        <v>8</v>
      </c>
      <c r="BN261" s="27" t="s">
        <v>7</v>
      </c>
      <c r="BO261" s="27" t="s">
        <v>8</v>
      </c>
      <c r="CF261" s="27" t="s">
        <v>7</v>
      </c>
      <c r="CG261" s="27" t="s">
        <v>8</v>
      </c>
      <c r="CL261" s="27" t="s">
        <v>7</v>
      </c>
      <c r="CN261" s="27" t="s">
        <v>7</v>
      </c>
      <c r="CO261" s="27" t="s">
        <v>8</v>
      </c>
      <c r="CP261" s="27" t="s">
        <v>7</v>
      </c>
      <c r="CS261" s="27" t="s">
        <v>8</v>
      </c>
      <c r="CT261" s="27" t="s">
        <v>7</v>
      </c>
      <c r="CU261" s="27" t="s">
        <v>8</v>
      </c>
      <c r="DE261" s="27" t="s">
        <v>8</v>
      </c>
    </row>
    <row r="262" spans="1:117" x14ac:dyDescent="0.25">
      <c r="A262" s="30">
        <v>0.34184987108661891</v>
      </c>
      <c r="B262"/>
      <c r="C262"/>
      <c r="D262"/>
      <c r="E262"/>
      <c r="F262" s="27" t="s">
        <v>7</v>
      </c>
      <c r="BE262" s="27" t="s">
        <v>8</v>
      </c>
      <c r="BG262" s="27" t="s">
        <v>8</v>
      </c>
      <c r="BH262" s="27" t="s">
        <v>7</v>
      </c>
      <c r="BM262" s="27" t="s">
        <v>8</v>
      </c>
      <c r="BN262" s="27" t="s">
        <v>7</v>
      </c>
      <c r="BO262" s="27" t="s">
        <v>8</v>
      </c>
      <c r="CF262" s="27" t="s">
        <v>7</v>
      </c>
      <c r="CN262" s="27" t="s">
        <v>7</v>
      </c>
      <c r="CO262" s="27" t="s">
        <v>8</v>
      </c>
      <c r="CP262" s="27" t="s">
        <v>7</v>
      </c>
      <c r="CS262" s="27" t="s">
        <v>8</v>
      </c>
      <c r="CT262" s="27" t="s">
        <v>7</v>
      </c>
      <c r="CU262" s="27" t="s">
        <v>8</v>
      </c>
      <c r="CV262" s="27" t="s">
        <v>7</v>
      </c>
      <c r="CW262" s="27" t="s">
        <v>8</v>
      </c>
      <c r="DE262" s="27" t="s">
        <v>8</v>
      </c>
    </row>
    <row r="263" spans="1:117" x14ac:dyDescent="0.25">
      <c r="A263" s="30">
        <v>0.32557130579677979</v>
      </c>
      <c r="B263"/>
      <c r="C263"/>
      <c r="D263"/>
      <c r="E263"/>
      <c r="F263" s="27" t="s">
        <v>7</v>
      </c>
      <c r="BE263" s="27" t="s">
        <v>8</v>
      </c>
      <c r="BF263" s="27" t="s">
        <v>7</v>
      </c>
      <c r="BG263" s="27" t="s">
        <v>8</v>
      </c>
      <c r="BH263" s="27" t="s">
        <v>7</v>
      </c>
      <c r="BM263" s="27" t="s">
        <v>8</v>
      </c>
      <c r="BN263" s="27" t="s">
        <v>7</v>
      </c>
      <c r="CN263" s="27" t="s">
        <v>7</v>
      </c>
      <c r="CO263" s="27" t="s">
        <v>8</v>
      </c>
      <c r="CP263" s="27" t="s">
        <v>7</v>
      </c>
      <c r="CS263" s="27" t="s">
        <v>8</v>
      </c>
      <c r="CT263" s="27" t="s">
        <v>7</v>
      </c>
      <c r="CU263" s="27" t="s">
        <v>8</v>
      </c>
      <c r="CV263" s="27" t="s">
        <v>7</v>
      </c>
      <c r="CW263" s="27" t="s">
        <v>8</v>
      </c>
      <c r="CX263" s="27" t="s">
        <v>7</v>
      </c>
      <c r="DE263" s="27" t="s">
        <v>8</v>
      </c>
    </row>
    <row r="264" spans="1:117" x14ac:dyDescent="0.25">
      <c r="A264" s="30">
        <v>0.3100679102826473</v>
      </c>
      <c r="B264"/>
      <c r="C264"/>
      <c r="D264"/>
      <c r="E264"/>
      <c r="F264" s="27" t="s">
        <v>7</v>
      </c>
      <c r="BE264" s="27" t="s">
        <v>8</v>
      </c>
      <c r="BF264" s="27" t="s">
        <v>7</v>
      </c>
      <c r="BG264" s="27" t="s">
        <v>8</v>
      </c>
      <c r="BH264" s="27" t="s">
        <v>7</v>
      </c>
      <c r="BM264" s="27" t="s">
        <v>8</v>
      </c>
      <c r="CN264" s="27" t="s">
        <v>7</v>
      </c>
      <c r="CO264" s="27" t="s">
        <v>8</v>
      </c>
      <c r="CP264" s="27" t="s">
        <v>7</v>
      </c>
      <c r="CQ264" s="27" t="s">
        <v>8</v>
      </c>
      <c r="CS264" s="27" t="s">
        <v>8</v>
      </c>
      <c r="CT264" s="27" t="s">
        <v>7</v>
      </c>
      <c r="CU264" s="27" t="s">
        <v>8</v>
      </c>
      <c r="CV264" s="27" t="s">
        <v>7</v>
      </c>
      <c r="CW264" s="27" t="s">
        <v>8</v>
      </c>
      <c r="CX264" s="27" t="s">
        <v>7</v>
      </c>
      <c r="DE264" s="27" t="s">
        <v>8</v>
      </c>
    </row>
    <row r="265" spans="1:117" x14ac:dyDescent="0.25">
      <c r="A265" s="30">
        <v>0.2953027716977592</v>
      </c>
      <c r="B265"/>
      <c r="C265"/>
      <c r="D265"/>
      <c r="E265"/>
      <c r="F265" s="27" t="s">
        <v>7</v>
      </c>
      <c r="BE265" s="27" t="s">
        <v>8</v>
      </c>
      <c r="BF265" s="27" t="s">
        <v>7</v>
      </c>
      <c r="BG265" s="27" t="s">
        <v>8</v>
      </c>
      <c r="BH265" s="27" t="s">
        <v>7</v>
      </c>
      <c r="BM265" s="27" t="s">
        <v>8</v>
      </c>
      <c r="CN265" s="27" t="s">
        <v>7</v>
      </c>
      <c r="CO265" s="27" t="s">
        <v>8</v>
      </c>
      <c r="CP265" s="27" t="s">
        <v>7</v>
      </c>
      <c r="CQ265" s="27" t="s">
        <v>8</v>
      </c>
      <c r="CR265" s="27" t="s">
        <v>7</v>
      </c>
      <c r="CS265" s="27" t="s">
        <v>8</v>
      </c>
      <c r="CT265" s="27" t="s">
        <v>7</v>
      </c>
      <c r="CU265" s="27" t="s">
        <v>8</v>
      </c>
      <c r="CV265" s="27" t="s">
        <v>7</v>
      </c>
      <c r="CW265" s="27" t="s">
        <v>8</v>
      </c>
      <c r="CX265" s="27" t="s">
        <v>7</v>
      </c>
      <c r="CY265" s="27" t="s">
        <v>8</v>
      </c>
      <c r="DE265" s="27" t="s">
        <v>8</v>
      </c>
    </row>
    <row r="266" spans="1:117" x14ac:dyDescent="0.25">
      <c r="A266" s="30">
        <v>0.28124073495024676</v>
      </c>
      <c r="B266"/>
      <c r="C266"/>
      <c r="D266"/>
      <c r="E266"/>
      <c r="F266" s="27" t="s">
        <v>7</v>
      </c>
      <c r="BC266" s="27" t="s">
        <v>8</v>
      </c>
      <c r="BE266" s="27" t="s">
        <v>8</v>
      </c>
      <c r="BF266" s="27" t="s">
        <v>7</v>
      </c>
      <c r="BH266" s="27" t="s">
        <v>7</v>
      </c>
      <c r="BM266" s="27" t="s">
        <v>8</v>
      </c>
      <c r="CN266" s="27" t="s">
        <v>7</v>
      </c>
      <c r="CO266" s="27" t="s">
        <v>8</v>
      </c>
      <c r="CP266" s="27" t="s">
        <v>7</v>
      </c>
      <c r="CQ266" s="27" t="s">
        <v>8</v>
      </c>
      <c r="CR266" s="27" t="s">
        <v>7</v>
      </c>
      <c r="CS266" s="27" t="s">
        <v>8</v>
      </c>
      <c r="CT266" s="27" t="s">
        <v>7</v>
      </c>
      <c r="CV266" s="27" t="s">
        <v>7</v>
      </c>
      <c r="CW266" s="27" t="s">
        <v>8</v>
      </c>
      <c r="CX266" s="27" t="s">
        <v>7</v>
      </c>
      <c r="CY266" s="27" t="s">
        <v>8</v>
      </c>
      <c r="CZ266" s="27" t="s">
        <v>7</v>
      </c>
      <c r="DE266" s="27" t="s">
        <v>8</v>
      </c>
    </row>
    <row r="267" spans="1:117" x14ac:dyDescent="0.25">
      <c r="A267" s="30">
        <v>0.26784831900023492</v>
      </c>
      <c r="B267"/>
      <c r="C267"/>
      <c r="D267"/>
      <c r="E267"/>
      <c r="F267" s="27" t="s">
        <v>7</v>
      </c>
      <c r="BC267" s="27" t="s">
        <v>8</v>
      </c>
      <c r="BD267" s="27" t="s">
        <v>7</v>
      </c>
      <c r="BE267" s="27" t="s">
        <v>8</v>
      </c>
      <c r="BH267" s="27" t="s">
        <v>7</v>
      </c>
      <c r="BI267" s="27" t="s">
        <v>8</v>
      </c>
      <c r="BM267" s="27" t="s">
        <v>8</v>
      </c>
      <c r="CN267" s="27" t="s">
        <v>7</v>
      </c>
      <c r="CO267" s="27" t="s">
        <v>8</v>
      </c>
      <c r="CP267" s="27" t="s">
        <v>7</v>
      </c>
      <c r="CQ267" s="27" t="s">
        <v>8</v>
      </c>
      <c r="CR267" s="27" t="s">
        <v>7</v>
      </c>
      <c r="CV267" s="27" t="s">
        <v>7</v>
      </c>
      <c r="CW267" s="27" t="s">
        <v>8</v>
      </c>
      <c r="CX267" s="27" t="s">
        <v>7</v>
      </c>
      <c r="CY267" s="27" t="s">
        <v>8</v>
      </c>
      <c r="CZ267" s="27" t="s">
        <v>7</v>
      </c>
      <c r="DC267" s="27" t="s">
        <v>8</v>
      </c>
      <c r="DE267" s="27" t="s">
        <v>8</v>
      </c>
    </row>
    <row r="268" spans="1:117" x14ac:dyDescent="0.25">
      <c r="A268" s="30">
        <v>0.25509363714308075</v>
      </c>
      <c r="B268"/>
      <c r="C268"/>
      <c r="D268"/>
      <c r="E268"/>
      <c r="F268" s="27" t="s">
        <v>7</v>
      </c>
      <c r="BC268" s="27" t="s">
        <v>8</v>
      </c>
      <c r="BD268" s="27" t="s">
        <v>7</v>
      </c>
      <c r="BE268" s="27" t="s">
        <v>8</v>
      </c>
      <c r="BH268" s="27" t="s">
        <v>7</v>
      </c>
      <c r="BI268" s="27" t="s">
        <v>8</v>
      </c>
      <c r="BJ268" s="27" t="s">
        <v>7</v>
      </c>
      <c r="BK268" s="27" t="s">
        <v>8</v>
      </c>
      <c r="BM268" s="27" t="s">
        <v>8</v>
      </c>
      <c r="CN268" s="27" t="s">
        <v>7</v>
      </c>
      <c r="CO268" s="27" t="s">
        <v>8</v>
      </c>
      <c r="CP268" s="27" t="s">
        <v>7</v>
      </c>
      <c r="CQ268" s="27" t="s">
        <v>8</v>
      </c>
      <c r="CV268" s="27" t="s">
        <v>7</v>
      </c>
      <c r="CX268" s="27" t="s">
        <v>7</v>
      </c>
      <c r="CZ268" s="27" t="s">
        <v>7</v>
      </c>
      <c r="DC268" s="27" t="s">
        <v>8</v>
      </c>
      <c r="DD268" s="27" t="s">
        <v>7</v>
      </c>
      <c r="DE268" s="27" t="s">
        <v>8</v>
      </c>
    </row>
    <row r="269" spans="1:117" x14ac:dyDescent="0.25">
      <c r="A269" s="30">
        <v>0.24294632108864825</v>
      </c>
      <c r="B269"/>
      <c r="C269"/>
      <c r="D269"/>
      <c r="E269"/>
      <c r="F269" s="27" t="s">
        <v>7</v>
      </c>
      <c r="BC269" s="27" t="s">
        <v>8</v>
      </c>
      <c r="BD269" s="27" t="s">
        <v>7</v>
      </c>
      <c r="BE269" s="27" t="s">
        <v>8</v>
      </c>
      <c r="BH269" s="27" t="s">
        <v>7</v>
      </c>
      <c r="BI269" s="27" t="s">
        <v>8</v>
      </c>
      <c r="BJ269" s="27" t="s">
        <v>7</v>
      </c>
      <c r="BK269" s="27" t="s">
        <v>8</v>
      </c>
      <c r="BL269" s="27" t="s">
        <v>7</v>
      </c>
      <c r="BM269" s="27" t="s">
        <v>8</v>
      </c>
      <c r="CN269" s="27" t="s">
        <v>7</v>
      </c>
      <c r="CO269" s="27" t="s">
        <v>8</v>
      </c>
      <c r="CP269" s="27" t="s">
        <v>7</v>
      </c>
      <c r="CZ269" s="27" t="s">
        <v>7</v>
      </c>
      <c r="DC269" s="27" t="s">
        <v>8</v>
      </c>
      <c r="DD269" s="27" t="s">
        <v>7</v>
      </c>
      <c r="DE269" s="27" t="s">
        <v>8</v>
      </c>
    </row>
    <row r="270" spans="1:117" x14ac:dyDescent="0.25">
      <c r="A270" s="30">
        <v>0.23137744865585538</v>
      </c>
      <c r="B270"/>
      <c r="C270"/>
      <c r="D270"/>
      <c r="E270"/>
      <c r="F270" s="27" t="s">
        <v>7</v>
      </c>
      <c r="BC270" s="27" t="s">
        <v>8</v>
      </c>
      <c r="BD270" s="27" t="s">
        <v>7</v>
      </c>
      <c r="BE270" s="27" t="s">
        <v>8</v>
      </c>
      <c r="BH270" s="27" t="s">
        <v>7</v>
      </c>
      <c r="BI270" s="27" t="s">
        <v>8</v>
      </c>
      <c r="BJ270" s="27" t="s">
        <v>7</v>
      </c>
      <c r="BK270" s="27" t="s">
        <v>8</v>
      </c>
      <c r="BL270" s="27" t="s">
        <v>7</v>
      </c>
      <c r="BM270" s="27" t="s">
        <v>8</v>
      </c>
      <c r="CN270" s="27" t="s">
        <v>7</v>
      </c>
      <c r="CO270" s="27" t="s">
        <v>8</v>
      </c>
      <c r="CZ270" s="27" t="s">
        <v>7</v>
      </c>
      <c r="DC270" s="27" t="s">
        <v>8</v>
      </c>
      <c r="DD270" s="27" t="s">
        <v>7</v>
      </c>
    </row>
    <row r="271" spans="1:117" x14ac:dyDescent="0.25">
      <c r="A271" s="30">
        <v>0.22035947491033836</v>
      </c>
      <c r="B271"/>
      <c r="C271"/>
      <c r="D271"/>
      <c r="E271"/>
      <c r="F271" s="27" t="s">
        <v>7</v>
      </c>
      <c r="BC271" s="27" t="s">
        <v>8</v>
      </c>
      <c r="BD271" s="27" t="s">
        <v>7</v>
      </c>
      <c r="BE271" s="27" t="s">
        <v>8</v>
      </c>
      <c r="BH271" s="27" t="s">
        <v>7</v>
      </c>
      <c r="BI271" s="27" t="s">
        <v>8</v>
      </c>
      <c r="BJ271" s="27" t="s">
        <v>7</v>
      </c>
      <c r="BL271" s="27" t="s">
        <v>7</v>
      </c>
      <c r="BM271" s="27" t="s">
        <v>8</v>
      </c>
      <c r="CN271" s="27" t="s">
        <v>7</v>
      </c>
      <c r="CO271" s="27" t="s">
        <v>8</v>
      </c>
      <c r="CZ271" s="27" t="s">
        <v>7</v>
      </c>
      <c r="DC271" s="27" t="s">
        <v>8</v>
      </c>
    </row>
    <row r="272" spans="1:117" x14ac:dyDescent="0.25">
      <c r="A272" s="30">
        <v>0.20986616658127455</v>
      </c>
      <c r="B272"/>
      <c r="C272"/>
      <c r="D272"/>
      <c r="E272"/>
      <c r="F272" s="27" t="s">
        <v>7</v>
      </c>
      <c r="BC272" s="27" t="s">
        <v>8</v>
      </c>
      <c r="BD272" s="27" t="s">
        <v>7</v>
      </c>
      <c r="BE272" s="27" t="s">
        <v>8</v>
      </c>
      <c r="BH272" s="27" t="s">
        <v>7</v>
      </c>
      <c r="BI272" s="27" t="s">
        <v>8</v>
      </c>
      <c r="BL272" s="27" t="s">
        <v>7</v>
      </c>
      <c r="BM272" s="27" t="s">
        <v>8</v>
      </c>
      <c r="CN272" s="27" t="s">
        <v>7</v>
      </c>
      <c r="CO272" s="27" t="s">
        <v>8</v>
      </c>
      <c r="CZ272" s="27" t="s">
        <v>7</v>
      </c>
      <c r="DA272" s="27" t="s">
        <v>8</v>
      </c>
      <c r="DC272" s="27" t="s">
        <v>8</v>
      </c>
    </row>
    <row r="273" spans="1:107" x14ac:dyDescent="0.25">
      <c r="A273" s="30">
        <v>0.19987253960121379</v>
      </c>
      <c r="B273"/>
      <c r="C273"/>
      <c r="D273"/>
      <c r="E273"/>
      <c r="F273" s="27" t="s">
        <v>7</v>
      </c>
      <c r="BC273" s="27" t="s">
        <v>8</v>
      </c>
      <c r="BD273" s="27" t="s">
        <v>7</v>
      </c>
      <c r="BH273" s="27" t="s">
        <v>7</v>
      </c>
      <c r="BI273" s="27" t="s">
        <v>8</v>
      </c>
      <c r="BL273" s="27" t="s">
        <v>7</v>
      </c>
      <c r="CN273" s="27" t="s">
        <v>7</v>
      </c>
      <c r="CO273" s="27" t="s">
        <v>8</v>
      </c>
      <c r="CZ273" s="27" t="s">
        <v>7</v>
      </c>
      <c r="DA273" s="27" t="s">
        <v>8</v>
      </c>
      <c r="DB273" s="27" t="s">
        <v>7</v>
      </c>
      <c r="DC273" s="27" t="s">
        <v>8</v>
      </c>
    </row>
    <row r="274" spans="1:107" x14ac:dyDescent="0.25">
      <c r="A274" s="30">
        <v>0.19035479962020352</v>
      </c>
      <c r="B274"/>
      <c r="C274"/>
      <c r="D274"/>
      <c r="E274"/>
      <c r="F274" s="27" t="s">
        <v>7</v>
      </c>
      <c r="BC274" s="27" t="s">
        <v>8</v>
      </c>
      <c r="BH274" s="27" t="s">
        <v>7</v>
      </c>
      <c r="BI274" s="27" t="s">
        <v>8</v>
      </c>
      <c r="CN274" s="27" t="s">
        <v>7</v>
      </c>
      <c r="CO274" s="27" t="s">
        <v>8</v>
      </c>
      <c r="CZ274" s="27" t="s">
        <v>7</v>
      </c>
      <c r="DA274" s="27" t="s">
        <v>8</v>
      </c>
      <c r="DB274" s="27" t="s">
        <v>7</v>
      </c>
      <c r="DC274" s="27" t="s">
        <v>8</v>
      </c>
    </row>
    <row r="275" spans="1:107" x14ac:dyDescent="0.25">
      <c r="A275" s="30">
        <v>0.18129028535257471</v>
      </c>
      <c r="B275"/>
      <c r="C275"/>
      <c r="D275"/>
      <c r="E275"/>
      <c r="F275" s="27" t="s">
        <v>7</v>
      </c>
      <c r="BC275" s="27" t="s">
        <v>8</v>
      </c>
      <c r="BH275" s="27" t="s">
        <v>7</v>
      </c>
      <c r="CN275" s="27" t="s">
        <v>7</v>
      </c>
      <c r="CZ275" s="27" t="s">
        <v>7</v>
      </c>
      <c r="DA275" s="27" t="s">
        <v>8</v>
      </c>
      <c r="DB275" s="27" t="s">
        <v>7</v>
      </c>
      <c r="DC275" s="27" t="s">
        <v>8</v>
      </c>
    </row>
    <row r="276" spans="1:107" x14ac:dyDescent="0.25">
      <c r="A276" s="30">
        <v>0.17265741462149967</v>
      </c>
      <c r="B276"/>
      <c r="C276"/>
      <c r="D276"/>
      <c r="E276"/>
      <c r="F276" s="27" t="s">
        <v>7</v>
      </c>
      <c r="BC276" s="27" t="s">
        <v>8</v>
      </c>
      <c r="CZ276" s="27" t="s">
        <v>7</v>
      </c>
      <c r="DA276" s="27" t="s">
        <v>8</v>
      </c>
      <c r="DB276" s="27" t="s">
        <v>7</v>
      </c>
    </row>
    <row r="277" spans="1:107" x14ac:dyDescent="0.25">
      <c r="A277" s="30">
        <v>0.16443563297285677</v>
      </c>
      <c r="B277"/>
      <c r="C277"/>
      <c r="D277"/>
      <c r="E277"/>
      <c r="F277" s="27" t="s">
        <v>7</v>
      </c>
      <c r="BA277" s="27" t="s">
        <v>8</v>
      </c>
      <c r="BC277" s="27" t="s">
        <v>8</v>
      </c>
      <c r="CZ277" s="27" t="s">
        <v>7</v>
      </c>
      <c r="DA277" s="27" t="s">
        <v>8</v>
      </c>
    </row>
    <row r="278" spans="1:107" x14ac:dyDescent="0.25">
      <c r="A278" s="30">
        <v>0.15660536473605399</v>
      </c>
      <c r="B278"/>
      <c r="C278"/>
      <c r="D278"/>
      <c r="E278"/>
      <c r="F278" s="27" t="s">
        <v>7</v>
      </c>
      <c r="AS278" s="27" t="s">
        <v>8</v>
      </c>
      <c r="BA278" s="27" t="s">
        <v>8</v>
      </c>
      <c r="BB278" s="27" t="s">
        <v>7</v>
      </c>
      <c r="BC278" s="27" t="s">
        <v>8</v>
      </c>
      <c r="CZ278" s="27" t="s">
        <v>7</v>
      </c>
      <c r="DA278" s="27" t="s">
        <v>8</v>
      </c>
    </row>
    <row r="279" spans="1:107" x14ac:dyDescent="0.25">
      <c r="A279" s="30">
        <v>0.14914796641528946</v>
      </c>
      <c r="B279"/>
      <c r="C279"/>
      <c r="D279"/>
      <c r="E279"/>
      <c r="F279" s="27" t="s">
        <v>7</v>
      </c>
      <c r="AS279" s="27" t="s">
        <v>8</v>
      </c>
      <c r="AT279" s="27" t="s">
        <v>7</v>
      </c>
      <c r="AY279" s="27" t="s">
        <v>8</v>
      </c>
      <c r="BA279" s="27" t="s">
        <v>8</v>
      </c>
      <c r="BB279" s="27" t="s">
        <v>7</v>
      </c>
      <c r="BC279" s="27" t="s">
        <v>8</v>
      </c>
      <c r="CZ279" s="27" t="s">
        <v>7</v>
      </c>
    </row>
    <row r="280" spans="1:107" x14ac:dyDescent="0.25">
      <c r="A280" s="30">
        <v>0.14204568230027562</v>
      </c>
      <c r="B280"/>
      <c r="C280"/>
      <c r="D280"/>
      <c r="E280"/>
      <c r="F280" s="27" t="s">
        <v>7</v>
      </c>
      <c r="AS280" s="27" t="s">
        <v>8</v>
      </c>
      <c r="AT280" s="27" t="s">
        <v>7</v>
      </c>
      <c r="AY280" s="27" t="s">
        <v>8</v>
      </c>
      <c r="AZ280" s="27" t="s">
        <v>7</v>
      </c>
      <c r="BA280" s="27" t="s">
        <v>8</v>
      </c>
      <c r="BB280" s="27" t="s">
        <v>7</v>
      </c>
      <c r="BC280" s="27" t="s">
        <v>8</v>
      </c>
    </row>
    <row r="281" spans="1:107" x14ac:dyDescent="0.25">
      <c r="A281" s="30">
        <v>0.13528160219073862</v>
      </c>
      <c r="B281"/>
      <c r="C281"/>
      <c r="D281"/>
      <c r="E281"/>
      <c r="F281" s="27" t="s">
        <v>7</v>
      </c>
      <c r="AS281" s="27" t="s">
        <v>8</v>
      </c>
      <c r="AT281" s="27" t="s">
        <v>7</v>
      </c>
      <c r="AY281" s="27" t="s">
        <v>8</v>
      </c>
      <c r="AZ281" s="27" t="s">
        <v>7</v>
      </c>
      <c r="BA281" s="27" t="s">
        <v>8</v>
      </c>
      <c r="BB281" s="27" t="s">
        <v>7</v>
      </c>
    </row>
    <row r="282" spans="1:107" x14ac:dyDescent="0.25">
      <c r="A282" s="30">
        <v>0.12883962113403674</v>
      </c>
      <c r="B282"/>
      <c r="C282"/>
      <c r="D282"/>
      <c r="E282"/>
      <c r="F282" s="27" t="s">
        <v>7</v>
      </c>
      <c r="AS282" s="27" t="s">
        <v>8</v>
      </c>
      <c r="AT282" s="27" t="s">
        <v>7</v>
      </c>
      <c r="AY282" s="27" t="s">
        <v>8</v>
      </c>
      <c r="AZ282" s="27" t="s">
        <v>7</v>
      </c>
      <c r="BA282" s="27" t="s">
        <v>8</v>
      </c>
    </row>
    <row r="283" spans="1:107" x14ac:dyDescent="0.25">
      <c r="A283" s="30">
        <v>0.12270440108003494</v>
      </c>
      <c r="B283"/>
      <c r="C283"/>
      <c r="D283"/>
      <c r="E283"/>
      <c r="F283" s="27" t="s">
        <v>7</v>
      </c>
      <c r="AS283" s="27" t="s">
        <v>8</v>
      </c>
      <c r="AT283" s="27" t="s">
        <v>7</v>
      </c>
      <c r="AY283" s="27" t="s">
        <v>8</v>
      </c>
      <c r="AZ283" s="27" t="s">
        <v>7</v>
      </c>
      <c r="BA283" s="27" t="s">
        <v>8</v>
      </c>
    </row>
    <row r="284" spans="1:107" x14ac:dyDescent="0.25">
      <c r="A284" s="30">
        <v>0.11686133436193799</v>
      </c>
      <c r="B284"/>
      <c r="C284"/>
      <c r="D284"/>
      <c r="E284"/>
      <c r="F284" s="27" t="s">
        <v>7</v>
      </c>
      <c r="AS284" s="27" t="s">
        <v>8</v>
      </c>
      <c r="AT284" s="27" t="s">
        <v>7</v>
      </c>
      <c r="AY284" s="27" t="s">
        <v>8</v>
      </c>
      <c r="AZ284" s="27" t="s">
        <v>7</v>
      </c>
      <c r="BA284" s="27" t="s">
        <v>8</v>
      </c>
    </row>
    <row r="285" spans="1:107" x14ac:dyDescent="0.25">
      <c r="A285" s="30">
        <v>0.11129650891613138</v>
      </c>
      <c r="B285"/>
      <c r="C285"/>
      <c r="D285"/>
      <c r="E285"/>
      <c r="F285" s="27" t="s">
        <v>7</v>
      </c>
      <c r="AS285" s="27" t="s">
        <v>8</v>
      </c>
      <c r="AT285" s="27" t="s">
        <v>7</v>
      </c>
      <c r="AU285" s="27" t="s">
        <v>8</v>
      </c>
      <c r="AY285" s="27" t="s">
        <v>8</v>
      </c>
      <c r="AZ285" s="27" t="s">
        <v>7</v>
      </c>
    </row>
    <row r="286" spans="1:107" x14ac:dyDescent="0.25">
      <c r="A286" s="30">
        <v>0.10599667515822032</v>
      </c>
      <c r="B286"/>
      <c r="C286"/>
      <c r="D286"/>
      <c r="E286"/>
      <c r="F286" s="27" t="s">
        <v>7</v>
      </c>
      <c r="AS286" s="27" t="s">
        <v>8</v>
      </c>
      <c r="AT286" s="27" t="s">
        <v>7</v>
      </c>
      <c r="AU286" s="27" t="s">
        <v>8</v>
      </c>
      <c r="AV286" s="27" t="s">
        <v>7</v>
      </c>
      <c r="AY286" s="27" t="s">
        <v>8</v>
      </c>
    </row>
    <row r="287" spans="1:107" x14ac:dyDescent="0.25">
      <c r="A287" s="30">
        <v>0.10094921443640027</v>
      </c>
      <c r="B287"/>
      <c r="C287"/>
      <c r="D287"/>
      <c r="E287"/>
      <c r="F287" s="27" t="s">
        <v>7</v>
      </c>
      <c r="AS287" s="27" t="s">
        <v>8</v>
      </c>
      <c r="AT287" s="27" t="s">
        <v>7</v>
      </c>
      <c r="AU287" s="27" t="s">
        <v>8</v>
      </c>
      <c r="AV287" s="27" t="s">
        <v>7</v>
      </c>
      <c r="AY287" s="27" t="s">
        <v>8</v>
      </c>
    </row>
    <row r="288" spans="1:107" x14ac:dyDescent="0.25">
      <c r="A288" s="30">
        <v>9.6142108987047836E-2</v>
      </c>
      <c r="B288"/>
      <c r="C288"/>
      <c r="D288"/>
      <c r="E288"/>
      <c r="F288" s="27" t="s">
        <v>7</v>
      </c>
      <c r="AS288" s="27" t="s">
        <v>8</v>
      </c>
      <c r="AT288" s="27" t="s">
        <v>7</v>
      </c>
      <c r="AV288" s="27" t="s">
        <v>7</v>
      </c>
      <c r="AW288" s="27" t="s">
        <v>8</v>
      </c>
      <c r="AY288" s="27" t="s">
        <v>8</v>
      </c>
    </row>
    <row r="289" spans="1:51" x14ac:dyDescent="0.25">
      <c r="A289" s="30">
        <v>9.1563913320997906E-2</v>
      </c>
      <c r="B289"/>
      <c r="C289"/>
      <c r="D289"/>
      <c r="E289"/>
      <c r="F289" s="27" t="s">
        <v>7</v>
      </c>
      <c r="AS289" s="27" t="s">
        <v>8</v>
      </c>
      <c r="AV289" s="27" t="s">
        <v>7</v>
      </c>
      <c r="AW289" s="27" t="s">
        <v>8</v>
      </c>
      <c r="AX289" s="27" t="s">
        <v>7</v>
      </c>
      <c r="AY289" s="27" t="s">
        <v>8</v>
      </c>
    </row>
    <row r="290" spans="1:51" x14ac:dyDescent="0.25">
      <c r="A290" s="30">
        <v>8.7203726972378923E-2</v>
      </c>
      <c r="B290"/>
      <c r="C290"/>
      <c r="D290"/>
      <c r="E290"/>
      <c r="F290" s="27" t="s">
        <v>7</v>
      </c>
      <c r="AS290" s="27" t="s">
        <v>8</v>
      </c>
      <c r="AV290" s="27" t="s">
        <v>7</v>
      </c>
      <c r="AW290" s="27" t="s">
        <v>8</v>
      </c>
      <c r="AX290" s="27" t="s">
        <v>7</v>
      </c>
      <c r="AY290" s="27" t="s">
        <v>8</v>
      </c>
    </row>
    <row r="291" spans="1:51" x14ac:dyDescent="0.25">
      <c r="A291" s="30">
        <v>8.3051168545122747E-2</v>
      </c>
      <c r="B291"/>
      <c r="C291"/>
      <c r="D291"/>
      <c r="E291"/>
      <c r="F291" s="27" t="s">
        <v>7</v>
      </c>
      <c r="AS291" s="27" t="s">
        <v>8</v>
      </c>
      <c r="AV291" s="27" t="s">
        <v>7</v>
      </c>
      <c r="AW291" s="27" t="s">
        <v>8</v>
      </c>
      <c r="AX291" s="27" t="s">
        <v>7</v>
      </c>
      <c r="AY291" s="27" t="s">
        <v>8</v>
      </c>
    </row>
    <row r="292" spans="1:51" x14ac:dyDescent="0.25">
      <c r="A292" s="30">
        <v>7.9096350995354961E-2</v>
      </c>
      <c r="B292"/>
      <c r="C292"/>
      <c r="D292"/>
      <c r="E292"/>
      <c r="F292" s="27" t="s">
        <v>7</v>
      </c>
      <c r="M292" s="27" t="s">
        <v>8</v>
      </c>
      <c r="AS292" s="27" t="s">
        <v>8</v>
      </c>
      <c r="AV292" s="27" t="s">
        <v>7</v>
      </c>
      <c r="AX292" s="27" t="s">
        <v>7</v>
      </c>
    </row>
    <row r="293" spans="1:51" x14ac:dyDescent="0.25">
      <c r="A293" s="30">
        <v>7.5329858090814217E-2</v>
      </c>
      <c r="B293"/>
      <c r="C293"/>
      <c r="D293"/>
      <c r="E293"/>
      <c r="F293" s="27" t="s">
        <v>7</v>
      </c>
      <c r="M293" s="27" t="s">
        <v>8</v>
      </c>
      <c r="N293" s="27" t="s">
        <v>7</v>
      </c>
      <c r="O293" s="27" t="s">
        <v>8</v>
      </c>
      <c r="AS293" s="27" t="s">
        <v>8</v>
      </c>
    </row>
    <row r="294" spans="1:51" x14ac:dyDescent="0.25">
      <c r="A294" s="30">
        <v>7.1742721991251604E-2</v>
      </c>
      <c r="B294"/>
      <c r="C294"/>
      <c r="D294"/>
      <c r="E294"/>
      <c r="F294" s="27" t="s">
        <v>7</v>
      </c>
      <c r="M294" s="27" t="s">
        <v>8</v>
      </c>
      <c r="N294" s="27" t="s">
        <v>7</v>
      </c>
      <c r="O294" s="27" t="s">
        <v>8</v>
      </c>
      <c r="P294" s="27" t="s">
        <v>7</v>
      </c>
      <c r="AS294" s="27" t="s">
        <v>8</v>
      </c>
    </row>
    <row r="295" spans="1:51" x14ac:dyDescent="0.25">
      <c r="A295" s="30">
        <v>6.8326401896430078E-2</v>
      </c>
      <c r="B295"/>
      <c r="C295"/>
      <c r="D295"/>
      <c r="E295"/>
      <c r="F295" s="27" t="s">
        <v>7</v>
      </c>
      <c r="M295" s="27" t="s">
        <v>8</v>
      </c>
      <c r="N295" s="27" t="s">
        <v>7</v>
      </c>
      <c r="O295" s="27" t="s">
        <v>8</v>
      </c>
      <c r="P295" s="27" t="s">
        <v>7</v>
      </c>
      <c r="AS295" s="27" t="s">
        <v>8</v>
      </c>
    </row>
    <row r="296" spans="1:51" x14ac:dyDescent="0.25">
      <c r="A296" s="30">
        <v>6.5072763710885759E-2</v>
      </c>
      <c r="B296"/>
      <c r="C296"/>
      <c r="D296"/>
      <c r="E296"/>
      <c r="F296" s="27" t="s">
        <v>7</v>
      </c>
      <c r="G296" s="27" t="s">
        <v>8</v>
      </c>
      <c r="M296" s="27" t="s">
        <v>8</v>
      </c>
      <c r="N296" s="27" t="s">
        <v>7</v>
      </c>
      <c r="P296" s="27" t="s">
        <v>7</v>
      </c>
      <c r="AS296" s="27" t="s">
        <v>8</v>
      </c>
    </row>
    <row r="297" spans="1:51" x14ac:dyDescent="0.25">
      <c r="A297" s="30">
        <v>6.197406067703403E-2</v>
      </c>
      <c r="B297"/>
      <c r="C297"/>
      <c r="D297"/>
      <c r="E297"/>
      <c r="F297" s="27" t="s">
        <v>7</v>
      </c>
      <c r="G297" s="27" t="s">
        <v>8</v>
      </c>
      <c r="H297" s="27" t="s">
        <v>7</v>
      </c>
      <c r="M297" s="27" t="s">
        <v>8</v>
      </c>
      <c r="P297" s="27" t="s">
        <v>7</v>
      </c>
      <c r="AS297" s="27" t="s">
        <v>8</v>
      </c>
    </row>
    <row r="298" spans="1:51" x14ac:dyDescent="0.25">
      <c r="A298" s="30">
        <v>5.9022914930508576E-2</v>
      </c>
      <c r="B298"/>
      <c r="C298"/>
      <c r="D298"/>
      <c r="E298"/>
      <c r="F298" s="27" t="s">
        <v>7</v>
      </c>
      <c r="G298" s="27" t="s">
        <v>8</v>
      </c>
      <c r="H298" s="27" t="s">
        <v>7</v>
      </c>
      <c r="M298" s="27" t="s">
        <v>8</v>
      </c>
      <c r="P298" s="27" t="s">
        <v>7</v>
      </c>
      <c r="AG298" s="27" t="s">
        <v>8</v>
      </c>
      <c r="AS298" s="27" t="s">
        <v>8</v>
      </c>
    </row>
    <row r="299" spans="1:51" x14ac:dyDescent="0.25">
      <c r="A299" s="30">
        <v>5.6212299933817669E-2</v>
      </c>
      <c r="B299"/>
      <c r="C299"/>
      <c r="D299"/>
      <c r="E299"/>
      <c r="F299" s="27" t="s">
        <v>7</v>
      </c>
      <c r="G299" s="27" t="s">
        <v>8</v>
      </c>
      <c r="H299" s="27" t="s">
        <v>7</v>
      </c>
      <c r="I299" s="27" t="s">
        <v>8</v>
      </c>
      <c r="K299" s="27" t="s">
        <v>8</v>
      </c>
      <c r="M299" s="27" t="s">
        <v>8</v>
      </c>
      <c r="P299" s="27" t="s">
        <v>7</v>
      </c>
      <c r="Q299" s="27" t="s">
        <v>8</v>
      </c>
      <c r="AG299" s="27" t="s">
        <v>8</v>
      </c>
      <c r="AH299" s="27" t="s">
        <v>7</v>
      </c>
      <c r="AS299" s="27" t="s">
        <v>8</v>
      </c>
    </row>
    <row r="300" spans="1:51" x14ac:dyDescent="0.25">
      <c r="A300" s="30">
        <v>5.3535523746492994E-2</v>
      </c>
      <c r="B300"/>
      <c r="C300"/>
      <c r="D300"/>
      <c r="E300"/>
      <c r="F300" s="27" t="s">
        <v>7</v>
      </c>
      <c r="G300" s="27" t="s">
        <v>8</v>
      </c>
      <c r="H300" s="27" t="s">
        <v>7</v>
      </c>
      <c r="I300" s="27" t="s">
        <v>8</v>
      </c>
      <c r="J300" s="27" t="s">
        <v>7</v>
      </c>
      <c r="K300" s="27" t="s">
        <v>8</v>
      </c>
      <c r="L300" s="27" t="s">
        <v>7</v>
      </c>
      <c r="M300" s="27" t="s">
        <v>8</v>
      </c>
      <c r="P300" s="27" t="s">
        <v>7</v>
      </c>
      <c r="Q300" s="27" t="s">
        <v>8</v>
      </c>
      <c r="R300" s="27" t="s">
        <v>7</v>
      </c>
      <c r="S300" s="27" t="s">
        <v>8</v>
      </c>
      <c r="AA300" s="27" t="s">
        <v>8</v>
      </c>
      <c r="AE300" s="27" t="s">
        <v>8</v>
      </c>
      <c r="AG300" s="27" t="s">
        <v>8</v>
      </c>
      <c r="AH300" s="27" t="s">
        <v>7</v>
      </c>
      <c r="AK300" s="27" t="s">
        <v>8</v>
      </c>
      <c r="AM300" s="27" t="s">
        <v>8</v>
      </c>
      <c r="AS300" s="27" t="s">
        <v>8</v>
      </c>
    </row>
    <row r="301" spans="1:51" x14ac:dyDescent="0.25">
      <c r="A301" s="30">
        <v>5.0986213091898068E-2</v>
      </c>
      <c r="B301"/>
      <c r="C301"/>
      <c r="D301"/>
      <c r="E301"/>
      <c r="F301" s="27" t="s">
        <v>7</v>
      </c>
      <c r="G301" s="27" t="s">
        <v>8</v>
      </c>
      <c r="H301" s="27" t="s">
        <v>7</v>
      </c>
      <c r="I301" s="27" t="s">
        <v>8</v>
      </c>
      <c r="J301" s="27" t="s">
        <v>7</v>
      </c>
      <c r="K301" s="27" t="s">
        <v>8</v>
      </c>
      <c r="L301" s="27" t="s">
        <v>7</v>
      </c>
      <c r="M301" s="27" t="s">
        <v>8</v>
      </c>
      <c r="P301" s="27" t="s">
        <v>7</v>
      </c>
      <c r="Q301" s="27" t="s">
        <v>8</v>
      </c>
      <c r="R301" s="27" t="s">
        <v>7</v>
      </c>
      <c r="S301" s="27" t="s">
        <v>8</v>
      </c>
      <c r="T301" s="27" t="s">
        <v>7</v>
      </c>
      <c r="Y301" s="27" t="s">
        <v>8</v>
      </c>
      <c r="AA301" s="27" t="s">
        <v>8</v>
      </c>
      <c r="AB301" s="27" t="s">
        <v>7</v>
      </c>
      <c r="AC301" s="27" t="s">
        <v>8</v>
      </c>
      <c r="AE301" s="27" t="s">
        <v>8</v>
      </c>
      <c r="AF301" s="27" t="s">
        <v>7</v>
      </c>
      <c r="AG301" s="27" t="s">
        <v>8</v>
      </c>
      <c r="AH301" s="27" t="s">
        <v>7</v>
      </c>
      <c r="AK301" s="27" t="s">
        <v>8</v>
      </c>
      <c r="AL301" s="27" t="s">
        <v>7</v>
      </c>
      <c r="AM301" s="27" t="s">
        <v>8</v>
      </c>
      <c r="AN301" s="27" t="s">
        <v>7</v>
      </c>
      <c r="AS301" s="27" t="s">
        <v>8</v>
      </c>
    </row>
    <row r="302" spans="1:51" x14ac:dyDescent="0.25">
      <c r="A302" s="30">
        <v>4.8558298182760043E-2</v>
      </c>
      <c r="B302"/>
      <c r="C302"/>
      <c r="D302"/>
      <c r="E302"/>
      <c r="F302" s="27" t="s">
        <v>7</v>
      </c>
      <c r="H302" s="27" t="s">
        <v>7</v>
      </c>
      <c r="J302" s="27" t="s">
        <v>7</v>
      </c>
      <c r="K302" s="27" t="s">
        <v>8</v>
      </c>
      <c r="L302" s="27" t="s">
        <v>7</v>
      </c>
      <c r="P302" s="27" t="s">
        <v>7</v>
      </c>
      <c r="Q302" s="27" t="s">
        <v>8</v>
      </c>
      <c r="R302" s="27" t="s">
        <v>7</v>
      </c>
      <c r="S302" s="27" t="s">
        <v>8</v>
      </c>
      <c r="T302" s="27" t="s">
        <v>7</v>
      </c>
      <c r="U302" s="27" t="s">
        <v>8</v>
      </c>
      <c r="W302" s="27" t="s">
        <v>8</v>
      </c>
      <c r="Y302" s="27" t="s">
        <v>8</v>
      </c>
      <c r="Z302" s="27" t="s">
        <v>7</v>
      </c>
      <c r="AA302" s="27" t="s">
        <v>8</v>
      </c>
      <c r="AB302" s="27" t="s">
        <v>7</v>
      </c>
      <c r="AC302" s="27" t="s">
        <v>8</v>
      </c>
      <c r="AD302" s="27" t="s">
        <v>7</v>
      </c>
      <c r="AE302" s="27" t="s">
        <v>8</v>
      </c>
      <c r="AF302" s="27" t="s">
        <v>7</v>
      </c>
      <c r="AG302" s="27" t="s">
        <v>8</v>
      </c>
      <c r="AH302" s="27" t="s">
        <v>7</v>
      </c>
      <c r="AI302" s="27" t="s">
        <v>8</v>
      </c>
      <c r="AK302" s="27" t="s">
        <v>8</v>
      </c>
      <c r="AL302" s="27" t="s">
        <v>7</v>
      </c>
      <c r="AM302" s="27" t="s">
        <v>8</v>
      </c>
      <c r="AN302" s="27" t="s">
        <v>7</v>
      </c>
      <c r="AS302" s="27" t="s">
        <v>8</v>
      </c>
    </row>
    <row r="303" spans="1:51" x14ac:dyDescent="0.25">
      <c r="A303" s="30">
        <v>4.6245998269295263E-2</v>
      </c>
      <c r="B303"/>
      <c r="C303"/>
      <c r="D303"/>
      <c r="E303"/>
      <c r="J303" s="27" t="s">
        <v>7</v>
      </c>
      <c r="K303" s="27" t="s">
        <v>8</v>
      </c>
      <c r="P303" s="27" t="s">
        <v>7</v>
      </c>
      <c r="Q303" s="27" t="s">
        <v>8</v>
      </c>
      <c r="R303" s="27" t="s">
        <v>7</v>
      </c>
      <c r="T303" s="27" t="s">
        <v>7</v>
      </c>
      <c r="U303" s="27" t="s">
        <v>8</v>
      </c>
      <c r="V303" s="27" t="s">
        <v>7</v>
      </c>
      <c r="W303" s="27" t="s">
        <v>8</v>
      </c>
      <c r="X303" s="27" t="s">
        <v>7</v>
      </c>
      <c r="Y303" s="27" t="s">
        <v>8</v>
      </c>
      <c r="Z303" s="27" t="s">
        <v>7</v>
      </c>
      <c r="AA303" s="27" t="s">
        <v>8</v>
      </c>
      <c r="AB303" s="27" t="s">
        <v>7</v>
      </c>
      <c r="AC303" s="27" t="s">
        <v>8</v>
      </c>
      <c r="AD303" s="27" t="s">
        <v>7</v>
      </c>
      <c r="AE303" s="27" t="s">
        <v>8</v>
      </c>
      <c r="AF303" s="27" t="s">
        <v>7</v>
      </c>
      <c r="AG303" s="27" t="s">
        <v>8</v>
      </c>
      <c r="AH303" s="27" t="s">
        <v>7</v>
      </c>
      <c r="AI303" s="27" t="s">
        <v>8</v>
      </c>
      <c r="AJ303" s="27" t="s">
        <v>7</v>
      </c>
      <c r="AK303" s="27" t="s">
        <v>8</v>
      </c>
      <c r="AL303" s="27" t="s">
        <v>7</v>
      </c>
      <c r="AN303" s="27" t="s">
        <v>7</v>
      </c>
      <c r="AQ303" s="27" t="s">
        <v>8</v>
      </c>
      <c r="AS303" s="27" t="s">
        <v>8</v>
      </c>
    </row>
    <row r="304" spans="1:51" x14ac:dyDescent="0.25">
      <c r="A304" s="30">
        <v>4.4043807875519279E-2</v>
      </c>
      <c r="B304"/>
      <c r="C304"/>
      <c r="D304"/>
      <c r="E304"/>
      <c r="J304" s="27" t="s">
        <v>7</v>
      </c>
      <c r="K304" s="27" t="s">
        <v>8</v>
      </c>
      <c r="P304" s="27" t="s">
        <v>7</v>
      </c>
      <c r="Q304" s="27" t="s">
        <v>8</v>
      </c>
      <c r="T304" s="27" t="s">
        <v>7</v>
      </c>
      <c r="U304" s="27" t="s">
        <v>8</v>
      </c>
      <c r="V304" s="27" t="s">
        <v>7</v>
      </c>
      <c r="W304" s="27" t="s">
        <v>8</v>
      </c>
      <c r="X304" s="27" t="s">
        <v>7</v>
      </c>
      <c r="Y304" s="27" t="s">
        <v>8</v>
      </c>
      <c r="Z304" s="27" t="s">
        <v>7</v>
      </c>
      <c r="AA304" s="27" t="s">
        <v>8</v>
      </c>
      <c r="AB304" s="27" t="s">
        <v>7</v>
      </c>
      <c r="AD304" s="27" t="s">
        <v>7</v>
      </c>
      <c r="AE304" s="27" t="s">
        <v>8</v>
      </c>
      <c r="AF304" s="27" t="s">
        <v>7</v>
      </c>
      <c r="AG304" s="27" t="s">
        <v>8</v>
      </c>
      <c r="AH304" s="27" t="s">
        <v>7</v>
      </c>
      <c r="AI304" s="27" t="s">
        <v>8</v>
      </c>
      <c r="AJ304" s="27" t="s">
        <v>7</v>
      </c>
      <c r="AK304" s="27" t="s">
        <v>8</v>
      </c>
      <c r="AN304" s="27" t="s">
        <v>7</v>
      </c>
      <c r="AQ304" s="27" t="s">
        <v>8</v>
      </c>
      <c r="AR304" s="27" t="s">
        <v>7</v>
      </c>
      <c r="AS304" s="27" t="s">
        <v>8</v>
      </c>
    </row>
    <row r="305" spans="1:45" x14ac:dyDescent="0.25">
      <c r="A305" s="30">
        <v>4.1946483690970725E-2</v>
      </c>
      <c r="B305"/>
      <c r="C305"/>
      <c r="D305"/>
      <c r="E305"/>
      <c r="J305" s="27" t="s">
        <v>7</v>
      </c>
      <c r="P305" s="27" t="s">
        <v>7</v>
      </c>
      <c r="Q305" s="27" t="s">
        <v>8</v>
      </c>
      <c r="T305" s="27" t="s">
        <v>7</v>
      </c>
      <c r="V305" s="27" t="s">
        <v>7</v>
      </c>
      <c r="X305" s="27" t="s">
        <v>7</v>
      </c>
      <c r="Y305" s="27" t="s">
        <v>8</v>
      </c>
      <c r="Z305" s="27" t="s">
        <v>7</v>
      </c>
      <c r="AA305" s="27" t="s">
        <v>8</v>
      </c>
      <c r="AD305" s="27" t="s">
        <v>7</v>
      </c>
      <c r="AE305" s="27" t="s">
        <v>8</v>
      </c>
      <c r="AF305" s="27" t="s">
        <v>7</v>
      </c>
      <c r="AG305" s="27" t="s">
        <v>8</v>
      </c>
      <c r="AH305" s="27" t="s">
        <v>7</v>
      </c>
      <c r="AI305" s="27" t="s">
        <v>8</v>
      </c>
      <c r="AJ305" s="27" t="s">
        <v>7</v>
      </c>
      <c r="AN305" s="27" t="s">
        <v>7</v>
      </c>
      <c r="AO305" s="27" t="s">
        <v>8</v>
      </c>
      <c r="AQ305" s="27" t="s">
        <v>8</v>
      </c>
      <c r="AR305" s="27" t="s">
        <v>7</v>
      </c>
      <c r="AS305" s="27" t="s">
        <v>8</v>
      </c>
    </row>
    <row r="306" spans="1:45" x14ac:dyDescent="0.25">
      <c r="A306" s="30">
        <v>3.9949032086638768E-2</v>
      </c>
      <c r="B306"/>
      <c r="C306"/>
      <c r="D306"/>
      <c r="E306"/>
      <c r="P306" s="27" t="s">
        <v>7</v>
      </c>
      <c r="Q306" s="27" t="s">
        <v>8</v>
      </c>
      <c r="X306" s="27" t="s">
        <v>7</v>
      </c>
      <c r="Y306" s="27" t="s">
        <v>8</v>
      </c>
      <c r="Z306" s="27" t="s">
        <v>7</v>
      </c>
      <c r="AD306" s="27" t="s">
        <v>7</v>
      </c>
      <c r="AE306" s="27" t="s">
        <v>8</v>
      </c>
      <c r="AF306" s="27" t="s">
        <v>7</v>
      </c>
      <c r="AG306" s="27" t="s">
        <v>8</v>
      </c>
      <c r="AH306" s="27" t="s">
        <v>7</v>
      </c>
      <c r="AI306" s="27" t="s">
        <v>8</v>
      </c>
      <c r="AN306" s="27" t="s">
        <v>7</v>
      </c>
      <c r="AO306" s="27" t="s">
        <v>8</v>
      </c>
      <c r="AP306" s="27" t="s">
        <v>7</v>
      </c>
      <c r="AQ306" s="27" t="s">
        <v>8</v>
      </c>
      <c r="AR306" s="27" t="s">
        <v>7</v>
      </c>
      <c r="AS306" s="27" t="s">
        <v>8</v>
      </c>
    </row>
    <row r="307" spans="1:45" x14ac:dyDescent="0.25">
      <c r="A307" s="30">
        <v>3.8046697225370241E-2</v>
      </c>
      <c r="B307"/>
      <c r="C307"/>
      <c r="D307"/>
      <c r="E307"/>
      <c r="P307" s="27" t="s">
        <v>7</v>
      </c>
      <c r="Q307" s="27" t="s">
        <v>8</v>
      </c>
      <c r="X307" s="27" t="s">
        <v>7</v>
      </c>
      <c r="Y307" s="27" t="s">
        <v>8</v>
      </c>
      <c r="AD307" s="27" t="s">
        <v>7</v>
      </c>
      <c r="AE307" s="27" t="s">
        <v>8</v>
      </c>
      <c r="AF307" s="27" t="s">
        <v>7</v>
      </c>
      <c r="AG307" s="27" t="s">
        <v>8</v>
      </c>
      <c r="AH307" s="27" t="s">
        <v>7</v>
      </c>
      <c r="AN307" s="27" t="s">
        <v>7</v>
      </c>
      <c r="AO307" s="27" t="s">
        <v>8</v>
      </c>
      <c r="AP307" s="27" t="s">
        <v>7</v>
      </c>
      <c r="AQ307" s="27" t="s">
        <v>8</v>
      </c>
      <c r="AR307" s="27" t="s">
        <v>7</v>
      </c>
      <c r="AS307" s="27" t="s">
        <v>8</v>
      </c>
    </row>
    <row r="308" spans="1:45" x14ac:dyDescent="0.25">
      <c r="A308" s="30">
        <v>3.6234949738447833E-2</v>
      </c>
      <c r="B308"/>
      <c r="C308"/>
      <c r="D308"/>
      <c r="E308"/>
      <c r="P308" s="27" t="s">
        <v>7</v>
      </c>
      <c r="Q308" s="27" t="s">
        <v>8</v>
      </c>
      <c r="X308" s="27" t="s">
        <v>7</v>
      </c>
      <c r="AD308" s="27" t="s">
        <v>7</v>
      </c>
      <c r="AE308" s="27" t="s">
        <v>8</v>
      </c>
      <c r="AF308" s="27" t="s">
        <v>7</v>
      </c>
      <c r="AG308" s="27" t="s">
        <v>8</v>
      </c>
      <c r="AN308" s="27" t="s">
        <v>7</v>
      </c>
      <c r="AP308" s="27" t="s">
        <v>7</v>
      </c>
      <c r="AQ308" s="27" t="s">
        <v>8</v>
      </c>
      <c r="AR308" s="27" t="s">
        <v>7</v>
      </c>
    </row>
    <row r="309" spans="1:45" x14ac:dyDescent="0.25">
      <c r="A309" s="30">
        <v>3.4509475941378875E-2</v>
      </c>
      <c r="B309"/>
      <c r="C309"/>
      <c r="D309"/>
      <c r="E309"/>
      <c r="P309" s="27" t="s">
        <v>7</v>
      </c>
      <c r="AD309" s="27" t="s">
        <v>7</v>
      </c>
      <c r="AE309" s="27" t="s">
        <v>8</v>
      </c>
      <c r="AF309" s="27" t="s">
        <v>7</v>
      </c>
      <c r="AP309" s="27" t="s">
        <v>7</v>
      </c>
    </row>
    <row r="310" spans="1:45" x14ac:dyDescent="0.25">
      <c r="A310" s="30">
        <v>3.286616756321796E-2</v>
      </c>
      <c r="B310"/>
      <c r="C310"/>
      <c r="D310"/>
      <c r="E310"/>
      <c r="AD310" s="27" t="s">
        <v>7</v>
      </c>
      <c r="AE310" s="27" t="s">
        <v>8</v>
      </c>
    </row>
    <row r="311" spans="1:45" x14ac:dyDescent="0.25">
      <c r="A311" s="30">
        <v>3.1301111964969472E-2</v>
      </c>
      <c r="B311"/>
      <c r="C311"/>
      <c r="D311"/>
      <c r="E311"/>
      <c r="AD311" s="27" t="s">
        <v>7</v>
      </c>
      <c r="AE311" s="27" t="s">
        <v>8</v>
      </c>
    </row>
    <row r="312" spans="1:45" x14ac:dyDescent="0.25">
      <c r="A312" s="30">
        <v>2.9810582823780438E-2</v>
      </c>
      <c r="B312"/>
      <c r="C312"/>
      <c r="D312"/>
      <c r="E312"/>
      <c r="AD312" s="27" t="s">
        <v>7</v>
      </c>
    </row>
    <row r="313" spans="1:45" x14ac:dyDescent="0.25">
      <c r="A313" s="30">
        <v>2.8391031260743264E-2</v>
      </c>
      <c r="B313"/>
      <c r="C313"/>
      <c r="D313"/>
      <c r="E313"/>
    </row>
    <row r="314" spans="1:45" x14ac:dyDescent="0.25">
      <c r="A314" s="30">
        <v>2.7039077391184052E-2</v>
      </c>
      <c r="B314"/>
      <c r="C314"/>
      <c r="D314"/>
      <c r="E314"/>
    </row>
    <row r="315" spans="1:45" x14ac:dyDescent="0.25">
      <c r="A315" s="30">
        <v>2.5751502277318133E-2</v>
      </c>
      <c r="B315"/>
      <c r="C315"/>
      <c r="D315"/>
      <c r="E315"/>
    </row>
    <row r="316" spans="1:45" x14ac:dyDescent="0.25">
      <c r="A316" s="30">
        <v>2.4525240264112496E-2</v>
      </c>
      <c r="B316"/>
      <c r="C316"/>
      <c r="D316"/>
      <c r="E316"/>
    </row>
    <row r="317" spans="1:45" x14ac:dyDescent="0.25">
      <c r="A317" s="30">
        <v>2.3357371680107129E-2</v>
      </c>
      <c r="B317"/>
      <c r="C317"/>
      <c r="D317"/>
      <c r="E317"/>
    </row>
    <row r="318" spans="1:45" x14ac:dyDescent="0.25">
      <c r="A318" s="30">
        <v>2.2245115885816305E-2</v>
      </c>
      <c r="B318"/>
      <c r="C318"/>
      <c r="D318"/>
      <c r="E318"/>
    </row>
    <row r="319" spans="1:45" x14ac:dyDescent="0.25">
      <c r="A319" s="30">
        <v>2.1185824653158377E-2</v>
      </c>
      <c r="B319"/>
      <c r="C319"/>
      <c r="D319"/>
      <c r="E319"/>
    </row>
    <row r="320" spans="1:4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52" operator="equal">
      <formula>$U$1</formula>
    </cfRule>
    <cfRule type="cellIs" dxfId="67" priority="953" operator="equal">
      <formula>$S$1</formula>
    </cfRule>
  </conditionalFormatting>
  <conditionalFormatting sqref="D136">
    <cfRule type="cellIs" dxfId="66" priority="950" operator="equal">
      <formula>$S$1</formula>
    </cfRule>
    <cfRule type="cellIs" dxfId="65" priority="951" operator="equal">
      <formula>$U$1</formula>
    </cfRule>
  </conditionalFormatting>
  <conditionalFormatting sqref="C162">
    <cfRule type="cellIs" dxfId="64" priority="948" operator="equal">
      <formula>$U$1</formula>
    </cfRule>
    <cfRule type="cellIs" dxfId="63" priority="949" operator="equal">
      <formula>$S$1</formula>
    </cfRule>
  </conditionalFormatting>
  <conditionalFormatting sqref="D162">
    <cfRule type="cellIs" dxfId="62" priority="946" operator="equal">
      <formula>$S$1</formula>
    </cfRule>
    <cfRule type="cellIs" dxfId="61" priority="947" operator="equal">
      <formula>$U$1</formula>
    </cfRule>
  </conditionalFormatting>
  <conditionalFormatting sqref="C187">
    <cfRule type="cellIs" dxfId="60" priority="944" operator="equal">
      <formula>$U$1</formula>
    </cfRule>
    <cfRule type="cellIs" dxfId="59" priority="945" operator="equal">
      <formula>$S$1</formula>
    </cfRule>
  </conditionalFormatting>
  <conditionalFormatting sqref="D187">
    <cfRule type="cellIs" dxfId="58" priority="942" operator="equal">
      <formula>$S$1</formula>
    </cfRule>
    <cfRule type="cellIs" dxfId="57" priority="943" operator="equal">
      <formula>$U$1</formula>
    </cfRule>
  </conditionalFormatting>
  <conditionalFormatting sqref="C212">
    <cfRule type="cellIs" dxfId="56" priority="940" operator="equal">
      <formula>$U$1</formula>
    </cfRule>
    <cfRule type="cellIs" dxfId="55" priority="941" operator="equal">
      <formula>$S$1</formula>
    </cfRule>
  </conditionalFormatting>
  <conditionalFormatting sqref="D212">
    <cfRule type="cellIs" dxfId="54" priority="938" operator="equal">
      <formula>$S$1</formula>
    </cfRule>
    <cfRule type="cellIs" dxfId="53" priority="939" operator="equal">
      <formula>$U$1</formula>
    </cfRule>
  </conditionalFormatting>
  <conditionalFormatting sqref="C237">
    <cfRule type="cellIs" dxfId="52" priority="936" operator="equal">
      <formula>$U$1</formula>
    </cfRule>
    <cfRule type="cellIs" dxfId="51" priority="937" operator="equal">
      <formula>$S$1</formula>
    </cfRule>
  </conditionalFormatting>
  <conditionalFormatting sqref="D237">
    <cfRule type="cellIs" dxfId="50" priority="934" operator="equal">
      <formula>$S$1</formula>
    </cfRule>
    <cfRule type="cellIs" dxfId="49" priority="935" operator="equal">
      <formula>$U$1</formula>
    </cfRule>
  </conditionalFormatting>
  <conditionalFormatting sqref="C106">
    <cfRule type="cellIs" dxfId="48" priority="932" operator="equal">
      <formula>$U$1</formula>
    </cfRule>
    <cfRule type="cellIs" dxfId="47" priority="933" operator="equal">
      <formula>$S$1</formula>
    </cfRule>
  </conditionalFormatting>
  <conditionalFormatting sqref="D106">
    <cfRule type="cellIs" dxfId="46" priority="930" operator="equal">
      <formula>$S$1</formula>
    </cfRule>
    <cfRule type="cellIs" dxfId="45" priority="931" operator="equal">
      <formula>$U$1</formula>
    </cfRule>
  </conditionalFormatting>
  <conditionalFormatting sqref="C81">
    <cfRule type="cellIs" dxfId="44" priority="928" operator="equal">
      <formula>$U$1</formula>
    </cfRule>
    <cfRule type="cellIs" dxfId="43" priority="929" operator="equal">
      <formula>$S$1</formula>
    </cfRule>
  </conditionalFormatting>
  <conditionalFormatting sqref="D81">
    <cfRule type="cellIs" dxfId="42" priority="926" operator="equal">
      <formula>$S$1</formula>
    </cfRule>
    <cfRule type="cellIs" dxfId="41" priority="927" operator="equal">
      <formula>$U$1</formula>
    </cfRule>
  </conditionalFormatting>
  <conditionalFormatting sqref="C56">
    <cfRule type="cellIs" dxfId="40" priority="924" operator="equal">
      <formula>$U$1</formula>
    </cfRule>
    <cfRule type="cellIs" dxfId="39" priority="925" operator="equal">
      <formula>$S$1</formula>
    </cfRule>
  </conditionalFormatting>
  <conditionalFormatting sqref="D56">
    <cfRule type="cellIs" dxfId="38" priority="922" operator="equal">
      <formula>$S$1</formula>
    </cfRule>
    <cfRule type="cellIs" dxfId="37" priority="923" operator="equal">
      <formula>$U$1</formula>
    </cfRule>
  </conditionalFormatting>
  <conditionalFormatting sqref="C31">
    <cfRule type="cellIs" dxfId="36" priority="920" operator="equal">
      <formula>$U$1</formula>
    </cfRule>
    <cfRule type="cellIs" dxfId="35" priority="921" operator="equal">
      <formula>$S$1</formula>
    </cfRule>
  </conditionalFormatting>
  <conditionalFormatting sqref="D31">
    <cfRule type="cellIs" dxfId="34" priority="918" operator="equal">
      <formula>$S$1</formula>
    </cfRule>
    <cfRule type="cellIs" dxfId="33" priority="919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L111" sqref="BL11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64" x14ac:dyDescent="0.25">
      <c r="A97" s="30">
        <v>9.849732675807628</v>
      </c>
      <c r="E97"/>
    </row>
    <row r="98" spans="1:64" x14ac:dyDescent="0.25">
      <c r="A98" s="30">
        <v>8.9543024325523888</v>
      </c>
      <c r="C98" s="1" t="s">
        <v>13</v>
      </c>
      <c r="E98"/>
    </row>
    <row r="99" spans="1:64" x14ac:dyDescent="0.25">
      <c r="A99" s="30">
        <v>8.140274938683989</v>
      </c>
      <c r="C99" s="1">
        <f>C88</f>
        <v>0</v>
      </c>
      <c r="E99"/>
      <c r="BG99" s="27" t="s">
        <v>8</v>
      </c>
    </row>
    <row r="100" spans="1:64" x14ac:dyDescent="0.25">
      <c r="A100" s="30">
        <v>7.4002499442581717</v>
      </c>
      <c r="C100"/>
      <c r="D100"/>
      <c r="E100"/>
      <c r="BG100" s="27" t="s">
        <v>8</v>
      </c>
      <c r="BH100" s="27" t="s">
        <v>7</v>
      </c>
    </row>
    <row r="101" spans="1:64" x14ac:dyDescent="0.25">
      <c r="A101" s="30">
        <v>6.72749994932561</v>
      </c>
      <c r="C101" s="1" t="s">
        <v>14</v>
      </c>
      <c r="E101"/>
      <c r="BG101" s="27" t="s">
        <v>8</v>
      </c>
      <c r="BH101" s="27" t="s">
        <v>7</v>
      </c>
      <c r="BK101" s="27" t="s">
        <v>8</v>
      </c>
    </row>
    <row r="102" spans="1:64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BG102" s="27" t="s">
        <v>8</v>
      </c>
      <c r="BH102" s="27" t="s">
        <v>7</v>
      </c>
      <c r="BI102" s="27" t="s">
        <v>8</v>
      </c>
      <c r="BK102" s="27" t="s">
        <v>8</v>
      </c>
      <c r="BL102" s="27" t="s">
        <v>7</v>
      </c>
    </row>
    <row r="103" spans="1:64" x14ac:dyDescent="0.25">
      <c r="A103" s="30">
        <v>5.5599173134922388</v>
      </c>
      <c r="E103"/>
      <c r="BG103" s="27" t="s">
        <v>8</v>
      </c>
      <c r="BH103" s="27" t="s">
        <v>7</v>
      </c>
      <c r="BI103" s="27" t="s">
        <v>8</v>
      </c>
      <c r="BJ103" s="27" t="s">
        <v>7</v>
      </c>
      <c r="BK103" s="27" t="s">
        <v>8</v>
      </c>
      <c r="BL103" s="27" t="s">
        <v>7</v>
      </c>
    </row>
    <row r="104" spans="1:64" x14ac:dyDescent="0.25">
      <c r="A104" s="30">
        <v>5.0544702849929442</v>
      </c>
      <c r="E104"/>
      <c r="BG104" s="27" t="s">
        <v>8</v>
      </c>
      <c r="BH104" s="27" t="s">
        <v>7</v>
      </c>
      <c r="BI104" s="27" t="s">
        <v>8</v>
      </c>
      <c r="BJ104" s="27" t="s">
        <v>7</v>
      </c>
      <c r="BK104" s="27" t="s">
        <v>8</v>
      </c>
      <c r="BL104" s="27" t="s">
        <v>7</v>
      </c>
    </row>
    <row r="105" spans="1:64" x14ac:dyDescent="0.25">
      <c r="A105" s="30">
        <v>4.594972986357222</v>
      </c>
      <c r="E105"/>
      <c r="BG105" s="27" t="s">
        <v>8</v>
      </c>
      <c r="BH105" s="27" t="s">
        <v>7</v>
      </c>
      <c r="BI105" s="27" t="s">
        <v>8</v>
      </c>
      <c r="BJ105" s="27" t="s">
        <v>7</v>
      </c>
      <c r="BL105" s="27" t="s">
        <v>7</v>
      </c>
    </row>
    <row r="106" spans="1:64" x14ac:dyDescent="0.25">
      <c r="A106" s="30">
        <v>4.1772481694156562</v>
      </c>
      <c r="E106"/>
      <c r="BG106" s="27" t="s">
        <v>8</v>
      </c>
      <c r="BH106" s="27" t="s">
        <v>7</v>
      </c>
      <c r="BL106" s="27" t="s">
        <v>7</v>
      </c>
    </row>
    <row r="107" spans="1:64" x14ac:dyDescent="0.25">
      <c r="A107" s="30">
        <v>3.7974983358324148</v>
      </c>
      <c r="E107"/>
      <c r="BG107" s="27" t="s">
        <v>8</v>
      </c>
      <c r="BL107" s="27" t="s">
        <v>7</v>
      </c>
    </row>
    <row r="108" spans="1:64" x14ac:dyDescent="0.25">
      <c r="A108" s="30">
        <v>3.4522712143931042</v>
      </c>
      <c r="E108"/>
      <c r="BG108" s="27" t="s">
        <v>8</v>
      </c>
      <c r="BL108" s="27" t="s">
        <v>7</v>
      </c>
    </row>
    <row r="109" spans="1:64" x14ac:dyDescent="0.25">
      <c r="A109" s="30">
        <v>3.1384283767210035</v>
      </c>
      <c r="E109"/>
      <c r="BC109" s="27" t="s">
        <v>8</v>
      </c>
      <c r="BE109" s="27" t="s">
        <v>8</v>
      </c>
      <c r="BG109" s="27" t="s">
        <v>8</v>
      </c>
      <c r="BL109" s="27" t="s">
        <v>7</v>
      </c>
    </row>
    <row r="110" spans="1:64" x14ac:dyDescent="0.25">
      <c r="A110" s="30">
        <v>2.8531167061100029</v>
      </c>
      <c r="E110"/>
      <c r="BC110" s="27" t="s">
        <v>8</v>
      </c>
      <c r="BD110" s="27" t="s">
        <v>7</v>
      </c>
      <c r="BE110" s="27" t="s">
        <v>8</v>
      </c>
      <c r="BF110" s="27" t="s">
        <v>7</v>
      </c>
      <c r="BG110" s="27" t="s">
        <v>8</v>
      </c>
      <c r="BL110" s="27" t="s">
        <v>7</v>
      </c>
    </row>
    <row r="111" spans="1:64" x14ac:dyDescent="0.25">
      <c r="A111" s="30">
        <v>2.5937424601000023</v>
      </c>
      <c r="C111" s="1" t="str">
        <f>ADDRESS(C121-1,1,1,1)</f>
        <v>$A$110</v>
      </c>
      <c r="D111" s="1" t="str">
        <f>ADDRESS(C121-1,D121,1,1)</f>
        <v>$BL$110</v>
      </c>
      <c r="E111"/>
      <c r="BC111" s="27" t="s">
        <v>8</v>
      </c>
      <c r="BD111" s="27" t="s">
        <v>7</v>
      </c>
      <c r="BE111" s="27" t="s">
        <v>8</v>
      </c>
      <c r="BF111" s="27" t="s">
        <v>7</v>
      </c>
      <c r="BG111" s="27" t="s">
        <v>8</v>
      </c>
      <c r="BL111" s="27" t="s">
        <v>7</v>
      </c>
    </row>
    <row r="112" spans="1:64" x14ac:dyDescent="0.25">
      <c r="A112" s="30">
        <v>2.3579476910000019</v>
      </c>
      <c r="C112" s="1" t="str">
        <f>ADDRESS(C121,1,1,1)</f>
        <v>$A$111</v>
      </c>
      <c r="D112" s="1" t="str">
        <f>ADDRESS(C121,D121-1,1,1)</f>
        <v>$BK$111</v>
      </c>
      <c r="E112"/>
      <c r="BA112" s="27" t="s">
        <v>8</v>
      </c>
      <c r="BC112" s="27" t="s">
        <v>8</v>
      </c>
      <c r="BD112" s="27" t="s">
        <v>7</v>
      </c>
      <c r="BE112" s="27" t="s">
        <v>8</v>
      </c>
      <c r="BF112" s="27" t="s">
        <v>7</v>
      </c>
    </row>
    <row r="113" spans="1:56" x14ac:dyDescent="0.25">
      <c r="A113" s="30">
        <v>2.1435888100000016</v>
      </c>
      <c r="C113" s="1" t="str">
        <f>ADDRESS(C121+1,1,1,1)</f>
        <v>$A$112</v>
      </c>
      <c r="D113" s="1" t="str">
        <f>ADDRESS(C121-1,D121+1,1,1)</f>
        <v>$BM$110</v>
      </c>
      <c r="BA113" s="27" t="s">
        <v>8</v>
      </c>
      <c r="BB113" s="27" t="s">
        <v>7</v>
      </c>
      <c r="BC113" s="27" t="s">
        <v>8</v>
      </c>
      <c r="BD113" s="27" t="s">
        <v>7</v>
      </c>
    </row>
    <row r="114" spans="1:56" x14ac:dyDescent="0.25">
      <c r="A114" s="30">
        <v>1.9487171000000014</v>
      </c>
      <c r="C114" s="1" t="str">
        <f>ADDRESS(C121,D121,1,1)</f>
        <v>$BL$111</v>
      </c>
      <c r="D114" s="1" t="str">
        <f>ADDRESS(C121+1,D121+1,1,1)</f>
        <v>$BM$112</v>
      </c>
      <c r="BA114" s="27" t="s">
        <v>8</v>
      </c>
      <c r="BB114" s="27" t="s">
        <v>7</v>
      </c>
      <c r="BC114" s="27" t="s">
        <v>8</v>
      </c>
    </row>
    <row r="115" spans="1:56" x14ac:dyDescent="0.25">
      <c r="A115" s="30">
        <v>1.7715610000000011</v>
      </c>
      <c r="C115" s="1" t="str">
        <f>ADDRESS(C121+1,D121,1,1)</f>
        <v>$BL$112</v>
      </c>
      <c r="BA115" s="27" t="s">
        <v>8</v>
      </c>
      <c r="BB115" s="27" t="s">
        <v>7</v>
      </c>
      <c r="BC115" s="27" t="s">
        <v>8</v>
      </c>
    </row>
    <row r="116" spans="1:56" x14ac:dyDescent="0.25">
      <c r="A116" s="30">
        <v>1.6105100000000008</v>
      </c>
      <c r="C116" s="1">
        <f>C117-1</f>
        <v>110</v>
      </c>
      <c r="BA116" s="27" t="s">
        <v>8</v>
      </c>
      <c r="BB116" s="27" t="s">
        <v>7</v>
      </c>
      <c r="BC116" s="27" t="s">
        <v>8</v>
      </c>
    </row>
    <row r="117" spans="1:56" x14ac:dyDescent="0.25">
      <c r="A117" s="30">
        <v>1.4641000000000006</v>
      </c>
      <c r="C117" s="1">
        <f>C121</f>
        <v>111</v>
      </c>
      <c r="D117" s="1">
        <f>D121</f>
        <v>64</v>
      </c>
      <c r="BA117" s="27" t="s">
        <v>8</v>
      </c>
      <c r="BB117" s="27" t="s">
        <v>7</v>
      </c>
    </row>
    <row r="118" spans="1:56" x14ac:dyDescent="0.25">
      <c r="A118" s="30">
        <v>1.3310000000000004</v>
      </c>
      <c r="C118" s="1">
        <f>C117+1</f>
        <v>112</v>
      </c>
      <c r="D118" s="1">
        <f>D117+1</f>
        <v>65</v>
      </c>
      <c r="BA118" s="27" t="s">
        <v>8</v>
      </c>
    </row>
    <row r="119" spans="1:56" x14ac:dyDescent="0.25">
      <c r="A119" s="30">
        <v>1.2100000000000002</v>
      </c>
      <c r="BA119" s="27" t="s">
        <v>8</v>
      </c>
    </row>
    <row r="120" spans="1:56" x14ac:dyDescent="0.25">
      <c r="A120" s="30">
        <v>1.1000000000000001</v>
      </c>
      <c r="C120" s="1" t="s">
        <v>9</v>
      </c>
      <c r="AW120" s="27" t="s">
        <v>8</v>
      </c>
      <c r="BA120" s="27" t="s">
        <v>8</v>
      </c>
    </row>
    <row r="121" spans="1:56" x14ac:dyDescent="0.25">
      <c r="A121" s="30">
        <v>1</v>
      </c>
      <c r="C121" s="18">
        <v>111</v>
      </c>
      <c r="D121" s="19">
        <v>64</v>
      </c>
      <c r="E121" s="18" t="s">
        <v>8</v>
      </c>
      <c r="AW121" s="27" t="s">
        <v>8</v>
      </c>
      <c r="AX121" s="27" t="s">
        <v>7</v>
      </c>
      <c r="BA121" s="27" t="s">
        <v>8</v>
      </c>
    </row>
    <row r="122" spans="1:56" x14ac:dyDescent="0.25">
      <c r="A122" s="30">
        <v>0.90909090909090895</v>
      </c>
      <c r="C122" s="1" t="str">
        <f>INDEX(1:1048576,C117,D117)</f>
        <v>O</v>
      </c>
      <c r="F122" s="27" t="s">
        <v>7</v>
      </c>
      <c r="AW122" s="27" t="s">
        <v>8</v>
      </c>
      <c r="AX122" s="27" t="s">
        <v>7</v>
      </c>
      <c r="BA122" s="27" t="s">
        <v>8</v>
      </c>
    </row>
    <row r="123" spans="1:56" x14ac:dyDescent="0.25">
      <c r="A123" s="30">
        <v>0.82644628099173523</v>
      </c>
      <c r="C123" s="1" t="str">
        <f>"R"&amp;C121</f>
        <v>R111</v>
      </c>
      <c r="D123" s="1" t="str">
        <f>"C"&amp;D121</f>
        <v>C64</v>
      </c>
      <c r="F123" s="27" t="s">
        <v>7</v>
      </c>
      <c r="AI123" s="27" t="s">
        <v>8</v>
      </c>
      <c r="AU123" s="27" t="s">
        <v>8</v>
      </c>
      <c r="AW123" s="27" t="s">
        <v>8</v>
      </c>
      <c r="AX123" s="27" t="s">
        <v>7</v>
      </c>
      <c r="AY123" s="27" t="s">
        <v>8</v>
      </c>
      <c r="BA123" s="27" t="s">
        <v>8</v>
      </c>
    </row>
    <row r="124" spans="1:5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G124" s="27" t="s">
        <v>8</v>
      </c>
      <c r="AI124" s="27" t="s">
        <v>8</v>
      </c>
      <c r="AJ124" s="27" t="s">
        <v>7</v>
      </c>
      <c r="AU124" s="27" t="s">
        <v>8</v>
      </c>
      <c r="AV124" s="27" t="s">
        <v>7</v>
      </c>
      <c r="AW124" s="27" t="s">
        <v>8</v>
      </c>
      <c r="AX124" s="27" t="s">
        <v>7</v>
      </c>
      <c r="AY124" s="27" t="s">
        <v>8</v>
      </c>
      <c r="AZ124" s="27" t="s">
        <v>7</v>
      </c>
      <c r="BA124" s="27" t="s">
        <v>8</v>
      </c>
    </row>
    <row r="125" spans="1:56" x14ac:dyDescent="0.25">
      <c r="A125" s="30">
        <v>0.68301345536507019</v>
      </c>
      <c r="F125" s="27" t="s">
        <v>7</v>
      </c>
      <c r="AG125" s="27" t="s">
        <v>8</v>
      </c>
      <c r="AH125" s="27" t="s">
        <v>7</v>
      </c>
      <c r="AI125" s="27" t="s">
        <v>8</v>
      </c>
      <c r="AJ125" s="27" t="s">
        <v>7</v>
      </c>
      <c r="AK125" s="27" t="s">
        <v>8</v>
      </c>
      <c r="AS125" s="27" t="s">
        <v>8</v>
      </c>
      <c r="AU125" s="27" t="s">
        <v>8</v>
      </c>
      <c r="AV125" s="27" t="s">
        <v>7</v>
      </c>
      <c r="AW125" s="27" t="s">
        <v>8</v>
      </c>
      <c r="AX125" s="27" t="s">
        <v>7</v>
      </c>
      <c r="AY125" s="27" t="s">
        <v>8</v>
      </c>
      <c r="AZ125" s="27" t="s">
        <v>7</v>
      </c>
      <c r="BA125" s="27" t="s">
        <v>8</v>
      </c>
    </row>
    <row r="126" spans="1:56" x14ac:dyDescent="0.25">
      <c r="A126" s="30">
        <v>0.6209213230591546</v>
      </c>
      <c r="C126" s="1" t="s">
        <v>10</v>
      </c>
      <c r="F126" s="27" t="s">
        <v>7</v>
      </c>
      <c r="AG126" s="27" t="s">
        <v>8</v>
      </c>
      <c r="AH126" s="27" t="s">
        <v>7</v>
      </c>
      <c r="AI126" s="27" t="s">
        <v>8</v>
      </c>
      <c r="AJ126" s="27" t="s">
        <v>7</v>
      </c>
      <c r="AK126" s="27" t="s">
        <v>8</v>
      </c>
      <c r="AL126" s="27" t="s">
        <v>7</v>
      </c>
      <c r="AS126" s="27" t="s">
        <v>8</v>
      </c>
      <c r="AT126" s="27" t="s">
        <v>7</v>
      </c>
      <c r="AU126" s="27" t="s">
        <v>8</v>
      </c>
      <c r="AV126" s="27" t="s">
        <v>7</v>
      </c>
      <c r="AW126" s="27" t="s">
        <v>8</v>
      </c>
      <c r="AX126" s="27" t="s">
        <v>7</v>
      </c>
      <c r="AZ126" s="27" t="s">
        <v>7</v>
      </c>
    </row>
    <row r="127" spans="1:56" x14ac:dyDescent="0.25">
      <c r="A127" s="30">
        <v>0.56447393005377677</v>
      </c>
      <c r="C127" s="30">
        <v>2.5937424601000023</v>
      </c>
      <c r="D127"/>
      <c r="F127" s="27" t="s">
        <v>7</v>
      </c>
      <c r="AG127" s="27" t="s">
        <v>8</v>
      </c>
      <c r="AH127" s="27" t="s">
        <v>7</v>
      </c>
      <c r="AI127" s="27" t="s">
        <v>8</v>
      </c>
      <c r="AJ127" s="27" t="s">
        <v>7</v>
      </c>
      <c r="AK127" s="27" t="s">
        <v>8</v>
      </c>
      <c r="AL127" s="27" t="s">
        <v>7</v>
      </c>
      <c r="AS127" s="27" t="s">
        <v>8</v>
      </c>
      <c r="AT127" s="27" t="s">
        <v>7</v>
      </c>
      <c r="AU127" s="27" t="s">
        <v>8</v>
      </c>
      <c r="AV127" s="27" t="s">
        <v>7</v>
      </c>
    </row>
    <row r="128" spans="1:56" x14ac:dyDescent="0.25">
      <c r="A128" s="30">
        <v>0.51315811823070612</v>
      </c>
      <c r="F128" s="27" t="s">
        <v>7</v>
      </c>
      <c r="AG128" s="27" t="s">
        <v>8</v>
      </c>
      <c r="AH128" s="27" t="s">
        <v>7</v>
      </c>
      <c r="AJ128" s="27" t="s">
        <v>7</v>
      </c>
      <c r="AK128" s="27" t="s">
        <v>8</v>
      </c>
      <c r="AL128" s="27" t="s">
        <v>7</v>
      </c>
      <c r="AQ128" s="27" t="s">
        <v>8</v>
      </c>
      <c r="AS128" s="27" t="s">
        <v>8</v>
      </c>
      <c r="AT128" s="27" t="s">
        <v>7</v>
      </c>
      <c r="AU128" s="27" t="s">
        <v>8</v>
      </c>
    </row>
    <row r="129" spans="1:47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AG129" s="27" t="s">
        <v>8</v>
      </c>
      <c r="AJ129" s="27" t="s">
        <v>7</v>
      </c>
      <c r="AK129" s="27" t="s">
        <v>8</v>
      </c>
      <c r="AL129" s="27" t="s">
        <v>7</v>
      </c>
      <c r="AM129" s="27" t="s">
        <v>8</v>
      </c>
      <c r="AQ129" s="27" t="s">
        <v>8</v>
      </c>
      <c r="AR129" s="27" t="s">
        <v>7</v>
      </c>
      <c r="AS129" s="27" t="s">
        <v>8</v>
      </c>
      <c r="AT129" s="27" t="s">
        <v>7</v>
      </c>
      <c r="AU129" s="27" t="s">
        <v>8</v>
      </c>
    </row>
    <row r="130" spans="1:47" x14ac:dyDescent="0.25">
      <c r="A130" s="30">
        <v>0.42409761837248428</v>
      </c>
      <c r="C130" s="6"/>
      <c r="D130" s="6"/>
      <c r="E130"/>
      <c r="F130" s="27" t="s">
        <v>7</v>
      </c>
      <c r="AE130" s="27" t="s">
        <v>8</v>
      </c>
      <c r="AG130" s="27" t="s">
        <v>8</v>
      </c>
      <c r="AJ130" s="27" t="s">
        <v>7</v>
      </c>
      <c r="AK130" s="27" t="s">
        <v>8</v>
      </c>
      <c r="AL130" s="27" t="s">
        <v>7</v>
      </c>
      <c r="AM130" s="27" t="s">
        <v>8</v>
      </c>
      <c r="AN130" s="27" t="s">
        <v>7</v>
      </c>
      <c r="AQ130" s="27" t="s">
        <v>8</v>
      </c>
      <c r="AR130" s="27" t="s">
        <v>7</v>
      </c>
      <c r="AS130" s="27" t="s">
        <v>8</v>
      </c>
      <c r="AT130" s="18" t="s">
        <v>7</v>
      </c>
      <c r="AU130" s="27" t="s">
        <v>8</v>
      </c>
    </row>
    <row r="131" spans="1:47" x14ac:dyDescent="0.25">
      <c r="A131" s="30">
        <v>0.38554328942953109</v>
      </c>
      <c r="E131"/>
      <c r="F131" s="27" t="s">
        <v>7</v>
      </c>
      <c r="AE131" s="27" t="s">
        <v>8</v>
      </c>
      <c r="AF131" s="27" t="s">
        <v>7</v>
      </c>
      <c r="AG131" s="27" t="s">
        <v>8</v>
      </c>
      <c r="AJ131" s="27" t="s">
        <v>7</v>
      </c>
      <c r="AK131" s="27" t="s">
        <v>8</v>
      </c>
      <c r="AL131" s="27" t="s">
        <v>7</v>
      </c>
      <c r="AM131" s="27" t="s">
        <v>8</v>
      </c>
      <c r="AN131" s="27" t="s">
        <v>7</v>
      </c>
      <c r="AO131" s="27" t="s">
        <v>8</v>
      </c>
      <c r="AQ131" s="27" t="s">
        <v>8</v>
      </c>
      <c r="AR131" s="27" t="s">
        <v>7</v>
      </c>
      <c r="AT131" s="27" t="s">
        <v>7</v>
      </c>
    </row>
    <row r="132" spans="1:47" x14ac:dyDescent="0.25">
      <c r="A132" s="30">
        <v>0.35049389948139187</v>
      </c>
      <c r="C132" s="1" t="s">
        <v>13</v>
      </c>
      <c r="E132"/>
      <c r="F132" s="27" t="s">
        <v>7</v>
      </c>
      <c r="AC132" s="27" t="s">
        <v>8</v>
      </c>
      <c r="AE132" s="27" t="s">
        <v>8</v>
      </c>
      <c r="AF132" s="27" t="s">
        <v>7</v>
      </c>
      <c r="AG132" s="27" t="s">
        <v>8</v>
      </c>
      <c r="AJ132" s="27" t="s">
        <v>7</v>
      </c>
      <c r="AL132" s="27" t="s">
        <v>7</v>
      </c>
      <c r="AM132" s="27" t="s">
        <v>8</v>
      </c>
      <c r="AN132" s="27" t="s">
        <v>7</v>
      </c>
      <c r="AO132" s="27" t="s">
        <v>8</v>
      </c>
      <c r="AP132" s="27" t="s">
        <v>7</v>
      </c>
      <c r="AQ132" s="27" t="s">
        <v>8</v>
      </c>
    </row>
    <row r="133" spans="1:47" x14ac:dyDescent="0.25">
      <c r="A133" s="30">
        <v>0.31863081771035617</v>
      </c>
      <c r="C133" s="1" t="str">
        <f>C122</f>
        <v>O</v>
      </c>
      <c r="E133"/>
      <c r="F133" s="27" t="s">
        <v>7</v>
      </c>
      <c r="AC133" s="27" t="s">
        <v>8</v>
      </c>
      <c r="AD133" s="27" t="s">
        <v>7</v>
      </c>
      <c r="AE133" s="27" t="s">
        <v>8</v>
      </c>
      <c r="AF133" s="27" t="s">
        <v>7</v>
      </c>
      <c r="AL133" s="27" t="s">
        <v>7</v>
      </c>
      <c r="AM133" s="27" t="s">
        <v>8</v>
      </c>
      <c r="AN133" s="27" t="s">
        <v>7</v>
      </c>
      <c r="AO133" s="27" t="s">
        <v>8</v>
      </c>
      <c r="AP133" s="27" t="s">
        <v>7</v>
      </c>
      <c r="AQ133" s="27" t="s">
        <v>8</v>
      </c>
    </row>
    <row r="134" spans="1:47" x14ac:dyDescent="0.25">
      <c r="A134" s="30">
        <v>0.28966437973668741</v>
      </c>
      <c r="C134"/>
      <c r="D134"/>
      <c r="E134"/>
      <c r="F134" s="27" t="s">
        <v>7</v>
      </c>
      <c r="AA134" s="27" t="s">
        <v>8</v>
      </c>
      <c r="AC134" s="27" t="s">
        <v>8</v>
      </c>
      <c r="AD134" s="27" t="s">
        <v>7</v>
      </c>
      <c r="AE134" s="27" t="s">
        <v>8</v>
      </c>
      <c r="AL134" s="27" t="s">
        <v>7</v>
      </c>
      <c r="AM134" s="27" t="s">
        <v>8</v>
      </c>
      <c r="AN134" s="27" t="s">
        <v>7</v>
      </c>
      <c r="AO134" s="27" t="s">
        <v>8</v>
      </c>
      <c r="AP134" s="27" t="s">
        <v>7</v>
      </c>
      <c r="AQ134" s="27" t="s">
        <v>8</v>
      </c>
    </row>
    <row r="135" spans="1:47" x14ac:dyDescent="0.25">
      <c r="A135" s="30">
        <v>0.2633312543060794</v>
      </c>
      <c r="C135" s="1" t="s">
        <v>14</v>
      </c>
      <c r="E135"/>
      <c r="F135" s="27" t="s">
        <v>7</v>
      </c>
      <c r="AA135" s="27" t="s">
        <v>8</v>
      </c>
      <c r="AB135" s="27" t="s">
        <v>7</v>
      </c>
      <c r="AC135" s="27" t="s">
        <v>8</v>
      </c>
      <c r="AD135" s="27" t="s">
        <v>7</v>
      </c>
      <c r="AE135" s="27" t="s">
        <v>8</v>
      </c>
      <c r="AL135" s="27" t="s">
        <v>7</v>
      </c>
      <c r="AM135" s="27" t="s">
        <v>8</v>
      </c>
      <c r="AN135" s="27" t="s">
        <v>7</v>
      </c>
      <c r="AO135" s="27" t="s">
        <v>8</v>
      </c>
      <c r="AP135" s="27" t="s">
        <v>7</v>
      </c>
      <c r="AQ135" s="27" t="s">
        <v>8</v>
      </c>
    </row>
    <row r="136" spans="1:47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  <c r="AA136" s="27" t="s">
        <v>8</v>
      </c>
      <c r="AB136" s="27" t="s">
        <v>7</v>
      </c>
      <c r="AC136" s="27" t="s">
        <v>8</v>
      </c>
      <c r="AD136" s="27" t="s">
        <v>7</v>
      </c>
      <c r="AE136" s="27" t="s">
        <v>8</v>
      </c>
      <c r="AL136" s="27" t="s">
        <v>7</v>
      </c>
      <c r="AM136" s="27" t="s">
        <v>8</v>
      </c>
      <c r="AN136" s="27" t="s">
        <v>7</v>
      </c>
      <c r="AP136" s="27" t="s">
        <v>7</v>
      </c>
      <c r="AQ136" s="27" t="s">
        <v>8</v>
      </c>
    </row>
    <row r="137" spans="1:47" x14ac:dyDescent="0.25">
      <c r="A137" s="30">
        <v>0.2176291357901482</v>
      </c>
      <c r="E137"/>
      <c r="F137" s="27" t="s">
        <v>7</v>
      </c>
      <c r="AA137" s="27" t="s">
        <v>8</v>
      </c>
      <c r="AB137" s="27" t="s">
        <v>7</v>
      </c>
      <c r="AC137" s="27" t="s">
        <v>8</v>
      </c>
      <c r="AD137" s="27" t="s">
        <v>7</v>
      </c>
      <c r="AE137" s="27" t="s">
        <v>8</v>
      </c>
      <c r="AL137" s="27" t="s">
        <v>7</v>
      </c>
      <c r="AM137" s="27" t="s">
        <v>8</v>
      </c>
      <c r="AP137" s="27" t="s">
        <v>7</v>
      </c>
      <c r="AQ137" s="27" t="s">
        <v>8</v>
      </c>
    </row>
    <row r="138" spans="1:47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AA138" s="27" t="s">
        <v>8</v>
      </c>
      <c r="AB138" s="27" t="s">
        <v>7</v>
      </c>
      <c r="AD138" s="27" t="s">
        <v>7</v>
      </c>
      <c r="AE138" s="27" t="s">
        <v>8</v>
      </c>
      <c r="AL138" s="27" t="s">
        <v>7</v>
      </c>
      <c r="AM138" s="27" t="s">
        <v>8</v>
      </c>
      <c r="AP138" s="27" t="s">
        <v>7</v>
      </c>
      <c r="AQ138" s="27" t="s">
        <v>8</v>
      </c>
    </row>
    <row r="139" spans="1:47" x14ac:dyDescent="0.25">
      <c r="A139" s="30">
        <v>0.17985878990921333</v>
      </c>
      <c r="E139"/>
      <c r="F139" s="27" t="s">
        <v>7</v>
      </c>
      <c r="AA139" s="27" t="s">
        <v>8</v>
      </c>
      <c r="AD139" s="27" t="s">
        <v>7</v>
      </c>
      <c r="AL139" s="27" t="s">
        <v>7</v>
      </c>
      <c r="AP139" s="27" t="s">
        <v>7</v>
      </c>
      <c r="AQ139" s="27" t="s">
        <v>8</v>
      </c>
    </row>
    <row r="140" spans="1:47" x14ac:dyDescent="0.25">
      <c r="A140" s="30">
        <v>0.16350799082655756</v>
      </c>
      <c r="C140" s="1">
        <v>0</v>
      </c>
      <c r="E140"/>
      <c r="F140" s="27" t="s">
        <v>7</v>
      </c>
      <c r="AA140" s="27" t="s">
        <v>8</v>
      </c>
      <c r="AP140" s="27" t="s">
        <v>7</v>
      </c>
      <c r="AQ140" s="27" t="s">
        <v>8</v>
      </c>
    </row>
    <row r="141" spans="1:47" x14ac:dyDescent="0.25">
      <c r="A141" s="30">
        <v>0.14864362802414322</v>
      </c>
      <c r="C141" s="1">
        <v>1</v>
      </c>
      <c r="E141"/>
      <c r="F141" s="27" t="s">
        <v>7</v>
      </c>
      <c r="W141" s="27" t="s">
        <v>8</v>
      </c>
      <c r="Y141" s="27" t="s">
        <v>8</v>
      </c>
      <c r="AA141" s="27" t="s">
        <v>8</v>
      </c>
      <c r="AP141" s="27" t="s">
        <v>7</v>
      </c>
    </row>
    <row r="142" spans="1:47" x14ac:dyDescent="0.25">
      <c r="A142" s="30">
        <v>0.13513057093103928</v>
      </c>
      <c r="C142" s="1">
        <v>2</v>
      </c>
      <c r="E142"/>
      <c r="F142" s="27" t="s">
        <v>7</v>
      </c>
      <c r="W142" s="27" t="s">
        <v>8</v>
      </c>
      <c r="X142" s="27" t="s">
        <v>7</v>
      </c>
      <c r="Y142" s="27" t="s">
        <v>8</v>
      </c>
      <c r="Z142" s="27" t="s">
        <v>7</v>
      </c>
      <c r="AA142" s="27" t="s">
        <v>8</v>
      </c>
    </row>
    <row r="143" spans="1:47" x14ac:dyDescent="0.25">
      <c r="A143" s="30">
        <v>0.12284597357367205</v>
      </c>
      <c r="C143" s="1">
        <v>3</v>
      </c>
      <c r="E143"/>
      <c r="F143" s="27" t="s">
        <v>7</v>
      </c>
      <c r="W143" s="27" t="s">
        <v>8</v>
      </c>
      <c r="X143" s="27" t="s">
        <v>7</v>
      </c>
      <c r="Y143" s="27" t="s">
        <v>8</v>
      </c>
      <c r="Z143" s="27" t="s">
        <v>7</v>
      </c>
      <c r="AA143" s="27" t="s">
        <v>8</v>
      </c>
    </row>
    <row r="144" spans="1:47" x14ac:dyDescent="0.25">
      <c r="A144" s="30">
        <v>0.11167815779424731</v>
      </c>
      <c r="C144" s="1">
        <v>4</v>
      </c>
      <c r="E144"/>
      <c r="F144" s="27" t="s">
        <v>7</v>
      </c>
      <c r="W144" s="27" t="s">
        <v>8</v>
      </c>
      <c r="X144" s="27" t="s">
        <v>7</v>
      </c>
      <c r="Y144" s="27" t="s">
        <v>8</v>
      </c>
      <c r="Z144" s="27" t="s">
        <v>7</v>
      </c>
    </row>
    <row r="145" spans="1:25" x14ac:dyDescent="0.25">
      <c r="A145" s="30">
        <v>0.10152559799477026</v>
      </c>
      <c r="B145"/>
      <c r="C145"/>
      <c r="D145"/>
      <c r="E145"/>
      <c r="F145" s="27" t="s">
        <v>7</v>
      </c>
      <c r="W145" s="27" t="s">
        <v>8</v>
      </c>
      <c r="X145" s="27" t="s">
        <v>7</v>
      </c>
      <c r="Y145" s="27" t="s">
        <v>8</v>
      </c>
    </row>
    <row r="146" spans="1:25" x14ac:dyDescent="0.25">
      <c r="A146" s="30">
        <v>9.2295998177063854E-2</v>
      </c>
      <c r="B146"/>
      <c r="C146"/>
      <c r="D146"/>
      <c r="E146"/>
      <c r="F146" s="27" t="s">
        <v>7</v>
      </c>
      <c r="W146" s="27" t="s">
        <v>8</v>
      </c>
      <c r="X146" s="27" t="s">
        <v>7</v>
      </c>
      <c r="Y146" s="27" t="s">
        <v>8</v>
      </c>
    </row>
    <row r="147" spans="1:25" x14ac:dyDescent="0.25">
      <c r="A147" s="30">
        <v>8.3905452888239848E-2</v>
      </c>
      <c r="B147"/>
      <c r="C147"/>
      <c r="D147"/>
      <c r="E147"/>
      <c r="F147" s="27" t="s">
        <v>7</v>
      </c>
      <c r="W147" s="27" t="s">
        <v>8</v>
      </c>
      <c r="X147" s="27" t="s">
        <v>7</v>
      </c>
      <c r="Y147" s="27" t="s">
        <v>8</v>
      </c>
    </row>
    <row r="148" spans="1:25" x14ac:dyDescent="0.25">
      <c r="A148" s="30">
        <v>7.6277684443854396E-2</v>
      </c>
      <c r="B148"/>
      <c r="C148"/>
      <c r="D148"/>
      <c r="E148"/>
      <c r="F148" s="27" t="s">
        <v>7</v>
      </c>
      <c r="I148" s="27" t="s">
        <v>8</v>
      </c>
      <c r="W148" s="27" t="s">
        <v>8</v>
      </c>
      <c r="X148" s="27" t="s">
        <v>7</v>
      </c>
    </row>
    <row r="149" spans="1:25" x14ac:dyDescent="0.25">
      <c r="A149" s="30">
        <v>6.9343349494413078E-2</v>
      </c>
      <c r="B149"/>
      <c r="C149"/>
      <c r="D149"/>
      <c r="E149"/>
      <c r="F149" s="27" t="s">
        <v>7</v>
      </c>
      <c r="G149" s="27" t="s">
        <v>8</v>
      </c>
      <c r="I149" s="27" t="s">
        <v>8</v>
      </c>
      <c r="J149" s="27" t="s">
        <v>7</v>
      </c>
      <c r="W149" s="27" t="s">
        <v>8</v>
      </c>
    </row>
    <row r="150" spans="1:25" x14ac:dyDescent="0.25">
      <c r="A150" s="30">
        <v>6.3039408631284613E-2</v>
      </c>
      <c r="B150"/>
      <c r="C150"/>
      <c r="D150"/>
      <c r="E150"/>
      <c r="F150" s="27" t="s">
        <v>7</v>
      </c>
      <c r="G150" s="27" t="s">
        <v>8</v>
      </c>
      <c r="H150" s="27" t="s">
        <v>7</v>
      </c>
      <c r="I150" s="27" t="s">
        <v>8</v>
      </c>
      <c r="J150" s="27" t="s">
        <v>7</v>
      </c>
      <c r="W150" s="27" t="s">
        <v>8</v>
      </c>
    </row>
    <row r="151" spans="1:25" x14ac:dyDescent="0.25">
      <c r="A151" s="30">
        <v>5.7308553301167818E-2</v>
      </c>
      <c r="B151"/>
      <c r="C151"/>
      <c r="D151"/>
      <c r="E151"/>
      <c r="F151" s="27" t="s">
        <v>7</v>
      </c>
      <c r="G151" s="27" t="s">
        <v>8</v>
      </c>
      <c r="H151" s="27" t="s">
        <v>7</v>
      </c>
      <c r="I151" s="27" t="s">
        <v>8</v>
      </c>
      <c r="J151" s="27" t="s">
        <v>7</v>
      </c>
      <c r="K151" s="27" t="s">
        <v>8</v>
      </c>
      <c r="Q151" s="27" t="s">
        <v>8</v>
      </c>
      <c r="W151" s="27" t="s">
        <v>8</v>
      </c>
    </row>
    <row r="152" spans="1:25" x14ac:dyDescent="0.25">
      <c r="A152" s="30">
        <v>5.2098684819243464E-2</v>
      </c>
      <c r="B152"/>
      <c r="C152"/>
      <c r="D152"/>
      <c r="E152"/>
      <c r="F152" s="27" t="s">
        <v>7</v>
      </c>
      <c r="H152" s="27" t="s">
        <v>7</v>
      </c>
      <c r="I152" s="27" t="s">
        <v>8</v>
      </c>
      <c r="J152" s="27" t="s">
        <v>7</v>
      </c>
      <c r="K152" s="27" t="s">
        <v>8</v>
      </c>
      <c r="L152" s="27" t="s">
        <v>7</v>
      </c>
      <c r="M152" s="27" t="s">
        <v>8</v>
      </c>
      <c r="O152" s="27" t="s">
        <v>8</v>
      </c>
      <c r="Q152" s="27" t="s">
        <v>8</v>
      </c>
      <c r="R152" s="27" t="s">
        <v>7</v>
      </c>
      <c r="S152" s="27" t="s">
        <v>8</v>
      </c>
      <c r="W152" s="27" t="s">
        <v>8</v>
      </c>
    </row>
    <row r="153" spans="1:25" x14ac:dyDescent="0.25">
      <c r="A153" s="30">
        <v>4.7362440744766775E-2</v>
      </c>
      <c r="B153"/>
      <c r="C153"/>
      <c r="D153"/>
      <c r="E153"/>
      <c r="H153" s="27" t="s">
        <v>7</v>
      </c>
      <c r="I153" s="27" t="s">
        <v>8</v>
      </c>
      <c r="J153" s="27" t="s">
        <v>7</v>
      </c>
      <c r="K153" s="27" t="s">
        <v>8</v>
      </c>
      <c r="L153" s="27" t="s">
        <v>7</v>
      </c>
      <c r="M153" s="27" t="s">
        <v>8</v>
      </c>
      <c r="N153" s="27" t="s">
        <v>7</v>
      </c>
      <c r="O153" s="27" t="s">
        <v>8</v>
      </c>
      <c r="P153" s="27" t="s">
        <v>7</v>
      </c>
      <c r="Q153" s="27" t="s">
        <v>8</v>
      </c>
      <c r="R153" s="27" t="s">
        <v>7</v>
      </c>
      <c r="S153" s="27" t="s">
        <v>8</v>
      </c>
      <c r="T153" s="27" t="s">
        <v>7</v>
      </c>
      <c r="U153" s="27" t="s">
        <v>8</v>
      </c>
      <c r="W153" s="27" t="s">
        <v>8</v>
      </c>
    </row>
    <row r="154" spans="1:25" x14ac:dyDescent="0.25">
      <c r="A154" s="30">
        <v>4.3056764313424332E-2</v>
      </c>
      <c r="B154"/>
      <c r="C154"/>
      <c r="D154"/>
      <c r="E154"/>
      <c r="H154" s="27" t="s">
        <v>7</v>
      </c>
      <c r="J154" s="27" t="s">
        <v>7</v>
      </c>
      <c r="K154" s="27" t="s">
        <v>8</v>
      </c>
      <c r="L154" s="27" t="s">
        <v>7</v>
      </c>
      <c r="M154" s="27" t="s">
        <v>8</v>
      </c>
      <c r="N154" s="27" t="s">
        <v>7</v>
      </c>
      <c r="O154" s="27" t="s">
        <v>8</v>
      </c>
      <c r="P154" s="27" t="s">
        <v>7</v>
      </c>
      <c r="Q154" s="27" t="s">
        <v>8</v>
      </c>
      <c r="R154" s="27" t="s">
        <v>7</v>
      </c>
      <c r="S154" s="27" t="s">
        <v>8</v>
      </c>
      <c r="T154" s="27" t="s">
        <v>7</v>
      </c>
      <c r="U154" s="27" t="s">
        <v>8</v>
      </c>
      <c r="V154" s="27" t="s">
        <v>7</v>
      </c>
      <c r="W154" s="27" t="s">
        <v>8</v>
      </c>
    </row>
    <row r="155" spans="1:25" x14ac:dyDescent="0.25">
      <c r="A155" s="30">
        <v>3.9142513012203929E-2</v>
      </c>
      <c r="B155"/>
      <c r="C155"/>
      <c r="D155"/>
      <c r="E155"/>
      <c r="J155" s="27" t="s">
        <v>7</v>
      </c>
      <c r="K155" s="27" t="s">
        <v>8</v>
      </c>
      <c r="L155" s="27" t="s">
        <v>7</v>
      </c>
      <c r="N155" s="27" t="s">
        <v>7</v>
      </c>
      <c r="O155" s="27" t="s">
        <v>8</v>
      </c>
      <c r="P155" s="27" t="s">
        <v>7</v>
      </c>
      <c r="Q155" s="27" t="s">
        <v>8</v>
      </c>
      <c r="R155" s="27" t="s">
        <v>7</v>
      </c>
      <c r="T155" s="27" t="s">
        <v>7</v>
      </c>
      <c r="U155" s="27" t="s">
        <v>8</v>
      </c>
      <c r="V155" s="27" t="s">
        <v>7</v>
      </c>
      <c r="W155" s="27" t="s">
        <v>8</v>
      </c>
    </row>
    <row r="156" spans="1:25" x14ac:dyDescent="0.25">
      <c r="A156" s="30">
        <v>3.55841027383672E-2</v>
      </c>
      <c r="B156"/>
      <c r="C156"/>
      <c r="D156"/>
      <c r="E156"/>
      <c r="J156" s="27" t="s">
        <v>7</v>
      </c>
      <c r="N156" s="27" t="s">
        <v>7</v>
      </c>
      <c r="O156" s="27" t="s">
        <v>8</v>
      </c>
      <c r="P156" s="27" t="s">
        <v>7</v>
      </c>
      <c r="T156" s="27" t="s">
        <v>7</v>
      </c>
      <c r="V156" s="27" t="s">
        <v>7</v>
      </c>
    </row>
    <row r="157" spans="1:25" x14ac:dyDescent="0.25">
      <c r="A157" s="30">
        <v>3.2349184307606541E-2</v>
      </c>
      <c r="B157"/>
      <c r="C157"/>
      <c r="D157"/>
      <c r="E157"/>
      <c r="N157" s="27" t="s">
        <v>7</v>
      </c>
      <c r="O157" s="27" t="s">
        <v>8</v>
      </c>
    </row>
    <row r="158" spans="1:25" x14ac:dyDescent="0.25">
      <c r="A158" s="30">
        <v>2.9408349370551395E-2</v>
      </c>
      <c r="B158"/>
      <c r="C158"/>
      <c r="D158"/>
      <c r="E158"/>
      <c r="N158" s="27" t="s">
        <v>7</v>
      </c>
    </row>
    <row r="159" spans="1:25" x14ac:dyDescent="0.25">
      <c r="A159" s="30">
        <v>2.6734863064137627E-2</v>
      </c>
      <c r="B159"/>
      <c r="C159"/>
      <c r="D159"/>
      <c r="E159"/>
    </row>
    <row r="160" spans="1:2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36" operator="equal">
      <formula>$U$1</formula>
    </cfRule>
    <cfRule type="cellIs" dxfId="30" priority="937" operator="equal">
      <formula>$S$1</formula>
    </cfRule>
  </conditionalFormatting>
  <conditionalFormatting sqref="D136">
    <cfRule type="cellIs" dxfId="29" priority="934" operator="equal">
      <formula>$S$1</formula>
    </cfRule>
    <cfRule type="cellIs" dxfId="28" priority="935" operator="equal">
      <formula>$U$1</formula>
    </cfRule>
  </conditionalFormatting>
  <conditionalFormatting sqref="C102">
    <cfRule type="cellIs" dxfId="27" priority="932" operator="equal">
      <formula>$U$1</formula>
    </cfRule>
    <cfRule type="cellIs" dxfId="26" priority="933" operator="equal">
      <formula>$S$1</formula>
    </cfRule>
  </conditionalFormatting>
  <conditionalFormatting sqref="D102">
    <cfRule type="cellIs" dxfId="25" priority="930" operator="equal">
      <formula>$S$1</formula>
    </cfRule>
    <cfRule type="cellIs" dxfId="24" priority="931" operator="equal">
      <formula>$U$1</formula>
    </cfRule>
  </conditionalFormatting>
  <conditionalFormatting sqref="C77">
    <cfRule type="cellIs" dxfId="23" priority="928" operator="equal">
      <formula>$U$1</formula>
    </cfRule>
    <cfRule type="cellIs" dxfId="22" priority="929" operator="equal">
      <formula>$S$1</formula>
    </cfRule>
  </conditionalFormatting>
  <conditionalFormatting sqref="D77">
    <cfRule type="cellIs" dxfId="21" priority="926" operator="equal">
      <formula>$S$1</formula>
    </cfRule>
    <cfRule type="cellIs" dxfId="20" priority="927" operator="equal">
      <formula>$U$1</formula>
    </cfRule>
  </conditionalFormatting>
  <conditionalFormatting sqref="C52">
    <cfRule type="cellIs" dxfId="19" priority="924" operator="equal">
      <formula>$U$1</formula>
    </cfRule>
    <cfRule type="cellIs" dxfId="18" priority="925" operator="equal">
      <formula>$S$1</formula>
    </cfRule>
  </conditionalFormatting>
  <conditionalFormatting sqref="D52">
    <cfRule type="cellIs" dxfId="17" priority="922" operator="equal">
      <formula>$S$1</formula>
    </cfRule>
    <cfRule type="cellIs" dxfId="16" priority="923" operator="equal">
      <formula>$U$1</formula>
    </cfRule>
  </conditionalFormatting>
  <conditionalFormatting sqref="C26">
    <cfRule type="cellIs" dxfId="15" priority="920" operator="equal">
      <formula>$U$1</formula>
    </cfRule>
    <cfRule type="cellIs" dxfId="14" priority="921" operator="equal">
      <formula>$S$1</formula>
    </cfRule>
  </conditionalFormatting>
  <conditionalFormatting sqref="D26">
    <cfRule type="cellIs" dxfId="13" priority="918" operator="equal">
      <formula>$S$1</formula>
    </cfRule>
    <cfRule type="cellIs" dxfId="12" priority="919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3" t="s">
        <v>17</v>
      </c>
      <c r="C1" s="33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0.37688948287299762</v>
      </c>
      <c r="F3" s="30">
        <v>0.39573395701664765</v>
      </c>
      <c r="G3" s="30">
        <v>0.82270247479188063</v>
      </c>
      <c r="H3" s="25">
        <f>IF(G3="","",(3*(G3-F3))+E3)</f>
        <v>1.6577950361986966</v>
      </c>
      <c r="I3" s="7"/>
      <c r="J3" s="7">
        <f>(E3+G3)/2</f>
        <v>0.59979597883243918</v>
      </c>
      <c r="K3" s="7">
        <f>H3/2</f>
        <v>0.82889751809934831</v>
      </c>
      <c r="M3" s="26">
        <f>IF(OR(J3="",H3=""),"",H3/J3)</f>
        <v>2.763931561238131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2022-01-28T01:21:06Z</dcterms:modified>
</cp:coreProperties>
</file>