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6FDEEA4-7B4E-4523-AF31-AE993A239BD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22" i="4"/>
  <c r="C133" i="4" s="1"/>
  <c r="C136" i="4" s="1"/>
  <c r="C116" i="4"/>
  <c r="C118" i="4"/>
  <c r="R1194" i="1"/>
  <c r="C122" i="3"/>
  <c r="C133" i="3" s="1"/>
  <c r="D136" i="3" s="1"/>
  <c r="C116" i="3"/>
  <c r="C136" i="5" l="1"/>
  <c r="C138" i="5" s="1"/>
  <c r="D136" i="4"/>
  <c r="C138" i="4" s="1"/>
  <c r="R1193" i="1"/>
  <c r="S1194" i="1"/>
  <c r="T1194" i="1" s="1"/>
  <c r="C136" i="3"/>
  <c r="C138" i="3" s="1"/>
  <c r="S1193" i="1" l="1"/>
  <c r="T1193" i="1" s="1"/>
  <c r="R1192" i="1"/>
  <c r="R1191" i="1" l="1"/>
  <c r="S1192" i="1"/>
  <c r="T1192" i="1" s="1"/>
  <c r="R1190" i="1" l="1"/>
  <c r="S1191" i="1"/>
  <c r="T1191" i="1" s="1"/>
  <c r="S1190" i="1" l="1"/>
  <c r="T1190" i="1" s="1"/>
  <c r="R1189" i="1"/>
  <c r="S1189" i="1" l="1"/>
  <c r="T1189" i="1" s="1"/>
  <c r="R1188" i="1"/>
  <c r="R1187" i="1" l="1"/>
  <c r="S1188" i="1"/>
  <c r="T1188" i="1" s="1"/>
  <c r="R1186" i="1" l="1"/>
  <c r="S1187" i="1"/>
  <c r="T1187" i="1" s="1"/>
  <c r="S1186" i="1" l="1"/>
  <c r="T1186" i="1" s="1"/>
  <c r="R1185" i="1"/>
  <c r="S1185" i="1" l="1"/>
  <c r="T1185" i="1" s="1"/>
  <c r="R1184" i="1"/>
  <c r="R1183" i="1" l="1"/>
  <c r="S1184" i="1"/>
  <c r="T1184" i="1" s="1"/>
  <c r="R1182" i="1" l="1"/>
  <c r="S1183" i="1"/>
  <c r="T1183" i="1" s="1"/>
  <c r="S1182" i="1" l="1"/>
  <c r="T1182" i="1" s="1"/>
  <c r="R1181" i="1"/>
  <c r="R1180" i="1" l="1"/>
  <c r="S1181" i="1"/>
  <c r="T1181" i="1" s="1"/>
  <c r="R1179" i="1" l="1"/>
  <c r="S1180" i="1"/>
  <c r="T1180" i="1" s="1"/>
  <c r="R1178" i="1" l="1"/>
  <c r="S1179" i="1"/>
  <c r="T1179" i="1" s="1"/>
  <c r="S1178" i="1" l="1"/>
  <c r="T1178" i="1" s="1"/>
  <c r="R1177" i="1"/>
  <c r="R1176" i="1" l="1"/>
  <c r="S1177" i="1"/>
  <c r="T1177" i="1" s="1"/>
  <c r="R1175" i="1" l="1"/>
  <c r="S1176" i="1"/>
  <c r="T1176" i="1" s="1"/>
  <c r="S1175" i="1" l="1"/>
  <c r="T1175" i="1" s="1"/>
  <c r="R1174" i="1"/>
  <c r="S1174" i="1" l="1"/>
  <c r="T1174" i="1" s="1"/>
  <c r="R1173" i="1"/>
  <c r="S1173" i="1" l="1"/>
  <c r="T1173" i="1" s="1"/>
  <c r="R1172" i="1"/>
  <c r="R1171" i="1" l="1"/>
  <c r="S1172" i="1"/>
  <c r="T1172" i="1" s="1"/>
  <c r="S1171" i="1" l="1"/>
  <c r="T1171" i="1" s="1"/>
  <c r="R1170" i="1"/>
  <c r="S1170" i="1" l="1"/>
  <c r="T1170" i="1" s="1"/>
  <c r="R1169" i="1"/>
  <c r="R1168" i="1" l="1"/>
  <c r="S1169" i="1"/>
  <c r="T1169" i="1" s="1"/>
  <c r="S1168" i="1" l="1"/>
  <c r="T1168" i="1" s="1"/>
  <c r="R1167" i="1"/>
  <c r="S1167" i="1" l="1"/>
  <c r="T1167" i="1" s="1"/>
  <c r="R1166" i="1"/>
  <c r="R1165" i="1" l="1"/>
  <c r="S1166" i="1"/>
  <c r="T1166" i="1" s="1"/>
  <c r="S1165" i="1" l="1"/>
  <c r="T1165" i="1" s="1"/>
  <c r="R1164" i="1"/>
  <c r="S1164" i="1" l="1"/>
  <c r="T1164" i="1" s="1"/>
  <c r="R1163" i="1"/>
  <c r="R1162" i="1" l="1"/>
  <c r="S1163" i="1"/>
  <c r="T1163" i="1" s="1"/>
  <c r="R1161" i="1" l="1"/>
  <c r="S1162" i="1"/>
  <c r="T1162" i="1" s="1"/>
  <c r="S1161" i="1" l="1"/>
  <c r="T1161" i="1" s="1"/>
  <c r="R1160" i="1"/>
  <c r="S1160" i="1" l="1"/>
  <c r="T1160" i="1" s="1"/>
  <c r="R1159" i="1"/>
  <c r="R1158" i="1" l="1"/>
  <c r="S1159" i="1"/>
  <c r="T1159" i="1" s="1"/>
  <c r="R1157" i="1" l="1"/>
  <c r="S1158" i="1"/>
  <c r="T1158" i="1" s="1"/>
  <c r="S1157" i="1" l="1"/>
  <c r="T1157" i="1" s="1"/>
  <c r="R1156" i="1"/>
  <c r="S1156" i="1" l="1"/>
  <c r="T1156" i="1" s="1"/>
  <c r="R1155" i="1"/>
  <c r="S1155" i="1" l="1"/>
  <c r="T1155" i="1" s="1"/>
  <c r="R1154" i="1"/>
  <c r="R1153" i="1" l="1"/>
  <c r="S1154" i="1"/>
  <c r="T1154" i="1" s="1"/>
  <c r="R1152" i="1" l="1"/>
  <c r="S1153" i="1"/>
  <c r="T1153" i="1" s="1"/>
  <c r="S1152" i="1" l="1"/>
  <c r="T1152" i="1" s="1"/>
  <c r="R1151" i="1"/>
  <c r="S1151" i="1" l="1"/>
  <c r="T1151" i="1" s="1"/>
  <c r="R1150" i="1"/>
  <c r="R1149" i="1" l="1"/>
  <c r="S1150" i="1"/>
  <c r="T1150" i="1" s="1"/>
  <c r="R1148" i="1" l="1"/>
  <c r="S1149" i="1"/>
  <c r="T1149" i="1" s="1"/>
  <c r="S1148" i="1" l="1"/>
  <c r="T1148" i="1" s="1"/>
  <c r="R1147" i="1"/>
  <c r="S1147" i="1" l="1"/>
  <c r="T1147" i="1" s="1"/>
  <c r="R1146" i="1"/>
  <c r="R1145" i="1" l="1"/>
  <c r="S1146" i="1"/>
  <c r="T1146" i="1" s="1"/>
  <c r="R1144" i="1" l="1"/>
  <c r="S1145" i="1"/>
  <c r="T1145" i="1" s="1"/>
  <c r="S1144" i="1" l="1"/>
  <c r="T1144" i="1" s="1"/>
  <c r="R1143" i="1"/>
  <c r="S1143" i="1" l="1"/>
  <c r="T1143" i="1" s="1"/>
  <c r="R1142" i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S1137" i="1" l="1"/>
  <c r="T1137" i="1" s="1"/>
  <c r="R1136" i="1"/>
  <c r="S1136" i="1" l="1"/>
  <c r="T1136" i="1" s="1"/>
  <c r="R1135" i="1"/>
  <c r="S1135" i="1" l="1"/>
  <c r="T1135" i="1" s="1"/>
  <c r="R1134" i="1"/>
  <c r="R1133" i="1" l="1"/>
  <c r="S1134" i="1"/>
  <c r="T1134" i="1" s="1"/>
  <c r="R1132" i="1" l="1"/>
  <c r="S1133" i="1"/>
  <c r="T1133" i="1" s="1"/>
  <c r="S1132" i="1" l="1"/>
  <c r="T1132" i="1" s="1"/>
  <c r="R1131" i="1"/>
  <c r="S1131" i="1" l="1"/>
  <c r="T1131" i="1" s="1"/>
  <c r="R1130" i="1"/>
  <c r="R1129" i="1" l="1"/>
  <c r="S1130" i="1"/>
  <c r="T1130" i="1" s="1"/>
  <c r="R1128" i="1" l="1"/>
  <c r="S1129" i="1"/>
  <c r="T1129" i="1" s="1"/>
  <c r="S1128" i="1" l="1"/>
  <c r="T1128" i="1" s="1"/>
  <c r="R1127" i="1"/>
  <c r="S1127" i="1" l="1"/>
  <c r="T1127" i="1" s="1"/>
  <c r="R1126" i="1"/>
  <c r="R1125" i="1" l="1"/>
  <c r="S1126" i="1"/>
  <c r="T1126" i="1" s="1"/>
  <c r="R1124" i="1" l="1"/>
  <c r="S1125" i="1"/>
  <c r="T1125" i="1" s="1"/>
  <c r="S1124" i="1" l="1"/>
  <c r="T1124" i="1" s="1"/>
  <c r="R1123" i="1"/>
  <c r="S1123" i="1" l="1"/>
  <c r="T1123" i="1" s="1"/>
  <c r="R1122" i="1"/>
  <c r="R1121" i="1" l="1"/>
  <c r="S1122" i="1"/>
  <c r="T1122" i="1" s="1"/>
  <c r="R1120" i="1" l="1"/>
  <c r="S1121" i="1"/>
  <c r="T1121" i="1" s="1"/>
  <c r="S1120" i="1" l="1"/>
  <c r="T1120" i="1" s="1"/>
  <c r="R1119" i="1"/>
  <c r="S1119" i="1" l="1"/>
  <c r="T1119" i="1" s="1"/>
  <c r="R1118" i="1"/>
  <c r="R1117" i="1" l="1"/>
  <c r="S1118" i="1"/>
  <c r="T1118" i="1" s="1"/>
  <c r="R1116" i="1" l="1"/>
  <c r="S1117" i="1"/>
  <c r="T1117" i="1" s="1"/>
  <c r="S1116" i="1" l="1"/>
  <c r="T1116" i="1" s="1"/>
  <c r="R1115" i="1"/>
  <c r="R1114" i="1" l="1"/>
  <c r="S1115" i="1"/>
  <c r="T1115" i="1" s="1"/>
  <c r="R1113" i="1" l="1"/>
  <c r="S1114" i="1"/>
  <c r="T1114" i="1" s="1"/>
  <c r="S1113" i="1" l="1"/>
  <c r="T1113" i="1" s="1"/>
  <c r="R1112" i="1"/>
  <c r="S1112" i="1" l="1"/>
  <c r="T1112" i="1" s="1"/>
  <c r="R1111" i="1"/>
  <c r="R1110" i="1" l="1"/>
  <c r="S1111" i="1"/>
  <c r="T1111" i="1" s="1"/>
  <c r="R1109" i="1" l="1"/>
  <c r="S1110" i="1"/>
  <c r="T1110" i="1" s="1"/>
  <c r="S1109" i="1" l="1"/>
  <c r="T1109" i="1" s="1"/>
  <c r="R1108" i="1"/>
  <c r="S1108" i="1" l="1"/>
  <c r="T1108" i="1" s="1"/>
  <c r="R1107" i="1"/>
  <c r="R1106" i="1" l="1"/>
  <c r="S1107" i="1"/>
  <c r="T1107" i="1" s="1"/>
  <c r="R1105" i="1" l="1"/>
  <c r="S1106" i="1"/>
  <c r="T1106" i="1" s="1"/>
  <c r="S1105" i="1" l="1"/>
  <c r="T1105" i="1" s="1"/>
  <c r="R1104" i="1"/>
  <c r="S1104" i="1" l="1"/>
  <c r="T1104" i="1" s="1"/>
  <c r="R1103" i="1"/>
  <c r="R1102" i="1" l="1"/>
  <c r="S1103" i="1"/>
  <c r="T1103" i="1" s="1"/>
  <c r="R1101" i="1" l="1"/>
  <c r="S1102" i="1"/>
  <c r="T1102" i="1" s="1"/>
  <c r="S1101" i="1" l="1"/>
  <c r="T1101" i="1" s="1"/>
  <c r="R1100" i="1"/>
  <c r="R1099" i="1" l="1"/>
  <c r="S1100" i="1"/>
  <c r="T1100" i="1" s="1"/>
  <c r="R1098" i="1" l="1"/>
  <c r="S1099" i="1"/>
  <c r="T1099" i="1" s="1"/>
  <c r="S1098" i="1" l="1"/>
  <c r="T1098" i="1" s="1"/>
  <c r="R1097" i="1"/>
  <c r="S1097" i="1" l="1"/>
  <c r="T1097" i="1" s="1"/>
  <c r="R1096" i="1"/>
  <c r="R1095" i="1" l="1"/>
  <c r="S1096" i="1"/>
  <c r="T1096" i="1" s="1"/>
  <c r="R1094" i="1" l="1"/>
  <c r="S1095" i="1"/>
  <c r="T1095" i="1" s="1"/>
  <c r="S1094" i="1" l="1"/>
  <c r="T1094" i="1" s="1"/>
  <c r="R1093" i="1"/>
  <c r="R1092" i="1" l="1"/>
  <c r="S1093" i="1"/>
  <c r="T1093" i="1" s="1"/>
  <c r="R1091" i="1" l="1"/>
  <c r="S1092" i="1"/>
  <c r="T1092" i="1" s="1"/>
  <c r="S1091" i="1" l="1"/>
  <c r="T1091" i="1" s="1"/>
  <c r="R1090" i="1"/>
  <c r="R1089" i="1" l="1"/>
  <c r="S1090" i="1"/>
  <c r="T1090" i="1" s="1"/>
  <c r="R1088" i="1" l="1"/>
  <c r="S1089" i="1"/>
  <c r="T1089" i="1" s="1"/>
  <c r="S1088" i="1" l="1"/>
  <c r="T1088" i="1" s="1"/>
  <c r="R1087" i="1"/>
  <c r="S1087" i="1" l="1"/>
  <c r="T1087" i="1" s="1"/>
  <c r="R1086" i="1"/>
  <c r="R1085" i="1" l="1"/>
  <c r="S1086" i="1"/>
  <c r="T1086" i="1" s="1"/>
  <c r="R1084" i="1" l="1"/>
  <c r="S1085" i="1"/>
  <c r="T1085" i="1" s="1"/>
  <c r="S1084" i="1" l="1"/>
  <c r="T1084" i="1" s="1"/>
  <c r="R1083" i="1"/>
  <c r="R1082" i="1" l="1"/>
  <c r="S1083" i="1"/>
  <c r="T1083" i="1" s="1"/>
  <c r="R1081" i="1" l="1"/>
  <c r="S1082" i="1"/>
  <c r="T1082" i="1" s="1"/>
  <c r="S1081" i="1" l="1"/>
  <c r="T1081" i="1" s="1"/>
  <c r="R1080" i="1"/>
  <c r="S1080" i="1" l="1"/>
  <c r="T1080" i="1" s="1"/>
  <c r="R1079" i="1"/>
  <c r="S1079" i="1" l="1"/>
  <c r="T1079" i="1" s="1"/>
  <c r="R1078" i="1"/>
  <c r="R1077" i="1" l="1"/>
  <c r="S1078" i="1"/>
  <c r="T1078" i="1" s="1"/>
  <c r="R1076" i="1" l="1"/>
  <c r="S1077" i="1"/>
  <c r="T1077" i="1" s="1"/>
  <c r="R1075" i="1" l="1"/>
  <c r="S1076" i="1"/>
  <c r="T1076" i="1" s="1"/>
  <c r="S1075" i="1" l="1"/>
  <c r="T1075" i="1" s="1"/>
  <c r="R1074" i="1"/>
  <c r="R1073" i="1" l="1"/>
  <c r="S1074" i="1"/>
  <c r="T1074" i="1" s="1"/>
  <c r="R1072" i="1" l="1"/>
  <c r="S1073" i="1"/>
  <c r="T1073" i="1" s="1"/>
  <c r="R1071" i="1" l="1"/>
  <c r="S1072" i="1"/>
  <c r="T1072" i="1" s="1"/>
  <c r="S1071" i="1" l="1"/>
  <c r="T1071" i="1" s="1"/>
  <c r="R1070" i="1"/>
  <c r="R1069" i="1" l="1"/>
  <c r="S1070" i="1"/>
  <c r="T1070" i="1" s="1"/>
  <c r="S1069" i="1" l="1"/>
  <c r="T1069" i="1" s="1"/>
  <c r="R1068" i="1"/>
  <c r="S1068" i="1" l="1"/>
  <c r="T1068" i="1" s="1"/>
  <c r="R1067" i="1"/>
  <c r="R1066" i="1" l="1"/>
  <c r="S1067" i="1"/>
  <c r="T1067" i="1" s="1"/>
  <c r="R1065" i="1" l="1"/>
  <c r="S1066" i="1"/>
  <c r="T1066" i="1" s="1"/>
  <c r="S1065" i="1" l="1"/>
  <c r="T1065" i="1" s="1"/>
  <c r="R1064" i="1"/>
  <c r="S1064" i="1" l="1"/>
  <c r="T1064" i="1" s="1"/>
  <c r="R1063" i="1"/>
  <c r="R1062" i="1" l="1"/>
  <c r="S1063" i="1"/>
  <c r="T1063" i="1" s="1"/>
  <c r="R1061" i="1" l="1"/>
  <c r="S1062" i="1"/>
  <c r="T1062" i="1" s="1"/>
  <c r="S1061" i="1" l="1"/>
  <c r="T1061" i="1" s="1"/>
  <c r="R1060" i="1"/>
  <c r="S1060" i="1" l="1"/>
  <c r="T1060" i="1" s="1"/>
  <c r="R1059" i="1"/>
  <c r="R1058" i="1" l="1"/>
  <c r="S1059" i="1"/>
  <c r="T1059" i="1" s="1"/>
  <c r="R1057" i="1" l="1"/>
  <c r="S1058" i="1"/>
  <c r="T1058" i="1" s="1"/>
  <c r="S1057" i="1" l="1"/>
  <c r="T1057" i="1" s="1"/>
  <c r="R1056" i="1"/>
  <c r="S1056" i="1" l="1"/>
  <c r="T1056" i="1" s="1"/>
  <c r="R1055" i="1"/>
  <c r="R1054" i="1" l="1"/>
  <c r="S1055" i="1"/>
  <c r="T1055" i="1" s="1"/>
  <c r="R1053" i="1" l="1"/>
  <c r="S1054" i="1"/>
  <c r="T1054" i="1" s="1"/>
  <c r="S1053" i="1" l="1"/>
  <c r="T1053" i="1" s="1"/>
  <c r="R1052" i="1"/>
  <c r="S1052" i="1" l="1"/>
  <c r="T1052" i="1" s="1"/>
  <c r="R1051" i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S1046" i="1" l="1"/>
  <c r="T1046" i="1" s="1"/>
  <c r="R1045" i="1"/>
  <c r="S1045" i="1" l="1"/>
  <c r="T1045" i="1" s="1"/>
  <c r="R1044" i="1"/>
  <c r="R1043" i="1" l="1"/>
  <c r="S1044" i="1"/>
  <c r="T1044" i="1" s="1"/>
  <c r="R1042" i="1" l="1"/>
  <c r="S1043" i="1"/>
  <c r="T1043" i="1" s="1"/>
  <c r="S1042" i="1" l="1"/>
  <c r="T1042" i="1" s="1"/>
  <c r="R1041" i="1"/>
  <c r="S1041" i="1" l="1"/>
  <c r="T1041" i="1" s="1"/>
  <c r="R1040" i="1"/>
  <c r="R1039" i="1" l="1"/>
  <c r="S1040" i="1"/>
  <c r="T1040" i="1" s="1"/>
  <c r="R1038" i="1" l="1"/>
  <c r="S1039" i="1"/>
  <c r="T1039" i="1" s="1"/>
  <c r="S1038" i="1" l="1"/>
  <c r="T1038" i="1" s="1"/>
  <c r="R1037" i="1"/>
  <c r="S1037" i="1" l="1"/>
  <c r="T1037" i="1" s="1"/>
  <c r="R1036" i="1"/>
  <c r="R1035" i="1" l="1"/>
  <c r="S1036" i="1"/>
  <c r="T1036" i="1" s="1"/>
  <c r="R1034" i="1" l="1"/>
  <c r="S1035" i="1"/>
  <c r="T1035" i="1" s="1"/>
  <c r="S1034" i="1" l="1"/>
  <c r="T1034" i="1" s="1"/>
  <c r="R1033" i="1"/>
  <c r="S1033" i="1" l="1"/>
  <c r="T1033" i="1" s="1"/>
  <c r="R1032" i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S1028" i="1" l="1"/>
  <c r="T1028" i="1" s="1"/>
  <c r="R1027" i="1"/>
  <c r="S1027" i="1" l="1"/>
  <c r="T1027" i="1" s="1"/>
  <c r="R1026" i="1"/>
  <c r="R1025" i="1" l="1"/>
  <c r="S1026" i="1"/>
  <c r="T1026" i="1" s="1"/>
  <c r="R1024" i="1" l="1"/>
  <c r="S1025" i="1"/>
  <c r="T1025" i="1" s="1"/>
  <c r="S1024" i="1" l="1"/>
  <c r="T1024" i="1" s="1"/>
  <c r="R1023" i="1"/>
  <c r="S1023" i="1" l="1"/>
  <c r="T1023" i="1" s="1"/>
  <c r="R1022" i="1"/>
  <c r="R1021" i="1" l="1"/>
  <c r="S1022" i="1"/>
  <c r="T1022" i="1" s="1"/>
  <c r="R1020" i="1" l="1"/>
  <c r="S1021" i="1"/>
  <c r="T1021" i="1" s="1"/>
  <c r="S1020" i="1" l="1"/>
  <c r="T1020" i="1" s="1"/>
  <c r="R1019" i="1"/>
  <c r="S1019" i="1" l="1"/>
  <c r="T1019" i="1" s="1"/>
  <c r="R1018" i="1"/>
  <c r="R1017" i="1" l="1"/>
  <c r="S1018" i="1"/>
  <c r="T1018" i="1" s="1"/>
  <c r="R1016" i="1" l="1"/>
  <c r="S1017" i="1"/>
  <c r="T1017" i="1" s="1"/>
  <c r="S1016" i="1" l="1"/>
  <c r="T1016" i="1" s="1"/>
  <c r="R1015" i="1"/>
  <c r="S1015" i="1" l="1"/>
  <c r="T1015" i="1" s="1"/>
  <c r="R1014" i="1"/>
  <c r="R1013" i="1" l="1"/>
  <c r="S1014" i="1"/>
  <c r="T1014" i="1" s="1"/>
  <c r="S1013" i="1" l="1"/>
  <c r="T1013" i="1" s="1"/>
  <c r="R1012" i="1"/>
  <c r="S1012" i="1" l="1"/>
  <c r="T1012" i="1" s="1"/>
  <c r="R1011" i="1"/>
  <c r="R1010" i="1" l="1"/>
  <c r="S1011" i="1"/>
  <c r="T1011" i="1" s="1"/>
  <c r="R1009" i="1" l="1"/>
  <c r="S1010" i="1"/>
  <c r="T1010" i="1" s="1"/>
  <c r="S1009" i="1" l="1"/>
  <c r="T1009" i="1" s="1"/>
  <c r="R1008" i="1"/>
  <c r="S1008" i="1" l="1"/>
  <c r="T1008" i="1" s="1"/>
  <c r="R1007" i="1"/>
  <c r="R1006" i="1" l="1"/>
  <c r="S1007" i="1"/>
  <c r="T1007" i="1" s="1"/>
  <c r="R1005" i="1" l="1"/>
  <c r="S1006" i="1"/>
  <c r="T1006" i="1" s="1"/>
  <c r="S1005" i="1" l="1"/>
  <c r="T1005" i="1" s="1"/>
  <c r="R1004" i="1"/>
  <c r="S1004" i="1" l="1"/>
  <c r="T1004" i="1" s="1"/>
  <c r="R1003" i="1"/>
  <c r="R1002" i="1" l="1"/>
  <c r="S1003" i="1"/>
  <c r="T1003" i="1" s="1"/>
  <c r="R1001" i="1" l="1"/>
  <c r="S1002" i="1"/>
  <c r="T1002" i="1" s="1"/>
  <c r="S1001" i="1" l="1"/>
  <c r="T1001" i="1" s="1"/>
  <c r="R1000" i="1"/>
  <c r="S1000" i="1" l="1"/>
  <c r="T1000" i="1" s="1"/>
  <c r="R999" i="1"/>
  <c r="R998" i="1" l="1"/>
  <c r="S999" i="1"/>
  <c r="T999" i="1" s="1"/>
  <c r="R997" i="1" l="1"/>
  <c r="S998" i="1"/>
  <c r="T998" i="1" s="1"/>
  <c r="S997" i="1" l="1"/>
  <c r="T997" i="1" s="1"/>
  <c r="R996" i="1"/>
  <c r="R995" i="1" l="1"/>
  <c r="S996" i="1"/>
  <c r="T996" i="1" s="1"/>
  <c r="R994" i="1" l="1"/>
  <c r="S995" i="1"/>
  <c r="T995" i="1" s="1"/>
  <c r="R993" i="1" l="1"/>
  <c r="S994" i="1"/>
  <c r="T994" i="1" s="1"/>
  <c r="S993" i="1" l="1"/>
  <c r="T993" i="1" s="1"/>
  <c r="R992" i="1"/>
  <c r="R991" i="1" l="1"/>
  <c r="S992" i="1"/>
  <c r="T992" i="1" s="1"/>
  <c r="R990" i="1" l="1"/>
  <c r="S991" i="1"/>
  <c r="T991" i="1" s="1"/>
  <c r="S990" i="1" l="1"/>
  <c r="T990" i="1" s="1"/>
  <c r="R989" i="1"/>
  <c r="R988" i="1" l="1"/>
  <c r="S989" i="1"/>
  <c r="T989" i="1" s="1"/>
  <c r="R987" i="1" l="1"/>
  <c r="S988" i="1"/>
  <c r="T988" i="1" s="1"/>
  <c r="S987" i="1" l="1"/>
  <c r="T987" i="1" s="1"/>
  <c r="R986" i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S982" i="1" l="1"/>
  <c r="T982" i="1" s="1"/>
  <c r="R981" i="1"/>
  <c r="R980" i="1" l="1"/>
  <c r="S981" i="1"/>
  <c r="T981" i="1" s="1"/>
  <c r="S980" i="1" l="1"/>
  <c r="T980" i="1" s="1"/>
  <c r="R979" i="1"/>
  <c r="S979" i="1" l="1"/>
  <c r="T979" i="1" s="1"/>
  <c r="R978" i="1"/>
  <c r="R977" i="1" l="1"/>
  <c r="S978" i="1"/>
  <c r="T978" i="1" s="1"/>
  <c r="R976" i="1" l="1"/>
  <c r="S977" i="1"/>
  <c r="T977" i="1" s="1"/>
  <c r="S976" i="1" l="1"/>
  <c r="T976" i="1" s="1"/>
  <c r="R975" i="1"/>
  <c r="S975" i="1" l="1"/>
  <c r="T975" i="1" s="1"/>
  <c r="R974" i="1"/>
  <c r="R973" i="1" l="1"/>
  <c r="S974" i="1"/>
  <c r="T974" i="1" s="1"/>
  <c r="R972" i="1" l="1"/>
  <c r="S973" i="1"/>
  <c r="T973" i="1" s="1"/>
  <c r="S972" i="1" l="1"/>
  <c r="T972" i="1" s="1"/>
  <c r="R971" i="1"/>
  <c r="S971" i="1" l="1"/>
  <c r="T971" i="1" s="1"/>
  <c r="R970" i="1"/>
  <c r="R969" i="1" l="1"/>
  <c r="S970" i="1"/>
  <c r="T970" i="1" s="1"/>
  <c r="R968" i="1" l="1"/>
  <c r="S969" i="1"/>
  <c r="T969" i="1" s="1"/>
  <c r="S968" i="1" l="1"/>
  <c r="T968" i="1" s="1"/>
  <c r="R967" i="1"/>
  <c r="S967" i="1" l="1"/>
  <c r="T967" i="1" s="1"/>
  <c r="R966" i="1"/>
  <c r="R965" i="1" l="1"/>
  <c r="S966" i="1"/>
  <c r="T966" i="1" s="1"/>
  <c r="R964" i="1" l="1"/>
  <c r="S965" i="1"/>
  <c r="T965" i="1" s="1"/>
  <c r="R963" i="1" l="1"/>
  <c r="S964" i="1"/>
  <c r="T964" i="1" s="1"/>
  <c r="S963" i="1" l="1"/>
  <c r="T963" i="1" s="1"/>
  <c r="R962" i="1"/>
  <c r="R961" i="1" l="1"/>
  <c r="S962" i="1"/>
  <c r="T962" i="1" s="1"/>
  <c r="R960" i="1" l="1"/>
  <c r="S961" i="1"/>
  <c r="T961" i="1" s="1"/>
  <c r="S960" i="1" l="1"/>
  <c r="T960" i="1" s="1"/>
  <c r="R959" i="1"/>
  <c r="R958" i="1" l="1"/>
  <c r="S959" i="1"/>
  <c r="T959" i="1" s="1"/>
  <c r="R957" i="1" l="1"/>
  <c r="S958" i="1"/>
  <c r="T958" i="1" s="1"/>
  <c r="S957" i="1" l="1"/>
  <c r="T957" i="1" s="1"/>
  <c r="R956" i="1"/>
  <c r="S956" i="1" l="1"/>
  <c r="T956" i="1" s="1"/>
  <c r="R955" i="1"/>
  <c r="R954" i="1" l="1"/>
  <c r="S955" i="1"/>
  <c r="T955" i="1" s="1"/>
  <c r="R953" i="1" l="1"/>
  <c r="S954" i="1"/>
  <c r="T954" i="1" s="1"/>
  <c r="S953" i="1" l="1"/>
  <c r="T953" i="1" s="1"/>
  <c r="R952" i="1"/>
  <c r="S952" i="1" l="1"/>
  <c r="T952" i="1" s="1"/>
  <c r="R951" i="1"/>
  <c r="R950" i="1" l="1"/>
  <c r="S951" i="1"/>
  <c r="T951" i="1" s="1"/>
  <c r="R949" i="1" l="1"/>
  <c r="S950" i="1"/>
  <c r="T950" i="1" s="1"/>
  <c r="S949" i="1" l="1"/>
  <c r="T949" i="1" s="1"/>
  <c r="R948" i="1"/>
  <c r="S948" i="1" l="1"/>
  <c r="T948" i="1" s="1"/>
  <c r="R947" i="1"/>
  <c r="R946" i="1" l="1"/>
  <c r="S947" i="1"/>
  <c r="T947" i="1" s="1"/>
  <c r="R945" i="1" l="1"/>
  <c r="S946" i="1"/>
  <c r="T946" i="1" s="1"/>
  <c r="S945" i="1" l="1"/>
  <c r="T945" i="1" s="1"/>
  <c r="R944" i="1"/>
  <c r="R943" i="1" l="1"/>
  <c r="S944" i="1"/>
  <c r="T944" i="1" s="1"/>
  <c r="R942" i="1" l="1"/>
  <c r="S943" i="1"/>
  <c r="T943" i="1" s="1"/>
  <c r="S942" i="1" l="1"/>
  <c r="T942" i="1" s="1"/>
  <c r="R941" i="1"/>
  <c r="R940" i="1" l="1"/>
  <c r="S941" i="1"/>
  <c r="T941" i="1" s="1"/>
  <c r="R939" i="1" l="1"/>
  <c r="S940" i="1"/>
  <c r="T940" i="1" s="1"/>
  <c r="S939" i="1" l="1"/>
  <c r="T939" i="1" s="1"/>
  <c r="R938" i="1"/>
  <c r="S938" i="1" l="1"/>
  <c r="T938" i="1" s="1"/>
  <c r="R937" i="1"/>
  <c r="R936" i="1" l="1"/>
  <c r="S937" i="1"/>
  <c r="T937" i="1" s="1"/>
  <c r="R935" i="1" l="1"/>
  <c r="S936" i="1"/>
  <c r="T936" i="1" s="1"/>
  <c r="S935" i="1" l="1"/>
  <c r="T935" i="1" s="1"/>
  <c r="R934" i="1"/>
  <c r="S934" i="1" l="1"/>
  <c r="T934" i="1" s="1"/>
  <c r="R933" i="1"/>
  <c r="S933" i="1" l="1"/>
  <c r="T933" i="1" s="1"/>
  <c r="R932" i="1"/>
  <c r="R931" i="1" l="1"/>
  <c r="S932" i="1"/>
  <c r="T932" i="1" s="1"/>
  <c r="R930" i="1" l="1"/>
  <c r="S931" i="1"/>
  <c r="T931" i="1" s="1"/>
  <c r="S930" i="1" l="1"/>
  <c r="T930" i="1" s="1"/>
  <c r="R929" i="1"/>
  <c r="S929" i="1" l="1"/>
  <c r="T929" i="1" s="1"/>
  <c r="R928" i="1"/>
  <c r="S928" i="1" l="1"/>
  <c r="T928" i="1" s="1"/>
  <c r="R927" i="1"/>
  <c r="R926" i="1" l="1"/>
  <c r="S927" i="1"/>
  <c r="T927" i="1" s="1"/>
  <c r="R925" i="1" l="1"/>
  <c r="S926" i="1"/>
  <c r="T926" i="1" s="1"/>
  <c r="S925" i="1" l="1"/>
  <c r="T925" i="1" s="1"/>
  <c r="R924" i="1"/>
  <c r="S924" i="1" l="1"/>
  <c r="T924" i="1" s="1"/>
  <c r="R923" i="1"/>
  <c r="R922" i="1" l="1"/>
  <c r="S923" i="1"/>
  <c r="T923" i="1" s="1"/>
  <c r="R921" i="1" l="1"/>
  <c r="S922" i="1"/>
  <c r="T922" i="1" s="1"/>
  <c r="S921" i="1" l="1"/>
  <c r="T921" i="1" s="1"/>
  <c r="R920" i="1"/>
  <c r="S920" i="1" l="1"/>
  <c r="T920" i="1" s="1"/>
  <c r="R919" i="1"/>
  <c r="R918" i="1" l="1"/>
  <c r="S919" i="1"/>
  <c r="T919" i="1" s="1"/>
  <c r="R917" i="1" l="1"/>
  <c r="S918" i="1"/>
  <c r="T918" i="1" s="1"/>
  <c r="S917" i="1" l="1"/>
  <c r="T917" i="1" s="1"/>
  <c r="R916" i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S912" i="1" l="1"/>
  <c r="T912" i="1" s="1"/>
  <c r="R911" i="1"/>
  <c r="S911" i="1" l="1"/>
  <c r="T911" i="1" s="1"/>
  <c r="R910" i="1"/>
  <c r="R909" i="1" l="1"/>
  <c r="S910" i="1"/>
  <c r="T910" i="1" s="1"/>
  <c r="R908" i="1" l="1"/>
  <c r="S909" i="1"/>
  <c r="T909" i="1" s="1"/>
  <c r="S908" i="1" l="1"/>
  <c r="T908" i="1" s="1"/>
  <c r="R907" i="1"/>
  <c r="S907" i="1" l="1"/>
  <c r="T907" i="1" s="1"/>
  <c r="R906" i="1"/>
  <c r="R905" i="1" l="1"/>
  <c r="S906" i="1"/>
  <c r="T906" i="1" s="1"/>
  <c r="R904" i="1" l="1"/>
  <c r="S905" i="1"/>
  <c r="T905" i="1" s="1"/>
  <c r="S904" i="1" l="1"/>
  <c r="T904" i="1" s="1"/>
  <c r="R903" i="1"/>
  <c r="S903" i="1" l="1"/>
  <c r="T903" i="1" s="1"/>
  <c r="R902" i="1"/>
  <c r="R901" i="1" l="1"/>
  <c r="S902" i="1"/>
  <c r="T902" i="1" s="1"/>
  <c r="R900" i="1" l="1"/>
  <c r="S901" i="1"/>
  <c r="T901" i="1" s="1"/>
  <c r="S900" i="1" l="1"/>
  <c r="T900" i="1" s="1"/>
  <c r="R899" i="1"/>
  <c r="R898" i="1" l="1"/>
  <c r="S899" i="1"/>
  <c r="T899" i="1" s="1"/>
  <c r="S898" i="1" l="1"/>
  <c r="T898" i="1" s="1"/>
  <c r="R897" i="1"/>
  <c r="R896" i="1" l="1"/>
  <c r="S897" i="1"/>
  <c r="T897" i="1" s="1"/>
  <c r="R895" i="1" l="1"/>
  <c r="S896" i="1"/>
  <c r="T896" i="1" s="1"/>
  <c r="S895" i="1" l="1"/>
  <c r="T895" i="1" s="1"/>
  <c r="R894" i="1"/>
  <c r="S894" i="1" l="1"/>
  <c r="T894" i="1" s="1"/>
  <c r="R893" i="1"/>
  <c r="R892" i="1" l="1"/>
  <c r="S893" i="1"/>
  <c r="T893" i="1" s="1"/>
  <c r="R891" i="1" l="1"/>
  <c r="S892" i="1"/>
  <c r="T892" i="1" s="1"/>
  <c r="S891" i="1" l="1"/>
  <c r="T891" i="1" s="1"/>
  <c r="R890" i="1"/>
  <c r="S890" i="1" l="1"/>
  <c r="T890" i="1" s="1"/>
  <c r="R889" i="1"/>
  <c r="R888" i="1" l="1"/>
  <c r="S889" i="1"/>
  <c r="T889" i="1" s="1"/>
  <c r="R887" i="1" l="1"/>
  <c r="S888" i="1"/>
  <c r="T888" i="1" s="1"/>
  <c r="S887" i="1" l="1"/>
  <c r="T887" i="1" s="1"/>
  <c r="R886" i="1"/>
  <c r="S886" i="1" l="1"/>
  <c r="T886" i="1" s="1"/>
  <c r="R885" i="1"/>
  <c r="R884" i="1" l="1"/>
  <c r="S885" i="1"/>
  <c r="T885" i="1" s="1"/>
  <c r="R883" i="1" l="1"/>
  <c r="S884" i="1"/>
  <c r="T884" i="1" s="1"/>
  <c r="S883" i="1" l="1"/>
  <c r="T883" i="1" s="1"/>
  <c r="R882" i="1"/>
  <c r="S882" i="1" l="1"/>
  <c r="T882" i="1" s="1"/>
  <c r="R881" i="1"/>
  <c r="R880" i="1" l="1"/>
  <c r="S881" i="1"/>
  <c r="T881" i="1" s="1"/>
  <c r="R879" i="1" l="1"/>
  <c r="S880" i="1"/>
  <c r="T880" i="1" s="1"/>
  <c r="S879" i="1" l="1"/>
  <c r="T879" i="1" s="1"/>
  <c r="R878" i="1"/>
  <c r="R877" i="1" l="1"/>
  <c r="S878" i="1"/>
  <c r="T878" i="1" s="1"/>
  <c r="R876" i="1" l="1"/>
  <c r="S877" i="1"/>
  <c r="T877" i="1" s="1"/>
  <c r="S876" i="1" l="1"/>
  <c r="T876" i="1" s="1"/>
  <c r="R875" i="1"/>
  <c r="R874" i="1" l="1"/>
  <c r="S875" i="1"/>
  <c r="T875" i="1" s="1"/>
  <c r="R873" i="1" l="1"/>
  <c r="S874" i="1"/>
  <c r="T874" i="1" s="1"/>
  <c r="S873" i="1" l="1"/>
  <c r="T873" i="1" s="1"/>
  <c r="R872" i="1"/>
  <c r="S872" i="1" l="1"/>
  <c r="T872" i="1" s="1"/>
  <c r="R871" i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S867" i="1" l="1"/>
  <c r="T867" i="1" s="1"/>
  <c r="R866" i="1"/>
  <c r="S866" i="1" l="1"/>
  <c r="T866" i="1" s="1"/>
  <c r="R865" i="1"/>
  <c r="R864" i="1" l="1"/>
  <c r="S865" i="1"/>
  <c r="T865" i="1" s="1"/>
  <c r="R863" i="1" l="1"/>
  <c r="S864" i="1"/>
  <c r="T864" i="1" s="1"/>
  <c r="S863" i="1" l="1"/>
  <c r="T863" i="1" s="1"/>
  <c r="R862" i="1"/>
  <c r="S862" i="1" l="1"/>
  <c r="T862" i="1" s="1"/>
  <c r="R861" i="1"/>
  <c r="S861" i="1" l="1"/>
  <c r="T861" i="1" s="1"/>
  <c r="R860" i="1"/>
  <c r="R859" i="1" l="1"/>
  <c r="S860" i="1"/>
  <c r="T860" i="1" s="1"/>
  <c r="R858" i="1" l="1"/>
  <c r="S859" i="1"/>
  <c r="T859" i="1" s="1"/>
  <c r="R857" i="1" l="1"/>
  <c r="S858" i="1"/>
  <c r="T858" i="1" s="1"/>
  <c r="S857" i="1" l="1"/>
  <c r="T857" i="1" s="1"/>
  <c r="R856" i="1"/>
  <c r="S856" i="1" l="1"/>
  <c r="T856" i="1" s="1"/>
  <c r="R855" i="1"/>
  <c r="R854" i="1" l="1"/>
  <c r="S855" i="1"/>
  <c r="T855" i="1" s="1"/>
  <c r="R853" i="1" l="1"/>
  <c r="S854" i="1"/>
  <c r="T854" i="1" s="1"/>
  <c r="S853" i="1" l="1"/>
  <c r="T853" i="1" s="1"/>
  <c r="R852" i="1"/>
  <c r="R851" i="1" l="1"/>
  <c r="S852" i="1"/>
  <c r="T852" i="1" s="1"/>
  <c r="R850" i="1" l="1"/>
  <c r="S851" i="1"/>
  <c r="T851" i="1" s="1"/>
  <c r="S850" i="1" l="1"/>
  <c r="T850" i="1" s="1"/>
  <c r="R849" i="1"/>
  <c r="S849" i="1" l="1"/>
  <c r="T849" i="1" s="1"/>
  <c r="R848" i="1"/>
  <c r="R847" i="1" l="1"/>
  <c r="S848" i="1"/>
  <c r="T848" i="1" s="1"/>
  <c r="R846" i="1" l="1"/>
  <c r="S847" i="1"/>
  <c r="T847" i="1" s="1"/>
  <c r="S846" i="1" l="1"/>
  <c r="T846" i="1" s="1"/>
  <c r="R845" i="1"/>
  <c r="S845" i="1" l="1"/>
  <c r="T845" i="1" s="1"/>
  <c r="R844" i="1"/>
  <c r="R843" i="1" l="1"/>
  <c r="S844" i="1"/>
  <c r="T844" i="1" s="1"/>
  <c r="S843" i="1" l="1"/>
  <c r="T843" i="1" s="1"/>
  <c r="R842" i="1"/>
  <c r="S842" i="1" l="1"/>
  <c r="T842" i="1" s="1"/>
  <c r="R841" i="1"/>
  <c r="R840" i="1" l="1"/>
  <c r="S841" i="1"/>
  <c r="T841" i="1" s="1"/>
  <c r="R839" i="1" l="1"/>
  <c r="S840" i="1"/>
  <c r="T840" i="1" s="1"/>
  <c r="S839" i="1" l="1"/>
  <c r="T839" i="1" s="1"/>
  <c r="R838" i="1"/>
  <c r="S838" i="1" l="1"/>
  <c r="T838" i="1" s="1"/>
  <c r="R837" i="1"/>
  <c r="R836" i="1" l="1"/>
  <c r="S837" i="1"/>
  <c r="T837" i="1" s="1"/>
  <c r="R835" i="1" l="1"/>
  <c r="S836" i="1"/>
  <c r="T836" i="1" s="1"/>
  <c r="S835" i="1" l="1"/>
  <c r="T835" i="1" s="1"/>
  <c r="R834" i="1"/>
  <c r="S834" i="1" l="1"/>
  <c r="T834" i="1" s="1"/>
  <c r="R833" i="1"/>
  <c r="R832" i="1" l="1"/>
  <c r="S833" i="1"/>
  <c r="T833" i="1" s="1"/>
  <c r="R831" i="1" l="1"/>
  <c r="S832" i="1"/>
  <c r="T832" i="1" s="1"/>
  <c r="S831" i="1" l="1"/>
  <c r="T831" i="1" s="1"/>
  <c r="R830" i="1"/>
  <c r="S830" i="1" l="1"/>
  <c r="T830" i="1" s="1"/>
  <c r="R829" i="1"/>
  <c r="R828" i="1" l="1"/>
  <c r="S829" i="1"/>
  <c r="T829" i="1" s="1"/>
  <c r="R827" i="1" l="1"/>
  <c r="S828" i="1"/>
  <c r="T828" i="1" s="1"/>
  <c r="S827" i="1" l="1"/>
  <c r="T827" i="1" s="1"/>
  <c r="R826" i="1"/>
  <c r="R825" i="1" l="1"/>
  <c r="S826" i="1"/>
  <c r="T826" i="1" s="1"/>
  <c r="R824" i="1" l="1"/>
  <c r="S825" i="1"/>
  <c r="T825" i="1" s="1"/>
  <c r="R823" i="1" l="1"/>
  <c r="S824" i="1"/>
  <c r="T824" i="1" s="1"/>
  <c r="S823" i="1" l="1"/>
  <c r="T823" i="1" s="1"/>
  <c r="R822" i="1"/>
  <c r="S822" i="1" l="1"/>
  <c r="T822" i="1" s="1"/>
  <c r="R821" i="1"/>
  <c r="R820" i="1" l="1"/>
  <c r="S821" i="1"/>
  <c r="T821" i="1" s="1"/>
  <c r="S820" i="1" l="1"/>
  <c r="T820" i="1" s="1"/>
  <c r="R819" i="1"/>
  <c r="S819" i="1" l="1"/>
  <c r="T819" i="1" s="1"/>
  <c r="R818" i="1"/>
  <c r="R817" i="1" l="1"/>
  <c r="S818" i="1"/>
  <c r="T818" i="1" s="1"/>
  <c r="R816" i="1" l="1"/>
  <c r="S817" i="1"/>
  <c r="T817" i="1" s="1"/>
  <c r="S816" i="1" l="1"/>
  <c r="T816" i="1" s="1"/>
  <c r="R815" i="1"/>
  <c r="S815" i="1" l="1"/>
  <c r="T815" i="1" s="1"/>
  <c r="R814" i="1"/>
  <c r="R813" i="1" l="1"/>
  <c r="S814" i="1"/>
  <c r="T814" i="1" s="1"/>
  <c r="R812" i="1" l="1"/>
  <c r="S813" i="1"/>
  <c r="T813" i="1" s="1"/>
  <c r="S812" i="1" l="1"/>
  <c r="T812" i="1" s="1"/>
  <c r="R811" i="1"/>
  <c r="S811" i="1" l="1"/>
  <c r="T811" i="1" s="1"/>
  <c r="R810" i="1"/>
  <c r="R809" i="1" l="1"/>
  <c r="S810" i="1"/>
  <c r="T810" i="1" s="1"/>
  <c r="R808" i="1" l="1"/>
  <c r="S809" i="1"/>
  <c r="T809" i="1" s="1"/>
  <c r="S808" i="1" l="1"/>
  <c r="T808" i="1" s="1"/>
  <c r="R807" i="1"/>
  <c r="S807" i="1" l="1"/>
  <c r="T807" i="1" s="1"/>
  <c r="R806" i="1"/>
  <c r="R805" i="1" l="1"/>
  <c r="S806" i="1"/>
  <c r="T806" i="1" s="1"/>
  <c r="R804" i="1" l="1"/>
  <c r="S805" i="1"/>
  <c r="T805" i="1" s="1"/>
  <c r="S804" i="1" l="1"/>
  <c r="T804" i="1" s="1"/>
  <c r="R803" i="1"/>
  <c r="R802" i="1" l="1"/>
  <c r="S803" i="1"/>
  <c r="T803" i="1" s="1"/>
  <c r="R801" i="1" l="1"/>
  <c r="S802" i="1"/>
  <c r="T802" i="1" s="1"/>
  <c r="S801" i="1" l="1"/>
  <c r="T801" i="1" s="1"/>
  <c r="R800" i="1"/>
  <c r="S800" i="1" l="1"/>
  <c r="T800" i="1" s="1"/>
  <c r="R799" i="1"/>
  <c r="R798" i="1" l="1"/>
  <c r="S799" i="1"/>
  <c r="T799" i="1" s="1"/>
  <c r="R797" i="1" l="1"/>
  <c r="S798" i="1"/>
  <c r="T798" i="1" s="1"/>
  <c r="S797" i="1" l="1"/>
  <c r="T797" i="1" s="1"/>
  <c r="R796" i="1"/>
  <c r="R795" i="1" l="1"/>
  <c r="S796" i="1"/>
  <c r="T796" i="1" s="1"/>
  <c r="R794" i="1" l="1"/>
  <c r="S795" i="1"/>
  <c r="T795" i="1" s="1"/>
  <c r="S794" i="1" l="1"/>
  <c r="T794" i="1" s="1"/>
  <c r="R793" i="1"/>
  <c r="S793" i="1" l="1"/>
  <c r="T793" i="1" s="1"/>
  <c r="R792" i="1"/>
  <c r="R791" i="1" l="1"/>
  <c r="S792" i="1"/>
  <c r="T792" i="1" s="1"/>
  <c r="R790" i="1" l="1"/>
  <c r="S791" i="1"/>
  <c r="T791" i="1" s="1"/>
  <c r="S790" i="1" l="1"/>
  <c r="T790" i="1" s="1"/>
  <c r="R789" i="1"/>
  <c r="S789" i="1" l="1"/>
  <c r="T789" i="1" s="1"/>
  <c r="R788" i="1"/>
  <c r="S788" i="1" l="1"/>
  <c r="T788" i="1" s="1"/>
  <c r="R787" i="1"/>
  <c r="R786" i="1" l="1"/>
  <c r="S787" i="1"/>
  <c r="T787" i="1" s="1"/>
  <c r="R785" i="1" l="1"/>
  <c r="S786" i="1"/>
  <c r="T786" i="1" s="1"/>
  <c r="S785" i="1" l="1"/>
  <c r="T785" i="1" s="1"/>
  <c r="R784" i="1"/>
  <c r="R783" i="1" l="1"/>
  <c r="S784" i="1"/>
  <c r="T784" i="1" s="1"/>
  <c r="R782" i="1" l="1"/>
  <c r="S783" i="1"/>
  <c r="T783" i="1" s="1"/>
  <c r="S782" i="1" l="1"/>
  <c r="T782" i="1" s="1"/>
  <c r="R781" i="1"/>
  <c r="S781" i="1" l="1"/>
  <c r="T781" i="1" s="1"/>
  <c r="R780" i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S776" i="1" l="1"/>
  <c r="T776" i="1" s="1"/>
  <c r="R775" i="1"/>
  <c r="S775" i="1" l="1"/>
  <c r="T775" i="1" s="1"/>
  <c r="R774" i="1"/>
  <c r="R773" i="1" l="1"/>
  <c r="S774" i="1"/>
  <c r="T774" i="1" s="1"/>
  <c r="S773" i="1" l="1"/>
  <c r="T773" i="1" s="1"/>
  <c r="R772" i="1"/>
  <c r="S772" i="1" l="1"/>
  <c r="T772" i="1" s="1"/>
  <c r="R771" i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S766" i="1" l="1"/>
  <c r="T766" i="1" s="1"/>
  <c r="R765" i="1"/>
  <c r="S765" i="1" l="1"/>
  <c r="T765" i="1" s="1"/>
  <c r="R764" i="1"/>
  <c r="R763" i="1" l="1"/>
  <c r="S764" i="1"/>
  <c r="T764" i="1" s="1"/>
  <c r="R762" i="1" l="1"/>
  <c r="S763" i="1"/>
  <c r="T763" i="1" s="1"/>
  <c r="S762" i="1" l="1"/>
  <c r="T762" i="1" s="1"/>
  <c r="R761" i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S642" i="1" l="1"/>
  <c r="T642" i="1" s="1"/>
  <c r="R641" i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<sst xmlns="http://schemas.openxmlformats.org/spreadsheetml/2006/main" count="10391" uniqueCount="34">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</sst>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0.66800000000000004</c:v>
                </c:pt>
                <c:pt idx="1">
                  <c:v>0.68700000000000006</c:v>
                </c:pt>
                <c:pt idx="2">
                  <c:v>0.68200000000000005</c:v>
                </c:pt>
                <c:pt idx="3">
                  <c:v>0.66500000000000004</c:v>
                </c:pt>
                <c:pt idx="4">
                  <c:v>0.70399999999999996</c:v>
                </c:pt>
                <c:pt idx="5">
                  <c:v>0.68300000000000005</c:v>
                </c:pt>
                <c:pt idx="6">
                  <c:v>0.754</c:v>
                </c:pt>
                <c:pt idx="7">
                  <c:v>0.88100000000000001</c:v>
                </c:pt>
                <c:pt idx="8">
                  <c:v>0.92100000000000004</c:v>
                </c:pt>
                <c:pt idx="9">
                  <c:v>0.96099999999999997</c:v>
                </c:pt>
                <c:pt idx="10">
                  <c:v>0.98899999999999999</c:v>
                </c:pt>
                <c:pt idx="11">
                  <c:v>1.0620000000000001</c:v>
                </c:pt>
                <c:pt idx="12">
                  <c:v>1.0529999999999999</c:v>
                </c:pt>
                <c:pt idx="13">
                  <c:v>1.038</c:v>
                </c:pt>
                <c:pt idx="14">
                  <c:v>1</c:v>
                </c:pt>
                <c:pt idx="15">
                  <c:v>1.0409999999999999</c:v>
                </c:pt>
                <c:pt idx="16">
                  <c:v>0.97899999999999998</c:v>
                </c:pt>
                <c:pt idx="17">
                  <c:v>0.95</c:v>
                </c:pt>
                <c:pt idx="18">
                  <c:v>1.0149999999999999</c:v>
                </c:pt>
                <c:pt idx="19">
                  <c:v>0.98599999999999999</c:v>
                </c:pt>
                <c:pt idx="20">
                  <c:v>1.0489999999999999</c:v>
                </c:pt>
                <c:pt idx="21">
                  <c:v>1.1180000000000001</c:v>
                </c:pt>
                <c:pt idx="22">
                  <c:v>1.0980000000000001</c:v>
                </c:pt>
                <c:pt idx="23">
                  <c:v>1.206</c:v>
                </c:pt>
                <c:pt idx="24">
                  <c:v>1.222</c:v>
                </c:pt>
                <c:pt idx="25">
                  <c:v>1.2609999999999999</c:v>
                </c:pt>
                <c:pt idx="26">
                  <c:v>1.2529999999999999</c:v>
                </c:pt>
                <c:pt idx="27">
                  <c:v>1.2230000000000001</c:v>
                </c:pt>
                <c:pt idx="28">
                  <c:v>1.2669999999999999</c:v>
                </c:pt>
                <c:pt idx="29">
                  <c:v>1.4370000000000001</c:v>
                </c:pt>
                <c:pt idx="30">
                  <c:v>1.786</c:v>
                </c:pt>
                <c:pt idx="31">
                  <c:v>1.556</c:v>
                </c:pt>
                <c:pt idx="32">
                  <c:v>1.5429999999999999</c:v>
                </c:pt>
                <c:pt idx="33">
                  <c:v>1.544</c:v>
                </c:pt>
                <c:pt idx="34">
                  <c:v>1.4790000000000001</c:v>
                </c:pt>
                <c:pt idx="35">
                  <c:v>1.5089999999999999</c:v>
                </c:pt>
                <c:pt idx="36">
                  <c:v>1.486</c:v>
                </c:pt>
                <c:pt idx="37">
                  <c:v>1.282</c:v>
                </c:pt>
                <c:pt idx="38">
                  <c:v>1.2270000000000001</c:v>
                </c:pt>
                <c:pt idx="39">
                  <c:v>1.2030000000000001</c:v>
                </c:pt>
                <c:pt idx="40">
                  <c:v>1.224</c:v>
                </c:pt>
                <c:pt idx="41">
                  <c:v>1.2050000000000001</c:v>
                </c:pt>
                <c:pt idx="42">
                  <c:v>1.2010000000000001</c:v>
                </c:pt>
                <c:pt idx="43">
                  <c:v>1.181</c:v>
                </c:pt>
                <c:pt idx="44">
                  <c:v>1.153</c:v>
                </c:pt>
                <c:pt idx="45">
                  <c:v>1.095</c:v>
                </c:pt>
                <c:pt idx="46">
                  <c:v>1.24</c:v>
                </c:pt>
                <c:pt idx="47">
                  <c:v>1.155</c:v>
                </c:pt>
                <c:pt idx="48">
                  <c:v>1.141</c:v>
                </c:pt>
                <c:pt idx="49">
                  <c:v>1.1930000000000001</c:v>
                </c:pt>
                <c:pt idx="50">
                  <c:v>1.345</c:v>
                </c:pt>
                <c:pt idx="51">
                  <c:v>1.29</c:v>
                </c:pt>
                <c:pt idx="52">
                  <c:v>1.256</c:v>
                </c:pt>
                <c:pt idx="53">
                  <c:v>1.2270000000000001</c:v>
                </c:pt>
                <c:pt idx="54">
                  <c:v>1.337</c:v>
                </c:pt>
                <c:pt idx="55">
                  <c:v>1.59</c:v>
                </c:pt>
                <c:pt idx="56">
                  <c:v>1.7</c:v>
                </c:pt>
                <c:pt idx="57">
                  <c:v>1.7629999999999999</c:v>
                </c:pt>
                <c:pt idx="58">
                  <c:v>1.7490000000000001</c:v>
                </c:pt>
                <c:pt idx="59">
                  <c:v>1.778</c:v>
                </c:pt>
                <c:pt idx="60">
                  <c:v>1.754</c:v>
                </c:pt>
                <c:pt idx="61">
                  <c:v>1.734</c:v>
                </c:pt>
                <c:pt idx="62">
                  <c:v>1.7130000000000001</c:v>
                </c:pt>
                <c:pt idx="63">
                  <c:v>1.9990000000000001</c:v>
                </c:pt>
                <c:pt idx="64">
                  <c:v>2.0129999999999999</c:v>
                </c:pt>
                <c:pt idx="65">
                  <c:v>2.0990000000000002</c:v>
                </c:pt>
                <c:pt idx="66">
                  <c:v>2.177</c:v>
                </c:pt>
                <c:pt idx="67">
                  <c:v>2.5299999999999998</c:v>
                </c:pt>
                <c:pt idx="68">
                  <c:v>2.1869999999999998</c:v>
                </c:pt>
                <c:pt idx="69">
                  <c:v>2.1920000000000002</c:v>
                </c:pt>
                <c:pt idx="70">
                  <c:v>2.0750000000000002</c:v>
                </c:pt>
                <c:pt idx="71">
                  <c:v>2.2839999999999998</c:v>
                </c:pt>
                <c:pt idx="72">
                  <c:v>2.3180000000000001</c:v>
                </c:pt>
                <c:pt idx="73">
                  <c:v>2.4830000000000001</c:v>
                </c:pt>
                <c:pt idx="74">
                  <c:v>2.4089999999999998</c:v>
                </c:pt>
                <c:pt idx="75">
                  <c:v>2.3079999999999998</c:v>
                </c:pt>
                <c:pt idx="76">
                  <c:v>2.2029999999999998</c:v>
                </c:pt>
                <c:pt idx="77">
                  <c:v>2.0619999999999998</c:v>
                </c:pt>
                <c:pt idx="78">
                  <c:v>2.0270000000000001</c:v>
                </c:pt>
                <c:pt idx="79">
                  <c:v>2.165</c:v>
                </c:pt>
                <c:pt idx="80">
                  <c:v>2.145</c:v>
                </c:pt>
                <c:pt idx="81">
                  <c:v>2.0379999999999998</c:v>
                </c:pt>
                <c:pt idx="82">
                  <c:v>2.0609999999999999</c:v>
                </c:pt>
                <c:pt idx="83">
                  <c:v>2.0960000000000001</c:v>
                </c:pt>
                <c:pt idx="84">
                  <c:v>2.1549999999999998</c:v>
                </c:pt>
                <c:pt idx="85">
                  <c:v>2.2610000000000001</c:v>
                </c:pt>
                <c:pt idx="86">
                  <c:v>2.4260000000000002</c:v>
                </c:pt>
                <c:pt idx="87">
                  <c:v>2.34</c:v>
                </c:pt>
                <c:pt idx="88">
                  <c:v>2.3359999999999999</c:v>
                </c:pt>
                <c:pt idx="89">
                  <c:v>2.1280000000000001</c:v>
                </c:pt>
                <c:pt idx="90">
                  <c:v>2.0870000000000002</c:v>
                </c:pt>
                <c:pt idx="91">
                  <c:v>1.966</c:v>
                </c:pt>
                <c:pt idx="92">
                  <c:v>1.8069999999999999</c:v>
                </c:pt>
                <c:pt idx="93">
                  <c:v>2.0449999999999999</c:v>
                </c:pt>
                <c:pt idx="94">
                  <c:v>2.1120000000000001</c:v>
                </c:pt>
                <c:pt idx="95">
                  <c:v>2.0339999999999998</c:v>
                </c:pt>
                <c:pt idx="96">
                  <c:v>2.0699999999999998</c:v>
                </c:pt>
                <c:pt idx="97">
                  <c:v>2.089</c:v>
                </c:pt>
                <c:pt idx="98">
                  <c:v>2.036</c:v>
                </c:pt>
                <c:pt idx="99">
                  <c:v>2.1110000000000002</c:v>
                </c:pt>
                <c:pt idx="100">
                  <c:v>2.0840000000000001</c:v>
                </c:pt>
                <c:pt idx="101">
                  <c:v>2.0009999999999999</c:v>
                </c:pt>
                <c:pt idx="102">
                  <c:v>1.946</c:v>
                </c:pt>
                <c:pt idx="103">
                  <c:v>2.0019999999999998</c:v>
                </c:pt>
                <c:pt idx="104">
                  <c:v>2.008</c:v>
                </c:pt>
                <c:pt idx="105">
                  <c:v>2.09</c:v>
                </c:pt>
                <c:pt idx="106">
                  <c:v>2.141</c:v>
                </c:pt>
                <c:pt idx="107">
                  <c:v>2.0369999999999999</c:v>
                </c:pt>
                <c:pt idx="108">
                  <c:v>2.1509999999999998</c:v>
                </c:pt>
                <c:pt idx="109">
                  <c:v>2.0960000000000001</c:v>
                </c:pt>
                <c:pt idx="110">
                  <c:v>2.1629999999999998</c:v>
                </c:pt>
                <c:pt idx="111">
                  <c:v>2.1320000000000001</c:v>
                </c:pt>
                <c:pt idx="112">
                  <c:v>2.141</c:v>
                </c:pt>
                <c:pt idx="113">
                  <c:v>2.2130000000000001</c:v>
                </c:pt>
                <c:pt idx="114">
                  <c:v>2.2949999999999999</c:v>
                </c:pt>
                <c:pt idx="115">
                  <c:v>2.1579999999999999</c:v>
                </c:pt>
                <c:pt idx="116">
                  <c:v>2.1709999999999998</c:v>
                </c:pt>
                <c:pt idx="117">
                  <c:v>1.948</c:v>
                </c:pt>
                <c:pt idx="118">
                  <c:v>1.911</c:v>
                </c:pt>
                <c:pt idx="119">
                  <c:v>1.53</c:v>
                </c:pt>
                <c:pt idx="120">
                  <c:v>1.431</c:v>
                </c:pt>
                <c:pt idx="121">
                  <c:v>1.4059999999999999</c:v>
                </c:pt>
                <c:pt idx="122">
                  <c:v>1.5029999999999999</c:v>
                </c:pt>
                <c:pt idx="123">
                  <c:v>1.64</c:v>
                </c:pt>
                <c:pt idx="124">
                  <c:v>1.5469999999999999</c:v>
                </c:pt>
                <c:pt idx="125">
                  <c:v>1.5920000000000001</c:v>
                </c:pt>
                <c:pt idx="126">
                  <c:v>1.706</c:v>
                </c:pt>
                <c:pt idx="127">
                  <c:v>1.6539999999999999</c:v>
                </c:pt>
                <c:pt idx="128">
                  <c:v>1.4690000000000001</c:v>
                </c:pt>
                <c:pt idx="129">
                  <c:v>1.623</c:v>
                </c:pt>
                <c:pt idx="130">
                  <c:v>1.796</c:v>
                </c:pt>
                <c:pt idx="131">
                  <c:v>1.9279999999999999</c:v>
                </c:pt>
                <c:pt idx="132">
                  <c:v>1.877</c:v>
                </c:pt>
                <c:pt idx="133">
                  <c:v>2.048</c:v>
                </c:pt>
                <c:pt idx="134">
                  <c:v>2.1659999999999999</c:v>
                </c:pt>
                <c:pt idx="135">
                  <c:v>2.0739999999999998</c:v>
                </c:pt>
                <c:pt idx="136">
                  <c:v>1.93</c:v>
                </c:pt>
                <c:pt idx="137">
                  <c:v>1.7430000000000001</c:v>
                </c:pt>
                <c:pt idx="138">
                  <c:v>1.746</c:v>
                </c:pt>
                <c:pt idx="139">
                  <c:v>1.786</c:v>
                </c:pt>
                <c:pt idx="140">
                  <c:v>1.583</c:v>
                </c:pt>
                <c:pt idx="141">
                  <c:v>1.4039999999999999</c:v>
                </c:pt>
                <c:pt idx="142">
                  <c:v>1.3819999999999999</c:v>
                </c:pt>
                <c:pt idx="143">
                  <c:v>1.742</c:v>
                </c:pt>
                <c:pt idx="144">
                  <c:v>1.79</c:v>
                </c:pt>
                <c:pt idx="145">
                  <c:v>1.6559999999999999</c:v>
                </c:pt>
                <c:pt idx="146">
                  <c:v>1.5349999999999999</c:v>
                </c:pt>
                <c:pt idx="147">
                  <c:v>1.4470000000000001</c:v>
                </c:pt>
                <c:pt idx="148">
                  <c:v>1.423</c:v>
                </c:pt>
                <c:pt idx="149">
                  <c:v>1.327</c:v>
                </c:pt>
                <c:pt idx="150">
                  <c:v>1.321</c:v>
                </c:pt>
                <c:pt idx="151">
                  <c:v>1.383</c:v>
                </c:pt>
                <c:pt idx="152">
                  <c:v>1.401</c:v>
                </c:pt>
                <c:pt idx="153">
                  <c:v>1.397</c:v>
                </c:pt>
                <c:pt idx="154">
                  <c:v>1.3180000000000001</c:v>
                </c:pt>
                <c:pt idx="155">
                  <c:v>1.4938</c:v>
                </c:pt>
                <c:pt idx="156">
                  <c:v>1.4367000000000001</c:v>
                </c:pt>
                <c:pt idx="157">
                  <c:v>1.5689</c:v>
                </c:pt>
                <c:pt idx="158">
                  <c:v>1.4113</c:v>
                </c:pt>
                <c:pt idx="159">
                  <c:v>1.4074</c:v>
                </c:pt>
                <c:pt idx="160">
                  <c:v>1.4356</c:v>
                </c:pt>
                <c:pt idx="161">
                  <c:v>1.2727999999999999</c:v>
                </c:pt>
                <c:pt idx="162">
                  <c:v>1.1708000000000001</c:v>
                </c:pt>
                <c:pt idx="163">
                  <c:v>1.1762999999999999</c:v>
                </c:pt>
                <c:pt idx="164">
                  <c:v>1.2746999999999999</c:v>
                </c:pt>
                <c:pt idx="165">
                  <c:v>1.26</c:v>
                </c:pt>
                <c:pt idx="166">
                  <c:v>1.25</c:v>
                </c:pt>
                <c:pt idx="167">
                  <c:v>1.2274</c:v>
                </c:pt>
                <c:pt idx="168">
                  <c:v>1.1255999999999999</c:v>
                </c:pt>
                <c:pt idx="169">
                  <c:v>1.1789000000000001</c:v>
                </c:pt>
                <c:pt idx="170">
                  <c:v>1.1238999999999999</c:v>
                </c:pt>
                <c:pt idx="171">
                  <c:v>1.1142000000000001</c:v>
                </c:pt>
                <c:pt idx="172">
                  <c:v>1.0552999999999999</c:v>
                </c:pt>
                <c:pt idx="173">
                  <c:v>1.1256999999999999</c:v>
                </c:pt>
                <c:pt idx="174">
                  <c:v>1.1064000000000001</c:v>
                </c:pt>
                <c:pt idx="175">
                  <c:v>1.0637000000000001</c:v>
                </c:pt>
                <c:pt idx="176">
                  <c:v>1.0488999999999999</c:v>
                </c:pt>
                <c:pt idx="177">
                  <c:v>1.0121</c:v>
                </c:pt>
                <c:pt idx="178">
                  <c:v>1.0239</c:v>
                </c:pt>
                <c:pt idx="179">
                  <c:v>0.99199999999999999</c:v>
                </c:pt>
                <c:pt idx="180">
                  <c:v>1.0024</c:v>
                </c:pt>
                <c:pt idx="181">
                  <c:v>0.98880000000000001</c:v>
                </c:pt>
                <c:pt idx="182">
                  <c:v>0.91879999999999995</c:v>
                </c:pt>
                <c:pt idx="183">
                  <c:v>0.86829999999999996</c:v>
                </c:pt>
                <c:pt idx="184">
                  <c:v>0.86770000000000003</c:v>
                </c:pt>
                <c:pt idx="185">
                  <c:v>0.83879999999999999</c:v>
                </c:pt>
                <c:pt idx="186">
                  <c:v>0.82589999999999997</c:v>
                </c:pt>
                <c:pt idx="187">
                  <c:v>0.8075</c:v>
                </c:pt>
                <c:pt idx="188">
                  <c:v>0.79820000000000002</c:v>
                </c:pt>
                <c:pt idx="189">
                  <c:v>0.77080000000000004</c:v>
                </c:pt>
                <c:pt idx="190">
                  <c:v>0.74560000000000004</c:v>
                </c:pt>
                <c:pt idx="191">
                  <c:v>0.68069999999999997</c:v>
                </c:pt>
                <c:pt idx="192">
                  <c:v>0.72770000000000001</c:v>
                </c:pt>
                <c:pt idx="193">
                  <c:v>0.76659999999999995</c:v>
                </c:pt>
                <c:pt idx="194">
                  <c:v>0.7903</c:v>
                </c:pt>
                <c:pt idx="195">
                  <c:v>0.73709999999999998</c:v>
                </c:pt>
                <c:pt idx="196">
                  <c:v>0.78680000000000005</c:v>
                </c:pt>
                <c:pt idx="197">
                  <c:v>0.83360000000000001</c:v>
                </c:pt>
                <c:pt idx="198">
                  <c:v>0.85980000000000001</c:v>
                </c:pt>
                <c:pt idx="199">
                  <c:v>0.91039999999999999</c:v>
                </c:pt>
                <c:pt idx="200">
                  <c:v>0.95189999999999997</c:v>
                </c:pt>
                <c:pt idx="201">
                  <c:v>0.91839999999999999</c:v>
                </c:pt>
                <c:pt idx="202">
                  <c:v>0.97860000000000003</c:v>
                </c:pt>
                <c:pt idx="203">
                  <c:v>1.0411999999999999</c:v>
                </c:pt>
                <c:pt idx="204">
                  <c:v>0.92830000000000001</c:v>
                </c:pt>
                <c:pt idx="205">
                  <c:v>0.90210000000000001</c:v>
                </c:pt>
                <c:pt idx="206">
                  <c:v>0.89790000000000003</c:v>
                </c:pt>
                <c:pt idx="207">
                  <c:v>0.85070000000000001</c:v>
                </c:pt>
                <c:pt idx="208">
                  <c:v>0.83330000000000004</c:v>
                </c:pt>
                <c:pt idx="209">
                  <c:v>0.81720000000000004</c:v>
                </c:pt>
                <c:pt idx="210">
                  <c:v>0.80430000000000001</c:v>
                </c:pt>
                <c:pt idx="211">
                  <c:v>0.83650000000000002</c:v>
                </c:pt>
                <c:pt idx="212">
                  <c:v>0.81840000000000002</c:v>
                </c:pt>
                <c:pt idx="213">
                  <c:v>0.76319999999999999</c:v>
                </c:pt>
                <c:pt idx="214">
                  <c:v>0.73880000000000001</c:v>
                </c:pt>
                <c:pt idx="215">
                  <c:v>0.72589999999999999</c:v>
                </c:pt>
                <c:pt idx="216">
                  <c:v>0.72399999999999998</c:v>
                </c:pt>
                <c:pt idx="217">
                  <c:v>0.81299999999999994</c:v>
                </c:pt>
                <c:pt idx="218">
                  <c:v>0.78480000000000005</c:v>
                </c:pt>
                <c:pt idx="219">
                  <c:v>0.70930000000000004</c:v>
                </c:pt>
                <c:pt idx="220">
                  <c:v>0.74409999999999998</c:v>
                </c:pt>
                <c:pt idx="221">
                  <c:v>0.96060000000000001</c:v>
                </c:pt>
                <c:pt idx="222">
                  <c:v>0.95409999999999995</c:v>
                </c:pt>
                <c:pt idx="223">
                  <c:v>0.98709999999999998</c:v>
                </c:pt>
                <c:pt idx="224">
                  <c:v>1.0726</c:v>
                </c:pt>
                <c:pt idx="225">
                  <c:v>1.0095000000000001</c:v>
                </c:pt>
                <c:pt idx="226">
                  <c:v>1.1074999999999999</c:v>
                </c:pt>
                <c:pt idx="227">
                  <c:v>0.98709999999999998</c:v>
                </c:pt>
                <c:pt idx="228">
                  <c:v>0.94650000000000001</c:v>
                </c:pt>
                <c:pt idx="229">
                  <c:v>0.8972</c:v>
                </c:pt>
                <c:pt idx="230">
                  <c:v>0.90500000000000003</c:v>
                </c:pt>
                <c:pt idx="231">
                  <c:v>0.9849</c:v>
                </c:pt>
                <c:pt idx="232">
                  <c:v>1.0450999999999999</c:v>
                </c:pt>
                <c:pt idx="233">
                  <c:v>1.0052000000000001</c:v>
                </c:pt>
                <c:pt idx="234">
                  <c:v>1.0402</c:v>
                </c:pt>
                <c:pt idx="235">
                  <c:v>1.1533</c:v>
                </c:pt>
                <c:pt idx="236">
                  <c:v>1.1067</c:v>
                </c:pt>
                <c:pt idx="237">
                  <c:v>1.1474</c:v>
                </c:pt>
                <c:pt idx="238">
                  <c:v>1.2575000000000001</c:v>
                </c:pt>
                <c:pt idx="239">
                  <c:v>1.2138</c:v>
                </c:pt>
                <c:pt idx="240">
                  <c:v>1.1483000000000001</c:v>
                </c:pt>
                <c:pt idx="241">
                  <c:v>1.1341000000000001</c:v>
                </c:pt>
                <c:pt idx="242">
                  <c:v>1.0584</c:v>
                </c:pt>
                <c:pt idx="243">
                  <c:v>1.0142</c:v>
                </c:pt>
                <c:pt idx="244">
                  <c:v>1.079</c:v>
                </c:pt>
                <c:pt idx="245">
                  <c:v>1.2326999999999999</c:v>
                </c:pt>
                <c:pt idx="246">
                  <c:v>1.3393999999999999</c:v>
                </c:pt>
                <c:pt idx="247">
                  <c:v>1.1406000000000001</c:v>
                </c:pt>
                <c:pt idx="248">
                  <c:v>1.1778999999999999</c:v>
                </c:pt>
                <c:pt idx="249">
                  <c:v>0.97560000000000002</c:v>
                </c:pt>
                <c:pt idx="250">
                  <c:v>1.1386000000000001</c:v>
                </c:pt>
                <c:pt idx="251">
                  <c:v>1.2715000000000001</c:v>
                </c:pt>
                <c:pt idx="252">
                  <c:v>1.3884000000000001</c:v>
                </c:pt>
                <c:pt idx="253">
                  <c:v>1.1822999999999999</c:v>
                </c:pt>
                <c:pt idx="254">
                  <c:v>1.9111</c:v>
                </c:pt>
                <c:pt idx="255">
                  <c:v>1.8557999999999999</c:v>
                </c:pt>
                <c:pt idx="256">
                  <c:v>1.9916</c:v>
                </c:pt>
                <c:pt idx="257">
                  <c:v>2.0099999999999998</c:v>
                </c:pt>
                <c:pt idx="258">
                  <c:v>2.1379999999999999</c:v>
                </c:pt>
                <c:pt idx="259">
                  <c:v>2.1</c:v>
                </c:pt>
                <c:pt idx="260">
                  <c:v>2.0411999999999999</c:v>
                </c:pt>
                <c:pt idx="261">
                  <c:v>2.5093000000000001</c:v>
                </c:pt>
                <c:pt idx="262">
                  <c:v>2.2957000000000001</c:v>
                </c:pt>
                <c:pt idx="263">
                  <c:v>2.6421999999999999</c:v>
                </c:pt>
                <c:pt idx="264">
                  <c:v>2.6726999999999999</c:v>
                </c:pt>
                <c:pt idx="265">
                  <c:v>2.7322000000000002</c:v>
                </c:pt>
                <c:pt idx="266">
                  <c:v>2.4830000000000001</c:v>
                </c:pt>
                <c:pt idx="267">
                  <c:v>2.3843999999999999</c:v>
                </c:pt>
                <c:pt idx="268">
                  <c:v>2.1528999999999998</c:v>
                </c:pt>
                <c:pt idx="269">
                  <c:v>2.4556</c:v>
                </c:pt>
                <c:pt idx="270">
                  <c:v>2.5085000000000002</c:v>
                </c:pt>
                <c:pt idx="271">
                  <c:v>2.6034999999999999</c:v>
                </c:pt>
                <c:pt idx="272">
                  <c:v>2.5998999999999999</c:v>
                </c:pt>
                <c:pt idx="273">
                  <c:v>2.3613</c:v>
                </c:pt>
                <c:pt idx="274">
                  <c:v>2.3933</c:v>
                </c:pt>
                <c:pt idx="275">
                  <c:v>2.3195999999999999</c:v>
                </c:pt>
                <c:pt idx="276">
                  <c:v>1.9813000000000001</c:v>
                </c:pt>
                <c:pt idx="277">
                  <c:v>1.7332000000000001</c:v>
                </c:pt>
                <c:pt idx="278">
                  <c:v>1.6536999999999999</c:v>
                </c:pt>
                <c:pt idx="279">
                  <c:v>1.8335999999999999</c:v>
                </c:pt>
                <c:pt idx="280">
                  <c:v>1.9180999999999999</c:v>
                </c:pt>
                <c:pt idx="281">
                  <c:v>2.14</c:v>
                </c:pt>
                <c:pt idx="282">
                  <c:v>2.2134</c:v>
                </c:pt>
                <c:pt idx="283">
                  <c:v>2.1366000000000001</c:v>
                </c:pt>
                <c:pt idx="284">
                  <c:v>2.3540000000000001</c:v>
                </c:pt>
                <c:pt idx="285">
                  <c:v>2.6850999999999998</c:v>
                </c:pt>
                <c:pt idx="286">
                  <c:v>2.6004</c:v>
                </c:pt>
                <c:pt idx="287">
                  <c:v>2.5585</c:v>
                </c:pt>
                <c:pt idx="288">
                  <c:v>2.5158999999999998</c:v>
                </c:pt>
                <c:pt idx="289">
                  <c:v>2.5785999999999998</c:v>
                </c:pt>
                <c:pt idx="290">
                  <c:v>2.6644000000000001</c:v>
                </c:pt>
                <c:pt idx="291">
                  <c:v>2.5783</c:v>
                </c:pt>
                <c:pt idx="292">
                  <c:v>2.5537000000000001</c:v>
                </c:pt>
                <c:pt idx="293">
                  <c:v>2.6295000000000002</c:v>
                </c:pt>
                <c:pt idx="294">
                  <c:v>2.4822000000000002</c:v>
                </c:pt>
                <c:pt idx="295">
                  <c:v>2.3140999999999998</c:v>
                </c:pt>
                <c:pt idx="296">
                  <c:v>2.4811000000000001</c:v>
                </c:pt>
                <c:pt idx="297">
                  <c:v>2.5272000000000001</c:v>
                </c:pt>
                <c:pt idx="298">
                  <c:v>2.6105</c:v>
                </c:pt>
                <c:pt idx="299">
                  <c:v>2.4666000000000001</c:v>
                </c:pt>
                <c:pt idx="300">
                  <c:v>2.7439</c:v>
                </c:pt>
                <c:pt idx="301">
                  <c:v>2.8069000000000002</c:v>
                </c:pt>
                <c:pt idx="302">
                  <c:v>3.0308000000000002</c:v>
                </c:pt>
                <c:pt idx="303">
                  <c:v>2.6613000000000002</c:v>
                </c:pt>
                <c:pt idx="304">
                  <c:v>2.5672999999999999</c:v>
                </c:pt>
                <c:pt idx="305">
                  <c:v>2.3399000000000001</c:v>
                </c:pt>
                <c:pt idx="306">
                  <c:v>2.1777000000000002</c:v>
                </c:pt>
                <c:pt idx="307">
                  <c:v>2.0415999999999999</c:v>
                </c:pt>
                <c:pt idx="308">
                  <c:v>1.8076000000000001</c:v>
                </c:pt>
                <c:pt idx="309">
                  <c:v>1.8978999999999999</c:v>
                </c:pt>
                <c:pt idx="310">
                  <c:v>1.8736999999999999</c:v>
                </c:pt>
                <c:pt idx="311">
                  <c:v>1.8366</c:v>
                </c:pt>
                <c:pt idx="312">
                  <c:v>1.9370000000000001</c:v>
                </c:pt>
                <c:pt idx="313">
                  <c:v>1.9247000000000001</c:v>
                </c:pt>
                <c:pt idx="314">
                  <c:v>1.9661999999999999</c:v>
                </c:pt>
                <c:pt idx="315">
                  <c:v>1.8669</c:v>
                </c:pt>
                <c:pt idx="316">
                  <c:v>1.8757999999999999</c:v>
                </c:pt>
                <c:pt idx="317">
                  <c:v>1.9204000000000001</c:v>
                </c:pt>
                <c:pt idx="318">
                  <c:v>1.9430000000000001</c:v>
                </c:pt>
                <c:pt idx="319">
                  <c:v>1.7387999999999999</c:v>
                </c:pt>
                <c:pt idx="320">
                  <c:v>1.8371</c:v>
                </c:pt>
                <c:pt idx="321">
                  <c:v>1.7958000000000001</c:v>
                </c:pt>
                <c:pt idx="322">
                  <c:v>1.8846000000000001</c:v>
                </c:pt>
                <c:pt idx="323">
                  <c:v>1.8591</c:v>
                </c:pt>
                <c:pt idx="324">
                  <c:v>1.9805999999999999</c:v>
                </c:pt>
                <c:pt idx="325">
                  <c:v>1.889</c:v>
                </c:pt>
                <c:pt idx="326">
                  <c:v>1.958</c:v>
                </c:pt>
                <c:pt idx="327">
                  <c:v>1.8405</c:v>
                </c:pt>
                <c:pt idx="328">
                  <c:v>1.8594999999999999</c:v>
                </c:pt>
                <c:pt idx="329">
                  <c:v>1.9399</c:v>
                </c:pt>
                <c:pt idx="330">
                  <c:v>1.7767999999999999</c:v>
                </c:pt>
                <c:pt idx="331">
                  <c:v>1.661</c:v>
                </c:pt>
                <c:pt idx="332">
                  <c:v>1.6715</c:v>
                </c:pt>
                <c:pt idx="333">
                  <c:v>1.3918999999999999</c:v>
                </c:pt>
                <c:pt idx="334">
                  <c:v>1.5276000000000001</c:v>
                </c:pt>
                <c:pt idx="335">
                  <c:v>1.4843999999999999</c:v>
                </c:pt>
                <c:pt idx="336">
                  <c:v>1.5406</c:v>
                </c:pt>
                <c:pt idx="337">
                  <c:v>1.6695</c:v>
                </c:pt>
                <c:pt idx="338">
                  <c:v>1.4568000000000001</c:v>
                </c:pt>
                <c:pt idx="339">
                  <c:v>1.8129</c:v>
                </c:pt>
                <c:pt idx="340">
                  <c:v>2.0415999999999999</c:v>
                </c:pt>
                <c:pt idx="341">
                  <c:v>2.0461</c:v>
                </c:pt>
                <c:pt idx="342">
                  <c:v>2.2766000000000002</c:v>
                </c:pt>
                <c:pt idx="343">
                  <c:v>2.2612999999999999</c:v>
                </c:pt>
                <c:pt idx="344">
                  <c:v>1.9668000000000001</c:v>
                </c:pt>
                <c:pt idx="345">
                  <c:v>1.7250000000000001</c:v>
                </c:pt>
                <c:pt idx="346">
                  <c:v>1.7706999999999999</c:v>
                </c:pt>
                <c:pt idx="347">
                  <c:v>1.4652000000000001</c:v>
                </c:pt>
                <c:pt idx="348">
                  <c:v>1.6155999999999999</c:v>
                </c:pt>
                <c:pt idx="349">
                  <c:v>1.4273</c:v>
                </c:pt>
                <c:pt idx="350">
                  <c:v>1.3298000000000001</c:v>
                </c:pt>
                <c:pt idx="351">
                  <c:v>1.2270000000000001</c:v>
                </c:pt>
                <c:pt idx="352">
                  <c:v>0.94040000000000001</c:v>
                </c:pt>
                <c:pt idx="353">
                  <c:v>0.84550000000000003</c:v>
                </c:pt>
                <c:pt idx="354">
                  <c:v>0.82489999999999997</c:v>
                </c:pt>
                <c:pt idx="355">
                  <c:v>0.82620000000000005</c:v>
                </c:pt>
                <c:pt idx="356">
                  <c:v>0.83240000000000003</c:v>
                </c:pt>
                <c:pt idx="357">
                  <c:v>0.76170000000000004</c:v>
                </c:pt>
                <c:pt idx="358">
                  <c:v>0.80689999999999995</c:v>
                </c:pt>
                <c:pt idx="359">
                  <c:v>0.78859999999999997</c:v>
                </c:pt>
                <c:pt idx="360">
                  <c:v>0.76690000000000003</c:v>
                </c:pt>
                <c:pt idx="361">
                  <c:v>0.72019999999999995</c:v>
                </c:pt>
                <c:pt idx="362">
                  <c:v>0.76549999999999996</c:v>
                </c:pt>
                <c:pt idx="363">
                  <c:v>0.80249999999999999</c:v>
                </c:pt>
                <c:pt idx="364">
                  <c:v>0.81630000000000003</c:v>
                </c:pt>
                <c:pt idx="365">
                  <c:v>0.79859999999999998</c:v>
                </c:pt>
                <c:pt idx="366">
                  <c:v>0.89410000000000001</c:v>
                </c:pt>
                <c:pt idx="367">
                  <c:v>0.80879999999999996</c:v>
                </c:pt>
                <c:pt idx="368">
                  <c:v>0.75980000000000003</c:v>
                </c:pt>
                <c:pt idx="369">
                  <c:v>0.72889999999999999</c:v>
                </c:pt>
                <c:pt idx="370">
                  <c:v>0.70730000000000004</c:v>
                </c:pt>
                <c:pt idx="371">
                  <c:v>0.69850000000000001</c:v>
                </c:pt>
                <c:pt idx="372">
                  <c:v>0.80430000000000001</c:v>
                </c:pt>
                <c:pt idx="373">
                  <c:v>0.6956</c:v>
                </c:pt>
                <c:pt idx="374">
                  <c:v>0.74550000000000005</c:v>
                </c:pt>
                <c:pt idx="375">
                  <c:v>0.66249999999999998</c:v>
                </c:pt>
                <c:pt idx="376">
                  <c:v>0.66</c:v>
                </c:pt>
                <c:pt idx="377">
                  <c:v>0.61119999999999997</c:v>
                </c:pt>
                <c:pt idx="378">
                  <c:v>0.60299999999999998</c:v>
                </c:pt>
                <c:pt idx="379">
                  <c:v>0.62709999999999999</c:v>
                </c:pt>
                <c:pt idx="380">
                  <c:v>0.56950000000000001</c:v>
                </c:pt>
                <c:pt idx="381">
                  <c:v>0.60580000000000001</c:v>
                </c:pt>
                <c:pt idx="382">
                  <c:v>0.63419999999999999</c:v>
                </c:pt>
                <c:pt idx="383">
                  <c:v>0.68489999999999995</c:v>
                </c:pt>
                <c:pt idx="384">
                  <c:v>0.628</c:v>
                </c:pt>
                <c:pt idx="385">
                  <c:v>0.57399999999999995</c:v>
                </c:pt>
                <c:pt idx="386">
                  <c:v>0.62529999999999997</c:v>
                </c:pt>
                <c:pt idx="387">
                  <c:v>0.54720000000000002</c:v>
                </c:pt>
                <c:pt idx="388">
                  <c:v>0.52300000000000002</c:v>
                </c:pt>
                <c:pt idx="389">
                  <c:v>0.4864</c:v>
                </c:pt>
                <c:pt idx="390">
                  <c:v>0.434</c:v>
                </c:pt>
                <c:pt idx="391">
                  <c:v>0.44969999999999999</c:v>
                </c:pt>
                <c:pt idx="392">
                  <c:v>0.46650000000000003</c:v>
                </c:pt>
                <c:pt idx="393">
                  <c:v>0.4728</c:v>
                </c:pt>
                <c:pt idx="394">
                  <c:v>0.46729999999999999</c:v>
                </c:pt>
                <c:pt idx="395">
                  <c:v>0.4496</c:v>
                </c:pt>
                <c:pt idx="396">
                  <c:v>0.40139999999999998</c:v>
                </c:pt>
                <c:pt idx="397">
                  <c:v>0.41670000000000001</c:v>
                </c:pt>
                <c:pt idx="398">
                  <c:v>0.40339999999999998</c:v>
                </c:pt>
                <c:pt idx="399">
                  <c:v>0.37809999999999999</c:v>
                </c:pt>
                <c:pt idx="400">
                  <c:v>0.35289999999999999</c:v>
                </c:pt>
                <c:pt idx="401">
                  <c:v>0.39639999999999997</c:v>
                </c:pt>
                <c:pt idx="402">
                  <c:v>0.40050000000000002</c:v>
                </c:pt>
                <c:pt idx="403">
                  <c:v>0.42770000000000002</c:v>
                </c:pt>
                <c:pt idx="404">
                  <c:v>0.43380000000000002</c:v>
                </c:pt>
                <c:pt idx="405">
                  <c:v>0.43359999999999999</c:v>
                </c:pt>
                <c:pt idx="406">
                  <c:v>0.40870000000000001</c:v>
                </c:pt>
                <c:pt idx="407">
                  <c:v>0.42509999999999998</c:v>
                </c:pt>
                <c:pt idx="408">
                  <c:v>0.40010000000000001</c:v>
                </c:pt>
                <c:pt idx="409">
                  <c:v>0.4052</c:v>
                </c:pt>
                <c:pt idx="410">
                  <c:v>0.3871</c:v>
                </c:pt>
                <c:pt idx="411">
                  <c:v>0.38379999999999997</c:v>
                </c:pt>
                <c:pt idx="412">
                  <c:v>0.36009999999999998</c:v>
                </c:pt>
                <c:pt idx="413">
                  <c:v>0.37909999999999999</c:v>
                </c:pt>
                <c:pt idx="414">
                  <c:v>0.38819999999999999</c:v>
                </c:pt>
                <c:pt idx="415">
                  <c:v>0.38840000000000002</c:v>
                </c:pt>
                <c:pt idx="416">
                  <c:v>0.4219</c:v>
                </c:pt>
                <c:pt idx="417">
                  <c:v>0.41339999999999999</c:v>
                </c:pt>
                <c:pt idx="418">
                  <c:v>0.42270000000000002</c:v>
                </c:pt>
                <c:pt idx="419">
                  <c:v>0.39910000000000001</c:v>
                </c:pt>
                <c:pt idx="420">
                  <c:v>0.44019999999999998</c:v>
                </c:pt>
                <c:pt idx="421">
                  <c:v>0.43730000000000002</c:v>
                </c:pt>
                <c:pt idx="422">
                  <c:v>0.41789999999999999</c:v>
                </c:pt>
                <c:pt idx="423">
                  <c:v>0.43940000000000001</c:v>
                </c:pt>
                <c:pt idx="424">
                  <c:v>0.40789999999999998</c:v>
                </c:pt>
                <c:pt idx="425">
                  <c:v>0.4078</c:v>
                </c:pt>
                <c:pt idx="426">
                  <c:v>0.39660000000000001</c:v>
                </c:pt>
                <c:pt idx="427">
                  <c:v>0.40389999999999998</c:v>
                </c:pt>
                <c:pt idx="428">
                  <c:v>0.47220000000000001</c:v>
                </c:pt>
                <c:pt idx="429">
                  <c:v>0.4662</c:v>
                </c:pt>
                <c:pt idx="430">
                  <c:v>0.43740000000000001</c:v>
                </c:pt>
                <c:pt idx="431">
                  <c:v>0.3886</c:v>
                </c:pt>
                <c:pt idx="432">
                  <c:v>0.40620000000000001</c:v>
                </c:pt>
                <c:pt idx="433">
                  <c:v>0.36199999999999999</c:v>
                </c:pt>
                <c:pt idx="434">
                  <c:v>0.3458</c:v>
                </c:pt>
                <c:pt idx="435">
                  <c:v>0.34739999999999999</c:v>
                </c:pt>
                <c:pt idx="436">
                  <c:v>0.36309999999999998</c:v>
                </c:pt>
                <c:pt idx="437">
                  <c:v>0.35289999999999999</c:v>
                </c:pt>
                <c:pt idx="438">
                  <c:v>0.34100000000000003</c:v>
                </c:pt>
                <c:pt idx="439">
                  <c:v>0.35220000000000001</c:v>
                </c:pt>
                <c:pt idx="440">
                  <c:v>0.37390000000000001</c:v>
                </c:pt>
                <c:pt idx="441">
                  <c:v>0.36499999999999999</c:v>
                </c:pt>
                <c:pt idx="442">
                  <c:v>0.36130000000000001</c:v>
                </c:pt>
                <c:pt idx="443">
                  <c:v>0.35780000000000001</c:v>
                </c:pt>
                <c:pt idx="444">
                  <c:v>0.34389999999999998</c:v>
                </c:pt>
                <c:pt idx="445">
                  <c:v>0.35120000000000001</c:v>
                </c:pt>
                <c:pt idx="446">
                  <c:v>0.3357</c:v>
                </c:pt>
                <c:pt idx="447">
                  <c:v>0.3604</c:v>
                </c:pt>
                <c:pt idx="448">
                  <c:v>0.316</c:v>
                </c:pt>
                <c:pt idx="449">
                  <c:v>0.31240000000000001</c:v>
                </c:pt>
                <c:pt idx="450">
                  <c:v>0.31569999999999998</c:v>
                </c:pt>
                <c:pt idx="451">
                  <c:v>0.32040000000000002</c:v>
                </c:pt>
                <c:pt idx="452">
                  <c:v>0.3377</c:v>
                </c:pt>
                <c:pt idx="453">
                  <c:v>0.31809999999999999</c:v>
                </c:pt>
                <c:pt idx="454">
                  <c:v>0.32</c:v>
                </c:pt>
                <c:pt idx="455">
                  <c:v>0.33760000000000001</c:v>
                </c:pt>
                <c:pt idx="456">
                  <c:v>0.33989999999999998</c:v>
                </c:pt>
                <c:pt idx="457">
                  <c:v>0.35699999999999998</c:v>
                </c:pt>
                <c:pt idx="458">
                  <c:v>0.36109999999999998</c:v>
                </c:pt>
                <c:pt idx="459">
                  <c:v>0.37109999999999999</c:v>
                </c:pt>
                <c:pt idx="460">
                  <c:v>0.37319999999999998</c:v>
                </c:pt>
                <c:pt idx="461">
                  <c:v>0.37490000000000001</c:v>
                </c:pt>
                <c:pt idx="462">
                  <c:v>0.38169999999999998</c:v>
                </c:pt>
                <c:pt idx="463">
                  <c:v>0.37280000000000002</c:v>
                </c:pt>
                <c:pt idx="464">
                  <c:v>0.35439999999999999</c:v>
                </c:pt>
                <c:pt idx="465">
                  <c:v>0.37380000000000002</c:v>
                </c:pt>
                <c:pt idx="466">
                  <c:v>0.38500000000000001</c:v>
                </c:pt>
                <c:pt idx="467">
                  <c:v>0.38140000000000002</c:v>
                </c:pt>
                <c:pt idx="468">
                  <c:v>0.36759999999999998</c:v>
                </c:pt>
                <c:pt idx="469">
                  <c:v>0.38080000000000003</c:v>
                </c:pt>
                <c:pt idx="470">
                  <c:v>0.3901</c:v>
                </c:pt>
                <c:pt idx="471">
                  <c:v>0.41020000000000001</c:v>
                </c:pt>
                <c:pt idx="472">
                  <c:v>0.40749999999999997</c:v>
                </c:pt>
                <c:pt idx="473">
                  <c:v>0.39589999999999997</c:v>
                </c:pt>
                <c:pt idx="474">
                  <c:v>0.3931</c:v>
                </c:pt>
                <c:pt idx="475">
                  <c:v>0.3982</c:v>
                </c:pt>
                <c:pt idx="476">
                  <c:v>0.379</c:v>
                </c:pt>
                <c:pt idx="477">
                  <c:v>0.36830000000000002</c:v>
                </c:pt>
                <c:pt idx="478">
                  <c:v>0.35830000000000001</c:v>
                </c:pt>
                <c:pt idx="479">
                  <c:v>0.39360000000000001</c:v>
                </c:pt>
                <c:pt idx="480">
                  <c:v>0.39419999999999999</c:v>
                </c:pt>
                <c:pt idx="481">
                  <c:v>0.3896</c:v>
                </c:pt>
                <c:pt idx="482">
                  <c:v>0.39479999999999998</c:v>
                </c:pt>
                <c:pt idx="483">
                  <c:v>0.43330000000000002</c:v>
                </c:pt>
                <c:pt idx="484">
                  <c:v>0.42059999999999997</c:v>
                </c:pt>
                <c:pt idx="485">
                  <c:v>0.42609999999999998</c:v>
                </c:pt>
                <c:pt idx="486">
                  <c:v>0.40089999999999998</c:v>
                </c:pt>
                <c:pt idx="487">
                  <c:v>0.41549999999999998</c:v>
                </c:pt>
                <c:pt idx="488">
                  <c:v>0.42609999999999998</c:v>
                </c:pt>
                <c:pt idx="489">
                  <c:v>0.41310000000000002</c:v>
                </c:pt>
                <c:pt idx="490">
                  <c:v>0.40789999999999998</c:v>
                </c:pt>
                <c:pt idx="491">
                  <c:v>0.3715</c:v>
                </c:pt>
                <c:pt idx="492">
                  <c:v>0.41870000000000002</c:v>
                </c:pt>
                <c:pt idx="493">
                  <c:v>0.41149999999999998</c:v>
                </c:pt>
                <c:pt idx="494">
                  <c:v>0.45850000000000002</c:v>
                </c:pt>
                <c:pt idx="495">
                  <c:v>0.4672</c:v>
                </c:pt>
                <c:pt idx="496">
                  <c:v>0.47539999999999999</c:v>
                </c:pt>
                <c:pt idx="497">
                  <c:v>0.47070000000000001</c:v>
                </c:pt>
                <c:pt idx="498">
                  <c:v>0.49530000000000002</c:v>
                </c:pt>
                <c:pt idx="499">
                  <c:v>0.50960000000000005</c:v>
                </c:pt>
                <c:pt idx="500">
                  <c:v>0.51439999999999997</c:v>
                </c:pt>
                <c:pt idx="501">
                  <c:v>0.47920000000000001</c:v>
                </c:pt>
                <c:pt idx="502">
                  <c:v>0.49199999999999999</c:v>
                </c:pt>
                <c:pt idx="503">
                  <c:v>0.44829999999999998</c:v>
                </c:pt>
                <c:pt idx="504">
                  <c:v>0.45619999999999999</c:v>
                </c:pt>
                <c:pt idx="505">
                  <c:v>0.41649999999999998</c:v>
                </c:pt>
                <c:pt idx="506">
                  <c:v>0.40360000000000001</c:v>
                </c:pt>
                <c:pt idx="507">
                  <c:v>0.42609999999999998</c:v>
                </c:pt>
                <c:pt idx="508">
                  <c:v>0.44009999999999999</c:v>
                </c:pt>
                <c:pt idx="509">
                  <c:v>0.41699999999999998</c:v>
                </c:pt>
                <c:pt idx="510">
                  <c:v>0.46129999999999999</c:v>
                </c:pt>
                <c:pt idx="511">
                  <c:v>0.437</c:v>
                </c:pt>
                <c:pt idx="512">
                  <c:v>0.54759999999999998</c:v>
                </c:pt>
                <c:pt idx="513">
                  <c:v>0.58379999999999999</c:v>
                </c:pt>
                <c:pt idx="514">
                  <c:v>0.59530000000000005</c:v>
                </c:pt>
                <c:pt idx="515">
                  <c:v>0.61529999999999996</c:v>
                </c:pt>
                <c:pt idx="516">
                  <c:v>0.63329999999999997</c:v>
                </c:pt>
                <c:pt idx="517">
                  <c:v>0.6149</c:v>
                </c:pt>
                <c:pt idx="518">
                  <c:v>0.58150000000000002</c:v>
                </c:pt>
                <c:pt idx="519">
                  <c:v>0.63980000000000004</c:v>
                </c:pt>
                <c:pt idx="520">
                  <c:v>0.57789999999999997</c:v>
                </c:pt>
                <c:pt idx="521">
                  <c:v>0.61160000000000003</c:v>
                </c:pt>
                <c:pt idx="522">
                  <c:v>0.61329999999999996</c:v>
                </c:pt>
                <c:pt idx="523">
                  <c:v>0.64549999999999996</c:v>
                </c:pt>
                <c:pt idx="524">
                  <c:v>0.55759999999999998</c:v>
                </c:pt>
                <c:pt idx="525">
                  <c:v>0.54120000000000001</c:v>
                </c:pt>
                <c:pt idx="526">
                  <c:v>0.45469999999999999</c:v>
                </c:pt>
                <c:pt idx="527">
                  <c:v>0.49509999999999998</c:v>
                </c:pt>
                <c:pt idx="528">
                  <c:v>0.50629999999999997</c:v>
                </c:pt>
                <c:pt idx="529">
                  <c:v>0.53680000000000005</c:v>
                </c:pt>
                <c:pt idx="530">
                  <c:v>0.51039999999999996</c:v>
                </c:pt>
                <c:pt idx="531">
                  <c:v>0.55010000000000003</c:v>
                </c:pt>
                <c:pt idx="532">
                  <c:v>0.48770000000000002</c:v>
                </c:pt>
                <c:pt idx="533">
                  <c:v>0.45119999999999999</c:v>
                </c:pt>
                <c:pt idx="534">
                  <c:v>0.42170000000000002</c:v>
                </c:pt>
                <c:pt idx="535">
                  <c:v>0.45450000000000002</c:v>
                </c:pt>
                <c:pt idx="536">
                  <c:v>0.42580000000000001</c:v>
                </c:pt>
                <c:pt idx="537">
                  <c:v>0.39629999999999999</c:v>
                </c:pt>
                <c:pt idx="538">
                  <c:v>0.37830000000000003</c:v>
                </c:pt>
                <c:pt idx="539">
                  <c:v>0.38979999999999998</c:v>
                </c:pt>
                <c:pt idx="540">
                  <c:v>0.38990000000000002</c:v>
                </c:pt>
                <c:pt idx="541">
                  <c:v>0.39710000000000001</c:v>
                </c:pt>
                <c:pt idx="542">
                  <c:v>0.37540000000000001</c:v>
                </c:pt>
                <c:pt idx="543">
                  <c:v>0.37419999999999998</c:v>
                </c:pt>
                <c:pt idx="544">
                  <c:v>0.38140000000000002</c:v>
                </c:pt>
                <c:pt idx="545">
                  <c:v>0.37380000000000002</c:v>
                </c:pt>
                <c:pt idx="546">
                  <c:v>0.3715</c:v>
                </c:pt>
                <c:pt idx="547">
                  <c:v>0.37680000000000002</c:v>
                </c:pt>
                <c:pt idx="548">
                  <c:v>0.37940000000000002</c:v>
                </c:pt>
                <c:pt idx="549">
                  <c:v>0.3695</c:v>
                </c:pt>
                <c:pt idx="550">
                  <c:v>0.38629999999999998</c:v>
                </c:pt>
                <c:pt idx="551">
                  <c:v>0.39900000000000002</c:v>
                </c:pt>
                <c:pt idx="552">
                  <c:v>0.39379999999999998</c:v>
                </c:pt>
                <c:pt idx="553">
                  <c:v>0.4083</c:v>
                </c:pt>
                <c:pt idx="554">
                  <c:v>0.41310000000000002</c:v>
                </c:pt>
                <c:pt idx="555">
                  <c:v>0.4123</c:v>
                </c:pt>
                <c:pt idx="556">
                  <c:v>0.39979999999999999</c:v>
                </c:pt>
                <c:pt idx="557">
                  <c:v>0.42230000000000001</c:v>
                </c:pt>
                <c:pt idx="558">
                  <c:v>0.38800000000000001</c:v>
                </c:pt>
                <c:pt idx="559">
                  <c:v>0.39090000000000003</c:v>
                </c:pt>
                <c:pt idx="560">
                  <c:v>0.3841</c:v>
                </c:pt>
                <c:pt idx="561">
                  <c:v>0.40100000000000002</c:v>
                </c:pt>
                <c:pt idx="562">
                  <c:v>0.4093</c:v>
                </c:pt>
                <c:pt idx="563">
                  <c:v>0.4138</c:v>
                </c:pt>
                <c:pt idx="564">
                  <c:v>0.39760000000000001</c:v>
                </c:pt>
                <c:pt idx="565">
                  <c:v>0.40389999999999998</c:v>
                </c:pt>
                <c:pt idx="566">
                  <c:v>0.40200000000000002</c:v>
                </c:pt>
                <c:pt idx="567">
                  <c:v>0.3891</c:v>
                </c:pt>
                <c:pt idx="568">
                  <c:v>0.3962</c:v>
                </c:pt>
                <c:pt idx="569">
                  <c:v>0.39350000000000002</c:v>
                </c:pt>
                <c:pt idx="570">
                  <c:v>0.35220000000000001</c:v>
                </c:pt>
                <c:pt idx="571">
                  <c:v>0.34610000000000002</c:v>
                </c:pt>
                <c:pt idx="572">
                  <c:v>0.33579999999999999</c:v>
                </c:pt>
                <c:pt idx="573">
                  <c:v>0.33910000000000001</c:v>
                </c:pt>
                <c:pt idx="574">
                  <c:v>0.31840000000000002</c:v>
                </c:pt>
                <c:pt idx="575">
                  <c:v>0.2989</c:v>
                </c:pt>
                <c:pt idx="576">
                  <c:v>0.28989999999999999</c:v>
                </c:pt>
                <c:pt idx="577">
                  <c:v>0.29699999999999999</c:v>
                </c:pt>
                <c:pt idx="578">
                  <c:v>0.28760000000000002</c:v>
                </c:pt>
                <c:pt idx="579">
                  <c:v>0.28179999999999999</c:v>
                </c:pt>
                <c:pt idx="580">
                  <c:v>0.29980000000000001</c:v>
                </c:pt>
                <c:pt idx="581">
                  <c:v>0.31069999999999998</c:v>
                </c:pt>
                <c:pt idx="582">
                  <c:v>0.31740000000000002</c:v>
                </c:pt>
                <c:pt idx="583">
                  <c:v>0.32290000000000002</c:v>
                </c:pt>
                <c:pt idx="584">
                  <c:v>0.32619999999999999</c:v>
                </c:pt>
                <c:pt idx="585">
                  <c:v>0.318</c:v>
                </c:pt>
                <c:pt idx="586">
                  <c:v>0.31969999999999998</c:v>
                </c:pt>
                <c:pt idx="587">
                  <c:v>0.3201</c:v>
                </c:pt>
                <c:pt idx="588">
                  <c:v>0.32550000000000001</c:v>
                </c:pt>
                <c:pt idx="589">
                  <c:v>0.32400000000000001</c:v>
                </c:pt>
                <c:pt idx="590">
                  <c:v>0.316</c:v>
                </c:pt>
                <c:pt idx="591">
                  <c:v>0.31509999999999999</c:v>
                </c:pt>
                <c:pt idx="592">
                  <c:v>0.3221</c:v>
                </c:pt>
                <c:pt idx="593">
                  <c:v>0.3387</c:v>
                </c:pt>
                <c:pt idx="594">
                  <c:v>0.33</c:v>
                </c:pt>
                <c:pt idx="595">
                  <c:v>0.32129999999999997</c:v>
                </c:pt>
                <c:pt idx="596">
                  <c:v>0.36230000000000001</c:v>
                </c:pt>
                <c:pt idx="597">
                  <c:v>0.33329999999999999</c:v>
                </c:pt>
                <c:pt idx="598">
                  <c:v>0.33500000000000002</c:v>
                </c:pt>
                <c:pt idx="599">
                  <c:v>0.33400000000000002</c:v>
                </c:pt>
                <c:pt idx="600">
                  <c:v>0.33679999999999999</c:v>
                </c:pt>
                <c:pt idx="601">
                  <c:v>0.33679999999999999</c:v>
                </c:pt>
                <c:pt idx="602">
                  <c:v>0.3347</c:v>
                </c:pt>
                <c:pt idx="603">
                  <c:v>0.33900000000000002</c:v>
                </c:pt>
                <c:pt idx="604">
                  <c:v>0.33800000000000002</c:v>
                </c:pt>
                <c:pt idx="605">
                  <c:v>0.34229999999999999</c:v>
                </c:pt>
                <c:pt idx="606">
                  <c:v>0.32719999999999999</c:v>
                </c:pt>
                <c:pt idx="607">
                  <c:v>0.3579</c:v>
                </c:pt>
                <c:pt idx="608">
                  <c:v>0.34920000000000001</c:v>
                </c:pt>
                <c:pt idx="609">
                  <c:v>0.35270000000000001</c:v>
                </c:pt>
                <c:pt idx="610">
                  <c:v>0.33879999999999999</c:v>
                </c:pt>
                <c:pt idx="611">
                  <c:v>0.34079999999999999</c:v>
                </c:pt>
                <c:pt idx="612">
                  <c:v>0.33179999999999998</c:v>
                </c:pt>
                <c:pt idx="613">
                  <c:v>0.30330000000000001</c:v>
                </c:pt>
                <c:pt idx="614">
                  <c:v>0.31909999999999999</c:v>
                </c:pt>
                <c:pt idx="615">
                  <c:v>0.32540000000000002</c:v>
                </c:pt>
                <c:pt idx="616">
                  <c:v>0.30830000000000002</c:v>
                </c:pt>
                <c:pt idx="617">
                  <c:v>0.34100000000000003</c:v>
                </c:pt>
                <c:pt idx="618">
                  <c:v>0.29609999999999997</c:v>
                </c:pt>
                <c:pt idx="619">
                  <c:v>0.28660000000000002</c:v>
                </c:pt>
                <c:pt idx="620">
                  <c:v>0.27700000000000002</c:v>
                </c:pt>
                <c:pt idx="621">
                  <c:v>0.27250000000000002</c:v>
                </c:pt>
                <c:pt idx="622">
                  <c:v>0.26900000000000002</c:v>
                </c:pt>
                <c:pt idx="623">
                  <c:v>0.26850000000000002</c:v>
                </c:pt>
                <c:pt idx="624">
                  <c:v>0.2712</c:v>
                </c:pt>
                <c:pt idx="625">
                  <c:v>0.26400000000000001</c:v>
                </c:pt>
                <c:pt idx="626">
                  <c:v>0.2515</c:v>
                </c:pt>
                <c:pt idx="627">
                  <c:v>0.26319999999999999</c:v>
                </c:pt>
                <c:pt idx="628">
                  <c:v>0.2954</c:v>
                </c:pt>
                <c:pt idx="629">
                  <c:v>0.30180000000000001</c:v>
                </c:pt>
                <c:pt idx="630">
                  <c:v>0.28010000000000002</c:v>
                </c:pt>
                <c:pt idx="631">
                  <c:v>0.26129999999999998</c:v>
                </c:pt>
                <c:pt idx="632">
                  <c:v>0.2742</c:v>
                </c:pt>
                <c:pt idx="633">
                  <c:v>0.27560000000000001</c:v>
                </c:pt>
                <c:pt idx="634">
                  <c:v>0.27379999999999999</c:v>
                </c:pt>
                <c:pt idx="635">
                  <c:v>0.29060000000000002</c:v>
                </c:pt>
                <c:pt idx="636">
                  <c:v>0.28410000000000002</c:v>
                </c:pt>
                <c:pt idx="637">
                  <c:v>0.27860000000000001</c:v>
                </c:pt>
                <c:pt idx="638">
                  <c:v>0.29899999999999999</c:v>
                </c:pt>
                <c:pt idx="639">
                  <c:v>0.28389999999999999</c:v>
                </c:pt>
                <c:pt idx="640">
                  <c:v>0.29070000000000001</c:v>
                </c:pt>
                <c:pt idx="641">
                  <c:v>0.2989</c:v>
                </c:pt>
                <c:pt idx="642">
                  <c:v>0.2722</c:v>
                </c:pt>
                <c:pt idx="643">
                  <c:v>0.26500000000000001</c:v>
                </c:pt>
                <c:pt idx="644">
                  <c:v>0.24970000000000001</c:v>
                </c:pt>
                <c:pt idx="645">
                  <c:v>0.23719999999999999</c:v>
                </c:pt>
                <c:pt idx="646">
                  <c:v>0.22450000000000001</c:v>
                </c:pt>
                <c:pt idx="647">
                  <c:v>0.22220000000000001</c:v>
                </c:pt>
                <c:pt idx="648">
                  <c:v>0.23780000000000001</c:v>
                </c:pt>
                <c:pt idx="649">
                  <c:v>0.24740000000000001</c:v>
                </c:pt>
                <c:pt idx="650">
                  <c:v>0.2321</c:v>
                </c:pt>
                <c:pt idx="651">
                  <c:v>0.23530000000000001</c:v>
                </c:pt>
                <c:pt idx="652">
                  <c:v>0.2205</c:v>
                </c:pt>
                <c:pt idx="653">
                  <c:v>0.22800000000000001</c:v>
                </c:pt>
                <c:pt idx="654">
                  <c:v>0.22789999999999999</c:v>
                </c:pt>
                <c:pt idx="655">
                  <c:v>0.23230000000000001</c:v>
                </c:pt>
                <c:pt idx="656">
                  <c:v>0.22989999999999999</c:v>
                </c:pt>
                <c:pt idx="657">
                  <c:v>0.2288</c:v>
                </c:pt>
                <c:pt idx="658">
                  <c:v>0.25380000000000003</c:v>
                </c:pt>
                <c:pt idx="659">
                  <c:v>0.253</c:v>
                </c:pt>
                <c:pt idx="660">
                  <c:v>0.24790000000000001</c:v>
                </c:pt>
                <c:pt idx="661">
                  <c:v>0.25190000000000001</c:v>
                </c:pt>
                <c:pt idx="662">
                  <c:v>0.23100000000000001</c:v>
                </c:pt>
                <c:pt idx="663">
                  <c:v>0.2392</c:v>
                </c:pt>
                <c:pt idx="664">
                  <c:v>0.2419</c:v>
                </c:pt>
                <c:pt idx="665">
                  <c:v>0.2505</c:v>
                </c:pt>
                <c:pt idx="666">
                  <c:v>0.2447</c:v>
                </c:pt>
                <c:pt idx="667">
                  <c:v>0.21179999999999999</c:v>
                </c:pt>
                <c:pt idx="668">
                  <c:v>0.20549999999999999</c:v>
                </c:pt>
                <c:pt idx="669">
                  <c:v>0.1789</c:v>
                </c:pt>
                <c:pt idx="670">
                  <c:v>0.1913</c:v>
                </c:pt>
                <c:pt idx="671">
                  <c:v>0.19450000000000001</c:v>
                </c:pt>
                <c:pt idx="672">
                  <c:v>0.2092</c:v>
                </c:pt>
                <c:pt idx="673">
                  <c:v>0.20549999999999999</c:v>
                </c:pt>
                <c:pt idx="674">
                  <c:v>0.2089</c:v>
                </c:pt>
                <c:pt idx="675">
                  <c:v>0.1991</c:v>
                </c:pt>
                <c:pt idx="676">
                  <c:v>0.1837</c:v>
                </c:pt>
                <c:pt idx="677">
                  <c:v>0.20100000000000001</c:v>
                </c:pt>
                <c:pt idx="678">
                  <c:v>0.2021</c:v>
                </c:pt>
                <c:pt idx="679">
                  <c:v>0.20849999999999999</c:v>
                </c:pt>
                <c:pt idx="680">
                  <c:v>0.1822</c:v>
                </c:pt>
                <c:pt idx="681">
                  <c:v>0.1804</c:v>
                </c:pt>
                <c:pt idx="682">
                  <c:v>0.16819999999999999</c:v>
                </c:pt>
                <c:pt idx="683">
                  <c:v>0.1885</c:v>
                </c:pt>
                <c:pt idx="684">
                  <c:v>0.18190000000000001</c:v>
                </c:pt>
                <c:pt idx="685">
                  <c:v>0.19109999999999999</c:v>
                </c:pt>
                <c:pt idx="686">
                  <c:v>0.1653</c:v>
                </c:pt>
                <c:pt idx="687">
                  <c:v>0.3014</c:v>
                </c:pt>
                <c:pt idx="688">
                  <c:v>0.31509999999999999</c:v>
                </c:pt>
                <c:pt idx="689">
                  <c:v>0.3266</c:v>
                </c:pt>
                <c:pt idx="690">
                  <c:v>0.2903</c:v>
                </c:pt>
                <c:pt idx="691">
                  <c:v>0.35099999999999998</c:v>
                </c:pt>
                <c:pt idx="692">
                  <c:v>0.38119999999999998</c:v>
                </c:pt>
                <c:pt idx="693">
                  <c:v>0.39579999999999999</c:v>
                </c:pt>
                <c:pt idx="694">
                  <c:v>0.32569999999999999</c:v>
                </c:pt>
                <c:pt idx="695">
                  <c:v>0.33989999999999998</c:v>
                </c:pt>
                <c:pt idx="696">
                  <c:v>0.31709999999999999</c:v>
                </c:pt>
                <c:pt idx="697">
                  <c:v>0.28749999999999998</c:v>
                </c:pt>
                <c:pt idx="698">
                  <c:v>0.29370000000000002</c:v>
                </c:pt>
                <c:pt idx="699">
                  <c:v>0.30599999999999999</c:v>
                </c:pt>
                <c:pt idx="700">
                  <c:v>0.30990000000000001</c:v>
                </c:pt>
                <c:pt idx="701">
                  <c:v>0.30270000000000002</c:v>
                </c:pt>
                <c:pt idx="702">
                  <c:v>0.3266</c:v>
                </c:pt>
                <c:pt idx="703">
                  <c:v>0.36499999999999999</c:v>
                </c:pt>
                <c:pt idx="704">
                  <c:v>0.40329999999999999</c:v>
                </c:pt>
                <c:pt idx="705">
                  <c:v>0.40670000000000001</c:v>
                </c:pt>
                <c:pt idx="706">
                  <c:v>0.42220000000000002</c:v>
                </c:pt>
                <c:pt idx="707">
                  <c:v>0.3896</c:v>
                </c:pt>
                <c:pt idx="708">
                  <c:v>0.36330000000000001</c:v>
                </c:pt>
                <c:pt idx="709">
                  <c:v>0.3826</c:v>
                </c:pt>
                <c:pt idx="710">
                  <c:v>0.34549999999999997</c:v>
                </c:pt>
                <c:pt idx="711">
                  <c:v>0.35</c:v>
                </c:pt>
                <c:pt idx="712">
                  <c:v>0.35949999999999999</c:v>
                </c:pt>
                <c:pt idx="713">
                  <c:v>0.40360000000000001</c:v>
                </c:pt>
                <c:pt idx="714">
                  <c:v>0.38429999999999997</c:v>
                </c:pt>
                <c:pt idx="715">
                  <c:v>0.42299999999999999</c:v>
                </c:pt>
                <c:pt idx="716">
                  <c:v>0.41610000000000003</c:v>
                </c:pt>
                <c:pt idx="717">
                  <c:v>0.40770000000000001</c:v>
                </c:pt>
                <c:pt idx="718">
                  <c:v>0.438</c:v>
                </c:pt>
                <c:pt idx="719">
                  <c:v>0.40560000000000002</c:v>
                </c:pt>
                <c:pt idx="720">
                  <c:v>0.4123</c:v>
                </c:pt>
                <c:pt idx="721">
                  <c:v>0.45739999999999997</c:v>
                </c:pt>
                <c:pt idx="722">
                  <c:v>0.43690000000000001</c:v>
                </c:pt>
                <c:pt idx="723">
                  <c:v>0.5091</c:v>
                </c:pt>
                <c:pt idx="724">
                  <c:v>0.3705</c:v>
                </c:pt>
                <c:pt idx="725">
                  <c:v>0.31759999999999999</c:v>
                </c:pt>
                <c:pt idx="726">
                  <c:v>0.27510000000000001</c:v>
                </c:pt>
                <c:pt idx="727">
                  <c:v>0.25890000000000002</c:v>
                </c:pt>
                <c:pt idx="728">
                  <c:v>0.23799999999999999</c:v>
                </c:pt>
                <c:pt idx="729">
                  <c:v>0.2112</c:v>
                </c:pt>
                <c:pt idx="730">
                  <c:v>0.186</c:v>
                </c:pt>
                <c:pt idx="731">
                  <c:v>0.17749999999999999</c:v>
                </c:pt>
                <c:pt idx="732">
                  <c:v>0.17380000000000001</c:v>
                </c:pt>
                <c:pt idx="733">
                  <c:v>0.155</c:v>
                </c:pt>
                <c:pt idx="734">
                  <c:v>0.1507</c:v>
                </c:pt>
                <c:pt idx="735">
                  <c:v>0.14949999999999999</c:v>
                </c:pt>
                <c:pt idx="736">
                  <c:v>0.15640000000000001</c:v>
                </c:pt>
                <c:pt idx="737">
                  <c:v>0.157</c:v>
                </c:pt>
                <c:pt idx="738">
                  <c:v>0.15110000000000001</c:v>
                </c:pt>
                <c:pt idx="739">
                  <c:v>0.1462</c:v>
                </c:pt>
                <c:pt idx="740">
                  <c:v>0.1532</c:v>
                </c:pt>
                <c:pt idx="741">
                  <c:v>0.1527</c:v>
                </c:pt>
                <c:pt idx="742">
                  <c:v>0.14549999999999999</c:v>
                </c:pt>
                <c:pt idx="743">
                  <c:v>0.14299999999999999</c:v>
                </c:pt>
                <c:pt idx="744">
                  <c:v>0.1394</c:v>
                </c:pt>
                <c:pt idx="745">
                  <c:v>0.1229</c:v>
                </c:pt>
                <c:pt idx="746">
                  <c:v>0.1215</c:v>
                </c:pt>
                <c:pt idx="747">
                  <c:v>0.1202</c:v>
                </c:pt>
                <c:pt idx="748">
                  <c:v>0.1188</c:v>
                </c:pt>
                <c:pt idx="749">
                  <c:v>0.1167</c:v>
                </c:pt>
                <c:pt idx="750">
                  <c:v>0.1171</c:v>
                </c:pt>
                <c:pt idx="751">
                  <c:v>0.1201</c:v>
                </c:pt>
                <c:pt idx="752">
                  <c:v>0.12479999999999999</c:v>
                </c:pt>
                <c:pt idx="753">
                  <c:v>0.1135</c:v>
                </c:pt>
                <c:pt idx="754">
                  <c:v>0.1139</c:v>
                </c:pt>
                <c:pt idx="755">
                  <c:v>0.1142</c:v>
                </c:pt>
                <c:pt idx="756">
                  <c:v>0.1096</c:v>
                </c:pt>
                <c:pt idx="757">
                  <c:v>0.11459999999999999</c:v>
                </c:pt>
                <c:pt idx="758">
                  <c:v>0.1139</c:v>
                </c:pt>
                <c:pt idx="759">
                  <c:v>0.11559999999999999</c:v>
                </c:pt>
                <c:pt idx="760">
                  <c:v>0.1182</c:v>
                </c:pt>
                <c:pt idx="761">
                  <c:v>0.11799999999999999</c:v>
                </c:pt>
                <c:pt idx="762">
                  <c:v>0.1196</c:v>
                </c:pt>
                <c:pt idx="763">
                  <c:v>0.1195</c:v>
                </c:pt>
                <c:pt idx="764">
                  <c:v>0.1207</c:v>
                </c:pt>
                <c:pt idx="765">
                  <c:v>0.11899999999999999</c:v>
                </c:pt>
                <c:pt idx="766">
                  <c:v>0.1188</c:v>
                </c:pt>
                <c:pt idx="767">
                  <c:v>0.12470000000000001</c:v>
                </c:pt>
                <c:pt idx="768">
                  <c:v>0.11990000000000001</c:v>
                </c:pt>
                <c:pt idx="769">
                  <c:v>0.1186</c:v>
                </c:pt>
                <c:pt idx="770">
                  <c:v>0.1172</c:v>
                </c:pt>
                <c:pt idx="771">
                  <c:v>0.1202</c:v>
                </c:pt>
                <c:pt idx="772">
                  <c:v>0.1096</c:v>
                </c:pt>
                <c:pt idx="773">
                  <c:v>0.1195</c:v>
                </c:pt>
                <c:pt idx="774">
                  <c:v>0.126</c:v>
                </c:pt>
                <c:pt idx="775">
                  <c:v>0.1275</c:v>
                </c:pt>
                <c:pt idx="776">
                  <c:v>0.1323</c:v>
                </c:pt>
                <c:pt idx="777">
                  <c:v>0.13239999999999999</c:v>
                </c:pt>
                <c:pt idx="778">
                  <c:v>0.12790000000000001</c:v>
                </c:pt>
                <c:pt idx="779">
                  <c:v>0.1246</c:v>
                </c:pt>
                <c:pt idx="780">
                  <c:v>0.1336</c:v>
                </c:pt>
                <c:pt idx="781">
                  <c:v>0.13550000000000001</c:v>
                </c:pt>
                <c:pt idx="782">
                  <c:v>0.1363</c:v>
                </c:pt>
                <c:pt idx="783">
                  <c:v>0.13500000000000001</c:v>
                </c:pt>
                <c:pt idx="784">
                  <c:v>0.1328</c:v>
                </c:pt>
                <c:pt idx="785">
                  <c:v>0.1293</c:v>
                </c:pt>
                <c:pt idx="786">
                  <c:v>0.1331</c:v>
                </c:pt>
                <c:pt idx="787">
                  <c:v>0.13150000000000001</c:v>
                </c:pt>
                <c:pt idx="788">
                  <c:v>0.1338</c:v>
                </c:pt>
                <c:pt idx="789">
                  <c:v>0.1366</c:v>
                </c:pt>
                <c:pt idx="790">
                  <c:v>0.13800000000000001</c:v>
                </c:pt>
                <c:pt idx="791">
                  <c:v>0.13519999999999999</c:v>
                </c:pt>
                <c:pt idx="792">
                  <c:v>0.13789999999999999</c:v>
                </c:pt>
                <c:pt idx="793">
                  <c:v>0.12959999999999999</c:v>
                </c:pt>
                <c:pt idx="794">
                  <c:v>0.1273</c:v>
                </c:pt>
                <c:pt idx="795">
                  <c:v>0.12520000000000001</c:v>
                </c:pt>
                <c:pt idx="796">
                  <c:v>0.1366</c:v>
                </c:pt>
                <c:pt idx="797">
                  <c:v>0.13270000000000001</c:v>
                </c:pt>
                <c:pt idx="798">
                  <c:v>0.14419999999999999</c:v>
                </c:pt>
                <c:pt idx="799">
                  <c:v>0.156</c:v>
                </c:pt>
                <c:pt idx="800">
                  <c:v>0.16309999999999999</c:v>
                </c:pt>
                <c:pt idx="801">
                  <c:v>0.15609999999999999</c:v>
                </c:pt>
                <c:pt idx="802">
                  <c:v>0.1646</c:v>
                </c:pt>
                <c:pt idx="803">
                  <c:v>0.16059999999999999</c:v>
                </c:pt>
                <c:pt idx="804">
                  <c:v>0.157</c:v>
                </c:pt>
                <c:pt idx="805">
                  <c:v>0.1605</c:v>
                </c:pt>
                <c:pt idx="806">
                  <c:v>0.1633</c:v>
                </c:pt>
                <c:pt idx="807">
                  <c:v>0.161</c:v>
                </c:pt>
                <c:pt idx="808">
                  <c:v>0.16120000000000001</c:v>
                </c:pt>
                <c:pt idx="809">
                  <c:v>0.16750000000000001</c:v>
                </c:pt>
                <c:pt idx="810">
                  <c:v>0.16389999999999999</c:v>
                </c:pt>
                <c:pt idx="811">
                  <c:v>0.16470000000000001</c:v>
                </c:pt>
                <c:pt idx="812">
                  <c:v>0.1799</c:v>
                </c:pt>
                <c:pt idx="813">
                  <c:v>0.18179999999999999</c:v>
                </c:pt>
                <c:pt idx="814">
                  <c:v>0.18210000000000001</c:v>
                </c:pt>
                <c:pt idx="815">
                  <c:v>0.1774</c:v>
                </c:pt>
                <c:pt idx="816">
                  <c:v>0.1661</c:v>
                </c:pt>
                <c:pt idx="817">
                  <c:v>0.1646</c:v>
                </c:pt>
                <c:pt idx="818">
                  <c:v>0.1628</c:v>
                </c:pt>
                <c:pt idx="819">
                  <c:v>0.1618</c:v>
                </c:pt>
                <c:pt idx="820">
                  <c:v>0.16889999999999999</c:v>
                </c:pt>
                <c:pt idx="821">
                  <c:v>0.16539999999999999</c:v>
                </c:pt>
                <c:pt idx="822">
                  <c:v>0.1666</c:v>
                </c:pt>
                <c:pt idx="823">
                  <c:v>0.16489999999999999</c:v>
                </c:pt>
                <c:pt idx="824">
                  <c:v>0.1457</c:v>
                </c:pt>
                <c:pt idx="825">
                  <c:v>0.15110000000000001</c:v>
                </c:pt>
                <c:pt idx="826">
                  <c:v>0.14080000000000001</c:v>
                </c:pt>
                <c:pt idx="827">
                  <c:v>0.1414</c:v>
                </c:pt>
                <c:pt idx="828">
                  <c:v>0.15359999999999999</c:v>
                </c:pt>
                <c:pt idx="829">
                  <c:v>0.15559999999999999</c:v>
                </c:pt>
                <c:pt idx="830">
                  <c:v>0.157</c:v>
                </c:pt>
                <c:pt idx="831">
                  <c:v>0.15379999999999999</c:v>
                </c:pt>
                <c:pt idx="832">
                  <c:v>0.155</c:v>
                </c:pt>
                <c:pt idx="833">
                  <c:v>0.16059999999999999</c:v>
                </c:pt>
                <c:pt idx="834">
                  <c:v>0.15570000000000001</c:v>
                </c:pt>
                <c:pt idx="835">
                  <c:v>0.16009999999999999</c:v>
                </c:pt>
                <c:pt idx="836">
                  <c:v>0.1661</c:v>
                </c:pt>
                <c:pt idx="837">
                  <c:v>0.16569999999999999</c:v>
                </c:pt>
                <c:pt idx="838">
                  <c:v>0.16500000000000001</c:v>
                </c:pt>
                <c:pt idx="839">
                  <c:v>0.16400000000000001</c:v>
                </c:pt>
                <c:pt idx="840">
                  <c:v>0.17380000000000001</c:v>
                </c:pt>
                <c:pt idx="841">
                  <c:v>0.1762</c:v>
                </c:pt>
                <c:pt idx="842">
                  <c:v>0.17879999999999999</c:v>
                </c:pt>
                <c:pt idx="843">
                  <c:v>0.17199999999999999</c:v>
                </c:pt>
                <c:pt idx="844">
                  <c:v>0.16520000000000001</c:v>
                </c:pt>
                <c:pt idx="845">
                  <c:v>0.17080000000000001</c:v>
                </c:pt>
                <c:pt idx="846">
                  <c:v>0.16889999999999999</c:v>
                </c:pt>
                <c:pt idx="847">
                  <c:v>0.1646</c:v>
                </c:pt>
                <c:pt idx="848">
                  <c:v>0.1668</c:v>
                </c:pt>
                <c:pt idx="849">
                  <c:v>0.1648</c:v>
                </c:pt>
                <c:pt idx="850">
                  <c:v>0.16739999999999999</c:v>
                </c:pt>
                <c:pt idx="851">
                  <c:v>0.16300000000000001</c:v>
                </c:pt>
                <c:pt idx="852">
                  <c:v>0.16520000000000001</c:v>
                </c:pt>
                <c:pt idx="853">
                  <c:v>0.1648</c:v>
                </c:pt>
                <c:pt idx="854">
                  <c:v>0.159</c:v>
                </c:pt>
                <c:pt idx="855">
                  <c:v>0.1681</c:v>
                </c:pt>
                <c:pt idx="856">
                  <c:v>0.1623</c:v>
                </c:pt>
                <c:pt idx="857">
                  <c:v>0.19239999999999999</c:v>
                </c:pt>
                <c:pt idx="858">
                  <c:v>0.20069999999999999</c:v>
                </c:pt>
                <c:pt idx="859">
                  <c:v>0.20699999999999999</c:v>
                </c:pt>
                <c:pt idx="860">
                  <c:v>0.20880000000000001</c:v>
                </c:pt>
                <c:pt idx="861">
                  <c:v>0.2112</c:v>
                </c:pt>
                <c:pt idx="862">
                  <c:v>0.21759999999999999</c:v>
                </c:pt>
                <c:pt idx="863">
                  <c:v>0.2089</c:v>
                </c:pt>
                <c:pt idx="864">
                  <c:v>0.20050000000000001</c:v>
                </c:pt>
                <c:pt idx="865">
                  <c:v>0.20080000000000001</c:v>
                </c:pt>
                <c:pt idx="866">
                  <c:v>0.1976</c:v>
                </c:pt>
                <c:pt idx="867">
                  <c:v>0.19800000000000001</c:v>
                </c:pt>
                <c:pt idx="868">
                  <c:v>0.20219999999999999</c:v>
                </c:pt>
                <c:pt idx="869">
                  <c:v>0.19259999999999999</c:v>
                </c:pt>
                <c:pt idx="870">
                  <c:v>0.20430000000000001</c:v>
                </c:pt>
                <c:pt idx="871">
                  <c:v>0.20849999999999999</c:v>
                </c:pt>
                <c:pt idx="872">
                  <c:v>0.20050000000000001</c:v>
                </c:pt>
                <c:pt idx="873">
                  <c:v>0.20319999999999999</c:v>
                </c:pt>
                <c:pt idx="874">
                  <c:v>0.19109999999999999</c:v>
                </c:pt>
                <c:pt idx="875">
                  <c:v>0.19689999999999999</c:v>
                </c:pt>
                <c:pt idx="876">
                  <c:v>0.2029</c:v>
                </c:pt>
                <c:pt idx="877">
                  <c:v>0.2069</c:v>
                </c:pt>
                <c:pt idx="878">
                  <c:v>0.21079999999999999</c:v>
                </c:pt>
                <c:pt idx="879">
                  <c:v>0.20910000000000001</c:v>
                </c:pt>
                <c:pt idx="880">
                  <c:v>0.2054</c:v>
                </c:pt>
                <c:pt idx="881">
                  <c:v>0.2127</c:v>
                </c:pt>
                <c:pt idx="882">
                  <c:v>0.21149999999999999</c:v>
                </c:pt>
                <c:pt idx="883">
                  <c:v>0.20449999999999999</c:v>
                </c:pt>
                <c:pt idx="884">
                  <c:v>0.22209999999999999</c:v>
                </c:pt>
                <c:pt idx="885">
                  <c:v>0.2402</c:v>
                </c:pt>
                <c:pt idx="886">
                  <c:v>0.22309999999999999</c:v>
                </c:pt>
                <c:pt idx="887">
                  <c:v>0.24199999999999999</c:v>
                </c:pt>
                <c:pt idx="888">
                  <c:v>0.24229999999999999</c:v>
                </c:pt>
                <c:pt idx="889">
                  <c:v>0.22550000000000001</c:v>
                </c:pt>
                <c:pt idx="890">
                  <c:v>0.1895</c:v>
                </c:pt>
                <c:pt idx="891">
                  <c:v>0.19550000000000001</c:v>
                </c:pt>
                <c:pt idx="892">
                  <c:v>0.1948</c:v>
                </c:pt>
                <c:pt idx="893">
                  <c:v>0.19950000000000001</c:v>
                </c:pt>
                <c:pt idx="894">
                  <c:v>0.19750000000000001</c:v>
                </c:pt>
                <c:pt idx="895">
                  <c:v>0.19170000000000001</c:v>
                </c:pt>
                <c:pt idx="896">
                  <c:v>0.2011</c:v>
                </c:pt>
                <c:pt idx="897">
                  <c:v>0.18709999999999999</c:v>
                </c:pt>
                <c:pt idx="898">
                  <c:v>0.20019999999999999</c:v>
                </c:pt>
                <c:pt idx="899">
                  <c:v>0.20100000000000001</c:v>
                </c:pt>
                <c:pt idx="900">
                  <c:v>0.20399999999999999</c:v>
                </c:pt>
                <c:pt idx="901">
                  <c:v>0.20230000000000001</c:v>
                </c:pt>
                <c:pt idx="902">
                  <c:v>0.19450000000000001</c:v>
                </c:pt>
                <c:pt idx="903">
                  <c:v>0.21640000000000001</c:v>
                </c:pt>
                <c:pt idx="904">
                  <c:v>0.21859999999999999</c:v>
                </c:pt>
                <c:pt idx="905">
                  <c:v>0.23119999999999999</c:v>
                </c:pt>
                <c:pt idx="906">
                  <c:v>0.23960000000000001</c:v>
                </c:pt>
                <c:pt idx="907">
                  <c:v>0.2379</c:v>
                </c:pt>
                <c:pt idx="908">
                  <c:v>0.24010000000000001</c:v>
                </c:pt>
                <c:pt idx="909">
                  <c:v>0.24859999999999999</c:v>
                </c:pt>
                <c:pt idx="910">
                  <c:v>0.25030000000000002</c:v>
                </c:pt>
                <c:pt idx="911">
                  <c:v>0.26629999999999998</c:v>
                </c:pt>
                <c:pt idx="912">
                  <c:v>0.255</c:v>
                </c:pt>
                <c:pt idx="913">
                  <c:v>0.25540000000000002</c:v>
                </c:pt>
                <c:pt idx="914">
                  <c:v>0.25900000000000001</c:v>
                </c:pt>
                <c:pt idx="915">
                  <c:v>0.26390000000000002</c:v>
                </c:pt>
                <c:pt idx="916">
                  <c:v>0.27860000000000001</c:v>
                </c:pt>
                <c:pt idx="917">
                  <c:v>0.27779999999999999</c:v>
                </c:pt>
                <c:pt idx="918">
                  <c:v>0.26719999999999999</c:v>
                </c:pt>
                <c:pt idx="919">
                  <c:v>0.26290000000000002</c:v>
                </c:pt>
                <c:pt idx="920">
                  <c:v>0.26390000000000002</c:v>
                </c:pt>
                <c:pt idx="921">
                  <c:v>0.26900000000000002</c:v>
                </c:pt>
                <c:pt idx="922">
                  <c:v>0.27110000000000001</c:v>
                </c:pt>
                <c:pt idx="923">
                  <c:v>0.26440000000000002</c:v>
                </c:pt>
                <c:pt idx="924">
                  <c:v>0.2712</c:v>
                </c:pt>
                <c:pt idx="925">
                  <c:v>0.2591</c:v>
                </c:pt>
                <c:pt idx="926">
                  <c:v>0.24030000000000001</c:v>
                </c:pt>
                <c:pt idx="927">
                  <c:v>0.27600000000000002</c:v>
                </c:pt>
                <c:pt idx="928">
                  <c:v>0.2863</c:v>
                </c:pt>
                <c:pt idx="929">
                  <c:v>0.29659999999999997</c:v>
                </c:pt>
                <c:pt idx="930">
                  <c:v>0.30880000000000002</c:v>
                </c:pt>
                <c:pt idx="931">
                  <c:v>0.29120000000000001</c:v>
                </c:pt>
                <c:pt idx="932">
                  <c:v>0.3301</c:v>
                </c:pt>
                <c:pt idx="933">
                  <c:v>0.33160000000000001</c:v>
                </c:pt>
                <c:pt idx="934">
                  <c:v>0.33300000000000002</c:v>
                </c:pt>
                <c:pt idx="935">
                  <c:v>0.3543</c:v>
                </c:pt>
                <c:pt idx="936">
                  <c:v>0.31309999999999999</c:v>
                </c:pt>
                <c:pt idx="937">
                  <c:v>0.30170000000000002</c:v>
                </c:pt>
                <c:pt idx="938">
                  <c:v>0.30620000000000003</c:v>
                </c:pt>
                <c:pt idx="939">
                  <c:v>0.30630000000000002</c:v>
                </c:pt>
                <c:pt idx="940">
                  <c:v>0.30349999999999999</c:v>
                </c:pt>
                <c:pt idx="941">
                  <c:v>0.31259999999999999</c:v>
                </c:pt>
                <c:pt idx="942">
                  <c:v>0.30520000000000003</c:v>
                </c:pt>
                <c:pt idx="943">
                  <c:v>0.33339999999999997</c:v>
                </c:pt>
                <c:pt idx="944">
                  <c:v>0.31659999999999999</c:v>
                </c:pt>
                <c:pt idx="945">
                  <c:v>0.30769999999999997</c:v>
                </c:pt>
                <c:pt idx="946">
                  <c:v>0.3473</c:v>
                </c:pt>
                <c:pt idx="947">
                  <c:v>0.33439999999999998</c:v>
                </c:pt>
                <c:pt idx="948">
                  <c:v>0.34250000000000003</c:v>
                </c:pt>
                <c:pt idx="949">
                  <c:v>0.33789999999999998</c:v>
                </c:pt>
                <c:pt idx="950">
                  <c:v>0.34810000000000002</c:v>
                </c:pt>
                <c:pt idx="951">
                  <c:v>0.3306</c:v>
                </c:pt>
                <c:pt idx="952">
                  <c:v>0.33910000000000001</c:v>
                </c:pt>
                <c:pt idx="953">
                  <c:v>0.35630000000000001</c:v>
                </c:pt>
                <c:pt idx="954">
                  <c:v>0.35670000000000002</c:v>
                </c:pt>
                <c:pt idx="955">
                  <c:v>0.36170000000000002</c:v>
                </c:pt>
                <c:pt idx="956">
                  <c:v>0.36620000000000003</c:v>
                </c:pt>
                <c:pt idx="957">
                  <c:v>0.37159999999999999</c:v>
                </c:pt>
                <c:pt idx="958">
                  <c:v>0.37030000000000002</c:v>
                </c:pt>
                <c:pt idx="959">
                  <c:v>0.38319999999999999</c:v>
                </c:pt>
                <c:pt idx="960">
                  <c:v>0.39639999999999997</c:v>
                </c:pt>
                <c:pt idx="961">
                  <c:v>0.377</c:v>
                </c:pt>
                <c:pt idx="962">
                  <c:v>0.37880000000000003</c:v>
                </c:pt>
                <c:pt idx="963">
                  <c:v>0.35299999999999998</c:v>
                </c:pt>
                <c:pt idx="964">
                  <c:v>0.376</c:v>
                </c:pt>
                <c:pt idx="965">
                  <c:v>0.37909999999999999</c:v>
                </c:pt>
                <c:pt idx="966">
                  <c:v>0.3659</c:v>
                </c:pt>
                <c:pt idx="967">
                  <c:v>0.3594</c:v>
                </c:pt>
                <c:pt idx="968">
                  <c:v>0.36070000000000002</c:v>
                </c:pt>
                <c:pt idx="969">
                  <c:v>0.38619999999999999</c:v>
                </c:pt>
                <c:pt idx="970">
                  <c:v>0.43009999999999998</c:v>
                </c:pt>
                <c:pt idx="971">
                  <c:v>0.38719999999999999</c:v>
                </c:pt>
                <c:pt idx="972">
                  <c:v>0.3987</c:v>
                </c:pt>
                <c:pt idx="973">
                  <c:v>0.38679999999999998</c:v>
                </c:pt>
                <c:pt idx="974">
                  <c:v>0.40810000000000002</c:v>
                </c:pt>
                <c:pt idx="975">
                  <c:v>0.39989999999999998</c:v>
                </c:pt>
                <c:pt idx="976">
                  <c:v>0.39200000000000002</c:v>
                </c:pt>
                <c:pt idx="977">
                  <c:v>0.37859999999999999</c:v>
                </c:pt>
                <c:pt idx="978">
                  <c:v>0.37659999999999999</c:v>
                </c:pt>
                <c:pt idx="979">
                  <c:v>0.38600000000000001</c:v>
                </c:pt>
                <c:pt idx="980">
                  <c:v>0.38150000000000001</c:v>
                </c:pt>
                <c:pt idx="981">
                  <c:v>0.3745</c:v>
                </c:pt>
                <c:pt idx="982">
                  <c:v>0.40160000000000001</c:v>
                </c:pt>
                <c:pt idx="983">
                  <c:v>0.36899999999999999</c:v>
                </c:pt>
                <c:pt idx="984">
                  <c:v>0.38219999999999998</c:v>
                </c:pt>
                <c:pt idx="985">
                  <c:v>0.371</c:v>
                </c:pt>
                <c:pt idx="986">
                  <c:v>0.3735</c:v>
                </c:pt>
                <c:pt idx="987">
                  <c:v>0.38969999999999999</c:v>
                </c:pt>
                <c:pt idx="988">
                  <c:v>0.39860000000000001</c:v>
                </c:pt>
                <c:pt idx="989">
                  <c:v>0.3594</c:v>
                </c:pt>
                <c:pt idx="990">
                  <c:v>0.32950000000000002</c:v>
                </c:pt>
                <c:pt idx="991">
                  <c:v>0.32429999999999998</c:v>
                </c:pt>
                <c:pt idx="992">
                  <c:v>0.34100000000000003</c:v>
                </c:pt>
                <c:pt idx="993">
                  <c:v>0.3206</c:v>
                </c:pt>
                <c:pt idx="994">
                  <c:v>0.2923</c:v>
                </c:pt>
                <c:pt idx="995">
                  <c:v>0.31430000000000002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AA8-A921-DDA43F8B8C2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2.5962700687525215</c:v>
                </c:pt>
                <c:pt idx="1">
                  <c:v>2.6014464977525216</c:v>
                </c:pt>
                <c:pt idx="2">
                  <c:v>2.644156648888885</c:v>
                </c:pt>
                <c:pt idx="3">
                  <c:v>2.5964768000653558</c:v>
                </c:pt>
                <c:pt idx="4">
                  <c:v>2.5942898038880222</c:v>
                </c:pt>
                <c:pt idx="5">
                  <c:v>2.5810373237213553</c:v>
                </c:pt>
                <c:pt idx="6">
                  <c:v>2.6116285031495434</c:v>
                </c:pt>
                <c:pt idx="7">
                  <c:v>2.7079684839495433</c:v>
                </c:pt>
                <c:pt idx="8">
                  <c:v>2.7497060187608642</c:v>
                </c:pt>
                <c:pt idx="9">
                  <c:v>2.7739648021401746</c:v>
                </c:pt>
                <c:pt idx="10">
                  <c:v>2.7756922609072978</c:v>
                </c:pt>
                <c:pt idx="11">
                  <c:v>2.8035770994906311</c:v>
                </c:pt>
                <c:pt idx="12">
                  <c:v>2.7816544846257663</c:v>
                </c:pt>
                <c:pt idx="13">
                  <c:v>2.7692971197609011</c:v>
                </c:pt>
                <c:pt idx="14">
                  <c:v>2.7961092527303673</c:v>
                </c:pt>
                <c:pt idx="15">
                  <c:v>2.8539325875531518</c:v>
                </c:pt>
                <c:pt idx="16">
                  <c:v>2.8018363737503349</c:v>
                </c:pt>
                <c:pt idx="17">
                  <c:v>2.7505481688446749</c:v>
                </c:pt>
                <c:pt idx="18">
                  <c:v>2.7721768624587244</c:v>
                </c:pt>
                <c:pt idx="19">
                  <c:v>2.7604050107195945</c:v>
                </c:pt>
                <c:pt idx="20">
                  <c:v>2.8054605462800257</c:v>
                </c:pt>
                <c:pt idx="21">
                  <c:v>2.853476105149837</c:v>
                </c:pt>
                <c:pt idx="22">
                  <c:v>2.7944265332165035</c:v>
                </c:pt>
                <c:pt idx="23">
                  <c:v>2.8611490483238207</c:v>
                </c:pt>
                <c:pt idx="24">
                  <c:v>2.8533706610615259</c:v>
                </c:pt>
                <c:pt idx="25">
                  <c:v>2.8874238800204304</c:v>
                </c:pt>
                <c:pt idx="26">
                  <c:v>2.8418997630373792</c:v>
                </c:pt>
                <c:pt idx="27">
                  <c:v>2.7852194884286838</c:v>
                </c:pt>
                <c:pt idx="28">
                  <c:v>2.8237868613258796</c:v>
                </c:pt>
                <c:pt idx="29">
                  <c:v>3.115692688802516</c:v>
                </c:pt>
                <c:pt idx="30">
                  <c:v>3.2964291022077785</c:v>
                </c:pt>
                <c:pt idx="31">
                  <c:v>3.1922953989902059</c:v>
                </c:pt>
                <c:pt idx="32">
                  <c:v>3.2705088704674781</c:v>
                </c:pt>
                <c:pt idx="33">
                  <c:v>3.2559414525674777</c:v>
                </c:pt>
                <c:pt idx="34">
                  <c:v>3.2413041017375459</c:v>
                </c:pt>
                <c:pt idx="35">
                  <c:v>3.2348381889099591</c:v>
                </c:pt>
                <c:pt idx="36">
                  <c:v>3.189834071256898</c:v>
                </c:pt>
                <c:pt idx="37">
                  <c:v>3.1081000398644063</c:v>
                </c:pt>
                <c:pt idx="38">
                  <c:v>3.0701142160933217</c:v>
                </c:pt>
                <c:pt idx="39">
                  <c:v>3.0231077114504648</c:v>
                </c:pt>
                <c:pt idx="40">
                  <c:v>3.0442603614504646</c:v>
                </c:pt>
                <c:pt idx="41">
                  <c:v>3.0313859535171312</c:v>
                </c:pt>
                <c:pt idx="42">
                  <c:v>3.0225260442064519</c:v>
                </c:pt>
                <c:pt idx="43">
                  <c:v>3.0656020333493088</c:v>
                </c:pt>
                <c:pt idx="44">
                  <c:v>3.009105850700454</c:v>
                </c:pt>
                <c:pt idx="45">
                  <c:v>2.9911323647633909</c:v>
                </c:pt>
                <c:pt idx="46">
                  <c:v>3.0446184158591989</c:v>
                </c:pt>
                <c:pt idx="47">
                  <c:v>3.0257710548591992</c:v>
                </c:pt>
                <c:pt idx="48">
                  <c:v>3.0238808865515066</c:v>
                </c:pt>
                <c:pt idx="49">
                  <c:v>3.0912642260386862</c:v>
                </c:pt>
                <c:pt idx="50">
                  <c:v>3.1612604546189331</c:v>
                </c:pt>
                <c:pt idx="51">
                  <c:v>3.1212822638189333</c:v>
                </c:pt>
                <c:pt idx="52">
                  <c:v>3.1497763189643879</c:v>
                </c:pt>
                <c:pt idx="53">
                  <c:v>3.0345217856786735</c:v>
                </c:pt>
                <c:pt idx="54">
                  <c:v>3.0903770636112577</c:v>
                </c:pt>
                <c:pt idx="55">
                  <c:v>3.0821062840127453</c:v>
                </c:pt>
                <c:pt idx="56">
                  <c:v>3.133102740427379</c:v>
                </c:pt>
                <c:pt idx="57">
                  <c:v>3.1462989706918418</c:v>
                </c:pt>
                <c:pt idx="58">
                  <c:v>3.1594655046753131</c:v>
                </c:pt>
                <c:pt idx="59">
                  <c:v>3.176590897751649</c:v>
                </c:pt>
                <c:pt idx="60">
                  <c:v>3.1574080643120883</c:v>
                </c:pt>
                <c:pt idx="61">
                  <c:v>3.1003689880263741</c:v>
                </c:pt>
                <c:pt idx="62">
                  <c:v>3.1303298825091326</c:v>
                </c:pt>
                <c:pt idx="63">
                  <c:v>3.241342374833232</c:v>
                </c:pt>
                <c:pt idx="64">
                  <c:v>3.2229085045158667</c:v>
                </c:pt>
                <c:pt idx="65">
                  <c:v>3.2407183370004029</c:v>
                </c:pt>
                <c:pt idx="66">
                  <c:v>3.2610300252071065</c:v>
                </c:pt>
                <c:pt idx="67">
                  <c:v>3.4489715037037949</c:v>
                </c:pt>
                <c:pt idx="68">
                  <c:v>3.3567034451482396</c:v>
                </c:pt>
                <c:pt idx="69">
                  <c:v>3.332908606318453</c:v>
                </c:pt>
                <c:pt idx="70">
                  <c:v>3.2962579841135349</c:v>
                </c:pt>
                <c:pt idx="71">
                  <c:v>3.3868939345702511</c:v>
                </c:pt>
                <c:pt idx="72">
                  <c:v>3.3438218217281461</c:v>
                </c:pt>
                <c:pt idx="73">
                  <c:v>3.4347840319276468</c:v>
                </c:pt>
                <c:pt idx="74">
                  <c:v>3.5107927854276468</c:v>
                </c:pt>
                <c:pt idx="75">
                  <c:v>3.5008008673456792</c:v>
                </c:pt>
                <c:pt idx="76">
                  <c:v>3.4492311360507157</c:v>
                </c:pt>
                <c:pt idx="77">
                  <c:v>3.3815182542239</c:v>
                </c:pt>
                <c:pt idx="78">
                  <c:v>3.3824103508148093</c:v>
                </c:pt>
                <c:pt idx="79">
                  <c:v>3.4079878933042353</c:v>
                </c:pt>
                <c:pt idx="80">
                  <c:v>3.4198777552042352</c:v>
                </c:pt>
                <c:pt idx="81">
                  <c:v>3.3693948849008644</c:v>
                </c:pt>
                <c:pt idx="82">
                  <c:v>3.403495400002905</c:v>
                </c:pt>
                <c:pt idx="83">
                  <c:v>3.3931711512644434</c:v>
                </c:pt>
                <c:pt idx="84">
                  <c:v>3.4280770261371707</c:v>
                </c:pt>
                <c:pt idx="85">
                  <c:v>3.4433268086169395</c:v>
                </c:pt>
                <c:pt idx="86">
                  <c:v>3.4741217317653779</c:v>
                </c:pt>
                <c:pt idx="87">
                  <c:v>3.4403473090839611</c:v>
                </c:pt>
                <c:pt idx="88">
                  <c:v>3.405002454410321</c:v>
                </c:pt>
                <c:pt idx="89">
                  <c:v>3.3346473932510294</c:v>
                </c:pt>
                <c:pt idx="90">
                  <c:v>3.363429569501029</c:v>
                </c:pt>
                <c:pt idx="91">
                  <c:v>3.3414650078221304</c:v>
                </c:pt>
                <c:pt idx="92">
                  <c:v>3.2997707163272851</c:v>
                </c:pt>
                <c:pt idx="93">
                  <c:v>3.3567344432932908</c:v>
                </c:pt>
                <c:pt idx="94">
                  <c:v>3.377710950677129</c:v>
                </c:pt>
                <c:pt idx="95">
                  <c:v>3.3493470249874742</c:v>
                </c:pt>
                <c:pt idx="96">
                  <c:v>3.3424735389493785</c:v>
                </c:pt>
                <c:pt idx="97">
                  <c:v>3.3378904694230633</c:v>
                </c:pt>
                <c:pt idx="98">
                  <c:v>3.3488724573397302</c:v>
                </c:pt>
                <c:pt idx="99">
                  <c:v>3.383765912543323</c:v>
                </c:pt>
                <c:pt idx="100">
                  <c:v>3.3566145401125533</c:v>
                </c:pt>
                <c:pt idx="101">
                  <c:v>3.3632170485687745</c:v>
                </c:pt>
                <c:pt idx="102">
                  <c:v>3.4041821550289519</c:v>
                </c:pt>
                <c:pt idx="103">
                  <c:v>3.4175983487233963</c:v>
                </c:pt>
                <c:pt idx="104">
                  <c:v>3.4386867795775631</c:v>
                </c:pt>
                <c:pt idx="105">
                  <c:v>3.4612056770210411</c:v>
                </c:pt>
                <c:pt idx="106">
                  <c:v>3.4961123532028591</c:v>
                </c:pt>
                <c:pt idx="107">
                  <c:v>3.4577818249114305</c:v>
                </c:pt>
                <c:pt idx="108">
                  <c:v>3.4727079243341112</c:v>
                </c:pt>
                <c:pt idx="109">
                  <c:v>3.4898082082956496</c:v>
                </c:pt>
                <c:pt idx="110">
                  <c:v>3.5588672991664629</c:v>
                </c:pt>
                <c:pt idx="111">
                  <c:v>3.5565702677016744</c:v>
                </c:pt>
                <c:pt idx="112">
                  <c:v>3.5648445697169411</c:v>
                </c:pt>
                <c:pt idx="113">
                  <c:v>3.5781174299669409</c:v>
                </c:pt>
                <c:pt idx="114">
                  <c:v>3.5563320346515286</c:v>
                </c:pt>
                <c:pt idx="115">
                  <c:v>3.6427209217082215</c:v>
                </c:pt>
                <c:pt idx="116">
                  <c:v>3.6366957077431561</c:v>
                </c:pt>
                <c:pt idx="117">
                  <c:v>3.5957193695543159</c:v>
                </c:pt>
                <c:pt idx="118">
                  <c:v>3.6131325800145668</c:v>
                </c:pt>
                <c:pt idx="119">
                  <c:v>3.4332187942405081</c:v>
                </c:pt>
                <c:pt idx="120">
                  <c:v>3.3828994622259096</c:v>
                </c:pt>
                <c:pt idx="121">
                  <c:v>3.396213565959243</c:v>
                </c:pt>
                <c:pt idx="122">
                  <c:v>3.4544057832194062</c:v>
                </c:pt>
                <c:pt idx="123">
                  <c:v>3.5298550063871081</c:v>
                </c:pt>
                <c:pt idx="124">
                  <c:v>3.4820498955622052</c:v>
                </c:pt>
                <c:pt idx="125">
                  <c:v>3.4956244290869578</c:v>
                </c:pt>
                <c:pt idx="126">
                  <c:v>3.518436740805404</c:v>
                </c:pt>
                <c:pt idx="127">
                  <c:v>3.4659299380591357</c:v>
                </c:pt>
                <c:pt idx="128">
                  <c:v>3.4055191549379238</c:v>
                </c:pt>
                <c:pt idx="129">
                  <c:v>3.4752254323696579</c:v>
                </c:pt>
                <c:pt idx="130">
                  <c:v>3.5099406944710405</c:v>
                </c:pt>
                <c:pt idx="131">
                  <c:v>3.5411224693978696</c:v>
                </c:pt>
                <c:pt idx="132">
                  <c:v>3.5255057282973112</c:v>
                </c:pt>
                <c:pt idx="133">
                  <c:v>3.5800204112356995</c:v>
                </c:pt>
                <c:pt idx="134">
                  <c:v>3.6452010702357001</c:v>
                </c:pt>
                <c:pt idx="135">
                  <c:v>3.5392589568516701</c:v>
                </c:pt>
                <c:pt idx="136">
                  <c:v>3.2884685497032606</c:v>
                </c:pt>
                <c:pt idx="137">
                  <c:v>3.08284680141427</c:v>
                </c:pt>
                <c:pt idx="138">
                  <c:v>3.0922057807620957</c:v>
                </c:pt>
                <c:pt idx="139">
                  <c:v>3.1368201141521665</c:v>
                </c:pt>
                <c:pt idx="140">
                  <c:v>3.4320511801607951</c:v>
                </c:pt>
                <c:pt idx="141">
                  <c:v>3.3509340145045448</c:v>
                </c:pt>
                <c:pt idx="142">
                  <c:v>3.2400064615184978</c:v>
                </c:pt>
                <c:pt idx="143">
                  <c:v>3.2908405300763297</c:v>
                </c:pt>
                <c:pt idx="144">
                  <c:v>3.2875449588893293</c:v>
                </c:pt>
                <c:pt idx="145">
                  <c:v>3.1520004374113078</c:v>
                </c:pt>
                <c:pt idx="146">
                  <c:v>3.0696350106956216</c:v>
                </c:pt>
                <c:pt idx="147">
                  <c:v>3.0117434957309155</c:v>
                </c:pt>
                <c:pt idx="148">
                  <c:v>2.9882063030869159</c:v>
                </c:pt>
                <c:pt idx="149">
                  <c:v>2.8682237739202487</c:v>
                </c:pt>
                <c:pt idx="150">
                  <c:v>2.8672613706083219</c:v>
                </c:pt>
                <c:pt idx="151">
                  <c:v>2.914172955008322</c:v>
                </c:pt>
                <c:pt idx="152">
                  <c:v>2.9023200376305445</c:v>
                </c:pt>
                <c:pt idx="153">
                  <c:v>2.8842869182123625</c:v>
                </c:pt>
                <c:pt idx="154">
                  <c:v>2.7857840896123625</c:v>
                </c:pt>
                <c:pt idx="155">
                  <c:v>2.8698547823895364</c:v>
                </c:pt>
                <c:pt idx="156">
                  <c:v>2.7958066278323934</c:v>
                </c:pt>
                <c:pt idx="157">
                  <c:v>2.9077060536274755</c:v>
                </c:pt>
                <c:pt idx="158">
                  <c:v>2.8284796773992325</c:v>
                </c:pt>
                <c:pt idx="159">
                  <c:v>2.8136596158489304</c:v>
                </c:pt>
                <c:pt idx="160">
                  <c:v>2.8677139425571769</c:v>
                </c:pt>
                <c:pt idx="161">
                  <c:v>2.782294604076625</c:v>
                </c:pt>
                <c:pt idx="162">
                  <c:v>2.6995012950698407</c:v>
                </c:pt>
                <c:pt idx="163">
                  <c:v>2.673869729641269</c:v>
                </c:pt>
                <c:pt idx="164">
                  <c:v>2.7815985183104699</c:v>
                </c:pt>
                <c:pt idx="165">
                  <c:v>2.8666165434908679</c:v>
                </c:pt>
                <c:pt idx="166">
                  <c:v>2.8270734125671182</c:v>
                </c:pt>
                <c:pt idx="167">
                  <c:v>2.7627416768774857</c:v>
                </c:pt>
                <c:pt idx="168">
                  <c:v>2.7028552257189085</c:v>
                </c:pt>
                <c:pt idx="169">
                  <c:v>2.7454515974938292</c:v>
                </c:pt>
                <c:pt idx="170">
                  <c:v>2.7466655950537717</c:v>
                </c:pt>
                <c:pt idx="171">
                  <c:v>2.7322017051008141</c:v>
                </c:pt>
                <c:pt idx="172">
                  <c:v>2.6398390928321311</c:v>
                </c:pt>
                <c:pt idx="173">
                  <c:v>2.6973917811727235</c:v>
                </c:pt>
                <c:pt idx="174">
                  <c:v>2.6935833044402555</c:v>
                </c:pt>
                <c:pt idx="175">
                  <c:v>2.6370771708321663</c:v>
                </c:pt>
                <c:pt idx="176">
                  <c:v>2.6571157114618549</c:v>
                </c:pt>
                <c:pt idx="177">
                  <c:v>2.5933230398759726</c:v>
                </c:pt>
                <c:pt idx="178">
                  <c:v>2.5999730075217991</c:v>
                </c:pt>
                <c:pt idx="179">
                  <c:v>2.5028642447070202</c:v>
                </c:pt>
                <c:pt idx="180">
                  <c:v>2.586793727737037</c:v>
                </c:pt>
                <c:pt idx="181">
                  <c:v>2.5576389535620718</c:v>
                </c:pt>
                <c:pt idx="182">
                  <c:v>2.4518898824629924</c:v>
                </c:pt>
                <c:pt idx="183">
                  <c:v>2.3994199972337853</c:v>
                </c:pt>
                <c:pt idx="184">
                  <c:v>2.3755399716041401</c:v>
                </c:pt>
                <c:pt idx="185">
                  <c:v>2.3317087872840196</c:v>
                </c:pt>
                <c:pt idx="186">
                  <c:v>2.3763734366864151</c:v>
                </c:pt>
                <c:pt idx="187">
                  <c:v>2.3308843622393347</c:v>
                </c:pt>
                <c:pt idx="188">
                  <c:v>2.317337927675033</c:v>
                </c:pt>
                <c:pt idx="189">
                  <c:v>2.2736035092541194</c:v>
                </c:pt>
                <c:pt idx="190">
                  <c:v>2.2435252270212978</c:v>
                </c:pt>
                <c:pt idx="191">
                  <c:v>2.1667423162158892</c:v>
                </c:pt>
                <c:pt idx="192">
                  <c:v>2.1916633306700746</c:v>
                </c:pt>
                <c:pt idx="193">
                  <c:v>2.2345669190504518</c:v>
                </c:pt>
                <c:pt idx="194">
                  <c:v>2.268132678673124</c:v>
                </c:pt>
                <c:pt idx="195">
                  <c:v>2.19725991750594</c:v>
                </c:pt>
                <c:pt idx="196">
                  <c:v>2.2438637652329896</c:v>
                </c:pt>
                <c:pt idx="197">
                  <c:v>2.271997591875877</c:v>
                </c:pt>
                <c:pt idx="198">
                  <c:v>2.2565243399296953</c:v>
                </c:pt>
                <c:pt idx="199">
                  <c:v>2.3092506798346597</c:v>
                </c:pt>
                <c:pt idx="200">
                  <c:v>2.3218500622186387</c:v>
                </c:pt>
                <c:pt idx="201">
                  <c:v>2.2567453434197113</c:v>
                </c:pt>
                <c:pt idx="202">
                  <c:v>2.2956963016690848</c:v>
                </c:pt>
                <c:pt idx="203">
                  <c:v>2.271392141029406</c:v>
                </c:pt>
                <c:pt idx="204">
                  <c:v>2.0674192216067087</c:v>
                </c:pt>
                <c:pt idx="205">
                  <c:v>2.0557986049516068</c:v>
                </c:pt>
                <c:pt idx="206">
                  <c:v>2.0149796610368322</c:v>
                </c:pt>
                <c:pt idx="207">
                  <c:v>1.9154405900824321</c:v>
                </c:pt>
                <c:pt idx="208">
                  <c:v>1.8800363213956477</c:v>
                </c:pt>
                <c:pt idx="209">
                  <c:v>1.8399805390756869</c:v>
                </c:pt>
                <c:pt idx="210">
                  <c:v>1.7944409479909516</c:v>
                </c:pt>
                <c:pt idx="211">
                  <c:v>1.807710982796507</c:v>
                </c:pt>
                <c:pt idx="212">
                  <c:v>1.7017679373830599</c:v>
                </c:pt>
                <c:pt idx="213">
                  <c:v>1.659087209610951</c:v>
                </c:pt>
                <c:pt idx="214">
                  <c:v>1.5729471786774953</c:v>
                </c:pt>
                <c:pt idx="215">
                  <c:v>1.5128648757015839</c:v>
                </c:pt>
                <c:pt idx="216">
                  <c:v>1.4799903594592339</c:v>
                </c:pt>
                <c:pt idx="217">
                  <c:v>1.583561705028478</c:v>
                </c:pt>
                <c:pt idx="218">
                  <c:v>1.5092066737855148</c:v>
                </c:pt>
                <c:pt idx="219">
                  <c:v>1.4241682604089341</c:v>
                </c:pt>
                <c:pt idx="220">
                  <c:v>1.5188351258956634</c:v>
                </c:pt>
                <c:pt idx="221">
                  <c:v>1.6977223440434548</c:v>
                </c:pt>
                <c:pt idx="222">
                  <c:v>1.6326225482872367</c:v>
                </c:pt>
                <c:pt idx="223">
                  <c:v>1.7202488535463092</c:v>
                </c:pt>
                <c:pt idx="224">
                  <c:v>1.7834848860116439</c:v>
                </c:pt>
                <c:pt idx="225">
                  <c:v>1.8090624669749646</c:v>
                </c:pt>
                <c:pt idx="226">
                  <c:v>1.9178231367653134</c:v>
                </c:pt>
                <c:pt idx="227">
                  <c:v>1.8327264810423547</c:v>
                </c:pt>
                <c:pt idx="228">
                  <c:v>1.7406203484442753</c:v>
                </c:pt>
                <c:pt idx="229">
                  <c:v>1.6601698380883432</c:v>
                </c:pt>
                <c:pt idx="230">
                  <c:v>1.6122597591420016</c:v>
                </c:pt>
                <c:pt idx="231">
                  <c:v>1.6662826162444169</c:v>
                </c:pt>
                <c:pt idx="232">
                  <c:v>1.7080135564093653</c:v>
                </c:pt>
                <c:pt idx="233">
                  <c:v>1.6338987408794241</c:v>
                </c:pt>
                <c:pt idx="234">
                  <c:v>1.568462003423537</c:v>
                </c:pt>
                <c:pt idx="235">
                  <c:v>1.6787483814319002</c:v>
                </c:pt>
                <c:pt idx="236">
                  <c:v>1.6499990585954138</c:v>
                </c:pt>
                <c:pt idx="237">
                  <c:v>1.6829147470239849</c:v>
                </c:pt>
                <c:pt idx="238">
                  <c:v>1.7072685389126425</c:v>
                </c:pt>
                <c:pt idx="239">
                  <c:v>1.7354058703803843</c:v>
                </c:pt>
                <c:pt idx="240">
                  <c:v>1.7294937380615258</c:v>
                </c:pt>
                <c:pt idx="241">
                  <c:v>1.660332437954255</c:v>
                </c:pt>
                <c:pt idx="242">
                  <c:v>1.5919988452118423</c:v>
                </c:pt>
                <c:pt idx="243">
                  <c:v>1.5572448513838324</c:v>
                </c:pt>
                <c:pt idx="244">
                  <c:v>1.6056949030487964</c:v>
                </c:pt>
                <c:pt idx="245">
                  <c:v>1.6898052444397562</c:v>
                </c:pt>
                <c:pt idx="246">
                  <c:v>1.737447479187471</c:v>
                </c:pt>
                <c:pt idx="247">
                  <c:v>1.5406111998295231</c:v>
                </c:pt>
                <c:pt idx="248">
                  <c:v>1.5090302878941959</c:v>
                </c:pt>
                <c:pt idx="249">
                  <c:v>1.3609800506574214</c:v>
                </c:pt>
                <c:pt idx="250">
                  <c:v>1.4169979713661454</c:v>
                </c:pt>
                <c:pt idx="251">
                  <c:v>1.4897804573567071</c:v>
                </c:pt>
                <c:pt idx="252">
                  <c:v>1.4936754361519717</c:v>
                </c:pt>
                <c:pt idx="253">
                  <c:v>1.3577507927425172</c:v>
                </c:pt>
                <c:pt idx="254">
                  <c:v>1.5207338811019397</c:v>
                </c:pt>
                <c:pt idx="255">
                  <c:v>1.5327852689190826</c:v>
                </c:pt>
                <c:pt idx="256">
                  <c:v>1.5770391166673381</c:v>
                </c:pt>
                <c:pt idx="257">
                  <c:v>1.6253675448903468</c:v>
                </c:pt>
                <c:pt idx="258">
                  <c:v>1.7006819728157043</c:v>
                </c:pt>
                <c:pt idx="259">
                  <c:v>1.7348792336115642</c:v>
                </c:pt>
                <c:pt idx="260">
                  <c:v>1.7216163869852423</c:v>
                </c:pt>
                <c:pt idx="261">
                  <c:v>1.8590315907585035</c:v>
                </c:pt>
                <c:pt idx="262">
                  <c:v>1.6561844447545571</c:v>
                </c:pt>
                <c:pt idx="263">
                  <c:v>1.7961956681975151</c:v>
                </c:pt>
                <c:pt idx="264">
                  <c:v>1.7261660174571305</c:v>
                </c:pt>
                <c:pt idx="265">
                  <c:v>1.7894300669794712</c:v>
                </c:pt>
                <c:pt idx="266">
                  <c:v>1.8096504020722284</c:v>
                </c:pt>
                <c:pt idx="267">
                  <c:v>1.7231716992592019</c:v>
                </c:pt>
                <c:pt idx="268">
                  <c:v>1.6371459586523029</c:v>
                </c:pt>
                <c:pt idx="269">
                  <c:v>1.7404883981873449</c:v>
                </c:pt>
                <c:pt idx="270">
                  <c:v>1.7814125377747538</c:v>
                </c:pt>
                <c:pt idx="271">
                  <c:v>1.8097353928578082</c:v>
                </c:pt>
                <c:pt idx="272">
                  <c:v>1.8367311958429915</c:v>
                </c:pt>
                <c:pt idx="273">
                  <c:v>1.7926995271848529</c:v>
                </c:pt>
                <c:pt idx="274">
                  <c:v>1.7661424022480219</c:v>
                </c:pt>
                <c:pt idx="275">
                  <c:v>1.6272984215311388</c:v>
                </c:pt>
                <c:pt idx="276">
                  <c:v>1.475677420837112</c:v>
                </c:pt>
                <c:pt idx="277">
                  <c:v>1.3415559857580257</c:v>
                </c:pt>
                <c:pt idx="278">
                  <c:v>1.3357709053811229</c:v>
                </c:pt>
                <c:pt idx="279">
                  <c:v>1.4429970750094989</c:v>
                </c:pt>
                <c:pt idx="280">
                  <c:v>1.3564221372541783</c:v>
                </c:pt>
                <c:pt idx="281">
                  <c:v>1.4808587568107803</c:v>
                </c:pt>
                <c:pt idx="282">
                  <c:v>1.5616443742727049</c:v>
                </c:pt>
                <c:pt idx="283">
                  <c:v>1.4589669870797324</c:v>
                </c:pt>
                <c:pt idx="284">
                  <c:v>1.5019560648701655</c:v>
                </c:pt>
                <c:pt idx="285">
                  <c:v>1.4744053190183815</c:v>
                </c:pt>
                <c:pt idx="286">
                  <c:v>1.5880905213143819</c:v>
                </c:pt>
                <c:pt idx="287">
                  <c:v>1.5192162625176837</c:v>
                </c:pt>
                <c:pt idx="288">
                  <c:v>1.5210684242031056</c:v>
                </c:pt>
                <c:pt idx="289">
                  <c:v>1.4843765847859012</c:v>
                </c:pt>
                <c:pt idx="290">
                  <c:v>1.4969806792719016</c:v>
                </c:pt>
                <c:pt idx="291">
                  <c:v>1.5039778315837906</c:v>
                </c:pt>
                <c:pt idx="292">
                  <c:v>1.4747731197898042</c:v>
                </c:pt>
                <c:pt idx="293">
                  <c:v>1.5212138912143951</c:v>
                </c:pt>
                <c:pt idx="294">
                  <c:v>1.4855980220818767</c:v>
                </c:pt>
                <c:pt idx="295">
                  <c:v>1.4284060057211423</c:v>
                </c:pt>
                <c:pt idx="296">
                  <c:v>1.4823265869184366</c:v>
                </c:pt>
                <c:pt idx="297">
                  <c:v>1.4911244858154751</c:v>
                </c:pt>
                <c:pt idx="298">
                  <c:v>1.5218791030086845</c:v>
                </c:pt>
                <c:pt idx="299">
                  <c:v>1.4910688998737729</c:v>
                </c:pt>
                <c:pt idx="300">
                  <c:v>1.5811512095399858</c:v>
                </c:pt>
                <c:pt idx="301">
                  <c:v>1.5637137023655239</c:v>
                </c:pt>
                <c:pt idx="302">
                  <c:v>1.6610770737596601</c:v>
                </c:pt>
                <c:pt idx="303">
                  <c:v>1.5494308781793946</c:v>
                </c:pt>
                <c:pt idx="304">
                  <c:v>1.5878572984005104</c:v>
                </c:pt>
                <c:pt idx="305">
                  <c:v>1.5159620948419956</c:v>
                </c:pt>
                <c:pt idx="306">
                  <c:v>1.6294370415122703</c:v>
                </c:pt>
                <c:pt idx="307">
                  <c:v>1.5569494410728186</c:v>
                </c:pt>
                <c:pt idx="308">
                  <c:v>1.4647182627067146</c:v>
                </c:pt>
                <c:pt idx="309">
                  <c:v>1.4774001138350727</c:v>
                </c:pt>
                <c:pt idx="310">
                  <c:v>1.5857745170950193</c:v>
                </c:pt>
                <c:pt idx="311">
                  <c:v>1.5544449137099801</c:v>
                </c:pt>
                <c:pt idx="312">
                  <c:v>1.6357058110788689</c:v>
                </c:pt>
                <c:pt idx="313">
                  <c:v>1.6071369363405636</c:v>
                </c:pt>
                <c:pt idx="314">
                  <c:v>1.7170383671692231</c:v>
                </c:pt>
                <c:pt idx="315">
                  <c:v>1.7008446418159526</c:v>
                </c:pt>
                <c:pt idx="316">
                  <c:v>1.7366652583333912</c:v>
                </c:pt>
                <c:pt idx="317">
                  <c:v>1.7315306025559609</c:v>
                </c:pt>
                <c:pt idx="318">
                  <c:v>1.7602662340914939</c:v>
                </c:pt>
                <c:pt idx="319">
                  <c:v>1.6771701625739373</c:v>
                </c:pt>
                <c:pt idx="320">
                  <c:v>1.725293090945601</c:v>
                </c:pt>
                <c:pt idx="321">
                  <c:v>1.6869638853090607</c:v>
                </c:pt>
                <c:pt idx="322">
                  <c:v>1.7118505440471017</c:v>
                </c:pt>
                <c:pt idx="323">
                  <c:v>1.7207415813521045</c:v>
                </c:pt>
                <c:pt idx="324">
                  <c:v>1.7499517606374322</c:v>
                </c:pt>
                <c:pt idx="325">
                  <c:v>1.7505766594645065</c:v>
                </c:pt>
                <c:pt idx="326">
                  <c:v>1.7519688335674768</c:v>
                </c:pt>
                <c:pt idx="327">
                  <c:v>1.6755217887981986</c:v>
                </c:pt>
                <c:pt idx="328">
                  <c:v>1.6365464765150908</c:v>
                </c:pt>
                <c:pt idx="329">
                  <c:v>1.6006564032228352</c:v>
                </c:pt>
                <c:pt idx="330">
                  <c:v>1.7138895472076463</c:v>
                </c:pt>
                <c:pt idx="331">
                  <c:v>1.6483876509889355</c:v>
                </c:pt>
                <c:pt idx="332">
                  <c:v>1.6547468005868411</c:v>
                </c:pt>
                <c:pt idx="333">
                  <c:v>1.5428423331082106</c:v>
                </c:pt>
                <c:pt idx="334">
                  <c:v>1.6011918643860035</c:v>
                </c:pt>
                <c:pt idx="335">
                  <c:v>1.645916714387565</c:v>
                </c:pt>
                <c:pt idx="336">
                  <c:v>1.715356157835296</c:v>
                </c:pt>
                <c:pt idx="337">
                  <c:v>1.9351432101983803</c:v>
                </c:pt>
                <c:pt idx="338">
                  <c:v>1.8844255558798091</c:v>
                </c:pt>
                <c:pt idx="339">
                  <c:v>1.932963733446317</c:v>
                </c:pt>
                <c:pt idx="340">
                  <c:v>1.8597861473456727</c:v>
                </c:pt>
                <c:pt idx="341">
                  <c:v>1.8928419820559717</c:v>
                </c:pt>
                <c:pt idx="342">
                  <c:v>1.9624701601938366</c:v>
                </c:pt>
                <c:pt idx="343">
                  <c:v>1.9676799913849095</c:v>
                </c:pt>
                <c:pt idx="344">
                  <c:v>1.6860465718104707</c:v>
                </c:pt>
                <c:pt idx="345">
                  <c:v>1.461037713927688</c:v>
                </c:pt>
                <c:pt idx="346">
                  <c:v>1.5285013260965032</c:v>
                </c:pt>
                <c:pt idx="347">
                  <c:v>1.2065482323027028</c:v>
                </c:pt>
                <c:pt idx="348">
                  <c:v>1.3198279846810668</c:v>
                </c:pt>
                <c:pt idx="349">
                  <c:v>1.1630782954286079</c:v>
                </c:pt>
                <c:pt idx="350">
                  <c:v>1.0488766035754402</c:v>
                </c:pt>
                <c:pt idx="351">
                  <c:v>1.1052427019028404</c:v>
                </c:pt>
                <c:pt idx="352">
                  <c:v>0.83068430537610227</c:v>
                </c:pt>
                <c:pt idx="353">
                  <c:v>0.61305093101210206</c:v>
                </c:pt>
                <c:pt idx="354">
                  <c:v>0.54071752244142735</c:v>
                </c:pt>
                <c:pt idx="355">
                  <c:v>0.63565282987426841</c:v>
                </c:pt>
                <c:pt idx="356">
                  <c:v>0.53161031671858772</c:v>
                </c:pt>
                <c:pt idx="357">
                  <c:v>0.35798657142703422</c:v>
                </c:pt>
                <c:pt idx="358">
                  <c:v>0.39468414488962389</c:v>
                </c:pt>
                <c:pt idx="359">
                  <c:v>0.37700836415709643</c:v>
                </c:pt>
                <c:pt idx="360">
                  <c:v>0.31611455088338014</c:v>
                </c:pt>
                <c:pt idx="361">
                  <c:v>0.2074504666651982</c:v>
                </c:pt>
                <c:pt idx="362">
                  <c:v>0.30326708725354784</c:v>
                </c:pt>
                <c:pt idx="363">
                  <c:v>0.35555497963548149</c:v>
                </c:pt>
                <c:pt idx="364">
                  <c:v>0.46463000326487863</c:v>
                </c:pt>
                <c:pt idx="365">
                  <c:v>0.47304815054741833</c:v>
                </c:pt>
                <c:pt idx="366">
                  <c:v>0.58943544209068288</c:v>
                </c:pt>
                <c:pt idx="367">
                  <c:v>0.4764193827565143</c:v>
                </c:pt>
                <c:pt idx="368">
                  <c:v>0.57880980828878992</c:v>
                </c:pt>
                <c:pt idx="369">
                  <c:v>0.566242390425713</c:v>
                </c:pt>
                <c:pt idx="370">
                  <c:v>0.56200859168683326</c:v>
                </c:pt>
                <c:pt idx="371">
                  <c:v>0.52168933646954341</c:v>
                </c:pt>
                <c:pt idx="372">
                  <c:v>0.93136167789202717</c:v>
                </c:pt>
                <c:pt idx="373">
                  <c:v>0.73995424741954507</c:v>
                </c:pt>
                <c:pt idx="374">
                  <c:v>0.83242036344940395</c:v>
                </c:pt>
                <c:pt idx="375">
                  <c:v>0.69976313711051896</c:v>
                </c:pt>
                <c:pt idx="376">
                  <c:v>0.63900104492480481</c:v>
                </c:pt>
                <c:pt idx="377">
                  <c:v>0.6591419684815284</c:v>
                </c:pt>
                <c:pt idx="378">
                  <c:v>0.637476964254862</c:v>
                </c:pt>
                <c:pt idx="379">
                  <c:v>0.66566059718638182</c:v>
                </c:pt>
                <c:pt idx="380">
                  <c:v>0.55994465151468742</c:v>
                </c:pt>
                <c:pt idx="381">
                  <c:v>0.62645208059596225</c:v>
                </c:pt>
                <c:pt idx="382">
                  <c:v>0.5059456025747795</c:v>
                </c:pt>
                <c:pt idx="383">
                  <c:v>0.52704625117536441</c:v>
                </c:pt>
                <c:pt idx="384">
                  <c:v>0.44778043451818617</c:v>
                </c:pt>
                <c:pt idx="385">
                  <c:v>0.30056418135499596</c:v>
                </c:pt>
                <c:pt idx="386">
                  <c:v>0.39553843014907303</c:v>
                </c:pt>
                <c:pt idx="387">
                  <c:v>0.26220232628303997</c:v>
                </c:pt>
                <c:pt idx="388">
                  <c:v>0.16154907934226004</c:v>
                </c:pt>
                <c:pt idx="389">
                  <c:v>-5.0833005889184033E-2</c:v>
                </c:pt>
                <c:pt idx="390">
                  <c:v>-0.18567641192432788</c:v>
                </c:pt>
                <c:pt idx="391">
                  <c:v>-0.14392039679623797</c:v>
                </c:pt>
                <c:pt idx="392">
                  <c:v>-0.12660185126727072</c:v>
                </c:pt>
                <c:pt idx="393">
                  <c:v>-0.15626753197724524</c:v>
                </c:pt>
                <c:pt idx="394">
                  <c:v>-0.12628061378482816</c:v>
                </c:pt>
                <c:pt idx="395">
                  <c:v>-0.26389891473364863</c:v>
                </c:pt>
                <c:pt idx="396">
                  <c:v>-0.38443903175948752</c:v>
                </c:pt>
                <c:pt idx="397">
                  <c:v>-0.28544640345464156</c:v>
                </c:pt>
                <c:pt idx="398">
                  <c:v>-0.29043541054084848</c:v>
                </c:pt>
                <c:pt idx="399">
                  <c:v>-0.23319043354795732</c:v>
                </c:pt>
                <c:pt idx="400">
                  <c:v>-0.29626727679648274</c:v>
                </c:pt>
                <c:pt idx="401">
                  <c:v>-0.26004736580015247</c:v>
                </c:pt>
                <c:pt idx="402">
                  <c:v>-0.28552386086501719</c:v>
                </c:pt>
                <c:pt idx="403">
                  <c:v>-0.22589579765223763</c:v>
                </c:pt>
                <c:pt idx="404">
                  <c:v>-0.18555932022436883</c:v>
                </c:pt>
                <c:pt idx="405">
                  <c:v>-0.16473017216571498</c:v>
                </c:pt>
                <c:pt idx="406">
                  <c:v>-0.20520847841571499</c:v>
                </c:pt>
                <c:pt idx="407">
                  <c:v>-0.151507667604726</c:v>
                </c:pt>
                <c:pt idx="408">
                  <c:v>-0.24279015202902957</c:v>
                </c:pt>
                <c:pt idx="409">
                  <c:v>-0.19652451792902972</c:v>
                </c:pt>
                <c:pt idx="410">
                  <c:v>-0.21957124666056821</c:v>
                </c:pt>
                <c:pt idx="411">
                  <c:v>-0.22040848377233296</c:v>
                </c:pt>
                <c:pt idx="412">
                  <c:v>-0.2409073083983552</c:v>
                </c:pt>
                <c:pt idx="413">
                  <c:v>-0.21253862453508979</c:v>
                </c:pt>
                <c:pt idx="414">
                  <c:v>-0.20314781363395984</c:v>
                </c:pt>
                <c:pt idx="415">
                  <c:v>-0.24015191947687473</c:v>
                </c:pt>
                <c:pt idx="416">
                  <c:v>-0.20032268113822313</c:v>
                </c:pt>
                <c:pt idx="417">
                  <c:v>-0.21146526042673985</c:v>
                </c:pt>
                <c:pt idx="418">
                  <c:v>-0.20742275850969949</c:v>
                </c:pt>
                <c:pt idx="419">
                  <c:v>-0.24387505826297048</c:v>
                </c:pt>
                <c:pt idx="420">
                  <c:v>-0.18582531676529609</c:v>
                </c:pt>
                <c:pt idx="421">
                  <c:v>-0.19639596214271535</c:v>
                </c:pt>
                <c:pt idx="422">
                  <c:v>-0.23283830645382653</c:v>
                </c:pt>
                <c:pt idx="423">
                  <c:v>-0.17129763042974719</c:v>
                </c:pt>
                <c:pt idx="424">
                  <c:v>-0.2297762628487737</c:v>
                </c:pt>
                <c:pt idx="425">
                  <c:v>-0.21217852640371876</c:v>
                </c:pt>
                <c:pt idx="426">
                  <c:v>-0.2099289801756814</c:v>
                </c:pt>
                <c:pt idx="427">
                  <c:v>-0.19996253813317583</c:v>
                </c:pt>
                <c:pt idx="428">
                  <c:v>-0.1033317914908103</c:v>
                </c:pt>
                <c:pt idx="429">
                  <c:v>-1.7384435401416366E-2</c:v>
                </c:pt>
                <c:pt idx="430">
                  <c:v>-6.687259405798085E-2</c:v>
                </c:pt>
                <c:pt idx="431">
                  <c:v>-0.20860518763596259</c:v>
                </c:pt>
                <c:pt idx="432">
                  <c:v>-0.20838781156506545</c:v>
                </c:pt>
                <c:pt idx="433">
                  <c:v>-0.2988195362638208</c:v>
                </c:pt>
                <c:pt idx="434">
                  <c:v>-0.33110122342445414</c:v>
                </c:pt>
                <c:pt idx="435">
                  <c:v>-0.35173717751026068</c:v>
                </c:pt>
                <c:pt idx="436">
                  <c:v>-0.34235384630478111</c:v>
                </c:pt>
                <c:pt idx="437">
                  <c:v>-0.36924592532103101</c:v>
                </c:pt>
                <c:pt idx="438">
                  <c:v>-0.38377674483186125</c:v>
                </c:pt>
                <c:pt idx="439">
                  <c:v>-0.36147270919451963</c:v>
                </c:pt>
                <c:pt idx="440">
                  <c:v>-0.32905555592576957</c:v>
                </c:pt>
                <c:pt idx="441">
                  <c:v>-0.35354095322576973</c:v>
                </c:pt>
                <c:pt idx="442">
                  <c:v>-0.31692985590214212</c:v>
                </c:pt>
                <c:pt idx="443">
                  <c:v>-0.2829289332200704</c:v>
                </c:pt>
                <c:pt idx="444">
                  <c:v>-0.29918445014526718</c:v>
                </c:pt>
                <c:pt idx="445">
                  <c:v>-0.29918445014526712</c:v>
                </c:pt>
                <c:pt idx="446">
                  <c:v>-0.30495374102960454</c:v>
                </c:pt>
                <c:pt idx="447">
                  <c:v>-0.26381890340832126</c:v>
                </c:pt>
                <c:pt idx="448">
                  <c:v>-0.30531539194846719</c:v>
                </c:pt>
                <c:pt idx="449">
                  <c:v>-0.33012939499291161</c:v>
                </c:pt>
                <c:pt idx="450">
                  <c:v>-0.34828024317105116</c:v>
                </c:pt>
                <c:pt idx="451">
                  <c:v>-0.34720859879991711</c:v>
                </c:pt>
                <c:pt idx="452">
                  <c:v>-0.33318778185598402</c:v>
                </c:pt>
                <c:pt idx="453">
                  <c:v>-0.34590750111524338</c:v>
                </c:pt>
                <c:pt idx="454">
                  <c:v>-0.33087712719573115</c:v>
                </c:pt>
                <c:pt idx="455">
                  <c:v>-0.32298166092454478</c:v>
                </c:pt>
                <c:pt idx="456">
                  <c:v>-0.33230313639927006</c:v>
                </c:pt>
                <c:pt idx="457">
                  <c:v>-0.31741847823901359</c:v>
                </c:pt>
                <c:pt idx="458">
                  <c:v>-0.30713599354133919</c:v>
                </c:pt>
                <c:pt idx="459">
                  <c:v>-0.30063668794733917</c:v>
                </c:pt>
                <c:pt idx="460">
                  <c:v>-0.30273794299396489</c:v>
                </c:pt>
                <c:pt idx="461">
                  <c:v>-0.29888334552276485</c:v>
                </c:pt>
                <c:pt idx="462">
                  <c:v>-0.2921312634519494</c:v>
                </c:pt>
                <c:pt idx="463">
                  <c:v>-0.2932434489240805</c:v>
                </c:pt>
                <c:pt idx="464">
                  <c:v>-0.30745577445400751</c:v>
                </c:pt>
                <c:pt idx="465">
                  <c:v>-0.27483657472644152</c:v>
                </c:pt>
                <c:pt idx="466">
                  <c:v>-0.26252960592644153</c:v>
                </c:pt>
                <c:pt idx="467">
                  <c:v>-0.26737572213844157</c:v>
                </c:pt>
                <c:pt idx="468">
                  <c:v>-0.28070942477524158</c:v>
                </c:pt>
                <c:pt idx="469">
                  <c:v>-0.27487835303337305</c:v>
                </c:pt>
                <c:pt idx="470">
                  <c:v>-0.28445567612123923</c:v>
                </c:pt>
                <c:pt idx="471">
                  <c:v>-0.2601645933327042</c:v>
                </c:pt>
                <c:pt idx="472">
                  <c:v>-0.22848869319224621</c:v>
                </c:pt>
                <c:pt idx="473">
                  <c:v>-0.22829203325697106</c:v>
                </c:pt>
                <c:pt idx="474">
                  <c:v>-0.22151564548265906</c:v>
                </c:pt>
                <c:pt idx="475">
                  <c:v>-0.19195104996304188</c:v>
                </c:pt>
                <c:pt idx="476">
                  <c:v>-0.23701439468499311</c:v>
                </c:pt>
                <c:pt idx="477">
                  <c:v>-0.28659803161912495</c:v>
                </c:pt>
                <c:pt idx="478">
                  <c:v>-0.39468762448937322</c:v>
                </c:pt>
                <c:pt idx="479">
                  <c:v>-0.32032915275941726</c:v>
                </c:pt>
                <c:pt idx="480">
                  <c:v>-0.33283990348947529</c:v>
                </c:pt>
                <c:pt idx="481">
                  <c:v>-0.35948191659780865</c:v>
                </c:pt>
                <c:pt idx="482">
                  <c:v>-0.33496565463317468</c:v>
                </c:pt>
                <c:pt idx="483">
                  <c:v>-0.28497437295993511</c:v>
                </c:pt>
                <c:pt idx="484">
                  <c:v>-0.32249254537201433</c:v>
                </c:pt>
                <c:pt idx="485">
                  <c:v>-0.32009653117553333</c:v>
                </c:pt>
                <c:pt idx="486">
                  <c:v>-0.35814264528035245</c:v>
                </c:pt>
                <c:pt idx="487">
                  <c:v>-0.31691470946302958</c:v>
                </c:pt>
                <c:pt idx="488">
                  <c:v>-0.32250111587345304</c:v>
                </c:pt>
                <c:pt idx="489">
                  <c:v>-0.34764991416757063</c:v>
                </c:pt>
                <c:pt idx="490">
                  <c:v>-0.35439202094738065</c:v>
                </c:pt>
                <c:pt idx="491">
                  <c:v>-0.41493967230390233</c:v>
                </c:pt>
                <c:pt idx="492">
                  <c:v>-0.34216164100542334</c:v>
                </c:pt>
                <c:pt idx="493">
                  <c:v>-0.35582797563380181</c:v>
                </c:pt>
                <c:pt idx="494">
                  <c:v>-0.31330470560230561</c:v>
                </c:pt>
                <c:pt idx="495">
                  <c:v>-0.28040207693978347</c:v>
                </c:pt>
                <c:pt idx="496">
                  <c:v>-0.26751798620901424</c:v>
                </c:pt>
                <c:pt idx="497">
                  <c:v>-0.245627413903657</c:v>
                </c:pt>
                <c:pt idx="498">
                  <c:v>-0.20861501018183537</c:v>
                </c:pt>
                <c:pt idx="499">
                  <c:v>-0.22956102815153245</c:v>
                </c:pt>
                <c:pt idx="500">
                  <c:v>-0.14053506922739453</c:v>
                </c:pt>
                <c:pt idx="501">
                  <c:v>-0.17118885888139709</c:v>
                </c:pt>
                <c:pt idx="502">
                  <c:v>-0.15195429338890701</c:v>
                </c:pt>
                <c:pt idx="503">
                  <c:v>-0.17873254002764213</c:v>
                </c:pt>
                <c:pt idx="504">
                  <c:v>-0.16505686238230868</c:v>
                </c:pt>
                <c:pt idx="505">
                  <c:v>-0.21300887718255437</c:v>
                </c:pt>
                <c:pt idx="506">
                  <c:v>-0.22199741974051232</c:v>
                </c:pt>
                <c:pt idx="507">
                  <c:v>-0.20560474453736277</c:v>
                </c:pt>
                <c:pt idx="508">
                  <c:v>-0.21737444035027609</c:v>
                </c:pt>
                <c:pt idx="509">
                  <c:v>-0.27473805598399126</c:v>
                </c:pt>
                <c:pt idx="510">
                  <c:v>-0.23818597092106439</c:v>
                </c:pt>
                <c:pt idx="511">
                  <c:v>-0.32829818072731443</c:v>
                </c:pt>
                <c:pt idx="512">
                  <c:v>-0.23304988459175108</c:v>
                </c:pt>
                <c:pt idx="513">
                  <c:v>-0.21412392608611724</c:v>
                </c:pt>
                <c:pt idx="514">
                  <c:v>-0.18263100458965367</c:v>
                </c:pt>
                <c:pt idx="515">
                  <c:v>-0.12166422926353715</c:v>
                </c:pt>
                <c:pt idx="516">
                  <c:v>-5.8004117965664494E-2</c:v>
                </c:pt>
                <c:pt idx="517">
                  <c:v>-2.0394234302032878E-3</c:v>
                </c:pt>
                <c:pt idx="518">
                  <c:v>-4.1863926463884399E-2</c:v>
                </c:pt>
                <c:pt idx="519">
                  <c:v>2.2875562630913091E-2</c:v>
                </c:pt>
                <c:pt idx="520">
                  <c:v>-8.5359183187268817E-2</c:v>
                </c:pt>
                <c:pt idx="521">
                  <c:v>-2.1114774726573825E-2</c:v>
                </c:pt>
                <c:pt idx="522">
                  <c:v>0.14095013828517167</c:v>
                </c:pt>
                <c:pt idx="523">
                  <c:v>0.26270533269317198</c:v>
                </c:pt>
                <c:pt idx="524">
                  <c:v>0.32627412791324267</c:v>
                </c:pt>
                <c:pt idx="525">
                  <c:v>0.635436475623126</c:v>
                </c:pt>
                <c:pt idx="526">
                  <c:v>0.53091063820645934</c:v>
                </c:pt>
                <c:pt idx="527">
                  <c:v>0.57691002180645945</c:v>
                </c:pt>
                <c:pt idx="528">
                  <c:v>0.59398791877686952</c:v>
                </c:pt>
                <c:pt idx="529">
                  <c:v>0.58425600205717843</c:v>
                </c:pt>
                <c:pt idx="530">
                  <c:v>0.55717904622947456</c:v>
                </c:pt>
                <c:pt idx="531">
                  <c:v>0.61205045404234026</c:v>
                </c:pt>
                <c:pt idx="532">
                  <c:v>0.46031730032056273</c:v>
                </c:pt>
                <c:pt idx="533">
                  <c:v>0.38816361795160592</c:v>
                </c:pt>
                <c:pt idx="534">
                  <c:v>0.30792782643189792</c:v>
                </c:pt>
                <c:pt idx="535">
                  <c:v>0.36792750468124835</c:v>
                </c:pt>
                <c:pt idx="536">
                  <c:v>0.29362158531926491</c:v>
                </c:pt>
                <c:pt idx="537">
                  <c:v>0.20628581700455909</c:v>
                </c:pt>
                <c:pt idx="538">
                  <c:v>0.15013620284579141</c:v>
                </c:pt>
                <c:pt idx="539">
                  <c:v>0.1666560966441385</c:v>
                </c:pt>
                <c:pt idx="540">
                  <c:v>0.14486069051961051</c:v>
                </c:pt>
                <c:pt idx="541">
                  <c:v>0.16237181821533689</c:v>
                </c:pt>
                <c:pt idx="542">
                  <c:v>8.1558224015336883E-2</c:v>
                </c:pt>
                <c:pt idx="543">
                  <c:v>7.7542719983691083E-2</c:v>
                </c:pt>
                <c:pt idx="544">
                  <c:v>6.1829718014691178E-2</c:v>
                </c:pt>
                <c:pt idx="545">
                  <c:v>3.2143301498767547E-2</c:v>
                </c:pt>
                <c:pt idx="546">
                  <c:v>2.7936710362403767E-2</c:v>
                </c:pt>
                <c:pt idx="547">
                  <c:v>3.9069958331634534E-2</c:v>
                </c:pt>
                <c:pt idx="548">
                  <c:v>4.5304144737325427E-2</c:v>
                </c:pt>
                <c:pt idx="549">
                  <c:v>1.816691087065872E-2</c:v>
                </c:pt>
                <c:pt idx="550">
                  <c:v>8.6168401626986416E-3</c:v>
                </c:pt>
                <c:pt idx="551">
                  <c:v>1.2342393817138931E-2</c:v>
                </c:pt>
                <c:pt idx="552">
                  <c:v>2.1761242999747438E-2</c:v>
                </c:pt>
                <c:pt idx="553">
                  <c:v>6.160613612121988E-2</c:v>
                </c:pt>
                <c:pt idx="554">
                  <c:v>7.8304419850776588E-2</c:v>
                </c:pt>
                <c:pt idx="555">
                  <c:v>0.1011607726085946</c:v>
                </c:pt>
                <c:pt idx="556">
                  <c:v>4.7238833908594596E-2</c:v>
                </c:pt>
                <c:pt idx="557">
                  <c:v>9.0986693310435171E-2</c:v>
                </c:pt>
                <c:pt idx="558">
                  <c:v>1.3537115823427235E-2</c:v>
                </c:pt>
                <c:pt idx="559">
                  <c:v>9.9815180381330575E-3</c:v>
                </c:pt>
                <c:pt idx="560">
                  <c:v>-1.3344732068823506E-2</c:v>
                </c:pt>
                <c:pt idx="561">
                  <c:v>-1.9541562938139165E-2</c:v>
                </c:pt>
                <c:pt idx="562">
                  <c:v>5.6503358252754064E-3</c:v>
                </c:pt>
                <c:pt idx="563">
                  <c:v>-5.2976266652330645E-3</c:v>
                </c:pt>
                <c:pt idx="564">
                  <c:v>5.857964525231369E-3</c:v>
                </c:pt>
                <c:pt idx="565">
                  <c:v>1.7300330688551809E-2</c:v>
                </c:pt>
                <c:pt idx="566">
                  <c:v>2.1676119180218688E-2</c:v>
                </c:pt>
                <c:pt idx="567">
                  <c:v>-2.5217011926031308E-2</c:v>
                </c:pt>
                <c:pt idx="568">
                  <c:v>-1.9091003574215344E-2</c:v>
                </c:pt>
                <c:pt idx="569">
                  <c:v>-8.2520381900047322E-3</c:v>
                </c:pt>
                <c:pt idx="570">
                  <c:v>-0.1137184995297106</c:v>
                </c:pt>
                <c:pt idx="571">
                  <c:v>-0.10588272964190579</c:v>
                </c:pt>
                <c:pt idx="572">
                  <c:v>-0.11558403178999747</c:v>
                </c:pt>
                <c:pt idx="573">
                  <c:v>-0.12977289853920376</c:v>
                </c:pt>
                <c:pt idx="574">
                  <c:v>-0.19095816492486686</c:v>
                </c:pt>
                <c:pt idx="575">
                  <c:v>-0.24210122027877637</c:v>
                </c:pt>
                <c:pt idx="576">
                  <c:v>-0.25431127958030303</c:v>
                </c:pt>
                <c:pt idx="577">
                  <c:v>-0.23998278339249807</c:v>
                </c:pt>
                <c:pt idx="578">
                  <c:v>-0.25729413329712231</c:v>
                </c:pt>
                <c:pt idx="579">
                  <c:v>-0.25903879700521487</c:v>
                </c:pt>
                <c:pt idx="580">
                  <c:v>-0.23966540671950054</c:v>
                </c:pt>
                <c:pt idx="581">
                  <c:v>-0.22559812098661466</c:v>
                </c:pt>
                <c:pt idx="582">
                  <c:v>-0.22823668929791407</c:v>
                </c:pt>
                <c:pt idx="583">
                  <c:v>-0.22087570465144948</c:v>
                </c:pt>
                <c:pt idx="584">
                  <c:v>-0.20529923675144954</c:v>
                </c:pt>
                <c:pt idx="585">
                  <c:v>-0.22070422931298789</c:v>
                </c:pt>
                <c:pt idx="586">
                  <c:v>-0.20631753005197101</c:v>
                </c:pt>
                <c:pt idx="587">
                  <c:v>-0.20926907119080593</c:v>
                </c:pt>
                <c:pt idx="588">
                  <c:v>-0.18913150281897487</c:v>
                </c:pt>
                <c:pt idx="589">
                  <c:v>-0.14538381889589799</c:v>
                </c:pt>
                <c:pt idx="590">
                  <c:v>-0.17143210611128268</c:v>
                </c:pt>
                <c:pt idx="591">
                  <c:v>-0.15301231165966966</c:v>
                </c:pt>
                <c:pt idx="592">
                  <c:v>-0.18464504998459275</c:v>
                </c:pt>
                <c:pt idx="593">
                  <c:v>-0.16260446463843889</c:v>
                </c:pt>
                <c:pt idx="594">
                  <c:v>-0.17192954771188526</c:v>
                </c:pt>
                <c:pt idx="595">
                  <c:v>-0.18760182199145528</c:v>
                </c:pt>
                <c:pt idx="596">
                  <c:v>-0.13067662785806139</c:v>
                </c:pt>
                <c:pt idx="597">
                  <c:v>-0.19134883687269558</c:v>
                </c:pt>
                <c:pt idx="598">
                  <c:v>-0.19815490330196378</c:v>
                </c:pt>
                <c:pt idx="599">
                  <c:v>-0.21828737958457262</c:v>
                </c:pt>
                <c:pt idx="600">
                  <c:v>-0.2276023809243316</c:v>
                </c:pt>
                <c:pt idx="601">
                  <c:v>-0.21668706333524057</c:v>
                </c:pt>
                <c:pt idx="602">
                  <c:v>-0.21178078905953956</c:v>
                </c:pt>
                <c:pt idx="603">
                  <c:v>-0.21295277807439089</c:v>
                </c:pt>
                <c:pt idx="604">
                  <c:v>-0.23209891622015366</c:v>
                </c:pt>
                <c:pt idx="605">
                  <c:v>-0.23265625148597652</c:v>
                </c:pt>
                <c:pt idx="606">
                  <c:v>-0.26135797301061425</c:v>
                </c:pt>
                <c:pt idx="607">
                  <c:v>-0.18814077246005237</c:v>
                </c:pt>
                <c:pt idx="608">
                  <c:v>-0.22795403629974684</c:v>
                </c:pt>
                <c:pt idx="609">
                  <c:v>-0.19329662342610346</c:v>
                </c:pt>
                <c:pt idx="610">
                  <c:v>-0.19365690534700372</c:v>
                </c:pt>
                <c:pt idx="611">
                  <c:v>-0.24909361754298337</c:v>
                </c:pt>
                <c:pt idx="612">
                  <c:v>-0.23823088406190218</c:v>
                </c:pt>
                <c:pt idx="613">
                  <c:v>-0.30066885549047351</c:v>
                </c:pt>
                <c:pt idx="614">
                  <c:v>-0.19053962776118943</c:v>
                </c:pt>
                <c:pt idx="615">
                  <c:v>-0.18395222904631772</c:v>
                </c:pt>
                <c:pt idx="616">
                  <c:v>-0.24111114821560914</c:v>
                </c:pt>
                <c:pt idx="617">
                  <c:v>-0.17762546404742036</c:v>
                </c:pt>
                <c:pt idx="618">
                  <c:v>-0.3080977880762607</c:v>
                </c:pt>
                <c:pt idx="619">
                  <c:v>-0.36729246585248426</c:v>
                </c:pt>
                <c:pt idx="620">
                  <c:v>-0.39045458810248457</c:v>
                </c:pt>
                <c:pt idx="621">
                  <c:v>-0.40071086083918189</c:v>
                </c:pt>
                <c:pt idx="622">
                  <c:v>-0.40102847013685655</c:v>
                </c:pt>
                <c:pt idx="623">
                  <c:v>-0.41073055373363071</c:v>
                </c:pt>
                <c:pt idx="624">
                  <c:v>-0.40853456734041044</c:v>
                </c:pt>
                <c:pt idx="625">
                  <c:v>-0.44215317754190314</c:v>
                </c:pt>
                <c:pt idx="626">
                  <c:v>-0.46869907220066015</c:v>
                </c:pt>
                <c:pt idx="627">
                  <c:v>-0.47338651629802864</c:v>
                </c:pt>
                <c:pt idx="628">
                  <c:v>-0.44585667023577186</c:v>
                </c:pt>
                <c:pt idx="629">
                  <c:v>-0.42694863767596319</c:v>
                </c:pt>
                <c:pt idx="630">
                  <c:v>-0.43342916906226481</c:v>
                </c:pt>
                <c:pt idx="631">
                  <c:v>-0.46733231897175392</c:v>
                </c:pt>
                <c:pt idx="632">
                  <c:v>-0.43909857151990195</c:v>
                </c:pt>
                <c:pt idx="633">
                  <c:v>-0.4375648774380837</c:v>
                </c:pt>
                <c:pt idx="634">
                  <c:v>-0.48372850034597858</c:v>
                </c:pt>
                <c:pt idx="635">
                  <c:v>-0.45975970532254756</c:v>
                </c:pt>
                <c:pt idx="636">
                  <c:v>-0.50095858938137117</c:v>
                </c:pt>
                <c:pt idx="637">
                  <c:v>-0.48898502582266151</c:v>
                </c:pt>
                <c:pt idx="638">
                  <c:v>-0.41204236087500318</c:v>
                </c:pt>
                <c:pt idx="639">
                  <c:v>-0.48294052567402718</c:v>
                </c:pt>
                <c:pt idx="640">
                  <c:v>-0.49105282261044325</c:v>
                </c:pt>
                <c:pt idx="641">
                  <c:v>-0.51589878319848337</c:v>
                </c:pt>
                <c:pt idx="642">
                  <c:v>-0.56648243522705488</c:v>
                </c:pt>
                <c:pt idx="643">
                  <c:v>-0.55448043032357996</c:v>
                </c:pt>
                <c:pt idx="644">
                  <c:v>-0.54299468493531211</c:v>
                </c:pt>
                <c:pt idx="645">
                  <c:v>-0.5691273960810953</c:v>
                </c:pt>
                <c:pt idx="646">
                  <c:v>-0.59490172265492081</c:v>
                </c:pt>
                <c:pt idx="647">
                  <c:v>-0.60189954204128449</c:v>
                </c:pt>
                <c:pt idx="648">
                  <c:v>-0.55527592632665046</c:v>
                </c:pt>
                <c:pt idx="649">
                  <c:v>-0.52852800521408505</c:v>
                </c:pt>
                <c:pt idx="650">
                  <c:v>-0.56624100329509075</c:v>
                </c:pt>
                <c:pt idx="651">
                  <c:v>-0.55990109614440597</c:v>
                </c:pt>
                <c:pt idx="652">
                  <c:v>-0.6041609286015488</c:v>
                </c:pt>
                <c:pt idx="653">
                  <c:v>-0.58012119330154888</c:v>
                </c:pt>
                <c:pt idx="654">
                  <c:v>-0.57005578526296619</c:v>
                </c:pt>
                <c:pt idx="655">
                  <c:v>-0.5993111898709661</c:v>
                </c:pt>
                <c:pt idx="656">
                  <c:v>-0.58739815905811699</c:v>
                </c:pt>
                <c:pt idx="657">
                  <c:v>-0.58302630938514388</c:v>
                </c:pt>
                <c:pt idx="658">
                  <c:v>-0.49518929419423502</c:v>
                </c:pt>
                <c:pt idx="659">
                  <c:v>-0.49750885677280665</c:v>
                </c:pt>
                <c:pt idx="660">
                  <c:v>-0.51264636013746812</c:v>
                </c:pt>
                <c:pt idx="661">
                  <c:v>-0.46748210926805234</c:v>
                </c:pt>
                <c:pt idx="662">
                  <c:v>-0.55988155501235648</c:v>
                </c:pt>
                <c:pt idx="663">
                  <c:v>-0.53239782639856348</c:v>
                </c:pt>
                <c:pt idx="664">
                  <c:v>-0.53119621053492694</c:v>
                </c:pt>
                <c:pt idx="665">
                  <c:v>-0.48505380223725258</c:v>
                </c:pt>
                <c:pt idx="666">
                  <c:v>-0.41763306482475265</c:v>
                </c:pt>
                <c:pt idx="667">
                  <c:v>-0.50399653822872237</c:v>
                </c:pt>
                <c:pt idx="668">
                  <c:v>-0.51680213824538901</c:v>
                </c:pt>
                <c:pt idx="669">
                  <c:v>-0.54987329632482151</c:v>
                </c:pt>
                <c:pt idx="670">
                  <c:v>-0.51905800259754886</c:v>
                </c:pt>
                <c:pt idx="671">
                  <c:v>-0.54436996599754872</c:v>
                </c:pt>
                <c:pt idx="672">
                  <c:v>-0.51423660431004881</c:v>
                </c:pt>
                <c:pt idx="673">
                  <c:v>-0.54051339710277602</c:v>
                </c:pt>
                <c:pt idx="674">
                  <c:v>-0.51987760701115293</c:v>
                </c:pt>
                <c:pt idx="675">
                  <c:v>-0.57822368919457834</c:v>
                </c:pt>
                <c:pt idx="676">
                  <c:v>-0.61431877708519211</c:v>
                </c:pt>
                <c:pt idx="677">
                  <c:v>-0.56889670796340985</c:v>
                </c:pt>
                <c:pt idx="678">
                  <c:v>-0.56313467868516731</c:v>
                </c:pt>
                <c:pt idx="679">
                  <c:v>-0.5113168140814498</c:v>
                </c:pt>
                <c:pt idx="680">
                  <c:v>-0.58599327273258606</c:v>
                </c:pt>
                <c:pt idx="681">
                  <c:v>-0.61901961117939475</c:v>
                </c:pt>
                <c:pt idx="682">
                  <c:v>-0.64231592870152243</c:v>
                </c:pt>
                <c:pt idx="683">
                  <c:v>-0.62083076064730547</c:v>
                </c:pt>
                <c:pt idx="684">
                  <c:v>-0.60445115429993701</c:v>
                </c:pt>
                <c:pt idx="685">
                  <c:v>-0.55311062615178896</c:v>
                </c:pt>
                <c:pt idx="686">
                  <c:v>-0.69995474326918017</c:v>
                </c:pt>
                <c:pt idx="687">
                  <c:v>-0.53024456162604927</c:v>
                </c:pt>
                <c:pt idx="688">
                  <c:v>-0.52358398315151522</c:v>
                </c:pt>
                <c:pt idx="689">
                  <c:v>-0.5250345996474215</c:v>
                </c:pt>
                <c:pt idx="690">
                  <c:v>-0.66341586064742153</c:v>
                </c:pt>
                <c:pt idx="691">
                  <c:v>-0.49979620429210558</c:v>
                </c:pt>
                <c:pt idx="692">
                  <c:v>-0.40247900458324481</c:v>
                </c:pt>
                <c:pt idx="693">
                  <c:v>-0.40498717381791122</c:v>
                </c:pt>
                <c:pt idx="694">
                  <c:v>-0.56542596197887929</c:v>
                </c:pt>
                <c:pt idx="695">
                  <c:v>-0.5502111840960221</c:v>
                </c:pt>
                <c:pt idx="696">
                  <c:v>-0.6573115302970024</c:v>
                </c:pt>
                <c:pt idx="697">
                  <c:v>-0.72595100127557366</c:v>
                </c:pt>
                <c:pt idx="698">
                  <c:v>-0.68320503999971138</c:v>
                </c:pt>
                <c:pt idx="699">
                  <c:v>-0.6210797888299</c:v>
                </c:pt>
                <c:pt idx="700">
                  <c:v>-0.6151487149824425</c:v>
                </c:pt>
                <c:pt idx="701">
                  <c:v>-0.65277272361971861</c:v>
                </c:pt>
                <c:pt idx="702">
                  <c:v>-0.67174775812306653</c:v>
                </c:pt>
                <c:pt idx="703">
                  <c:v>-0.5623326227673322</c:v>
                </c:pt>
                <c:pt idx="704">
                  <c:v>-0.48901925893876069</c:v>
                </c:pt>
                <c:pt idx="705">
                  <c:v>-0.48794421363762414</c:v>
                </c:pt>
                <c:pt idx="706">
                  <c:v>-0.50159732107898558</c:v>
                </c:pt>
                <c:pt idx="707">
                  <c:v>-0.58735964557222908</c:v>
                </c:pt>
                <c:pt idx="708">
                  <c:v>-0.65253144331164525</c:v>
                </c:pt>
                <c:pt idx="709">
                  <c:v>-0.29212708264070214</c:v>
                </c:pt>
                <c:pt idx="710">
                  <c:v>-0.39198211673958788</c:v>
                </c:pt>
                <c:pt idx="711">
                  <c:v>-0.43779148320613692</c:v>
                </c:pt>
                <c:pt idx="712">
                  <c:v>-0.45985155619666496</c:v>
                </c:pt>
                <c:pt idx="713">
                  <c:v>-0.34796971039354879</c:v>
                </c:pt>
                <c:pt idx="714">
                  <c:v>-0.45066591605816952</c:v>
                </c:pt>
                <c:pt idx="715">
                  <c:v>-0.29139904630530428</c:v>
                </c:pt>
                <c:pt idx="716">
                  <c:v>-0.24649668017197096</c:v>
                </c:pt>
                <c:pt idx="717">
                  <c:v>-0.30796937688227422</c:v>
                </c:pt>
                <c:pt idx="718">
                  <c:v>-0.20112642394170277</c:v>
                </c:pt>
                <c:pt idx="719">
                  <c:v>-0.28578437031104081</c:v>
                </c:pt>
                <c:pt idx="720">
                  <c:v>-0.24414463137866177</c:v>
                </c:pt>
                <c:pt idx="721">
                  <c:v>-5.6972830495068072E-2</c:v>
                </c:pt>
                <c:pt idx="722">
                  <c:v>-0.13092660047759783</c:v>
                </c:pt>
                <c:pt idx="723">
                  <c:v>0.20654628972679856</c:v>
                </c:pt>
                <c:pt idx="724">
                  <c:v>-7.741449049359371E-2</c:v>
                </c:pt>
                <c:pt idx="725">
                  <c:v>-0.3527655036553583</c:v>
                </c:pt>
                <c:pt idx="726">
                  <c:v>-0.41767609168165321</c:v>
                </c:pt>
                <c:pt idx="727">
                  <c:v>-0.47276052528962592</c:v>
                </c:pt>
                <c:pt idx="728">
                  <c:v>-0.49598419614769051</c:v>
                </c:pt>
                <c:pt idx="729">
                  <c:v>-0.55849829405593776</c:v>
                </c:pt>
                <c:pt idx="730">
                  <c:v>-0.62017279213286103</c:v>
                </c:pt>
                <c:pt idx="731">
                  <c:v>-0.63940077330121525</c:v>
                </c:pt>
                <c:pt idx="732">
                  <c:v>-0.54631383898186037</c:v>
                </c:pt>
                <c:pt idx="733">
                  <c:v>-0.60566710153564218</c:v>
                </c:pt>
                <c:pt idx="734">
                  <c:v>-0.61850252098245062</c:v>
                </c:pt>
                <c:pt idx="735">
                  <c:v>-0.63539933032362705</c:v>
                </c:pt>
                <c:pt idx="736">
                  <c:v>-0.60734612835954938</c:v>
                </c:pt>
                <c:pt idx="737">
                  <c:v>-0.62479891042671365</c:v>
                </c:pt>
                <c:pt idx="738">
                  <c:v>-0.64421233783022247</c:v>
                </c:pt>
                <c:pt idx="739">
                  <c:v>-0.66545047061725959</c:v>
                </c:pt>
                <c:pt idx="740">
                  <c:v>-0.65497994324625375</c:v>
                </c:pt>
                <c:pt idx="741">
                  <c:v>-0.6600589105715412</c:v>
                </c:pt>
                <c:pt idx="742">
                  <c:v>-0.66754973893996228</c:v>
                </c:pt>
                <c:pt idx="743">
                  <c:v>-0.7160261348205591</c:v>
                </c:pt>
                <c:pt idx="744">
                  <c:v>-0.70747641117510451</c:v>
                </c:pt>
                <c:pt idx="745">
                  <c:v>-0.74665391461138375</c:v>
                </c:pt>
                <c:pt idx="746">
                  <c:v>-0.75398626301138372</c:v>
                </c:pt>
                <c:pt idx="747">
                  <c:v>-0.7573100347863837</c:v>
                </c:pt>
                <c:pt idx="748">
                  <c:v>-0.75546535175149998</c:v>
                </c:pt>
                <c:pt idx="749">
                  <c:v>-0.76673101114316655</c:v>
                </c:pt>
                <c:pt idx="750">
                  <c:v>-0.76368549634316651</c:v>
                </c:pt>
                <c:pt idx="751">
                  <c:v>-0.76114869201922286</c:v>
                </c:pt>
                <c:pt idx="752">
                  <c:v>-0.71471269875558641</c:v>
                </c:pt>
                <c:pt idx="753">
                  <c:v>-0.71302505920415782</c:v>
                </c:pt>
                <c:pt idx="754">
                  <c:v>-0.70162982051779432</c:v>
                </c:pt>
                <c:pt idx="755">
                  <c:v>-0.70456300254822901</c:v>
                </c:pt>
                <c:pt idx="756">
                  <c:v>-0.72015695840277449</c:v>
                </c:pt>
                <c:pt idx="757">
                  <c:v>-0.71190274369854911</c:v>
                </c:pt>
                <c:pt idx="758">
                  <c:v>-0.70895113522413045</c:v>
                </c:pt>
                <c:pt idx="759">
                  <c:v>-0.70562128322413031</c:v>
                </c:pt>
                <c:pt idx="760">
                  <c:v>-0.69898514566413028</c:v>
                </c:pt>
                <c:pt idx="761">
                  <c:v>-0.69630756258993665</c:v>
                </c:pt>
                <c:pt idx="762">
                  <c:v>-0.68994714792326994</c:v>
                </c:pt>
                <c:pt idx="763">
                  <c:v>-0.70116736440685212</c:v>
                </c:pt>
                <c:pt idx="764">
                  <c:v>-0.69326016637155807</c:v>
                </c:pt>
                <c:pt idx="765">
                  <c:v>-0.70249967639317956</c:v>
                </c:pt>
                <c:pt idx="766">
                  <c:v>-0.70268756948041367</c:v>
                </c:pt>
                <c:pt idx="767">
                  <c:v>-0.69328398068041375</c:v>
                </c:pt>
                <c:pt idx="768">
                  <c:v>-0.69164072606763172</c:v>
                </c:pt>
                <c:pt idx="769">
                  <c:v>-0.68045624714505104</c:v>
                </c:pt>
                <c:pt idx="770">
                  <c:v>-0.68843338038505109</c:v>
                </c:pt>
                <c:pt idx="771">
                  <c:v>-0.68356145408202085</c:v>
                </c:pt>
                <c:pt idx="772">
                  <c:v>-0.70426978295526033</c:v>
                </c:pt>
                <c:pt idx="773">
                  <c:v>-0.68920867798583874</c:v>
                </c:pt>
                <c:pt idx="774">
                  <c:v>-0.67447743280851924</c:v>
                </c:pt>
                <c:pt idx="775">
                  <c:v>-0.67988296115557789</c:v>
                </c:pt>
                <c:pt idx="776">
                  <c:v>-0.67455053263739617</c:v>
                </c:pt>
                <c:pt idx="777">
                  <c:v>-0.66887704227549138</c:v>
                </c:pt>
                <c:pt idx="778">
                  <c:v>-0.67603538967549126</c:v>
                </c:pt>
                <c:pt idx="779">
                  <c:v>-0.67968099239962931</c:v>
                </c:pt>
                <c:pt idx="780">
                  <c:v>-0.65823166178223813</c:v>
                </c:pt>
                <c:pt idx="781">
                  <c:v>-0.65424172658223811</c:v>
                </c:pt>
                <c:pt idx="782">
                  <c:v>-0.6559800911822381</c:v>
                </c:pt>
                <c:pt idx="783">
                  <c:v>-0.66048971125916112</c:v>
                </c:pt>
                <c:pt idx="784">
                  <c:v>-0.66859879201834482</c:v>
                </c:pt>
                <c:pt idx="785">
                  <c:v>-0.67839879630925382</c:v>
                </c:pt>
                <c:pt idx="786">
                  <c:v>-0.66285727086345947</c:v>
                </c:pt>
                <c:pt idx="787">
                  <c:v>-0.66346304211026785</c:v>
                </c:pt>
                <c:pt idx="788">
                  <c:v>-0.66222610129262094</c:v>
                </c:pt>
                <c:pt idx="789">
                  <c:v>-0.66402752799993803</c:v>
                </c:pt>
                <c:pt idx="790">
                  <c:v>-0.66402752799993792</c:v>
                </c:pt>
                <c:pt idx="791">
                  <c:v>-0.65011503672232607</c:v>
                </c:pt>
                <c:pt idx="792">
                  <c:v>-0.64097166997617216</c:v>
                </c:pt>
                <c:pt idx="793">
                  <c:v>-0.6803597588914263</c:v>
                </c:pt>
                <c:pt idx="794">
                  <c:v>-0.69577850144742626</c:v>
                </c:pt>
                <c:pt idx="795">
                  <c:v>-0.71281529115692344</c:v>
                </c:pt>
                <c:pt idx="796">
                  <c:v>-0.6992351537140663</c:v>
                </c:pt>
                <c:pt idx="797">
                  <c:v>-0.71187688962985574</c:v>
                </c:pt>
                <c:pt idx="798">
                  <c:v>-0.7106753861168289</c:v>
                </c:pt>
                <c:pt idx="799">
                  <c:v>-0.68685883666654624</c:v>
                </c:pt>
                <c:pt idx="800">
                  <c:v>-0.66291122533976066</c:v>
                </c:pt>
                <c:pt idx="801">
                  <c:v>-0.65086708891125833</c:v>
                </c:pt>
                <c:pt idx="802">
                  <c:v>-0.61575167454459145</c:v>
                </c:pt>
                <c:pt idx="803">
                  <c:v>-0.61451414899620427</c:v>
                </c:pt>
                <c:pt idx="804">
                  <c:v>-0.62511426998191855</c:v>
                </c:pt>
                <c:pt idx="805">
                  <c:v>-0.61450655338961102</c:v>
                </c:pt>
                <c:pt idx="806">
                  <c:v>-0.61207022767876773</c:v>
                </c:pt>
                <c:pt idx="807">
                  <c:v>-0.62233738836448205</c:v>
                </c:pt>
                <c:pt idx="808">
                  <c:v>-0.61714822522330581</c:v>
                </c:pt>
                <c:pt idx="809">
                  <c:v>-0.60788481808861183</c:v>
                </c:pt>
                <c:pt idx="810">
                  <c:v>-0.62030261298620226</c:v>
                </c:pt>
                <c:pt idx="811">
                  <c:v>-0.61984473322237243</c:v>
                </c:pt>
                <c:pt idx="812">
                  <c:v>-0.58773779191544184</c:v>
                </c:pt>
                <c:pt idx="813">
                  <c:v>-0.58669811611792111</c:v>
                </c:pt>
                <c:pt idx="814">
                  <c:v>-0.59813364841950833</c:v>
                </c:pt>
                <c:pt idx="815">
                  <c:v>-0.63888882467796992</c:v>
                </c:pt>
                <c:pt idx="816">
                  <c:v>-0.67158829287796995</c:v>
                </c:pt>
                <c:pt idx="817">
                  <c:v>-0.69299476976887897</c:v>
                </c:pt>
                <c:pt idx="818">
                  <c:v>-0.71359320443041752</c:v>
                </c:pt>
                <c:pt idx="819">
                  <c:v>-0.70547701047524514</c:v>
                </c:pt>
                <c:pt idx="820">
                  <c:v>-0.69867949701228216</c:v>
                </c:pt>
                <c:pt idx="821">
                  <c:v>-0.71556382174043742</c:v>
                </c:pt>
                <c:pt idx="822">
                  <c:v>-0.6976952370588374</c:v>
                </c:pt>
                <c:pt idx="823">
                  <c:v>-0.66889693924420324</c:v>
                </c:pt>
                <c:pt idx="824">
                  <c:v>-0.72554145626745892</c:v>
                </c:pt>
                <c:pt idx="825">
                  <c:v>-0.67812682938919799</c:v>
                </c:pt>
                <c:pt idx="826">
                  <c:v>-0.71735942392919805</c:v>
                </c:pt>
                <c:pt idx="827">
                  <c:v>-0.71902506488919815</c:v>
                </c:pt>
                <c:pt idx="828">
                  <c:v>-0.70539505255968993</c:v>
                </c:pt>
                <c:pt idx="829">
                  <c:v>-0.68522168646878079</c:v>
                </c:pt>
                <c:pt idx="830">
                  <c:v>-0.68198148276365234</c:v>
                </c:pt>
                <c:pt idx="831">
                  <c:v>-0.69259567686365231</c:v>
                </c:pt>
                <c:pt idx="832">
                  <c:v>-0.67426123463793797</c:v>
                </c:pt>
                <c:pt idx="833">
                  <c:v>-0.66577304677323201</c:v>
                </c:pt>
                <c:pt idx="834">
                  <c:v>-0.68502788946270576</c:v>
                </c:pt>
                <c:pt idx="835">
                  <c:v>-0.67777188846270575</c:v>
                </c:pt>
                <c:pt idx="836">
                  <c:v>-0.65576368059029189</c:v>
                </c:pt>
                <c:pt idx="837">
                  <c:v>-0.67438863712206754</c:v>
                </c:pt>
                <c:pt idx="838">
                  <c:v>-0.66430053618115825</c:v>
                </c:pt>
                <c:pt idx="839">
                  <c:v>-0.67236527970673976</c:v>
                </c:pt>
                <c:pt idx="840">
                  <c:v>-0.64093755130673979</c:v>
                </c:pt>
                <c:pt idx="841">
                  <c:v>-0.62774937098870698</c:v>
                </c:pt>
                <c:pt idx="842">
                  <c:v>-0.621952447389437</c:v>
                </c:pt>
                <c:pt idx="843">
                  <c:v>-0.64164300824164922</c:v>
                </c:pt>
                <c:pt idx="844">
                  <c:v>-0.66585418645485672</c:v>
                </c:pt>
                <c:pt idx="845">
                  <c:v>-0.65351401554474431</c:v>
                </c:pt>
                <c:pt idx="846">
                  <c:v>-0.66057113375325516</c:v>
                </c:pt>
                <c:pt idx="847">
                  <c:v>-0.66481776757695876</c:v>
                </c:pt>
                <c:pt idx="848">
                  <c:v>-0.65716072024100369</c:v>
                </c:pt>
                <c:pt idx="849">
                  <c:v>-0.66012179046100372</c:v>
                </c:pt>
                <c:pt idx="850">
                  <c:v>-0.64034362006582279</c:v>
                </c:pt>
                <c:pt idx="851">
                  <c:v>-0.65596872642296566</c:v>
                </c:pt>
                <c:pt idx="852">
                  <c:v>-0.6631553029680638</c:v>
                </c:pt>
                <c:pt idx="853">
                  <c:v>-0.66263467012431376</c:v>
                </c:pt>
                <c:pt idx="854">
                  <c:v>-0.67692002565692244</c:v>
                </c:pt>
                <c:pt idx="855">
                  <c:v>-0.66977589567431384</c:v>
                </c:pt>
                <c:pt idx="856">
                  <c:v>-0.69217719106474851</c:v>
                </c:pt>
                <c:pt idx="857">
                  <c:v>-0.67593504300491769</c:v>
                </c:pt>
                <c:pt idx="858">
                  <c:v>-0.66153238148252957</c:v>
                </c:pt>
                <c:pt idx="859">
                  <c:v>-0.65463079096904642</c:v>
                </c:pt>
                <c:pt idx="860">
                  <c:v>-0.65079974814289254</c:v>
                </c:pt>
                <c:pt idx="861">
                  <c:v>-0.65327202822289265</c:v>
                </c:pt>
                <c:pt idx="862">
                  <c:v>-0.6584680343621333</c:v>
                </c:pt>
                <c:pt idx="863">
                  <c:v>-0.68808536921061791</c:v>
                </c:pt>
                <c:pt idx="864">
                  <c:v>-0.71081700379384383</c:v>
                </c:pt>
                <c:pt idx="865">
                  <c:v>-0.71684050272821886</c:v>
                </c:pt>
                <c:pt idx="866">
                  <c:v>-0.72070995142387106</c:v>
                </c:pt>
                <c:pt idx="867">
                  <c:v>-0.71904882749587107</c:v>
                </c:pt>
                <c:pt idx="868">
                  <c:v>-0.70621594857561798</c:v>
                </c:pt>
                <c:pt idx="869">
                  <c:v>-0.71548840088371513</c:v>
                </c:pt>
                <c:pt idx="870">
                  <c:v>-0.69007840578560187</c:v>
                </c:pt>
                <c:pt idx="871">
                  <c:v>-0.68536776794374155</c:v>
                </c:pt>
                <c:pt idx="872">
                  <c:v>-0.68519433296551269</c:v>
                </c:pt>
                <c:pt idx="873">
                  <c:v>-0.66768668503217943</c:v>
                </c:pt>
                <c:pt idx="874">
                  <c:v>-0.6867662322561795</c:v>
                </c:pt>
                <c:pt idx="875">
                  <c:v>-0.67206062142400547</c:v>
                </c:pt>
                <c:pt idx="876">
                  <c:v>-0.66244133679900541</c:v>
                </c:pt>
                <c:pt idx="877">
                  <c:v>-0.6407657345220823</c:v>
                </c:pt>
                <c:pt idx="878">
                  <c:v>-0.61030039177014428</c:v>
                </c:pt>
                <c:pt idx="879">
                  <c:v>-0.5683571182692746</c:v>
                </c:pt>
                <c:pt idx="880">
                  <c:v>-0.57233768094285964</c:v>
                </c:pt>
                <c:pt idx="881">
                  <c:v>-0.56544331752285959</c:v>
                </c:pt>
                <c:pt idx="882">
                  <c:v>-0.56681885101545215</c:v>
                </c:pt>
                <c:pt idx="883">
                  <c:v>-0.54446712863882873</c:v>
                </c:pt>
                <c:pt idx="884">
                  <c:v>-0.50091179502347294</c:v>
                </c:pt>
                <c:pt idx="885">
                  <c:v>-0.45455011500820197</c:v>
                </c:pt>
                <c:pt idx="886">
                  <c:v>-0.51570223744570198</c:v>
                </c:pt>
                <c:pt idx="887">
                  <c:v>-0.44224357320769447</c:v>
                </c:pt>
                <c:pt idx="888">
                  <c:v>-0.33101335071157795</c:v>
                </c:pt>
                <c:pt idx="889">
                  <c:v>-0.36898891851673532</c:v>
                </c:pt>
                <c:pt idx="890">
                  <c:v>-0.37701534752166144</c:v>
                </c:pt>
                <c:pt idx="891">
                  <c:v>-0.38521727966365038</c:v>
                </c:pt>
                <c:pt idx="892">
                  <c:v>-0.40259264375046366</c:v>
                </c:pt>
                <c:pt idx="893">
                  <c:v>-0.38104253981713032</c:v>
                </c:pt>
                <c:pt idx="894">
                  <c:v>-0.38473585974300456</c:v>
                </c:pt>
                <c:pt idx="895">
                  <c:v>-0.38767915027963823</c:v>
                </c:pt>
                <c:pt idx="896">
                  <c:v>-0.3459910263580166</c:v>
                </c:pt>
                <c:pt idx="897">
                  <c:v>-0.37672371551663725</c:v>
                </c:pt>
                <c:pt idx="898">
                  <c:v>-0.34241766939594753</c:v>
                </c:pt>
                <c:pt idx="899">
                  <c:v>-0.35280364554348848</c:v>
                </c:pt>
                <c:pt idx="900">
                  <c:v>-0.34714528751520574</c:v>
                </c:pt>
                <c:pt idx="901">
                  <c:v>-0.35438461055318038</c:v>
                </c:pt>
                <c:pt idx="902">
                  <c:v>-0.38734233552709341</c:v>
                </c:pt>
                <c:pt idx="903">
                  <c:v>-0.34755475697059995</c:v>
                </c:pt>
                <c:pt idx="904">
                  <c:v>-0.33918286321605451</c:v>
                </c:pt>
                <c:pt idx="905">
                  <c:v>-0.29757342543510207</c:v>
                </c:pt>
                <c:pt idx="906">
                  <c:v>-0.28678743721671124</c:v>
                </c:pt>
                <c:pt idx="907">
                  <c:v>-0.30444343181671135</c:v>
                </c:pt>
                <c:pt idx="908">
                  <c:v>-0.30348091565893354</c:v>
                </c:pt>
                <c:pt idx="909">
                  <c:v>-0.29039236139226687</c:v>
                </c:pt>
                <c:pt idx="910">
                  <c:v>-0.29943754671828299</c:v>
                </c:pt>
                <c:pt idx="911">
                  <c:v>-0.28900443653126012</c:v>
                </c:pt>
                <c:pt idx="912">
                  <c:v>-0.30287341689832598</c:v>
                </c:pt>
                <c:pt idx="913">
                  <c:v>-0.31278129882253658</c:v>
                </c:pt>
                <c:pt idx="914">
                  <c:v>-0.31033223855330583</c:v>
                </c:pt>
                <c:pt idx="915">
                  <c:v>-0.31528079830566635</c:v>
                </c:pt>
                <c:pt idx="916">
                  <c:v>-0.29578097701633305</c:v>
                </c:pt>
                <c:pt idx="917">
                  <c:v>-0.30992722120951499</c:v>
                </c:pt>
                <c:pt idx="918">
                  <c:v>-0.32509474186153819</c:v>
                </c:pt>
                <c:pt idx="919">
                  <c:v>-0.34142995773895757</c:v>
                </c:pt>
                <c:pt idx="920">
                  <c:v>-0.30927774117306167</c:v>
                </c:pt>
                <c:pt idx="921">
                  <c:v>-0.29811743947306174</c:v>
                </c:pt>
                <c:pt idx="922">
                  <c:v>-0.30556392108844638</c:v>
                </c:pt>
                <c:pt idx="923">
                  <c:v>-0.30317603746844635</c:v>
                </c:pt>
                <c:pt idx="924">
                  <c:v>-0.30721271885187179</c:v>
                </c:pt>
                <c:pt idx="925">
                  <c:v>-0.35576772697885584</c:v>
                </c:pt>
                <c:pt idx="926">
                  <c:v>-0.41360110205028439</c:v>
                </c:pt>
                <c:pt idx="927">
                  <c:v>-0.37109060259372872</c:v>
                </c:pt>
                <c:pt idx="928">
                  <c:v>-0.35812489021492716</c:v>
                </c:pt>
                <c:pt idx="929">
                  <c:v>-0.25703237159004244</c:v>
                </c:pt>
                <c:pt idx="930">
                  <c:v>-0.24766028653853733</c:v>
                </c:pt>
                <c:pt idx="931">
                  <c:v>-0.27736289924689395</c:v>
                </c:pt>
                <c:pt idx="932">
                  <c:v>-0.23858427064044238</c:v>
                </c:pt>
                <c:pt idx="933">
                  <c:v>-0.24486172476742651</c:v>
                </c:pt>
                <c:pt idx="934">
                  <c:v>-0.24960356067420636</c:v>
                </c:pt>
                <c:pt idx="935">
                  <c:v>-8.6649085045634983E-2</c:v>
                </c:pt>
                <c:pt idx="936">
                  <c:v>-0.1448317375774533</c:v>
                </c:pt>
                <c:pt idx="937">
                  <c:v>-0.14876388877943345</c:v>
                </c:pt>
                <c:pt idx="938">
                  <c:v>-0.12163488598980694</c:v>
                </c:pt>
                <c:pt idx="939">
                  <c:v>-0.11100234049098354</c:v>
                </c:pt>
                <c:pt idx="940">
                  <c:v>-0.13363420994812639</c:v>
                </c:pt>
                <c:pt idx="941">
                  <c:v>-0.13547143768985859</c:v>
                </c:pt>
                <c:pt idx="942">
                  <c:v>-0.1375687948814078</c:v>
                </c:pt>
                <c:pt idx="943">
                  <c:v>-8.3112975666169833E-2</c:v>
                </c:pt>
                <c:pt idx="944">
                  <c:v>-0.14839987161057858</c:v>
                </c:pt>
                <c:pt idx="945">
                  <c:v>-0.18099483943216935</c:v>
                </c:pt>
                <c:pt idx="946">
                  <c:v>-0.1073796006630971</c:v>
                </c:pt>
                <c:pt idx="947">
                  <c:v>4.8425881915118646E-3</c:v>
                </c:pt>
                <c:pt idx="948">
                  <c:v>4.7229479418603761E-2</c:v>
                </c:pt>
                <c:pt idx="949">
                  <c:v>3.3053907660230461E-2</c:v>
                </c:pt>
                <c:pt idx="950">
                  <c:v>8.5050391600941938E-2</c:v>
                </c:pt>
                <c:pt idx="951">
                  <c:v>2.0492774238000538E-2</c:v>
                </c:pt>
                <c:pt idx="952">
                  <c:v>6.6500377794054225E-2</c:v>
                </c:pt>
                <c:pt idx="953">
                  <c:v>9.9781624526878693E-2</c:v>
                </c:pt>
                <c:pt idx="954">
                  <c:v>0.13196076706095261</c:v>
                </c:pt>
                <c:pt idx="955">
                  <c:v>0.12620258974122461</c:v>
                </c:pt>
                <c:pt idx="956">
                  <c:v>0.15471393116291099</c:v>
                </c:pt>
                <c:pt idx="957">
                  <c:v>0.18788658931898572</c:v>
                </c:pt>
                <c:pt idx="958">
                  <c:v>0.1828099019223377</c:v>
                </c:pt>
                <c:pt idx="959">
                  <c:v>0.19262458809785393</c:v>
                </c:pt>
                <c:pt idx="960">
                  <c:v>0.23875061988635979</c:v>
                </c:pt>
                <c:pt idx="961">
                  <c:v>0.21592783381267569</c:v>
                </c:pt>
                <c:pt idx="962">
                  <c:v>0.18918096937934234</c:v>
                </c:pt>
                <c:pt idx="963">
                  <c:v>0.12631187189435722</c:v>
                </c:pt>
                <c:pt idx="964">
                  <c:v>0.14808605289735133</c:v>
                </c:pt>
                <c:pt idx="965">
                  <c:v>0.1579542293176279</c:v>
                </c:pt>
                <c:pt idx="966">
                  <c:v>0.14186081051880442</c:v>
                </c:pt>
                <c:pt idx="967">
                  <c:v>0.10081922139529834</c:v>
                </c:pt>
                <c:pt idx="968">
                  <c:v>0.12337523283936611</c:v>
                </c:pt>
                <c:pt idx="969">
                  <c:v>0.18562362142533076</c:v>
                </c:pt>
                <c:pt idx="970">
                  <c:v>0.3594604120484079</c:v>
                </c:pt>
                <c:pt idx="971">
                  <c:v>0.30600733076930342</c:v>
                </c:pt>
                <c:pt idx="972">
                  <c:v>0.33266206718147751</c:v>
                </c:pt>
                <c:pt idx="973">
                  <c:v>0.21182955809576337</c:v>
                </c:pt>
                <c:pt idx="974">
                  <c:v>0.34327643700716243</c:v>
                </c:pt>
                <c:pt idx="975">
                  <c:v>0.29924104988680827</c:v>
                </c:pt>
                <c:pt idx="976">
                  <c:v>0.25028755585468715</c:v>
                </c:pt>
                <c:pt idx="977">
                  <c:v>0.2576452671445924</c:v>
                </c:pt>
                <c:pt idx="978">
                  <c:v>0.22690944527972751</c:v>
                </c:pt>
                <c:pt idx="979">
                  <c:v>0.23531475711787778</c:v>
                </c:pt>
                <c:pt idx="980">
                  <c:v>0.23058835226602598</c:v>
                </c:pt>
                <c:pt idx="981">
                  <c:v>0.16978598180084065</c:v>
                </c:pt>
                <c:pt idx="982">
                  <c:v>0.24387456851136693</c:v>
                </c:pt>
                <c:pt idx="983">
                  <c:v>0.23179809199173784</c:v>
                </c:pt>
                <c:pt idx="984">
                  <c:v>0.22608804526581189</c:v>
                </c:pt>
                <c:pt idx="985">
                  <c:v>0.20891381017206223</c:v>
                </c:pt>
                <c:pt idx="986">
                  <c:v>0.24190673852189501</c:v>
                </c:pt>
                <c:pt idx="987">
                  <c:v>0.1921378220752398</c:v>
                </c:pt>
                <c:pt idx="988">
                  <c:v>0.23335100523332369</c:v>
                </c:pt>
                <c:pt idx="989">
                  <c:v>0.15794715847161281</c:v>
                </c:pt>
                <c:pt idx="990">
                  <c:v>5.4310651926158235E-2</c:v>
                </c:pt>
                <c:pt idx="991">
                  <c:v>9.1358054932408145E-2</c:v>
                </c:pt>
                <c:pt idx="992">
                  <c:v>0.12621328296877196</c:v>
                </c:pt>
                <c:pt idx="993">
                  <c:v>0.11684716235574502</c:v>
                </c:pt>
                <c:pt idx="994">
                  <c:v>8.1631586224975738E-2</c:v>
                </c:pt>
                <c:pt idx="995">
                  <c:v>0.11465047263034485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EF-4AA8-A921-DDA43F8B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559232"/>
        <c:axId val="315559648"/>
      </c:lineChart>
      <c:dateAx>
        <c:axId val="315559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59648"/>
        <c:crosses val="autoZero"/>
        <c:auto val="1"/>
        <c:lblOffset val="100"/>
        <c:baseTimeUnit val="days"/>
      </c:dateAx>
      <c:valAx>
        <c:axId val="31555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5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CB0B34-FF1D-4AEB-BD8B-C657CB253CAC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4AE7BF-69C2-40FE-98E8-51531FFE75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3.2</v>
      </c>
      <c r="D2" s="4">
        <f>MIN(D3:D1912)</f>
        <v>0.1066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0.68700000000000006</v>
      </c>
      <c r="C5">
        <v>0.69599999999999995</v>
      </c>
      <c r="D5">
        <v>0.66800000000000004</v>
      </c>
      <c r="E5">
        <v>0.66800000000000004</v>
      </c>
      <c r="F5">
        <v>517642.9</v>
      </c>
      <c r="G5">
        <v>0.66800000000000004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-517642.9</v>
      </c>
      <c r="R5">
        <f t="shared" ref="R5" si="2">R6+Q5</f>
        <v>259627006.87525216</v>
      </c>
      <c r="S5">
        <f t="shared" ref="S5" si="3">R5/100000</f>
        <v>2596.2700687525216</v>
      </c>
      <c r="T5">
        <f t="shared" ref="T5" si="4">S5/1000</f>
        <v>2.5962700687525215</v>
      </c>
    </row>
    <row r="6" spans="1:20" x14ac:dyDescent="0.25">
      <c r="A6" s="5">
        <v>44587</v>
      </c>
      <c r="B6">
        <v>0.68200000000000005</v>
      </c>
      <c r="C6">
        <v>0.75600000000000001</v>
      </c>
      <c r="D6">
        <v>0.66800000000000004</v>
      </c>
      <c r="E6">
        <v>0.68700000000000006</v>
      </c>
      <c r="F6">
        <v>7516986.5999999996</v>
      </c>
      <c r="G6">
        <v>0.68700000000000006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-0.56818181818181768</v>
      </c>
      <c r="Q6">
        <f t="shared" ref="Q6" si="6">F6*P6</f>
        <v>-4271015.1136363596</v>
      </c>
      <c r="R6">
        <f t="shared" ref="R6" si="7">R7+Q6</f>
        <v>260144649.77525216</v>
      </c>
      <c r="S6">
        <f t="shared" ref="S6" si="8">R6/100000</f>
        <v>2601.4464977525217</v>
      </c>
      <c r="T6">
        <f t="shared" ref="T6" si="9">S6/1000</f>
        <v>2.6014464977525216</v>
      </c>
    </row>
    <row r="7" spans="1:20" x14ac:dyDescent="0.25">
      <c r="A7" s="5">
        <v>44586</v>
      </c>
      <c r="B7">
        <v>0.66500000000000004</v>
      </c>
      <c r="C7">
        <v>0.68500000000000005</v>
      </c>
      <c r="D7">
        <v>0.63400000000000001</v>
      </c>
      <c r="E7">
        <v>0.68200000000000005</v>
      </c>
      <c r="F7">
        <v>5403716.2000000002</v>
      </c>
      <c r="G7">
        <v>0.68200000000000005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0.88235294117647056</v>
      </c>
      <c r="Q7">
        <f t="shared" ref="Q7" si="11">F7*P7</f>
        <v>4767984.8823529407</v>
      </c>
      <c r="R7">
        <f t="shared" ref="R7" si="12">R8+Q7</f>
        <v>264415664.88888851</v>
      </c>
      <c r="S7">
        <f t="shared" ref="S7" si="13">R7/100000</f>
        <v>2644.1566488888852</v>
      </c>
      <c r="T7">
        <f t="shared" ref="T7" si="14">S7/1000</f>
        <v>2.644156648888885</v>
      </c>
    </row>
    <row r="8" spans="1:20" x14ac:dyDescent="0.25">
      <c r="A8" s="5">
        <v>44585</v>
      </c>
      <c r="B8">
        <v>0.70399999999999996</v>
      </c>
      <c r="C8">
        <v>0.73899999999999999</v>
      </c>
      <c r="D8">
        <v>0.58899999999999997</v>
      </c>
      <c r="E8">
        <v>0.66500000000000004</v>
      </c>
      <c r="F8">
        <v>16402471.33</v>
      </c>
      <c r="G8">
        <v>0.66500000000000004</v>
      </c>
      <c r="L8" t="s">
        <v>7</v>
      </c>
      <c r="M8" t="s">
        <v>7</v>
      </c>
      <c r="N8" t="s">
        <v>7</v>
      </c>
      <c r="P8">
        <f t="shared" ref="P8" si="15">IF(C8=D8,0,((E8-D8)-(C8-E8))/(C8-D8))</f>
        <v>1.3333333333334084E-2</v>
      </c>
      <c r="Q8">
        <f t="shared" ref="Q8" si="16">F8*P8</f>
        <v>218699.61773334563</v>
      </c>
      <c r="R8">
        <f t="shared" ref="R8" si="17">R9+Q8</f>
        <v>259647680.00653556</v>
      </c>
      <c r="S8">
        <f t="shared" ref="S8" si="18">R8/100000</f>
        <v>2596.4768000653557</v>
      </c>
      <c r="T8">
        <f t="shared" ref="T8" si="19">S8/1000</f>
        <v>2.5964768000653558</v>
      </c>
    </row>
    <row r="9" spans="1:20" x14ac:dyDescent="0.25">
      <c r="A9" s="5">
        <v>44584</v>
      </c>
      <c r="B9">
        <v>0.68300000000000005</v>
      </c>
      <c r="C9">
        <v>0.72899999999999998</v>
      </c>
      <c r="D9">
        <v>0.66900000000000004</v>
      </c>
      <c r="E9">
        <v>0.70399999999999996</v>
      </c>
      <c r="F9">
        <v>7951488.0999999996</v>
      </c>
      <c r="G9">
        <v>0.70399999999999996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0.16666666666666513</v>
      </c>
      <c r="Q9">
        <f t="shared" ref="Q9" si="21">F9*P9</f>
        <v>1325248.0166666545</v>
      </c>
      <c r="R9">
        <f t="shared" ref="R9" si="22">R10+Q9</f>
        <v>259428980.3888022</v>
      </c>
      <c r="S9">
        <f t="shared" ref="S9" si="23">R9/100000</f>
        <v>2594.2898038880221</v>
      </c>
      <c r="T9">
        <f t="shared" ref="T9" si="24">S9/1000</f>
        <v>2.5942898038880222</v>
      </c>
    </row>
    <row r="10" spans="1:20" x14ac:dyDescent="0.25">
      <c r="A10" s="5">
        <v>44583</v>
      </c>
      <c r="B10">
        <v>0.754</v>
      </c>
      <c r="C10">
        <v>0.76700000000000002</v>
      </c>
      <c r="D10">
        <v>0.61799999999999999</v>
      </c>
      <c r="E10">
        <v>0.68300000000000005</v>
      </c>
      <c r="F10">
        <v>23989924.920000002</v>
      </c>
      <c r="G10">
        <v>0.68300000000000005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-0.12751677852348928</v>
      </c>
      <c r="Q10">
        <f t="shared" ref="Q10" si="26">F10*P10</f>
        <v>-3059117.9428187762</v>
      </c>
      <c r="R10">
        <f t="shared" ref="R10" si="27">R11+Q10</f>
        <v>258103732.37213555</v>
      </c>
      <c r="S10">
        <f t="shared" ref="S10" si="28">R10/100000</f>
        <v>2581.0373237213553</v>
      </c>
      <c r="T10">
        <f t="shared" ref="T10" si="29">S10/1000</f>
        <v>2.5810373237213553</v>
      </c>
    </row>
    <row r="11" spans="1:20" x14ac:dyDescent="0.25">
      <c r="A11" s="5">
        <v>44582</v>
      </c>
      <c r="B11">
        <v>0.88</v>
      </c>
      <c r="C11">
        <v>0.88900000000000001</v>
      </c>
      <c r="D11">
        <v>0.72699999999999998</v>
      </c>
      <c r="E11">
        <v>0.754</v>
      </c>
      <c r="F11">
        <v>14450997.119999999</v>
      </c>
      <c r="G11">
        <v>0.754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-0.66666666666666641</v>
      </c>
      <c r="Q11">
        <f t="shared" ref="Q11" si="31">F11*P11</f>
        <v>-9633998.0799999963</v>
      </c>
      <c r="R11">
        <f t="shared" ref="R11" si="32">R12+Q11</f>
        <v>261162850.31495434</v>
      </c>
      <c r="S11">
        <f t="shared" ref="S11" si="33">R11/100000</f>
        <v>2611.6285031495436</v>
      </c>
      <c r="T11">
        <f t="shared" ref="T11" si="34">S11/1000</f>
        <v>2.6116285031495434</v>
      </c>
    </row>
    <row r="12" spans="1:20" x14ac:dyDescent="0.25">
      <c r="A12" s="5">
        <v>44581</v>
      </c>
      <c r="B12">
        <v>0.92</v>
      </c>
      <c r="C12">
        <v>0.97899999999999998</v>
      </c>
      <c r="D12">
        <v>0.873</v>
      </c>
      <c r="E12">
        <v>0.88100000000000001</v>
      </c>
      <c r="F12">
        <v>4915754.0999999996</v>
      </c>
      <c r="G12">
        <v>0.88100000000000001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-0.84905660377358472</v>
      </c>
      <c r="Q12">
        <f t="shared" ref="Q12" si="36">F12*P12</f>
        <v>-4173753.4811320743</v>
      </c>
      <c r="R12">
        <f t="shared" ref="R12" si="37">R13+Q12</f>
        <v>270796848.39495432</v>
      </c>
      <c r="S12">
        <f t="shared" ref="S12" si="38">R12/100000</f>
        <v>2707.968483949543</v>
      </c>
      <c r="T12">
        <f t="shared" ref="T12" si="39">S12/1000</f>
        <v>2.7079684839495433</v>
      </c>
    </row>
    <row r="13" spans="1:20" x14ac:dyDescent="0.25">
      <c r="A13" s="5">
        <v>44580</v>
      </c>
      <c r="B13">
        <v>0.96099999999999997</v>
      </c>
      <c r="C13">
        <v>0.96399999999999997</v>
      </c>
      <c r="D13">
        <v>0.90600000000000003</v>
      </c>
      <c r="E13">
        <v>0.92100000000000004</v>
      </c>
      <c r="F13">
        <v>5025033.7</v>
      </c>
      <c r="G13">
        <v>0.92100000000000004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-0.48275862068965419</v>
      </c>
      <c r="Q13">
        <f t="shared" ref="Q13" si="41">F13*P13</f>
        <v>-2425878.3379310295</v>
      </c>
      <c r="R13">
        <f t="shared" ref="R13" si="42">R14+Q13</f>
        <v>274970601.87608641</v>
      </c>
      <c r="S13">
        <f t="shared" ref="S13" si="43">R13/100000</f>
        <v>2749.706018760864</v>
      </c>
      <c r="T13">
        <f t="shared" ref="T13" si="44">S13/1000</f>
        <v>2.7497060187608642</v>
      </c>
    </row>
    <row r="14" spans="1:20" x14ac:dyDescent="0.25">
      <c r="A14" s="5">
        <v>44579</v>
      </c>
      <c r="B14">
        <v>0.99</v>
      </c>
      <c r="C14">
        <v>0.999</v>
      </c>
      <c r="D14">
        <v>0.92600000000000005</v>
      </c>
      <c r="E14">
        <v>0.96099999999999997</v>
      </c>
      <c r="F14">
        <v>4203483</v>
      </c>
      <c r="G14">
        <v>0.96099999999999997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-4.1095890410960491E-2</v>
      </c>
      <c r="Q14">
        <f t="shared" ref="Q14" si="46">F14*P14</f>
        <v>-172745.87671233545</v>
      </c>
      <c r="R14">
        <f t="shared" ref="R14" si="47">R15+Q14</f>
        <v>277396480.21401745</v>
      </c>
      <c r="S14">
        <f t="shared" ref="S14" si="48">R14/100000</f>
        <v>2773.9648021401745</v>
      </c>
      <c r="T14">
        <f t="shared" ref="T14" si="49">S14/1000</f>
        <v>2.7739648021401746</v>
      </c>
    </row>
    <row r="15" spans="1:20" x14ac:dyDescent="0.25">
      <c r="A15" s="5">
        <v>44578</v>
      </c>
      <c r="B15">
        <v>1.0620000000000001</v>
      </c>
      <c r="C15">
        <v>1.0629999999999999</v>
      </c>
      <c r="D15">
        <v>0.96699999999999997</v>
      </c>
      <c r="E15">
        <v>0.98899999999999999</v>
      </c>
      <c r="F15">
        <v>5147970.2</v>
      </c>
      <c r="G15">
        <v>0.98899999999999999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-0.54166666666666619</v>
      </c>
      <c r="Q15">
        <f t="shared" ref="Q15" si="51">F15*P15</f>
        <v>-2788483.8583333311</v>
      </c>
      <c r="R15">
        <f t="shared" ref="R15" si="52">R16+Q15</f>
        <v>277569226.09072977</v>
      </c>
      <c r="S15">
        <f t="shared" ref="S15" si="53">R15/100000</f>
        <v>2775.6922609072976</v>
      </c>
      <c r="T15">
        <f t="shared" ref="T15" si="54">S15/1000</f>
        <v>2.7756922609072978</v>
      </c>
    </row>
    <row r="16" spans="1:20" x14ac:dyDescent="0.25">
      <c r="A16" s="5">
        <v>44577</v>
      </c>
      <c r="B16">
        <v>1.0529999999999999</v>
      </c>
      <c r="C16">
        <v>1.0680000000000001</v>
      </c>
      <c r="D16">
        <v>1.0309999999999999</v>
      </c>
      <c r="E16">
        <v>1.0620000000000001</v>
      </c>
      <c r="F16">
        <v>3244547</v>
      </c>
      <c r="G16">
        <v>1.0620000000000001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0.67567567567567666</v>
      </c>
      <c r="Q16">
        <f t="shared" ref="Q16" si="56">F16*P16</f>
        <v>2192261.4864864899</v>
      </c>
      <c r="R16">
        <f t="shared" ref="R16" si="57">R17+Q16</f>
        <v>280357709.94906312</v>
      </c>
      <c r="S16">
        <f t="shared" ref="S16" si="58">R16/100000</f>
        <v>2803.5770994906311</v>
      </c>
      <c r="T16">
        <f t="shared" ref="T16" si="59">S16/1000</f>
        <v>2.8035770994906311</v>
      </c>
    </row>
    <row r="17" spans="1:20" x14ac:dyDescent="0.25">
      <c r="A17" s="5">
        <v>44576</v>
      </c>
      <c r="B17">
        <v>1.0389999999999999</v>
      </c>
      <c r="C17">
        <v>1.0669999999999999</v>
      </c>
      <c r="D17">
        <v>1.03</v>
      </c>
      <c r="E17">
        <v>1.0529999999999999</v>
      </c>
      <c r="F17">
        <v>5080250</v>
      </c>
      <c r="G17">
        <v>1.0529999999999999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0.24324324324324098</v>
      </c>
      <c r="Q17">
        <f t="shared" ref="Q17" si="61">F17*P17</f>
        <v>1235736.486486475</v>
      </c>
      <c r="R17">
        <f t="shared" ref="R17" si="62">R18+Q17</f>
        <v>278165448.46257663</v>
      </c>
      <c r="S17">
        <f t="shared" ref="S17" si="63">R17/100000</f>
        <v>2781.6544846257661</v>
      </c>
      <c r="T17">
        <f t="shared" ref="T17" si="64">S17/1000</f>
        <v>2.7816544846257663</v>
      </c>
    </row>
    <row r="18" spans="1:20" x14ac:dyDescent="0.25">
      <c r="A18" s="5">
        <v>44575</v>
      </c>
      <c r="B18">
        <v>1</v>
      </c>
      <c r="C18">
        <v>1.117</v>
      </c>
      <c r="D18">
        <v>0.98599999999999999</v>
      </c>
      <c r="E18">
        <v>1.038</v>
      </c>
      <c r="F18">
        <v>13008849.699999999</v>
      </c>
      <c r="G18">
        <v>1.038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-0.20610687022900695</v>
      </c>
      <c r="Q18">
        <f t="shared" ref="Q18" si="66">F18*P18</f>
        <v>-2681213.2969465558</v>
      </c>
      <c r="R18">
        <f t="shared" ref="R18" si="67">R19+Q18</f>
        <v>276929711.97609013</v>
      </c>
      <c r="S18">
        <f t="shared" ref="S18" si="68">R18/100000</f>
        <v>2769.2971197609013</v>
      </c>
      <c r="T18">
        <f t="shared" ref="T18" si="69">S18/1000</f>
        <v>2.7692971197609011</v>
      </c>
    </row>
    <row r="19" spans="1:20" x14ac:dyDescent="0.25">
      <c r="A19" s="5">
        <v>44574</v>
      </c>
      <c r="B19">
        <v>1.042</v>
      </c>
      <c r="C19">
        <v>1.073</v>
      </c>
      <c r="D19">
        <v>0.99399999999999999</v>
      </c>
      <c r="E19">
        <v>1</v>
      </c>
      <c r="F19">
        <v>6817975.2999999998</v>
      </c>
      <c r="G19">
        <v>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-0.84810126582278456</v>
      </c>
      <c r="Q19">
        <f t="shared" ref="Q19" si="71">F19*P19</f>
        <v>-5782333.4822784793</v>
      </c>
      <c r="R19">
        <f t="shared" ref="R19" si="72">R20+Q19</f>
        <v>279610925.27303672</v>
      </c>
      <c r="S19">
        <f t="shared" ref="S19" si="73">R19/100000</f>
        <v>2796.1092527303672</v>
      </c>
      <c r="T19">
        <f t="shared" ref="T19" si="74">S19/1000</f>
        <v>2.7961092527303673</v>
      </c>
    </row>
    <row r="20" spans="1:20" x14ac:dyDescent="0.25">
      <c r="A20" s="5">
        <v>44573</v>
      </c>
      <c r="B20">
        <v>0.97899999999999998</v>
      </c>
      <c r="C20">
        <v>1.0489999999999999</v>
      </c>
      <c r="D20">
        <v>0.97799999999999998</v>
      </c>
      <c r="E20">
        <v>1.0409999999999999</v>
      </c>
      <c r="F20">
        <v>6725147.5999999996</v>
      </c>
      <c r="G20">
        <v>1.0409999999999999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0.7746478873239433</v>
      </c>
      <c r="Q20">
        <f t="shared" ref="Q20" si="76">F20*P20</f>
        <v>5209621.3802816877</v>
      </c>
      <c r="R20">
        <f t="shared" ref="R20" si="77">R21+Q20</f>
        <v>285393258.75531518</v>
      </c>
      <c r="S20">
        <f t="shared" ref="S20" si="78">R20/100000</f>
        <v>2853.9325875531517</v>
      </c>
      <c r="T20">
        <f t="shared" ref="T20" si="79">S20/1000</f>
        <v>2.8539325875531518</v>
      </c>
    </row>
    <row r="21" spans="1:20" x14ac:dyDescent="0.25">
      <c r="A21" s="5">
        <v>44572</v>
      </c>
      <c r="B21">
        <v>0.95</v>
      </c>
      <c r="C21">
        <v>0.98799999999999999</v>
      </c>
      <c r="D21">
        <v>0.93500000000000005</v>
      </c>
      <c r="E21">
        <v>0.97899999999999998</v>
      </c>
      <c r="F21">
        <v>7766499.5999999996</v>
      </c>
      <c r="G21">
        <v>0.97899999999999998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0.66037735849056534</v>
      </c>
      <c r="Q21">
        <f t="shared" ref="Q21" si="81">F21*P21</f>
        <v>5128820.490566032</v>
      </c>
      <c r="R21">
        <f t="shared" ref="R21" si="82">R22+Q21</f>
        <v>280183637.3750335</v>
      </c>
      <c r="S21">
        <f t="shared" ref="S21" si="83">R21/100000</f>
        <v>2801.836373750335</v>
      </c>
      <c r="T21">
        <f t="shared" ref="T21" si="84">S21/1000</f>
        <v>2.8018363737503349</v>
      </c>
    </row>
    <row r="22" spans="1:20" x14ac:dyDescent="0.25">
      <c r="A22" s="5">
        <v>44571</v>
      </c>
      <c r="B22">
        <v>1.014</v>
      </c>
      <c r="C22">
        <v>1.024</v>
      </c>
      <c r="D22">
        <v>0.90300000000000002</v>
      </c>
      <c r="E22">
        <v>0.95</v>
      </c>
      <c r="F22">
        <v>9692858.9900000002</v>
      </c>
      <c r="G22">
        <v>0.95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-0.22314049586776971</v>
      </c>
      <c r="Q22">
        <f t="shared" ref="Q22" si="86">F22*P22</f>
        <v>-2162869.3614049694</v>
      </c>
      <c r="R22">
        <f t="shared" ref="R22" si="87">R23+Q22</f>
        <v>275054816.88446748</v>
      </c>
      <c r="S22">
        <f t="shared" ref="S22" si="88">R22/100000</f>
        <v>2750.5481688446748</v>
      </c>
      <c r="T22">
        <f t="shared" ref="T22" si="89">S22/1000</f>
        <v>2.7505481688446749</v>
      </c>
    </row>
    <row r="23" spans="1:20" x14ac:dyDescent="0.25">
      <c r="A23" s="5">
        <v>44570</v>
      </c>
      <c r="B23">
        <v>0.98499999999999999</v>
      </c>
      <c r="C23">
        <v>1.042</v>
      </c>
      <c r="D23">
        <v>0.97299999999999998</v>
      </c>
      <c r="E23">
        <v>1.0149999999999999</v>
      </c>
      <c r="F23">
        <v>5415051.7999999998</v>
      </c>
      <c r="G23">
        <v>1.0149999999999999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0.21739130434782286</v>
      </c>
      <c r="Q23">
        <f t="shared" ref="Q23" si="91">F23*P23</f>
        <v>1177185.173913026</v>
      </c>
      <c r="R23">
        <f t="shared" ref="R23" si="92">R24+Q23</f>
        <v>277217686.24587244</v>
      </c>
      <c r="S23">
        <f t="shared" ref="S23" si="93">R23/100000</f>
        <v>2772.1768624587244</v>
      </c>
      <c r="T23">
        <f t="shared" ref="T23" si="94">S23/1000</f>
        <v>2.7721768624587244</v>
      </c>
    </row>
    <row r="24" spans="1:20" x14ac:dyDescent="0.25">
      <c r="A24" s="5">
        <v>44569</v>
      </c>
      <c r="B24">
        <v>1.05</v>
      </c>
      <c r="C24">
        <v>1.0920000000000001</v>
      </c>
      <c r="D24">
        <v>0.95299999999999996</v>
      </c>
      <c r="E24">
        <v>0.98599999999999999</v>
      </c>
      <c r="F24">
        <v>8579067.7300000004</v>
      </c>
      <c r="G24">
        <v>0.98599999999999999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-0.52517985611510787</v>
      </c>
      <c r="Q24">
        <f t="shared" ref="Q24" si="96">F24*P24</f>
        <v>-4505553.5560431657</v>
      </c>
      <c r="R24">
        <f t="shared" ref="R24" si="97">R25+Q24</f>
        <v>276040501.07195944</v>
      </c>
      <c r="S24">
        <f t="shared" ref="S24" si="98">R24/100000</f>
        <v>2760.4050107195944</v>
      </c>
      <c r="T24">
        <f t="shared" ref="T24" si="99">S24/1000</f>
        <v>2.7604050107195945</v>
      </c>
    </row>
    <row r="25" spans="1:20" x14ac:dyDescent="0.25">
      <c r="A25" s="5">
        <v>44568</v>
      </c>
      <c r="B25">
        <v>1.117</v>
      </c>
      <c r="C25">
        <v>1.121</v>
      </c>
      <c r="D25">
        <v>1.0149999999999999</v>
      </c>
      <c r="E25">
        <v>1.0489999999999999</v>
      </c>
      <c r="F25">
        <v>13393813.789999999</v>
      </c>
      <c r="G25">
        <v>1.0489999999999999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-0.35849056603773582</v>
      </c>
      <c r="Q25">
        <f t="shared" ref="Q25" si="101">F25*P25</f>
        <v>-4801555.8869811315</v>
      </c>
      <c r="R25">
        <f t="shared" ref="R25" si="102">R26+Q25</f>
        <v>280546054.62800258</v>
      </c>
      <c r="S25">
        <f t="shared" ref="S25" si="103">R25/100000</f>
        <v>2805.4605462800259</v>
      </c>
      <c r="T25">
        <f t="shared" ref="T25" si="104">S25/1000</f>
        <v>2.8054605462800257</v>
      </c>
    </row>
    <row r="26" spans="1:20" x14ac:dyDescent="0.25">
      <c r="A26" s="5">
        <v>44567</v>
      </c>
      <c r="B26">
        <v>1.0980000000000001</v>
      </c>
      <c r="C26">
        <v>1.129</v>
      </c>
      <c r="D26">
        <v>1.054</v>
      </c>
      <c r="E26">
        <v>1.1180000000000001</v>
      </c>
      <c r="F26">
        <v>8356071.5</v>
      </c>
      <c r="G26">
        <v>1.1180000000000001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0.70666666666666922</v>
      </c>
      <c r="Q26">
        <f t="shared" ref="Q26" si="106">F26*P26</f>
        <v>5904957.1933333548</v>
      </c>
      <c r="R26">
        <f t="shared" ref="R26" si="107">R27+Q26</f>
        <v>285347610.51498371</v>
      </c>
      <c r="S26">
        <f t="shared" ref="S26" si="108">R26/100000</f>
        <v>2853.4761051498372</v>
      </c>
      <c r="T26">
        <f t="shared" ref="T26" si="109">S26/1000</f>
        <v>2.853476105149837</v>
      </c>
    </row>
    <row r="27" spans="1:20" x14ac:dyDescent="0.25">
      <c r="A27" s="5">
        <v>44566</v>
      </c>
      <c r="B27">
        <v>1.206</v>
      </c>
      <c r="C27">
        <v>1.2490000000000001</v>
      </c>
      <c r="D27">
        <v>1.044</v>
      </c>
      <c r="E27">
        <v>1.0980000000000001</v>
      </c>
      <c r="F27">
        <v>14101150.1</v>
      </c>
      <c r="G27">
        <v>1.0980000000000001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-0.47317073170731677</v>
      </c>
      <c r="Q27">
        <f t="shared" ref="Q27" si="111">F27*P27</f>
        <v>-6672251.5107317027</v>
      </c>
      <c r="R27">
        <f t="shared" ref="R27" si="112">R28+Q27</f>
        <v>279442653.32165039</v>
      </c>
      <c r="S27">
        <f t="shared" ref="S27" si="113">R27/100000</f>
        <v>2794.4265332165037</v>
      </c>
      <c r="T27">
        <f t="shared" ref="T27" si="114">S27/1000</f>
        <v>2.7944265332165035</v>
      </c>
    </row>
    <row r="28" spans="1:20" x14ac:dyDescent="0.25">
      <c r="A28" s="5">
        <v>44565</v>
      </c>
      <c r="B28">
        <v>1.2230000000000001</v>
      </c>
      <c r="C28">
        <v>1.2330000000000001</v>
      </c>
      <c r="D28">
        <v>1.1719999999999999</v>
      </c>
      <c r="E28">
        <v>1.206</v>
      </c>
      <c r="F28">
        <v>6778308.9000000004</v>
      </c>
      <c r="G28">
        <v>1.206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0.11475409836065371</v>
      </c>
      <c r="Q28">
        <f t="shared" ref="Q28" si="116">F28*P28</f>
        <v>777838.72622949455</v>
      </c>
      <c r="R28">
        <f t="shared" ref="R28" si="117">R29+Q28</f>
        <v>286114904.83238208</v>
      </c>
      <c r="S28">
        <f t="shared" ref="S28" si="118">R28/100000</f>
        <v>2861.1490483238208</v>
      </c>
      <c r="T28">
        <f t="shared" ref="T28" si="119">S28/1000</f>
        <v>2.8611490483238207</v>
      </c>
    </row>
    <row r="29" spans="1:20" x14ac:dyDescent="0.25">
      <c r="A29" s="5">
        <v>44564</v>
      </c>
      <c r="B29">
        <v>1.2609999999999999</v>
      </c>
      <c r="C29">
        <v>1.2749999999999999</v>
      </c>
      <c r="D29">
        <v>1.202</v>
      </c>
      <c r="E29">
        <v>1.222</v>
      </c>
      <c r="F29">
        <v>7532984.7999999998</v>
      </c>
      <c r="G29">
        <v>1.222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-0.45205479452054709</v>
      </c>
      <c r="Q29">
        <f t="shared" ref="Q29" si="121">F29*P29</f>
        <v>-3405321.8958904045</v>
      </c>
      <c r="R29">
        <f t="shared" ref="R29" si="122">R30+Q29</f>
        <v>285337066.10615259</v>
      </c>
      <c r="S29">
        <f t="shared" ref="S29" si="123">R29/100000</f>
        <v>2853.3706610615259</v>
      </c>
      <c r="T29">
        <f t="shared" ref="T29" si="124">S29/1000</f>
        <v>2.8533706610615259</v>
      </c>
    </row>
    <row r="30" spans="1:20" x14ac:dyDescent="0.25">
      <c r="A30" s="5">
        <v>44563</v>
      </c>
      <c r="B30">
        <v>1.252</v>
      </c>
      <c r="C30">
        <v>1.2709999999999999</v>
      </c>
      <c r="D30">
        <v>1.212</v>
      </c>
      <c r="E30">
        <v>1.2609999999999999</v>
      </c>
      <c r="F30">
        <v>6886981.7999999998</v>
      </c>
      <c r="G30">
        <v>1.2609999999999999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0.66101694915254172</v>
      </c>
      <c r="Q30">
        <f t="shared" ref="Q30" si="126">F30*P30</f>
        <v>4552411.6983050797</v>
      </c>
      <c r="R30">
        <f t="shared" ref="R30" si="127">R31+Q30</f>
        <v>288742388.00204301</v>
      </c>
      <c r="S30">
        <f t="shared" ref="S30" si="128">R30/100000</f>
        <v>2887.4238800204303</v>
      </c>
      <c r="T30">
        <f t="shared" ref="T30" si="129">S30/1000</f>
        <v>2.8874238800204304</v>
      </c>
    </row>
    <row r="31" spans="1:20" x14ac:dyDescent="0.25">
      <c r="A31" s="5">
        <v>44562</v>
      </c>
      <c r="B31">
        <v>1.222</v>
      </c>
      <c r="C31">
        <v>1.2549999999999999</v>
      </c>
      <c r="D31">
        <v>1.2090000000000001</v>
      </c>
      <c r="E31">
        <v>1.2529999999999999</v>
      </c>
      <c r="F31">
        <v>6207839.5999999996</v>
      </c>
      <c r="G31">
        <v>1.2529999999999999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0.91304347826086918</v>
      </c>
      <c r="Q31">
        <f t="shared" ref="Q31" si="131">F31*P31</f>
        <v>5668027.4608695628</v>
      </c>
      <c r="R31">
        <f t="shared" ref="R31" si="132">R32+Q31</f>
        <v>284189976.30373794</v>
      </c>
      <c r="S31">
        <f t="shared" ref="S31" si="133">R31/100000</f>
        <v>2841.8997630373792</v>
      </c>
      <c r="T31">
        <f t="shared" ref="T31" si="134">S31/1000</f>
        <v>2.8418997630373792</v>
      </c>
    </row>
    <row r="32" spans="1:20" x14ac:dyDescent="0.25">
      <c r="A32" s="5">
        <v>44561</v>
      </c>
      <c r="B32">
        <v>1.266</v>
      </c>
      <c r="C32">
        <v>1.2889999999999999</v>
      </c>
      <c r="D32">
        <v>1.1819999999999999</v>
      </c>
      <c r="E32">
        <v>1.2230000000000001</v>
      </c>
      <c r="F32">
        <v>16506835.6</v>
      </c>
      <c r="G32">
        <v>1.2230000000000001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-0.23364485981308125</v>
      </c>
      <c r="Q32">
        <f t="shared" ref="Q32" si="136">F32*P32</f>
        <v>-3856737.2897195788</v>
      </c>
      <c r="R32">
        <f t="shared" ref="R32" si="137">R33+Q32</f>
        <v>278521948.84286839</v>
      </c>
      <c r="S32">
        <f t="shared" ref="S32" si="138">R32/100000</f>
        <v>2785.2194884286837</v>
      </c>
      <c r="T32">
        <f t="shared" ref="T32" si="139">S32/1000</f>
        <v>2.7852194884286838</v>
      </c>
    </row>
    <row r="33" spans="1:20" x14ac:dyDescent="0.25">
      <c r="A33" s="5">
        <v>44560</v>
      </c>
      <c r="B33">
        <v>1.4379999999999999</v>
      </c>
      <c r="C33">
        <v>1.4590000000000001</v>
      </c>
      <c r="D33">
        <v>1.2450000000000001</v>
      </c>
      <c r="E33">
        <v>1.2669999999999999</v>
      </c>
      <c r="F33">
        <v>36745792.399999999</v>
      </c>
      <c r="G33">
        <v>1.2669999999999999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-0.79439252336448785</v>
      </c>
      <c r="Q33">
        <f t="shared" ref="Q33" si="141">F33*P33</f>
        <v>-29190582.747663617</v>
      </c>
      <c r="R33">
        <f t="shared" ref="R33" si="142">R34+Q33</f>
        <v>282378686.13258797</v>
      </c>
      <c r="S33">
        <f t="shared" ref="S33" si="143">R33/100000</f>
        <v>2823.7868613258797</v>
      </c>
      <c r="T33">
        <f t="shared" ref="T33" si="144">S33/1000</f>
        <v>2.8237868613258796</v>
      </c>
    </row>
    <row r="34" spans="1:20" x14ac:dyDescent="0.25">
      <c r="A34" s="5">
        <v>44559</v>
      </c>
      <c r="B34">
        <v>1.7789999999999999</v>
      </c>
      <c r="C34">
        <v>1.8</v>
      </c>
      <c r="D34">
        <v>1.42</v>
      </c>
      <c r="E34">
        <v>1.4370000000000001</v>
      </c>
      <c r="F34">
        <v>19849663.899999999</v>
      </c>
      <c r="G34">
        <v>1.4370000000000001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-0.91052631578947307</v>
      </c>
      <c r="Q34">
        <f t="shared" ref="Q34" si="146">F34*P34</f>
        <v>-18073641.340526301</v>
      </c>
      <c r="R34">
        <f t="shared" ref="R34" si="147">R35+Q34</f>
        <v>311569268.88025159</v>
      </c>
      <c r="S34">
        <f t="shared" ref="S34" si="148">R34/100000</f>
        <v>3115.6926888025159</v>
      </c>
      <c r="T34">
        <f t="shared" ref="T34" si="149">S34/1000</f>
        <v>3.115692688802516</v>
      </c>
    </row>
    <row r="35" spans="1:20" x14ac:dyDescent="0.25">
      <c r="A35" s="5">
        <v>44558</v>
      </c>
      <c r="B35">
        <v>1.5549999999999999</v>
      </c>
      <c r="C35">
        <v>1.974</v>
      </c>
      <c r="D35">
        <v>1.496</v>
      </c>
      <c r="E35">
        <v>1.786</v>
      </c>
      <c r="F35">
        <v>48799911.899999999</v>
      </c>
      <c r="G35">
        <v>1.786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0.21338912133891233</v>
      </c>
      <c r="Q35">
        <f t="shared" ref="Q35" si="151">F35*P35</f>
        <v>10413370.321757331</v>
      </c>
      <c r="R35">
        <f t="shared" ref="R35" si="152">R36+Q35</f>
        <v>329642910.22077787</v>
      </c>
      <c r="S35">
        <f t="shared" ref="S35" si="153">R35/100000</f>
        <v>3296.4291022077787</v>
      </c>
      <c r="T35">
        <f t="shared" ref="T35" si="154">S35/1000</f>
        <v>3.2964291022077785</v>
      </c>
    </row>
    <row r="36" spans="1:20" x14ac:dyDescent="0.25">
      <c r="A36" s="5">
        <v>44557</v>
      </c>
      <c r="B36">
        <v>1.544</v>
      </c>
      <c r="C36">
        <v>1.6930000000000001</v>
      </c>
      <c r="D36">
        <v>1.5169999999999999</v>
      </c>
      <c r="E36">
        <v>1.556</v>
      </c>
      <c r="F36">
        <v>14046501</v>
      </c>
      <c r="G36">
        <v>1.556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-0.55681818181818055</v>
      </c>
      <c r="Q36">
        <f t="shared" ref="Q36" si="156">F36*P36</f>
        <v>-7821347.1477272548</v>
      </c>
      <c r="R36">
        <f t="shared" ref="R36" si="157">R37+Q36</f>
        <v>319229539.89902055</v>
      </c>
      <c r="S36">
        <f t="shared" ref="S36" si="158">R36/100000</f>
        <v>3192.2953989902057</v>
      </c>
      <c r="T36">
        <f t="shared" ref="T36" si="159">S36/1000</f>
        <v>3.1922953989902059</v>
      </c>
    </row>
    <row r="37" spans="1:20" x14ac:dyDescent="0.25">
      <c r="A37" s="5">
        <v>44556</v>
      </c>
      <c r="B37">
        <v>1.542</v>
      </c>
      <c r="C37">
        <v>1.569</v>
      </c>
      <c r="D37">
        <v>1.4890000000000001</v>
      </c>
      <c r="E37">
        <v>1.5429999999999999</v>
      </c>
      <c r="F37">
        <v>4162119.4</v>
      </c>
      <c r="G37">
        <v>1.5429999999999999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0.3499999999999982</v>
      </c>
      <c r="Q37">
        <f t="shared" ref="Q37" si="161">F37*P37</f>
        <v>1456741.7899999926</v>
      </c>
      <c r="R37">
        <f t="shared" ref="R37" si="162">R38+Q37</f>
        <v>327050887.0467478</v>
      </c>
      <c r="S37">
        <f t="shared" ref="S37" si="163">R37/100000</f>
        <v>3270.5088704674781</v>
      </c>
      <c r="T37">
        <f t="shared" ref="T37" si="164">S37/1000</f>
        <v>3.2705088704674781</v>
      </c>
    </row>
    <row r="38" spans="1:20" x14ac:dyDescent="0.25">
      <c r="A38" s="5">
        <v>44555</v>
      </c>
      <c r="B38">
        <v>1.4830000000000001</v>
      </c>
      <c r="C38">
        <v>1.6060000000000001</v>
      </c>
      <c r="D38">
        <v>1.4590000000000001</v>
      </c>
      <c r="E38">
        <v>1.544</v>
      </c>
      <c r="F38">
        <v>9355176.4000000004</v>
      </c>
      <c r="G38">
        <v>1.544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0.15646258503401297</v>
      </c>
      <c r="Q38">
        <f t="shared" ref="Q38" si="166">F38*P38</f>
        <v>1463735.0829931914</v>
      </c>
      <c r="R38">
        <f t="shared" ref="R38" si="167">R39+Q38</f>
        <v>325594145.25674778</v>
      </c>
      <c r="S38">
        <f t="shared" ref="S38" si="168">R38/100000</f>
        <v>3255.9414525674779</v>
      </c>
      <c r="T38">
        <f t="shared" ref="T38" si="169">S38/1000</f>
        <v>3.2559414525674777</v>
      </c>
    </row>
    <row r="39" spans="1:20" x14ac:dyDescent="0.25">
      <c r="A39" s="5">
        <v>44554</v>
      </c>
      <c r="B39">
        <v>1.5109999999999999</v>
      </c>
      <c r="C39">
        <v>1.518</v>
      </c>
      <c r="D39">
        <v>1.431</v>
      </c>
      <c r="E39">
        <v>1.4790000000000001</v>
      </c>
      <c r="F39">
        <v>6250382.4000000004</v>
      </c>
      <c r="G39">
        <v>1.4790000000000001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0.10344827586207038</v>
      </c>
      <c r="Q39">
        <f t="shared" ref="Q39" si="171">F39*P39</f>
        <v>646591.28275862953</v>
      </c>
      <c r="R39">
        <f t="shared" ref="R39" si="172">R40+Q39</f>
        <v>324130410.17375457</v>
      </c>
      <c r="S39">
        <f t="shared" ref="S39" si="173">R39/100000</f>
        <v>3241.3041017375458</v>
      </c>
      <c r="T39">
        <f t="shared" ref="T39" si="174">S39/1000</f>
        <v>3.2413041017375459</v>
      </c>
    </row>
    <row r="40" spans="1:20" x14ac:dyDescent="0.25">
      <c r="A40" s="5">
        <v>44553</v>
      </c>
      <c r="B40">
        <v>1.488</v>
      </c>
      <c r="C40">
        <v>1.55</v>
      </c>
      <c r="D40">
        <v>1.403</v>
      </c>
      <c r="E40">
        <v>1.5089999999999999</v>
      </c>
      <c r="F40">
        <v>10177854.300000001</v>
      </c>
      <c r="G40">
        <v>1.5089999999999999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0.44217687074829737</v>
      </c>
      <c r="Q40">
        <f t="shared" ref="Q40" si="176">F40*P40</f>
        <v>4500411.765306103</v>
      </c>
      <c r="R40">
        <f t="shared" ref="R40" si="177">R41+Q40</f>
        <v>323483818.89099592</v>
      </c>
      <c r="S40">
        <f t="shared" ref="S40" si="178">R40/100000</f>
        <v>3234.8381889099592</v>
      </c>
      <c r="T40">
        <f t="shared" ref="T40" si="179">S40/1000</f>
        <v>3.2348381889099591</v>
      </c>
    </row>
    <row r="41" spans="1:20" x14ac:dyDescent="0.25">
      <c r="A41" s="5">
        <v>44552</v>
      </c>
      <c r="B41">
        <v>1.282</v>
      </c>
      <c r="C41">
        <v>1.5569999999999999</v>
      </c>
      <c r="D41">
        <v>1.264</v>
      </c>
      <c r="E41">
        <v>1.486</v>
      </c>
      <c r="F41">
        <v>15859649.800000001</v>
      </c>
      <c r="G41">
        <v>1.486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0.51535836177474426</v>
      </c>
      <c r="Q41">
        <f t="shared" ref="Q41" si="181">F41*P41</f>
        <v>8173403.1392491506</v>
      </c>
      <c r="R41">
        <f t="shared" ref="R41" si="182">R42+Q41</f>
        <v>318983407.1256898</v>
      </c>
      <c r="S41">
        <f t="shared" ref="S41" si="183">R41/100000</f>
        <v>3189.8340712568979</v>
      </c>
      <c r="T41">
        <f t="shared" ref="T41" si="184">S41/1000</f>
        <v>3.189834071256898</v>
      </c>
    </row>
    <row r="42" spans="1:20" x14ac:dyDescent="0.25">
      <c r="A42" s="5">
        <v>44551</v>
      </c>
      <c r="B42">
        <v>1.2270000000000001</v>
      </c>
      <c r="C42">
        <v>1.288</v>
      </c>
      <c r="D42">
        <v>1.2050000000000001</v>
      </c>
      <c r="E42">
        <v>1.282</v>
      </c>
      <c r="F42">
        <v>4440596.3</v>
      </c>
      <c r="G42">
        <v>1.282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0.85542168674698771</v>
      </c>
      <c r="Q42">
        <f t="shared" ref="Q42" si="186">F42*P42</f>
        <v>3798582.3771084324</v>
      </c>
      <c r="R42">
        <f t="shared" ref="R42" si="187">R43+Q42</f>
        <v>310810003.98644066</v>
      </c>
      <c r="S42">
        <f t="shared" ref="S42" si="188">R42/100000</f>
        <v>3108.1000398644064</v>
      </c>
      <c r="T42">
        <f t="shared" ref="T42" si="189">S42/1000</f>
        <v>3.1081000398644063</v>
      </c>
    </row>
    <row r="43" spans="1:20" x14ac:dyDescent="0.25">
      <c r="A43" s="5">
        <v>44550</v>
      </c>
      <c r="B43">
        <v>1.202</v>
      </c>
      <c r="C43">
        <v>1.246</v>
      </c>
      <c r="D43">
        <v>1.1339999999999999</v>
      </c>
      <c r="E43">
        <v>1.2270000000000001</v>
      </c>
      <c r="F43">
        <v>7114498</v>
      </c>
      <c r="G43">
        <v>1.2270000000000001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0.6607142857142877</v>
      </c>
      <c r="Q43">
        <f t="shared" ref="Q43" si="191">F43*P43</f>
        <v>4700650.4642857285</v>
      </c>
      <c r="R43">
        <f t="shared" ref="R43" si="192">R44+Q43</f>
        <v>307011421.6093322</v>
      </c>
      <c r="S43">
        <f t="shared" ref="S43" si="193">R43/100000</f>
        <v>3070.1142160933218</v>
      </c>
      <c r="T43">
        <f t="shared" ref="T43" si="194">S43/1000</f>
        <v>3.0701142160933217</v>
      </c>
    </row>
    <row r="44" spans="1:20" x14ac:dyDescent="0.25">
      <c r="A44" s="5">
        <v>44549</v>
      </c>
      <c r="B44">
        <v>1.2250000000000001</v>
      </c>
      <c r="C44">
        <v>1.2589999999999999</v>
      </c>
      <c r="D44">
        <v>1.1870000000000001</v>
      </c>
      <c r="E44">
        <v>1.2030000000000001</v>
      </c>
      <c r="F44">
        <v>3807477</v>
      </c>
      <c r="G44">
        <v>1.2030000000000001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-0.55555555555555414</v>
      </c>
      <c r="Q44">
        <f t="shared" ref="Q44" si="196">F44*P44</f>
        <v>-2115264.9999999944</v>
      </c>
      <c r="R44">
        <f t="shared" ref="R44" si="197">R45+Q44</f>
        <v>302310771.14504647</v>
      </c>
      <c r="S44">
        <f t="shared" ref="S44" si="198">R44/100000</f>
        <v>3023.1077114504646</v>
      </c>
      <c r="T44">
        <f t="shared" ref="T44" si="199">S44/1000</f>
        <v>3.0231077114504648</v>
      </c>
    </row>
    <row r="45" spans="1:20" x14ac:dyDescent="0.25">
      <c r="A45" s="5">
        <v>44548</v>
      </c>
      <c r="B45">
        <v>1.2050000000000001</v>
      </c>
      <c r="C45">
        <v>1.25</v>
      </c>
      <c r="D45">
        <v>1.175</v>
      </c>
      <c r="E45">
        <v>1.224</v>
      </c>
      <c r="F45">
        <v>4198176.5</v>
      </c>
      <c r="G45">
        <v>1.224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0.30666666666666564</v>
      </c>
      <c r="Q45">
        <f t="shared" ref="Q45" si="201">F45*P45</f>
        <v>1287440.793333329</v>
      </c>
      <c r="R45">
        <f t="shared" ref="R45" si="202">R46+Q45</f>
        <v>304426036.14504647</v>
      </c>
      <c r="S45">
        <f t="shared" ref="S45" si="203">R45/100000</f>
        <v>3044.2603614504646</v>
      </c>
      <c r="T45">
        <f t="shared" ref="T45" si="204">S45/1000</f>
        <v>3.0442603614504646</v>
      </c>
    </row>
    <row r="46" spans="1:20" x14ac:dyDescent="0.25">
      <c r="A46" s="5">
        <v>44547</v>
      </c>
      <c r="B46">
        <v>1.202</v>
      </c>
      <c r="C46">
        <v>1.25</v>
      </c>
      <c r="D46">
        <v>1.147</v>
      </c>
      <c r="E46">
        <v>1.2050000000000001</v>
      </c>
      <c r="F46">
        <v>7019774.2999999998</v>
      </c>
      <c r="G46">
        <v>1.2050000000000001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0.12621359223301093</v>
      </c>
      <c r="Q46">
        <f t="shared" ref="Q46" si="206">F46*P46</f>
        <v>885990.93106796977</v>
      </c>
      <c r="R46">
        <f t="shared" ref="R46" si="207">R47+Q46</f>
        <v>303138595.35171312</v>
      </c>
      <c r="S46">
        <f t="shared" ref="S46" si="208">R46/100000</f>
        <v>3031.3859535171314</v>
      </c>
      <c r="T46">
        <f t="shared" ref="T46" si="209">S46/1000</f>
        <v>3.0313859535171312</v>
      </c>
    </row>
    <row r="47" spans="1:20" x14ac:dyDescent="0.25">
      <c r="A47" s="5">
        <v>44546</v>
      </c>
      <c r="B47">
        <v>1.1830000000000001</v>
      </c>
      <c r="C47">
        <v>1.278</v>
      </c>
      <c r="D47">
        <v>1.18</v>
      </c>
      <c r="E47">
        <v>1.2010000000000001</v>
      </c>
      <c r="F47">
        <v>7538298.0999999996</v>
      </c>
      <c r="G47">
        <v>1.2010000000000001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-0.57142857142856918</v>
      </c>
      <c r="Q47">
        <f t="shared" ref="Q47" si="211">F47*P47</f>
        <v>-4307598.914285697</v>
      </c>
      <c r="R47">
        <f t="shared" ref="R47" si="212">R48+Q47</f>
        <v>302252604.42064518</v>
      </c>
      <c r="S47">
        <f t="shared" ref="S47" si="213">R47/100000</f>
        <v>3022.5260442064518</v>
      </c>
      <c r="T47">
        <f t="shared" ref="T47" si="214">S47/1000</f>
        <v>3.0225260442064519</v>
      </c>
    </row>
    <row r="48" spans="1:20" x14ac:dyDescent="0.25">
      <c r="A48" s="5">
        <v>44545</v>
      </c>
      <c r="B48">
        <v>1.1519999999999999</v>
      </c>
      <c r="C48">
        <v>1.196</v>
      </c>
      <c r="D48">
        <v>1.0649999999999999</v>
      </c>
      <c r="E48">
        <v>1.181</v>
      </c>
      <c r="F48">
        <v>7327722.7000000002</v>
      </c>
      <c r="G48">
        <v>1.181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0.77099236641221525</v>
      </c>
      <c r="Q48">
        <f t="shared" ref="Q48" si="216">F48*P48</f>
        <v>5649618.2648855075</v>
      </c>
      <c r="R48">
        <f t="shared" ref="R48" si="217">R49+Q48</f>
        <v>306560203.3349309</v>
      </c>
      <c r="S48">
        <f t="shared" ref="S48" si="218">R48/100000</f>
        <v>3065.6020333493088</v>
      </c>
      <c r="T48">
        <f t="shared" ref="T48" si="219">S48/1000</f>
        <v>3.0656020333493088</v>
      </c>
    </row>
    <row r="49" spans="1:20" x14ac:dyDescent="0.25">
      <c r="A49" s="5">
        <v>44544</v>
      </c>
      <c r="B49">
        <v>1.0940000000000001</v>
      </c>
      <c r="C49">
        <v>1.2110000000000001</v>
      </c>
      <c r="D49">
        <v>1.0680000000000001</v>
      </c>
      <c r="E49">
        <v>1.153</v>
      </c>
      <c r="F49">
        <v>9519290.6999999993</v>
      </c>
      <c r="G49">
        <v>1.153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0.18881118881118819</v>
      </c>
      <c r="Q49">
        <f t="shared" ref="Q49" si="221">F49*P49</f>
        <v>1797348.5937062877</v>
      </c>
      <c r="R49">
        <f t="shared" ref="R49" si="222">R50+Q49</f>
        <v>300910585.07004541</v>
      </c>
      <c r="S49">
        <f t="shared" ref="S49" si="223">R49/100000</f>
        <v>3009.1058507004541</v>
      </c>
      <c r="T49">
        <f t="shared" ref="T49" si="224">S49/1000</f>
        <v>3.009105850700454</v>
      </c>
    </row>
    <row r="50" spans="1:20" x14ac:dyDescent="0.25">
      <c r="A50" s="5">
        <v>44543</v>
      </c>
      <c r="B50">
        <v>1.2390000000000001</v>
      </c>
      <c r="C50">
        <v>1.25</v>
      </c>
      <c r="D50">
        <v>1.083</v>
      </c>
      <c r="E50">
        <v>1.095</v>
      </c>
      <c r="F50">
        <v>6246273.0999999996</v>
      </c>
      <c r="G50">
        <v>1.095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-0.85628742514970047</v>
      </c>
      <c r="Q50">
        <f t="shared" ref="Q50" si="226">F50*P50</f>
        <v>-5348605.1095808372</v>
      </c>
      <c r="R50">
        <f t="shared" ref="R50" si="227">R51+Q50</f>
        <v>299113236.4763391</v>
      </c>
      <c r="S50">
        <f t="shared" ref="S50" si="228">R50/100000</f>
        <v>2991.1323647633908</v>
      </c>
      <c r="T50">
        <f t="shared" ref="T50" si="229">S50/1000</f>
        <v>2.9911323647633909</v>
      </c>
    </row>
    <row r="51" spans="1:20" x14ac:dyDescent="0.25">
      <c r="A51" s="5">
        <v>44542</v>
      </c>
      <c r="B51">
        <v>1.2010000000000001</v>
      </c>
      <c r="C51">
        <v>1.258</v>
      </c>
      <c r="D51">
        <v>1.17</v>
      </c>
      <c r="E51">
        <v>1.24</v>
      </c>
      <c r="F51">
        <v>3189553.4</v>
      </c>
      <c r="G51">
        <v>1.24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0.59090909090909094</v>
      </c>
      <c r="Q51">
        <f t="shared" ref="Q51" si="231">F51*P51</f>
        <v>1884736.1</v>
      </c>
      <c r="R51">
        <f t="shared" ref="R51" si="232">R52+Q51</f>
        <v>304461841.58591992</v>
      </c>
      <c r="S51">
        <f t="shared" ref="S51" si="233">R51/100000</f>
        <v>3044.6184158591991</v>
      </c>
      <c r="T51">
        <f t="shared" ref="T51" si="234">S51/1000</f>
        <v>3.0446184158591989</v>
      </c>
    </row>
    <row r="52" spans="1:20" x14ac:dyDescent="0.25">
      <c r="A52" s="5">
        <v>44541</v>
      </c>
      <c r="B52">
        <v>1.1399999999999999</v>
      </c>
      <c r="C52">
        <v>1.163</v>
      </c>
      <c r="D52">
        <v>1.1240000000000001</v>
      </c>
      <c r="E52">
        <v>1.155</v>
      </c>
      <c r="F52">
        <v>320506.8</v>
      </c>
      <c r="G52">
        <v>1.155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0.58974358974358854</v>
      </c>
      <c r="Q52">
        <f t="shared" ref="Q52" si="236">F52*P52</f>
        <v>189016.83076923038</v>
      </c>
      <c r="R52">
        <f t="shared" ref="R52" si="237">R53+Q52</f>
        <v>302577105.48591989</v>
      </c>
      <c r="S52">
        <f t="shared" ref="S52" si="238">R52/100000</f>
        <v>3025.771054859199</v>
      </c>
      <c r="T52">
        <f t="shared" ref="T52" si="239">S52/1000</f>
        <v>3.0257710548591992</v>
      </c>
    </row>
    <row r="53" spans="1:20" x14ac:dyDescent="0.25">
      <c r="A53" s="5">
        <v>44540</v>
      </c>
      <c r="B53">
        <v>1.1930000000000001</v>
      </c>
      <c r="C53">
        <v>1.2509999999999999</v>
      </c>
      <c r="D53">
        <v>1.1339999999999999</v>
      </c>
      <c r="E53">
        <v>1.141</v>
      </c>
      <c r="F53">
        <v>7654224</v>
      </c>
      <c r="G53">
        <v>1.141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-0.88034188034187832</v>
      </c>
      <c r="Q53">
        <f t="shared" ref="Q53" si="241">F53*P53</f>
        <v>-6738333.9487179331</v>
      </c>
      <c r="R53">
        <f t="shared" ref="R53" si="242">R54+Q53</f>
        <v>302388088.65515065</v>
      </c>
      <c r="S53">
        <f t="shared" ref="S53" si="243">R53/100000</f>
        <v>3023.8808865515066</v>
      </c>
      <c r="T53">
        <f t="shared" ref="T53" si="244">S53/1000</f>
        <v>3.0238808865515066</v>
      </c>
    </row>
    <row r="54" spans="1:20" x14ac:dyDescent="0.25">
      <c r="A54" s="5">
        <v>44539</v>
      </c>
      <c r="B54">
        <v>1.3440000000000001</v>
      </c>
      <c r="C54">
        <v>1.353</v>
      </c>
      <c r="D54">
        <v>1.1910000000000001</v>
      </c>
      <c r="E54">
        <v>1.1930000000000001</v>
      </c>
      <c r="F54">
        <v>7176828.5</v>
      </c>
      <c r="G54">
        <v>1.1930000000000001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-0.97530864197530864</v>
      </c>
      <c r="Q54">
        <f t="shared" ref="Q54" si="246">F54*P54</f>
        <v>-6999622.8580246912</v>
      </c>
      <c r="R54">
        <f t="shared" ref="R54" si="247">R55+Q54</f>
        <v>309126422.6038686</v>
      </c>
      <c r="S54">
        <f t="shared" ref="S54" si="248">R54/100000</f>
        <v>3091.264226038686</v>
      </c>
      <c r="T54">
        <f t="shared" ref="T54" si="249">S54/1000</f>
        <v>3.0912642260386862</v>
      </c>
    </row>
    <row r="55" spans="1:20" x14ac:dyDescent="0.25">
      <c r="A55" s="5">
        <v>44538</v>
      </c>
      <c r="B55">
        <v>1.2889999999999999</v>
      </c>
      <c r="C55">
        <v>1.39</v>
      </c>
      <c r="D55">
        <v>1.24</v>
      </c>
      <c r="E55">
        <v>1.345</v>
      </c>
      <c r="F55">
        <v>9994547.6999999993</v>
      </c>
      <c r="G55">
        <v>1.345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0.40000000000000058</v>
      </c>
      <c r="Q55">
        <f t="shared" ref="Q55" si="251">F55*P55</f>
        <v>3997819.0800000057</v>
      </c>
      <c r="R55">
        <f t="shared" ref="R55" si="252">R56+Q55</f>
        <v>316126045.46189332</v>
      </c>
      <c r="S55">
        <f t="shared" ref="S55" si="253">R55/100000</f>
        <v>3161.2604546189332</v>
      </c>
      <c r="T55">
        <f t="shared" ref="T55" si="254">S55/1000</f>
        <v>3.1612604546189331</v>
      </c>
    </row>
    <row r="56" spans="1:20" x14ac:dyDescent="0.25">
      <c r="A56" s="5">
        <v>44537</v>
      </c>
      <c r="B56">
        <v>1.2569999999999999</v>
      </c>
      <c r="C56">
        <v>1.3620000000000001</v>
      </c>
      <c r="D56">
        <v>1.252</v>
      </c>
      <c r="E56">
        <v>1.29</v>
      </c>
      <c r="F56">
        <v>9218664.9000000004</v>
      </c>
      <c r="G56">
        <v>1.29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-0.30909090909090908</v>
      </c>
      <c r="Q56">
        <f t="shared" ref="Q56" si="256">F56*P56</f>
        <v>-2849405.5145454546</v>
      </c>
      <c r="R56">
        <f t="shared" ref="R56" si="257">R57+Q56</f>
        <v>312128226.38189334</v>
      </c>
      <c r="S56">
        <f t="shared" ref="S56" si="258">R56/100000</f>
        <v>3121.2822638189332</v>
      </c>
      <c r="T56">
        <f t="shared" ref="T56" si="259">S56/1000</f>
        <v>3.1212822638189333</v>
      </c>
    </row>
    <row r="57" spans="1:20" x14ac:dyDescent="0.25">
      <c r="A57" s="5">
        <v>44536</v>
      </c>
      <c r="B57">
        <v>1.2270000000000001</v>
      </c>
      <c r="C57">
        <v>1.276</v>
      </c>
      <c r="D57">
        <v>1.0660000000000001</v>
      </c>
      <c r="E57">
        <v>1.256</v>
      </c>
      <c r="F57">
        <v>14237324.699999999</v>
      </c>
      <c r="G57">
        <v>1.256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0.80952380952380931</v>
      </c>
      <c r="Q57">
        <f t="shared" ref="Q57" si="261">F57*P57</f>
        <v>11525453.328571426</v>
      </c>
      <c r="R57">
        <f t="shared" ref="R57" si="262">R58+Q57</f>
        <v>314977631.89643878</v>
      </c>
      <c r="S57">
        <f t="shared" ref="S57" si="263">R57/100000</f>
        <v>3149.7763189643879</v>
      </c>
      <c r="T57">
        <f t="shared" ref="T57" si="264">S57/1000</f>
        <v>3.1497763189643879</v>
      </c>
    </row>
    <row r="58" spans="1:20" x14ac:dyDescent="0.25">
      <c r="A58" s="5">
        <v>44535</v>
      </c>
      <c r="B58">
        <v>1.3380000000000001</v>
      </c>
      <c r="C58">
        <v>1.36</v>
      </c>
      <c r="D58">
        <v>1.1819999999999999</v>
      </c>
      <c r="E58">
        <v>1.2270000000000001</v>
      </c>
      <c r="F58">
        <v>11297999.4</v>
      </c>
      <c r="G58">
        <v>1.2270000000000001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-0.49438202247190888</v>
      </c>
      <c r="Q58">
        <f t="shared" ref="Q58" si="266">F58*P58</f>
        <v>-5585527.7932584127</v>
      </c>
      <c r="R58">
        <f t="shared" ref="R58" si="267">R59+Q58</f>
        <v>303452178.56786734</v>
      </c>
      <c r="S58">
        <f t="shared" ref="S58" si="268">R58/100000</f>
        <v>3034.5217856786735</v>
      </c>
      <c r="T58">
        <f t="shared" ref="T58" si="269">S58/1000</f>
        <v>3.0345217856786735</v>
      </c>
    </row>
    <row r="59" spans="1:20" x14ac:dyDescent="0.25">
      <c r="A59" s="5">
        <v>44534</v>
      </c>
      <c r="B59">
        <v>1.5880000000000001</v>
      </c>
      <c r="C59">
        <v>1.5980000000000001</v>
      </c>
      <c r="D59">
        <v>1.06</v>
      </c>
      <c r="E59">
        <v>1.337</v>
      </c>
      <c r="F59">
        <v>27810496.399999999</v>
      </c>
      <c r="G59">
        <v>1.337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2.9739776951672476E-2</v>
      </c>
      <c r="Q59">
        <f t="shared" ref="Q59" si="271">F59*P59</f>
        <v>827077.95985129033</v>
      </c>
      <c r="R59">
        <f t="shared" ref="R59" si="272">R60+Q59</f>
        <v>309037706.36112577</v>
      </c>
      <c r="S59">
        <f t="shared" ref="S59" si="273">R59/100000</f>
        <v>3090.3770636112577</v>
      </c>
      <c r="T59">
        <f t="shared" ref="T59" si="274">S59/1000</f>
        <v>3.0903770636112577</v>
      </c>
    </row>
    <row r="60" spans="1:20" x14ac:dyDescent="0.25">
      <c r="A60" s="5">
        <v>44533</v>
      </c>
      <c r="B60">
        <v>1.698</v>
      </c>
      <c r="C60">
        <v>1.758</v>
      </c>
      <c r="D60">
        <v>1.5529999999999999</v>
      </c>
      <c r="E60">
        <v>1.59</v>
      </c>
      <c r="F60">
        <v>7980361.5</v>
      </c>
      <c r="G60">
        <v>1.59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-0.63902439024390112</v>
      </c>
      <c r="Q60">
        <f t="shared" ref="Q60" si="276">F60*P60</f>
        <v>-5099645.6414634045</v>
      </c>
      <c r="R60">
        <f t="shared" ref="R60" si="277">R61+Q60</f>
        <v>308210628.4012745</v>
      </c>
      <c r="S60">
        <f t="shared" ref="S60" si="278">R60/100000</f>
        <v>3082.1062840127452</v>
      </c>
      <c r="T60">
        <f t="shared" ref="T60" si="279">S60/1000</f>
        <v>3.0821062840127453</v>
      </c>
    </row>
    <row r="61" spans="1:20" x14ac:dyDescent="0.25">
      <c r="A61" s="5">
        <v>44532</v>
      </c>
      <c r="B61">
        <v>1.762</v>
      </c>
      <c r="C61">
        <v>1.7709999999999999</v>
      </c>
      <c r="D61">
        <v>1.65</v>
      </c>
      <c r="E61">
        <v>1.7</v>
      </c>
      <c r="F61">
        <v>7603542.2000000002</v>
      </c>
      <c r="G61">
        <v>1.7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-0.17355371900826372</v>
      </c>
      <c r="Q61">
        <f t="shared" ref="Q61" si="281">F61*P61</f>
        <v>-1319623.0264462754</v>
      </c>
      <c r="R61">
        <f t="shared" ref="R61" si="282">R62+Q61</f>
        <v>313310274.0427379</v>
      </c>
      <c r="S61">
        <f t="shared" ref="S61" si="283">R61/100000</f>
        <v>3133.1027404273791</v>
      </c>
      <c r="T61">
        <f t="shared" ref="T61" si="284">S61/1000</f>
        <v>3.133102740427379</v>
      </c>
    </row>
    <row r="62" spans="1:20" x14ac:dyDescent="0.25">
      <c r="A62" s="5">
        <v>44531</v>
      </c>
      <c r="B62">
        <v>1.748</v>
      </c>
      <c r="C62">
        <v>1.8380000000000001</v>
      </c>
      <c r="D62">
        <v>1.7170000000000001</v>
      </c>
      <c r="E62">
        <v>1.7629999999999999</v>
      </c>
      <c r="F62">
        <v>5493622.7999999998</v>
      </c>
      <c r="G62">
        <v>1.7629999999999999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-0.23966942148760628</v>
      </c>
      <c r="Q62">
        <f t="shared" ref="Q62" si="286">F62*P62</f>
        <v>-1316653.3983471238</v>
      </c>
      <c r="R62">
        <f t="shared" ref="R62" si="287">R63+Q62</f>
        <v>314629897.06918418</v>
      </c>
      <c r="S62">
        <f t="shared" ref="S62" si="288">R62/100000</f>
        <v>3146.298970691842</v>
      </c>
      <c r="T62">
        <f t="shared" ref="T62" si="289">S62/1000</f>
        <v>3.1462989706918418</v>
      </c>
    </row>
    <row r="63" spans="1:20" x14ac:dyDescent="0.25">
      <c r="A63" s="5">
        <v>44530</v>
      </c>
      <c r="B63">
        <v>1.7769999999999999</v>
      </c>
      <c r="C63">
        <v>1.831</v>
      </c>
      <c r="D63">
        <v>1.7</v>
      </c>
      <c r="E63">
        <v>1.7490000000000001</v>
      </c>
      <c r="F63">
        <v>6798262.0999999996</v>
      </c>
      <c r="G63">
        <v>1.7490000000000001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-0.25190839694656253</v>
      </c>
      <c r="Q63">
        <f t="shared" ref="Q63" si="291">F63*P63</f>
        <v>-1712539.3076335716</v>
      </c>
      <c r="R63">
        <f t="shared" ref="R63" si="292">R64+Q63</f>
        <v>315946550.46753132</v>
      </c>
      <c r="S63">
        <f t="shared" ref="S63" si="293">R63/100000</f>
        <v>3159.4655046753132</v>
      </c>
      <c r="T63">
        <f t="shared" ref="T63" si="294">S63/1000</f>
        <v>3.1594655046753131</v>
      </c>
    </row>
    <row r="64" spans="1:20" x14ac:dyDescent="0.25">
      <c r="A64" s="5">
        <v>44529</v>
      </c>
      <c r="B64">
        <v>1.7529999999999999</v>
      </c>
      <c r="C64">
        <v>1.8149999999999999</v>
      </c>
      <c r="D64">
        <v>1.724</v>
      </c>
      <c r="E64">
        <v>1.778</v>
      </c>
      <c r="F64">
        <v>10268457.9</v>
      </c>
      <c r="G64">
        <v>1.778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0.18681318681318826</v>
      </c>
      <c r="Q64">
        <f t="shared" ref="Q64" si="296">F64*P64</f>
        <v>1918283.3439560588</v>
      </c>
      <c r="R64">
        <f t="shared" ref="R64" si="297">R65+Q64</f>
        <v>317659089.7751649</v>
      </c>
      <c r="S64">
        <f t="shared" ref="S64" si="298">R64/100000</f>
        <v>3176.5908977516492</v>
      </c>
      <c r="T64">
        <f t="shared" ref="T64" si="299">S64/1000</f>
        <v>3.176590897751649</v>
      </c>
    </row>
    <row r="65" spans="1:20" x14ac:dyDescent="0.25">
      <c r="A65" s="5">
        <v>44528</v>
      </c>
      <c r="B65">
        <v>1.734</v>
      </c>
      <c r="C65">
        <v>1.7889999999999999</v>
      </c>
      <c r="D65">
        <v>1.593</v>
      </c>
      <c r="E65">
        <v>1.754</v>
      </c>
      <c r="F65">
        <v>8872745.1999999993</v>
      </c>
      <c r="G65">
        <v>1.754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0.64285714285714357</v>
      </c>
      <c r="Q65">
        <f t="shared" ref="Q65" si="301">F65*P65</f>
        <v>5703907.6285714349</v>
      </c>
      <c r="R65">
        <f t="shared" ref="R65" si="302">R66+Q65</f>
        <v>315740806.43120885</v>
      </c>
      <c r="S65">
        <f t="shared" ref="S65" si="303">R65/100000</f>
        <v>3157.4080643120883</v>
      </c>
      <c r="T65">
        <f t="shared" ref="T65" si="304">S65/1000</f>
        <v>3.1574080643120883</v>
      </c>
    </row>
    <row r="66" spans="1:20" x14ac:dyDescent="0.25">
      <c r="A66" s="5">
        <v>44527</v>
      </c>
      <c r="B66">
        <v>1.71</v>
      </c>
      <c r="C66">
        <v>1.8149999999999999</v>
      </c>
      <c r="D66">
        <v>1.6990000000000001</v>
      </c>
      <c r="E66">
        <v>1.734</v>
      </c>
      <c r="F66">
        <v>7555356</v>
      </c>
      <c r="G66">
        <v>1.734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-0.39655172413793177</v>
      </c>
      <c r="Q66">
        <f t="shared" ref="Q66" si="306">F66*P66</f>
        <v>-2996089.4482758678</v>
      </c>
      <c r="R66">
        <f t="shared" ref="R66" si="307">R67+Q66</f>
        <v>310036898.8026374</v>
      </c>
      <c r="S66">
        <f t="shared" ref="S66" si="308">R66/100000</f>
        <v>3100.3689880263742</v>
      </c>
      <c r="T66">
        <f t="shared" ref="T66" si="309">S66/1000</f>
        <v>3.1003689880263741</v>
      </c>
    </row>
    <row r="67" spans="1:20" x14ac:dyDescent="0.25">
      <c r="A67" s="5">
        <v>44526</v>
      </c>
      <c r="B67">
        <v>1.998</v>
      </c>
      <c r="C67">
        <v>2</v>
      </c>
      <c r="D67">
        <v>1.639</v>
      </c>
      <c r="E67">
        <v>1.7130000000000001</v>
      </c>
      <c r="F67">
        <v>18814793.300000001</v>
      </c>
      <c r="G67">
        <v>1.7130000000000001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-0.59002770083102452</v>
      </c>
      <c r="Q67">
        <f t="shared" ref="Q67" si="311">F67*P67</f>
        <v>-11101249.232409965</v>
      </c>
      <c r="R67">
        <f t="shared" ref="R67" si="312">R68+Q67</f>
        <v>313032988.25091326</v>
      </c>
      <c r="S67">
        <f t="shared" ref="S67" si="313">R67/100000</f>
        <v>3130.3298825091324</v>
      </c>
      <c r="T67">
        <f t="shared" ref="T67" si="314">S67/1000</f>
        <v>3.1303298825091326</v>
      </c>
    </row>
    <row r="68" spans="1:20" x14ac:dyDescent="0.25">
      <c r="A68" s="5">
        <v>44525</v>
      </c>
      <c r="B68">
        <v>1.9650000000000001</v>
      </c>
      <c r="C68">
        <v>2.0680000000000001</v>
      </c>
      <c r="D68">
        <v>1.901</v>
      </c>
      <c r="E68">
        <v>1.9990000000000001</v>
      </c>
      <c r="F68">
        <v>10615366.699999999</v>
      </c>
      <c r="G68">
        <v>1.9990000000000001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0.17365269461077923</v>
      </c>
      <c r="Q68">
        <f t="shared" ref="Q68" si="316">F68*P68</f>
        <v>1843387.0317365353</v>
      </c>
      <c r="R68">
        <f t="shared" ref="R68" si="317">R69+Q68</f>
        <v>324134237.48332322</v>
      </c>
      <c r="S68">
        <f t="shared" ref="S68" si="318">R68/100000</f>
        <v>3241.342374833232</v>
      </c>
      <c r="T68">
        <f t="shared" ref="T68" si="319">S68/1000</f>
        <v>3.241342374833232</v>
      </c>
    </row>
    <row r="69" spans="1:20" x14ac:dyDescent="0.25">
      <c r="A69" s="5">
        <v>44524</v>
      </c>
      <c r="B69">
        <v>2.1</v>
      </c>
      <c r="C69">
        <v>2.1</v>
      </c>
      <c r="D69">
        <v>2.0030000000000001</v>
      </c>
      <c r="E69">
        <v>2.0129999999999999</v>
      </c>
      <c r="F69">
        <v>2243576.2999999998</v>
      </c>
      <c r="G69">
        <v>2.0129999999999999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-0.79381443298969512</v>
      </c>
      <c r="Q69">
        <f t="shared" ref="Q69" si="321">F69*P69</f>
        <v>-1780983.248453618</v>
      </c>
      <c r="R69">
        <f t="shared" ref="R69" si="322">R70+Q69</f>
        <v>322290850.45158666</v>
      </c>
      <c r="S69">
        <f t="shared" ref="S69" si="323">R69/100000</f>
        <v>3222.9085045158668</v>
      </c>
      <c r="T69">
        <f t="shared" ref="T69" si="324">S69/1000</f>
        <v>3.2229085045158667</v>
      </c>
    </row>
    <row r="70" spans="1:20" x14ac:dyDescent="0.25">
      <c r="A70" s="5">
        <v>44523</v>
      </c>
      <c r="B70">
        <v>2.1760000000000002</v>
      </c>
      <c r="C70">
        <v>2.2040000000000002</v>
      </c>
      <c r="D70">
        <v>2.0249999999999999</v>
      </c>
      <c r="E70">
        <v>2.0990000000000002</v>
      </c>
      <c r="F70">
        <v>11728361.9</v>
      </c>
      <c r="G70">
        <v>2.0990000000000002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-0.17318435754189748</v>
      </c>
      <c r="Q70">
        <f t="shared" ref="Q70" si="326">F70*P70</f>
        <v>-2031168.8206703681</v>
      </c>
      <c r="R70">
        <f t="shared" ref="R70" si="327">R71+Q70</f>
        <v>324071833.70004028</v>
      </c>
      <c r="S70">
        <f t="shared" ref="S70" si="328">R70/100000</f>
        <v>3240.7183370004027</v>
      </c>
      <c r="T70">
        <f t="shared" ref="T70" si="329">S70/1000</f>
        <v>3.2407183370004029</v>
      </c>
    </row>
    <row r="71" spans="1:20" x14ac:dyDescent="0.25">
      <c r="A71" s="5">
        <v>44522</v>
      </c>
      <c r="B71">
        <v>2.5299999999999998</v>
      </c>
      <c r="C71">
        <v>2.61</v>
      </c>
      <c r="D71">
        <v>2.157</v>
      </c>
      <c r="E71">
        <v>2.177</v>
      </c>
      <c r="F71">
        <v>20614404.300000001</v>
      </c>
      <c r="G71">
        <v>2.177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-0.91169977924944801</v>
      </c>
      <c r="Q71">
        <f t="shared" ref="Q71" si="331">F71*P71</f>
        <v>-18794147.849668872</v>
      </c>
      <c r="R71">
        <f t="shared" ref="R71" si="332">R72+Q71</f>
        <v>326103002.52071065</v>
      </c>
      <c r="S71">
        <f t="shared" ref="S71" si="333">R71/100000</f>
        <v>3261.0300252071065</v>
      </c>
      <c r="T71">
        <f t="shared" ref="T71" si="334">S71/1000</f>
        <v>3.2610300252071065</v>
      </c>
    </row>
    <row r="72" spans="1:20" x14ac:dyDescent="0.25">
      <c r="A72" s="5">
        <v>44521</v>
      </c>
      <c r="B72">
        <v>2.1869999999999998</v>
      </c>
      <c r="C72">
        <v>2.5830000000000002</v>
      </c>
      <c r="D72">
        <v>2.1059999999999999</v>
      </c>
      <c r="E72">
        <v>2.5299999999999998</v>
      </c>
      <c r="F72">
        <v>11863036.1</v>
      </c>
      <c r="G72">
        <v>2.5299999999999998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0.77777777777777635</v>
      </c>
      <c r="Q72">
        <f t="shared" ref="Q72" si="336">F72*P72</f>
        <v>9226805.8555555381</v>
      </c>
      <c r="R72">
        <f t="shared" ref="R72" si="337">R73+Q72</f>
        <v>344897150.37037951</v>
      </c>
      <c r="S72">
        <f t="shared" ref="S72" si="338">R72/100000</f>
        <v>3448.971503703795</v>
      </c>
      <c r="T72">
        <f t="shared" ref="T72" si="339">S72/1000</f>
        <v>3.4489715037037949</v>
      </c>
    </row>
    <row r="73" spans="1:20" x14ac:dyDescent="0.25">
      <c r="A73" s="5">
        <v>44520</v>
      </c>
      <c r="B73">
        <v>2.19</v>
      </c>
      <c r="C73">
        <v>2.2200000000000002</v>
      </c>
      <c r="D73">
        <v>2.0790000000000002</v>
      </c>
      <c r="E73">
        <v>2.1869999999999998</v>
      </c>
      <c r="F73">
        <v>4473429.7</v>
      </c>
      <c r="G73">
        <v>2.1869999999999998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0.53191489361701616</v>
      </c>
      <c r="Q73">
        <f t="shared" ref="Q73" si="341">F73*P73</f>
        <v>2379483.8829787006</v>
      </c>
      <c r="R73">
        <f t="shared" ref="R73" si="342">R74+Q73</f>
        <v>335670344.51482397</v>
      </c>
      <c r="S73">
        <f t="shared" ref="S73" si="343">R73/100000</f>
        <v>3356.7034451482396</v>
      </c>
      <c r="T73">
        <f t="shared" ref="T73" si="344">S73/1000</f>
        <v>3.3567034451482396</v>
      </c>
    </row>
    <row r="74" spans="1:20" x14ac:dyDescent="0.25">
      <c r="A74" s="5">
        <v>44519</v>
      </c>
      <c r="B74">
        <v>2.0750000000000002</v>
      </c>
      <c r="C74">
        <v>2.2370000000000001</v>
      </c>
      <c r="D74">
        <v>1.9930000000000001</v>
      </c>
      <c r="E74">
        <v>2.1920000000000002</v>
      </c>
      <c r="F74">
        <v>5806981.7000000002</v>
      </c>
      <c r="G74">
        <v>2.1920000000000002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0.63114754098360715</v>
      </c>
      <c r="Q74">
        <f t="shared" ref="Q74" si="346">F74*P74</f>
        <v>3665062.220491807</v>
      </c>
      <c r="R74">
        <f t="shared" ref="R74" si="347">R75+Q74</f>
        <v>333290860.6318453</v>
      </c>
      <c r="S74">
        <f t="shared" ref="S74" si="348">R74/100000</f>
        <v>3332.9086063184532</v>
      </c>
      <c r="T74">
        <f t="shared" ref="T74" si="349">S74/1000</f>
        <v>3.332908606318453</v>
      </c>
    </row>
    <row r="75" spans="1:20" x14ac:dyDescent="0.25">
      <c r="A75" s="5">
        <v>44518</v>
      </c>
      <c r="B75">
        <v>2.2829999999999999</v>
      </c>
      <c r="C75">
        <v>2.359</v>
      </c>
      <c r="D75">
        <v>2.024</v>
      </c>
      <c r="E75">
        <v>2.0750000000000002</v>
      </c>
      <c r="F75">
        <v>13031349.1</v>
      </c>
      <c r="G75">
        <v>2.0750000000000002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-0.69552238805970057</v>
      </c>
      <c r="Q75">
        <f t="shared" ref="Q75" si="351">F75*P75</f>
        <v>-9063595.0456716288</v>
      </c>
      <c r="R75">
        <f t="shared" ref="R75" si="352">R76+Q75</f>
        <v>329625798.41135347</v>
      </c>
      <c r="S75">
        <f t="shared" ref="S75" si="353">R75/100000</f>
        <v>3296.2579841135348</v>
      </c>
      <c r="T75">
        <f t="shared" ref="T75" si="354">S75/1000</f>
        <v>3.2962579841135349</v>
      </c>
    </row>
    <row r="76" spans="1:20" x14ac:dyDescent="0.25">
      <c r="A76" s="5">
        <v>44517</v>
      </c>
      <c r="B76">
        <v>2.3159999999999998</v>
      </c>
      <c r="C76">
        <v>2.3420000000000001</v>
      </c>
      <c r="D76">
        <v>2.1520000000000001</v>
      </c>
      <c r="E76">
        <v>2.2839999999999998</v>
      </c>
      <c r="F76">
        <v>11059056</v>
      </c>
      <c r="G76">
        <v>2.2839999999999998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0.38947368421052325</v>
      </c>
      <c r="Q76">
        <f t="shared" ref="Q76" si="356">F76*P76</f>
        <v>4307211.2842104929</v>
      </c>
      <c r="R76">
        <f t="shared" ref="R76" si="357">R77+Q76</f>
        <v>338689393.45702511</v>
      </c>
      <c r="S76">
        <f t="shared" ref="S76" si="358">R76/100000</f>
        <v>3386.8939345702511</v>
      </c>
      <c r="T76">
        <f t="shared" ref="T76" si="359">S76/1000</f>
        <v>3.3868939345702511</v>
      </c>
    </row>
    <row r="77" spans="1:20" x14ac:dyDescent="0.25">
      <c r="A77" s="5">
        <v>44516</v>
      </c>
      <c r="B77">
        <v>2.4830000000000001</v>
      </c>
      <c r="C77">
        <v>2.6160000000000001</v>
      </c>
      <c r="D77">
        <v>2.2149999999999999</v>
      </c>
      <c r="E77">
        <v>2.3180000000000001</v>
      </c>
      <c r="F77">
        <v>18705562.199999999</v>
      </c>
      <c r="G77">
        <v>2.3180000000000001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-0.48628428927680728</v>
      </c>
      <c r="Q77">
        <f t="shared" ref="Q77" si="361">F77*P77</f>
        <v>-9096221.0199501105</v>
      </c>
      <c r="R77">
        <f t="shared" ref="R77" si="362">R78+Q77</f>
        <v>334382182.17281461</v>
      </c>
      <c r="S77">
        <f t="shared" ref="S77" si="363">R77/100000</f>
        <v>3343.821821728146</v>
      </c>
      <c r="T77">
        <f t="shared" ref="T77" si="364">S77/1000</f>
        <v>3.3438218217281461</v>
      </c>
    </row>
    <row r="78" spans="1:20" x14ac:dyDescent="0.25">
      <c r="A78" s="5">
        <v>44515</v>
      </c>
      <c r="B78">
        <v>2.411</v>
      </c>
      <c r="C78">
        <v>2.7189999999999999</v>
      </c>
      <c r="D78">
        <v>2.3919999999999999</v>
      </c>
      <c r="E78">
        <v>2.4830000000000001</v>
      </c>
      <c r="F78">
        <v>17141284.41</v>
      </c>
      <c r="G78">
        <v>2.4830000000000001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-0.44342507645259815</v>
      </c>
      <c r="Q78">
        <f t="shared" ref="Q78" si="366">F78*P78</f>
        <v>-7600875.3499999791</v>
      </c>
      <c r="R78">
        <f t="shared" ref="R78" si="367">R79+Q78</f>
        <v>343478403.1927647</v>
      </c>
      <c r="S78">
        <f t="shared" ref="S78" si="368">R78/100000</f>
        <v>3434.784031927647</v>
      </c>
      <c r="T78">
        <f t="shared" ref="T78" si="369">S78/1000</f>
        <v>3.4347840319276468</v>
      </c>
    </row>
    <row r="79" spans="1:20" x14ac:dyDescent="0.25">
      <c r="A79" s="5">
        <v>44514</v>
      </c>
      <c r="B79">
        <v>2.3069999999999999</v>
      </c>
      <c r="C79">
        <v>2.4900000000000002</v>
      </c>
      <c r="D79">
        <v>2.3069999999999999</v>
      </c>
      <c r="E79">
        <v>2.4089999999999998</v>
      </c>
      <c r="F79">
        <v>8707242.9000000004</v>
      </c>
      <c r="G79">
        <v>2.4089999999999998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0.11475409836065263</v>
      </c>
      <c r="Q79">
        <f t="shared" ref="Q79" si="371">F79*P79</f>
        <v>999191.80819669436</v>
      </c>
      <c r="R79">
        <f t="shared" ref="R79" si="372">R80+Q79</f>
        <v>351079278.54276466</v>
      </c>
      <c r="S79">
        <f t="shared" ref="S79" si="373">R79/100000</f>
        <v>3510.7927854276468</v>
      </c>
      <c r="T79">
        <f t="shared" ref="T79" si="374">S79/1000</f>
        <v>3.5107927854276468</v>
      </c>
    </row>
    <row r="80" spans="1:20" x14ac:dyDescent="0.25">
      <c r="A80" s="5">
        <v>44513</v>
      </c>
      <c r="B80">
        <v>2.2010000000000001</v>
      </c>
      <c r="C80">
        <v>2.34</v>
      </c>
      <c r="D80">
        <v>2.2010000000000001</v>
      </c>
      <c r="E80">
        <v>2.3079999999999998</v>
      </c>
      <c r="F80">
        <v>9557590.1999999993</v>
      </c>
      <c r="G80">
        <v>2.3079999999999998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0.53956834532373987</v>
      </c>
      <c r="Q80">
        <f t="shared" ref="Q80" si="376">F80*P80</f>
        <v>5156973.1294963919</v>
      </c>
      <c r="R80">
        <f t="shared" ref="R80" si="377">R81+Q80</f>
        <v>350080086.73456794</v>
      </c>
      <c r="S80">
        <f t="shared" ref="S80" si="378">R80/100000</f>
        <v>3500.8008673456793</v>
      </c>
      <c r="T80">
        <f t="shared" ref="T80" si="379">S80/1000</f>
        <v>3.5008008673456792</v>
      </c>
    </row>
    <row r="81" spans="1:20" x14ac:dyDescent="0.25">
      <c r="A81" s="5">
        <v>44512</v>
      </c>
      <c r="B81">
        <v>2.06</v>
      </c>
      <c r="C81">
        <v>2.2189999999999999</v>
      </c>
      <c r="D81">
        <v>2.04</v>
      </c>
      <c r="E81">
        <v>2.2029999999999998</v>
      </c>
      <c r="F81">
        <v>8245310.0999999996</v>
      </c>
      <c r="G81">
        <v>2.2029999999999998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0.82122905027932924</v>
      </c>
      <c r="Q81">
        <f t="shared" ref="Q81" si="381">F81*P81</f>
        <v>6771288.1826815605</v>
      </c>
      <c r="R81">
        <f t="shared" ref="R81" si="382">R82+Q81</f>
        <v>344923113.60507154</v>
      </c>
      <c r="S81">
        <f t="shared" ref="S81" si="383">R81/100000</f>
        <v>3449.2311360507156</v>
      </c>
      <c r="T81">
        <f t="shared" ref="T81" si="384">S81/1000</f>
        <v>3.4492311360507157</v>
      </c>
    </row>
    <row r="82" spans="1:20" x14ac:dyDescent="0.25">
      <c r="A82" s="5">
        <v>44511</v>
      </c>
      <c r="B82">
        <v>2.0270000000000001</v>
      </c>
      <c r="C82">
        <v>2.129</v>
      </c>
      <c r="D82">
        <v>1.9970000000000001</v>
      </c>
      <c r="E82">
        <v>2.0619999999999998</v>
      </c>
      <c r="F82">
        <v>5887837.5</v>
      </c>
      <c r="G82">
        <v>2.0619999999999998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-1.5151515151518542E-2</v>
      </c>
      <c r="Q82">
        <f t="shared" ref="Q82" si="386">F82*P82</f>
        <v>-89209.659090929053</v>
      </c>
      <c r="R82">
        <f t="shared" ref="R82" si="387">R83+Q82</f>
        <v>338151825.42238998</v>
      </c>
      <c r="S82">
        <f t="shared" ref="S82" si="388">R82/100000</f>
        <v>3381.5182542238999</v>
      </c>
      <c r="T82">
        <f t="shared" ref="T82" si="389">S82/1000</f>
        <v>3.3815182542239</v>
      </c>
    </row>
    <row r="83" spans="1:20" x14ac:dyDescent="0.25">
      <c r="A83" s="5">
        <v>44510</v>
      </c>
      <c r="B83">
        <v>2.1659999999999999</v>
      </c>
      <c r="C83">
        <v>2.246</v>
      </c>
      <c r="D83">
        <v>1.915</v>
      </c>
      <c r="E83">
        <v>2.0270000000000001</v>
      </c>
      <c r="F83">
        <v>7912305.2000000002</v>
      </c>
      <c r="G83">
        <v>2.0270000000000001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-0.32326283987915339</v>
      </c>
      <c r="Q83">
        <f t="shared" ref="Q83" si="391">F83*P83</f>
        <v>-2557754.2489425926</v>
      </c>
      <c r="R83">
        <f t="shared" ref="R83" si="392">R84+Q83</f>
        <v>338241035.08148092</v>
      </c>
      <c r="S83">
        <f t="shared" ref="S83" si="393">R83/100000</f>
        <v>3382.4103508148091</v>
      </c>
      <c r="T83">
        <f t="shared" ref="T83" si="394">S83/1000</f>
        <v>3.3824103508148093</v>
      </c>
    </row>
    <row r="84" spans="1:20" x14ac:dyDescent="0.25">
      <c r="A84" s="5">
        <v>44509</v>
      </c>
      <c r="B84">
        <v>2.1469999999999998</v>
      </c>
      <c r="C84">
        <v>2.234</v>
      </c>
      <c r="D84">
        <v>2.1139999999999999</v>
      </c>
      <c r="E84">
        <v>2.165</v>
      </c>
      <c r="F84">
        <v>7926574.5999999996</v>
      </c>
      <c r="G84">
        <v>2.165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-0.14999999999999816</v>
      </c>
      <c r="Q84">
        <f t="shared" ref="Q84" si="396">F84*P84</f>
        <v>-1188986.1899999853</v>
      </c>
      <c r="R84">
        <f t="shared" ref="R84" si="397">R85+Q84</f>
        <v>340798789.33042353</v>
      </c>
      <c r="S84">
        <f t="shared" ref="S84" si="398">R84/100000</f>
        <v>3407.9878933042355</v>
      </c>
      <c r="T84">
        <f t="shared" ref="T84" si="399">S84/1000</f>
        <v>3.4079878933042353</v>
      </c>
    </row>
    <row r="85" spans="1:20" x14ac:dyDescent="0.25">
      <c r="A85" s="5">
        <v>44508</v>
      </c>
      <c r="B85">
        <v>2.0379999999999998</v>
      </c>
      <c r="C85">
        <v>2.161</v>
      </c>
      <c r="D85">
        <v>1.9830000000000001</v>
      </c>
      <c r="E85">
        <v>2.145</v>
      </c>
      <c r="F85">
        <v>6154760.9000000004</v>
      </c>
      <c r="G85">
        <v>2.145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0.82022471910112338</v>
      </c>
      <c r="Q85">
        <f t="shared" ref="Q85" si="401">F85*P85</f>
        <v>5048287.0303370776</v>
      </c>
      <c r="R85">
        <f t="shared" ref="R85" si="402">R86+Q85</f>
        <v>341987775.52042353</v>
      </c>
      <c r="S85">
        <f t="shared" ref="S85" si="403">R85/100000</f>
        <v>3419.8777552042352</v>
      </c>
      <c r="T85">
        <f t="shared" ref="T85" si="404">S85/1000</f>
        <v>3.4198777552042352</v>
      </c>
    </row>
    <row r="86" spans="1:20" x14ac:dyDescent="0.25">
      <c r="A86" s="5">
        <v>44507</v>
      </c>
      <c r="B86">
        <v>2.0619999999999998</v>
      </c>
      <c r="C86">
        <v>2.1269999999999998</v>
      </c>
      <c r="D86">
        <v>2.0289999999999999</v>
      </c>
      <c r="E86">
        <v>2.0379999999999998</v>
      </c>
      <c r="F86">
        <v>4177313.1</v>
      </c>
      <c r="G86">
        <v>2.0379999999999998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-0.81632653061224669</v>
      </c>
      <c r="Q86">
        <f t="shared" ref="Q86" si="406">F86*P86</f>
        <v>-3410051.5102040893</v>
      </c>
      <c r="R86">
        <f t="shared" ref="R86" si="407">R87+Q86</f>
        <v>336939488.49008644</v>
      </c>
      <c r="S86">
        <f t="shared" ref="S86" si="408">R86/100000</f>
        <v>3369.3948849008643</v>
      </c>
      <c r="T86">
        <f t="shared" ref="T86" si="409">S86/1000</f>
        <v>3.3693948849008644</v>
      </c>
    </row>
    <row r="87" spans="1:20" x14ac:dyDescent="0.25">
      <c r="A87" s="5">
        <v>44506</v>
      </c>
      <c r="B87">
        <v>2.0960000000000001</v>
      </c>
      <c r="C87">
        <v>2.105</v>
      </c>
      <c r="D87">
        <v>1.9750000000000001</v>
      </c>
      <c r="E87">
        <v>2.0609999999999999</v>
      </c>
      <c r="F87">
        <v>3195600.8</v>
      </c>
      <c r="G87">
        <v>2.0609999999999999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0.32307692307692193</v>
      </c>
      <c r="Q87">
        <f t="shared" ref="Q87" si="411">F87*P87</f>
        <v>1032424.8738461501</v>
      </c>
      <c r="R87">
        <f t="shared" ref="R87" si="412">R88+Q87</f>
        <v>340349540.00029051</v>
      </c>
      <c r="S87">
        <f t="shared" ref="S87" si="413">R87/100000</f>
        <v>3403.4954000029052</v>
      </c>
      <c r="T87">
        <f t="shared" ref="T87" si="414">S87/1000</f>
        <v>3.403495400002905</v>
      </c>
    </row>
    <row r="88" spans="1:20" x14ac:dyDescent="0.25">
      <c r="A88" s="5">
        <v>44505</v>
      </c>
      <c r="B88">
        <v>2.153</v>
      </c>
      <c r="C88">
        <v>2.1890000000000001</v>
      </c>
      <c r="D88">
        <v>2.0790000000000002</v>
      </c>
      <c r="E88">
        <v>2.0960000000000001</v>
      </c>
      <c r="F88">
        <v>5052166.0999999996</v>
      </c>
      <c r="G88">
        <v>2.0960000000000001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-0.69090909090909225</v>
      </c>
      <c r="Q88">
        <f t="shared" ref="Q88" si="416">F88*P88</f>
        <v>-3490587.4872727338</v>
      </c>
      <c r="R88">
        <f t="shared" ref="R88" si="417">R89+Q88</f>
        <v>339317115.12644434</v>
      </c>
      <c r="S88">
        <f t="shared" ref="S88" si="418">R88/100000</f>
        <v>3393.1711512644433</v>
      </c>
      <c r="T88">
        <f t="shared" ref="T88" si="419">S88/1000</f>
        <v>3.3931711512644434</v>
      </c>
    </row>
    <row r="89" spans="1:20" x14ac:dyDescent="0.25">
      <c r="A89" s="5">
        <v>44504</v>
      </c>
      <c r="B89">
        <v>2.2610000000000001</v>
      </c>
      <c r="C89">
        <v>2.2610000000000001</v>
      </c>
      <c r="D89">
        <v>2.0880000000000001</v>
      </c>
      <c r="E89">
        <v>2.1549999999999998</v>
      </c>
      <c r="F89">
        <v>6764647.0999999996</v>
      </c>
      <c r="G89">
        <v>2.1549999999999998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-0.22543352601156405</v>
      </c>
      <c r="Q89">
        <f t="shared" ref="Q89" si="421">F89*P89</f>
        <v>-1524978.2479769012</v>
      </c>
      <c r="R89">
        <f t="shared" ref="R89" si="422">R90+Q89</f>
        <v>342807702.61371708</v>
      </c>
      <c r="S89">
        <f t="shared" ref="S89" si="423">R89/100000</f>
        <v>3428.0770261371708</v>
      </c>
      <c r="T89">
        <f t="shared" ref="T89" si="424">S89/1000</f>
        <v>3.4280770261371707</v>
      </c>
    </row>
    <row r="90" spans="1:20" x14ac:dyDescent="0.25">
      <c r="A90" s="5">
        <v>44503</v>
      </c>
      <c r="B90">
        <v>2.4249999999999998</v>
      </c>
      <c r="C90">
        <v>2.4279999999999999</v>
      </c>
      <c r="D90">
        <v>2.1720000000000002</v>
      </c>
      <c r="E90">
        <v>2.2610000000000001</v>
      </c>
      <c r="F90">
        <v>10107051.699999999</v>
      </c>
      <c r="G90">
        <v>2.2610000000000001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-0.30468749999999967</v>
      </c>
      <c r="Q90">
        <f t="shared" ref="Q90" si="426">F90*P90</f>
        <v>-3079492.3148437464</v>
      </c>
      <c r="R90">
        <f t="shared" ref="R90" si="427">R91+Q90</f>
        <v>344332680.86169398</v>
      </c>
      <c r="S90">
        <f t="shared" ref="S90" si="428">R90/100000</f>
        <v>3443.3268086169396</v>
      </c>
      <c r="T90">
        <f t="shared" ref="T90" si="429">S90/1000</f>
        <v>3.4433268086169395</v>
      </c>
    </row>
    <row r="91" spans="1:20" x14ac:dyDescent="0.25">
      <c r="A91" s="5">
        <v>44502</v>
      </c>
      <c r="B91">
        <v>2.34</v>
      </c>
      <c r="C91">
        <v>2.5059999999999998</v>
      </c>
      <c r="D91">
        <v>2.2799999999999998</v>
      </c>
      <c r="E91">
        <v>2.4260000000000002</v>
      </c>
      <c r="F91">
        <v>11565181.1</v>
      </c>
      <c r="G91">
        <v>2.4260000000000002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0.29203539823009173</v>
      </c>
      <c r="Q91">
        <f t="shared" ref="Q91" si="431">F91*P91</f>
        <v>3377442.2681416301</v>
      </c>
      <c r="R91">
        <f t="shared" ref="R91" si="432">R92+Q91</f>
        <v>347412173.17653775</v>
      </c>
      <c r="S91">
        <f t="shared" ref="S91" si="433">R91/100000</f>
        <v>3474.1217317653777</v>
      </c>
      <c r="T91">
        <f t="shared" ref="T91" si="434">S91/1000</f>
        <v>3.4741217317653779</v>
      </c>
    </row>
    <row r="92" spans="1:20" x14ac:dyDescent="0.25">
      <c r="A92" s="5">
        <v>44501</v>
      </c>
      <c r="B92">
        <v>2.3330000000000002</v>
      </c>
      <c r="C92">
        <v>2.4079999999999999</v>
      </c>
      <c r="D92">
        <v>2.169</v>
      </c>
      <c r="E92">
        <v>2.34</v>
      </c>
      <c r="F92">
        <v>8201378.9000000004</v>
      </c>
      <c r="G92">
        <v>2.34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0.43096234309623349</v>
      </c>
      <c r="Q92">
        <f t="shared" ref="Q92" si="436">F92*P92</f>
        <v>3534485.4673640104</v>
      </c>
      <c r="R92">
        <f t="shared" ref="R92" si="437">R93+Q92</f>
        <v>344034730.90839612</v>
      </c>
      <c r="S92">
        <f t="shared" ref="S92" si="438">R92/100000</f>
        <v>3440.3473090839611</v>
      </c>
      <c r="T92">
        <f t="shared" ref="T92" si="439">S92/1000</f>
        <v>3.4403473090839611</v>
      </c>
    </row>
    <row r="93" spans="1:20" x14ac:dyDescent="0.25">
      <c r="A93" s="5">
        <v>44500</v>
      </c>
      <c r="B93">
        <v>2.1280000000000001</v>
      </c>
      <c r="C93">
        <v>2.42</v>
      </c>
      <c r="D93">
        <v>2.081</v>
      </c>
      <c r="E93">
        <v>2.3359999999999999</v>
      </c>
      <c r="F93">
        <v>13947582.300000001</v>
      </c>
      <c r="G93">
        <v>2.3359999999999999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0.50442477876106151</v>
      </c>
      <c r="Q93">
        <f t="shared" ref="Q93" si="441">F93*P93</f>
        <v>7035506.1159291975</v>
      </c>
      <c r="R93">
        <f t="shared" ref="R93" si="442">R94+Q93</f>
        <v>340500245.44103211</v>
      </c>
      <c r="S93">
        <f t="shared" ref="S93" si="443">R93/100000</f>
        <v>3405.0024544103212</v>
      </c>
      <c r="T93">
        <f t="shared" ref="T93" si="444">S93/1000</f>
        <v>3.405002454410321</v>
      </c>
    </row>
    <row r="94" spans="1:20" x14ac:dyDescent="0.25">
      <c r="A94" s="5">
        <v>44499</v>
      </c>
      <c r="B94">
        <v>2.0870000000000002</v>
      </c>
      <c r="C94">
        <v>2.2490000000000001</v>
      </c>
      <c r="D94">
        <v>2.073</v>
      </c>
      <c r="E94">
        <v>2.1280000000000001</v>
      </c>
      <c r="F94">
        <v>7675247</v>
      </c>
      <c r="G94">
        <v>2.1280000000000001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-0.37499999999999872</v>
      </c>
      <c r="Q94">
        <f t="shared" ref="Q94" si="446">F94*P94</f>
        <v>-2878217.6249999902</v>
      </c>
      <c r="R94">
        <f t="shared" ref="R94" si="447">R95+Q94</f>
        <v>333464739.32510293</v>
      </c>
      <c r="S94">
        <f t="shared" ref="S94" si="448">R94/100000</f>
        <v>3334.6473932510294</v>
      </c>
      <c r="T94">
        <f t="shared" ref="T94" si="449">S94/1000</f>
        <v>3.3346473932510294</v>
      </c>
    </row>
    <row r="95" spans="1:20" x14ac:dyDescent="0.25">
      <c r="A95" s="5">
        <v>44498</v>
      </c>
      <c r="B95">
        <v>1.9630000000000001</v>
      </c>
      <c r="C95">
        <v>2.165</v>
      </c>
      <c r="D95">
        <v>1.9470000000000001</v>
      </c>
      <c r="E95">
        <v>2.0870000000000002</v>
      </c>
      <c r="F95">
        <v>7723023.2999999998</v>
      </c>
      <c r="G95">
        <v>2.0870000000000002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0.28440366972477193</v>
      </c>
      <c r="Q95">
        <f t="shared" ref="Q95" si="451">F95*P95</f>
        <v>2196456.1678899182</v>
      </c>
      <c r="R95">
        <f t="shared" ref="R95" si="452">R96+Q95</f>
        <v>336342956.95010293</v>
      </c>
      <c r="S95">
        <f t="shared" ref="S95" si="453">R95/100000</f>
        <v>3363.4295695010292</v>
      </c>
      <c r="T95">
        <f t="shared" ref="T95" si="454">S95/1000</f>
        <v>3.363429569501029</v>
      </c>
    </row>
    <row r="96" spans="1:20" x14ac:dyDescent="0.25">
      <c r="A96" s="5">
        <v>44497</v>
      </c>
      <c r="B96">
        <v>1.8080000000000001</v>
      </c>
      <c r="C96">
        <v>1.988</v>
      </c>
      <c r="D96">
        <v>1.794</v>
      </c>
      <c r="E96">
        <v>1.966</v>
      </c>
      <c r="F96">
        <v>5392461.7000000002</v>
      </c>
      <c r="G96">
        <v>1.966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0.77319587628865949</v>
      </c>
      <c r="Q96">
        <f t="shared" ref="Q96" si="456">F96*P96</f>
        <v>4169429.1494845347</v>
      </c>
      <c r="R96">
        <f t="shared" ref="R96" si="457">R97+Q96</f>
        <v>334146500.78221303</v>
      </c>
      <c r="S96">
        <f t="shared" ref="S96" si="458">R96/100000</f>
        <v>3341.4650078221302</v>
      </c>
      <c r="T96">
        <f t="shared" ref="T96" si="459">S96/1000</f>
        <v>3.3414650078221304</v>
      </c>
    </row>
    <row r="97" spans="1:20" x14ac:dyDescent="0.25">
      <c r="A97" s="5">
        <v>44496</v>
      </c>
      <c r="B97">
        <v>2.044</v>
      </c>
      <c r="C97">
        <v>2.0670000000000002</v>
      </c>
      <c r="D97">
        <v>1.714</v>
      </c>
      <c r="E97">
        <v>1.8069999999999999</v>
      </c>
      <c r="F97">
        <v>12040835.699999999</v>
      </c>
      <c r="G97">
        <v>1.8069999999999999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-0.47308781869688432</v>
      </c>
      <c r="Q97">
        <f t="shared" ref="Q97" si="461">F97*P97</f>
        <v>-5696372.6966005722</v>
      </c>
      <c r="R97">
        <f t="shared" ref="R97" si="462">R98+Q97</f>
        <v>329977071.63272852</v>
      </c>
      <c r="S97">
        <f t="shared" ref="S97" si="463">R97/100000</f>
        <v>3299.7707163272853</v>
      </c>
      <c r="T97">
        <f t="shared" ref="T97" si="464">S97/1000</f>
        <v>3.2997707163272851</v>
      </c>
    </row>
    <row r="98" spans="1:20" x14ac:dyDescent="0.25">
      <c r="A98" s="5">
        <v>44495</v>
      </c>
      <c r="B98">
        <v>2.113</v>
      </c>
      <c r="C98">
        <v>2.1150000000000002</v>
      </c>
      <c r="D98">
        <v>2.016</v>
      </c>
      <c r="E98">
        <v>2.0449999999999999</v>
      </c>
      <c r="F98">
        <v>5065059.0999999996</v>
      </c>
      <c r="G98">
        <v>2.0449999999999999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-0.41414141414141703</v>
      </c>
      <c r="Q98">
        <f t="shared" ref="Q98" si="466">F98*P98</f>
        <v>-2097650.7383838529</v>
      </c>
      <c r="R98">
        <f t="shared" ref="R98" si="467">R99+Q98</f>
        <v>335673444.32932907</v>
      </c>
      <c r="S98">
        <f t="shared" ref="S98" si="468">R98/100000</f>
        <v>3356.734443293291</v>
      </c>
      <c r="T98">
        <f t="shared" ref="T98" si="469">S98/1000</f>
        <v>3.3567344432932908</v>
      </c>
    </row>
    <row r="99" spans="1:20" x14ac:dyDescent="0.25">
      <c r="A99" s="5">
        <v>44494</v>
      </c>
      <c r="B99">
        <v>2.0339999999999998</v>
      </c>
      <c r="C99">
        <v>2.14</v>
      </c>
      <c r="D99">
        <v>2.024</v>
      </c>
      <c r="E99">
        <v>2.1120000000000001</v>
      </c>
      <c r="F99">
        <v>5483692.2999999998</v>
      </c>
      <c r="G99">
        <v>2.1120000000000001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0.51724137931034486</v>
      </c>
      <c r="Q99">
        <f t="shared" ref="Q99" si="471">F99*P99</f>
        <v>2836392.5689655175</v>
      </c>
      <c r="R99">
        <f t="shared" ref="R99" si="472">R100+Q99</f>
        <v>337771095.0677129</v>
      </c>
      <c r="S99">
        <f t="shared" ref="S99" si="473">R99/100000</f>
        <v>3377.7109506771289</v>
      </c>
      <c r="T99">
        <f t="shared" ref="T99" si="474">S99/1000</f>
        <v>3.377710950677129</v>
      </c>
    </row>
    <row r="100" spans="1:20" x14ac:dyDescent="0.25">
      <c r="A100" s="5">
        <v>44493</v>
      </c>
      <c r="B100">
        <v>2.0710000000000002</v>
      </c>
      <c r="C100">
        <v>2.0750000000000002</v>
      </c>
      <c r="D100">
        <v>1.97</v>
      </c>
      <c r="E100">
        <v>2.0339999999999998</v>
      </c>
      <c r="F100">
        <v>3137895.8</v>
      </c>
      <c r="G100">
        <v>2.0339999999999998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0.21904761904761352</v>
      </c>
      <c r="Q100">
        <f t="shared" ref="Q100" si="476">F100*P100</f>
        <v>687348.6038095064</v>
      </c>
      <c r="R100">
        <f t="shared" ref="R100" si="477">R101+Q100</f>
        <v>334934702.49874741</v>
      </c>
      <c r="S100">
        <f t="shared" ref="S100" si="478">R100/100000</f>
        <v>3349.347024987474</v>
      </c>
      <c r="T100">
        <f t="shared" ref="T100" si="479">S100/1000</f>
        <v>3.3493470249874742</v>
      </c>
    </row>
    <row r="101" spans="1:20" x14ac:dyDescent="0.25">
      <c r="A101" s="5">
        <v>44492</v>
      </c>
      <c r="B101">
        <v>2.0880000000000001</v>
      </c>
      <c r="C101">
        <v>2.0990000000000002</v>
      </c>
      <c r="D101">
        <v>2.0230000000000001</v>
      </c>
      <c r="E101">
        <v>2.0699999999999998</v>
      </c>
      <c r="F101">
        <v>1935073.8</v>
      </c>
      <c r="G101">
        <v>2.0699999999999998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0.23684210526314914</v>
      </c>
      <c r="Q101">
        <f t="shared" ref="Q101" si="481">F101*P101</f>
        <v>458306.95263156202</v>
      </c>
      <c r="R101">
        <f t="shared" ref="R101" si="482">R102+Q101</f>
        <v>334247353.89493787</v>
      </c>
      <c r="S101">
        <f t="shared" ref="S101" si="483">R101/100000</f>
        <v>3342.4735389493785</v>
      </c>
      <c r="T101">
        <f t="shared" ref="T101" si="484">S101/1000</f>
        <v>3.3424735389493785</v>
      </c>
    </row>
    <row r="102" spans="1:20" x14ac:dyDescent="0.25">
      <c r="A102" s="5">
        <v>44491</v>
      </c>
      <c r="B102">
        <v>2.0350000000000001</v>
      </c>
      <c r="C102">
        <v>2.1749999999999998</v>
      </c>
      <c r="D102">
        <v>2.0310000000000001</v>
      </c>
      <c r="E102">
        <v>2.089</v>
      </c>
      <c r="F102">
        <v>5647879.5</v>
      </c>
      <c r="G102">
        <v>2.089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-0.19444444444444503</v>
      </c>
      <c r="Q102">
        <f t="shared" ref="Q102" si="486">F102*P102</f>
        <v>-1098198.79166667</v>
      </c>
      <c r="R102">
        <f t="shared" ref="R102" si="487">R103+Q102</f>
        <v>333789046.94230634</v>
      </c>
      <c r="S102">
        <f t="shared" ref="S102" si="488">R102/100000</f>
        <v>3337.8904694230632</v>
      </c>
      <c r="T102">
        <f t="shared" ref="T102" si="489">S102/1000</f>
        <v>3.3378904694230633</v>
      </c>
    </row>
    <row r="103" spans="1:20" x14ac:dyDescent="0.25">
      <c r="A103" s="5">
        <v>44490</v>
      </c>
      <c r="B103">
        <v>2.113</v>
      </c>
      <c r="C103">
        <v>2.17</v>
      </c>
      <c r="D103">
        <v>2.0030000000000001</v>
      </c>
      <c r="E103">
        <v>2.036</v>
      </c>
      <c r="F103">
        <v>5769511.9000000004</v>
      </c>
      <c r="G103">
        <v>2.036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-0.6047904191616772</v>
      </c>
      <c r="Q103">
        <f t="shared" ref="Q103" si="491">F103*P103</f>
        <v>-3489345.5203592847</v>
      </c>
      <c r="R103">
        <f t="shared" ref="R103" si="492">R104+Q103</f>
        <v>334887245.73397303</v>
      </c>
      <c r="S103">
        <f t="shared" ref="S103" si="493">R103/100000</f>
        <v>3348.8724573397303</v>
      </c>
      <c r="T103">
        <f t="shared" ref="T103" si="494">S103/1000</f>
        <v>3.3488724573397302</v>
      </c>
    </row>
    <row r="104" spans="1:20" x14ac:dyDescent="0.25">
      <c r="A104" s="5">
        <v>44489</v>
      </c>
      <c r="B104">
        <v>2.085</v>
      </c>
      <c r="C104">
        <v>2.1429999999999998</v>
      </c>
      <c r="D104">
        <v>2.0129999999999999</v>
      </c>
      <c r="E104">
        <v>2.1110000000000002</v>
      </c>
      <c r="F104">
        <v>5347997.5999999996</v>
      </c>
      <c r="G104">
        <v>2.1110000000000002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0.50769230769231366</v>
      </c>
      <c r="Q104">
        <f t="shared" ref="Q104" si="496">F104*P104</f>
        <v>2715137.243076955</v>
      </c>
      <c r="R104">
        <f t="shared" ref="R104" si="497">R105+Q104</f>
        <v>338376591.2543323</v>
      </c>
      <c r="S104">
        <f t="shared" ref="S104" si="498">R104/100000</f>
        <v>3383.7659125433229</v>
      </c>
      <c r="T104">
        <f t="shared" ref="T104" si="499">S104/1000</f>
        <v>3.383765912543323</v>
      </c>
    </row>
    <row r="105" spans="1:20" x14ac:dyDescent="0.25">
      <c r="A105" s="5">
        <v>44488</v>
      </c>
      <c r="B105">
        <v>2.0009999999999999</v>
      </c>
      <c r="C105">
        <v>2.2000000000000002</v>
      </c>
      <c r="D105">
        <v>1.9830000000000001</v>
      </c>
      <c r="E105">
        <v>2.0840000000000001</v>
      </c>
      <c r="F105">
        <v>9551628.9000000004</v>
      </c>
      <c r="G105">
        <v>2.0840000000000001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-6.9124423963134188E-2</v>
      </c>
      <c r="Q105">
        <f t="shared" ref="Q105" si="501">F105*P105</f>
        <v>-660250.84562212508</v>
      </c>
      <c r="R105">
        <f t="shared" ref="R105" si="502">R106+Q105</f>
        <v>335661454.01125532</v>
      </c>
      <c r="S105">
        <f t="shared" ref="S105" si="503">R105/100000</f>
        <v>3356.6145401125532</v>
      </c>
      <c r="T105">
        <f t="shared" ref="T105" si="504">S105/1000</f>
        <v>3.3566145401125533</v>
      </c>
    </row>
    <row r="106" spans="1:20" x14ac:dyDescent="0.25">
      <c r="A106" s="5">
        <v>44487</v>
      </c>
      <c r="B106">
        <v>1.9470000000000001</v>
      </c>
      <c r="C106">
        <v>2.1589999999999998</v>
      </c>
      <c r="D106">
        <v>1.9330000000000001</v>
      </c>
      <c r="E106">
        <v>2.0009999999999999</v>
      </c>
      <c r="F106">
        <v>10286793.4</v>
      </c>
      <c r="G106">
        <v>2.0009999999999999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-0.39823008849557601</v>
      </c>
      <c r="Q106">
        <f t="shared" ref="Q106" si="506">F106*P106</f>
        <v>-4096510.6460177074</v>
      </c>
      <c r="R106">
        <f t="shared" ref="R106" si="507">R107+Q106</f>
        <v>336321704.85687745</v>
      </c>
      <c r="S106">
        <f t="shared" ref="S106" si="508">R106/100000</f>
        <v>3363.2170485687743</v>
      </c>
      <c r="T106">
        <f t="shared" ref="T106" si="509">S106/1000</f>
        <v>3.3632170485687745</v>
      </c>
    </row>
    <row r="107" spans="1:20" x14ac:dyDescent="0.25">
      <c r="A107" s="5">
        <v>44486</v>
      </c>
      <c r="B107">
        <v>2.0030000000000001</v>
      </c>
      <c r="C107">
        <v>2.04</v>
      </c>
      <c r="D107">
        <v>1.8959999999999999</v>
      </c>
      <c r="E107">
        <v>1.946</v>
      </c>
      <c r="F107">
        <v>4390754.3</v>
      </c>
      <c r="G107">
        <v>1.946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-0.30555555555555558</v>
      </c>
      <c r="Q107">
        <f t="shared" ref="Q107" si="511">F107*P107</f>
        <v>-1341619.3694444445</v>
      </c>
      <c r="R107">
        <f t="shared" ref="R107" si="512">R108+Q107</f>
        <v>340418215.50289518</v>
      </c>
      <c r="S107">
        <f t="shared" ref="S107" si="513">R107/100000</f>
        <v>3404.1821550289519</v>
      </c>
      <c r="T107">
        <f t="shared" ref="T107" si="514">S107/1000</f>
        <v>3.4041821550289519</v>
      </c>
    </row>
    <row r="108" spans="1:20" x14ac:dyDescent="0.25">
      <c r="A108" s="5">
        <v>44485</v>
      </c>
      <c r="B108">
        <v>2.008</v>
      </c>
      <c r="C108">
        <v>2.0790000000000002</v>
      </c>
      <c r="D108">
        <v>1.9830000000000001</v>
      </c>
      <c r="E108">
        <v>2.0019999999999998</v>
      </c>
      <c r="F108">
        <v>3490498.9</v>
      </c>
      <c r="G108">
        <v>2.0019999999999998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-0.60416666666667362</v>
      </c>
      <c r="Q108">
        <f t="shared" ref="Q108" si="516">F108*P108</f>
        <v>-2108843.0854166909</v>
      </c>
      <c r="R108">
        <f t="shared" ref="R108" si="517">R109+Q108</f>
        <v>341759834.87233961</v>
      </c>
      <c r="S108">
        <f t="shared" ref="S108" si="518">R108/100000</f>
        <v>3417.5983487233962</v>
      </c>
      <c r="T108">
        <f t="shared" ref="T108" si="519">S108/1000</f>
        <v>3.4175983487233963</v>
      </c>
    </row>
    <row r="109" spans="1:20" x14ac:dyDescent="0.25">
      <c r="A109" s="5">
        <v>44484</v>
      </c>
      <c r="B109">
        <v>2.09</v>
      </c>
      <c r="C109">
        <v>2.0910000000000002</v>
      </c>
      <c r="D109">
        <v>1.976</v>
      </c>
      <c r="E109">
        <v>2.008</v>
      </c>
      <c r="F109">
        <v>5077790.5999999996</v>
      </c>
      <c r="G109">
        <v>2.008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-0.44347826086956577</v>
      </c>
      <c r="Q109">
        <f t="shared" ref="Q109" si="521">F109*P109</f>
        <v>-2251889.7443478289</v>
      </c>
      <c r="R109">
        <f t="shared" ref="R109" si="522">R110+Q109</f>
        <v>343868677.95775628</v>
      </c>
      <c r="S109">
        <f t="shared" ref="S109" si="523">R109/100000</f>
        <v>3438.6867795775629</v>
      </c>
      <c r="T109">
        <f t="shared" ref="T109" si="524">S109/1000</f>
        <v>3.4386867795775631</v>
      </c>
    </row>
    <row r="110" spans="1:20" x14ac:dyDescent="0.25">
      <c r="A110" s="5">
        <v>44483</v>
      </c>
      <c r="B110">
        <v>2.141</v>
      </c>
      <c r="C110">
        <v>2.2029999999999998</v>
      </c>
      <c r="D110">
        <v>2.06</v>
      </c>
      <c r="E110">
        <v>2.09</v>
      </c>
      <c r="F110">
        <v>6014041.7999999998</v>
      </c>
      <c r="G110">
        <v>2.09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-0.58041958041958253</v>
      </c>
      <c r="Q110">
        <f t="shared" ref="Q110" si="526">F110*P110</f>
        <v>-3490667.6181818307</v>
      </c>
      <c r="R110">
        <f t="shared" ref="R110" si="527">R111+Q110</f>
        <v>346120567.70210409</v>
      </c>
      <c r="S110">
        <f t="shared" ref="S110" si="528">R110/100000</f>
        <v>3461.2056770210411</v>
      </c>
      <c r="T110">
        <f t="shared" ref="T110" si="529">S110/1000</f>
        <v>3.4612056770210411</v>
      </c>
    </row>
    <row r="111" spans="1:20" x14ac:dyDescent="0.25">
      <c r="A111" s="5">
        <v>44482</v>
      </c>
      <c r="B111">
        <v>2.036</v>
      </c>
      <c r="C111">
        <v>2.1739999999999999</v>
      </c>
      <c r="D111">
        <v>1.9990000000000001</v>
      </c>
      <c r="E111">
        <v>2.141</v>
      </c>
      <c r="F111">
        <v>6153983.9000000004</v>
      </c>
      <c r="G111">
        <v>2.141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0.62285714285714344</v>
      </c>
      <c r="Q111">
        <f t="shared" ref="Q111" si="531">F111*P111</f>
        <v>3833052.8291428611</v>
      </c>
      <c r="R111">
        <f t="shared" ref="R111" si="532">R112+Q111</f>
        <v>349611235.32028592</v>
      </c>
      <c r="S111">
        <f t="shared" ref="S111" si="533">R111/100000</f>
        <v>3496.1123532028591</v>
      </c>
      <c r="T111">
        <f t="shared" ref="T111" si="534">S111/1000</f>
        <v>3.4961123532028591</v>
      </c>
    </row>
    <row r="112" spans="1:20" x14ac:dyDescent="0.25">
      <c r="A112" s="5">
        <v>44481</v>
      </c>
      <c r="B112">
        <v>2.1539999999999999</v>
      </c>
      <c r="C112">
        <v>2.1549999999999998</v>
      </c>
      <c r="D112">
        <v>1.9610000000000001</v>
      </c>
      <c r="E112">
        <v>2.0369999999999999</v>
      </c>
      <c r="F112">
        <v>6894436.4000000004</v>
      </c>
      <c r="G112">
        <v>2.0369999999999999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-0.21649484536082525</v>
      </c>
      <c r="Q112">
        <f t="shared" ref="Q112" si="536">F112*P112</f>
        <v>-1492609.9422680449</v>
      </c>
      <c r="R112">
        <f t="shared" ref="R112" si="537">R113+Q112</f>
        <v>345778182.49114305</v>
      </c>
      <c r="S112">
        <f t="shared" ref="S112" si="538">R112/100000</f>
        <v>3457.7818249114307</v>
      </c>
      <c r="T112">
        <f t="shared" ref="T112" si="539">S112/1000</f>
        <v>3.4577818249114305</v>
      </c>
    </row>
    <row r="113" spans="1:20" x14ac:dyDescent="0.25">
      <c r="A113" s="5">
        <v>44480</v>
      </c>
      <c r="B113">
        <v>2.0960000000000001</v>
      </c>
      <c r="C113">
        <v>2.2770000000000001</v>
      </c>
      <c r="D113">
        <v>2.069</v>
      </c>
      <c r="E113">
        <v>2.1509999999999998</v>
      </c>
      <c r="F113">
        <v>8083770.5999999996</v>
      </c>
      <c r="G113">
        <v>2.1509999999999998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-0.21153846153846367</v>
      </c>
      <c r="Q113">
        <f t="shared" ref="Q113" si="541">F113*P113</f>
        <v>-1710028.3961538633</v>
      </c>
      <c r="R113">
        <f t="shared" ref="R113" si="542">R114+Q113</f>
        <v>347270792.43341112</v>
      </c>
      <c r="S113">
        <f t="shared" ref="S113" si="543">R113/100000</f>
        <v>3472.7079243341113</v>
      </c>
      <c r="T113">
        <f t="shared" ref="T113" si="544">S113/1000</f>
        <v>3.4727079243341112</v>
      </c>
    </row>
    <row r="114" spans="1:20" x14ac:dyDescent="0.25">
      <c r="A114" s="5">
        <v>44479</v>
      </c>
      <c r="B114">
        <v>2.165</v>
      </c>
      <c r="C114">
        <v>2.2989999999999999</v>
      </c>
      <c r="D114">
        <v>2.09</v>
      </c>
      <c r="E114">
        <v>2.0960000000000001</v>
      </c>
      <c r="F114">
        <v>7326573.5999999996</v>
      </c>
      <c r="G114">
        <v>2.0960000000000001</v>
      </c>
      <c r="L114" t="s">
        <v>8</v>
      </c>
      <c r="M114" t="s">
        <v>7</v>
      </c>
      <c r="N114" t="s">
        <v>8</v>
      </c>
      <c r="P114">
        <f t="shared" ref="P114" si="545">IF(C114=D114,0,((E114-D114)-(C114-E114))/(C114-D114))</f>
        <v>-0.94258373205741408</v>
      </c>
      <c r="Q114">
        <f t="shared" ref="Q114" si="546">F114*P114</f>
        <v>-6905909.0870813234</v>
      </c>
      <c r="R114">
        <f t="shared" ref="R114" si="547">R115+Q114</f>
        <v>348980820.82956499</v>
      </c>
      <c r="S114">
        <f t="shared" ref="S114" si="548">R114/100000</f>
        <v>3489.8082082956498</v>
      </c>
      <c r="T114">
        <f t="shared" ref="T114" si="549">S114/1000</f>
        <v>3.4898082082956496</v>
      </c>
    </row>
    <row r="115" spans="1:20" x14ac:dyDescent="0.25">
      <c r="A115" s="5">
        <v>44478</v>
      </c>
      <c r="B115">
        <v>2.133</v>
      </c>
      <c r="C115">
        <v>2.2309999999999999</v>
      </c>
      <c r="D115">
        <v>2.089</v>
      </c>
      <c r="E115">
        <v>2.1629999999999998</v>
      </c>
      <c r="F115">
        <v>5436307.7999999998</v>
      </c>
      <c r="G115">
        <v>2.1629999999999998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4.2253521126759064E-2</v>
      </c>
      <c r="Q115">
        <f t="shared" ref="Q115" si="551">F115*P115</f>
        <v>229703.14647886509</v>
      </c>
      <c r="R115">
        <f t="shared" ref="R115" si="552">R116+Q115</f>
        <v>355886729.9166463</v>
      </c>
      <c r="S115">
        <f t="shared" ref="S115" si="553">R115/100000</f>
        <v>3558.867299166463</v>
      </c>
      <c r="T115">
        <f t="shared" ref="T115" si="554">S115/1000</f>
        <v>3.5588672991664629</v>
      </c>
    </row>
    <row r="116" spans="1:20" x14ac:dyDescent="0.25">
      <c r="A116" s="5">
        <v>44477</v>
      </c>
      <c r="B116">
        <v>2.1440000000000001</v>
      </c>
      <c r="C116">
        <v>2.2080000000000002</v>
      </c>
      <c r="D116">
        <v>2.077</v>
      </c>
      <c r="E116">
        <v>2.1320000000000001</v>
      </c>
      <c r="F116">
        <v>5161588.4000000004</v>
      </c>
      <c r="G116">
        <v>2.1320000000000001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-0.1603053435114494</v>
      </c>
      <c r="Q116">
        <f t="shared" ref="Q116" si="556">F116*P116</f>
        <v>-827430.20152671251</v>
      </c>
      <c r="R116">
        <f t="shared" ref="R116" si="557">R117+Q116</f>
        <v>355657026.77016741</v>
      </c>
      <c r="S116">
        <f t="shared" ref="S116" si="558">R116/100000</f>
        <v>3556.5702677016743</v>
      </c>
      <c r="T116">
        <f t="shared" ref="T116" si="559">S116/1000</f>
        <v>3.5565702677016744</v>
      </c>
    </row>
    <row r="117" spans="1:20" x14ac:dyDescent="0.25">
      <c r="A117" s="5">
        <v>44476</v>
      </c>
      <c r="B117">
        <v>2.2160000000000002</v>
      </c>
      <c r="C117">
        <v>2.226</v>
      </c>
      <c r="D117">
        <v>2.0819999999999999</v>
      </c>
      <c r="E117">
        <v>2.141</v>
      </c>
      <c r="F117">
        <v>7351122.5999999996</v>
      </c>
      <c r="G117">
        <v>2.141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-0.18055555555555403</v>
      </c>
      <c r="Q117">
        <f t="shared" ref="Q117" si="561">F117*P117</f>
        <v>-1327286.0249999887</v>
      </c>
      <c r="R117">
        <f t="shared" ref="R117" si="562">R118+Q117</f>
        <v>356484456.97169411</v>
      </c>
      <c r="S117">
        <f t="shared" ref="S117" si="563">R117/100000</f>
        <v>3564.8445697169409</v>
      </c>
      <c r="T117">
        <f t="shared" ref="T117" si="564">S117/1000</f>
        <v>3.5648445697169411</v>
      </c>
    </row>
    <row r="118" spans="1:20" x14ac:dyDescent="0.25">
      <c r="A118" s="5">
        <v>44475</v>
      </c>
      <c r="B118">
        <v>2.2959999999999998</v>
      </c>
      <c r="C118">
        <v>2.331</v>
      </c>
      <c r="D118">
        <v>2.052</v>
      </c>
      <c r="E118">
        <v>2.2130000000000001</v>
      </c>
      <c r="F118">
        <v>14135175.1</v>
      </c>
      <c r="G118">
        <v>2.2130000000000001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0.15412186379928375</v>
      </c>
      <c r="Q118">
        <f t="shared" ref="Q118" si="566">F118*P118</f>
        <v>2178539.5315412269</v>
      </c>
      <c r="R118">
        <f t="shared" ref="R118" si="567">R119+Q118</f>
        <v>357811742.99669409</v>
      </c>
      <c r="S118">
        <f t="shared" ref="S118" si="568">R118/100000</f>
        <v>3578.117429966941</v>
      </c>
      <c r="T118">
        <f t="shared" ref="T118" si="569">S118/1000</f>
        <v>3.5781174299669409</v>
      </c>
    </row>
    <row r="119" spans="1:20" x14ac:dyDescent="0.25">
      <c r="A119" s="5">
        <v>44474</v>
      </c>
      <c r="B119">
        <v>2.173</v>
      </c>
      <c r="C119">
        <v>2.5499999999999998</v>
      </c>
      <c r="D119">
        <v>2.169</v>
      </c>
      <c r="E119">
        <v>2.2949999999999999</v>
      </c>
      <c r="F119">
        <v>25514857.34</v>
      </c>
      <c r="G119">
        <v>2.2949999999999999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-0.33858267716535451</v>
      </c>
      <c r="Q119">
        <f t="shared" ref="Q119" si="571">F119*P119</f>
        <v>-8638888.705669295</v>
      </c>
      <c r="R119">
        <f t="shared" ref="R119" si="572">R120+Q119</f>
        <v>355633203.46515286</v>
      </c>
      <c r="S119">
        <f t="shared" ref="S119" si="573">R119/100000</f>
        <v>3556.3320346515284</v>
      </c>
      <c r="T119">
        <f t="shared" ref="T119" si="574">S119/1000</f>
        <v>3.5563320346515286</v>
      </c>
    </row>
    <row r="120" spans="1:20" x14ac:dyDescent="0.25">
      <c r="A120" s="5">
        <v>44473</v>
      </c>
      <c r="B120">
        <v>2.1619999999999999</v>
      </c>
      <c r="C120">
        <v>2.2679999999999998</v>
      </c>
      <c r="D120">
        <v>2.0390000000000001</v>
      </c>
      <c r="E120">
        <v>2.1579999999999999</v>
      </c>
      <c r="F120">
        <v>15330822.199999999</v>
      </c>
      <c r="G120">
        <v>2.1579999999999999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3.9301310043667735E-2</v>
      </c>
      <c r="Q120">
        <f t="shared" ref="Q120" si="576">F120*P120</f>
        <v>602521.3965065442</v>
      </c>
      <c r="R120">
        <f t="shared" ref="R120" si="577">R121+Q120</f>
        <v>364272092.17082214</v>
      </c>
      <c r="S120">
        <f t="shared" ref="S120" si="578">R120/100000</f>
        <v>3642.7209217082213</v>
      </c>
      <c r="T120">
        <f t="shared" ref="T120" si="579">S120/1000</f>
        <v>3.6427209217082215</v>
      </c>
    </row>
    <row r="121" spans="1:20" x14ac:dyDescent="0.25">
      <c r="A121" s="5">
        <v>44472</v>
      </c>
      <c r="B121">
        <v>1.948</v>
      </c>
      <c r="C121">
        <v>2.359</v>
      </c>
      <c r="D121">
        <v>1.9019999999999999</v>
      </c>
      <c r="E121">
        <v>2.1709999999999998</v>
      </c>
      <c r="F121">
        <v>23118748.829999998</v>
      </c>
      <c r="G121">
        <v>2.1709999999999998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0.17724288840262523</v>
      </c>
      <c r="Q121">
        <f t="shared" ref="Q121" si="581">F121*P121</f>
        <v>4097633.8188840123</v>
      </c>
      <c r="R121">
        <f t="shared" ref="R121" si="582">R122+Q121</f>
        <v>363669570.7743156</v>
      </c>
      <c r="S121">
        <f t="shared" ref="S121" si="583">R121/100000</f>
        <v>3636.6957077431562</v>
      </c>
      <c r="T121">
        <f t="shared" ref="T121" si="584">S121/1000</f>
        <v>3.6366957077431561</v>
      </c>
    </row>
    <row r="122" spans="1:20" x14ac:dyDescent="0.25">
      <c r="A122" s="5">
        <v>44471</v>
      </c>
      <c r="B122">
        <v>1.9119999999999999</v>
      </c>
      <c r="C122">
        <v>2.08</v>
      </c>
      <c r="D122">
        <v>1.841</v>
      </c>
      <c r="E122">
        <v>1.948</v>
      </c>
      <c r="F122">
        <v>16647029.199999999</v>
      </c>
      <c r="G122">
        <v>1.948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-0.10460251046025155</v>
      </c>
      <c r="Q122">
        <f t="shared" ref="Q122" si="586">F122*P122</f>
        <v>-1741321.046025113</v>
      </c>
      <c r="R122">
        <f t="shared" ref="R122" si="587">R123+Q122</f>
        <v>359571936.95543158</v>
      </c>
      <c r="S122">
        <f t="shared" ref="S122" si="588">R122/100000</f>
        <v>3595.719369554316</v>
      </c>
      <c r="T122">
        <f t="shared" ref="T122" si="589">S122/1000</f>
        <v>3.5957193695543159</v>
      </c>
    </row>
    <row r="123" spans="1:20" x14ac:dyDescent="0.25">
      <c r="A123" s="5">
        <v>44470</v>
      </c>
      <c r="B123">
        <v>1.53</v>
      </c>
      <c r="C123">
        <v>2</v>
      </c>
      <c r="D123">
        <v>1.522</v>
      </c>
      <c r="E123">
        <v>1.911</v>
      </c>
      <c r="F123">
        <v>28666263.199999999</v>
      </c>
      <c r="G123">
        <v>1.911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0.62761506276150636</v>
      </c>
      <c r="Q123">
        <f t="shared" ref="Q123" si="591">F123*P123</f>
        <v>17991378.577405859</v>
      </c>
      <c r="R123">
        <f t="shared" ref="R123" si="592">R124+Q123</f>
        <v>361313258.00145668</v>
      </c>
      <c r="S123">
        <f t="shared" ref="S123" si="593">R123/100000</f>
        <v>3613.1325800145669</v>
      </c>
      <c r="T123">
        <f t="shared" ref="T123" si="594">S123/1000</f>
        <v>3.6131325800145668</v>
      </c>
    </row>
    <row r="124" spans="1:20" x14ac:dyDescent="0.25">
      <c r="A124" s="5">
        <v>44469</v>
      </c>
      <c r="B124">
        <v>1.431</v>
      </c>
      <c r="C124">
        <v>1.5580000000000001</v>
      </c>
      <c r="D124">
        <v>1.421</v>
      </c>
      <c r="E124">
        <v>1.53</v>
      </c>
      <c r="F124">
        <v>8510800.5999999996</v>
      </c>
      <c r="G124">
        <v>1.53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0.59124087591240848</v>
      </c>
      <c r="Q124">
        <f t="shared" ref="Q124" si="596">F124*P124</f>
        <v>5031933.2014598511</v>
      </c>
      <c r="R124">
        <f t="shared" ref="R124" si="597">R125+Q124</f>
        <v>343321879.42405081</v>
      </c>
      <c r="S124">
        <f t="shared" ref="S124" si="598">R124/100000</f>
        <v>3433.218794240508</v>
      </c>
      <c r="T124">
        <f t="shared" ref="T124" si="599">S124/1000</f>
        <v>3.4332187942405081</v>
      </c>
    </row>
    <row r="125" spans="1:20" x14ac:dyDescent="0.25">
      <c r="A125" s="5">
        <v>44468</v>
      </c>
      <c r="B125">
        <v>1.4059999999999999</v>
      </c>
      <c r="C125">
        <v>1.5149999999999999</v>
      </c>
      <c r="D125">
        <v>1.38</v>
      </c>
      <c r="E125">
        <v>1.431</v>
      </c>
      <c r="F125">
        <v>5446678.7999999998</v>
      </c>
      <c r="G125">
        <v>1.431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-0.24444444444444219</v>
      </c>
      <c r="Q125">
        <f t="shared" ref="Q125" si="601">F125*P125</f>
        <v>-1331410.373333321</v>
      </c>
      <c r="R125">
        <f t="shared" ref="R125" si="602">R126+Q125</f>
        <v>338289946.22259098</v>
      </c>
      <c r="S125">
        <f t="shared" ref="S125" si="603">R125/100000</f>
        <v>3382.8994622259097</v>
      </c>
      <c r="T125">
        <f t="shared" ref="T125" si="604">S125/1000</f>
        <v>3.3828994622259096</v>
      </c>
    </row>
    <row r="126" spans="1:20" x14ac:dyDescent="0.25">
      <c r="A126" s="5">
        <v>44467</v>
      </c>
      <c r="B126">
        <v>1.504</v>
      </c>
      <c r="C126">
        <v>1.522</v>
      </c>
      <c r="D126">
        <v>1.399</v>
      </c>
      <c r="E126">
        <v>1.4059999999999999</v>
      </c>
      <c r="F126">
        <v>6566644.7000000002</v>
      </c>
      <c r="G126">
        <v>1.4059999999999999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-0.8861788617886196</v>
      </c>
      <c r="Q126">
        <f t="shared" ref="Q126" si="606">F126*P126</f>
        <v>-5819221.7260162719</v>
      </c>
      <c r="R126">
        <f t="shared" ref="R126" si="607">R127+Q126</f>
        <v>339621356.59592432</v>
      </c>
      <c r="S126">
        <f t="shared" ref="S126" si="608">R126/100000</f>
        <v>3396.2135659592432</v>
      </c>
      <c r="T126">
        <f t="shared" ref="T126" si="609">S126/1000</f>
        <v>3.396213565959243</v>
      </c>
    </row>
    <row r="127" spans="1:20" x14ac:dyDescent="0.25">
      <c r="A127" s="5">
        <v>44466</v>
      </c>
      <c r="B127">
        <v>1.639</v>
      </c>
      <c r="C127">
        <v>1.663</v>
      </c>
      <c r="D127">
        <v>1.502</v>
      </c>
      <c r="E127">
        <v>1.5029999999999999</v>
      </c>
      <c r="F127">
        <v>7639827</v>
      </c>
      <c r="G127">
        <v>1.5029999999999999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-0.98757763975155421</v>
      </c>
      <c r="Q127">
        <f t="shared" ref="Q127" si="611">F127*P127</f>
        <v>-7544922.3167701969</v>
      </c>
      <c r="R127">
        <f t="shared" ref="R127" si="612">R128+Q127</f>
        <v>345440578.3219406</v>
      </c>
      <c r="S127">
        <f t="shared" ref="S127" si="613">R127/100000</f>
        <v>3454.4057832194062</v>
      </c>
      <c r="T127">
        <f t="shared" ref="T127" si="614">S127/1000</f>
        <v>3.4544057832194062</v>
      </c>
    </row>
    <row r="128" spans="1:20" x14ac:dyDescent="0.25">
      <c r="A128" s="5">
        <v>44465</v>
      </c>
      <c r="B128">
        <v>1.544</v>
      </c>
      <c r="C128">
        <v>1.69</v>
      </c>
      <c r="D128">
        <v>1.4330000000000001</v>
      </c>
      <c r="E128">
        <v>1.64</v>
      </c>
      <c r="F128">
        <v>7825422.5999999996</v>
      </c>
      <c r="G128">
        <v>1.64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0.61089494163424074</v>
      </c>
      <c r="Q128">
        <f t="shared" ref="Q128" si="616">F128*P128</f>
        <v>4780511.0824902682</v>
      </c>
      <c r="R128">
        <f t="shared" ref="R128" si="617">R129+Q128</f>
        <v>352985500.6387108</v>
      </c>
      <c r="S128">
        <f t="shared" ref="S128" si="618">R128/100000</f>
        <v>3529.855006387108</v>
      </c>
      <c r="T128">
        <f t="shared" ref="T128" si="619">S128/1000</f>
        <v>3.5298550063871081</v>
      </c>
    </row>
    <row r="129" spans="1:20" x14ac:dyDescent="0.25">
      <c r="A129" s="5">
        <v>44464</v>
      </c>
      <c r="B129">
        <v>1.593</v>
      </c>
      <c r="C129">
        <v>1.613</v>
      </c>
      <c r="D129">
        <v>1.512</v>
      </c>
      <c r="E129">
        <v>1.5469999999999999</v>
      </c>
      <c r="F129">
        <v>4422670.5999999996</v>
      </c>
      <c r="G129">
        <v>1.5469999999999999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-0.30693069306930837</v>
      </c>
      <c r="Q129">
        <f t="shared" ref="Q129" si="621">F129*P129</f>
        <v>-1357453.3524752539</v>
      </c>
      <c r="R129">
        <f t="shared" ref="R129" si="622">R130+Q129</f>
        <v>348204989.55622053</v>
      </c>
      <c r="S129">
        <f t="shared" ref="S129" si="623">R129/100000</f>
        <v>3482.0498955622052</v>
      </c>
      <c r="T129">
        <f t="shared" ref="T129" si="624">S129/1000</f>
        <v>3.4820498955622052</v>
      </c>
    </row>
    <row r="130" spans="1:20" x14ac:dyDescent="0.25">
      <c r="A130" s="5">
        <v>44463</v>
      </c>
      <c r="B130">
        <v>1.7050000000000001</v>
      </c>
      <c r="C130">
        <v>1.772</v>
      </c>
      <c r="D130">
        <v>1.4630000000000001</v>
      </c>
      <c r="E130">
        <v>1.5920000000000001</v>
      </c>
      <c r="F130">
        <v>13821577.1</v>
      </c>
      <c r="G130">
        <v>1.5920000000000001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-0.1650485436893202</v>
      </c>
      <c r="Q130">
        <f t="shared" ref="Q130" si="626">F130*P130</f>
        <v>-2281231.1718446575</v>
      </c>
      <c r="R130">
        <f t="shared" ref="R130" si="627">R131+Q130</f>
        <v>349562442.90869576</v>
      </c>
      <c r="S130">
        <f t="shared" ref="S130" si="628">R130/100000</f>
        <v>3495.6244290869577</v>
      </c>
      <c r="T130">
        <f t="shared" ref="T130" si="629">S130/1000</f>
        <v>3.4956244290869578</v>
      </c>
    </row>
    <row r="131" spans="1:20" x14ac:dyDescent="0.25">
      <c r="A131" s="5">
        <v>44462</v>
      </c>
      <c r="B131">
        <v>1.657</v>
      </c>
      <c r="C131">
        <v>1.724</v>
      </c>
      <c r="D131">
        <v>1.59</v>
      </c>
      <c r="E131">
        <v>1.706</v>
      </c>
      <c r="F131">
        <v>7179501.5999999996</v>
      </c>
      <c r="G131">
        <v>1.706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0.73134328358208911</v>
      </c>
      <c r="Q131">
        <f t="shared" ref="Q131" si="631">F131*P131</f>
        <v>5250680.2746268623</v>
      </c>
      <c r="R131">
        <f t="shared" ref="R131" si="632">R132+Q131</f>
        <v>351843674.08054042</v>
      </c>
      <c r="S131">
        <f t="shared" ref="S131" si="633">R131/100000</f>
        <v>3518.436740805404</v>
      </c>
      <c r="T131">
        <f t="shared" ref="T131" si="634">S131/1000</f>
        <v>3.518436740805404</v>
      </c>
    </row>
    <row r="132" spans="1:20" x14ac:dyDescent="0.25">
      <c r="A132" s="5">
        <v>44461</v>
      </c>
      <c r="B132">
        <v>1.4690000000000001</v>
      </c>
      <c r="C132">
        <v>1.694</v>
      </c>
      <c r="D132">
        <v>1.43</v>
      </c>
      <c r="E132">
        <v>1.6539999999999999</v>
      </c>
      <c r="F132">
        <v>8667634.0999999996</v>
      </c>
      <c r="G132">
        <v>1.6539999999999999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0.69696969696969668</v>
      </c>
      <c r="Q132">
        <f t="shared" ref="Q132" si="636">F132*P132</f>
        <v>6041078.3121212097</v>
      </c>
      <c r="R132">
        <f t="shared" ref="R132" si="637">R133+Q132</f>
        <v>346592993.80591357</v>
      </c>
      <c r="S132">
        <f t="shared" ref="S132" si="638">R132/100000</f>
        <v>3465.9299380591356</v>
      </c>
      <c r="T132">
        <f t="shared" ref="T132" si="639">S132/1000</f>
        <v>3.4659299380591357</v>
      </c>
    </row>
    <row r="133" spans="1:20" x14ac:dyDescent="0.25">
      <c r="A133" s="5">
        <v>44460</v>
      </c>
      <c r="B133">
        <v>1.66</v>
      </c>
      <c r="C133">
        <v>1.7</v>
      </c>
      <c r="D133">
        <v>1.429</v>
      </c>
      <c r="E133">
        <v>1.4690000000000001</v>
      </c>
      <c r="F133">
        <v>9890262.4000000004</v>
      </c>
      <c r="G133">
        <v>1.4690000000000001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-0.70479704797047937</v>
      </c>
      <c r="Q133">
        <f t="shared" ref="Q133" si="641">F133*P133</f>
        <v>-6970627.7431734288</v>
      </c>
      <c r="R133">
        <f t="shared" ref="R133" si="642">R134+Q133</f>
        <v>340551915.49379236</v>
      </c>
      <c r="S133">
        <f t="shared" ref="S133" si="643">R133/100000</f>
        <v>3405.5191549379238</v>
      </c>
      <c r="T133">
        <f t="shared" ref="T133" si="644">S133/1000</f>
        <v>3.4055191549379238</v>
      </c>
    </row>
    <row r="134" spans="1:20" x14ac:dyDescent="0.25">
      <c r="A134" s="5">
        <v>44459</v>
      </c>
      <c r="B134">
        <v>1.7969999999999999</v>
      </c>
      <c r="C134">
        <v>1.8</v>
      </c>
      <c r="D134">
        <v>1.583</v>
      </c>
      <c r="E134">
        <v>1.623</v>
      </c>
      <c r="F134">
        <v>5498694.7999999998</v>
      </c>
      <c r="G134">
        <v>1.623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-0.63133640552995374</v>
      </c>
      <c r="Q134">
        <f t="shared" ref="Q134" si="646">F134*P134</f>
        <v>-3471526.2101382478</v>
      </c>
      <c r="R134">
        <f t="shared" ref="R134" si="647">R135+Q134</f>
        <v>347522543.23696578</v>
      </c>
      <c r="S134">
        <f t="shared" ref="S134" si="648">R134/100000</f>
        <v>3475.2254323696579</v>
      </c>
      <c r="T134">
        <f t="shared" ref="T134" si="649">S134/1000</f>
        <v>3.4752254323696579</v>
      </c>
    </row>
    <row r="135" spans="1:20" x14ac:dyDescent="0.25">
      <c r="A135" s="5">
        <v>44458</v>
      </c>
      <c r="B135">
        <v>1.925</v>
      </c>
      <c r="C135">
        <v>1.9350000000000001</v>
      </c>
      <c r="D135">
        <v>1.7709999999999999</v>
      </c>
      <c r="E135">
        <v>1.796</v>
      </c>
      <c r="F135">
        <v>4485799.2</v>
      </c>
      <c r="G135">
        <v>1.796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-0.69512195121951081</v>
      </c>
      <c r="Q135">
        <f t="shared" ref="Q135" si="651">F135*P135</f>
        <v>-3118177.4926829208</v>
      </c>
      <c r="R135">
        <f t="shared" ref="R135" si="652">R136+Q135</f>
        <v>350994069.44710404</v>
      </c>
      <c r="S135">
        <f t="shared" ref="S135" si="653">R135/100000</f>
        <v>3509.9406944710404</v>
      </c>
      <c r="T135">
        <f t="shared" ref="T135" si="654">S135/1000</f>
        <v>3.5099406944710405</v>
      </c>
    </row>
    <row r="136" spans="1:20" x14ac:dyDescent="0.25">
      <c r="A136" s="5">
        <v>44457</v>
      </c>
      <c r="B136">
        <v>1.88</v>
      </c>
      <c r="C136">
        <v>1.9990000000000001</v>
      </c>
      <c r="D136">
        <v>1.82</v>
      </c>
      <c r="E136">
        <v>1.9279999999999999</v>
      </c>
      <c r="F136">
        <v>7555126.0999999996</v>
      </c>
      <c r="G136">
        <v>1.9279999999999999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0.2067039106145234</v>
      </c>
      <c r="Q136">
        <f t="shared" ref="Q136" si="656">F136*P136</f>
        <v>1561674.1100558527</v>
      </c>
      <c r="R136">
        <f t="shared" ref="R136" si="657">R137+Q136</f>
        <v>354112246.93978697</v>
      </c>
      <c r="S136">
        <f t="shared" ref="S136" si="658">R136/100000</f>
        <v>3541.1224693978697</v>
      </c>
      <c r="T136">
        <f t="shared" ref="T136" si="659">S136/1000</f>
        <v>3.5411224693978696</v>
      </c>
    </row>
    <row r="137" spans="1:20" x14ac:dyDescent="0.25">
      <c r="A137" s="5">
        <v>44456</v>
      </c>
      <c r="B137">
        <v>2.0470000000000002</v>
      </c>
      <c r="C137">
        <v>2.0489999999999999</v>
      </c>
      <c r="D137">
        <v>1.8380000000000001</v>
      </c>
      <c r="E137">
        <v>1.877</v>
      </c>
      <c r="F137">
        <v>8648570</v>
      </c>
      <c r="G137">
        <v>1.877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-0.63033175355450288</v>
      </c>
      <c r="Q137">
        <f t="shared" ref="Q137" si="661">F137*P137</f>
        <v>-5451468.293838867</v>
      </c>
      <c r="R137">
        <f t="shared" ref="R137" si="662">R138+Q137</f>
        <v>352550572.82973111</v>
      </c>
      <c r="S137">
        <f t="shared" ref="S137" si="663">R137/100000</f>
        <v>3525.5057282973112</v>
      </c>
      <c r="T137">
        <f t="shared" ref="T137" si="664">S137/1000</f>
        <v>3.5255057282973112</v>
      </c>
    </row>
    <row r="138" spans="1:20" x14ac:dyDescent="0.25">
      <c r="A138" s="5">
        <v>44455</v>
      </c>
      <c r="B138">
        <v>2.165</v>
      </c>
      <c r="C138">
        <v>2.2250000000000001</v>
      </c>
      <c r="D138">
        <v>1.9850000000000001</v>
      </c>
      <c r="E138">
        <v>2.048</v>
      </c>
      <c r="F138">
        <v>13722244</v>
      </c>
      <c r="G138">
        <v>2.048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-0.47500000000000042</v>
      </c>
      <c r="Q138">
        <f t="shared" ref="Q138" si="666">F138*P138</f>
        <v>-6518065.900000006</v>
      </c>
      <c r="R138">
        <f t="shared" ref="R138" si="667">R139+Q138</f>
        <v>358002041.12356997</v>
      </c>
      <c r="S138">
        <f t="shared" ref="S138" si="668">R138/100000</f>
        <v>3580.0204112356996</v>
      </c>
      <c r="T138">
        <f t="shared" ref="T138" si="669">S138/1000</f>
        <v>3.5800204112356995</v>
      </c>
    </row>
    <row r="139" spans="1:20" x14ac:dyDescent="0.25">
      <c r="A139" s="5">
        <v>44454</v>
      </c>
      <c r="B139">
        <v>2.077</v>
      </c>
      <c r="C139">
        <v>2.2200000000000002</v>
      </c>
      <c r="D139">
        <v>1.9570000000000001</v>
      </c>
      <c r="E139">
        <v>2.1659999999999999</v>
      </c>
      <c r="F139">
        <v>17975984.399999999</v>
      </c>
      <c r="G139">
        <v>2.1659999999999999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0.58935361216729854</v>
      </c>
      <c r="Q139">
        <f t="shared" ref="Q139" si="671">F139*P139</f>
        <v>10594211.338403007</v>
      </c>
      <c r="R139">
        <f t="shared" ref="R139" si="672">R140+Q139</f>
        <v>364520107.02357</v>
      </c>
      <c r="S139">
        <f t="shared" ref="S139" si="673">R139/100000</f>
        <v>3645.2010702357002</v>
      </c>
      <c r="T139">
        <f t="shared" ref="T139" si="674">S139/1000</f>
        <v>3.6452010702357001</v>
      </c>
    </row>
    <row r="140" spans="1:20" x14ac:dyDescent="0.25">
      <c r="A140" s="5">
        <v>44453</v>
      </c>
      <c r="B140">
        <v>1.927</v>
      </c>
      <c r="C140">
        <v>2.0840000000000001</v>
      </c>
      <c r="D140">
        <v>1.8009999999999999</v>
      </c>
      <c r="E140">
        <v>2.0739999999999998</v>
      </c>
      <c r="F140">
        <v>26986192.100000001</v>
      </c>
      <c r="G140">
        <v>2.0739999999999998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0.9293286219081256</v>
      </c>
      <c r="Q140">
        <f t="shared" ref="Q140" si="676">F140*P140</f>
        <v>25079040.714840949</v>
      </c>
      <c r="R140">
        <f t="shared" ref="R140" si="677">R141+Q140</f>
        <v>353925895.68516701</v>
      </c>
      <c r="S140">
        <f t="shared" ref="S140" si="678">R140/100000</f>
        <v>3539.2589568516701</v>
      </c>
      <c r="T140">
        <f t="shared" ref="T140" si="679">S140/1000</f>
        <v>3.5392589568516701</v>
      </c>
    </row>
    <row r="141" spans="1:20" x14ac:dyDescent="0.25">
      <c r="A141" s="5">
        <v>44452</v>
      </c>
      <c r="B141">
        <v>1.7410000000000001</v>
      </c>
      <c r="C141">
        <v>1.9570000000000001</v>
      </c>
      <c r="D141">
        <v>1.5209999999999999</v>
      </c>
      <c r="E141">
        <v>1.93</v>
      </c>
      <c r="F141">
        <v>23468869.699999999</v>
      </c>
      <c r="G141">
        <v>1.93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0.8761467889908251</v>
      </c>
      <c r="Q141">
        <f t="shared" ref="Q141" si="681">F141*P141</f>
        <v>20562174.828899067</v>
      </c>
      <c r="R141">
        <f t="shared" ref="R141" si="682">R142+Q141</f>
        <v>328846854.97032607</v>
      </c>
      <c r="S141">
        <f t="shared" ref="S141" si="683">R141/100000</f>
        <v>3288.4685497032606</v>
      </c>
      <c r="T141">
        <f t="shared" ref="T141" si="684">S141/1000</f>
        <v>3.2884685497032606</v>
      </c>
    </row>
    <row r="142" spans="1:20" x14ac:dyDescent="0.25">
      <c r="A142" s="5">
        <v>44451</v>
      </c>
      <c r="B142">
        <v>1.744</v>
      </c>
      <c r="C142">
        <v>1.89</v>
      </c>
      <c r="D142">
        <v>1.6140000000000001</v>
      </c>
      <c r="E142">
        <v>1.7430000000000001</v>
      </c>
      <c r="F142">
        <v>14350435</v>
      </c>
      <c r="G142">
        <v>1.7430000000000001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-6.521739130434713E-2</v>
      </c>
      <c r="Q142">
        <f t="shared" ref="Q142" si="686">F142*P142</f>
        <v>-935897.93478259875</v>
      </c>
      <c r="R142">
        <f t="shared" ref="R142" si="687">R143+Q142</f>
        <v>308284680.14142698</v>
      </c>
      <c r="S142">
        <f t="shared" ref="S142" si="688">R142/100000</f>
        <v>3082.84680141427</v>
      </c>
      <c r="T142">
        <f t="shared" ref="T142" si="689">S142/1000</f>
        <v>3.08284680141427</v>
      </c>
    </row>
    <row r="143" spans="1:20" x14ac:dyDescent="0.25">
      <c r="A143" s="5">
        <v>44450</v>
      </c>
      <c r="B143">
        <v>1.786</v>
      </c>
      <c r="C143">
        <v>1.835</v>
      </c>
      <c r="D143">
        <v>1.694</v>
      </c>
      <c r="E143">
        <v>1.746</v>
      </c>
      <c r="F143">
        <v>17001678.399999999</v>
      </c>
      <c r="G143">
        <v>1.746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-0.26241134751772993</v>
      </c>
      <c r="Q143">
        <f t="shared" ref="Q143" si="691">F143*P143</f>
        <v>-4461433.3390070824</v>
      </c>
      <c r="R143">
        <f t="shared" ref="R143" si="692">R144+Q143</f>
        <v>309220578.0762096</v>
      </c>
      <c r="S143">
        <f t="shared" ref="S143" si="693">R143/100000</f>
        <v>3092.2057807620959</v>
      </c>
      <c r="T143">
        <f t="shared" ref="T143" si="694">S143/1000</f>
        <v>3.0922057807620957</v>
      </c>
    </row>
    <row r="144" spans="1:20" x14ac:dyDescent="0.25">
      <c r="A144" s="5">
        <v>44449</v>
      </c>
      <c r="B144">
        <v>1.583</v>
      </c>
      <c r="C144">
        <v>2.2839999999999998</v>
      </c>
      <c r="D144">
        <v>1.577</v>
      </c>
      <c r="E144">
        <v>1.786</v>
      </c>
      <c r="F144">
        <v>72224347.290000007</v>
      </c>
      <c r="G144">
        <v>1.786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-0.40876944837340845</v>
      </c>
      <c r="Q144">
        <f t="shared" ref="Q144" si="696">F144*P144</f>
        <v>-29523106.600862779</v>
      </c>
      <c r="R144">
        <f t="shared" ref="R144" si="697">R145+Q144</f>
        <v>313682011.41521668</v>
      </c>
      <c r="S144">
        <f t="shared" ref="S144" si="698">R144/100000</f>
        <v>3136.8201141521668</v>
      </c>
      <c r="T144">
        <f t="shared" ref="T144" si="699">S144/1000</f>
        <v>3.1368201141521665</v>
      </c>
    </row>
    <row r="145" spans="1:20" x14ac:dyDescent="0.25">
      <c r="A145" s="5">
        <v>44448</v>
      </c>
      <c r="B145">
        <v>1.4039999999999999</v>
      </c>
      <c r="C145">
        <v>1.657</v>
      </c>
      <c r="D145">
        <v>1.401</v>
      </c>
      <c r="E145">
        <v>1.583</v>
      </c>
      <c r="F145">
        <v>19227772.600000001</v>
      </c>
      <c r="G145">
        <v>1.583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0.4218749999999995</v>
      </c>
      <c r="Q145">
        <f t="shared" ref="Q145" si="701">F145*P145</f>
        <v>8111716.5656249914</v>
      </c>
      <c r="R145">
        <f t="shared" ref="R145" si="702">R146+Q145</f>
        <v>343205118.01607949</v>
      </c>
      <c r="S145">
        <f t="shared" ref="S145" si="703">R145/100000</f>
        <v>3432.051180160795</v>
      </c>
      <c r="T145">
        <f t="shared" ref="T145" si="704">S145/1000</f>
        <v>3.4320511801607951</v>
      </c>
    </row>
    <row r="146" spans="1:20" x14ac:dyDescent="0.25">
      <c r="A146" s="5">
        <v>44447</v>
      </c>
      <c r="B146">
        <v>1.381</v>
      </c>
      <c r="C146">
        <v>1.417</v>
      </c>
      <c r="D146">
        <v>1.202</v>
      </c>
      <c r="E146">
        <v>1.4039999999999999</v>
      </c>
      <c r="F146">
        <v>12618742.800000001</v>
      </c>
      <c r="G146">
        <v>1.4039999999999999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0.87906976744185938</v>
      </c>
      <c r="Q146">
        <f t="shared" ref="Q146" si="706">F146*P146</f>
        <v>11092755.298604637</v>
      </c>
      <c r="R146">
        <f t="shared" ref="R146" si="707">R147+Q146</f>
        <v>335093401.45045447</v>
      </c>
      <c r="S146">
        <f t="shared" ref="S146" si="708">R146/100000</f>
        <v>3350.9340145045448</v>
      </c>
      <c r="T146">
        <f t="shared" ref="T146" si="709">S146/1000</f>
        <v>3.3509340145045448</v>
      </c>
    </row>
    <row r="147" spans="1:20" x14ac:dyDescent="0.25">
      <c r="A147" s="5">
        <v>44446</v>
      </c>
      <c r="B147">
        <v>1.742</v>
      </c>
      <c r="C147">
        <v>1.746</v>
      </c>
      <c r="D147">
        <v>1.165</v>
      </c>
      <c r="E147">
        <v>1.3819999999999999</v>
      </c>
      <c r="F147">
        <v>20091560.43</v>
      </c>
      <c r="G147">
        <v>1.3819999999999999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-0.25301204819277151</v>
      </c>
      <c r="Q147">
        <f t="shared" ref="Q147" si="711">F147*P147</f>
        <v>-5083406.8557831412</v>
      </c>
      <c r="R147">
        <f t="shared" ref="R147" si="712">R148+Q147</f>
        <v>324000646.15184981</v>
      </c>
      <c r="S147">
        <f t="shared" ref="S147" si="713">R147/100000</f>
        <v>3240.0064615184979</v>
      </c>
      <c r="T147">
        <f t="shared" ref="T147" si="714">S147/1000</f>
        <v>3.2400064615184978</v>
      </c>
    </row>
    <row r="148" spans="1:20" x14ac:dyDescent="0.25">
      <c r="A148" s="5">
        <v>44445</v>
      </c>
      <c r="B148">
        <v>1.7909999999999999</v>
      </c>
      <c r="C148">
        <v>1.839</v>
      </c>
      <c r="D148">
        <v>1.639</v>
      </c>
      <c r="E148">
        <v>1.742</v>
      </c>
      <c r="F148">
        <v>10985237.289999999</v>
      </c>
      <c r="G148">
        <v>1.742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3.0000000000000034E-2</v>
      </c>
      <c r="Q148">
        <f t="shared" ref="Q148" si="716">F148*P148</f>
        <v>329557.11870000034</v>
      </c>
      <c r="R148">
        <f t="shared" ref="R148" si="717">R149+Q148</f>
        <v>329084053.00763297</v>
      </c>
      <c r="S148">
        <f t="shared" ref="S148" si="718">R148/100000</f>
        <v>3290.8405300763297</v>
      </c>
      <c r="T148">
        <f t="shared" ref="T148" si="719">S148/1000</f>
        <v>3.2908405300763297</v>
      </c>
    </row>
    <row r="149" spans="1:20" x14ac:dyDescent="0.25">
      <c r="A149" s="5">
        <v>44444</v>
      </c>
      <c r="B149">
        <v>1.657</v>
      </c>
      <c r="C149">
        <v>1.794</v>
      </c>
      <c r="D149">
        <v>1.6120000000000001</v>
      </c>
      <c r="E149">
        <v>1.79</v>
      </c>
      <c r="F149">
        <v>14177645.35</v>
      </c>
      <c r="G149">
        <v>1.79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0.95604395604395598</v>
      </c>
      <c r="Q149">
        <f t="shared" ref="Q149" si="721">F149*P149</f>
        <v>13554452.147802196</v>
      </c>
      <c r="R149">
        <f t="shared" ref="R149" si="722">R150+Q149</f>
        <v>328754495.88893294</v>
      </c>
      <c r="S149">
        <f t="shared" ref="S149" si="723">R149/100000</f>
        <v>3287.5449588893293</v>
      </c>
      <c r="T149">
        <f t="shared" ref="T149" si="724">S149/1000</f>
        <v>3.2875449588893293</v>
      </c>
    </row>
    <row r="150" spans="1:20" x14ac:dyDescent="0.25">
      <c r="A150" s="5">
        <v>44443</v>
      </c>
      <c r="B150">
        <v>1.5349999999999999</v>
      </c>
      <c r="C150">
        <v>1.679</v>
      </c>
      <c r="D150">
        <v>1.526</v>
      </c>
      <c r="E150">
        <v>1.6559999999999999</v>
      </c>
      <c r="F150">
        <v>11777486.25</v>
      </c>
      <c r="G150">
        <v>1.6559999999999999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0.69934640522875646</v>
      </c>
      <c r="Q150">
        <f t="shared" ref="Q150" si="726">F150*P150</f>
        <v>8236542.671568607</v>
      </c>
      <c r="R150">
        <f t="shared" ref="R150" si="727">R151+Q150</f>
        <v>315200043.74113077</v>
      </c>
      <c r="S150">
        <f t="shared" ref="S150" si="728">R150/100000</f>
        <v>3152.0004374113078</v>
      </c>
      <c r="T150">
        <f t="shared" ref="T150" si="729">S150/1000</f>
        <v>3.1520004374113078</v>
      </c>
    </row>
    <row r="151" spans="1:20" x14ac:dyDescent="0.25">
      <c r="A151" s="5">
        <v>44442</v>
      </c>
      <c r="B151">
        <v>1.448</v>
      </c>
      <c r="C151">
        <v>1.585</v>
      </c>
      <c r="D151">
        <v>1.415</v>
      </c>
      <c r="E151">
        <v>1.5349999999999999</v>
      </c>
      <c r="F151">
        <v>14059367.92</v>
      </c>
      <c r="G151">
        <v>1.5349999999999999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0.4117647058823522</v>
      </c>
      <c r="Q151">
        <f t="shared" ref="Q151" si="731">F151*P151</f>
        <v>5789151.496470578</v>
      </c>
      <c r="R151">
        <f t="shared" ref="R151" si="732">R152+Q151</f>
        <v>306963501.06956214</v>
      </c>
      <c r="S151">
        <f t="shared" ref="S151" si="733">R151/100000</f>
        <v>3069.6350106956215</v>
      </c>
      <c r="T151">
        <f t="shared" ref="T151" si="734">S151/1000</f>
        <v>3.0696350106956216</v>
      </c>
    </row>
    <row r="152" spans="1:20" x14ac:dyDescent="0.25">
      <c r="A152" s="5">
        <v>44441</v>
      </c>
      <c r="B152">
        <v>1.423</v>
      </c>
      <c r="C152">
        <v>1.474</v>
      </c>
      <c r="D152">
        <v>1.399</v>
      </c>
      <c r="E152">
        <v>1.4470000000000001</v>
      </c>
      <c r="F152">
        <v>8406140.2300000004</v>
      </c>
      <c r="G152">
        <v>1.4470000000000001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0.28000000000000191</v>
      </c>
      <c r="Q152">
        <f t="shared" ref="Q152" si="736">F152*P152</f>
        <v>2353719.2644000161</v>
      </c>
      <c r="R152">
        <f t="shared" ref="R152" si="737">R153+Q152</f>
        <v>301174349.57309157</v>
      </c>
      <c r="S152">
        <f t="shared" ref="S152" si="738">R152/100000</f>
        <v>3011.7434957309156</v>
      </c>
      <c r="T152">
        <f t="shared" ref="T152" si="739">S152/1000</f>
        <v>3.0117434957309155</v>
      </c>
    </row>
    <row r="153" spans="1:20" x14ac:dyDescent="0.25">
      <c r="A153" s="5">
        <v>44440</v>
      </c>
      <c r="B153">
        <v>1.3260000000000001</v>
      </c>
      <c r="C153">
        <v>1.4390000000000001</v>
      </c>
      <c r="D153">
        <v>1.2829999999999999</v>
      </c>
      <c r="E153">
        <v>1.423</v>
      </c>
      <c r="F153">
        <v>15094576.25</v>
      </c>
      <c r="G153">
        <v>1.423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0.79487179487179482</v>
      </c>
      <c r="Q153">
        <f t="shared" ref="Q153" si="741">F153*P153</f>
        <v>11998252.916666666</v>
      </c>
      <c r="R153">
        <f t="shared" ref="R153" si="742">R154+Q153</f>
        <v>298820630.30869156</v>
      </c>
      <c r="S153">
        <f t="shared" ref="S153" si="743">R153/100000</f>
        <v>2988.2063030869158</v>
      </c>
      <c r="T153">
        <f t="shared" ref="T153" si="744">S153/1000</f>
        <v>2.9882063030869159</v>
      </c>
    </row>
    <row r="154" spans="1:20" x14ac:dyDescent="0.25">
      <c r="A154" s="5">
        <v>44439</v>
      </c>
      <c r="B154">
        <v>1.3220000000000001</v>
      </c>
      <c r="C154">
        <v>1.381</v>
      </c>
      <c r="D154">
        <v>1.272</v>
      </c>
      <c r="E154">
        <v>1.327</v>
      </c>
      <c r="F154">
        <v>10490196.1</v>
      </c>
      <c r="G154">
        <v>1.327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9.1743119266044955E-3</v>
      </c>
      <c r="Q154">
        <f t="shared" ref="Q154" si="746">F154*P154</f>
        <v>96240.331192649959</v>
      </c>
      <c r="R154">
        <f t="shared" ref="R154" si="747">R155+Q154</f>
        <v>286822377.39202487</v>
      </c>
      <c r="S154">
        <f t="shared" ref="S154" si="748">R154/100000</f>
        <v>2868.2237739202487</v>
      </c>
      <c r="T154">
        <f t="shared" ref="T154" si="749">S154/1000</f>
        <v>2.8682237739202487</v>
      </c>
    </row>
    <row r="155" spans="1:20" x14ac:dyDescent="0.25">
      <c r="A155" s="5">
        <v>44438</v>
      </c>
      <c r="B155">
        <v>1.3839999999999999</v>
      </c>
      <c r="C155">
        <v>1.397</v>
      </c>
      <c r="D155">
        <v>1.302</v>
      </c>
      <c r="E155">
        <v>1.321</v>
      </c>
      <c r="F155">
        <v>7818597.4000000004</v>
      </c>
      <c r="G155">
        <v>1.321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-0.60000000000000187</v>
      </c>
      <c r="Q155">
        <f t="shared" ref="Q155" si="751">F155*P155</f>
        <v>-4691158.4400000144</v>
      </c>
      <c r="R155">
        <f t="shared" ref="R155" si="752">R156+Q155</f>
        <v>286726137.0608322</v>
      </c>
      <c r="S155">
        <f t="shared" ref="S155" si="753">R155/100000</f>
        <v>2867.2613706083221</v>
      </c>
      <c r="T155">
        <f t="shared" ref="T155" si="754">S155/1000</f>
        <v>2.8672613706083219</v>
      </c>
    </row>
    <row r="156" spans="1:20" x14ac:dyDescent="0.25">
      <c r="A156" s="5">
        <v>44437</v>
      </c>
      <c r="B156">
        <v>1.4019999999999999</v>
      </c>
      <c r="C156">
        <v>1.421</v>
      </c>
      <c r="D156">
        <v>1.331</v>
      </c>
      <c r="E156">
        <v>1.383</v>
      </c>
      <c r="F156">
        <v>7619732.5999999996</v>
      </c>
      <c r="G156">
        <v>1.383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0.15555555555555556</v>
      </c>
      <c r="Q156">
        <f t="shared" ref="Q156" si="756">F156*P156</f>
        <v>1185291.7377777777</v>
      </c>
      <c r="R156">
        <f t="shared" ref="R156" si="757">R157+Q156</f>
        <v>291417295.5008322</v>
      </c>
      <c r="S156">
        <f t="shared" ref="S156" si="758">R156/100000</f>
        <v>2914.1729550083219</v>
      </c>
      <c r="T156">
        <f t="shared" ref="T156" si="759">S156/1000</f>
        <v>2.914172955008322</v>
      </c>
    </row>
    <row r="157" spans="1:20" x14ac:dyDescent="0.25">
      <c r="A157" s="5">
        <v>44436</v>
      </c>
      <c r="B157">
        <v>1.397</v>
      </c>
      <c r="C157">
        <v>1.4259999999999999</v>
      </c>
      <c r="D157">
        <v>1.36</v>
      </c>
      <c r="E157">
        <v>1.401</v>
      </c>
      <c r="F157">
        <v>7438661.7599999998</v>
      </c>
      <c r="G157">
        <v>1.401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0.24242424242424324</v>
      </c>
      <c r="Q157">
        <f t="shared" ref="Q157" si="761">F157*P157</f>
        <v>1803311.9418181877</v>
      </c>
      <c r="R157">
        <f t="shared" ref="R157" si="762">R158+Q157</f>
        <v>290232003.76305443</v>
      </c>
      <c r="S157">
        <f t="shared" ref="S157" si="763">R157/100000</f>
        <v>2902.3200376305444</v>
      </c>
      <c r="T157">
        <f t="shared" ref="T157" si="764">S157/1000</f>
        <v>2.9023200376305445</v>
      </c>
    </row>
    <row r="158" spans="1:20" x14ac:dyDescent="0.25">
      <c r="A158" s="5">
        <v>44435</v>
      </c>
      <c r="B158">
        <v>1.32</v>
      </c>
      <c r="C158">
        <v>1.397</v>
      </c>
      <c r="D158">
        <v>1.2569999999999999</v>
      </c>
      <c r="E158">
        <v>1.397</v>
      </c>
      <c r="F158">
        <v>9850282.8599999994</v>
      </c>
      <c r="G158">
        <v>1.397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9850282.8599999994</v>
      </c>
      <c r="R158">
        <f t="shared" ref="R158" si="767">R159+Q158</f>
        <v>288428691.82123625</v>
      </c>
      <c r="S158">
        <f t="shared" ref="S158" si="768">R158/100000</f>
        <v>2884.2869182123627</v>
      </c>
      <c r="T158">
        <f t="shared" ref="T158" si="769">S158/1000</f>
        <v>2.8842869182123625</v>
      </c>
    </row>
    <row r="159" spans="1:20" x14ac:dyDescent="0.25">
      <c r="A159" s="5">
        <v>44434</v>
      </c>
      <c r="B159">
        <v>1.4917</v>
      </c>
      <c r="C159">
        <v>1.5218</v>
      </c>
      <c r="D159">
        <v>1.3009999999999999</v>
      </c>
      <c r="E159">
        <v>1.3180000000000001</v>
      </c>
      <c r="F159">
        <v>9937263.9000000004</v>
      </c>
      <c r="G159">
        <v>1.3180000000000001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-0.84601449275362217</v>
      </c>
      <c r="Q159">
        <f t="shared" ref="Q159" si="771">F159*P159</f>
        <v>-8407069.2777173817</v>
      </c>
      <c r="R159">
        <f t="shared" ref="R159" si="772">R160+Q159</f>
        <v>278578408.96123624</v>
      </c>
      <c r="S159">
        <f t="shared" ref="S159" si="773">R159/100000</f>
        <v>2785.7840896123625</v>
      </c>
      <c r="T159">
        <f t="shared" ref="T159" si="774">S159/1000</f>
        <v>2.7857840896123625</v>
      </c>
    </row>
    <row r="160" spans="1:20" x14ac:dyDescent="0.25">
      <c r="A160" s="5">
        <v>44433</v>
      </c>
      <c r="B160">
        <v>1.4359</v>
      </c>
      <c r="C160">
        <v>1.5218</v>
      </c>
      <c r="D160">
        <v>1.365</v>
      </c>
      <c r="E160">
        <v>1.4938</v>
      </c>
      <c r="F160">
        <v>11518601.82</v>
      </c>
      <c r="G160">
        <v>1.4938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0.64285714285714268</v>
      </c>
      <c r="Q160">
        <f t="shared" ref="Q160" si="776">F160*P160</f>
        <v>7404815.4557142835</v>
      </c>
      <c r="R160">
        <f t="shared" ref="R160" si="777">R161+Q160</f>
        <v>286985478.23895365</v>
      </c>
      <c r="S160">
        <f t="shared" ref="S160" si="778">R160/100000</f>
        <v>2869.8547823895365</v>
      </c>
      <c r="T160">
        <f t="shared" ref="T160" si="779">S160/1000</f>
        <v>2.8698547823895364</v>
      </c>
    </row>
    <row r="161" spans="1:20" x14ac:dyDescent="0.25">
      <c r="A161" s="5">
        <v>44432</v>
      </c>
      <c r="B161">
        <v>1.5744</v>
      </c>
      <c r="C161">
        <v>1.5745</v>
      </c>
      <c r="D161">
        <v>1.4158999999999999</v>
      </c>
      <c r="E161">
        <v>1.4367000000000001</v>
      </c>
      <c r="F161">
        <v>15168588.83</v>
      </c>
      <c r="G161">
        <v>1.4367000000000001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-0.73770491803278504</v>
      </c>
      <c r="Q161">
        <f t="shared" ref="Q161" si="781">F161*P161</f>
        <v>-11189942.579508169</v>
      </c>
      <c r="R161">
        <f t="shared" ref="R161" si="782">R162+Q161</f>
        <v>279580662.78323936</v>
      </c>
      <c r="S161">
        <f t="shared" ref="S161" si="783">R161/100000</f>
        <v>2795.8066278323936</v>
      </c>
      <c r="T161">
        <f t="shared" ref="T161" si="784">S161/1000</f>
        <v>2.7958066278323934</v>
      </c>
    </row>
    <row r="162" spans="1:20" x14ac:dyDescent="0.25">
      <c r="A162" s="5">
        <v>44431</v>
      </c>
      <c r="B162">
        <v>1.4847999999999999</v>
      </c>
      <c r="C162">
        <v>1.61</v>
      </c>
      <c r="D162">
        <v>1.462</v>
      </c>
      <c r="E162">
        <v>1.5689</v>
      </c>
      <c r="F162">
        <v>17819914.41</v>
      </c>
      <c r="G162">
        <v>1.5689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0.44459459459459322</v>
      </c>
      <c r="Q162">
        <f t="shared" ref="Q162" si="786">F162*P162</f>
        <v>7922637.6228243001</v>
      </c>
      <c r="R162">
        <f t="shared" ref="R162" si="787">R163+Q162</f>
        <v>290770605.36274755</v>
      </c>
      <c r="S162">
        <f t="shared" ref="S162" si="788">R162/100000</f>
        <v>2907.7060536274753</v>
      </c>
      <c r="T162">
        <f t="shared" ref="T162" si="789">S162/1000</f>
        <v>2.9077060536274755</v>
      </c>
    </row>
    <row r="163" spans="1:20" x14ac:dyDescent="0.25">
      <c r="A163" s="5">
        <v>44430</v>
      </c>
      <c r="B163">
        <v>1.4074</v>
      </c>
      <c r="C163">
        <v>1.4214</v>
      </c>
      <c r="D163">
        <v>1.3716999999999999</v>
      </c>
      <c r="E163">
        <v>1.4113</v>
      </c>
      <c r="F163">
        <v>2496803.59</v>
      </c>
      <c r="G163">
        <v>1.4113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0.5935613682092562</v>
      </c>
      <c r="Q163">
        <f t="shared" ref="Q163" si="791">F163*P163</f>
        <v>1482006.1550301826</v>
      </c>
      <c r="R163">
        <f t="shared" ref="R163" si="792">R164+Q163</f>
        <v>282847967.73992324</v>
      </c>
      <c r="S163">
        <f t="shared" ref="S163" si="793">R163/100000</f>
        <v>2828.4796773992325</v>
      </c>
      <c r="T163">
        <f t="shared" ref="T163" si="794">S163/1000</f>
        <v>2.8284796773992325</v>
      </c>
    </row>
    <row r="164" spans="1:20" x14ac:dyDescent="0.25">
      <c r="A164" s="5">
        <v>44429</v>
      </c>
      <c r="B164">
        <v>1.4358</v>
      </c>
      <c r="C164">
        <v>1.5148999999999999</v>
      </c>
      <c r="D164">
        <v>1.3512</v>
      </c>
      <c r="E164">
        <v>1.4074</v>
      </c>
      <c r="F164">
        <v>17248914.780000001</v>
      </c>
      <c r="G164">
        <v>1.4074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-0.31337813072693899</v>
      </c>
      <c r="Q164">
        <f t="shared" ref="Q164" si="796">F164*P164</f>
        <v>-5405432.6708246702</v>
      </c>
      <c r="R164">
        <f t="shared" ref="R164" si="797">R165+Q164</f>
        <v>281365961.58489305</v>
      </c>
      <c r="S164">
        <f t="shared" ref="S164" si="798">R164/100000</f>
        <v>2813.6596158489306</v>
      </c>
      <c r="T164">
        <f t="shared" ref="T164" si="799">S164/1000</f>
        <v>2.8136596158489304</v>
      </c>
    </row>
    <row r="165" spans="1:20" x14ac:dyDescent="0.25">
      <c r="A165" s="5">
        <v>44428</v>
      </c>
      <c r="B165">
        <v>1.2714000000000001</v>
      </c>
      <c r="C165">
        <v>1.4899</v>
      </c>
      <c r="D165">
        <v>1.2507999999999999</v>
      </c>
      <c r="E165">
        <v>1.4356</v>
      </c>
      <c r="F165">
        <v>15650393.74</v>
      </c>
      <c r="G165">
        <v>1.4356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0.54579673776662485</v>
      </c>
      <c r="Q165">
        <f t="shared" ref="Q165" si="801">F165*P165</f>
        <v>8541933.8480552081</v>
      </c>
      <c r="R165">
        <f t="shared" ref="R165" si="802">R166+Q165</f>
        <v>286771394.25571769</v>
      </c>
      <c r="S165">
        <f t="shared" ref="S165" si="803">R165/100000</f>
        <v>2867.7139425571768</v>
      </c>
      <c r="T165">
        <f t="shared" ref="T165" si="804">S165/1000</f>
        <v>2.8677139425571769</v>
      </c>
    </row>
    <row r="166" spans="1:20" x14ac:dyDescent="0.25">
      <c r="A166" s="5">
        <v>44427</v>
      </c>
      <c r="B166">
        <v>1.1682999999999999</v>
      </c>
      <c r="C166">
        <v>1.2735000000000001</v>
      </c>
      <c r="D166">
        <v>1.1378999999999999</v>
      </c>
      <c r="E166">
        <v>1.2727999999999999</v>
      </c>
      <c r="F166">
        <v>8365702.46</v>
      </c>
      <c r="G166">
        <v>1.2727999999999999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0.9896755162241867</v>
      </c>
      <c r="Q166">
        <f t="shared" ref="Q166" si="806">F166*P166</f>
        <v>8279330.9006784484</v>
      </c>
      <c r="R166">
        <f t="shared" ref="R166" si="807">R167+Q166</f>
        <v>278229460.40766251</v>
      </c>
      <c r="S166">
        <f t="shared" ref="S166" si="808">R166/100000</f>
        <v>2782.2946040766251</v>
      </c>
      <c r="T166">
        <f t="shared" ref="T166" si="809">S166/1000</f>
        <v>2.782294604076625</v>
      </c>
    </row>
    <row r="167" spans="1:20" x14ac:dyDescent="0.25">
      <c r="A167" s="5">
        <v>44426</v>
      </c>
      <c r="B167">
        <v>1.1763999999999999</v>
      </c>
      <c r="C167">
        <v>1.2074</v>
      </c>
      <c r="D167">
        <v>1.0982000000000001</v>
      </c>
      <c r="E167">
        <v>1.1708000000000001</v>
      </c>
      <c r="F167">
        <v>7774908.1799999997</v>
      </c>
      <c r="G167">
        <v>1.1708000000000001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0.32967032967033005</v>
      </c>
      <c r="Q167">
        <f t="shared" ref="Q167" si="811">F167*P167</f>
        <v>2563156.5428571459</v>
      </c>
      <c r="R167">
        <f t="shared" ref="R167" si="812">R168+Q167</f>
        <v>269950129.50698406</v>
      </c>
      <c r="S167">
        <f t="shared" ref="S167" si="813">R167/100000</f>
        <v>2699.5012950698406</v>
      </c>
      <c r="T167">
        <f t="shared" ref="T167" si="814">S167/1000</f>
        <v>2.6995012950698407</v>
      </c>
    </row>
    <row r="168" spans="1:20" x14ac:dyDescent="0.25">
      <c r="A168" s="5">
        <v>44425</v>
      </c>
      <c r="B168">
        <v>1.2749999999999999</v>
      </c>
      <c r="C168">
        <v>1.3166</v>
      </c>
      <c r="D168">
        <v>1.1614</v>
      </c>
      <c r="E168">
        <v>1.1762999999999999</v>
      </c>
      <c r="F168">
        <v>13332940.99</v>
      </c>
      <c r="G168">
        <v>1.1762999999999999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-0.80798969072165061</v>
      </c>
      <c r="Q168">
        <f t="shared" ref="Q168" si="816">F168*P168</f>
        <v>-10772878.866920119</v>
      </c>
      <c r="R168">
        <f t="shared" ref="R168" si="817">R169+Q168</f>
        <v>267386972.96412688</v>
      </c>
      <c r="S168">
        <f t="shared" ref="S168" si="818">R168/100000</f>
        <v>2673.8697296412688</v>
      </c>
      <c r="T168">
        <f t="shared" ref="T168" si="819">S168/1000</f>
        <v>2.673869729641269</v>
      </c>
    </row>
    <row r="169" spans="1:20" x14ac:dyDescent="0.25">
      <c r="A169" s="5">
        <v>44424</v>
      </c>
      <c r="B169">
        <v>1.26</v>
      </c>
      <c r="C169">
        <v>1.3727</v>
      </c>
      <c r="D169">
        <v>1.2421</v>
      </c>
      <c r="E169">
        <v>1.2746999999999999</v>
      </c>
      <c r="F169">
        <v>16977605.640000001</v>
      </c>
      <c r="G169">
        <v>1.2746999999999999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-0.50076569678407423</v>
      </c>
      <c r="Q169">
        <f t="shared" ref="Q169" si="821">F169*P169</f>
        <v>-8501802.5180398282</v>
      </c>
      <c r="R169">
        <f t="shared" ref="R169" si="822">R170+Q169</f>
        <v>278159851.831047</v>
      </c>
      <c r="S169">
        <f t="shared" ref="S169" si="823">R169/100000</f>
        <v>2781.5985183104699</v>
      </c>
      <c r="T169">
        <f t="shared" ref="T169" si="824">S169/1000</f>
        <v>2.7815985183104699</v>
      </c>
    </row>
    <row r="170" spans="1:20" x14ac:dyDescent="0.25">
      <c r="A170" s="5">
        <v>44423</v>
      </c>
      <c r="B170">
        <v>1.2514000000000001</v>
      </c>
      <c r="C170">
        <v>1.2866</v>
      </c>
      <c r="D170">
        <v>1.1906000000000001</v>
      </c>
      <c r="E170">
        <v>1.26</v>
      </c>
      <c r="F170">
        <v>8869487.3100000005</v>
      </c>
      <c r="G170">
        <v>1.26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0.44583333333333341</v>
      </c>
      <c r="Q170">
        <f t="shared" ref="Q170" si="826">F170*P170</f>
        <v>3954313.0923750009</v>
      </c>
      <c r="R170">
        <f t="shared" ref="R170" si="827">R171+Q170</f>
        <v>286661654.34908682</v>
      </c>
      <c r="S170">
        <f t="shared" ref="S170" si="828">R170/100000</f>
        <v>2866.616543490868</v>
      </c>
      <c r="T170">
        <f t="shared" ref="T170" si="829">S170/1000</f>
        <v>2.8666165434908679</v>
      </c>
    </row>
    <row r="171" spans="1:20" x14ac:dyDescent="0.25">
      <c r="A171" s="5">
        <v>44422</v>
      </c>
      <c r="B171">
        <v>1.2274</v>
      </c>
      <c r="C171">
        <v>1.2629999999999999</v>
      </c>
      <c r="D171">
        <v>1.1704000000000001</v>
      </c>
      <c r="E171">
        <v>1.25</v>
      </c>
      <c r="F171">
        <v>8944622.7100000009</v>
      </c>
      <c r="G171">
        <v>1.25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0.71922246220302533</v>
      </c>
      <c r="Q171">
        <f t="shared" ref="Q171" si="831">F171*P171</f>
        <v>6433173.5689632976</v>
      </c>
      <c r="R171">
        <f t="shared" ref="R171" si="832">R172+Q171</f>
        <v>282707341.25671184</v>
      </c>
      <c r="S171">
        <f t="shared" ref="S171" si="833">R171/100000</f>
        <v>2827.0734125671183</v>
      </c>
      <c r="T171">
        <f t="shared" ref="T171" si="834">S171/1000</f>
        <v>2.8270734125671182</v>
      </c>
    </row>
    <row r="172" spans="1:20" x14ac:dyDescent="0.25">
      <c r="A172" s="5">
        <v>44421</v>
      </c>
      <c r="B172">
        <v>1.1246</v>
      </c>
      <c r="C172">
        <v>1.228</v>
      </c>
      <c r="D172">
        <v>1.1085</v>
      </c>
      <c r="E172">
        <v>1.2274</v>
      </c>
      <c r="F172">
        <v>6049392.1500000004</v>
      </c>
      <c r="G172">
        <v>1.2274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0.98995815899581696</v>
      </c>
      <c r="Q172">
        <f t="shared" ref="Q172" si="836">F172*P172</f>
        <v>5988645.1158577474</v>
      </c>
      <c r="R172">
        <f t="shared" ref="R172" si="837">R173+Q172</f>
        <v>276274167.68774855</v>
      </c>
      <c r="S172">
        <f t="shared" ref="S172" si="838">R172/100000</f>
        <v>2762.7416768774856</v>
      </c>
      <c r="T172">
        <f t="shared" ref="T172" si="839">S172/1000</f>
        <v>2.7627416768774857</v>
      </c>
    </row>
    <row r="173" spans="1:20" x14ac:dyDescent="0.25">
      <c r="A173" s="5">
        <v>44420</v>
      </c>
      <c r="B173">
        <v>1.1809000000000001</v>
      </c>
      <c r="C173">
        <v>1.2377</v>
      </c>
      <c r="D173">
        <v>1.0802</v>
      </c>
      <c r="E173">
        <v>1.1255999999999999</v>
      </c>
      <c r="F173">
        <v>10058363.65</v>
      </c>
      <c r="G173">
        <v>1.1255999999999999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-0.42349206349206486</v>
      </c>
      <c r="Q173">
        <f t="shared" ref="Q173" si="841">F173*P173</f>
        <v>-4259637.1774920775</v>
      </c>
      <c r="R173">
        <f t="shared" ref="R173" si="842">R174+Q173</f>
        <v>270285522.57189083</v>
      </c>
      <c r="S173">
        <f t="shared" ref="S173" si="843">R173/100000</f>
        <v>2702.8552257189085</v>
      </c>
      <c r="T173">
        <f t="shared" ref="T173" si="844">S173/1000</f>
        <v>2.7028552257189085</v>
      </c>
    </row>
    <row r="174" spans="1:20" x14ac:dyDescent="0.25">
      <c r="A174" s="5">
        <v>44419</v>
      </c>
      <c r="B174">
        <v>1.1237999999999999</v>
      </c>
      <c r="C174">
        <v>1.2496</v>
      </c>
      <c r="D174">
        <v>1.1093</v>
      </c>
      <c r="E174">
        <v>1.1789000000000001</v>
      </c>
      <c r="F174">
        <v>15483987.060000001</v>
      </c>
      <c r="G174">
        <v>1.1789000000000001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-7.8403421240190885E-3</v>
      </c>
      <c r="Q174">
        <f t="shared" ref="Q174" si="846">F174*P174</f>
        <v>-121399.75599428448</v>
      </c>
      <c r="R174">
        <f t="shared" ref="R174" si="847">R175+Q174</f>
        <v>274545159.74938291</v>
      </c>
      <c r="S174">
        <f t="shared" ref="S174" si="848">R174/100000</f>
        <v>2745.451597493829</v>
      </c>
      <c r="T174">
        <f t="shared" ref="T174" si="849">S174/1000</f>
        <v>2.7454515974938292</v>
      </c>
    </row>
    <row r="175" spans="1:20" x14ac:dyDescent="0.25">
      <c r="A175" s="5">
        <v>44418</v>
      </c>
      <c r="B175">
        <v>1.1153</v>
      </c>
      <c r="C175">
        <v>1.1695</v>
      </c>
      <c r="D175">
        <v>1.0629999999999999</v>
      </c>
      <c r="E175">
        <v>1.1238999999999999</v>
      </c>
      <c r="F175">
        <v>10068001.83</v>
      </c>
      <c r="G175">
        <v>1.1238999999999999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0.14366197183098464</v>
      </c>
      <c r="Q175">
        <f t="shared" ref="Q175" si="851">F175*P175</f>
        <v>1446388.9952957619</v>
      </c>
      <c r="R175">
        <f t="shared" ref="R175" si="852">R176+Q175</f>
        <v>274666559.50537717</v>
      </c>
      <c r="S175">
        <f t="shared" ref="S175" si="853">R175/100000</f>
        <v>2746.6655950537715</v>
      </c>
      <c r="T175">
        <f t="shared" ref="T175" si="854">S175/1000</f>
        <v>2.7466655950537717</v>
      </c>
    </row>
    <row r="176" spans="1:20" x14ac:dyDescent="0.25">
      <c r="A176" s="5">
        <v>44417</v>
      </c>
      <c r="B176">
        <v>1.0561</v>
      </c>
      <c r="C176">
        <v>1.1166</v>
      </c>
      <c r="D176">
        <v>1.0042</v>
      </c>
      <c r="E176">
        <v>1.1142000000000001</v>
      </c>
      <c r="F176">
        <v>9648287.75</v>
      </c>
      <c r="G176">
        <v>1.1142000000000001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0.95729537366548123</v>
      </c>
      <c r="Q176">
        <f t="shared" ref="Q176" si="856">F176*P176</f>
        <v>9236261.2268683352</v>
      </c>
      <c r="R176">
        <f t="shared" ref="R176" si="857">R177+Q176</f>
        <v>273220170.51008141</v>
      </c>
      <c r="S176">
        <f t="shared" ref="S176" si="858">R176/100000</f>
        <v>2732.2017051008143</v>
      </c>
      <c r="T176">
        <f t="shared" ref="T176" si="859">S176/1000</f>
        <v>2.7322017051008141</v>
      </c>
    </row>
    <row r="177" spans="1:20" x14ac:dyDescent="0.25">
      <c r="A177" s="5">
        <v>44416</v>
      </c>
      <c r="B177">
        <v>1.1241000000000001</v>
      </c>
      <c r="C177">
        <v>1.1532</v>
      </c>
      <c r="D177">
        <v>1.0384</v>
      </c>
      <c r="E177">
        <v>1.0552999999999999</v>
      </c>
      <c r="F177">
        <v>8156850.1500000004</v>
      </c>
      <c r="G177">
        <v>1.0552999999999999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-0.70557491289198759</v>
      </c>
      <c r="Q177">
        <f t="shared" ref="Q177" si="861">F177*P177</f>
        <v>-5755268.8340592459</v>
      </c>
      <c r="R177">
        <f t="shared" ref="R177" si="862">R178+Q177</f>
        <v>263983909.28321308</v>
      </c>
      <c r="S177">
        <f t="shared" ref="S177" si="863">R177/100000</f>
        <v>2639.839092832131</v>
      </c>
      <c r="T177">
        <f t="shared" ref="T177" si="864">S177/1000</f>
        <v>2.6398390928321311</v>
      </c>
    </row>
    <row r="178" spans="1:20" x14ac:dyDescent="0.25">
      <c r="A178" s="5">
        <v>44415</v>
      </c>
      <c r="B178">
        <v>1.1075999999999999</v>
      </c>
      <c r="C178">
        <v>1.1695</v>
      </c>
      <c r="D178">
        <v>1.0770999999999999</v>
      </c>
      <c r="E178">
        <v>1.1256999999999999</v>
      </c>
      <c r="F178">
        <v>7331317.71</v>
      </c>
      <c r="G178">
        <v>1.1256999999999999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5.1948051948051015E-2</v>
      </c>
      <c r="Q178">
        <f t="shared" ref="Q178" si="866">F178*P178</f>
        <v>380847.67324674642</v>
      </c>
      <c r="R178">
        <f t="shared" ref="R178" si="867">R179+Q178</f>
        <v>269739178.11727232</v>
      </c>
      <c r="S178">
        <f t="shared" ref="S178" si="868">R178/100000</f>
        <v>2697.3917811727233</v>
      </c>
      <c r="T178">
        <f t="shared" ref="T178" si="869">S178/1000</f>
        <v>2.6973917811727235</v>
      </c>
    </row>
    <row r="179" spans="1:20" x14ac:dyDescent="0.25">
      <c r="A179" s="5">
        <v>44414</v>
      </c>
      <c r="B179">
        <v>1.0632999999999999</v>
      </c>
      <c r="C179">
        <v>1.1080000000000001</v>
      </c>
      <c r="D179">
        <v>1.0363</v>
      </c>
      <c r="E179">
        <v>1.1064000000000001</v>
      </c>
      <c r="F179">
        <v>5914583.6200000001</v>
      </c>
      <c r="G179">
        <v>1.1064000000000001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0.95536959553695833</v>
      </c>
      <c r="Q179">
        <f t="shared" ref="Q179" si="871">F179*P179</f>
        <v>5650613.3608089192</v>
      </c>
      <c r="R179">
        <f t="shared" ref="R179" si="872">R180+Q179</f>
        <v>269358330.44402558</v>
      </c>
      <c r="S179">
        <f t="shared" ref="S179" si="873">R179/100000</f>
        <v>2693.5833044402557</v>
      </c>
      <c r="T179">
        <f t="shared" ref="T179" si="874">S179/1000</f>
        <v>2.6935833044402555</v>
      </c>
    </row>
    <row r="180" spans="1:20" x14ac:dyDescent="0.25">
      <c r="A180" s="5">
        <v>44413</v>
      </c>
      <c r="B180">
        <v>1.0487</v>
      </c>
      <c r="C180">
        <v>1.1446000000000001</v>
      </c>
      <c r="D180">
        <v>1.0065</v>
      </c>
      <c r="E180">
        <v>1.0637000000000001</v>
      </c>
      <c r="F180">
        <v>11676466.08</v>
      </c>
      <c r="G180">
        <v>1.0637000000000001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-0.17161477190441574</v>
      </c>
      <c r="Q180">
        <f t="shared" ref="Q180" si="876">F180*P180</f>
        <v>-2003854.0629688473</v>
      </c>
      <c r="R180">
        <f t="shared" ref="R180" si="877">R181+Q180</f>
        <v>263707717.08321664</v>
      </c>
      <c r="S180">
        <f t="shared" ref="S180" si="878">R180/100000</f>
        <v>2637.0771708321663</v>
      </c>
      <c r="T180">
        <f t="shared" ref="T180" si="879">S180/1000</f>
        <v>2.6370771708321663</v>
      </c>
    </row>
    <row r="181" spans="1:20" x14ac:dyDescent="0.25">
      <c r="A181" s="5">
        <v>44412</v>
      </c>
      <c r="B181">
        <v>1.0116000000000001</v>
      </c>
      <c r="C181">
        <v>1.0489999999999999</v>
      </c>
      <c r="D181">
        <v>0.96399999999999997</v>
      </c>
      <c r="E181">
        <v>1.0488999999999999</v>
      </c>
      <c r="F181">
        <v>6394312.5999999996</v>
      </c>
      <c r="G181">
        <v>1.0488999999999999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0.99764705882352966</v>
      </c>
      <c r="Q181">
        <f t="shared" ref="Q181" si="881">F181*P181</f>
        <v>6379267.1585882362</v>
      </c>
      <c r="R181">
        <f t="shared" ref="R181" si="882">R182+Q181</f>
        <v>265711571.14618549</v>
      </c>
      <c r="S181">
        <f t="shared" ref="S181" si="883">R181/100000</f>
        <v>2657.115711461855</v>
      </c>
      <c r="T181">
        <f t="shared" ref="T181" si="884">S181/1000</f>
        <v>2.6571157114618549</v>
      </c>
    </row>
    <row r="182" spans="1:20" x14ac:dyDescent="0.25">
      <c r="A182" s="5">
        <v>44411</v>
      </c>
      <c r="B182">
        <v>1.0246</v>
      </c>
      <c r="C182">
        <v>1.0775999999999999</v>
      </c>
      <c r="D182">
        <v>0.95540000000000003</v>
      </c>
      <c r="E182">
        <v>1.0121</v>
      </c>
      <c r="F182">
        <v>9234386.8900000006</v>
      </c>
      <c r="G182">
        <v>1.0121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-7.2013093289688454E-2</v>
      </c>
      <c r="Q182">
        <f t="shared" ref="Q182" si="886">F182*P182</f>
        <v>-664996.76458264608</v>
      </c>
      <c r="R182">
        <f t="shared" ref="R182" si="887">R183+Q182</f>
        <v>259332303.98759726</v>
      </c>
      <c r="S182">
        <f t="shared" ref="S182" si="888">R182/100000</f>
        <v>2593.3230398759724</v>
      </c>
      <c r="T182">
        <f t="shared" ref="T182" si="889">S182/1000</f>
        <v>2.5933230398759726</v>
      </c>
    </row>
    <row r="183" spans="1:20" x14ac:dyDescent="0.25">
      <c r="A183" s="5">
        <v>44410</v>
      </c>
      <c r="B183">
        <v>0.99080000000000001</v>
      </c>
      <c r="C183">
        <v>1.0248999999999999</v>
      </c>
      <c r="D183">
        <v>0.94369999999999998</v>
      </c>
      <c r="E183">
        <v>1.0239</v>
      </c>
      <c r="F183">
        <v>9956100.4299999997</v>
      </c>
      <c r="G183">
        <v>1.0239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0.97536945812808151</v>
      </c>
      <c r="Q183">
        <f t="shared" ref="Q183" si="891">F183*P183</f>
        <v>9710876.2814778592</v>
      </c>
      <c r="R183">
        <f t="shared" ref="R183" si="892">R184+Q183</f>
        <v>259997300.75217989</v>
      </c>
      <c r="S183">
        <f t="shared" ref="S183" si="893">R183/100000</f>
        <v>2599.973007521799</v>
      </c>
      <c r="T183">
        <f t="shared" ref="T183" si="894">S183/1000</f>
        <v>2.5999730075217991</v>
      </c>
    </row>
    <row r="184" spans="1:20" x14ac:dyDescent="0.25">
      <c r="A184" s="5">
        <v>44409</v>
      </c>
      <c r="B184">
        <v>1.0019</v>
      </c>
      <c r="C184">
        <v>1.0896999999999999</v>
      </c>
      <c r="D184">
        <v>0.97109999999999996</v>
      </c>
      <c r="E184">
        <v>0.99199999999999999</v>
      </c>
      <c r="F184">
        <v>12960985.27</v>
      </c>
      <c r="G184">
        <v>0.99199999999999999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-0.64755480607082561</v>
      </c>
      <c r="Q184">
        <f t="shared" ref="Q184" si="896">F184*P184</f>
        <v>-8392948.3030016776</v>
      </c>
      <c r="R184">
        <f t="shared" ref="R184" si="897">R185+Q184</f>
        <v>250286424.47070202</v>
      </c>
      <c r="S184">
        <f t="shared" ref="S184" si="898">R184/100000</f>
        <v>2502.8642447070201</v>
      </c>
      <c r="T184">
        <f t="shared" ref="T184" si="899">S184/1000</f>
        <v>2.5028642447070202</v>
      </c>
    </row>
    <row r="185" spans="1:20" x14ac:dyDescent="0.25">
      <c r="A185" s="5">
        <v>44408</v>
      </c>
      <c r="B185">
        <v>0.98970000000000002</v>
      </c>
      <c r="C185">
        <v>1.0289999999999999</v>
      </c>
      <c r="D185">
        <v>0.95750000000000002</v>
      </c>
      <c r="E185">
        <v>1.0024</v>
      </c>
      <c r="F185">
        <v>11391072.970000001</v>
      </c>
      <c r="G185">
        <v>1.0024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0.25594405594405606</v>
      </c>
      <c r="Q185">
        <f t="shared" ref="Q185" si="901">F185*P185</f>
        <v>2915477.4174965052</v>
      </c>
      <c r="R185">
        <f t="shared" ref="R185" si="902">R186+Q185</f>
        <v>258679372.77370369</v>
      </c>
      <c r="S185">
        <f t="shared" ref="S185" si="903">R185/100000</f>
        <v>2586.793727737037</v>
      </c>
      <c r="T185">
        <f t="shared" ref="T185" si="904">S185/1000</f>
        <v>2.586793727737037</v>
      </c>
    </row>
    <row r="186" spans="1:20" x14ac:dyDescent="0.25">
      <c r="A186" s="5">
        <v>44407</v>
      </c>
      <c r="B186">
        <v>0.9194</v>
      </c>
      <c r="C186">
        <v>1</v>
      </c>
      <c r="D186">
        <v>0.88049999999999995</v>
      </c>
      <c r="E186">
        <v>0.98880000000000001</v>
      </c>
      <c r="F186">
        <v>13014432.539999999</v>
      </c>
      <c r="G186">
        <v>0.98880000000000001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0.81255230125523037</v>
      </c>
      <c r="Q186">
        <f t="shared" ref="Q186" si="906">F186*P186</f>
        <v>10574907.109907953</v>
      </c>
      <c r="R186">
        <f t="shared" ref="R186" si="907">R187+Q186</f>
        <v>255763895.35620719</v>
      </c>
      <c r="S186">
        <f t="shared" ref="S186" si="908">R186/100000</f>
        <v>2557.6389535620719</v>
      </c>
      <c r="T186">
        <f t="shared" ref="T186" si="909">S186/1000</f>
        <v>2.5576389535620718</v>
      </c>
    </row>
    <row r="187" spans="1:20" x14ac:dyDescent="0.25">
      <c r="A187" s="5">
        <v>44406</v>
      </c>
      <c r="B187">
        <v>0.86850000000000005</v>
      </c>
      <c r="C187">
        <v>0.96</v>
      </c>
      <c r="D187">
        <v>0.84770000000000001</v>
      </c>
      <c r="E187">
        <v>0.91879999999999995</v>
      </c>
      <c r="F187">
        <v>19706916.760000002</v>
      </c>
      <c r="G187">
        <v>0.91879999999999995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0.2662511130899371</v>
      </c>
      <c r="Q187">
        <f t="shared" ref="Q187" si="911">F187*P187</f>
        <v>5246988.522920737</v>
      </c>
      <c r="R187">
        <f t="shared" ref="R187" si="912">R188+Q187</f>
        <v>245188988.24629924</v>
      </c>
      <c r="S187">
        <f t="shared" ref="S187" si="913">R187/100000</f>
        <v>2451.8898824629923</v>
      </c>
      <c r="T187">
        <f t="shared" ref="T187" si="914">S187/1000</f>
        <v>2.4518898824629924</v>
      </c>
    </row>
    <row r="188" spans="1:20" x14ac:dyDescent="0.25">
      <c r="A188" s="5">
        <v>44405</v>
      </c>
      <c r="B188">
        <v>0.86709999999999998</v>
      </c>
      <c r="C188">
        <v>0.88290000000000002</v>
      </c>
      <c r="D188">
        <v>0.83499999999999996</v>
      </c>
      <c r="E188">
        <v>0.86829999999999996</v>
      </c>
      <c r="F188">
        <v>6116862.1799999997</v>
      </c>
      <c r="G188">
        <v>0.86829999999999996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0.39039665970772269</v>
      </c>
      <c r="Q188">
        <f t="shared" ref="Q188" si="916">F188*P188</f>
        <v>2388002.5629644985</v>
      </c>
      <c r="R188">
        <f t="shared" ref="R188" si="917">R189+Q188</f>
        <v>239941999.72337851</v>
      </c>
      <c r="S188">
        <f t="shared" ref="S188" si="918">R188/100000</f>
        <v>2399.4199972337851</v>
      </c>
      <c r="T188">
        <f t="shared" ref="T188" si="919">S188/1000</f>
        <v>2.3994199972337853</v>
      </c>
    </row>
    <row r="189" spans="1:20" x14ac:dyDescent="0.25">
      <c r="A189" s="5">
        <v>44404</v>
      </c>
      <c r="B189">
        <v>0.83720000000000006</v>
      </c>
      <c r="C189">
        <v>0.87960000000000005</v>
      </c>
      <c r="D189">
        <v>0.81299999999999994</v>
      </c>
      <c r="E189">
        <v>0.86770000000000003</v>
      </c>
      <c r="F189">
        <v>6820459.9900000002</v>
      </c>
      <c r="G189">
        <v>0.86770000000000003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0.64264264264264259</v>
      </c>
      <c r="Q189">
        <f t="shared" ref="Q189" si="921">F189*P189</f>
        <v>4383118.4320120122</v>
      </c>
      <c r="R189">
        <f t="shared" ref="R189" si="922">R190+Q189</f>
        <v>237553997.16041401</v>
      </c>
      <c r="S189">
        <f t="shared" ref="S189" si="923">R189/100000</f>
        <v>2375.5399716041402</v>
      </c>
      <c r="T189">
        <f t="shared" ref="T189" si="924">S189/1000</f>
        <v>2.3755399716041401</v>
      </c>
    </row>
    <row r="190" spans="1:20" x14ac:dyDescent="0.25">
      <c r="A190" s="5">
        <v>44403</v>
      </c>
      <c r="B190">
        <v>0.82630000000000003</v>
      </c>
      <c r="C190">
        <v>0.88529999999999998</v>
      </c>
      <c r="D190">
        <v>0.81850000000000001</v>
      </c>
      <c r="E190">
        <v>0.83879999999999999</v>
      </c>
      <c r="F190">
        <v>11387780.84</v>
      </c>
      <c r="G190">
        <v>0.83879999999999999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-0.39221556886227565</v>
      </c>
      <c r="Q190">
        <f t="shared" ref="Q190" si="926">F190*P190</f>
        <v>-4466464.9402395235</v>
      </c>
      <c r="R190">
        <f t="shared" ref="R190" si="927">R191+Q190</f>
        <v>233170878.72840199</v>
      </c>
      <c r="S190">
        <f t="shared" ref="S190" si="928">R190/100000</f>
        <v>2331.7087872840198</v>
      </c>
      <c r="T190">
        <f t="shared" ref="T190" si="929">S190/1000</f>
        <v>2.3317087872840196</v>
      </c>
    </row>
    <row r="191" spans="1:20" x14ac:dyDescent="0.25">
      <c r="A191" s="5">
        <v>44402</v>
      </c>
      <c r="B191">
        <v>0.80789999999999995</v>
      </c>
      <c r="C191">
        <v>0.82979999999999998</v>
      </c>
      <c r="D191">
        <v>0.77500000000000002</v>
      </c>
      <c r="E191">
        <v>0.82589999999999997</v>
      </c>
      <c r="F191">
        <v>5303832.51</v>
      </c>
      <c r="G191">
        <v>0.82589999999999997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0.85766423357664168</v>
      </c>
      <c r="Q191">
        <f t="shared" ref="Q191" si="931">F191*P191</f>
        <v>4548907.4447080251</v>
      </c>
      <c r="R191">
        <f t="shared" ref="R191" si="932">R192+Q191</f>
        <v>237637343.66864151</v>
      </c>
      <c r="S191">
        <f t="shared" ref="S191" si="933">R191/100000</f>
        <v>2376.3734366864151</v>
      </c>
      <c r="T191">
        <f t="shared" ref="T191:T197" si="934">S191/1000</f>
        <v>2.3763734366864151</v>
      </c>
    </row>
    <row r="192" spans="1:20" x14ac:dyDescent="0.25">
      <c r="A192" s="5">
        <v>44401</v>
      </c>
      <c r="B192">
        <v>0.79730000000000001</v>
      </c>
      <c r="C192">
        <v>0.82379999999999998</v>
      </c>
      <c r="D192">
        <v>0.78010000000000002</v>
      </c>
      <c r="E192">
        <v>0.8075</v>
      </c>
      <c r="F192">
        <v>5333145.8600000003</v>
      </c>
      <c r="G192">
        <v>0.8075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0.25400457665903908</v>
      </c>
      <c r="Q192">
        <f t="shared" ref="Q192" si="936">F192*P192</f>
        <v>1354643.456430207</v>
      </c>
      <c r="R192">
        <f t="shared" ref="R192" si="937">R193+Q192</f>
        <v>233088436.22393349</v>
      </c>
      <c r="S192">
        <f t="shared" ref="S192" si="938">R192/100000</f>
        <v>2330.8843622393347</v>
      </c>
      <c r="T192">
        <f t="shared" si="934"/>
        <v>2.3308843622393347</v>
      </c>
    </row>
    <row r="193" spans="1:20" x14ac:dyDescent="0.25">
      <c r="A193" s="5">
        <v>44400</v>
      </c>
      <c r="B193">
        <v>0.77110000000000001</v>
      </c>
      <c r="C193">
        <v>0.80220000000000002</v>
      </c>
      <c r="D193">
        <v>0.74529999999999996</v>
      </c>
      <c r="E193">
        <v>0.79820000000000002</v>
      </c>
      <c r="F193">
        <v>5088933.3499999996</v>
      </c>
      <c r="G193">
        <v>0.79820000000000002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0.85940246045694202</v>
      </c>
      <c r="Q193">
        <f t="shared" ref="Q193" si="940">F193*P193</f>
        <v>4373441.8420913881</v>
      </c>
      <c r="R193">
        <f t="shared" ref="R193" si="941">R194+Q193</f>
        <v>231733792.76750329</v>
      </c>
      <c r="S193">
        <f t="shared" ref="S193" si="942">R193/100000</f>
        <v>2317.3379276750329</v>
      </c>
      <c r="T193">
        <f t="shared" si="934"/>
        <v>2.317337927675033</v>
      </c>
    </row>
    <row r="194" spans="1:20" x14ac:dyDescent="0.25">
      <c r="A194" s="5">
        <v>44399</v>
      </c>
      <c r="B194">
        <v>0.74519999999999997</v>
      </c>
      <c r="C194">
        <v>0.78239999999999998</v>
      </c>
      <c r="D194">
        <v>0.73029999999999995</v>
      </c>
      <c r="E194">
        <v>0.77080000000000004</v>
      </c>
      <c r="F194">
        <v>5422416.9699999997</v>
      </c>
      <c r="G194">
        <v>0.77080000000000004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0.55470249520153803</v>
      </c>
      <c r="Q194">
        <f t="shared" ref="Q194" si="944">F194*P194</f>
        <v>3007828.223282163</v>
      </c>
      <c r="R194">
        <f t="shared" ref="R194" si="945">R195+Q194</f>
        <v>227360350.92541191</v>
      </c>
      <c r="S194">
        <f t="shared" ref="S194" si="946">R194/100000</f>
        <v>2273.6035092541192</v>
      </c>
      <c r="T194">
        <f t="shared" si="934"/>
        <v>2.2736035092541194</v>
      </c>
    </row>
    <row r="195" spans="1:20" x14ac:dyDescent="0.25">
      <c r="A195" s="5">
        <v>44398</v>
      </c>
      <c r="B195">
        <v>0.67989999999999995</v>
      </c>
      <c r="C195">
        <v>0.75900000000000001</v>
      </c>
      <c r="D195">
        <v>0.6573</v>
      </c>
      <c r="E195">
        <v>0.74560000000000004</v>
      </c>
      <c r="F195">
        <v>10425663.59</v>
      </c>
      <c r="G195">
        <v>0.74560000000000004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0.73647984267453359</v>
      </c>
      <c r="Q195">
        <f t="shared" ref="Q195" si="948">F195*P195</f>
        <v>7678291.0805408126</v>
      </c>
      <c r="R195">
        <f t="shared" ref="R195" si="949">R196+Q195</f>
        <v>224352522.70212975</v>
      </c>
      <c r="S195">
        <f t="shared" ref="S195" si="950">R195/100000</f>
        <v>2243.5252270212977</v>
      </c>
      <c r="T195">
        <f t="shared" si="934"/>
        <v>2.2435252270212978</v>
      </c>
    </row>
    <row r="196" spans="1:20" x14ac:dyDescent="0.25">
      <c r="A196" s="5">
        <v>44397</v>
      </c>
      <c r="B196">
        <v>0.7288</v>
      </c>
      <c r="C196">
        <v>0.74080000000000001</v>
      </c>
      <c r="D196">
        <v>0.65</v>
      </c>
      <c r="E196">
        <v>0.68069999999999997</v>
      </c>
      <c r="F196">
        <v>7696694.2599999998</v>
      </c>
      <c r="G196">
        <v>0.68069999999999997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-0.32378854625550768</v>
      </c>
      <c r="Q196">
        <f t="shared" ref="Q196" si="952">F196*P196</f>
        <v>-2492101.4454185106</v>
      </c>
      <c r="R196">
        <f t="shared" ref="R196" si="953">R197+Q196</f>
        <v>216674231.62158895</v>
      </c>
      <c r="S196">
        <f t="shared" ref="S196" si="954">R196/100000</f>
        <v>2166.7423162158893</v>
      </c>
      <c r="T196">
        <f t="shared" si="934"/>
        <v>2.1667423162158892</v>
      </c>
    </row>
    <row r="197" spans="1:20" x14ac:dyDescent="0.25">
      <c r="A197" s="5">
        <v>44396</v>
      </c>
      <c r="B197">
        <v>0.76700000000000002</v>
      </c>
      <c r="C197">
        <v>0.77100000000000002</v>
      </c>
      <c r="D197">
        <v>0.71799999999999997</v>
      </c>
      <c r="E197">
        <v>0.72770000000000001</v>
      </c>
      <c r="F197">
        <v>6767530.3099999996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-0.63396226415094215</v>
      </c>
      <c r="Q197">
        <f t="shared" ref="Q197" si="956">F197*P197</f>
        <v>-4290358.8380377274</v>
      </c>
      <c r="R197">
        <f t="shared" ref="R197" si="957">R198+Q197</f>
        <v>219166333.06700745</v>
      </c>
      <c r="S197">
        <f t="shared" ref="S197" si="958">R197/100000</f>
        <v>2191.6633306700746</v>
      </c>
      <c r="T197">
        <f t="shared" si="934"/>
        <v>2.1916633306700746</v>
      </c>
    </row>
    <row r="198" spans="1:20" x14ac:dyDescent="0.25">
      <c r="A198" s="5">
        <v>44395</v>
      </c>
      <c r="B198">
        <v>0.79039999999999999</v>
      </c>
      <c r="C198">
        <v>0.80710000000000004</v>
      </c>
      <c r="D198">
        <v>0.75770000000000004</v>
      </c>
      <c r="E198">
        <v>0.76659999999999995</v>
      </c>
      <c r="F198">
        <v>5247305.46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-0.63967611336032759</v>
      </c>
      <c r="Q198">
        <f t="shared" ref="Q198:Q261" si="960">F198*P198</f>
        <v>-3356575.9622672261</v>
      </c>
      <c r="R198">
        <f t="shared" ref="R198:R261" si="961">R199+Q198</f>
        <v>223456691.90504518</v>
      </c>
      <c r="S198">
        <f t="shared" ref="S198:S261" si="962">R198/100000</f>
        <v>2234.5669190504518</v>
      </c>
      <c r="T198">
        <f t="shared" ref="T198:T261" si="963">S198/1000</f>
        <v>2.2345669190504518</v>
      </c>
    </row>
    <row r="199" spans="1:20" x14ac:dyDescent="0.25">
      <c r="A199" s="5">
        <v>44394</v>
      </c>
      <c r="B199">
        <v>0.73740000000000006</v>
      </c>
      <c r="C199">
        <v>0.81020000000000003</v>
      </c>
      <c r="D199">
        <v>0.72</v>
      </c>
      <c r="E199">
        <v>0.7903</v>
      </c>
      <c r="F199">
        <v>12683974.32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0.55875831485587546</v>
      </c>
      <c r="Q199">
        <f t="shared" si="960"/>
        <v>7087276.1167183993</v>
      </c>
      <c r="R199">
        <f t="shared" si="961"/>
        <v>226813267.8673124</v>
      </c>
      <c r="S199">
        <f t="shared" si="962"/>
        <v>2268.1326786731238</v>
      </c>
      <c r="T199">
        <f t="shared" si="963"/>
        <v>2.268132678673124</v>
      </c>
    </row>
    <row r="200" spans="1:20" x14ac:dyDescent="0.25">
      <c r="A200" s="5">
        <v>44393</v>
      </c>
      <c r="B200">
        <v>0.78779999999999994</v>
      </c>
      <c r="C200">
        <v>0.79979999999999996</v>
      </c>
      <c r="D200">
        <v>0.72660000000000002</v>
      </c>
      <c r="E200">
        <v>0.73709999999999998</v>
      </c>
      <c r="F200">
        <v>6535252.21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-0.71311475409836167</v>
      </c>
      <c r="Q200">
        <f t="shared" si="960"/>
        <v>-4660384.7727049245</v>
      </c>
      <c r="R200">
        <f t="shared" si="961"/>
        <v>219725991.75059399</v>
      </c>
      <c r="S200">
        <f t="shared" si="962"/>
        <v>2197.2599175059399</v>
      </c>
      <c r="T200">
        <f t="shared" si="963"/>
        <v>2.19725991750594</v>
      </c>
    </row>
    <row r="201" spans="1:20" x14ac:dyDescent="0.25">
      <c r="A201" s="5">
        <v>44392</v>
      </c>
      <c r="B201">
        <v>0.83260000000000001</v>
      </c>
      <c r="C201">
        <v>0.84989999999999999</v>
      </c>
      <c r="D201">
        <v>0.7571</v>
      </c>
      <c r="E201">
        <v>0.78680000000000005</v>
      </c>
      <c r="F201">
        <v>7816823.6900000004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-0.35991379310344696</v>
      </c>
      <c r="Q201">
        <f t="shared" si="960"/>
        <v>-2813382.664288783</v>
      </c>
      <c r="R201">
        <f t="shared" si="961"/>
        <v>224386376.52329892</v>
      </c>
      <c r="S201">
        <f t="shared" si="962"/>
        <v>2243.8637652329894</v>
      </c>
      <c r="T201">
        <f t="shared" si="963"/>
        <v>2.2438637652329896</v>
      </c>
    </row>
    <row r="202" spans="1:20" x14ac:dyDescent="0.25">
      <c r="A202" s="5">
        <v>44391</v>
      </c>
      <c r="B202">
        <v>0.85980000000000001</v>
      </c>
      <c r="C202">
        <v>0.87749999999999995</v>
      </c>
      <c r="D202">
        <v>0.76749999999999996</v>
      </c>
      <c r="E202">
        <v>0.83360000000000001</v>
      </c>
      <c r="F202">
        <v>7666926.6399999997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0.20181818181818284</v>
      </c>
      <c r="Q202">
        <f t="shared" si="960"/>
        <v>1547325.1946181895</v>
      </c>
      <c r="R202">
        <f t="shared" si="961"/>
        <v>227199759.18758771</v>
      </c>
      <c r="S202">
        <f t="shared" si="962"/>
        <v>2271.9975918758769</v>
      </c>
      <c r="T202">
        <f t="shared" si="963"/>
        <v>2.271997591875877</v>
      </c>
    </row>
    <row r="203" spans="1:20" x14ac:dyDescent="0.25">
      <c r="A203" s="5">
        <v>44390</v>
      </c>
      <c r="B203">
        <v>0.9093</v>
      </c>
      <c r="C203">
        <v>0.91479999999999995</v>
      </c>
      <c r="D203">
        <v>0.84430000000000005</v>
      </c>
      <c r="E203">
        <v>0.85980000000000001</v>
      </c>
      <c r="F203">
        <v>9410650.5399999991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-0.560283687943263</v>
      </c>
      <c r="Q203">
        <f t="shared" si="960"/>
        <v>-5272633.9904964585</v>
      </c>
      <c r="R203">
        <f t="shared" si="961"/>
        <v>225652433.99296951</v>
      </c>
      <c r="S203">
        <f t="shared" si="962"/>
        <v>2256.5243399296951</v>
      </c>
      <c r="T203">
        <f t="shared" si="963"/>
        <v>2.2565243399296953</v>
      </c>
    </row>
    <row r="204" spans="1:20" x14ac:dyDescent="0.25">
      <c r="A204" s="5">
        <v>44389</v>
      </c>
      <c r="B204">
        <v>0.95169999999999999</v>
      </c>
      <c r="C204">
        <v>0.95289999999999997</v>
      </c>
      <c r="D204">
        <v>0.87549999999999994</v>
      </c>
      <c r="E204">
        <v>0.91039999999999999</v>
      </c>
      <c r="F204">
        <v>12831476.27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-9.8191214470283436E-2</v>
      </c>
      <c r="Q204">
        <f t="shared" si="960"/>
        <v>-1259938.2383979226</v>
      </c>
      <c r="R204">
        <f t="shared" si="961"/>
        <v>230925067.98346597</v>
      </c>
      <c r="S204">
        <f t="shared" si="962"/>
        <v>2309.2506798346599</v>
      </c>
      <c r="T204">
        <f t="shared" si="963"/>
        <v>2.3092506798346597</v>
      </c>
    </row>
    <row r="205" spans="1:20" x14ac:dyDescent="0.25">
      <c r="A205" s="5">
        <v>44388</v>
      </c>
      <c r="B205">
        <v>0.9194</v>
      </c>
      <c r="C205">
        <v>0.9536</v>
      </c>
      <c r="D205">
        <v>0.879</v>
      </c>
      <c r="E205">
        <v>0.95189999999999997</v>
      </c>
      <c r="F205">
        <v>6821365.2000000002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0.95442359249329667</v>
      </c>
      <c r="Q205">
        <f t="shared" si="960"/>
        <v>6510471.8798927553</v>
      </c>
      <c r="R205">
        <f t="shared" si="961"/>
        <v>232185006.2218639</v>
      </c>
      <c r="S205">
        <f t="shared" si="962"/>
        <v>2321.8500622186389</v>
      </c>
      <c r="T205">
        <f t="shared" si="963"/>
        <v>2.3218500622186387</v>
      </c>
    </row>
    <row r="206" spans="1:20" x14ac:dyDescent="0.25">
      <c r="A206" s="5">
        <v>44387</v>
      </c>
      <c r="B206">
        <v>0.97789999999999999</v>
      </c>
      <c r="C206">
        <v>0.97799999999999998</v>
      </c>
      <c r="D206">
        <v>0.8982</v>
      </c>
      <c r="E206">
        <v>0.91839999999999999</v>
      </c>
      <c r="F206">
        <v>7889051.9500000002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-0.49373433583959897</v>
      </c>
      <c r="Q206">
        <f t="shared" si="960"/>
        <v>-3895095.8249373431</v>
      </c>
      <c r="R206">
        <f t="shared" si="961"/>
        <v>225674534.34197113</v>
      </c>
      <c r="S206">
        <f t="shared" si="962"/>
        <v>2256.7453434197114</v>
      </c>
      <c r="T206">
        <f t="shared" si="963"/>
        <v>2.2567453434197113</v>
      </c>
    </row>
    <row r="207" spans="1:20" x14ac:dyDescent="0.25">
      <c r="A207" s="5">
        <v>44386</v>
      </c>
      <c r="B207">
        <v>1.0412999999999999</v>
      </c>
      <c r="C207">
        <v>1.0432999999999999</v>
      </c>
      <c r="D207">
        <v>0.89410000000000001</v>
      </c>
      <c r="E207">
        <v>0.97860000000000003</v>
      </c>
      <c r="F207">
        <v>18314044.280000001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0.13270777479892873</v>
      </c>
      <c r="Q207">
        <f t="shared" si="960"/>
        <v>2430416.0639678491</v>
      </c>
      <c r="R207">
        <f t="shared" si="961"/>
        <v>229569630.16690847</v>
      </c>
      <c r="S207">
        <f t="shared" si="962"/>
        <v>2295.6963016690847</v>
      </c>
      <c r="T207">
        <f t="shared" si="963"/>
        <v>2.2956963016690848</v>
      </c>
    </row>
    <row r="208" spans="1:20" x14ac:dyDescent="0.25">
      <c r="A208" s="5">
        <v>44385</v>
      </c>
      <c r="B208">
        <v>0.92789999999999995</v>
      </c>
      <c r="C208">
        <v>1.0718000000000001</v>
      </c>
      <c r="D208">
        <v>0.90129999999999999</v>
      </c>
      <c r="E208">
        <v>1.0411999999999999</v>
      </c>
      <c r="F208">
        <v>31818282.489999998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0.64105571847507137</v>
      </c>
      <c r="Q208">
        <f t="shared" si="960"/>
        <v>20397291.942269731</v>
      </c>
      <c r="R208">
        <f t="shared" si="961"/>
        <v>227139214.10294062</v>
      </c>
      <c r="S208">
        <f t="shared" si="962"/>
        <v>2271.392141029406</v>
      </c>
      <c r="T208">
        <f t="shared" si="963"/>
        <v>2.271392141029406</v>
      </c>
    </row>
    <row r="209" spans="1:20" x14ac:dyDescent="0.25">
      <c r="A209" s="5">
        <v>44384</v>
      </c>
      <c r="B209">
        <v>0.90149999999999997</v>
      </c>
      <c r="C209">
        <v>0.96989999999999998</v>
      </c>
      <c r="D209">
        <v>0.87190000000000001</v>
      </c>
      <c r="E209">
        <v>0.92830000000000001</v>
      </c>
      <c r="F209">
        <v>7694732.6500000004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0.1510204081632657</v>
      </c>
      <c r="Q209">
        <f t="shared" si="960"/>
        <v>1162061.6655102072</v>
      </c>
      <c r="R209">
        <f t="shared" si="961"/>
        <v>206741922.16067088</v>
      </c>
      <c r="S209">
        <f t="shared" si="962"/>
        <v>2067.4192216067086</v>
      </c>
      <c r="T209">
        <f t="shared" si="963"/>
        <v>2.0674192216067087</v>
      </c>
    </row>
    <row r="210" spans="1:20" x14ac:dyDescent="0.25">
      <c r="A210" s="5">
        <v>44383</v>
      </c>
      <c r="B210">
        <v>0.89859999999999995</v>
      </c>
      <c r="C210">
        <v>0.92030000000000001</v>
      </c>
      <c r="D210">
        <v>0.85599999999999998</v>
      </c>
      <c r="E210">
        <v>0.90210000000000001</v>
      </c>
      <c r="F210">
        <v>9407376.6799999997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0.43390357698289311</v>
      </c>
      <c r="Q210">
        <f t="shared" si="960"/>
        <v>4081894.3914774535</v>
      </c>
      <c r="R210">
        <f t="shared" si="961"/>
        <v>205579860.49516067</v>
      </c>
      <c r="S210">
        <f t="shared" si="962"/>
        <v>2055.7986049516066</v>
      </c>
      <c r="T210">
        <f t="shared" si="963"/>
        <v>2.0557986049516068</v>
      </c>
    </row>
    <row r="211" spans="1:20" x14ac:dyDescent="0.25">
      <c r="A211" s="5">
        <v>44382</v>
      </c>
      <c r="B211">
        <v>0.84919999999999995</v>
      </c>
      <c r="C211">
        <v>0.9153</v>
      </c>
      <c r="D211">
        <v>0.7903</v>
      </c>
      <c r="E211">
        <v>0.89790000000000003</v>
      </c>
      <c r="F211">
        <v>13794217.15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0.72160000000000046</v>
      </c>
      <c r="Q211">
        <f t="shared" si="960"/>
        <v>9953907.0954400059</v>
      </c>
      <c r="R211">
        <f t="shared" si="961"/>
        <v>201497966.1036832</v>
      </c>
      <c r="S211">
        <f t="shared" si="962"/>
        <v>2014.9796610368321</v>
      </c>
      <c r="T211">
        <f t="shared" si="963"/>
        <v>2.0149796610368322</v>
      </c>
    </row>
    <row r="212" spans="1:20" x14ac:dyDescent="0.25">
      <c r="A212" s="5">
        <v>44381</v>
      </c>
      <c r="B212">
        <v>0.83299999999999996</v>
      </c>
      <c r="C212">
        <v>0.86629999999999996</v>
      </c>
      <c r="D212">
        <v>0.79820000000000002</v>
      </c>
      <c r="E212">
        <v>0.85070000000000001</v>
      </c>
      <c r="F212">
        <v>6533958.5300000003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0.54185022026431828</v>
      </c>
      <c r="Q212">
        <f t="shared" si="960"/>
        <v>3540426.8686784212</v>
      </c>
      <c r="R212">
        <f t="shared" si="961"/>
        <v>191544059.0082432</v>
      </c>
      <c r="S212">
        <f t="shared" si="962"/>
        <v>1915.440590082432</v>
      </c>
      <c r="T212">
        <f t="shared" si="963"/>
        <v>1.9154405900824321</v>
      </c>
    </row>
    <row r="213" spans="1:20" x14ac:dyDescent="0.25">
      <c r="A213" s="5">
        <v>44380</v>
      </c>
      <c r="B213">
        <v>0.81720000000000004</v>
      </c>
      <c r="C213">
        <v>0.83850000000000002</v>
      </c>
      <c r="D213">
        <v>0.78739999999999999</v>
      </c>
      <c r="E213">
        <v>0.83330000000000004</v>
      </c>
      <c r="F213">
        <v>5029116.6500000004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0.79647749510763288</v>
      </c>
      <c r="Q213">
        <f t="shared" si="960"/>
        <v>4005578.2319960902</v>
      </c>
      <c r="R213">
        <f t="shared" si="961"/>
        <v>188003632.13956478</v>
      </c>
      <c r="S213">
        <f t="shared" si="962"/>
        <v>1880.0363213956477</v>
      </c>
      <c r="T213">
        <f t="shared" si="963"/>
        <v>1.8800363213956477</v>
      </c>
    </row>
    <row r="214" spans="1:20" x14ac:dyDescent="0.25">
      <c r="A214" s="5">
        <v>44379</v>
      </c>
      <c r="B214">
        <v>0.80359999999999998</v>
      </c>
      <c r="C214">
        <v>0.82</v>
      </c>
      <c r="D214">
        <v>0.75580000000000003</v>
      </c>
      <c r="E214">
        <v>0.81720000000000004</v>
      </c>
      <c r="F214">
        <v>4989149.74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0.91277258566978448</v>
      </c>
      <c r="Q214">
        <f t="shared" si="960"/>
        <v>4553959.1084735328</v>
      </c>
      <c r="R214">
        <f t="shared" si="961"/>
        <v>183998053.90756869</v>
      </c>
      <c r="S214">
        <f t="shared" si="962"/>
        <v>1839.9805390756869</v>
      </c>
      <c r="T214">
        <f t="shared" si="963"/>
        <v>1.8399805390756869</v>
      </c>
    </row>
    <row r="215" spans="1:20" x14ac:dyDescent="0.25">
      <c r="A215" s="5">
        <v>44378</v>
      </c>
      <c r="B215">
        <v>0.83660000000000001</v>
      </c>
      <c r="C215">
        <v>0.84530000000000005</v>
      </c>
      <c r="D215">
        <v>0.77329999999999999</v>
      </c>
      <c r="E215">
        <v>0.80430000000000001</v>
      </c>
      <c r="F215">
        <v>9554425.0600000005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-0.1388888888888889</v>
      </c>
      <c r="Q215">
        <f t="shared" si="960"/>
        <v>-1327003.4805555558</v>
      </c>
      <c r="R215">
        <f t="shared" si="961"/>
        <v>179444094.79909515</v>
      </c>
      <c r="S215">
        <f t="shared" si="962"/>
        <v>1794.4409479909516</v>
      </c>
      <c r="T215">
        <f t="shared" si="963"/>
        <v>1.7944409479909516</v>
      </c>
    </row>
    <row r="216" spans="1:20" x14ac:dyDescent="0.25">
      <c r="A216" s="5">
        <v>44377</v>
      </c>
      <c r="B216">
        <v>0.81979999999999997</v>
      </c>
      <c r="C216">
        <v>0.84370000000000001</v>
      </c>
      <c r="D216">
        <v>0.75</v>
      </c>
      <c r="E216">
        <v>0.83650000000000002</v>
      </c>
      <c r="F216">
        <v>12518112.68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0.84631803628601954</v>
      </c>
      <c r="Q216">
        <f t="shared" si="960"/>
        <v>10594304.541344721</v>
      </c>
      <c r="R216">
        <f t="shared" si="961"/>
        <v>180771098.27965072</v>
      </c>
      <c r="S216">
        <f t="shared" si="962"/>
        <v>1807.7109827965071</v>
      </c>
      <c r="T216">
        <f t="shared" si="963"/>
        <v>1.807710982796507</v>
      </c>
    </row>
    <row r="217" spans="1:20" x14ac:dyDescent="0.25">
      <c r="A217" s="5">
        <v>44376</v>
      </c>
      <c r="B217">
        <v>0.76370000000000005</v>
      </c>
      <c r="C217">
        <v>0.84699999999999998</v>
      </c>
      <c r="D217">
        <v>0.75880000000000003</v>
      </c>
      <c r="E217">
        <v>0.81840000000000002</v>
      </c>
      <c r="F217">
        <v>12143355.449999999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0.35147392290249485</v>
      </c>
      <c r="Q217">
        <f t="shared" si="960"/>
        <v>4268072.7772108903</v>
      </c>
      <c r="R217">
        <f t="shared" si="961"/>
        <v>170176793.73830599</v>
      </c>
      <c r="S217">
        <f t="shared" si="962"/>
        <v>1701.7679373830599</v>
      </c>
      <c r="T217">
        <f t="shared" si="963"/>
        <v>1.7017679373830599</v>
      </c>
    </row>
    <row r="218" spans="1:20" x14ac:dyDescent="0.25">
      <c r="A218" s="5">
        <v>44375</v>
      </c>
      <c r="B218">
        <v>0.7399</v>
      </c>
      <c r="C218">
        <v>0.77329999999999999</v>
      </c>
      <c r="D218">
        <v>0.71889999999999998</v>
      </c>
      <c r="E218">
        <v>0.76319999999999999</v>
      </c>
      <c r="F218">
        <v>13701806.09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0.62867647058823539</v>
      </c>
      <c r="Q218">
        <f t="shared" si="960"/>
        <v>8614003.0933455899</v>
      </c>
      <c r="R218">
        <f t="shared" si="961"/>
        <v>165908720.96109509</v>
      </c>
      <c r="S218">
        <f t="shared" si="962"/>
        <v>1659.087209610951</v>
      </c>
      <c r="T218">
        <f t="shared" si="963"/>
        <v>1.659087209610951</v>
      </c>
    </row>
    <row r="219" spans="1:20" x14ac:dyDescent="0.25">
      <c r="A219" s="5">
        <v>44374</v>
      </c>
      <c r="B219">
        <v>0.72619999999999996</v>
      </c>
      <c r="C219">
        <v>0.74819999999999998</v>
      </c>
      <c r="D219">
        <v>0.68510000000000004</v>
      </c>
      <c r="E219">
        <v>0.73880000000000001</v>
      </c>
      <c r="F219">
        <v>8557998.4600000009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0.70206022187004835</v>
      </c>
      <c r="Q219">
        <f t="shared" si="960"/>
        <v>6008230.297591133</v>
      </c>
      <c r="R219">
        <f t="shared" si="961"/>
        <v>157294717.86774951</v>
      </c>
      <c r="S219">
        <f t="shared" si="962"/>
        <v>1572.9471786774952</v>
      </c>
      <c r="T219">
        <f t="shared" si="963"/>
        <v>1.5729471786774953</v>
      </c>
    </row>
    <row r="220" spans="1:20" x14ac:dyDescent="0.25">
      <c r="A220" s="5">
        <v>44373</v>
      </c>
      <c r="B220">
        <v>0.72470000000000001</v>
      </c>
      <c r="C220">
        <v>0.75549999999999995</v>
      </c>
      <c r="D220">
        <v>0.67379999999999995</v>
      </c>
      <c r="E220">
        <v>0.72589999999999999</v>
      </c>
      <c r="F220">
        <v>11937102.119999999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0.27539779681762638</v>
      </c>
      <c r="Q220">
        <f t="shared" si="960"/>
        <v>3287451.6242350168</v>
      </c>
      <c r="R220">
        <f t="shared" si="961"/>
        <v>151286487.57015839</v>
      </c>
      <c r="S220">
        <f t="shared" si="962"/>
        <v>1512.864875701584</v>
      </c>
      <c r="T220">
        <f t="shared" si="963"/>
        <v>1.5128648757015839</v>
      </c>
    </row>
    <row r="221" spans="1:20" x14ac:dyDescent="0.25">
      <c r="A221" s="5">
        <v>44372</v>
      </c>
      <c r="B221">
        <v>0.81259999999999999</v>
      </c>
      <c r="C221">
        <v>0.82950000000000002</v>
      </c>
      <c r="D221">
        <v>0.71309999999999996</v>
      </c>
      <c r="E221">
        <v>0.72399999999999998</v>
      </c>
      <c r="F221">
        <v>12743873.810000001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-0.81271477663230218</v>
      </c>
      <c r="Q221">
        <f t="shared" si="960"/>
        <v>-10357134.556924397</v>
      </c>
      <c r="R221">
        <f t="shared" si="961"/>
        <v>147999035.94592339</v>
      </c>
      <c r="S221">
        <f t="shared" si="962"/>
        <v>1479.9903594592338</v>
      </c>
      <c r="T221">
        <f t="shared" si="963"/>
        <v>1.4799903594592339</v>
      </c>
    </row>
    <row r="222" spans="1:20" x14ac:dyDescent="0.25">
      <c r="A222" s="5">
        <v>44371</v>
      </c>
      <c r="B222">
        <v>0.78390000000000004</v>
      </c>
      <c r="C222">
        <v>0.83</v>
      </c>
      <c r="D222">
        <v>0.69499999999999995</v>
      </c>
      <c r="E222">
        <v>0.81299999999999994</v>
      </c>
      <c r="F222">
        <v>9938543.7799999993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0.7481481481481479</v>
      </c>
      <c r="Q222">
        <f t="shared" si="960"/>
        <v>7435503.1242962936</v>
      </c>
      <c r="R222">
        <f t="shared" si="961"/>
        <v>158356170.50284779</v>
      </c>
      <c r="S222">
        <f t="shared" si="962"/>
        <v>1583.5617050284779</v>
      </c>
      <c r="T222">
        <f t="shared" si="963"/>
        <v>1.583561705028478</v>
      </c>
    </row>
    <row r="223" spans="1:20" x14ac:dyDescent="0.25">
      <c r="A223" s="5">
        <v>44370</v>
      </c>
      <c r="B223">
        <v>0.71</v>
      </c>
      <c r="C223">
        <v>0.8105</v>
      </c>
      <c r="D223">
        <v>0.68240000000000001</v>
      </c>
      <c r="E223">
        <v>0.78480000000000005</v>
      </c>
      <c r="F223">
        <v>14202634.619999999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0.5987509758001569</v>
      </c>
      <c r="Q223">
        <f t="shared" si="960"/>
        <v>8503841.3376580905</v>
      </c>
      <c r="R223">
        <f t="shared" si="961"/>
        <v>150920667.37855148</v>
      </c>
      <c r="S223">
        <f t="shared" si="962"/>
        <v>1509.2066737855148</v>
      </c>
      <c r="T223">
        <f t="shared" si="963"/>
        <v>1.5092066737855148</v>
      </c>
    </row>
    <row r="224" spans="1:20" x14ac:dyDescent="0.25">
      <c r="A224" s="5">
        <v>44369</v>
      </c>
      <c r="B224">
        <v>0.74370000000000003</v>
      </c>
      <c r="C224">
        <v>0.86560000000000004</v>
      </c>
      <c r="D224">
        <v>0.63200000000000001</v>
      </c>
      <c r="E224">
        <v>0.70930000000000004</v>
      </c>
      <c r="F224">
        <v>27992632.629999999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-0.33818493150684908</v>
      </c>
      <c r="Q224">
        <f t="shared" si="960"/>
        <v>-9466686.5486729387</v>
      </c>
      <c r="R224">
        <f t="shared" si="961"/>
        <v>142416826.04089341</v>
      </c>
      <c r="S224">
        <f t="shared" si="962"/>
        <v>1424.168260408934</v>
      </c>
      <c r="T224">
        <f t="shared" si="963"/>
        <v>1.4241682604089341</v>
      </c>
    </row>
    <row r="225" spans="1:20" x14ac:dyDescent="0.25">
      <c r="A225" s="5">
        <v>44368</v>
      </c>
      <c r="B225">
        <v>0.96060000000000001</v>
      </c>
      <c r="C225">
        <v>0.96609999999999996</v>
      </c>
      <c r="D225">
        <v>0.74199999999999999</v>
      </c>
      <c r="E225">
        <v>0.74409999999999998</v>
      </c>
      <c r="F225">
        <v>18230389.079999998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-0.98125836680053558</v>
      </c>
      <c r="Q225">
        <f t="shared" si="960"/>
        <v>-17888721.814779118</v>
      </c>
      <c r="R225">
        <f t="shared" si="961"/>
        <v>151883512.58956635</v>
      </c>
      <c r="S225">
        <f t="shared" si="962"/>
        <v>1518.8351258956634</v>
      </c>
      <c r="T225">
        <f t="shared" si="963"/>
        <v>1.5188351258956634</v>
      </c>
    </row>
    <row r="226" spans="1:20" x14ac:dyDescent="0.25">
      <c r="A226" s="5">
        <v>44367</v>
      </c>
      <c r="B226">
        <v>0.95409999999999995</v>
      </c>
      <c r="C226">
        <v>0.98719999999999997</v>
      </c>
      <c r="D226">
        <v>0.86980000000000002</v>
      </c>
      <c r="E226">
        <v>0.96060000000000001</v>
      </c>
      <c r="F226">
        <v>11904542.09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0.5468483816013634</v>
      </c>
      <c r="Q226">
        <f t="shared" si="960"/>
        <v>6509979.5756218117</v>
      </c>
      <c r="R226">
        <f t="shared" si="961"/>
        <v>169772234.40434548</v>
      </c>
      <c r="S226">
        <f t="shared" si="962"/>
        <v>1697.7223440434548</v>
      </c>
      <c r="T226">
        <f t="shared" si="963"/>
        <v>1.6977223440434548</v>
      </c>
    </row>
    <row r="227" spans="1:20" x14ac:dyDescent="0.25">
      <c r="A227" s="5">
        <v>44366</v>
      </c>
      <c r="B227">
        <v>0.98629999999999995</v>
      </c>
      <c r="C227">
        <v>1.0391999999999999</v>
      </c>
      <c r="D227">
        <v>0.94</v>
      </c>
      <c r="E227">
        <v>0.95409999999999995</v>
      </c>
      <c r="F227">
        <v>12242999.27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-0.71572580645161277</v>
      </c>
      <c r="Q227">
        <f t="shared" si="960"/>
        <v>-8762630.5259072557</v>
      </c>
      <c r="R227">
        <f t="shared" si="961"/>
        <v>163262254.82872367</v>
      </c>
      <c r="S227">
        <f t="shared" si="962"/>
        <v>1632.6225482872367</v>
      </c>
      <c r="T227">
        <f t="shared" si="963"/>
        <v>1.6326225482872367</v>
      </c>
    </row>
    <row r="228" spans="1:20" x14ac:dyDescent="0.25">
      <c r="A228" s="5">
        <v>44365</v>
      </c>
      <c r="B228">
        <v>1.0728</v>
      </c>
      <c r="C228">
        <v>1.1102000000000001</v>
      </c>
      <c r="D228">
        <v>0.94</v>
      </c>
      <c r="E228">
        <v>0.98709999999999998</v>
      </c>
      <c r="F228">
        <v>14161543.060000001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-0.44653349001175097</v>
      </c>
      <c r="Q228">
        <f t="shared" si="960"/>
        <v>-6323603.2465334916</v>
      </c>
      <c r="R228">
        <f t="shared" si="961"/>
        <v>172024885.35463092</v>
      </c>
      <c r="S228">
        <f t="shared" si="962"/>
        <v>1720.2488535463092</v>
      </c>
      <c r="T228">
        <f t="shared" si="963"/>
        <v>1.7202488535463092</v>
      </c>
    </row>
    <row r="229" spans="1:20" x14ac:dyDescent="0.25">
      <c r="A229" s="5">
        <v>44364</v>
      </c>
      <c r="B229">
        <v>1.0085999999999999</v>
      </c>
      <c r="C229">
        <v>1.161</v>
      </c>
      <c r="D229">
        <v>1.0056</v>
      </c>
      <c r="E229">
        <v>1.0726</v>
      </c>
      <c r="F229">
        <v>18573626.550000001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-0.13770913770913829</v>
      </c>
      <c r="Q229">
        <f t="shared" si="960"/>
        <v>-2557758.0963320569</v>
      </c>
      <c r="R229">
        <f t="shared" si="961"/>
        <v>178348488.6011644</v>
      </c>
      <c r="S229">
        <f t="shared" si="962"/>
        <v>1783.484886011644</v>
      </c>
      <c r="T229">
        <f t="shared" si="963"/>
        <v>1.7834848860116439</v>
      </c>
    </row>
    <row r="230" spans="1:20" x14ac:dyDescent="0.25">
      <c r="A230" s="5">
        <v>44363</v>
      </c>
      <c r="B230">
        <v>1.1073</v>
      </c>
      <c r="C230">
        <v>1.1135999999999999</v>
      </c>
      <c r="D230">
        <v>0.99339999999999995</v>
      </c>
      <c r="E230">
        <v>1.0095000000000001</v>
      </c>
      <c r="F230">
        <v>14855718.76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-0.73211314475873346</v>
      </c>
      <c r="Q230">
        <f t="shared" si="960"/>
        <v>-10876066.979034912</v>
      </c>
      <c r="R230">
        <f t="shared" si="961"/>
        <v>180906246.69749644</v>
      </c>
      <c r="S230">
        <f t="shared" si="962"/>
        <v>1809.0624669749645</v>
      </c>
      <c r="T230">
        <f t="shared" si="963"/>
        <v>1.8090624669749646</v>
      </c>
    </row>
    <row r="231" spans="1:20" x14ac:dyDescent="0.25">
      <c r="A231" s="5">
        <v>44362</v>
      </c>
      <c r="B231">
        <v>0.98519999999999996</v>
      </c>
      <c r="C231">
        <v>1.18</v>
      </c>
      <c r="D231">
        <v>0.9718</v>
      </c>
      <c r="E231">
        <v>1.1074999999999999</v>
      </c>
      <c r="F231">
        <v>28033423.609999999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0.30355427473583063</v>
      </c>
      <c r="Q231">
        <f t="shared" si="960"/>
        <v>8509665.5722958613</v>
      </c>
      <c r="R231">
        <f t="shared" si="961"/>
        <v>191782313.67653134</v>
      </c>
      <c r="S231">
        <f t="shared" si="962"/>
        <v>1917.8231367653134</v>
      </c>
      <c r="T231">
        <f t="shared" si="963"/>
        <v>1.9178231367653134</v>
      </c>
    </row>
    <row r="232" spans="1:20" x14ac:dyDescent="0.25">
      <c r="A232" s="5">
        <v>44361</v>
      </c>
      <c r="B232">
        <v>0.94730000000000003</v>
      </c>
      <c r="C232">
        <v>0.99099999999999999</v>
      </c>
      <c r="D232">
        <v>0.91290000000000004</v>
      </c>
      <c r="E232">
        <v>0.98709999999999998</v>
      </c>
      <c r="F232">
        <v>10232558.970000001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0.90012804097311094</v>
      </c>
      <c r="Q232">
        <f t="shared" si="960"/>
        <v>9210613.259807935</v>
      </c>
      <c r="R232">
        <f t="shared" si="961"/>
        <v>183272648.10423547</v>
      </c>
      <c r="S232">
        <f t="shared" si="962"/>
        <v>1832.7264810423546</v>
      </c>
      <c r="T232">
        <f t="shared" si="963"/>
        <v>1.8327264810423547</v>
      </c>
    </row>
    <row r="233" spans="1:20" x14ac:dyDescent="0.25">
      <c r="A233" s="5">
        <v>44360</v>
      </c>
      <c r="B233">
        <v>0.89810000000000001</v>
      </c>
      <c r="C233">
        <v>0.94820000000000004</v>
      </c>
      <c r="D233">
        <v>0.8538</v>
      </c>
      <c r="E233">
        <v>0.94650000000000001</v>
      </c>
      <c r="F233">
        <v>8345635.3600000003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0.96398305084745695</v>
      </c>
      <c r="Q233">
        <f t="shared" si="960"/>
        <v>8045051.0355932154</v>
      </c>
      <c r="R233">
        <f t="shared" si="961"/>
        <v>174062034.84442753</v>
      </c>
      <c r="S233">
        <f t="shared" si="962"/>
        <v>1740.6203484442754</v>
      </c>
      <c r="T233">
        <f t="shared" si="963"/>
        <v>1.7406203484442753</v>
      </c>
    </row>
    <row r="234" spans="1:20" x14ac:dyDescent="0.25">
      <c r="A234" s="5">
        <v>44359</v>
      </c>
      <c r="B234">
        <v>0.90429999999999999</v>
      </c>
      <c r="C234">
        <v>0.92220000000000002</v>
      </c>
      <c r="D234">
        <v>0.84019999999999995</v>
      </c>
      <c r="E234">
        <v>0.8972</v>
      </c>
      <c r="F234">
        <v>12276957.73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0.3902439024390244</v>
      </c>
      <c r="Q234">
        <f t="shared" si="960"/>
        <v>4791007.8946341462</v>
      </c>
      <c r="R234">
        <f t="shared" si="961"/>
        <v>166016983.80883431</v>
      </c>
      <c r="S234">
        <f t="shared" si="962"/>
        <v>1660.1698380883431</v>
      </c>
      <c r="T234">
        <f t="shared" si="963"/>
        <v>1.6601698380883432</v>
      </c>
    </row>
    <row r="235" spans="1:20" x14ac:dyDescent="0.25">
      <c r="A235" s="5">
        <v>44358</v>
      </c>
      <c r="B235">
        <v>0.98529999999999995</v>
      </c>
      <c r="C235">
        <v>0.99919999999999998</v>
      </c>
      <c r="D235">
        <v>0.875</v>
      </c>
      <c r="E235">
        <v>0.90500000000000003</v>
      </c>
      <c r="F235">
        <v>10451150.859999999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-0.51690821256038599</v>
      </c>
      <c r="Q235">
        <f t="shared" si="960"/>
        <v>-5402285.7102415403</v>
      </c>
      <c r="R235">
        <f t="shared" si="961"/>
        <v>161225975.91420016</v>
      </c>
      <c r="S235">
        <f t="shared" si="962"/>
        <v>1612.2597591420015</v>
      </c>
      <c r="T235">
        <f t="shared" si="963"/>
        <v>1.6122597591420016</v>
      </c>
    </row>
    <row r="236" spans="1:20" x14ac:dyDescent="0.25">
      <c r="A236" s="5">
        <v>44357</v>
      </c>
      <c r="B236">
        <v>1.0442</v>
      </c>
      <c r="C236">
        <v>1.0533999999999999</v>
      </c>
      <c r="D236">
        <v>0.95640000000000003</v>
      </c>
      <c r="E236">
        <v>0.9849</v>
      </c>
      <c r="F236">
        <v>10119752.99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-0.41237113402061837</v>
      </c>
      <c r="Q236">
        <f t="shared" si="960"/>
        <v>-4173094.0164948436</v>
      </c>
      <c r="R236">
        <f t="shared" si="961"/>
        <v>166628261.62444168</v>
      </c>
      <c r="S236">
        <f t="shared" si="962"/>
        <v>1666.2826162444169</v>
      </c>
      <c r="T236">
        <f t="shared" si="963"/>
        <v>1.6662826162444169</v>
      </c>
    </row>
    <row r="237" spans="1:20" x14ac:dyDescent="0.25">
      <c r="A237" s="5">
        <v>44356</v>
      </c>
      <c r="B237">
        <v>1.004</v>
      </c>
      <c r="C237">
        <v>1.0691999999999999</v>
      </c>
      <c r="D237">
        <v>0.95030000000000003</v>
      </c>
      <c r="E237">
        <v>1.0450999999999999</v>
      </c>
      <c r="F237">
        <v>12464287.93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0.59461732548359914</v>
      </c>
      <c r="Q237">
        <f t="shared" si="960"/>
        <v>7411481.552994106</v>
      </c>
      <c r="R237">
        <f t="shared" si="961"/>
        <v>170801355.64093652</v>
      </c>
      <c r="S237">
        <f t="shared" si="962"/>
        <v>1708.0135564093653</v>
      </c>
      <c r="T237">
        <f t="shared" si="963"/>
        <v>1.7080135564093653</v>
      </c>
    </row>
    <row r="238" spans="1:20" x14ac:dyDescent="0.25">
      <c r="A238" s="5">
        <v>44355</v>
      </c>
      <c r="B238">
        <v>1.0392999999999999</v>
      </c>
      <c r="C238">
        <v>1.0646</v>
      </c>
      <c r="D238">
        <v>0.87350000000000005</v>
      </c>
      <c r="E238">
        <v>1.0052000000000001</v>
      </c>
      <c r="F238">
        <v>17295934.34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0.37833594976452206</v>
      </c>
      <c r="Q238">
        <f t="shared" si="960"/>
        <v>6543673.7455887124</v>
      </c>
      <c r="R238">
        <f t="shared" si="961"/>
        <v>163389874.08794242</v>
      </c>
      <c r="S238">
        <f t="shared" si="962"/>
        <v>1633.8987408794242</v>
      </c>
      <c r="T238">
        <f t="shared" si="963"/>
        <v>1.6338987408794241</v>
      </c>
    </row>
    <row r="239" spans="1:20" x14ac:dyDescent="0.25">
      <c r="A239" s="5">
        <v>44354</v>
      </c>
      <c r="B239">
        <v>1.1529</v>
      </c>
      <c r="C239">
        <v>1.23</v>
      </c>
      <c r="D239">
        <v>1.0350999999999999</v>
      </c>
      <c r="E239">
        <v>1.0402</v>
      </c>
      <c r="F239">
        <v>11637690.890000001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-0.94766546947152286</v>
      </c>
      <c r="Q239">
        <f t="shared" si="960"/>
        <v>-11028637.800836315</v>
      </c>
      <c r="R239">
        <f t="shared" si="961"/>
        <v>156846200.3423537</v>
      </c>
      <c r="S239">
        <f t="shared" si="962"/>
        <v>1568.462003423537</v>
      </c>
      <c r="T239">
        <f t="shared" si="963"/>
        <v>1.568462003423537</v>
      </c>
    </row>
    <row r="240" spans="1:20" x14ac:dyDescent="0.25">
      <c r="A240" s="5">
        <v>44353</v>
      </c>
      <c r="B240">
        <v>1.1067</v>
      </c>
      <c r="C240">
        <v>1.1692</v>
      </c>
      <c r="D240">
        <v>1.0952</v>
      </c>
      <c r="E240">
        <v>1.1533</v>
      </c>
      <c r="F240">
        <v>5041350.45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0.57027027027027</v>
      </c>
      <c r="Q240">
        <f t="shared" si="960"/>
        <v>2874932.2836486474</v>
      </c>
      <c r="R240">
        <f t="shared" si="961"/>
        <v>167874838.14319003</v>
      </c>
      <c r="S240">
        <f t="shared" si="962"/>
        <v>1678.7483814319003</v>
      </c>
      <c r="T240">
        <f t="shared" si="963"/>
        <v>1.6787483814319002</v>
      </c>
    </row>
    <row r="241" spans="1:20" x14ac:dyDescent="0.25">
      <c r="A241" s="5">
        <v>44352</v>
      </c>
      <c r="B241">
        <v>1.1480999999999999</v>
      </c>
      <c r="C241">
        <v>1.2157</v>
      </c>
      <c r="D241">
        <v>1.0630999999999999</v>
      </c>
      <c r="E241">
        <v>1.1067</v>
      </c>
      <c r="F241">
        <v>7680327.2999999998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-0.42857142857142771</v>
      </c>
      <c r="Q241">
        <f t="shared" si="960"/>
        <v>-3291568.8428571364</v>
      </c>
      <c r="R241">
        <f t="shared" si="961"/>
        <v>164999905.85954139</v>
      </c>
      <c r="S241">
        <f t="shared" si="962"/>
        <v>1649.9990585954138</v>
      </c>
      <c r="T241">
        <f t="shared" si="963"/>
        <v>1.6499990585954138</v>
      </c>
    </row>
    <row r="242" spans="1:20" x14ac:dyDescent="0.25">
      <c r="A242" s="5">
        <v>44351</v>
      </c>
      <c r="B242">
        <v>1.2574000000000001</v>
      </c>
      <c r="C242">
        <v>1.2591000000000001</v>
      </c>
      <c r="D242">
        <v>1.0863</v>
      </c>
      <c r="E242">
        <v>1.1474</v>
      </c>
      <c r="F242">
        <v>8316868.0599999996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-0.29282407407407512</v>
      </c>
      <c r="Q242">
        <f t="shared" si="960"/>
        <v>-2435379.1888657492</v>
      </c>
      <c r="R242">
        <f t="shared" si="961"/>
        <v>168291474.70239851</v>
      </c>
      <c r="S242">
        <f t="shared" si="962"/>
        <v>1682.914747023985</v>
      </c>
      <c r="T242">
        <f t="shared" si="963"/>
        <v>1.6829147470239849</v>
      </c>
    </row>
    <row r="243" spans="1:20" x14ac:dyDescent="0.25">
      <c r="A243" s="5">
        <v>44350</v>
      </c>
      <c r="B243">
        <v>1.2136</v>
      </c>
      <c r="C243">
        <v>1.3427</v>
      </c>
      <c r="D243">
        <v>1.2062999999999999</v>
      </c>
      <c r="E243">
        <v>1.2575000000000001</v>
      </c>
      <c r="F243">
        <v>11288035.33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-0.24926686217008642</v>
      </c>
      <c r="Q243">
        <f t="shared" si="960"/>
        <v>-2813733.146774176</v>
      </c>
      <c r="R243">
        <f t="shared" si="961"/>
        <v>170726853.89126426</v>
      </c>
      <c r="S243">
        <f t="shared" si="962"/>
        <v>1707.2685389126425</v>
      </c>
      <c r="T243">
        <f t="shared" si="963"/>
        <v>1.7072685389126425</v>
      </c>
    </row>
    <row r="244" spans="1:20" x14ac:dyDescent="0.25">
      <c r="A244" s="5">
        <v>44349</v>
      </c>
      <c r="B244">
        <v>1.1487000000000001</v>
      </c>
      <c r="C244">
        <v>1.3071999999999999</v>
      </c>
      <c r="D244">
        <v>1.111</v>
      </c>
      <c r="E244">
        <v>1.2138</v>
      </c>
      <c r="F244">
        <v>12340003.84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4.7910295616718036E-2</v>
      </c>
      <c r="Q244">
        <f t="shared" si="960"/>
        <v>591213.23188583576</v>
      </c>
      <c r="R244">
        <f t="shared" si="961"/>
        <v>173540587.03803843</v>
      </c>
      <c r="S244">
        <f t="shared" si="962"/>
        <v>1735.4058703803844</v>
      </c>
      <c r="T244">
        <f t="shared" si="963"/>
        <v>1.7354058703803843</v>
      </c>
    </row>
    <row r="245" spans="1:20" x14ac:dyDescent="0.25">
      <c r="A245" s="5">
        <v>44348</v>
      </c>
      <c r="B245">
        <v>1.1341000000000001</v>
      </c>
      <c r="C245">
        <v>1.1575</v>
      </c>
      <c r="D245">
        <v>1.0736000000000001</v>
      </c>
      <c r="E245">
        <v>1.1483000000000001</v>
      </c>
      <c r="F245">
        <v>8858981.8000000007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0.78069129916567603</v>
      </c>
      <c r="Q245">
        <f t="shared" si="960"/>
        <v>6916130.0107270796</v>
      </c>
      <c r="R245">
        <f t="shared" si="961"/>
        <v>172949373.80615258</v>
      </c>
      <c r="S245">
        <f t="shared" si="962"/>
        <v>1729.4937380615258</v>
      </c>
      <c r="T245">
        <f t="shared" si="963"/>
        <v>1.7294937380615258</v>
      </c>
    </row>
    <row r="246" spans="1:20" x14ac:dyDescent="0.25">
      <c r="A246" s="5">
        <v>44347</v>
      </c>
      <c r="B246">
        <v>1.0577000000000001</v>
      </c>
      <c r="C246">
        <v>1.1580999999999999</v>
      </c>
      <c r="D246">
        <v>1.0039</v>
      </c>
      <c r="E246">
        <v>1.1341000000000001</v>
      </c>
      <c r="F246">
        <v>9921883.2400000002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0.68871595330739543</v>
      </c>
      <c r="Q246">
        <f t="shared" si="960"/>
        <v>6833359.2742412696</v>
      </c>
      <c r="R246">
        <f t="shared" si="961"/>
        <v>166033243.7954255</v>
      </c>
      <c r="S246">
        <f t="shared" si="962"/>
        <v>1660.3324379542551</v>
      </c>
      <c r="T246">
        <f t="shared" si="963"/>
        <v>1.660332437954255</v>
      </c>
    </row>
    <row r="247" spans="1:20" x14ac:dyDescent="0.25">
      <c r="A247" s="5">
        <v>44346</v>
      </c>
      <c r="B247">
        <v>1.0125</v>
      </c>
      <c r="C247">
        <v>1.1077999999999999</v>
      </c>
      <c r="D247">
        <v>0.94499999999999995</v>
      </c>
      <c r="E247">
        <v>1.0584</v>
      </c>
      <c r="F247">
        <v>8840547.1799999997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0.39312039312039426</v>
      </c>
      <c r="Q247">
        <f t="shared" si="960"/>
        <v>3475399.3828009926</v>
      </c>
      <c r="R247">
        <f t="shared" si="961"/>
        <v>159199884.52118424</v>
      </c>
      <c r="S247">
        <f t="shared" si="962"/>
        <v>1591.9988452118423</v>
      </c>
      <c r="T247">
        <f t="shared" si="963"/>
        <v>1.5919988452118423</v>
      </c>
    </row>
    <row r="248" spans="1:20" x14ac:dyDescent="0.25">
      <c r="A248" s="5">
        <v>44345</v>
      </c>
      <c r="B248">
        <v>1.0788</v>
      </c>
      <c r="C248">
        <v>1.1599999999999999</v>
      </c>
      <c r="D248">
        <v>0.95250000000000001</v>
      </c>
      <c r="E248">
        <v>1.0142</v>
      </c>
      <c r="F248">
        <v>11954085.279999999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-0.40530120481927706</v>
      </c>
      <c r="Q248">
        <f t="shared" si="960"/>
        <v>-4845005.1664963849</v>
      </c>
      <c r="R248">
        <f t="shared" si="961"/>
        <v>155724485.13838324</v>
      </c>
      <c r="S248">
        <f t="shared" si="962"/>
        <v>1557.2448513838324</v>
      </c>
      <c r="T248">
        <f t="shared" si="963"/>
        <v>1.5572448513838324</v>
      </c>
    </row>
    <row r="249" spans="1:20" x14ac:dyDescent="0.25">
      <c r="A249" s="5">
        <v>44344</v>
      </c>
      <c r="B249">
        <v>1.2326999999999999</v>
      </c>
      <c r="C249">
        <v>1.2487999999999999</v>
      </c>
      <c r="D249">
        <v>1.0342</v>
      </c>
      <c r="E249">
        <v>1.079</v>
      </c>
      <c r="F249">
        <v>14440063.41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-0.58247903075489305</v>
      </c>
      <c r="Q249">
        <f t="shared" si="960"/>
        <v>-8411034.1390959956</v>
      </c>
      <c r="R249">
        <f t="shared" si="961"/>
        <v>160569490.30487964</v>
      </c>
      <c r="S249">
        <f t="shared" si="962"/>
        <v>1605.6949030487963</v>
      </c>
      <c r="T249">
        <f t="shared" si="963"/>
        <v>1.6056949030487964</v>
      </c>
    </row>
    <row r="250" spans="1:20" x14ac:dyDescent="0.25">
      <c r="A250" s="5">
        <v>44343</v>
      </c>
      <c r="B250">
        <v>1.3381000000000001</v>
      </c>
      <c r="C250">
        <v>1.34</v>
      </c>
      <c r="D250">
        <v>1.1802999999999999</v>
      </c>
      <c r="E250">
        <v>1.2326999999999999</v>
      </c>
      <c r="F250">
        <v>13858770.289999999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-0.343769567939888</v>
      </c>
      <c r="Q250">
        <f t="shared" si="960"/>
        <v>-4764223.4747714559</v>
      </c>
      <c r="R250">
        <f t="shared" si="961"/>
        <v>168980524.44397563</v>
      </c>
      <c r="S250">
        <f t="shared" si="962"/>
        <v>1689.8052444397563</v>
      </c>
      <c r="T250">
        <f t="shared" si="963"/>
        <v>1.6898052444397562</v>
      </c>
    </row>
    <row r="251" spans="1:20" x14ac:dyDescent="0.25">
      <c r="A251" s="5">
        <v>44342</v>
      </c>
      <c r="B251">
        <v>1.141</v>
      </c>
      <c r="C251">
        <v>1.341</v>
      </c>
      <c r="D251">
        <v>1.1138999999999999</v>
      </c>
      <c r="E251">
        <v>1.3393999999999999</v>
      </c>
      <c r="F251">
        <v>19964948.210000001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0.98590929106120617</v>
      </c>
      <c r="Q251">
        <f t="shared" si="960"/>
        <v>19683627.935794797</v>
      </c>
      <c r="R251">
        <f t="shared" si="961"/>
        <v>173744747.9187471</v>
      </c>
      <c r="S251">
        <f t="shared" si="962"/>
        <v>1737.4474791874709</v>
      </c>
      <c r="T251">
        <f t="shared" si="963"/>
        <v>1.737447479187471</v>
      </c>
    </row>
    <row r="252" spans="1:20" x14ac:dyDescent="0.25">
      <c r="A252" s="5">
        <v>44341</v>
      </c>
      <c r="B252">
        <v>1.1739999999999999</v>
      </c>
      <c r="C252">
        <v>1.2197</v>
      </c>
      <c r="D252">
        <v>1.0224</v>
      </c>
      <c r="E252">
        <v>1.1406000000000001</v>
      </c>
      <c r="F252">
        <v>15935841.24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0.19817536746072037</v>
      </c>
      <c r="Q252">
        <f t="shared" si="960"/>
        <v>3158091.1935327016</v>
      </c>
      <c r="R252">
        <f t="shared" si="961"/>
        <v>154061119.9829523</v>
      </c>
      <c r="S252">
        <f t="shared" si="962"/>
        <v>1540.611199829523</v>
      </c>
      <c r="T252">
        <f t="shared" si="963"/>
        <v>1.5406111998295231</v>
      </c>
    </row>
    <row r="253" spans="1:20" x14ac:dyDescent="0.25">
      <c r="A253" s="5">
        <v>44340</v>
      </c>
      <c r="B253">
        <v>0.97709999999999997</v>
      </c>
      <c r="C253">
        <v>1.1929000000000001</v>
      </c>
      <c r="D253">
        <v>0.93620000000000003</v>
      </c>
      <c r="E253">
        <v>1.1778999999999999</v>
      </c>
      <c r="F253">
        <v>16764224.039999999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0.88313206077132744</v>
      </c>
      <c r="Q253">
        <f t="shared" si="960"/>
        <v>14805023.723677428</v>
      </c>
      <c r="R253">
        <f t="shared" si="961"/>
        <v>150903028.78941959</v>
      </c>
      <c r="S253">
        <f t="shared" si="962"/>
        <v>1509.0302878941959</v>
      </c>
      <c r="T253">
        <f t="shared" si="963"/>
        <v>1.5090302878941959</v>
      </c>
    </row>
    <row r="254" spans="1:20" x14ac:dyDescent="0.25">
      <c r="A254" s="5">
        <v>44339</v>
      </c>
      <c r="B254">
        <v>1.1358999999999999</v>
      </c>
      <c r="C254">
        <v>1.2305999999999999</v>
      </c>
      <c r="D254">
        <v>0.79730000000000001</v>
      </c>
      <c r="E254">
        <v>0.97560000000000002</v>
      </c>
      <c r="F254">
        <v>31646108.27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-0.17701361643203301</v>
      </c>
      <c r="Q254">
        <f t="shared" si="960"/>
        <v>-5601792.0708723674</v>
      </c>
      <c r="R254">
        <f t="shared" si="961"/>
        <v>136098005.06574216</v>
      </c>
      <c r="S254">
        <f t="shared" si="962"/>
        <v>1360.9800506574215</v>
      </c>
      <c r="T254">
        <f t="shared" si="963"/>
        <v>1.3609800506574214</v>
      </c>
    </row>
    <row r="255" spans="1:20" x14ac:dyDescent="0.25">
      <c r="A255" s="5">
        <v>44338</v>
      </c>
      <c r="B255">
        <v>1.2692000000000001</v>
      </c>
      <c r="C255">
        <v>1.2776000000000001</v>
      </c>
      <c r="D255">
        <v>1.089</v>
      </c>
      <c r="E255">
        <v>1.1386000000000001</v>
      </c>
      <c r="F255">
        <v>15354336.529999999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-0.47401908801696646</v>
      </c>
      <c r="Q255">
        <f t="shared" si="960"/>
        <v>-7278248.5990561927</v>
      </c>
      <c r="R255">
        <f t="shared" si="961"/>
        <v>141699797.13661453</v>
      </c>
      <c r="S255">
        <f t="shared" si="962"/>
        <v>1416.9979713661453</v>
      </c>
      <c r="T255">
        <f t="shared" si="963"/>
        <v>1.4169979713661454</v>
      </c>
    </row>
    <row r="256" spans="1:20" x14ac:dyDescent="0.25">
      <c r="A256" s="5">
        <v>44337</v>
      </c>
      <c r="B256">
        <v>1.39</v>
      </c>
      <c r="C256">
        <v>1.48</v>
      </c>
      <c r="D256">
        <v>1.0703</v>
      </c>
      <c r="E256">
        <v>1.2715000000000001</v>
      </c>
      <c r="F256">
        <v>21859901.539999999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-1.7817915547961589E-2</v>
      </c>
      <c r="Q256">
        <f t="shared" si="960"/>
        <v>-389497.8795264755</v>
      </c>
      <c r="R256">
        <f t="shared" si="961"/>
        <v>148978045.73567072</v>
      </c>
      <c r="S256">
        <f t="shared" si="962"/>
        <v>1489.7804573567071</v>
      </c>
      <c r="T256">
        <f t="shared" si="963"/>
        <v>1.4897804573567071</v>
      </c>
    </row>
    <row r="257" spans="1:20" x14ac:dyDescent="0.25">
      <c r="A257" s="5">
        <v>44336</v>
      </c>
      <c r="B257">
        <v>1.1765000000000001</v>
      </c>
      <c r="C257">
        <v>1.48</v>
      </c>
      <c r="D257">
        <v>1.04</v>
      </c>
      <c r="E257">
        <v>1.3884000000000001</v>
      </c>
      <c r="F257">
        <v>23289269.120000001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0.58363636363636406</v>
      </c>
      <c r="Q257">
        <f t="shared" si="960"/>
        <v>13592464.340945465</v>
      </c>
      <c r="R257">
        <f t="shared" si="961"/>
        <v>149367543.61519718</v>
      </c>
      <c r="S257">
        <f t="shared" si="962"/>
        <v>1493.6754361519718</v>
      </c>
      <c r="T257">
        <f t="shared" si="963"/>
        <v>1.4936754361519717</v>
      </c>
    </row>
    <row r="258" spans="1:20" x14ac:dyDescent="0.25">
      <c r="A258" s="5">
        <v>44335</v>
      </c>
      <c r="B258">
        <v>1.9106000000000001</v>
      </c>
      <c r="C258">
        <v>1.9592000000000001</v>
      </c>
      <c r="D258">
        <v>0.83740000000000003</v>
      </c>
      <c r="E258">
        <v>1.1822999999999999</v>
      </c>
      <c r="F258">
        <v>42322784.380000003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-0.38509538242110919</v>
      </c>
      <c r="Q258">
        <f t="shared" si="960"/>
        <v>-16298308.835942248</v>
      </c>
      <c r="R258">
        <f t="shared" si="961"/>
        <v>135775079.27425173</v>
      </c>
      <c r="S258">
        <f t="shared" si="962"/>
        <v>1357.7507927425172</v>
      </c>
      <c r="T258">
        <f t="shared" si="963"/>
        <v>1.3577507927425172</v>
      </c>
    </row>
    <row r="259" spans="1:20" x14ac:dyDescent="0.25">
      <c r="A259" s="5">
        <v>44334</v>
      </c>
      <c r="B259">
        <v>1.8560000000000001</v>
      </c>
      <c r="C259">
        <v>2.0249999999999999</v>
      </c>
      <c r="D259">
        <v>1.8220000000000001</v>
      </c>
      <c r="E259">
        <v>1.9111</v>
      </c>
      <c r="F259">
        <v>9864644.0600000005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-0.12216748768472882</v>
      </c>
      <c r="Q259">
        <f t="shared" si="960"/>
        <v>-1205138.7817142834</v>
      </c>
      <c r="R259">
        <f t="shared" si="961"/>
        <v>152073388.11019397</v>
      </c>
      <c r="S259">
        <f t="shared" si="962"/>
        <v>1520.7338811019397</v>
      </c>
      <c r="T259">
        <f t="shared" si="963"/>
        <v>1.5207338811019397</v>
      </c>
    </row>
    <row r="260" spans="1:20" x14ac:dyDescent="0.25">
      <c r="A260" s="5">
        <v>44333</v>
      </c>
      <c r="B260">
        <v>1.9925999999999999</v>
      </c>
      <c r="C260">
        <v>2.0293999999999999</v>
      </c>
      <c r="D260">
        <v>1.76</v>
      </c>
      <c r="E260">
        <v>1.8557999999999999</v>
      </c>
      <c r="F260">
        <v>15323890.210000001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-0.28878990348923583</v>
      </c>
      <c r="Q260">
        <f t="shared" si="960"/>
        <v>-4425384.774825546</v>
      </c>
      <c r="R260">
        <f t="shared" si="961"/>
        <v>153278526.89190826</v>
      </c>
      <c r="S260">
        <f t="shared" si="962"/>
        <v>1532.7852689190827</v>
      </c>
      <c r="T260">
        <f t="shared" si="963"/>
        <v>1.5327852689190826</v>
      </c>
    </row>
    <row r="261" spans="1:20" x14ac:dyDescent="0.25">
      <c r="A261" s="5">
        <v>44332</v>
      </c>
      <c r="B261">
        <v>2.0108000000000001</v>
      </c>
      <c r="C261">
        <v>2.25</v>
      </c>
      <c r="D261">
        <v>1.8657999999999999</v>
      </c>
      <c r="E261">
        <v>1.9916</v>
      </c>
      <c r="F261">
        <v>14002852.279999999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-0.34513274336283134</v>
      </c>
      <c r="Q261">
        <f t="shared" si="960"/>
        <v>-4832842.8223008774</v>
      </c>
      <c r="R261">
        <f t="shared" si="961"/>
        <v>157703911.6667338</v>
      </c>
      <c r="S261">
        <f t="shared" si="962"/>
        <v>1577.039116667338</v>
      </c>
      <c r="T261">
        <f t="shared" si="963"/>
        <v>1.5770391166673381</v>
      </c>
    </row>
    <row r="262" spans="1:20" x14ac:dyDescent="0.25">
      <c r="A262" s="5">
        <v>44331</v>
      </c>
      <c r="B262">
        <v>2.1379999999999999</v>
      </c>
      <c r="C262">
        <v>2.2174999999999998</v>
      </c>
      <c r="D262">
        <v>1.9446000000000001</v>
      </c>
      <c r="E262">
        <v>2.0099999999999998</v>
      </c>
      <c r="F262">
        <v>14463974.23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-0.52070355441553862</v>
      </c>
      <c r="Q262">
        <f t="shared" ref="Q262:Q325" si="965">F262*P262</f>
        <v>-7531442.7925357539</v>
      </c>
      <c r="R262">
        <f t="shared" ref="R262:R325" si="966">R263+Q262</f>
        <v>162536754.48903468</v>
      </c>
      <c r="S262">
        <f t="shared" ref="S262:S325" si="967">R262/100000</f>
        <v>1625.3675448903468</v>
      </c>
      <c r="T262">
        <f t="shared" ref="T262:T325" si="968">S262/1000</f>
        <v>1.6253675448903468</v>
      </c>
    </row>
    <row r="263" spans="1:20" x14ac:dyDescent="0.25">
      <c r="A263" s="5">
        <v>44330</v>
      </c>
      <c r="B263">
        <v>2.0972</v>
      </c>
      <c r="C263">
        <v>2.2785000000000002</v>
      </c>
      <c r="D263">
        <v>2.0562999999999998</v>
      </c>
      <c r="E263">
        <v>2.1379999999999999</v>
      </c>
      <c r="F263">
        <v>12922842.43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-0.26462646264626499</v>
      </c>
      <c r="Q263">
        <f t="shared" si="965"/>
        <v>-3419726.0795859634</v>
      </c>
      <c r="R263">
        <f t="shared" si="966"/>
        <v>170068197.28157043</v>
      </c>
      <c r="S263">
        <f t="shared" si="967"/>
        <v>1700.6819728157043</v>
      </c>
      <c r="T263">
        <f t="shared" si="968"/>
        <v>1.7006819728157043</v>
      </c>
    </row>
    <row r="264" spans="1:20" x14ac:dyDescent="0.25">
      <c r="A264" s="5">
        <v>44329</v>
      </c>
      <c r="B264">
        <v>2.0411000000000001</v>
      </c>
      <c r="C264">
        <v>2.2656000000000001</v>
      </c>
      <c r="D264">
        <v>1.91</v>
      </c>
      <c r="E264">
        <v>2.1</v>
      </c>
      <c r="F264">
        <v>19328968.280000001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6.8616422947132147E-2</v>
      </c>
      <c r="Q264">
        <f t="shared" si="965"/>
        <v>1326284.6626321815</v>
      </c>
      <c r="R264">
        <f t="shared" si="966"/>
        <v>173487923.3611564</v>
      </c>
      <c r="S264">
        <f t="shared" si="967"/>
        <v>1734.8792336115641</v>
      </c>
      <c r="T264">
        <f t="shared" si="968"/>
        <v>1.7348792336115642</v>
      </c>
    </row>
    <row r="265" spans="1:20" x14ac:dyDescent="0.25">
      <c r="A265" s="5">
        <v>44328</v>
      </c>
      <c r="B265">
        <v>2.5091999999999999</v>
      </c>
      <c r="C265">
        <v>2.5794000000000001</v>
      </c>
      <c r="D265">
        <v>1.9971000000000001</v>
      </c>
      <c r="E265">
        <v>2.0411999999999999</v>
      </c>
      <c r="F265">
        <v>16194469.369999999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-0.84853168469860962</v>
      </c>
      <c r="Q265">
        <f t="shared" si="965"/>
        <v>-13741520.377326131</v>
      </c>
      <c r="R265">
        <f t="shared" si="966"/>
        <v>172161638.69852424</v>
      </c>
      <c r="S265">
        <f t="shared" si="967"/>
        <v>1721.6163869852423</v>
      </c>
      <c r="T265">
        <f t="shared" si="968"/>
        <v>1.7216163869852423</v>
      </c>
    </row>
    <row r="266" spans="1:20" x14ac:dyDescent="0.25">
      <c r="A266" s="5">
        <v>44327</v>
      </c>
      <c r="B266">
        <v>2.2959000000000001</v>
      </c>
      <c r="C266">
        <v>2.5495000000000001</v>
      </c>
      <c r="D266">
        <v>2.1440999999999999</v>
      </c>
      <c r="E266">
        <v>2.5093000000000001</v>
      </c>
      <c r="F266">
        <v>25302840.920000002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0.80167735569807597</v>
      </c>
      <c r="Q266">
        <f t="shared" si="965"/>
        <v>20284714.600394674</v>
      </c>
      <c r="R266">
        <f t="shared" si="966"/>
        <v>185903159.07585037</v>
      </c>
      <c r="S266">
        <f t="shared" si="967"/>
        <v>1859.0315907585036</v>
      </c>
      <c r="T266">
        <f t="shared" si="968"/>
        <v>1.8590315907585035</v>
      </c>
    </row>
    <row r="267" spans="1:20" x14ac:dyDescent="0.25">
      <c r="A267" s="5">
        <v>44326</v>
      </c>
      <c r="B267">
        <v>2.6404000000000001</v>
      </c>
      <c r="C267">
        <v>2.8725999999999998</v>
      </c>
      <c r="D267">
        <v>2.1505000000000001</v>
      </c>
      <c r="E267">
        <v>2.2957000000000001</v>
      </c>
      <c r="F267">
        <v>23419528.48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-0.59783963439966747</v>
      </c>
      <c r="Q267">
        <f t="shared" si="965"/>
        <v>-14001122.3442958</v>
      </c>
      <c r="R267">
        <f t="shared" si="966"/>
        <v>165618444.4754557</v>
      </c>
      <c r="S267">
        <f t="shared" si="967"/>
        <v>1656.184444754557</v>
      </c>
      <c r="T267">
        <f t="shared" si="968"/>
        <v>1.6561844447545571</v>
      </c>
    </row>
    <row r="268" spans="1:20" x14ac:dyDescent="0.25">
      <c r="A268" s="5">
        <v>44325</v>
      </c>
      <c r="B268">
        <v>2.6728999999999998</v>
      </c>
      <c r="C268">
        <v>2.6896</v>
      </c>
      <c r="D268">
        <v>2.44</v>
      </c>
      <c r="E268">
        <v>2.6421999999999999</v>
      </c>
      <c r="F268">
        <v>11291602.6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0.62019230769230693</v>
      </c>
      <c r="Q268">
        <f t="shared" si="965"/>
        <v>7002965.0740384525</v>
      </c>
      <c r="R268">
        <f t="shared" si="966"/>
        <v>179619566.8197515</v>
      </c>
      <c r="S268">
        <f t="shared" si="967"/>
        <v>1796.195668197515</v>
      </c>
      <c r="T268">
        <f t="shared" si="968"/>
        <v>1.7961956681975151</v>
      </c>
    </row>
    <row r="269" spans="1:20" x14ac:dyDescent="0.25">
      <c r="A269" s="5">
        <v>44324</v>
      </c>
      <c r="B269">
        <v>2.7323</v>
      </c>
      <c r="C269">
        <v>2.8738000000000001</v>
      </c>
      <c r="D269">
        <v>2.573</v>
      </c>
      <c r="E269">
        <v>2.6726999999999999</v>
      </c>
      <c r="F269">
        <v>18767086.879999999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-0.33710106382978827</v>
      </c>
      <c r="Q269">
        <f t="shared" si="965"/>
        <v>-6326404.9522340614</v>
      </c>
      <c r="R269">
        <f t="shared" si="966"/>
        <v>172616601.74571306</v>
      </c>
      <c r="S269">
        <f t="shared" si="967"/>
        <v>1726.1660174571305</v>
      </c>
      <c r="T269">
        <f t="shared" si="968"/>
        <v>1.7261660174571305</v>
      </c>
    </row>
    <row r="270" spans="1:20" x14ac:dyDescent="0.25">
      <c r="A270" s="5">
        <v>44323</v>
      </c>
      <c r="B270">
        <v>2.4830000000000001</v>
      </c>
      <c r="C270">
        <v>3.0958999999999999</v>
      </c>
      <c r="D270">
        <v>2.4</v>
      </c>
      <c r="E270">
        <v>2.7322000000000002</v>
      </c>
      <c r="F270">
        <v>44670892.670000002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-4.5265124299467482E-2</v>
      </c>
      <c r="Q270">
        <f t="shared" si="965"/>
        <v>-2022033.5092757209</v>
      </c>
      <c r="R270">
        <f t="shared" si="966"/>
        <v>178943006.69794711</v>
      </c>
      <c r="S270">
        <f t="shared" si="967"/>
        <v>1789.4300669794711</v>
      </c>
      <c r="T270">
        <f t="shared" si="968"/>
        <v>1.7894300669794712</v>
      </c>
    </row>
    <row r="271" spans="1:20" x14ac:dyDescent="0.25">
      <c r="A271" s="5">
        <v>44322</v>
      </c>
      <c r="B271">
        <v>2.3837999999999999</v>
      </c>
      <c r="C271">
        <v>2.552</v>
      </c>
      <c r="D271">
        <v>2.2456999999999998</v>
      </c>
      <c r="E271">
        <v>2.4830000000000001</v>
      </c>
      <c r="F271">
        <v>15738815.609999999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0.54946131243878615</v>
      </c>
      <c r="Q271">
        <f t="shared" si="965"/>
        <v>8647870.2813026551</v>
      </c>
      <c r="R271">
        <f t="shared" si="966"/>
        <v>180965040.20722285</v>
      </c>
      <c r="S271">
        <f t="shared" si="967"/>
        <v>1809.6504020722284</v>
      </c>
      <c r="T271">
        <f t="shared" si="968"/>
        <v>1.8096504020722284</v>
      </c>
    </row>
    <row r="272" spans="1:20" x14ac:dyDescent="0.25">
      <c r="A272" s="5">
        <v>44321</v>
      </c>
      <c r="B272">
        <v>2.1536</v>
      </c>
      <c r="C272">
        <v>2.4169999999999998</v>
      </c>
      <c r="D272">
        <v>2.13</v>
      </c>
      <c r="E272">
        <v>2.3843999999999999</v>
      </c>
      <c r="F272">
        <v>11131374.01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0.77282229965156812</v>
      </c>
      <c r="Q272">
        <f t="shared" si="965"/>
        <v>8602574.0606898982</v>
      </c>
      <c r="R272">
        <f t="shared" si="966"/>
        <v>172317169.92592019</v>
      </c>
      <c r="S272">
        <f t="shared" si="967"/>
        <v>1723.1716992592019</v>
      </c>
      <c r="T272">
        <f t="shared" si="968"/>
        <v>1.7231716992592019</v>
      </c>
    </row>
    <row r="273" spans="1:20" x14ac:dyDescent="0.25">
      <c r="A273" s="5">
        <v>44320</v>
      </c>
      <c r="B273">
        <v>2.4554999999999998</v>
      </c>
      <c r="C273">
        <v>2.4613999999999998</v>
      </c>
      <c r="D273">
        <v>2.1375000000000002</v>
      </c>
      <c r="E273">
        <v>2.1528999999999998</v>
      </c>
      <c r="F273">
        <v>11420203.4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-0.90490892250694877</v>
      </c>
      <c r="Q273">
        <f t="shared" si="965"/>
        <v>-10334243.953504194</v>
      </c>
      <c r="R273">
        <f t="shared" si="966"/>
        <v>163714595.86523029</v>
      </c>
      <c r="S273">
        <f t="shared" si="967"/>
        <v>1637.1459586523029</v>
      </c>
      <c r="T273">
        <f t="shared" si="968"/>
        <v>1.6371459586523029</v>
      </c>
    </row>
    <row r="274" spans="1:20" x14ac:dyDescent="0.25">
      <c r="A274" s="5">
        <v>44319</v>
      </c>
      <c r="B274">
        <v>2.508</v>
      </c>
      <c r="C274">
        <v>2.5893999999999999</v>
      </c>
      <c r="D274">
        <v>2.4106999999999998</v>
      </c>
      <c r="E274">
        <v>2.4556</v>
      </c>
      <c r="F274">
        <v>8226258.4299999997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-0.49748181309457035</v>
      </c>
      <c r="Q274">
        <f t="shared" si="965"/>
        <v>-4092413.9587408938</v>
      </c>
      <c r="R274">
        <f t="shared" si="966"/>
        <v>174048839.8187345</v>
      </c>
      <c r="S274">
        <f t="shared" si="967"/>
        <v>1740.488398187345</v>
      </c>
      <c r="T274">
        <f t="shared" si="968"/>
        <v>1.7404883981873449</v>
      </c>
    </row>
    <row r="275" spans="1:20" x14ac:dyDescent="0.25">
      <c r="A275" s="5">
        <v>44318</v>
      </c>
      <c r="B275">
        <v>2.6034999999999999</v>
      </c>
      <c r="C275">
        <v>2.6328999999999998</v>
      </c>
      <c r="D275">
        <v>2.4535</v>
      </c>
      <c r="E275">
        <v>2.5085000000000002</v>
      </c>
      <c r="F275">
        <v>7321498.8499999996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-0.38684503901894951</v>
      </c>
      <c r="Q275">
        <f t="shared" si="965"/>
        <v>-2832285.5083054439</v>
      </c>
      <c r="R275">
        <f t="shared" si="966"/>
        <v>178141253.77747539</v>
      </c>
      <c r="S275">
        <f t="shared" si="967"/>
        <v>1781.4125377747539</v>
      </c>
      <c r="T275">
        <f t="shared" si="968"/>
        <v>1.7814125377747538</v>
      </c>
    </row>
    <row r="276" spans="1:20" x14ac:dyDescent="0.25">
      <c r="A276" s="5">
        <v>44317</v>
      </c>
      <c r="B276">
        <v>2.5981000000000001</v>
      </c>
      <c r="C276">
        <v>2.7170000000000001</v>
      </c>
      <c r="D276">
        <v>2.5449000000000002</v>
      </c>
      <c r="E276">
        <v>2.6034999999999999</v>
      </c>
      <c r="F276">
        <v>8462618.75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-0.3190005810575271</v>
      </c>
      <c r="Q276">
        <f t="shared" si="965"/>
        <v>-2699580.2985183238</v>
      </c>
      <c r="R276">
        <f t="shared" si="966"/>
        <v>180973539.28578082</v>
      </c>
      <c r="S276">
        <f t="shared" si="967"/>
        <v>1809.7353928578082</v>
      </c>
      <c r="T276">
        <f t="shared" si="968"/>
        <v>1.8097353928578082</v>
      </c>
    </row>
    <row r="277" spans="1:20" x14ac:dyDescent="0.25">
      <c r="A277" s="5">
        <v>44316</v>
      </c>
      <c r="B277">
        <v>2.3601999999999999</v>
      </c>
      <c r="C277">
        <v>2.7946</v>
      </c>
      <c r="D277">
        <v>2.2982</v>
      </c>
      <c r="E277">
        <v>2.5998999999999999</v>
      </c>
      <c r="F277">
        <v>20427402.170000002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0.2155519742143428</v>
      </c>
      <c r="Q277">
        <f t="shared" si="965"/>
        <v>4403166.8658138504</v>
      </c>
      <c r="R277">
        <f t="shared" si="966"/>
        <v>183673119.58429915</v>
      </c>
      <c r="S277">
        <f t="shared" si="967"/>
        <v>1836.7311958429914</v>
      </c>
      <c r="T277">
        <f t="shared" si="968"/>
        <v>1.8367311958429915</v>
      </c>
    </row>
    <row r="278" spans="1:20" x14ac:dyDescent="0.25">
      <c r="A278" s="5">
        <v>44315</v>
      </c>
      <c r="B278">
        <v>2.3923999999999999</v>
      </c>
      <c r="C278">
        <v>2.4738000000000002</v>
      </c>
      <c r="D278">
        <v>2.1879</v>
      </c>
      <c r="E278">
        <v>2.3613</v>
      </c>
      <c r="F278">
        <v>12467458.16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0.21301154249737558</v>
      </c>
      <c r="Q278">
        <f t="shared" si="965"/>
        <v>2655712.4936830918</v>
      </c>
      <c r="R278">
        <f t="shared" si="966"/>
        <v>179269952.7184853</v>
      </c>
      <c r="S278">
        <f t="shared" si="967"/>
        <v>1792.699527184853</v>
      </c>
      <c r="T278">
        <f t="shared" si="968"/>
        <v>1.7926995271848529</v>
      </c>
    </row>
    <row r="279" spans="1:20" x14ac:dyDescent="0.25">
      <c r="A279" s="5">
        <v>44314</v>
      </c>
      <c r="B279">
        <v>2.3205</v>
      </c>
      <c r="C279">
        <v>2.3965999999999998</v>
      </c>
      <c r="D279">
        <v>2.0577999999999999</v>
      </c>
      <c r="E279">
        <v>2.3933</v>
      </c>
      <c r="F279">
        <v>14160247.039999999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0.98051948051948135</v>
      </c>
      <c r="Q279">
        <f t="shared" si="965"/>
        <v>13884398.071688322</v>
      </c>
      <c r="R279">
        <f t="shared" si="966"/>
        <v>176614240.2248022</v>
      </c>
      <c r="S279">
        <f t="shared" si="967"/>
        <v>1766.1424022480219</v>
      </c>
      <c r="T279">
        <f t="shared" si="968"/>
        <v>1.7661424022480219</v>
      </c>
    </row>
    <row r="280" spans="1:20" x14ac:dyDescent="0.25">
      <c r="A280" s="5">
        <v>44313</v>
      </c>
      <c r="B280">
        <v>1.9783999999999999</v>
      </c>
      <c r="C280">
        <v>2.3399000000000001</v>
      </c>
      <c r="D280">
        <v>1.9247000000000001</v>
      </c>
      <c r="E280">
        <v>2.3195999999999999</v>
      </c>
      <c r="F280">
        <v>16805402.960000001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0.9022157996146426</v>
      </c>
      <c r="Q280">
        <f t="shared" si="965"/>
        <v>15162100.069402682</v>
      </c>
      <c r="R280">
        <f t="shared" si="966"/>
        <v>162729842.15311387</v>
      </c>
      <c r="S280">
        <f t="shared" si="967"/>
        <v>1627.2984215311387</v>
      </c>
      <c r="T280">
        <f t="shared" si="968"/>
        <v>1.6272984215311388</v>
      </c>
    </row>
    <row r="281" spans="1:20" x14ac:dyDescent="0.25">
      <c r="A281" s="5">
        <v>44312</v>
      </c>
      <c r="B281">
        <v>1.7332000000000001</v>
      </c>
      <c r="C281">
        <v>2.032</v>
      </c>
      <c r="D281">
        <v>1.6906000000000001</v>
      </c>
      <c r="E281">
        <v>1.9813000000000001</v>
      </c>
      <c r="F281">
        <v>19078774.140000001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0.70298769771529013</v>
      </c>
      <c r="Q281">
        <f t="shared" si="965"/>
        <v>13412143.507908614</v>
      </c>
      <c r="R281">
        <f t="shared" si="966"/>
        <v>147567742.08371118</v>
      </c>
      <c r="S281">
        <f t="shared" si="967"/>
        <v>1475.6774208371119</v>
      </c>
      <c r="T281">
        <f t="shared" si="968"/>
        <v>1.475677420837112</v>
      </c>
    </row>
    <row r="282" spans="1:20" x14ac:dyDescent="0.25">
      <c r="A282" s="5">
        <v>44311</v>
      </c>
      <c r="B282">
        <v>1.6555</v>
      </c>
      <c r="C282">
        <v>1.8749</v>
      </c>
      <c r="D282">
        <v>1.5752999999999999</v>
      </c>
      <c r="E282">
        <v>1.7332000000000001</v>
      </c>
      <c r="F282">
        <v>10698827.66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5.4072096128171591E-2</v>
      </c>
      <c r="Q282">
        <f t="shared" si="965"/>
        <v>578508.03769026115</v>
      </c>
      <c r="R282">
        <f t="shared" si="966"/>
        <v>134155598.57580256</v>
      </c>
      <c r="S282">
        <f t="shared" si="967"/>
        <v>1341.5559857580256</v>
      </c>
      <c r="T282">
        <f t="shared" si="968"/>
        <v>1.3415559857580257</v>
      </c>
    </row>
    <row r="283" spans="1:20" x14ac:dyDescent="0.25">
      <c r="A283" s="5">
        <v>44310</v>
      </c>
      <c r="B283">
        <v>1.8333999999999999</v>
      </c>
      <c r="C283">
        <v>1.9</v>
      </c>
      <c r="D283">
        <v>1.6371</v>
      </c>
      <c r="E283">
        <v>1.6536999999999999</v>
      </c>
      <c r="F283">
        <v>12272424.9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-0.87371624191707908</v>
      </c>
      <c r="Q283">
        <f t="shared" si="965"/>
        <v>-10722616.962837586</v>
      </c>
      <c r="R283">
        <f t="shared" si="966"/>
        <v>133577090.5381123</v>
      </c>
      <c r="S283">
        <f t="shared" si="967"/>
        <v>1335.7709053811229</v>
      </c>
      <c r="T283">
        <f t="shared" si="968"/>
        <v>1.3357709053811229</v>
      </c>
    </row>
    <row r="284" spans="1:20" x14ac:dyDescent="0.25">
      <c r="A284" s="5">
        <v>44309</v>
      </c>
      <c r="B284">
        <v>1.9177999999999999</v>
      </c>
      <c r="C284">
        <v>1.9766999999999999</v>
      </c>
      <c r="D284">
        <v>1.5227999999999999</v>
      </c>
      <c r="E284">
        <v>1.8335999999999999</v>
      </c>
      <c r="F284">
        <v>23432536.82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0.36946463978849958</v>
      </c>
      <c r="Q284">
        <f t="shared" si="965"/>
        <v>8657493.7755320538</v>
      </c>
      <c r="R284">
        <f t="shared" si="966"/>
        <v>144299707.50094989</v>
      </c>
      <c r="S284">
        <f t="shared" si="967"/>
        <v>1442.997075009499</v>
      </c>
      <c r="T284">
        <f t="shared" si="968"/>
        <v>1.4429970750094989</v>
      </c>
    </row>
    <row r="285" spans="1:20" x14ac:dyDescent="0.25">
      <c r="A285" s="5">
        <v>44308</v>
      </c>
      <c r="B285">
        <v>2.1398000000000001</v>
      </c>
      <c r="C285">
        <v>2.2599999999999998</v>
      </c>
      <c r="D285">
        <v>1.8851</v>
      </c>
      <c r="E285">
        <v>1.9180999999999999</v>
      </c>
      <c r="F285">
        <v>15102391.93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-0.82395305414777309</v>
      </c>
      <c r="Q285">
        <f t="shared" si="965"/>
        <v>-12443661.955660181</v>
      </c>
      <c r="R285">
        <f t="shared" si="966"/>
        <v>135642213.72541782</v>
      </c>
      <c r="S285">
        <f t="shared" si="967"/>
        <v>1356.4221372541783</v>
      </c>
      <c r="T285">
        <f t="shared" si="968"/>
        <v>1.3564221372541783</v>
      </c>
    </row>
    <row r="286" spans="1:20" x14ac:dyDescent="0.25">
      <c r="A286" s="5">
        <v>44307</v>
      </c>
      <c r="B286">
        <v>2.2136</v>
      </c>
      <c r="C286">
        <v>2.35</v>
      </c>
      <c r="D286">
        <v>2.1110000000000002</v>
      </c>
      <c r="E286">
        <v>2.14</v>
      </c>
      <c r="F286">
        <v>10667272.140000001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-0.75732217573221816</v>
      </c>
      <c r="Q286">
        <f t="shared" si="965"/>
        <v>-8078561.7461924758</v>
      </c>
      <c r="R286">
        <f t="shared" si="966"/>
        <v>148085875.68107802</v>
      </c>
      <c r="S286">
        <f t="shared" si="967"/>
        <v>1480.8587568107803</v>
      </c>
      <c r="T286">
        <f t="shared" si="968"/>
        <v>1.4808587568107803</v>
      </c>
    </row>
    <row r="287" spans="1:20" x14ac:dyDescent="0.25">
      <c r="A287" s="5">
        <v>44306</v>
      </c>
      <c r="B287">
        <v>2.1368999999999998</v>
      </c>
      <c r="C287">
        <v>2.3048999999999999</v>
      </c>
      <c r="D287">
        <v>1.8779999999999999</v>
      </c>
      <c r="E287">
        <v>2.2134</v>
      </c>
      <c r="F287">
        <v>17971700.120000001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0.57132817990161677</v>
      </c>
      <c r="Q287">
        <f t="shared" si="965"/>
        <v>10267738.719297267</v>
      </c>
      <c r="R287">
        <f t="shared" si="966"/>
        <v>156164437.4272705</v>
      </c>
      <c r="S287">
        <f t="shared" si="967"/>
        <v>1561.6443742727049</v>
      </c>
      <c r="T287">
        <f t="shared" si="968"/>
        <v>1.5616443742727049</v>
      </c>
    </row>
    <row r="288" spans="1:20" x14ac:dyDescent="0.25">
      <c r="A288" s="5">
        <v>44305</v>
      </c>
      <c r="B288">
        <v>2.3544999999999998</v>
      </c>
      <c r="C288">
        <v>2.4405999999999999</v>
      </c>
      <c r="D288">
        <v>1.9514</v>
      </c>
      <c r="E288">
        <v>2.1366000000000001</v>
      </c>
      <c r="F288">
        <v>17702236.41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-0.24284546197874046</v>
      </c>
      <c r="Q288">
        <f t="shared" si="965"/>
        <v>-4298907.7790433299</v>
      </c>
      <c r="R288">
        <f t="shared" si="966"/>
        <v>145896698.70797324</v>
      </c>
      <c r="S288">
        <f t="shared" si="967"/>
        <v>1458.9669870797325</v>
      </c>
      <c r="T288">
        <f t="shared" si="968"/>
        <v>1.4589669870797324</v>
      </c>
    </row>
    <row r="289" spans="1:20" x14ac:dyDescent="0.25">
      <c r="A289" s="5">
        <v>44304</v>
      </c>
      <c r="B289">
        <v>2.6850999999999998</v>
      </c>
      <c r="C289">
        <v>2.7328999999999999</v>
      </c>
      <c r="D289">
        <v>1.85</v>
      </c>
      <c r="E289">
        <v>2.3540000000000001</v>
      </c>
      <c r="F289">
        <v>19444087.539999999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0.14169215086646306</v>
      </c>
      <c r="Q289">
        <f t="shared" si="965"/>
        <v>2755074.5851783943</v>
      </c>
      <c r="R289">
        <f t="shared" si="966"/>
        <v>150195606.48701656</v>
      </c>
      <c r="S289">
        <f t="shared" si="967"/>
        <v>1501.9560648701656</v>
      </c>
      <c r="T289">
        <f t="shared" si="968"/>
        <v>1.5019560648701655</v>
      </c>
    </row>
    <row r="290" spans="1:20" x14ac:dyDescent="0.25">
      <c r="A290" s="5">
        <v>44303</v>
      </c>
      <c r="B290">
        <v>2.6</v>
      </c>
      <c r="C290">
        <v>2.97</v>
      </c>
      <c r="D290">
        <v>2.6</v>
      </c>
      <c r="E290">
        <v>2.6850999999999998</v>
      </c>
      <c r="F290">
        <v>21052815.239999998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-0.54000000000000159</v>
      </c>
      <c r="Q290">
        <f t="shared" si="965"/>
        <v>-11368520.229600033</v>
      </c>
      <c r="R290">
        <f t="shared" si="966"/>
        <v>147440531.90183815</v>
      </c>
      <c r="S290">
        <f t="shared" si="967"/>
        <v>1474.4053190183815</v>
      </c>
      <c r="T290">
        <f t="shared" si="968"/>
        <v>1.4744053190183815</v>
      </c>
    </row>
    <row r="291" spans="1:20" x14ac:dyDescent="0.25">
      <c r="A291" s="5">
        <v>44302</v>
      </c>
      <c r="B291">
        <v>2.5606</v>
      </c>
      <c r="C291">
        <v>2.6817000000000002</v>
      </c>
      <c r="D291">
        <v>2.4</v>
      </c>
      <c r="E291">
        <v>2.6004</v>
      </c>
      <c r="F291">
        <v>16290410.33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0.42279020234291753</v>
      </c>
      <c r="Q291">
        <f t="shared" si="965"/>
        <v>6887425.8796698544</v>
      </c>
      <c r="R291">
        <f t="shared" si="966"/>
        <v>158809052.1314382</v>
      </c>
      <c r="S291">
        <f t="shared" si="967"/>
        <v>1588.0905213143819</v>
      </c>
      <c r="T291">
        <f t="shared" si="968"/>
        <v>1.5880905213143819</v>
      </c>
    </row>
    <row r="292" spans="1:20" x14ac:dyDescent="0.25">
      <c r="A292" s="5">
        <v>44301</v>
      </c>
      <c r="B292">
        <v>2.5144000000000002</v>
      </c>
      <c r="C292">
        <v>2.6779999999999999</v>
      </c>
      <c r="D292">
        <v>2.4434</v>
      </c>
      <c r="E292">
        <v>2.5585</v>
      </c>
      <c r="F292">
        <v>9875389.3499999996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-1.8755328218243654E-2</v>
      </c>
      <c r="Q292">
        <f t="shared" si="965"/>
        <v>-185216.16854219785</v>
      </c>
      <c r="R292">
        <f t="shared" si="966"/>
        <v>151921626.25176835</v>
      </c>
      <c r="S292">
        <f t="shared" si="967"/>
        <v>1519.2162625176836</v>
      </c>
      <c r="T292">
        <f t="shared" si="968"/>
        <v>1.5192162625176837</v>
      </c>
    </row>
    <row r="293" spans="1:20" x14ac:dyDescent="0.25">
      <c r="A293" s="5">
        <v>44300</v>
      </c>
      <c r="B293">
        <v>2.5785</v>
      </c>
      <c r="C293">
        <v>2.5874999999999999</v>
      </c>
      <c r="D293">
        <v>2.355</v>
      </c>
      <c r="E293">
        <v>2.5158999999999998</v>
      </c>
      <c r="F293">
        <v>9553026.5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0.38408602150537524</v>
      </c>
      <c r="Q293">
        <f t="shared" si="965"/>
        <v>3669183.9417204196</v>
      </c>
      <c r="R293">
        <f t="shared" si="966"/>
        <v>152106842.42031056</v>
      </c>
      <c r="S293">
        <f t="shared" si="967"/>
        <v>1521.0684242031057</v>
      </c>
      <c r="T293">
        <f t="shared" si="968"/>
        <v>1.5210684242031056</v>
      </c>
    </row>
    <row r="294" spans="1:20" x14ac:dyDescent="0.25">
      <c r="A294" s="5">
        <v>44299</v>
      </c>
      <c r="B294">
        <v>2.6661000000000001</v>
      </c>
      <c r="C294">
        <v>2.68</v>
      </c>
      <c r="D294">
        <v>2.5</v>
      </c>
      <c r="E294">
        <v>2.5785999999999998</v>
      </c>
      <c r="F294">
        <v>9950600.9100000001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-0.12666666666666987</v>
      </c>
      <c r="Q294">
        <f t="shared" si="965"/>
        <v>-1260409.4486000319</v>
      </c>
      <c r="R294">
        <f t="shared" si="966"/>
        <v>148437658.47859013</v>
      </c>
      <c r="S294">
        <f t="shared" si="967"/>
        <v>1484.3765847859013</v>
      </c>
      <c r="T294">
        <f t="shared" si="968"/>
        <v>1.4843765847859012</v>
      </c>
    </row>
    <row r="295" spans="1:20" x14ac:dyDescent="0.25">
      <c r="A295" s="5">
        <v>44298</v>
      </c>
      <c r="B295">
        <v>2.5781000000000001</v>
      </c>
      <c r="C295">
        <v>2.85</v>
      </c>
      <c r="D295">
        <v>2.4916999999999998</v>
      </c>
      <c r="E295">
        <v>2.6644000000000001</v>
      </c>
      <c r="F295">
        <v>19434726.149999999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-3.6003349148757129E-2</v>
      </c>
      <c r="Q295">
        <f t="shared" si="965"/>
        <v>-699715.23118893034</v>
      </c>
      <c r="R295">
        <f t="shared" si="966"/>
        <v>149698067.92719015</v>
      </c>
      <c r="S295">
        <f t="shared" si="967"/>
        <v>1496.9806792719016</v>
      </c>
      <c r="T295">
        <f t="shared" si="968"/>
        <v>1.4969806792719016</v>
      </c>
    </row>
    <row r="296" spans="1:20" x14ac:dyDescent="0.25">
      <c r="A296" s="5">
        <v>44297</v>
      </c>
      <c r="B296">
        <v>2.5537000000000001</v>
      </c>
      <c r="C296">
        <v>2.6349</v>
      </c>
      <c r="D296">
        <v>2.4420000000000002</v>
      </c>
      <c r="E296">
        <v>2.5783</v>
      </c>
      <c r="F296">
        <v>7068492.9800000004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0.41316744427164304</v>
      </c>
      <c r="Q296">
        <f t="shared" si="965"/>
        <v>2920471.1793986503</v>
      </c>
      <c r="R296">
        <f t="shared" si="966"/>
        <v>150397783.15837908</v>
      </c>
      <c r="S296">
        <f t="shared" si="967"/>
        <v>1503.9778315837907</v>
      </c>
      <c r="T296">
        <f t="shared" si="968"/>
        <v>1.5039778315837906</v>
      </c>
    </row>
    <row r="297" spans="1:20" x14ac:dyDescent="0.25">
      <c r="A297" s="5">
        <v>44296</v>
      </c>
      <c r="B297">
        <v>2.6334</v>
      </c>
      <c r="C297">
        <v>2.7734999999999999</v>
      </c>
      <c r="D297">
        <v>2.4676999999999998</v>
      </c>
      <c r="E297">
        <v>2.5537000000000001</v>
      </c>
      <c r="F297">
        <v>10614041.779999999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-0.43754087638979544</v>
      </c>
      <c r="Q297">
        <f t="shared" si="965"/>
        <v>-4644077.1424591038</v>
      </c>
      <c r="R297">
        <f t="shared" si="966"/>
        <v>147477311.97898042</v>
      </c>
      <c r="S297">
        <f t="shared" si="967"/>
        <v>1474.7731197898042</v>
      </c>
      <c r="T297">
        <f t="shared" si="968"/>
        <v>1.4747731197898042</v>
      </c>
    </row>
    <row r="298" spans="1:20" x14ac:dyDescent="0.25">
      <c r="A298" s="5">
        <v>44295</v>
      </c>
      <c r="B298">
        <v>2.4821</v>
      </c>
      <c r="C298">
        <v>2.7155999999999998</v>
      </c>
      <c r="D298">
        <v>2.4702000000000002</v>
      </c>
      <c r="E298">
        <v>2.6295000000000002</v>
      </c>
      <c r="F298">
        <v>11940074.16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0.2982885085574592</v>
      </c>
      <c r="Q298">
        <f t="shared" si="965"/>
        <v>3561586.9132518573</v>
      </c>
      <c r="R298">
        <f t="shared" si="966"/>
        <v>152121389.12143952</v>
      </c>
      <c r="S298">
        <f t="shared" si="967"/>
        <v>1521.2138912143951</v>
      </c>
      <c r="T298">
        <f t="shared" si="968"/>
        <v>1.5212138912143951</v>
      </c>
    </row>
    <row r="299" spans="1:20" x14ac:dyDescent="0.25">
      <c r="A299" s="5">
        <v>44294</v>
      </c>
      <c r="B299">
        <v>2.3107000000000002</v>
      </c>
      <c r="C299">
        <v>2.5425</v>
      </c>
      <c r="D299">
        <v>2.2919</v>
      </c>
      <c r="E299">
        <v>2.4822000000000002</v>
      </c>
      <c r="F299">
        <v>11024861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0.51875498802873254</v>
      </c>
      <c r="Q299">
        <f t="shared" si="965"/>
        <v>5719201.6360734403</v>
      </c>
      <c r="R299">
        <f t="shared" si="966"/>
        <v>148559802.20818767</v>
      </c>
      <c r="S299">
        <f t="shared" si="967"/>
        <v>1485.5980220818767</v>
      </c>
      <c r="T299">
        <f t="shared" si="968"/>
        <v>1.4855980220818767</v>
      </c>
    </row>
    <row r="300" spans="1:20" x14ac:dyDescent="0.25">
      <c r="A300" s="5">
        <v>44293</v>
      </c>
      <c r="B300">
        <v>2.4821</v>
      </c>
      <c r="C300">
        <v>2.54</v>
      </c>
      <c r="D300">
        <v>2.2000000000000002</v>
      </c>
      <c r="E300">
        <v>2.3140999999999998</v>
      </c>
      <c r="F300">
        <v>16398030.060000001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-0.32882352941176651</v>
      </c>
      <c r="Q300">
        <f t="shared" si="965"/>
        <v>-5392058.1197294416</v>
      </c>
      <c r="R300">
        <f t="shared" si="966"/>
        <v>142840600.57211423</v>
      </c>
      <c r="S300">
        <f t="shared" si="967"/>
        <v>1428.4060057211423</v>
      </c>
      <c r="T300">
        <f t="shared" si="968"/>
        <v>1.4284060057211423</v>
      </c>
    </row>
    <row r="301" spans="1:20" x14ac:dyDescent="0.25">
      <c r="A301" s="5">
        <v>44292</v>
      </c>
      <c r="B301">
        <v>2.5350000000000001</v>
      </c>
      <c r="C301">
        <v>2.6347999999999998</v>
      </c>
      <c r="D301">
        <v>2.3443999999999998</v>
      </c>
      <c r="E301">
        <v>2.4811000000000001</v>
      </c>
      <c r="F301">
        <v>15028881.41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-5.8539944903579409E-2</v>
      </c>
      <c r="Q301">
        <f t="shared" si="965"/>
        <v>-879789.88970382884</v>
      </c>
      <c r="R301">
        <f t="shared" si="966"/>
        <v>148232658.69184366</v>
      </c>
      <c r="S301">
        <f t="shared" si="967"/>
        <v>1482.3265869184365</v>
      </c>
      <c r="T301">
        <f t="shared" si="968"/>
        <v>1.4823265869184366</v>
      </c>
    </row>
    <row r="302" spans="1:20" x14ac:dyDescent="0.25">
      <c r="A302" s="5">
        <v>44291</v>
      </c>
      <c r="B302">
        <v>2.6105</v>
      </c>
      <c r="C302">
        <v>2.6869000000000001</v>
      </c>
      <c r="D302">
        <v>2.4336000000000002</v>
      </c>
      <c r="E302">
        <v>2.5272000000000001</v>
      </c>
      <c r="F302">
        <v>11785392.640000001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-0.26095538886695652</v>
      </c>
      <c r="Q302">
        <f t="shared" si="965"/>
        <v>-3075461.7193209673</v>
      </c>
      <c r="R302">
        <f t="shared" si="966"/>
        <v>149112448.5815475</v>
      </c>
      <c r="S302">
        <f t="shared" si="967"/>
        <v>1491.1244858154751</v>
      </c>
      <c r="T302">
        <f t="shared" si="968"/>
        <v>1.4911244858154751</v>
      </c>
    </row>
    <row r="303" spans="1:20" x14ac:dyDescent="0.25">
      <c r="A303" s="5">
        <v>44290</v>
      </c>
      <c r="B303">
        <v>2.4685999999999999</v>
      </c>
      <c r="C303">
        <v>2.7002999999999999</v>
      </c>
      <c r="D303">
        <v>2.4236</v>
      </c>
      <c r="E303">
        <v>2.6105</v>
      </c>
      <c r="F303">
        <v>8779797.3300000001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0.35092157571377014</v>
      </c>
      <c r="Q303">
        <f t="shared" si="965"/>
        <v>3081020.3134911521</v>
      </c>
      <c r="R303">
        <f t="shared" si="966"/>
        <v>152187910.30086845</v>
      </c>
      <c r="S303">
        <f t="shared" si="967"/>
        <v>1521.8791030086845</v>
      </c>
      <c r="T303">
        <f t="shared" si="968"/>
        <v>1.5218791030086845</v>
      </c>
    </row>
    <row r="304" spans="1:20" x14ac:dyDescent="0.25">
      <c r="A304" s="5">
        <v>44289</v>
      </c>
      <c r="B304">
        <v>2.7410000000000001</v>
      </c>
      <c r="C304">
        <v>2.7490000000000001</v>
      </c>
      <c r="D304">
        <v>2.4113000000000002</v>
      </c>
      <c r="E304">
        <v>2.4666000000000001</v>
      </c>
      <c r="F304">
        <v>13395330.68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-0.67249037607343842</v>
      </c>
      <c r="Q304">
        <f t="shared" si="965"/>
        <v>-9008230.9666212667</v>
      </c>
      <c r="R304">
        <f t="shared" si="966"/>
        <v>149106889.98737729</v>
      </c>
      <c r="S304">
        <f t="shared" si="967"/>
        <v>1491.0688998737728</v>
      </c>
      <c r="T304">
        <f t="shared" si="968"/>
        <v>1.4910688998737729</v>
      </c>
    </row>
    <row r="305" spans="1:20" x14ac:dyDescent="0.25">
      <c r="A305" s="5">
        <v>44288</v>
      </c>
      <c r="B305">
        <v>2.8068</v>
      </c>
      <c r="C305">
        <v>2.8323999999999998</v>
      </c>
      <c r="D305">
        <v>2.6280000000000001</v>
      </c>
      <c r="E305">
        <v>2.7439</v>
      </c>
      <c r="F305">
        <v>13008125.789999999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0.13405088062622375</v>
      </c>
      <c r="Q305">
        <f t="shared" si="965"/>
        <v>1743750.7174461924</v>
      </c>
      <c r="R305">
        <f t="shared" si="966"/>
        <v>158115120.95399857</v>
      </c>
      <c r="S305">
        <f t="shared" si="967"/>
        <v>1581.1512095399858</v>
      </c>
      <c r="T305">
        <f t="shared" si="968"/>
        <v>1.5811512095399858</v>
      </c>
    </row>
    <row r="306" spans="1:20" x14ac:dyDescent="0.25">
      <c r="A306" s="5">
        <v>44287</v>
      </c>
      <c r="B306">
        <v>3.0308999999999999</v>
      </c>
      <c r="C306">
        <v>3.0531000000000001</v>
      </c>
      <c r="D306">
        <v>2.77</v>
      </c>
      <c r="E306">
        <v>2.8069000000000002</v>
      </c>
      <c r="F306">
        <v>13169407.76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-0.73931472977746282</v>
      </c>
      <c r="Q306">
        <f t="shared" si="965"/>
        <v>-9736337.1394136213</v>
      </c>
      <c r="R306">
        <f t="shared" si="966"/>
        <v>156371370.23655239</v>
      </c>
      <c r="S306">
        <f t="shared" si="967"/>
        <v>1563.7137023655239</v>
      </c>
      <c r="T306">
        <f t="shared" si="968"/>
        <v>1.5637137023655239</v>
      </c>
    </row>
    <row r="307" spans="1:20" x14ac:dyDescent="0.25">
      <c r="A307" s="5">
        <v>44286</v>
      </c>
      <c r="B307">
        <v>2.6613000000000002</v>
      </c>
      <c r="C307">
        <v>3.2</v>
      </c>
      <c r="D307">
        <v>2.6577999999999999</v>
      </c>
      <c r="E307">
        <v>3.0308000000000002</v>
      </c>
      <c r="F307">
        <v>29702927.989999998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0.37587606049428274</v>
      </c>
      <c r="Q307">
        <f t="shared" si="965"/>
        <v>11164619.558026563</v>
      </c>
      <c r="R307">
        <f t="shared" si="966"/>
        <v>166107707.37596601</v>
      </c>
      <c r="S307">
        <f t="shared" si="967"/>
        <v>1661.0770737596602</v>
      </c>
      <c r="T307">
        <f t="shared" si="968"/>
        <v>1.6610770737596601</v>
      </c>
    </row>
    <row r="308" spans="1:20" x14ac:dyDescent="0.25">
      <c r="A308" s="5">
        <v>44285</v>
      </c>
      <c r="B308">
        <v>2.5676999999999999</v>
      </c>
      <c r="C308">
        <v>2.8837999999999999</v>
      </c>
      <c r="D308">
        <v>2.5182000000000002</v>
      </c>
      <c r="E308">
        <v>2.6613000000000002</v>
      </c>
      <c r="F308">
        <v>17693575.859999999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-0.21717724288840196</v>
      </c>
      <c r="Q308">
        <f t="shared" si="965"/>
        <v>-3842642.0221115854</v>
      </c>
      <c r="R308">
        <f t="shared" si="966"/>
        <v>154943087.81793946</v>
      </c>
      <c r="S308">
        <f t="shared" si="967"/>
        <v>1549.4308781793945</v>
      </c>
      <c r="T308">
        <f t="shared" si="968"/>
        <v>1.5494308781793946</v>
      </c>
    </row>
    <row r="309" spans="1:20" x14ac:dyDescent="0.25">
      <c r="A309" s="5">
        <v>44284</v>
      </c>
      <c r="B309">
        <v>2.34</v>
      </c>
      <c r="C309">
        <v>2.73</v>
      </c>
      <c r="D309">
        <v>2.2397</v>
      </c>
      <c r="E309">
        <v>2.5672999999999999</v>
      </c>
      <c r="F309">
        <v>21376724.260000002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0.33632469916377694</v>
      </c>
      <c r="Q309">
        <f t="shared" si="965"/>
        <v>7189520.3558515124</v>
      </c>
      <c r="R309">
        <f t="shared" si="966"/>
        <v>158785729.84005105</v>
      </c>
      <c r="S309">
        <f t="shared" si="967"/>
        <v>1587.8572984005104</v>
      </c>
      <c r="T309">
        <f t="shared" si="968"/>
        <v>1.5878572984005104</v>
      </c>
    </row>
    <row r="310" spans="1:20" x14ac:dyDescent="0.25">
      <c r="A310" s="5">
        <v>44283</v>
      </c>
      <c r="B310">
        <v>2.1795</v>
      </c>
      <c r="C310">
        <v>2.6714000000000002</v>
      </c>
      <c r="D310">
        <v>2.1762000000000001</v>
      </c>
      <c r="E310">
        <v>2.3399000000000001</v>
      </c>
      <c r="F310">
        <v>33487958.039999999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-0.3388529886914381</v>
      </c>
      <c r="Q310">
        <f t="shared" si="965"/>
        <v>-11347494.667027473</v>
      </c>
      <c r="R310">
        <f t="shared" si="966"/>
        <v>151596209.48419955</v>
      </c>
      <c r="S310">
        <f t="shared" si="967"/>
        <v>1515.9620948419956</v>
      </c>
      <c r="T310">
        <f t="shared" si="968"/>
        <v>1.5159620948419956</v>
      </c>
    </row>
    <row r="311" spans="1:20" x14ac:dyDescent="0.25">
      <c r="A311" s="5">
        <v>44282</v>
      </c>
      <c r="B311">
        <v>2.0415999999999999</v>
      </c>
      <c r="C311">
        <v>2.2679999999999998</v>
      </c>
      <c r="D311">
        <v>1.9618</v>
      </c>
      <c r="E311">
        <v>2.1777000000000002</v>
      </c>
      <c r="F311">
        <v>17671738.260000002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0.41018941868060316</v>
      </c>
      <c r="Q311">
        <f t="shared" si="965"/>
        <v>7248760.0439451747</v>
      </c>
      <c r="R311">
        <f t="shared" si="966"/>
        <v>162943704.15122703</v>
      </c>
      <c r="S311">
        <f t="shared" si="967"/>
        <v>1629.4370415122703</v>
      </c>
      <c r="T311">
        <f t="shared" si="968"/>
        <v>1.6294370415122703</v>
      </c>
    </row>
    <row r="312" spans="1:20" x14ac:dyDescent="0.25">
      <c r="A312" s="5">
        <v>44281</v>
      </c>
      <c r="B312">
        <v>1.8099000000000001</v>
      </c>
      <c r="C312">
        <v>2.0554999999999999</v>
      </c>
      <c r="D312">
        <v>1.7</v>
      </c>
      <c r="E312">
        <v>2.0415999999999999</v>
      </c>
      <c r="F312">
        <v>10005548.949999999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0.92180028129395208</v>
      </c>
      <c r="Q312">
        <f t="shared" si="965"/>
        <v>9223117.8366104066</v>
      </c>
      <c r="R312">
        <f t="shared" si="966"/>
        <v>155694944.10728186</v>
      </c>
      <c r="S312">
        <f t="shared" si="967"/>
        <v>1556.9494410728187</v>
      </c>
      <c r="T312">
        <f t="shared" si="968"/>
        <v>1.5569494410728186</v>
      </c>
    </row>
    <row r="313" spans="1:20" x14ac:dyDescent="0.25">
      <c r="A313" s="5">
        <v>44280</v>
      </c>
      <c r="B313">
        <v>1.8924000000000001</v>
      </c>
      <c r="C313">
        <v>1.9200999999999999</v>
      </c>
      <c r="D313">
        <v>1.7191000000000001</v>
      </c>
      <c r="E313">
        <v>1.8076000000000001</v>
      </c>
      <c r="F313">
        <v>10621050.32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-0.11940298507462596</v>
      </c>
      <c r="Q313">
        <f t="shared" si="965"/>
        <v>-1268185.1128358112</v>
      </c>
      <c r="R313">
        <f t="shared" si="966"/>
        <v>146471826.27067146</v>
      </c>
      <c r="S313">
        <f t="shared" si="967"/>
        <v>1464.7182627067145</v>
      </c>
      <c r="T313">
        <f t="shared" si="968"/>
        <v>1.4647182627067146</v>
      </c>
    </row>
    <row r="314" spans="1:20" x14ac:dyDescent="0.25">
      <c r="A314" s="5">
        <v>44279</v>
      </c>
      <c r="B314">
        <v>1.8774</v>
      </c>
      <c r="C314">
        <v>2.173</v>
      </c>
      <c r="D314">
        <v>1.8</v>
      </c>
      <c r="E314">
        <v>1.8978999999999999</v>
      </c>
      <c r="F314">
        <v>22812444.93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-0.47506702412868701</v>
      </c>
      <c r="Q314">
        <f t="shared" si="965"/>
        <v>-10837440.325994654</v>
      </c>
      <c r="R314">
        <f t="shared" si="966"/>
        <v>147740011.38350728</v>
      </c>
      <c r="S314">
        <f t="shared" si="967"/>
        <v>1477.4001138350727</v>
      </c>
      <c r="T314">
        <f t="shared" si="968"/>
        <v>1.4774001138350727</v>
      </c>
    </row>
    <row r="315" spans="1:20" x14ac:dyDescent="0.25">
      <c r="A315" s="5">
        <v>44278</v>
      </c>
      <c r="B315">
        <v>1.837</v>
      </c>
      <c r="C315">
        <v>1.9367000000000001</v>
      </c>
      <c r="D315">
        <v>1.7462</v>
      </c>
      <c r="E315">
        <v>1.8736999999999999</v>
      </c>
      <c r="F315">
        <v>9253161.9299999997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0.33858267716535295</v>
      </c>
      <c r="Q315">
        <f t="shared" si="965"/>
        <v>3132960.3385039242</v>
      </c>
      <c r="R315">
        <f t="shared" si="966"/>
        <v>158577451.70950192</v>
      </c>
      <c r="S315">
        <f t="shared" si="967"/>
        <v>1585.7745170950193</v>
      </c>
      <c r="T315">
        <f t="shared" si="968"/>
        <v>1.5857745170950193</v>
      </c>
    </row>
    <row r="316" spans="1:20" x14ac:dyDescent="0.25">
      <c r="A316" s="5">
        <v>44277</v>
      </c>
      <c r="B316">
        <v>1.9347000000000001</v>
      </c>
      <c r="C316">
        <v>2.0238</v>
      </c>
      <c r="D316">
        <v>1.8212999999999999</v>
      </c>
      <c r="E316">
        <v>1.8366</v>
      </c>
      <c r="F316">
        <v>9572618.8000000007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-0.84888888888888803</v>
      </c>
      <c r="Q316">
        <f t="shared" si="965"/>
        <v>-8126089.7368888808</v>
      </c>
      <c r="R316">
        <f t="shared" si="966"/>
        <v>155444491.370998</v>
      </c>
      <c r="S316">
        <f t="shared" si="967"/>
        <v>1554.44491370998</v>
      </c>
      <c r="T316">
        <f t="shared" si="968"/>
        <v>1.5544449137099801</v>
      </c>
    </row>
    <row r="317" spans="1:20" x14ac:dyDescent="0.25">
      <c r="A317" s="5">
        <v>44276</v>
      </c>
      <c r="B317">
        <v>1.9256</v>
      </c>
      <c r="C317">
        <v>1.9824999999999999</v>
      </c>
      <c r="D317">
        <v>1.835</v>
      </c>
      <c r="E317">
        <v>1.9370000000000001</v>
      </c>
      <c r="F317">
        <v>7458246.0599999996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0.38305084745762868</v>
      </c>
      <c r="Q317">
        <f t="shared" si="965"/>
        <v>2856887.4738305202</v>
      </c>
      <c r="R317">
        <f t="shared" si="966"/>
        <v>163570581.10788688</v>
      </c>
      <c r="S317">
        <f t="shared" si="967"/>
        <v>1635.7058110788689</v>
      </c>
      <c r="T317">
        <f t="shared" si="968"/>
        <v>1.6357058110788689</v>
      </c>
    </row>
    <row r="318" spans="1:20" x14ac:dyDescent="0.25">
      <c r="A318" s="5">
        <v>44275</v>
      </c>
      <c r="B318">
        <v>1.9673</v>
      </c>
      <c r="C318">
        <v>2.145</v>
      </c>
      <c r="D318">
        <v>1.9181999999999999</v>
      </c>
      <c r="E318">
        <v>1.9247000000000001</v>
      </c>
      <c r="F318">
        <v>11658393.130000001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-0.94268077601410782</v>
      </c>
      <c r="Q318">
        <f t="shared" si="965"/>
        <v>-10990143.082865944</v>
      </c>
      <c r="R318">
        <f t="shared" si="966"/>
        <v>160713693.63405636</v>
      </c>
      <c r="S318">
        <f t="shared" si="967"/>
        <v>1607.1369363405636</v>
      </c>
      <c r="T318">
        <f t="shared" si="968"/>
        <v>1.6071369363405636</v>
      </c>
    </row>
    <row r="319" spans="1:20" x14ac:dyDescent="0.25">
      <c r="A319" s="5">
        <v>44274</v>
      </c>
      <c r="B319">
        <v>1.8674999999999999</v>
      </c>
      <c r="C319">
        <v>2.0868000000000002</v>
      </c>
      <c r="D319">
        <v>1.8101</v>
      </c>
      <c r="E319">
        <v>1.9661999999999999</v>
      </c>
      <c r="F319">
        <v>12621982.550000001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0.12829779544633041</v>
      </c>
      <c r="Q319">
        <f t="shared" si="965"/>
        <v>1619372.535327052</v>
      </c>
      <c r="R319">
        <f t="shared" si="966"/>
        <v>171703836.71692231</v>
      </c>
      <c r="S319">
        <f t="shared" si="967"/>
        <v>1717.0383671692232</v>
      </c>
      <c r="T319">
        <f t="shared" si="968"/>
        <v>1.7170383671692231</v>
      </c>
    </row>
    <row r="320" spans="1:20" x14ac:dyDescent="0.25">
      <c r="A320" s="5">
        <v>44273</v>
      </c>
      <c r="B320">
        <v>1.8788</v>
      </c>
      <c r="C320">
        <v>1.9930000000000001</v>
      </c>
      <c r="D320">
        <v>1.79</v>
      </c>
      <c r="E320">
        <v>1.8669</v>
      </c>
      <c r="F320">
        <v>14779644.619999999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-0.24236453201970501</v>
      </c>
      <c r="Q320">
        <f t="shared" si="965"/>
        <v>-3582061.6517438507</v>
      </c>
      <c r="R320">
        <f t="shared" si="966"/>
        <v>170084464.18159527</v>
      </c>
      <c r="S320">
        <f t="shared" si="967"/>
        <v>1700.8446418159526</v>
      </c>
      <c r="T320">
        <f t="shared" si="968"/>
        <v>1.7008446418159526</v>
      </c>
    </row>
    <row r="321" spans="1:20" x14ac:dyDescent="0.25">
      <c r="A321" s="5">
        <v>44272</v>
      </c>
      <c r="B321">
        <v>1.9205000000000001</v>
      </c>
      <c r="C321">
        <v>1.96</v>
      </c>
      <c r="D321">
        <v>1.7841</v>
      </c>
      <c r="E321">
        <v>1.8757999999999999</v>
      </c>
      <c r="F321">
        <v>12042479.35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4.2637862421829688E-2</v>
      </c>
      <c r="Q321">
        <f t="shared" si="965"/>
        <v>513465.57774302497</v>
      </c>
      <c r="R321">
        <f t="shared" si="966"/>
        <v>173666525.83333912</v>
      </c>
      <c r="S321">
        <f t="shared" si="967"/>
        <v>1736.6652583333912</v>
      </c>
      <c r="T321">
        <f t="shared" si="968"/>
        <v>1.7366652583333912</v>
      </c>
    </row>
    <row r="322" spans="1:20" x14ac:dyDescent="0.25">
      <c r="A322" s="5">
        <v>44271</v>
      </c>
      <c r="B322">
        <v>1.9458</v>
      </c>
      <c r="C322">
        <v>2.0758000000000001</v>
      </c>
      <c r="D322">
        <v>1.8</v>
      </c>
      <c r="E322">
        <v>1.9204000000000001</v>
      </c>
      <c r="F322">
        <v>22643677.649999999</v>
      </c>
      <c r="G322">
        <v>0</v>
      </c>
      <c r="L322" t="s">
        <v>7</v>
      </c>
      <c r="M322" t="s">
        <v>8</v>
      </c>
      <c r="N322" t="s">
        <v>7</v>
      </c>
      <c r="P322">
        <f t="shared" si="964"/>
        <v>-0.12690355329949207</v>
      </c>
      <c r="Q322">
        <f t="shared" si="965"/>
        <v>-2873563.1535532922</v>
      </c>
      <c r="R322">
        <f t="shared" si="966"/>
        <v>173153060.2555961</v>
      </c>
      <c r="S322">
        <f t="shared" si="967"/>
        <v>1731.530602555961</v>
      </c>
      <c r="T322">
        <f t="shared" si="968"/>
        <v>1.7315306025559609</v>
      </c>
    </row>
    <row r="323" spans="1:20" x14ac:dyDescent="0.25">
      <c r="A323" s="5">
        <v>44270</v>
      </c>
      <c r="B323">
        <v>1.7387999999999999</v>
      </c>
      <c r="C323">
        <v>2.1469</v>
      </c>
      <c r="D323">
        <v>1.6001000000000001</v>
      </c>
      <c r="E323">
        <v>1.9430000000000001</v>
      </c>
      <c r="F323">
        <v>32688440.219999999</v>
      </c>
      <c r="G323">
        <v>0</v>
      </c>
      <c r="L323" t="s">
        <v>8</v>
      </c>
      <c r="M323" t="s">
        <v>7</v>
      </c>
      <c r="N323" t="s">
        <v>7</v>
      </c>
      <c r="P323">
        <f t="shared" si="964"/>
        <v>0.25420629114850041</v>
      </c>
      <c r="Q323">
        <f t="shared" si="965"/>
        <v>8309607.1517556701</v>
      </c>
      <c r="R323">
        <f t="shared" si="966"/>
        <v>176026623.40914938</v>
      </c>
      <c r="S323">
        <f t="shared" si="967"/>
        <v>1760.2662340914937</v>
      </c>
      <c r="T323">
        <f t="shared" si="968"/>
        <v>1.7602662340914939</v>
      </c>
    </row>
    <row r="324" spans="1:20" x14ac:dyDescent="0.25">
      <c r="A324" s="5">
        <v>44269</v>
      </c>
      <c r="B324">
        <v>1.8375999999999999</v>
      </c>
      <c r="C324">
        <v>1.8416999999999999</v>
      </c>
      <c r="D324">
        <v>1.7202999999999999</v>
      </c>
      <c r="E324">
        <v>1.7387999999999999</v>
      </c>
      <c r="F324">
        <v>6921947.2800000003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-0.69522240527182921</v>
      </c>
      <c r="Q324">
        <f t="shared" si="965"/>
        <v>-4812292.837166396</v>
      </c>
      <c r="R324">
        <f t="shared" si="966"/>
        <v>167717016.25739372</v>
      </c>
      <c r="S324">
        <f t="shared" si="967"/>
        <v>1677.1701625739372</v>
      </c>
      <c r="T324">
        <f t="shared" si="968"/>
        <v>1.6771701625739373</v>
      </c>
    </row>
    <row r="325" spans="1:20" x14ac:dyDescent="0.25">
      <c r="A325" s="5">
        <v>44268</v>
      </c>
      <c r="B325">
        <v>1.7938000000000001</v>
      </c>
      <c r="C325">
        <v>1.9</v>
      </c>
      <c r="D325">
        <v>1.6941999999999999</v>
      </c>
      <c r="E325">
        <v>1.8371</v>
      </c>
      <c r="F325">
        <v>9860188.1500000004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0.38872691933916459</v>
      </c>
      <c r="Q325">
        <f t="shared" si="965"/>
        <v>3832920.5636540367</v>
      </c>
      <c r="R325">
        <f t="shared" si="966"/>
        <v>172529309.09456012</v>
      </c>
      <c r="S325">
        <f t="shared" si="967"/>
        <v>1725.2930909456011</v>
      </c>
      <c r="T325">
        <f t="shared" si="968"/>
        <v>1.725293090945601</v>
      </c>
    </row>
    <row r="326" spans="1:20" x14ac:dyDescent="0.25">
      <c r="A326" s="5">
        <v>44267</v>
      </c>
      <c r="B326">
        <v>1.8879999999999999</v>
      </c>
      <c r="C326">
        <v>1.9056</v>
      </c>
      <c r="D326">
        <v>1.73</v>
      </c>
      <c r="E326">
        <v>1.7958000000000001</v>
      </c>
      <c r="F326">
        <v>9932039.2599999998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-0.25056947608200353</v>
      </c>
      <c r="Q326">
        <f t="shared" ref="Q326:Q389" si="970">F326*P326</f>
        <v>-2488665.8738040901</v>
      </c>
      <c r="R326">
        <f t="shared" ref="R326:R389" si="971">R327+Q326</f>
        <v>168696388.53090608</v>
      </c>
      <c r="S326">
        <f t="shared" ref="S326:S389" si="972">R326/100000</f>
        <v>1686.9638853090607</v>
      </c>
      <c r="T326">
        <f t="shared" ref="T326:T389" si="973">S326/1000</f>
        <v>1.6869638853090607</v>
      </c>
    </row>
    <row r="327" spans="1:20" x14ac:dyDescent="0.25">
      <c r="A327" s="5">
        <v>44266</v>
      </c>
      <c r="B327">
        <v>1.8608</v>
      </c>
      <c r="C327">
        <v>1.9838</v>
      </c>
      <c r="D327">
        <v>1.7979000000000001</v>
      </c>
      <c r="E327">
        <v>1.8846000000000001</v>
      </c>
      <c r="F327">
        <v>13222750.68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-6.7240451855836256E-2</v>
      </c>
      <c r="Q327">
        <f t="shared" si="970"/>
        <v>-889103.73050026607</v>
      </c>
      <c r="R327">
        <f t="shared" si="971"/>
        <v>171185054.40471017</v>
      </c>
      <c r="S327">
        <f t="shared" si="972"/>
        <v>1711.8505440471017</v>
      </c>
      <c r="T327">
        <f t="shared" si="973"/>
        <v>1.7118505440471017</v>
      </c>
    </row>
    <row r="328" spans="1:20" x14ac:dyDescent="0.25">
      <c r="A328" s="5">
        <v>44265</v>
      </c>
      <c r="B328">
        <v>1.9823999999999999</v>
      </c>
      <c r="C328">
        <v>1.986</v>
      </c>
      <c r="D328">
        <v>1.7938000000000001</v>
      </c>
      <c r="E328">
        <v>1.8591</v>
      </c>
      <c r="F328">
        <v>9113955.2899999991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-0.32049947970863746</v>
      </c>
      <c r="Q328">
        <f t="shared" si="970"/>
        <v>-2921017.9285327839</v>
      </c>
      <c r="R328">
        <f t="shared" si="971"/>
        <v>172074158.13521045</v>
      </c>
      <c r="S328">
        <f t="shared" si="972"/>
        <v>1720.7415813521045</v>
      </c>
      <c r="T328">
        <f t="shared" si="973"/>
        <v>1.7207415813521045</v>
      </c>
    </row>
    <row r="329" spans="1:20" x14ac:dyDescent="0.25">
      <c r="A329" s="5">
        <v>44264</v>
      </c>
      <c r="B329">
        <v>1.8922000000000001</v>
      </c>
      <c r="C329">
        <v>2.13</v>
      </c>
      <c r="D329">
        <v>1.8323</v>
      </c>
      <c r="E329">
        <v>1.9805999999999999</v>
      </c>
      <c r="F329">
        <v>16912034.620000001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-3.694994961370848E-3</v>
      </c>
      <c r="Q329">
        <f t="shared" si="970"/>
        <v>-62489.882707429351</v>
      </c>
      <c r="R329">
        <f t="shared" si="971"/>
        <v>174995176.06374323</v>
      </c>
      <c r="S329">
        <f t="shared" si="972"/>
        <v>1749.9517606374322</v>
      </c>
      <c r="T329">
        <f t="shared" si="973"/>
        <v>1.7499517606374322</v>
      </c>
    </row>
    <row r="330" spans="1:20" x14ac:dyDescent="0.25">
      <c r="A330" s="5">
        <v>44263</v>
      </c>
      <c r="B330">
        <v>1.9562999999999999</v>
      </c>
      <c r="C330">
        <v>1.9910000000000001</v>
      </c>
      <c r="D330">
        <v>1.7889999999999999</v>
      </c>
      <c r="E330">
        <v>1.889</v>
      </c>
      <c r="F330">
        <v>14060958.439999999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-9.9009900990099011E-3</v>
      </c>
      <c r="Q330">
        <f t="shared" si="970"/>
        <v>-139217.41029702971</v>
      </c>
      <c r="R330">
        <f t="shared" si="971"/>
        <v>175057665.94645065</v>
      </c>
      <c r="S330">
        <f t="shared" si="972"/>
        <v>1750.5766594645065</v>
      </c>
      <c r="T330">
        <f t="shared" si="973"/>
        <v>1.7505766594645065</v>
      </c>
    </row>
    <row r="331" spans="1:20" x14ac:dyDescent="0.25">
      <c r="A331" s="5">
        <v>44262</v>
      </c>
      <c r="B331">
        <v>1.8414999999999999</v>
      </c>
      <c r="C331">
        <v>1.97</v>
      </c>
      <c r="D331">
        <v>1.8411</v>
      </c>
      <c r="E331">
        <v>1.958</v>
      </c>
      <c r="F331">
        <v>9393731.2400000002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0.81380915438324264</v>
      </c>
      <c r="Q331">
        <f t="shared" si="970"/>
        <v>7644704.4769278495</v>
      </c>
      <c r="R331">
        <f t="shared" si="971"/>
        <v>175196883.35674769</v>
      </c>
      <c r="S331">
        <f t="shared" si="972"/>
        <v>1751.9688335674768</v>
      </c>
      <c r="T331">
        <f t="shared" si="973"/>
        <v>1.7519688335674768</v>
      </c>
    </row>
    <row r="332" spans="1:20" x14ac:dyDescent="0.25">
      <c r="A332" s="5">
        <v>44261</v>
      </c>
      <c r="B332">
        <v>1.8597999999999999</v>
      </c>
      <c r="C332">
        <v>1.8827</v>
      </c>
      <c r="D332">
        <v>1.7128000000000001</v>
      </c>
      <c r="E332">
        <v>1.8405</v>
      </c>
      <c r="F332">
        <v>7744918.7800000003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0.50323719835197134</v>
      </c>
      <c r="Q332">
        <f t="shared" si="970"/>
        <v>3897531.228310768</v>
      </c>
      <c r="R332">
        <f t="shared" si="971"/>
        <v>167552178.87981984</v>
      </c>
      <c r="S332">
        <f t="shared" si="972"/>
        <v>1675.5217887981985</v>
      </c>
      <c r="T332">
        <f t="shared" si="973"/>
        <v>1.6755217887981986</v>
      </c>
    </row>
    <row r="333" spans="1:20" x14ac:dyDescent="0.25">
      <c r="A333" s="5">
        <v>44260</v>
      </c>
      <c r="B333">
        <v>1.9365000000000001</v>
      </c>
      <c r="C333">
        <v>1.9407000000000001</v>
      </c>
      <c r="D333">
        <v>1.7341</v>
      </c>
      <c r="E333">
        <v>1.8594999999999999</v>
      </c>
      <c r="F333">
        <v>16775767.289999999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0.21393998063891467</v>
      </c>
      <c r="Q333">
        <f t="shared" si="970"/>
        <v>3589007.3292255378</v>
      </c>
      <c r="R333">
        <f t="shared" si="971"/>
        <v>163654647.65150908</v>
      </c>
      <c r="S333">
        <f t="shared" si="972"/>
        <v>1636.5464765150907</v>
      </c>
      <c r="T333">
        <f t="shared" si="973"/>
        <v>1.6365464765150908</v>
      </c>
    </row>
    <row r="334" spans="1:20" x14ac:dyDescent="0.25">
      <c r="A334" s="5">
        <v>44259</v>
      </c>
      <c r="B334">
        <v>1.7767999999999999</v>
      </c>
      <c r="C334">
        <v>2.3308</v>
      </c>
      <c r="D334">
        <v>1.7047000000000001</v>
      </c>
      <c r="E334">
        <v>1.9399</v>
      </c>
      <c r="F334">
        <v>45533250.770000003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-0.24868231911835204</v>
      </c>
      <c r="Q334">
        <f t="shared" si="970"/>
        <v>-11323314.39848109</v>
      </c>
      <c r="R334">
        <f t="shared" si="971"/>
        <v>160065640.32228354</v>
      </c>
      <c r="S334">
        <f t="shared" si="972"/>
        <v>1600.6564032228353</v>
      </c>
      <c r="T334">
        <f t="shared" si="973"/>
        <v>1.6006564032228352</v>
      </c>
    </row>
    <row r="335" spans="1:20" x14ac:dyDescent="0.25">
      <c r="A335" s="5">
        <v>44258</v>
      </c>
      <c r="B335">
        <v>1.6580999999999999</v>
      </c>
      <c r="C335">
        <v>1.8331999999999999</v>
      </c>
      <c r="D335">
        <v>1.6408</v>
      </c>
      <c r="E335">
        <v>1.7767999999999999</v>
      </c>
      <c r="F335">
        <v>15832367.880000001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0.41372141372141336</v>
      </c>
      <c r="Q335">
        <f t="shared" si="970"/>
        <v>6550189.6218710961</v>
      </c>
      <c r="R335">
        <f t="shared" si="971"/>
        <v>171388954.72076464</v>
      </c>
      <c r="S335">
        <f t="shared" si="972"/>
        <v>1713.8895472076463</v>
      </c>
      <c r="T335">
        <f t="shared" si="973"/>
        <v>1.7138895472076463</v>
      </c>
    </row>
    <row r="336" spans="1:20" x14ac:dyDescent="0.25">
      <c r="A336" s="5">
        <v>44257</v>
      </c>
      <c r="B336">
        <v>1.6718999999999999</v>
      </c>
      <c r="C336">
        <v>1.78</v>
      </c>
      <c r="D336">
        <v>1.5508</v>
      </c>
      <c r="E336">
        <v>1.661</v>
      </c>
      <c r="F336">
        <v>16562694.18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-3.8394415357765777E-2</v>
      </c>
      <c r="Q336">
        <f t="shared" si="970"/>
        <v>-635914.95979056985</v>
      </c>
      <c r="R336">
        <f t="shared" si="971"/>
        <v>164838765.09889355</v>
      </c>
      <c r="S336">
        <f t="shared" si="972"/>
        <v>1648.3876509889355</v>
      </c>
      <c r="T336">
        <f t="shared" si="973"/>
        <v>1.6483876509889355</v>
      </c>
    </row>
    <row r="337" spans="1:20" x14ac:dyDescent="0.25">
      <c r="A337" s="5">
        <v>44256</v>
      </c>
      <c r="B337">
        <v>1.3957999999999999</v>
      </c>
      <c r="C337">
        <v>1.7337</v>
      </c>
      <c r="D337">
        <v>1.3832</v>
      </c>
      <c r="E337">
        <v>1.6715</v>
      </c>
      <c r="F337">
        <v>17347419.66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0.64507845934379437</v>
      </c>
      <c r="Q337">
        <f t="shared" si="970"/>
        <v>11190446.747863049</v>
      </c>
      <c r="R337">
        <f t="shared" si="971"/>
        <v>165474680.05868411</v>
      </c>
      <c r="S337">
        <f t="shared" si="972"/>
        <v>1654.7468005868411</v>
      </c>
      <c r="T337">
        <f t="shared" si="973"/>
        <v>1.6547468005868411</v>
      </c>
    </row>
    <row r="338" spans="1:20" x14ac:dyDescent="0.25">
      <c r="A338" s="5">
        <v>44255</v>
      </c>
      <c r="B338">
        <v>1.5283</v>
      </c>
      <c r="C338">
        <v>1.59</v>
      </c>
      <c r="D338">
        <v>1.2937000000000001</v>
      </c>
      <c r="E338">
        <v>1.3918999999999999</v>
      </c>
      <c r="F338">
        <v>17306272.390000001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-0.33715828552143207</v>
      </c>
      <c r="Q338">
        <f t="shared" si="970"/>
        <v>-5834953.1277792966</v>
      </c>
      <c r="R338">
        <f t="shared" si="971"/>
        <v>154284233.31082106</v>
      </c>
      <c r="S338">
        <f t="shared" si="972"/>
        <v>1542.8423331082106</v>
      </c>
      <c r="T338">
        <f t="shared" si="973"/>
        <v>1.5428423331082106</v>
      </c>
    </row>
    <row r="339" spans="1:20" x14ac:dyDescent="0.25">
      <c r="A339" s="5">
        <v>44254</v>
      </c>
      <c r="B339">
        <v>1.4839</v>
      </c>
      <c r="C339">
        <v>1.6333</v>
      </c>
      <c r="D339">
        <v>1.4732000000000001</v>
      </c>
      <c r="E339">
        <v>1.5276000000000001</v>
      </c>
      <c r="F339">
        <v>13957989.25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-0.32042473454091147</v>
      </c>
      <c r="Q339">
        <f t="shared" si="970"/>
        <v>-4472485.0001561455</v>
      </c>
      <c r="R339">
        <f t="shared" si="971"/>
        <v>160119186.43860036</v>
      </c>
      <c r="S339">
        <f t="shared" si="972"/>
        <v>1601.1918643860035</v>
      </c>
      <c r="T339">
        <f t="shared" si="973"/>
        <v>1.6011918643860035</v>
      </c>
    </row>
    <row r="340" spans="1:20" x14ac:dyDescent="0.25">
      <c r="A340" s="5">
        <v>44253</v>
      </c>
      <c r="B340">
        <v>1.5406</v>
      </c>
      <c r="C340">
        <v>1.6400999999999999</v>
      </c>
      <c r="D340">
        <v>1.4020999999999999</v>
      </c>
      <c r="E340">
        <v>1.4843999999999999</v>
      </c>
      <c r="F340">
        <v>22515786.84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-0.30840336134453744</v>
      </c>
      <c r="Q340">
        <f t="shared" si="970"/>
        <v>-6943944.3447731007</v>
      </c>
      <c r="R340">
        <f t="shared" si="971"/>
        <v>164591671.4387565</v>
      </c>
      <c r="S340">
        <f t="shared" si="972"/>
        <v>1645.916714387565</v>
      </c>
      <c r="T340">
        <f t="shared" si="973"/>
        <v>1.645916714387565</v>
      </c>
    </row>
    <row r="341" spans="1:20" x14ac:dyDescent="0.25">
      <c r="A341" s="5">
        <v>44252</v>
      </c>
      <c r="B341">
        <v>1.6687000000000001</v>
      </c>
      <c r="C341">
        <v>1.889</v>
      </c>
      <c r="D341">
        <v>1.5167999999999999</v>
      </c>
      <c r="E341">
        <v>1.5406</v>
      </c>
      <c r="F341">
        <v>25201706.989999998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-0.87211176786673816</v>
      </c>
      <c r="Q341">
        <f t="shared" si="970"/>
        <v>-21978705.236308429</v>
      </c>
      <c r="R341">
        <f t="shared" si="971"/>
        <v>171535615.78352961</v>
      </c>
      <c r="S341">
        <f t="shared" si="972"/>
        <v>1715.356157835296</v>
      </c>
      <c r="T341">
        <f t="shared" si="973"/>
        <v>1.715356157835296</v>
      </c>
    </row>
    <row r="342" spans="1:20" x14ac:dyDescent="0.25">
      <c r="A342" s="5">
        <v>44251</v>
      </c>
      <c r="B342">
        <v>1.4588000000000001</v>
      </c>
      <c r="C342">
        <v>1.91</v>
      </c>
      <c r="D342">
        <v>1.35</v>
      </c>
      <c r="E342">
        <v>1.6695</v>
      </c>
      <c r="F342">
        <v>35951754.960000001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0.14107142857142854</v>
      </c>
      <c r="Q342">
        <f t="shared" si="970"/>
        <v>5071765.4318571417</v>
      </c>
      <c r="R342">
        <f t="shared" si="971"/>
        <v>193514321.01983804</v>
      </c>
      <c r="S342">
        <f t="shared" si="972"/>
        <v>1935.1432101983803</v>
      </c>
      <c r="T342">
        <f t="shared" si="973"/>
        <v>1.9351432101983803</v>
      </c>
    </row>
    <row r="343" spans="1:20" x14ac:dyDescent="0.25">
      <c r="A343" s="5">
        <v>44250</v>
      </c>
      <c r="B343">
        <v>1.8104</v>
      </c>
      <c r="C343">
        <v>1.8275999999999999</v>
      </c>
      <c r="D343">
        <v>1.1539999999999999</v>
      </c>
      <c r="E343">
        <v>1.4568000000000001</v>
      </c>
      <c r="F343">
        <v>48081347.659999996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-0.10095011876484504</v>
      </c>
      <c r="Q343">
        <f t="shared" si="970"/>
        <v>-4853817.7566508036</v>
      </c>
      <c r="R343">
        <f t="shared" si="971"/>
        <v>188442555.5879809</v>
      </c>
      <c r="S343">
        <f t="shared" si="972"/>
        <v>1884.4255558798091</v>
      </c>
      <c r="T343">
        <f t="shared" si="973"/>
        <v>1.8844255558798091</v>
      </c>
    </row>
    <row r="344" spans="1:20" x14ac:dyDescent="0.25">
      <c r="A344" s="5">
        <v>44249</v>
      </c>
      <c r="B344">
        <v>2.0392000000000001</v>
      </c>
      <c r="C344">
        <v>2.0499000000000001</v>
      </c>
      <c r="D344">
        <v>1.46</v>
      </c>
      <c r="E344">
        <v>1.8129</v>
      </c>
      <c r="F344">
        <v>37245434.030000001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0.19647397864044733</v>
      </c>
      <c r="Q344">
        <f t="shared" si="970"/>
        <v>7317758.6100644106</v>
      </c>
      <c r="R344">
        <f t="shared" si="971"/>
        <v>193296373.3446317</v>
      </c>
      <c r="S344">
        <f t="shared" si="972"/>
        <v>1932.9637334463171</v>
      </c>
      <c r="T344">
        <f t="shared" si="973"/>
        <v>1.932963733446317</v>
      </c>
    </row>
    <row r="345" spans="1:20" x14ac:dyDescent="0.25">
      <c r="A345" s="5">
        <v>44248</v>
      </c>
      <c r="B345">
        <v>2.0461</v>
      </c>
      <c r="C345">
        <v>2.1789000000000001</v>
      </c>
      <c r="D345">
        <v>1.9478</v>
      </c>
      <c r="E345">
        <v>2.0415999999999999</v>
      </c>
      <c r="F345">
        <v>17561387.129999999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-0.18823020337516358</v>
      </c>
      <c r="Q345">
        <f t="shared" si="970"/>
        <v>-3305583.47102988</v>
      </c>
      <c r="R345">
        <f t="shared" si="971"/>
        <v>185978614.73456728</v>
      </c>
      <c r="S345">
        <f t="shared" si="972"/>
        <v>1859.7861473456728</v>
      </c>
      <c r="T345">
        <f t="shared" si="973"/>
        <v>1.8597861473456727</v>
      </c>
    </row>
    <row r="346" spans="1:20" x14ac:dyDescent="0.25">
      <c r="A346" s="5">
        <v>44247</v>
      </c>
      <c r="B346">
        <v>2.2724000000000002</v>
      </c>
      <c r="C346">
        <v>2.2999999999999998</v>
      </c>
      <c r="D346">
        <v>1.9234</v>
      </c>
      <c r="E346">
        <v>2.0461</v>
      </c>
      <c r="F346">
        <v>19986259.059999999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-0.34838024429102449</v>
      </c>
      <c r="Q346">
        <f t="shared" si="970"/>
        <v>-6962817.8137865011</v>
      </c>
      <c r="R346">
        <f t="shared" si="971"/>
        <v>189284198.20559716</v>
      </c>
      <c r="S346">
        <f t="shared" si="972"/>
        <v>1892.8419820559716</v>
      </c>
      <c r="T346">
        <f t="shared" si="973"/>
        <v>1.8928419820559717</v>
      </c>
    </row>
    <row r="347" spans="1:20" x14ac:dyDescent="0.25">
      <c r="A347" s="5">
        <v>44246</v>
      </c>
      <c r="B347">
        <v>2.2618</v>
      </c>
      <c r="C347">
        <v>2.4799000000000002</v>
      </c>
      <c r="D347">
        <v>2.08</v>
      </c>
      <c r="E347">
        <v>2.2766000000000002</v>
      </c>
      <c r="F347">
        <v>31095693.93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-1.67541885471366E-2</v>
      </c>
      <c r="Q347">
        <f t="shared" si="970"/>
        <v>-520983.11910727108</v>
      </c>
      <c r="R347">
        <f t="shared" si="971"/>
        <v>196247016.01938367</v>
      </c>
      <c r="S347">
        <f t="shared" si="972"/>
        <v>1962.4701601938366</v>
      </c>
      <c r="T347">
        <f t="shared" si="973"/>
        <v>1.9624701601938366</v>
      </c>
    </row>
    <row r="348" spans="1:20" x14ac:dyDescent="0.25">
      <c r="A348" s="5">
        <v>44245</v>
      </c>
      <c r="B348">
        <v>1.9668000000000001</v>
      </c>
      <c r="C348">
        <v>2.3450000000000002</v>
      </c>
      <c r="D348">
        <v>1.7965</v>
      </c>
      <c r="E348">
        <v>2.2612999999999999</v>
      </c>
      <c r="F348">
        <v>40534224.780000001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0.6948040109389233</v>
      </c>
      <c r="Q348">
        <f t="shared" si="970"/>
        <v>28163341.957443897</v>
      </c>
      <c r="R348">
        <f t="shared" si="971"/>
        <v>196767999.13849095</v>
      </c>
      <c r="S348">
        <f t="shared" si="972"/>
        <v>1967.6799913849095</v>
      </c>
      <c r="T348">
        <f t="shared" si="973"/>
        <v>1.9676799913849095</v>
      </c>
    </row>
    <row r="349" spans="1:20" x14ac:dyDescent="0.25">
      <c r="A349" s="5">
        <v>44244</v>
      </c>
      <c r="B349">
        <v>1.7250000000000001</v>
      </c>
      <c r="C349">
        <v>1.9779</v>
      </c>
      <c r="D349">
        <v>1.63</v>
      </c>
      <c r="E349">
        <v>1.9668000000000001</v>
      </c>
      <c r="F349">
        <v>24034566.059999999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0.93618855993101535</v>
      </c>
      <c r="Q349">
        <f t="shared" si="970"/>
        <v>22500885.788278256</v>
      </c>
      <c r="R349">
        <f t="shared" si="971"/>
        <v>168604657.18104705</v>
      </c>
      <c r="S349">
        <f t="shared" si="972"/>
        <v>1686.0465718104706</v>
      </c>
      <c r="T349">
        <f t="shared" si="973"/>
        <v>1.6860465718104707</v>
      </c>
    </row>
    <row r="350" spans="1:20" x14ac:dyDescent="0.25">
      <c r="A350" s="5">
        <v>44243</v>
      </c>
      <c r="B350">
        <v>1.7706999999999999</v>
      </c>
      <c r="C350">
        <v>1.9331</v>
      </c>
      <c r="D350">
        <v>1.5887</v>
      </c>
      <c r="E350">
        <v>1.7250000000000001</v>
      </c>
      <c r="F350">
        <v>32359983.329999998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-0.20847851335656173</v>
      </c>
      <c r="Q350">
        <f t="shared" si="970"/>
        <v>-6746361.2168815192</v>
      </c>
      <c r="R350">
        <f t="shared" si="971"/>
        <v>146103771.3927688</v>
      </c>
      <c r="S350">
        <f t="shared" si="972"/>
        <v>1461.0377139276879</v>
      </c>
      <c r="T350">
        <f t="shared" si="973"/>
        <v>1.461037713927688</v>
      </c>
    </row>
    <row r="351" spans="1:20" x14ac:dyDescent="0.25">
      <c r="A351" s="5">
        <v>44242</v>
      </c>
      <c r="B351">
        <v>1.4678</v>
      </c>
      <c r="C351">
        <v>1.9166000000000001</v>
      </c>
      <c r="D351">
        <v>1.1842999999999999</v>
      </c>
      <c r="E351">
        <v>1.7706999999999999</v>
      </c>
      <c r="F351">
        <v>53522417.840000004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0.60152942783012397</v>
      </c>
      <c r="Q351">
        <f t="shared" si="970"/>
        <v>32195309.379380021</v>
      </c>
      <c r="R351">
        <f t="shared" si="971"/>
        <v>152850132.60965031</v>
      </c>
      <c r="S351">
        <f t="shared" si="972"/>
        <v>1528.5013260965031</v>
      </c>
      <c r="T351">
        <f t="shared" si="973"/>
        <v>1.5285013260965032</v>
      </c>
    </row>
    <row r="352" spans="1:20" x14ac:dyDescent="0.25">
      <c r="A352" s="5">
        <v>44241</v>
      </c>
      <c r="B352">
        <v>1.6203000000000001</v>
      </c>
      <c r="C352">
        <v>1.69</v>
      </c>
      <c r="D352">
        <v>1.3942000000000001</v>
      </c>
      <c r="E352">
        <v>1.4652000000000001</v>
      </c>
      <c r="F352">
        <v>21786834.039999999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-0.51994590939824215</v>
      </c>
      <c r="Q352">
        <f t="shared" si="970"/>
        <v>-11327975.237836378</v>
      </c>
      <c r="R352">
        <f t="shared" si="971"/>
        <v>120654823.2302703</v>
      </c>
      <c r="S352">
        <f t="shared" si="972"/>
        <v>1206.5482323027029</v>
      </c>
      <c r="T352">
        <f t="shared" si="973"/>
        <v>1.2065482323027028</v>
      </c>
    </row>
    <row r="353" spans="1:20" x14ac:dyDescent="0.25">
      <c r="A353" s="5">
        <v>44240</v>
      </c>
      <c r="B353">
        <v>1.4262999999999999</v>
      </c>
      <c r="C353">
        <v>1.71</v>
      </c>
      <c r="D353">
        <v>1.3501000000000001</v>
      </c>
      <c r="E353">
        <v>1.6155999999999999</v>
      </c>
      <c r="F353">
        <v>32971486.359999999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0.47540983606557341</v>
      </c>
      <c r="Q353">
        <f t="shared" si="970"/>
        <v>15674968.92524589</v>
      </c>
      <c r="R353">
        <f t="shared" si="971"/>
        <v>131982798.46810667</v>
      </c>
      <c r="S353">
        <f t="shared" si="972"/>
        <v>1319.8279846810667</v>
      </c>
      <c r="T353">
        <f t="shared" si="973"/>
        <v>1.3198279846810668</v>
      </c>
    </row>
    <row r="354" spans="1:20" x14ac:dyDescent="0.25">
      <c r="A354" s="5">
        <v>44239</v>
      </c>
      <c r="B354">
        <v>1.3301000000000001</v>
      </c>
      <c r="C354">
        <v>1.5378000000000001</v>
      </c>
      <c r="D354">
        <v>1.2</v>
      </c>
      <c r="E354">
        <v>1.4273</v>
      </c>
      <c r="F354">
        <v>33028537.25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0.34576672587329776</v>
      </c>
      <c r="Q354">
        <f t="shared" si="970"/>
        <v>11420169.185316755</v>
      </c>
      <c r="R354">
        <f t="shared" si="971"/>
        <v>116307829.54286078</v>
      </c>
      <c r="S354">
        <f t="shared" si="972"/>
        <v>1163.0782954286078</v>
      </c>
      <c r="T354">
        <f t="shared" si="973"/>
        <v>1.1630782954286079</v>
      </c>
    </row>
    <row r="355" spans="1:20" x14ac:dyDescent="0.25">
      <c r="A355" s="5">
        <v>44238</v>
      </c>
      <c r="B355">
        <v>1.2278</v>
      </c>
      <c r="C355">
        <v>1.52</v>
      </c>
      <c r="D355">
        <v>1.1783999999999999</v>
      </c>
      <c r="E355">
        <v>1.3298000000000001</v>
      </c>
      <c r="F355">
        <v>49625410.280000001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-0.11358313817330126</v>
      </c>
      <c r="Q355">
        <f t="shared" si="970"/>
        <v>-5636609.8327400051</v>
      </c>
      <c r="R355">
        <f t="shared" si="971"/>
        <v>104887660.35754402</v>
      </c>
      <c r="S355">
        <f t="shared" si="972"/>
        <v>1048.8766035754402</v>
      </c>
      <c r="T355">
        <f t="shared" si="973"/>
        <v>1.0488766035754402</v>
      </c>
    </row>
    <row r="356" spans="1:20" x14ac:dyDescent="0.25">
      <c r="A356" s="5">
        <v>44237</v>
      </c>
      <c r="B356">
        <v>0.93989999999999996</v>
      </c>
      <c r="C356">
        <v>1.395</v>
      </c>
      <c r="D356">
        <v>0.85119999999999996</v>
      </c>
      <c r="E356">
        <v>1.2270000000000001</v>
      </c>
      <c r="F356">
        <v>71850267.579999998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0.38212578153733023</v>
      </c>
      <c r="Q356">
        <f t="shared" si="970"/>
        <v>27455839.6526738</v>
      </c>
      <c r="R356">
        <f t="shared" si="971"/>
        <v>110524270.19028403</v>
      </c>
      <c r="S356">
        <f t="shared" si="972"/>
        <v>1105.2427019028403</v>
      </c>
      <c r="T356">
        <f t="shared" si="973"/>
        <v>1.1052427019028404</v>
      </c>
    </row>
    <row r="357" spans="1:20" x14ac:dyDescent="0.25">
      <c r="A357" s="5">
        <v>44236</v>
      </c>
      <c r="B357">
        <v>0.84550000000000003</v>
      </c>
      <c r="C357">
        <v>0.96</v>
      </c>
      <c r="D357">
        <v>0.83</v>
      </c>
      <c r="E357">
        <v>0.94040000000000001</v>
      </c>
      <c r="F357">
        <v>31158963.289999999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0.69846153846153924</v>
      </c>
      <c r="Q357">
        <f t="shared" si="970"/>
        <v>21763337.436400022</v>
      </c>
      <c r="R357">
        <f t="shared" si="971"/>
        <v>83068430.537610233</v>
      </c>
      <c r="S357">
        <f t="shared" si="972"/>
        <v>830.68430537610232</v>
      </c>
      <c r="T357">
        <f t="shared" si="973"/>
        <v>0.83068430537610227</v>
      </c>
    </row>
    <row r="358" spans="1:20" x14ac:dyDescent="0.25">
      <c r="A358" s="5">
        <v>44235</v>
      </c>
      <c r="B358">
        <v>0.82489999999999997</v>
      </c>
      <c r="C358">
        <v>0.86499999999999999</v>
      </c>
      <c r="D358">
        <v>0.79679999999999995</v>
      </c>
      <c r="E358">
        <v>0.84550000000000003</v>
      </c>
      <c r="F358">
        <v>16894309.809999999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0.42815249266862315</v>
      </c>
      <c r="Q358">
        <f t="shared" si="970"/>
        <v>7233340.8570674723</v>
      </c>
      <c r="R358">
        <f t="shared" si="971"/>
        <v>61305093.101210207</v>
      </c>
      <c r="S358">
        <f t="shared" si="972"/>
        <v>613.05093101210207</v>
      </c>
      <c r="T358">
        <f t="shared" si="973"/>
        <v>0.61305093101210206</v>
      </c>
    </row>
    <row r="359" spans="1:20" x14ac:dyDescent="0.25">
      <c r="A359" s="5">
        <v>44234</v>
      </c>
      <c r="B359">
        <v>0.8266</v>
      </c>
      <c r="C359">
        <v>0.92100000000000004</v>
      </c>
      <c r="D359">
        <v>0.77210000000000001</v>
      </c>
      <c r="E359">
        <v>0.82489999999999997</v>
      </c>
      <c r="F359">
        <v>32646344.75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-0.290799194089994</v>
      </c>
      <c r="Q359">
        <f t="shared" si="970"/>
        <v>-9493530.7432841063</v>
      </c>
      <c r="R359">
        <f t="shared" si="971"/>
        <v>54071752.244142734</v>
      </c>
      <c r="S359">
        <f t="shared" si="972"/>
        <v>540.71752244142738</v>
      </c>
      <c r="T359">
        <f t="shared" si="973"/>
        <v>0.54071752244142735</v>
      </c>
    </row>
    <row r="360" spans="1:20" x14ac:dyDescent="0.25">
      <c r="A360" s="5">
        <v>44233</v>
      </c>
      <c r="B360">
        <v>0.83250000000000002</v>
      </c>
      <c r="C360">
        <v>0.8357</v>
      </c>
      <c r="D360">
        <v>0.74680000000000002</v>
      </c>
      <c r="E360">
        <v>0.82620000000000005</v>
      </c>
      <c r="F360">
        <v>13232302.460000001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0.78627671541057464</v>
      </c>
      <c r="Q360">
        <f t="shared" si="970"/>
        <v>10404251.315568067</v>
      </c>
      <c r="R360">
        <f t="shared" si="971"/>
        <v>63565282.98742684</v>
      </c>
      <c r="S360">
        <f t="shared" si="972"/>
        <v>635.65282987426838</v>
      </c>
      <c r="T360">
        <f t="shared" si="973"/>
        <v>0.63565282987426841</v>
      </c>
    </row>
    <row r="361" spans="1:20" x14ac:dyDescent="0.25">
      <c r="A361" s="5">
        <v>44232</v>
      </c>
      <c r="B361">
        <v>0.76170000000000004</v>
      </c>
      <c r="C361">
        <v>0.83509999999999995</v>
      </c>
      <c r="D361">
        <v>0.76170000000000004</v>
      </c>
      <c r="E361">
        <v>0.83240000000000003</v>
      </c>
      <c r="F361">
        <v>18741151.329999998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0.92643051771117357</v>
      </c>
      <c r="Q361">
        <f t="shared" si="970"/>
        <v>17362374.529155347</v>
      </c>
      <c r="R361">
        <f t="shared" si="971"/>
        <v>53161031.671858773</v>
      </c>
      <c r="S361">
        <f t="shared" si="972"/>
        <v>531.61031671858768</v>
      </c>
      <c r="T361">
        <f t="shared" si="973"/>
        <v>0.53161031671858772</v>
      </c>
    </row>
    <row r="362" spans="1:20" x14ac:dyDescent="0.25">
      <c r="A362" s="5">
        <v>44231</v>
      </c>
      <c r="B362">
        <v>0.80689999999999995</v>
      </c>
      <c r="C362">
        <v>0.8135</v>
      </c>
      <c r="D362">
        <v>0.73009999999999997</v>
      </c>
      <c r="E362">
        <v>0.76170000000000004</v>
      </c>
      <c r="F362">
        <v>15151374.390000001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-0.24220623501198893</v>
      </c>
      <c r="Q362">
        <f t="shared" si="970"/>
        <v>-3669757.3462589704</v>
      </c>
      <c r="R362">
        <f t="shared" si="971"/>
        <v>35798657.142703421</v>
      </c>
      <c r="S362">
        <f t="shared" si="972"/>
        <v>357.98657142703422</v>
      </c>
      <c r="T362">
        <f t="shared" si="973"/>
        <v>0.35798657142703422</v>
      </c>
    </row>
    <row r="363" spans="1:20" x14ac:dyDescent="0.25">
      <c r="A363" s="5">
        <v>44230</v>
      </c>
      <c r="B363">
        <v>0.78879999999999995</v>
      </c>
      <c r="C363">
        <v>0.82599999999999996</v>
      </c>
      <c r="D363">
        <v>0.78049999999999997</v>
      </c>
      <c r="E363">
        <v>0.80689999999999995</v>
      </c>
      <c r="F363">
        <v>11017096.210000001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0.1604395604395599</v>
      </c>
      <c r="Q363">
        <f t="shared" si="970"/>
        <v>1767578.0732527415</v>
      </c>
      <c r="R363">
        <f t="shared" si="971"/>
        <v>39468414.48896239</v>
      </c>
      <c r="S363">
        <f t="shared" si="972"/>
        <v>394.68414488962389</v>
      </c>
      <c r="T363">
        <f t="shared" si="973"/>
        <v>0.39468414488962389</v>
      </c>
    </row>
    <row r="364" spans="1:20" x14ac:dyDescent="0.25">
      <c r="A364" s="5">
        <v>44229</v>
      </c>
      <c r="B364">
        <v>0.76539999999999997</v>
      </c>
      <c r="C364">
        <v>0.80200000000000005</v>
      </c>
      <c r="D364">
        <v>0.75329999999999997</v>
      </c>
      <c r="E364">
        <v>0.78859999999999997</v>
      </c>
      <c r="F364">
        <v>13541226.970000001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0.44969199178644526</v>
      </c>
      <c r="Q364">
        <f t="shared" si="970"/>
        <v>6089381.3273716308</v>
      </c>
      <c r="R364">
        <f t="shared" si="971"/>
        <v>37700836.415709645</v>
      </c>
      <c r="S364">
        <f t="shared" si="972"/>
        <v>377.00836415709642</v>
      </c>
      <c r="T364">
        <f t="shared" si="973"/>
        <v>0.37700836415709643</v>
      </c>
    </row>
    <row r="365" spans="1:20" x14ac:dyDescent="0.25">
      <c r="A365" s="5">
        <v>44228</v>
      </c>
      <c r="B365">
        <v>0.71970000000000001</v>
      </c>
      <c r="C365">
        <v>0.78859999999999997</v>
      </c>
      <c r="D365">
        <v>0.68630000000000002</v>
      </c>
      <c r="E365">
        <v>0.76690000000000003</v>
      </c>
      <c r="F365">
        <v>18873235.68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0.57575757575757669</v>
      </c>
      <c r="Q365">
        <f t="shared" si="970"/>
        <v>10866408.421818199</v>
      </c>
      <c r="R365">
        <f t="shared" si="971"/>
        <v>31611455.088338017</v>
      </c>
      <c r="S365">
        <f t="shared" si="972"/>
        <v>316.11455088338016</v>
      </c>
      <c r="T365">
        <f t="shared" si="973"/>
        <v>0.31611455088338014</v>
      </c>
    </row>
    <row r="366" spans="1:20" x14ac:dyDescent="0.25">
      <c r="A366" s="5">
        <v>44227</v>
      </c>
      <c r="B366">
        <v>0.76539999999999997</v>
      </c>
      <c r="C366">
        <v>0.79149999999999998</v>
      </c>
      <c r="D366">
        <v>0.69879999999999998</v>
      </c>
      <c r="E366">
        <v>0.72019999999999995</v>
      </c>
      <c r="F366">
        <v>17800001.460000001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-0.53829557713052911</v>
      </c>
      <c r="Q366">
        <f t="shared" si="970"/>
        <v>-9581662.0588349607</v>
      </c>
      <c r="R366">
        <f t="shared" si="971"/>
        <v>20745046.666519821</v>
      </c>
      <c r="S366">
        <f t="shared" si="972"/>
        <v>207.45046666519821</v>
      </c>
      <c r="T366">
        <f t="shared" si="973"/>
        <v>0.2074504666651982</v>
      </c>
    </row>
    <row r="367" spans="1:20" x14ac:dyDescent="0.25">
      <c r="A367" s="5">
        <v>44226</v>
      </c>
      <c r="B367">
        <v>0.80249999999999999</v>
      </c>
      <c r="C367">
        <v>0.80900000000000005</v>
      </c>
      <c r="D367">
        <v>0.74590000000000001</v>
      </c>
      <c r="E367">
        <v>0.76549999999999996</v>
      </c>
      <c r="F367">
        <v>13804878.699999999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-0.37876386687797348</v>
      </c>
      <c r="Q367">
        <f t="shared" si="970"/>
        <v>-5228789.2381933713</v>
      </c>
      <c r="R367">
        <f t="shared" si="971"/>
        <v>30326708.725354783</v>
      </c>
      <c r="S367">
        <f t="shared" si="972"/>
        <v>303.26708725354786</v>
      </c>
      <c r="T367">
        <f t="shared" si="973"/>
        <v>0.30326708725354784</v>
      </c>
    </row>
    <row r="368" spans="1:20" x14ac:dyDescent="0.25">
      <c r="A368" s="5">
        <v>44225</v>
      </c>
      <c r="B368">
        <v>0.8165</v>
      </c>
      <c r="C368">
        <v>0.86780000000000002</v>
      </c>
      <c r="D368">
        <v>0.78820000000000001</v>
      </c>
      <c r="E368">
        <v>0.80249999999999999</v>
      </c>
      <c r="F368">
        <v>17024258.59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-0.6407035175879402</v>
      </c>
      <c r="Q368">
        <f t="shared" si="970"/>
        <v>-10907502.362939706</v>
      </c>
      <c r="R368">
        <f t="shared" si="971"/>
        <v>35555497.963548154</v>
      </c>
      <c r="S368">
        <f t="shared" si="972"/>
        <v>355.55497963548152</v>
      </c>
      <c r="T368">
        <f t="shared" si="973"/>
        <v>0.35555497963548149</v>
      </c>
    </row>
    <row r="369" spans="1:20" x14ac:dyDescent="0.25">
      <c r="A369" s="5">
        <v>44224</v>
      </c>
      <c r="B369">
        <v>0.79849999999999999</v>
      </c>
      <c r="C369">
        <v>0.85650000000000004</v>
      </c>
      <c r="D369">
        <v>0.78090000000000004</v>
      </c>
      <c r="E369">
        <v>0.81630000000000003</v>
      </c>
      <c r="F369">
        <v>13258581.970000001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-6.3492063492063835E-2</v>
      </c>
      <c r="Q369">
        <f t="shared" si="970"/>
        <v>-841814.72825397283</v>
      </c>
      <c r="R369">
        <f t="shared" si="971"/>
        <v>46463000.326487862</v>
      </c>
      <c r="S369">
        <f t="shared" si="972"/>
        <v>464.63000326487861</v>
      </c>
      <c r="T369">
        <f t="shared" si="973"/>
        <v>0.46463000326487863</v>
      </c>
    </row>
    <row r="370" spans="1:20" x14ac:dyDescent="0.25">
      <c r="A370" s="5">
        <v>44223</v>
      </c>
      <c r="B370">
        <v>0.89490000000000003</v>
      </c>
      <c r="C370">
        <v>0.90780000000000005</v>
      </c>
      <c r="D370">
        <v>0.76749999999999996</v>
      </c>
      <c r="E370">
        <v>0.79859999999999998</v>
      </c>
      <c r="F370">
        <v>20907985.920000002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-0.55666429080541702</v>
      </c>
      <c r="Q370">
        <f t="shared" si="970"/>
        <v>-11638729.154326446</v>
      </c>
      <c r="R370">
        <f t="shared" si="971"/>
        <v>47304815.054741837</v>
      </c>
      <c r="S370">
        <f t="shared" si="972"/>
        <v>473.04815054741835</v>
      </c>
      <c r="T370">
        <f t="shared" si="973"/>
        <v>0.47304815054741833</v>
      </c>
    </row>
    <row r="371" spans="1:20" x14ac:dyDescent="0.25">
      <c r="A371" s="5">
        <v>44222</v>
      </c>
      <c r="B371">
        <v>0.81010000000000004</v>
      </c>
      <c r="C371">
        <v>0.93989999999999996</v>
      </c>
      <c r="D371">
        <v>0.79620000000000002</v>
      </c>
      <c r="E371">
        <v>0.89410000000000001</v>
      </c>
      <c r="F371">
        <v>31171607.920000002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0.36256089074460723</v>
      </c>
      <c r="Q371">
        <f t="shared" si="970"/>
        <v>11301605.933416855</v>
      </c>
      <c r="R371">
        <f t="shared" si="971"/>
        <v>58943544.209068283</v>
      </c>
      <c r="S371">
        <f t="shared" si="972"/>
        <v>589.43544209068284</v>
      </c>
      <c r="T371">
        <f t="shared" si="973"/>
        <v>0.58943544209068288</v>
      </c>
    </row>
    <row r="372" spans="1:20" x14ac:dyDescent="0.25">
      <c r="A372" s="5">
        <v>44221</v>
      </c>
      <c r="B372">
        <v>0.76070000000000004</v>
      </c>
      <c r="C372">
        <v>0.93</v>
      </c>
      <c r="D372">
        <v>0.74409999999999998</v>
      </c>
      <c r="E372">
        <v>0.80879999999999996</v>
      </c>
      <c r="F372">
        <v>33689168.329999998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-0.3039268423883813</v>
      </c>
      <c r="Q372">
        <f t="shared" si="970"/>
        <v>-10239042.553227557</v>
      </c>
      <c r="R372">
        <f t="shared" si="971"/>
        <v>47641938.275651433</v>
      </c>
      <c r="S372">
        <f t="shared" si="972"/>
        <v>476.41938275651432</v>
      </c>
      <c r="T372">
        <f t="shared" si="973"/>
        <v>0.4764193827565143</v>
      </c>
    </row>
    <row r="373" spans="1:20" x14ac:dyDescent="0.25">
      <c r="A373" s="5">
        <v>44220</v>
      </c>
      <c r="B373">
        <v>0.72889999999999999</v>
      </c>
      <c r="C373">
        <v>0.79210000000000003</v>
      </c>
      <c r="D373">
        <v>0.72060000000000002</v>
      </c>
      <c r="E373">
        <v>0.75980000000000003</v>
      </c>
      <c r="F373">
        <v>13022759.09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9.6503496503496738E-2</v>
      </c>
      <c r="Q373">
        <f t="shared" si="970"/>
        <v>1256741.7863076953</v>
      </c>
      <c r="R373">
        <f t="shared" si="971"/>
        <v>57880980.828878991</v>
      </c>
      <c r="S373">
        <f t="shared" si="972"/>
        <v>578.8098082887899</v>
      </c>
      <c r="T373">
        <f t="shared" si="973"/>
        <v>0.57880980828878992</v>
      </c>
    </row>
    <row r="374" spans="1:20" x14ac:dyDescent="0.25">
      <c r="A374" s="5">
        <v>44219</v>
      </c>
      <c r="B374">
        <v>0.70660000000000001</v>
      </c>
      <c r="C374">
        <v>0.75819999999999999</v>
      </c>
      <c r="D374">
        <v>0.69750000000000001</v>
      </c>
      <c r="E374">
        <v>0.72889999999999999</v>
      </c>
      <c r="F374">
        <v>12237694.449999999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3.4596375617792281E-2</v>
      </c>
      <c r="Q374">
        <f t="shared" si="970"/>
        <v>423379.87388797192</v>
      </c>
      <c r="R374">
        <f t="shared" si="971"/>
        <v>56624239.042571299</v>
      </c>
      <c r="S374">
        <f t="shared" si="972"/>
        <v>566.24239042571298</v>
      </c>
      <c r="T374">
        <f t="shared" si="973"/>
        <v>0.566242390425713</v>
      </c>
    </row>
    <row r="375" spans="1:20" x14ac:dyDescent="0.25">
      <c r="A375" s="5">
        <v>44218</v>
      </c>
      <c r="B375">
        <v>0.69850000000000001</v>
      </c>
      <c r="C375">
        <v>0.76039999999999996</v>
      </c>
      <c r="D375">
        <v>0.63200000000000001</v>
      </c>
      <c r="E375">
        <v>0.70730000000000004</v>
      </c>
      <c r="F375">
        <v>23319785.449999999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0.17289719626168315</v>
      </c>
      <c r="Q375">
        <f t="shared" si="970"/>
        <v>4031925.5217289929</v>
      </c>
      <c r="R375">
        <f t="shared" si="971"/>
        <v>56200859.168683328</v>
      </c>
      <c r="S375">
        <f t="shared" si="972"/>
        <v>562.00859168683326</v>
      </c>
      <c r="T375">
        <f t="shared" si="973"/>
        <v>0.56200859168683326</v>
      </c>
    </row>
    <row r="376" spans="1:20" x14ac:dyDescent="0.25">
      <c r="A376" s="5">
        <v>44217</v>
      </c>
      <c r="B376">
        <v>0.80430000000000001</v>
      </c>
      <c r="C376">
        <v>0.88980000000000004</v>
      </c>
      <c r="D376">
        <v>0.69010000000000005</v>
      </c>
      <c r="E376">
        <v>0.69850000000000001</v>
      </c>
      <c r="F376">
        <v>44730216.829999998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-0.91587381071607443</v>
      </c>
      <c r="Q376">
        <f t="shared" si="970"/>
        <v>-40967234.142248385</v>
      </c>
      <c r="R376">
        <f t="shared" si="971"/>
        <v>52168933.646954335</v>
      </c>
      <c r="S376">
        <f t="shared" si="972"/>
        <v>521.68933646954338</v>
      </c>
      <c r="T376">
        <f t="shared" si="973"/>
        <v>0.52168933646954341</v>
      </c>
    </row>
    <row r="377" spans="1:20" x14ac:dyDescent="0.25">
      <c r="A377" s="5">
        <v>44216</v>
      </c>
      <c r="B377">
        <v>0.69510000000000005</v>
      </c>
      <c r="C377">
        <v>0.81789999999999996</v>
      </c>
      <c r="D377">
        <v>0.63619999999999999</v>
      </c>
      <c r="E377">
        <v>0.80430000000000001</v>
      </c>
      <c r="F377">
        <v>22510504.93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0.85030269675288994</v>
      </c>
      <c r="Q377">
        <f t="shared" si="970"/>
        <v>19140743.047248222</v>
      </c>
      <c r="R377">
        <f t="shared" si="971"/>
        <v>93136167.78920272</v>
      </c>
      <c r="S377">
        <f t="shared" si="972"/>
        <v>931.36167789202716</v>
      </c>
      <c r="T377">
        <f t="shared" si="973"/>
        <v>0.93136167789202717</v>
      </c>
    </row>
    <row r="378" spans="1:20" x14ac:dyDescent="0.25">
      <c r="A378" s="5">
        <v>44215</v>
      </c>
      <c r="B378">
        <v>0.74580000000000002</v>
      </c>
      <c r="C378">
        <v>0.77139999999999997</v>
      </c>
      <c r="D378">
        <v>0.67930000000000001</v>
      </c>
      <c r="E378">
        <v>0.6956</v>
      </c>
      <c r="F378">
        <v>14312822.33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-0.64603691639522287</v>
      </c>
      <c r="Q378">
        <f t="shared" si="970"/>
        <v>-9246611.6029858887</v>
      </c>
      <c r="R378">
        <f t="shared" si="971"/>
        <v>73995424.741954505</v>
      </c>
      <c r="S378">
        <f t="shared" si="972"/>
        <v>739.95424741954503</v>
      </c>
      <c r="T378">
        <f t="shared" si="973"/>
        <v>0.73995424741954507</v>
      </c>
    </row>
    <row r="379" spans="1:20" x14ac:dyDescent="0.25">
      <c r="A379" s="5">
        <v>44214</v>
      </c>
      <c r="B379">
        <v>0.6633</v>
      </c>
      <c r="C379">
        <v>0.77910000000000001</v>
      </c>
      <c r="D379">
        <v>0.64280000000000004</v>
      </c>
      <c r="E379">
        <v>0.74550000000000005</v>
      </c>
      <c r="F379">
        <v>26166685.890000001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0.50696991929567181</v>
      </c>
      <c r="Q379">
        <f t="shared" si="970"/>
        <v>13265722.633888494</v>
      </c>
      <c r="R379">
        <f t="shared" si="971"/>
        <v>83242036.344940394</v>
      </c>
      <c r="S379">
        <f t="shared" si="972"/>
        <v>832.42036344940391</v>
      </c>
      <c r="T379">
        <f t="shared" si="973"/>
        <v>0.83242036344940395</v>
      </c>
    </row>
    <row r="380" spans="1:20" x14ac:dyDescent="0.25">
      <c r="A380" s="5">
        <v>44213</v>
      </c>
      <c r="B380">
        <v>0.66</v>
      </c>
      <c r="C380">
        <v>0.6835</v>
      </c>
      <c r="D380">
        <v>0.61</v>
      </c>
      <c r="E380">
        <v>0.66249999999999998</v>
      </c>
      <c r="F380">
        <v>14177821.51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0.42857142857142816</v>
      </c>
      <c r="Q380">
        <f t="shared" si="970"/>
        <v>6076209.2185714226</v>
      </c>
      <c r="R380">
        <f t="shared" si="971"/>
        <v>69976313.711051896</v>
      </c>
      <c r="S380">
        <f t="shared" si="972"/>
        <v>699.76313711051898</v>
      </c>
      <c r="T380">
        <f t="shared" si="973"/>
        <v>0.69976313711051896</v>
      </c>
    </row>
    <row r="381" spans="1:20" x14ac:dyDescent="0.25">
      <c r="A381" s="5">
        <v>44212</v>
      </c>
      <c r="B381">
        <v>0.61119999999999997</v>
      </c>
      <c r="C381">
        <v>0.72629999999999995</v>
      </c>
      <c r="D381">
        <v>0.60360000000000003</v>
      </c>
      <c r="E381">
        <v>0.66</v>
      </c>
      <c r="F381">
        <v>24962538.59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-8.0684596577016418E-2</v>
      </c>
      <c r="Q381">
        <f t="shared" si="970"/>
        <v>-2014092.3556723543</v>
      </c>
      <c r="R381">
        <f t="shared" si="971"/>
        <v>63900104.492480479</v>
      </c>
      <c r="S381">
        <f t="shared" si="972"/>
        <v>639.00104492480477</v>
      </c>
      <c r="T381">
        <f t="shared" si="973"/>
        <v>0.63900104492480481</v>
      </c>
    </row>
    <row r="382" spans="1:20" x14ac:dyDescent="0.25">
      <c r="A382" s="5">
        <v>44211</v>
      </c>
      <c r="B382">
        <v>0.60219999999999996</v>
      </c>
      <c r="C382">
        <v>0.66</v>
      </c>
      <c r="D382">
        <v>0.55200000000000005</v>
      </c>
      <c r="E382">
        <v>0.61119999999999997</v>
      </c>
      <c r="F382">
        <v>22498273.620000001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9.629629629629495E-2</v>
      </c>
      <c r="Q382">
        <f t="shared" si="970"/>
        <v>2166500.4226666363</v>
      </c>
      <c r="R382">
        <f t="shared" si="971"/>
        <v>65914196.848152831</v>
      </c>
      <c r="S382">
        <f t="shared" si="972"/>
        <v>659.14196848152835</v>
      </c>
      <c r="T382">
        <f t="shared" si="973"/>
        <v>0.6591419684815284</v>
      </c>
    </row>
    <row r="383" spans="1:20" x14ac:dyDescent="0.25">
      <c r="A383" s="5">
        <v>44210</v>
      </c>
      <c r="B383">
        <v>0.628</v>
      </c>
      <c r="C383">
        <v>0.63649999999999995</v>
      </c>
      <c r="D383">
        <v>0.58320000000000005</v>
      </c>
      <c r="E383">
        <v>0.60299999999999998</v>
      </c>
      <c r="F383">
        <v>10964873.25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-0.25703564727955103</v>
      </c>
      <c r="Q383">
        <f t="shared" si="970"/>
        <v>-2818363.2931519845</v>
      </c>
      <c r="R383">
        <f t="shared" si="971"/>
        <v>63747696.425486192</v>
      </c>
      <c r="S383">
        <f t="shared" si="972"/>
        <v>637.47696425486197</v>
      </c>
      <c r="T383">
        <f t="shared" si="973"/>
        <v>0.637476964254862</v>
      </c>
    </row>
    <row r="384" spans="1:20" x14ac:dyDescent="0.25">
      <c r="A384" s="5">
        <v>44209</v>
      </c>
      <c r="B384">
        <v>0.5696</v>
      </c>
      <c r="C384">
        <v>0.6401</v>
      </c>
      <c r="D384">
        <v>0.53800000000000003</v>
      </c>
      <c r="E384">
        <v>0.62709999999999999</v>
      </c>
      <c r="F384">
        <v>14183440.279999999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0.74534769833496539</v>
      </c>
      <c r="Q384">
        <f t="shared" si="970"/>
        <v>10571594.567169437</v>
      </c>
      <c r="R384">
        <f t="shared" si="971"/>
        <v>66566059.718638174</v>
      </c>
      <c r="S384">
        <f t="shared" si="972"/>
        <v>665.66059718638178</v>
      </c>
      <c r="T384">
        <f t="shared" si="973"/>
        <v>0.66566059718638182</v>
      </c>
    </row>
    <row r="385" spans="1:20" x14ac:dyDescent="0.25">
      <c r="A385" s="5">
        <v>44208</v>
      </c>
      <c r="B385">
        <v>0.60609999999999997</v>
      </c>
      <c r="C385">
        <v>0.6411</v>
      </c>
      <c r="D385">
        <v>0.54069999999999996</v>
      </c>
      <c r="E385">
        <v>0.56950000000000001</v>
      </c>
      <c r="F385">
        <v>15601275.42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-0.42629482071713076</v>
      </c>
      <c r="Q385">
        <f t="shared" si="970"/>
        <v>-6650742.9081274793</v>
      </c>
      <c r="R385">
        <f t="shared" si="971"/>
        <v>55994465.151468739</v>
      </c>
      <c r="S385">
        <f t="shared" si="972"/>
        <v>559.94465151468739</v>
      </c>
      <c r="T385">
        <f t="shared" si="973"/>
        <v>0.55994465151468742</v>
      </c>
    </row>
    <row r="386" spans="1:20" x14ac:dyDescent="0.25">
      <c r="A386" s="5">
        <v>44207</v>
      </c>
      <c r="B386">
        <v>0.63439999999999996</v>
      </c>
      <c r="C386">
        <v>0.6371</v>
      </c>
      <c r="D386">
        <v>0.52380000000000004</v>
      </c>
      <c r="E386">
        <v>0.60580000000000001</v>
      </c>
      <c r="F386">
        <v>26929751.399999999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0.44748455428067069</v>
      </c>
      <c r="Q386">
        <f t="shared" si="970"/>
        <v>12050647.802118266</v>
      </c>
      <c r="R386">
        <f t="shared" si="971"/>
        <v>62645208.059596218</v>
      </c>
      <c r="S386">
        <f t="shared" si="972"/>
        <v>626.45208059596223</v>
      </c>
      <c r="T386">
        <f t="shared" si="973"/>
        <v>0.62645208059596225</v>
      </c>
    </row>
    <row r="387" spans="1:20" x14ac:dyDescent="0.25">
      <c r="A387" s="5">
        <v>44206</v>
      </c>
      <c r="B387">
        <v>0.68579999999999997</v>
      </c>
      <c r="C387">
        <v>0.71899999999999997</v>
      </c>
      <c r="D387">
        <v>0.56510000000000005</v>
      </c>
      <c r="E387">
        <v>0.63419999999999999</v>
      </c>
      <c r="F387">
        <v>20684011.59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-0.10201429499675149</v>
      </c>
      <c r="Q387">
        <f t="shared" si="970"/>
        <v>-2110064.8600584869</v>
      </c>
      <c r="R387">
        <f t="shared" si="971"/>
        <v>50594560.257477954</v>
      </c>
      <c r="S387">
        <f t="shared" si="972"/>
        <v>505.94560257477951</v>
      </c>
      <c r="T387">
        <f t="shared" si="973"/>
        <v>0.5059456025747795</v>
      </c>
    </row>
    <row r="388" spans="1:20" x14ac:dyDescent="0.25">
      <c r="A388" s="5">
        <v>44205</v>
      </c>
      <c r="B388">
        <v>0.62860000000000005</v>
      </c>
      <c r="C388">
        <v>0.71950000000000003</v>
      </c>
      <c r="D388">
        <v>0.59899999999999998</v>
      </c>
      <c r="E388">
        <v>0.68489999999999995</v>
      </c>
      <c r="F388">
        <v>18618968.629999999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0.42572614107883716</v>
      </c>
      <c r="Q388">
        <f t="shared" si="970"/>
        <v>7926581.6657178234</v>
      </c>
      <c r="R388">
        <f t="shared" si="971"/>
        <v>52704625.11753644</v>
      </c>
      <c r="S388">
        <f t="shared" si="972"/>
        <v>527.04625117536443</v>
      </c>
      <c r="T388">
        <f t="shared" si="973"/>
        <v>0.52704625117536441</v>
      </c>
    </row>
    <row r="389" spans="1:20" x14ac:dyDescent="0.25">
      <c r="A389" s="5">
        <v>44204</v>
      </c>
      <c r="B389">
        <v>0.57310000000000005</v>
      </c>
      <c r="C389">
        <v>0.65</v>
      </c>
      <c r="D389">
        <v>0.51959999999999995</v>
      </c>
      <c r="E389">
        <v>0.628</v>
      </c>
      <c r="F389">
        <v>22218749.32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0.66257668711656426</v>
      </c>
      <c r="Q389">
        <f t="shared" si="970"/>
        <v>14721625.316319015</v>
      </c>
      <c r="R389">
        <f t="shared" si="971"/>
        <v>44778043.451818615</v>
      </c>
      <c r="S389">
        <f t="shared" si="972"/>
        <v>447.78043451818615</v>
      </c>
      <c r="T389">
        <f t="shared" si="973"/>
        <v>0.44778043451818617</v>
      </c>
    </row>
    <row r="390" spans="1:20" x14ac:dyDescent="0.25">
      <c r="A390" s="5">
        <v>44203</v>
      </c>
      <c r="B390">
        <v>0.62529999999999997</v>
      </c>
      <c r="C390">
        <v>0.6361</v>
      </c>
      <c r="D390">
        <v>0.55000000000000004</v>
      </c>
      <c r="E390">
        <v>0.57399999999999995</v>
      </c>
      <c r="F390">
        <v>21462684.57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-0.44250871080139553</v>
      </c>
      <c r="Q390">
        <f t="shared" ref="Q390:Q453" si="975">F390*P390</f>
        <v>-9497424.8794077039</v>
      </c>
      <c r="R390">
        <f t="shared" ref="R390:R453" si="976">R391+Q390</f>
        <v>30056418.135499597</v>
      </c>
      <c r="S390">
        <f t="shared" ref="S390:S453" si="977">R390/100000</f>
        <v>300.56418135499598</v>
      </c>
      <c r="T390">
        <f t="shared" ref="T390:T453" si="978">S390/1000</f>
        <v>0.30056418135499596</v>
      </c>
    </row>
    <row r="391" spans="1:20" x14ac:dyDescent="0.25">
      <c r="A391" s="5">
        <v>44202</v>
      </c>
      <c r="B391">
        <v>0.54720000000000002</v>
      </c>
      <c r="C391">
        <v>0.65800000000000003</v>
      </c>
      <c r="D391">
        <v>0.53169999999999995</v>
      </c>
      <c r="E391">
        <v>0.62529999999999997</v>
      </c>
      <c r="F391">
        <v>27652462.920000002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0.48218527315914422</v>
      </c>
      <c r="Q391">
        <f t="shared" si="975"/>
        <v>13333610.386603307</v>
      </c>
      <c r="R391">
        <f t="shared" si="976"/>
        <v>39553843.0149073</v>
      </c>
      <c r="S391">
        <f t="shared" si="977"/>
        <v>395.53843014907301</v>
      </c>
      <c r="T391">
        <f t="shared" si="978"/>
        <v>0.39553843014907303</v>
      </c>
    </row>
    <row r="392" spans="1:20" x14ac:dyDescent="0.25">
      <c r="A392" s="5">
        <v>44201</v>
      </c>
      <c r="B392">
        <v>0.52300000000000002</v>
      </c>
      <c r="C392">
        <v>0.57199999999999995</v>
      </c>
      <c r="D392">
        <v>0.47710000000000002</v>
      </c>
      <c r="E392">
        <v>0.54720000000000002</v>
      </c>
      <c r="F392">
        <v>21086077.559999999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0.47734457323498519</v>
      </c>
      <c r="Q392">
        <f t="shared" si="975"/>
        <v>10065324.694077997</v>
      </c>
      <c r="R392">
        <f t="shared" si="976"/>
        <v>26220232.628303997</v>
      </c>
      <c r="S392">
        <f t="shared" si="977"/>
        <v>262.20232628303995</v>
      </c>
      <c r="T392">
        <f t="shared" si="978"/>
        <v>0.26220232628303997</v>
      </c>
    </row>
    <row r="393" spans="1:20" x14ac:dyDescent="0.25">
      <c r="A393" s="5">
        <v>44200</v>
      </c>
      <c r="B393">
        <v>0.48680000000000001</v>
      </c>
      <c r="C393">
        <v>0.52410000000000001</v>
      </c>
      <c r="D393">
        <v>0.45</v>
      </c>
      <c r="E393">
        <v>0.52300000000000002</v>
      </c>
      <c r="F393">
        <v>21888056.350000001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0.97031039136302322</v>
      </c>
      <c r="Q393">
        <f t="shared" si="975"/>
        <v>21238208.523144405</v>
      </c>
      <c r="R393">
        <f t="shared" si="976"/>
        <v>16154907.934226003</v>
      </c>
      <c r="S393">
        <f t="shared" si="977"/>
        <v>161.54907934226003</v>
      </c>
      <c r="T393">
        <f t="shared" si="978"/>
        <v>0.16154907934226004</v>
      </c>
    </row>
    <row r="394" spans="1:20" x14ac:dyDescent="0.25">
      <c r="A394" s="5">
        <v>44199</v>
      </c>
      <c r="B394">
        <v>0.43409999999999999</v>
      </c>
      <c r="C394">
        <v>0.49259999999999998</v>
      </c>
      <c r="D394">
        <v>0.43</v>
      </c>
      <c r="E394">
        <v>0.4864</v>
      </c>
      <c r="F394">
        <v>16815133.899999999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0.80191693290734878</v>
      </c>
      <c r="Q394">
        <f t="shared" si="975"/>
        <v>13484340.603514384</v>
      </c>
      <c r="R394">
        <f t="shared" si="976"/>
        <v>-5083300.5889184028</v>
      </c>
      <c r="S394">
        <f t="shared" si="977"/>
        <v>-50.83300588918403</v>
      </c>
      <c r="T394">
        <f t="shared" si="978"/>
        <v>-5.0833005889184033E-2</v>
      </c>
    </row>
    <row r="395" spans="1:20" x14ac:dyDescent="0.25">
      <c r="A395" s="5">
        <v>44198</v>
      </c>
      <c r="B395">
        <v>0.44929999999999998</v>
      </c>
      <c r="C395">
        <v>0.46060000000000001</v>
      </c>
      <c r="D395">
        <v>0.42499999999999999</v>
      </c>
      <c r="E395">
        <v>0.434</v>
      </c>
      <c r="F395">
        <v>8446103.0600000005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-0.49438202247190993</v>
      </c>
      <c r="Q395">
        <f t="shared" si="975"/>
        <v>-4175601.5128089874</v>
      </c>
      <c r="R395">
        <f t="shared" si="976"/>
        <v>-18567641.192432787</v>
      </c>
      <c r="S395">
        <f t="shared" si="977"/>
        <v>-185.67641192432788</v>
      </c>
      <c r="T395">
        <f t="shared" si="978"/>
        <v>-0.18567641192432788</v>
      </c>
    </row>
    <row r="396" spans="1:20" x14ac:dyDescent="0.25">
      <c r="A396" s="5">
        <v>44197</v>
      </c>
      <c r="B396">
        <v>0.46700000000000003</v>
      </c>
      <c r="C396">
        <v>0.4738</v>
      </c>
      <c r="D396">
        <v>0.43409999999999999</v>
      </c>
      <c r="E396">
        <v>0.44969999999999999</v>
      </c>
      <c r="F396">
        <v>8088779.5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-0.21410579345088174</v>
      </c>
      <c r="Q396">
        <f t="shared" si="975"/>
        <v>-1731854.5528967264</v>
      </c>
      <c r="R396">
        <f t="shared" si="976"/>
        <v>-14392039.679623799</v>
      </c>
      <c r="S396">
        <f t="shared" si="977"/>
        <v>-143.92039679623798</v>
      </c>
      <c r="T396">
        <f t="shared" si="978"/>
        <v>-0.14392039679623797</v>
      </c>
    </row>
    <row r="397" spans="1:20" x14ac:dyDescent="0.25">
      <c r="A397" s="5">
        <v>44196</v>
      </c>
      <c r="B397">
        <v>0.47289999999999999</v>
      </c>
      <c r="C397">
        <v>0.48070000000000002</v>
      </c>
      <c r="D397">
        <v>0.44159999999999999</v>
      </c>
      <c r="E397">
        <v>0.46650000000000003</v>
      </c>
      <c r="F397">
        <v>10840449.68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0.27365728900255848</v>
      </c>
      <c r="Q397">
        <f t="shared" si="975"/>
        <v>2966568.0709974524</v>
      </c>
      <c r="R397">
        <f t="shared" si="976"/>
        <v>-12660185.126727073</v>
      </c>
      <c r="S397">
        <f t="shared" si="977"/>
        <v>-126.60185126727073</v>
      </c>
      <c r="T397">
        <f t="shared" si="978"/>
        <v>-0.12660185126727072</v>
      </c>
    </row>
    <row r="398" spans="1:20" x14ac:dyDescent="0.25">
      <c r="A398" s="5">
        <v>44195</v>
      </c>
      <c r="B398">
        <v>0.46739999999999998</v>
      </c>
      <c r="C398">
        <v>0.49819999999999998</v>
      </c>
      <c r="D398">
        <v>0.45600000000000002</v>
      </c>
      <c r="E398">
        <v>0.4728</v>
      </c>
      <c r="F398">
        <v>14714511.02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-0.2037914691943129</v>
      </c>
      <c r="Q398">
        <f t="shared" si="975"/>
        <v>-2998691.8192417077</v>
      </c>
      <c r="R398">
        <f t="shared" si="976"/>
        <v>-15626753.197724525</v>
      </c>
      <c r="S398">
        <f t="shared" si="977"/>
        <v>-156.26753197724526</v>
      </c>
      <c r="T398">
        <f t="shared" si="978"/>
        <v>-0.15626753197724524</v>
      </c>
    </row>
    <row r="399" spans="1:20" x14ac:dyDescent="0.25">
      <c r="A399" s="5">
        <v>44194</v>
      </c>
      <c r="B399">
        <v>0.44900000000000001</v>
      </c>
      <c r="C399">
        <v>0.47</v>
      </c>
      <c r="D399">
        <v>0.41489999999999999</v>
      </c>
      <c r="E399">
        <v>0.46729999999999999</v>
      </c>
      <c r="F399">
        <v>15257079.24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0.90199637023593537</v>
      </c>
      <c r="Q399">
        <f t="shared" si="975"/>
        <v>13761830.094882043</v>
      </c>
      <c r="R399">
        <f t="shared" si="976"/>
        <v>-12628061.378482817</v>
      </c>
      <c r="S399">
        <f t="shared" si="977"/>
        <v>-126.28061378482816</v>
      </c>
      <c r="T399">
        <f t="shared" si="978"/>
        <v>-0.12628061378482816</v>
      </c>
    </row>
    <row r="400" spans="1:20" x14ac:dyDescent="0.25">
      <c r="A400" s="5">
        <v>44193</v>
      </c>
      <c r="B400">
        <v>0.40089999999999998</v>
      </c>
      <c r="C400">
        <v>0.45469999999999999</v>
      </c>
      <c r="D400">
        <v>0.39510000000000001</v>
      </c>
      <c r="E400">
        <v>0.4496</v>
      </c>
      <c r="F400">
        <v>14542896.710000001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0.82885906040268476</v>
      </c>
      <c r="Q400">
        <f t="shared" si="975"/>
        <v>12054011.702583896</v>
      </c>
      <c r="R400">
        <f t="shared" si="976"/>
        <v>-26389891.47336486</v>
      </c>
      <c r="S400">
        <f t="shared" si="977"/>
        <v>-263.89891473364861</v>
      </c>
      <c r="T400">
        <f t="shared" si="978"/>
        <v>-0.26389891473364863</v>
      </c>
    </row>
    <row r="401" spans="1:20" x14ac:dyDescent="0.25">
      <c r="A401" s="5">
        <v>44192</v>
      </c>
      <c r="B401">
        <v>0.41670000000000001</v>
      </c>
      <c r="C401">
        <v>0.4405</v>
      </c>
      <c r="D401">
        <v>0.39510000000000001</v>
      </c>
      <c r="E401">
        <v>0.40139999999999998</v>
      </c>
      <c r="F401">
        <v>13702028.43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-0.72246696035242408</v>
      </c>
      <c r="Q401">
        <f t="shared" si="975"/>
        <v>-9899262.830484597</v>
      </c>
      <c r="R401">
        <f t="shared" si="976"/>
        <v>-38443903.175948754</v>
      </c>
      <c r="S401">
        <f t="shared" si="977"/>
        <v>-384.43903175948753</v>
      </c>
      <c r="T401">
        <f t="shared" si="978"/>
        <v>-0.38443903175948752</v>
      </c>
    </row>
    <row r="402" spans="1:20" x14ac:dyDescent="0.25">
      <c r="A402" s="5">
        <v>44191</v>
      </c>
      <c r="B402">
        <v>0.40329999999999999</v>
      </c>
      <c r="C402">
        <v>0.43190000000000001</v>
      </c>
      <c r="D402">
        <v>0.4</v>
      </c>
      <c r="E402">
        <v>0.41670000000000001</v>
      </c>
      <c r="F402">
        <v>10609955.07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4.7021943573667777E-2</v>
      </c>
      <c r="Q402">
        <f t="shared" si="975"/>
        <v>498900.70862069033</v>
      </c>
      <c r="R402">
        <f t="shared" si="976"/>
        <v>-28544640.345464155</v>
      </c>
      <c r="S402">
        <f t="shared" si="977"/>
        <v>-285.44640345464154</v>
      </c>
      <c r="T402">
        <f t="shared" si="978"/>
        <v>-0.28544640345464156</v>
      </c>
    </row>
    <row r="403" spans="1:20" x14ac:dyDescent="0.25">
      <c r="A403" s="5">
        <v>44190</v>
      </c>
      <c r="B403">
        <v>0.378</v>
      </c>
      <c r="C403">
        <v>0.4577</v>
      </c>
      <c r="D403">
        <v>0.37330000000000002</v>
      </c>
      <c r="E403">
        <v>0.40339999999999998</v>
      </c>
      <c r="F403">
        <v>19964777.100000001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-0.28672985781990595</v>
      </c>
      <c r="Q403">
        <f t="shared" si="975"/>
        <v>-5724497.6992891151</v>
      </c>
      <c r="R403">
        <f t="shared" si="976"/>
        <v>-29043541.054084845</v>
      </c>
      <c r="S403">
        <f t="shared" si="977"/>
        <v>-290.43541054084847</v>
      </c>
      <c r="T403">
        <f t="shared" si="978"/>
        <v>-0.29043541054084848</v>
      </c>
    </row>
    <row r="404" spans="1:20" x14ac:dyDescent="0.25">
      <c r="A404" s="5">
        <v>44189</v>
      </c>
      <c r="B404">
        <v>0.3528</v>
      </c>
      <c r="C404">
        <v>0.38109999999999999</v>
      </c>
      <c r="D404">
        <v>0.34379999999999999</v>
      </c>
      <c r="E404">
        <v>0.37809999999999999</v>
      </c>
      <c r="F404">
        <v>7516825.0899999999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0.83914209115281491</v>
      </c>
      <c r="Q404">
        <f t="shared" si="975"/>
        <v>6307684.3248525457</v>
      </c>
      <c r="R404">
        <f t="shared" si="976"/>
        <v>-23319043.354795732</v>
      </c>
      <c r="S404">
        <f t="shared" si="977"/>
        <v>-233.19043354795733</v>
      </c>
      <c r="T404">
        <f t="shared" si="978"/>
        <v>-0.23319043354795732</v>
      </c>
    </row>
    <row r="405" spans="1:20" x14ac:dyDescent="0.25">
      <c r="A405" s="5">
        <v>44188</v>
      </c>
      <c r="B405">
        <v>0.39610000000000001</v>
      </c>
      <c r="C405">
        <v>0.40889999999999999</v>
      </c>
      <c r="D405">
        <v>0.32169999999999999</v>
      </c>
      <c r="E405">
        <v>0.35289999999999999</v>
      </c>
      <c r="F405">
        <v>12735388.060000001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-0.28440366972477049</v>
      </c>
      <c r="Q405">
        <f t="shared" si="975"/>
        <v>-3621991.0996330259</v>
      </c>
      <c r="R405">
        <f t="shared" si="976"/>
        <v>-29626727.679648276</v>
      </c>
      <c r="S405">
        <f t="shared" si="977"/>
        <v>-296.26727679648275</v>
      </c>
      <c r="T405">
        <f t="shared" si="978"/>
        <v>-0.29626727679648274</v>
      </c>
    </row>
    <row r="406" spans="1:20" x14ac:dyDescent="0.25">
      <c r="A406" s="5">
        <v>44187</v>
      </c>
      <c r="B406">
        <v>0.40060000000000001</v>
      </c>
      <c r="C406">
        <v>0.40610000000000002</v>
      </c>
      <c r="D406">
        <v>0.3765</v>
      </c>
      <c r="E406">
        <v>0.39639999999999997</v>
      </c>
      <c r="F406">
        <v>7393178.96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0.34459459459459207</v>
      </c>
      <c r="Q406">
        <f t="shared" si="975"/>
        <v>2547649.506486468</v>
      </c>
      <c r="R406">
        <f t="shared" si="976"/>
        <v>-26004736.58001525</v>
      </c>
      <c r="S406">
        <f t="shared" si="977"/>
        <v>-260.04736580015248</v>
      </c>
      <c r="T406">
        <f t="shared" si="978"/>
        <v>-0.26004736580015247</v>
      </c>
    </row>
    <row r="407" spans="1:20" x14ac:dyDescent="0.25">
      <c r="A407" s="5">
        <v>44186</v>
      </c>
      <c r="B407">
        <v>0.42770000000000002</v>
      </c>
      <c r="C407">
        <v>0.4526</v>
      </c>
      <c r="D407">
        <v>0.39</v>
      </c>
      <c r="E407">
        <v>0.40050000000000002</v>
      </c>
      <c r="F407">
        <v>8972876.8200000003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-0.66453674121405715</v>
      </c>
      <c r="Q407">
        <f t="shared" si="975"/>
        <v>-5962806.3212779518</v>
      </c>
      <c r="R407">
        <f t="shared" si="976"/>
        <v>-28552386.086501718</v>
      </c>
      <c r="S407">
        <f t="shared" si="977"/>
        <v>-285.52386086501718</v>
      </c>
      <c r="T407">
        <f t="shared" si="978"/>
        <v>-0.28552386086501719</v>
      </c>
    </row>
    <row r="408" spans="1:20" x14ac:dyDescent="0.25">
      <c r="A408" s="5">
        <v>44185</v>
      </c>
      <c r="B408">
        <v>0.4335</v>
      </c>
      <c r="C408">
        <v>0.45469999999999999</v>
      </c>
      <c r="D408">
        <v>0.41810000000000003</v>
      </c>
      <c r="E408">
        <v>0.42770000000000002</v>
      </c>
      <c r="F408">
        <v>8484569.3900000006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-0.47540983606557341</v>
      </c>
      <c r="Q408">
        <f t="shared" si="975"/>
        <v>-4033647.7427868824</v>
      </c>
      <c r="R408">
        <f t="shared" si="976"/>
        <v>-22589579.765223764</v>
      </c>
      <c r="S408">
        <f t="shared" si="977"/>
        <v>-225.89579765223763</v>
      </c>
      <c r="T408">
        <f t="shared" si="978"/>
        <v>-0.22589579765223763</v>
      </c>
    </row>
    <row r="409" spans="1:20" x14ac:dyDescent="0.25">
      <c r="A409" s="5">
        <v>44184</v>
      </c>
      <c r="B409">
        <v>0.43359999999999999</v>
      </c>
      <c r="C409">
        <v>0.44750000000000001</v>
      </c>
      <c r="D409">
        <v>0.42670000000000002</v>
      </c>
      <c r="E409">
        <v>0.43380000000000002</v>
      </c>
      <c r="F409">
        <v>6564337.5700000003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-0.31730769230769229</v>
      </c>
      <c r="Q409">
        <f t="shared" si="975"/>
        <v>-2082914.8058653846</v>
      </c>
      <c r="R409">
        <f t="shared" si="976"/>
        <v>-18555932.022436883</v>
      </c>
      <c r="S409">
        <f t="shared" si="977"/>
        <v>-185.55932022436883</v>
      </c>
      <c r="T409">
        <f t="shared" si="978"/>
        <v>-0.18555932022436883</v>
      </c>
    </row>
    <row r="410" spans="1:20" x14ac:dyDescent="0.25">
      <c r="A410" s="5">
        <v>44183</v>
      </c>
      <c r="B410">
        <v>0.4088</v>
      </c>
      <c r="C410">
        <v>0.44069999999999998</v>
      </c>
      <c r="D410">
        <v>0.40150000000000002</v>
      </c>
      <c r="E410">
        <v>0.43359999999999999</v>
      </c>
      <c r="F410">
        <v>6346998.4199999999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0.6377551020408162</v>
      </c>
      <c r="Q410">
        <f t="shared" si="975"/>
        <v>4047830.6249999991</v>
      </c>
      <c r="R410">
        <f t="shared" si="976"/>
        <v>-16473017.216571499</v>
      </c>
      <c r="S410">
        <f t="shared" si="977"/>
        <v>-164.73017216571498</v>
      </c>
      <c r="T410">
        <f t="shared" si="978"/>
        <v>-0.16473017216571498</v>
      </c>
    </row>
    <row r="411" spans="1:20" x14ac:dyDescent="0.25">
      <c r="A411" s="5">
        <v>44182</v>
      </c>
      <c r="B411">
        <v>0.42499999999999999</v>
      </c>
      <c r="C411">
        <v>0.43</v>
      </c>
      <c r="D411">
        <v>0.4027</v>
      </c>
      <c r="E411">
        <v>0.40870000000000001</v>
      </c>
      <c r="F411">
        <v>9581909.3800000008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-0.56043956043955989</v>
      </c>
      <c r="Q411">
        <f t="shared" si="975"/>
        <v>-5370081.0810988965</v>
      </c>
      <c r="R411">
        <f t="shared" si="976"/>
        <v>-20520847.841571499</v>
      </c>
      <c r="S411">
        <f t="shared" si="977"/>
        <v>-205.20847841571498</v>
      </c>
      <c r="T411">
        <f t="shared" si="978"/>
        <v>-0.20520847841571499</v>
      </c>
    </row>
    <row r="412" spans="1:20" x14ac:dyDescent="0.25">
      <c r="A412" s="5">
        <v>44181</v>
      </c>
      <c r="B412">
        <v>0.39979999999999999</v>
      </c>
      <c r="C412">
        <v>0.42670000000000002</v>
      </c>
      <c r="D412">
        <v>0.38719999999999999</v>
      </c>
      <c r="E412">
        <v>0.42509999999999998</v>
      </c>
      <c r="F412">
        <v>9932942.5199999996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0.91898734177214969</v>
      </c>
      <c r="Q412">
        <f t="shared" si="975"/>
        <v>9128248.4424303565</v>
      </c>
      <c r="R412">
        <f t="shared" si="976"/>
        <v>-15150766.760472601</v>
      </c>
      <c r="S412">
        <f t="shared" si="977"/>
        <v>-151.50766760472601</v>
      </c>
      <c r="T412">
        <f t="shared" si="978"/>
        <v>-0.151507667604726</v>
      </c>
    </row>
    <row r="413" spans="1:20" x14ac:dyDescent="0.25">
      <c r="A413" s="5">
        <v>44180</v>
      </c>
      <c r="B413">
        <v>0.40570000000000001</v>
      </c>
      <c r="C413">
        <v>0.42270000000000002</v>
      </c>
      <c r="D413">
        <v>0.39689999999999998</v>
      </c>
      <c r="E413">
        <v>0.40010000000000001</v>
      </c>
      <c r="F413">
        <v>6152852.3700000001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-0.7519379844961217</v>
      </c>
      <c r="Q413">
        <f t="shared" si="975"/>
        <v>-4626563.4099999862</v>
      </c>
      <c r="R413">
        <f t="shared" si="976"/>
        <v>-24279015.202902958</v>
      </c>
      <c r="S413">
        <f t="shared" si="977"/>
        <v>-242.79015202902957</v>
      </c>
      <c r="T413">
        <f t="shared" si="978"/>
        <v>-0.24279015202902957</v>
      </c>
    </row>
    <row r="414" spans="1:20" x14ac:dyDescent="0.25">
      <c r="A414" s="5">
        <v>44179</v>
      </c>
      <c r="B414">
        <v>0.38650000000000001</v>
      </c>
      <c r="C414">
        <v>0.42499999999999999</v>
      </c>
      <c r="D414">
        <v>0.373</v>
      </c>
      <c r="E414">
        <v>0.4052</v>
      </c>
      <c r="F414">
        <v>9664757.2100000009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0.23846153846153892</v>
      </c>
      <c r="Q414">
        <f t="shared" si="975"/>
        <v>2304672.8731538509</v>
      </c>
      <c r="R414">
        <f t="shared" si="976"/>
        <v>-19652451.792902973</v>
      </c>
      <c r="S414">
        <f t="shared" si="977"/>
        <v>-196.52451792902971</v>
      </c>
      <c r="T414">
        <f t="shared" si="978"/>
        <v>-0.19652451792902972</v>
      </c>
    </row>
    <row r="415" spans="1:20" x14ac:dyDescent="0.25">
      <c r="A415" s="5">
        <v>44178</v>
      </c>
      <c r="B415">
        <v>0.38469999999999999</v>
      </c>
      <c r="C415">
        <v>0.39369999999999999</v>
      </c>
      <c r="D415">
        <v>0.38009999999999999</v>
      </c>
      <c r="E415">
        <v>0.3871</v>
      </c>
      <c r="F415">
        <v>2846606.18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2.9411764705883192E-2</v>
      </c>
      <c r="Q415">
        <f t="shared" si="975"/>
        <v>83723.711176472978</v>
      </c>
      <c r="R415">
        <f t="shared" si="976"/>
        <v>-21957124.666056823</v>
      </c>
      <c r="S415">
        <f t="shared" si="977"/>
        <v>-219.57124666056822</v>
      </c>
      <c r="T415">
        <f t="shared" si="978"/>
        <v>-0.21957124666056821</v>
      </c>
    </row>
    <row r="416" spans="1:20" x14ac:dyDescent="0.25">
      <c r="A416" s="5">
        <v>44177</v>
      </c>
      <c r="B416">
        <v>0.36109999999999998</v>
      </c>
      <c r="C416">
        <v>0.38690000000000002</v>
      </c>
      <c r="D416">
        <v>0.36</v>
      </c>
      <c r="E416">
        <v>0.38379999999999997</v>
      </c>
      <c r="F416">
        <v>2663856.92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0.76951672862453213</v>
      </c>
      <c r="Q416">
        <f t="shared" si="975"/>
        <v>2049882.4626022219</v>
      </c>
      <c r="R416">
        <f t="shared" si="976"/>
        <v>-22040848.377233297</v>
      </c>
      <c r="S416">
        <f t="shared" si="977"/>
        <v>-220.40848377233297</v>
      </c>
      <c r="T416">
        <f t="shared" si="978"/>
        <v>-0.22040848377233296</v>
      </c>
    </row>
    <row r="417" spans="1:20" x14ac:dyDescent="0.25">
      <c r="A417" s="5">
        <v>44176</v>
      </c>
      <c r="B417">
        <v>0.37919999999999998</v>
      </c>
      <c r="C417">
        <v>0.38080000000000003</v>
      </c>
      <c r="D417">
        <v>0.35630000000000001</v>
      </c>
      <c r="E417">
        <v>0.36009999999999998</v>
      </c>
      <c r="F417">
        <v>4112619.85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-0.68979591836734966</v>
      </c>
      <c r="Q417">
        <f t="shared" si="975"/>
        <v>-2836868.3863265417</v>
      </c>
      <c r="R417">
        <f t="shared" si="976"/>
        <v>-24090730.839835517</v>
      </c>
      <c r="S417">
        <f t="shared" si="977"/>
        <v>-240.90730839835518</v>
      </c>
      <c r="T417">
        <f t="shared" si="978"/>
        <v>-0.2409073083983552</v>
      </c>
    </row>
    <row r="418" spans="1:20" x14ac:dyDescent="0.25">
      <c r="A418" s="5">
        <v>44175</v>
      </c>
      <c r="B418">
        <v>0.3891</v>
      </c>
      <c r="C418">
        <v>0.39069999999999999</v>
      </c>
      <c r="D418">
        <v>0.373</v>
      </c>
      <c r="E418">
        <v>0.37909999999999999</v>
      </c>
      <c r="F418">
        <v>3022133.69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-0.31073446327683657</v>
      </c>
      <c r="Q418">
        <f t="shared" si="975"/>
        <v>-939081.09011299559</v>
      </c>
      <c r="R418">
        <f t="shared" si="976"/>
        <v>-21253862.453508977</v>
      </c>
      <c r="S418">
        <f t="shared" si="977"/>
        <v>-212.53862453508978</v>
      </c>
      <c r="T418">
        <f t="shared" si="978"/>
        <v>-0.21253862453508979</v>
      </c>
    </row>
    <row r="419" spans="1:20" x14ac:dyDescent="0.25">
      <c r="A419" s="5">
        <v>44174</v>
      </c>
      <c r="B419">
        <v>0.38850000000000001</v>
      </c>
      <c r="C419">
        <v>0.3931</v>
      </c>
      <c r="D419">
        <v>0.36840000000000001</v>
      </c>
      <c r="E419">
        <v>0.38819999999999999</v>
      </c>
      <c r="F419">
        <v>6134237.6799999997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0.60323886639675983</v>
      </c>
      <c r="Q419">
        <f t="shared" si="975"/>
        <v>3700410.5842914898</v>
      </c>
      <c r="R419">
        <f t="shared" si="976"/>
        <v>-20314781.363395981</v>
      </c>
      <c r="S419">
        <f t="shared" si="977"/>
        <v>-203.14781363395983</v>
      </c>
      <c r="T419">
        <f t="shared" si="978"/>
        <v>-0.20314781363395984</v>
      </c>
    </row>
    <row r="420" spans="1:20" x14ac:dyDescent="0.25">
      <c r="A420" s="5">
        <v>44173</v>
      </c>
      <c r="B420">
        <v>0.4219</v>
      </c>
      <c r="C420">
        <v>0.42499999999999999</v>
      </c>
      <c r="D420">
        <v>0.3805</v>
      </c>
      <c r="E420">
        <v>0.38840000000000002</v>
      </c>
      <c r="F420">
        <v>6175613.6100000003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-0.64494382022471819</v>
      </c>
      <c r="Q420">
        <f t="shared" si="975"/>
        <v>-3982923.8338651629</v>
      </c>
      <c r="R420">
        <f t="shared" si="976"/>
        <v>-24015191.947687473</v>
      </c>
      <c r="S420">
        <f t="shared" si="977"/>
        <v>-240.15191947687472</v>
      </c>
      <c r="T420">
        <f t="shared" si="978"/>
        <v>-0.24015191947687473</v>
      </c>
    </row>
    <row r="421" spans="1:20" x14ac:dyDescent="0.25">
      <c r="A421" s="5">
        <v>44172</v>
      </c>
      <c r="B421">
        <v>0.41339999999999999</v>
      </c>
      <c r="C421">
        <v>0.4294</v>
      </c>
      <c r="D421">
        <v>0.40849999999999997</v>
      </c>
      <c r="E421">
        <v>0.4219</v>
      </c>
      <c r="F421">
        <v>3947117.07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0.28229665071770371</v>
      </c>
      <c r="Q421">
        <f t="shared" si="975"/>
        <v>1114257.9288516759</v>
      </c>
      <c r="R421">
        <f t="shared" si="976"/>
        <v>-20032268.113822311</v>
      </c>
      <c r="S421">
        <f t="shared" si="977"/>
        <v>-200.32268113822312</v>
      </c>
      <c r="T421">
        <f t="shared" si="978"/>
        <v>-0.20032268113822313</v>
      </c>
    </row>
    <row r="422" spans="1:20" x14ac:dyDescent="0.25">
      <c r="A422" s="5">
        <v>44171</v>
      </c>
      <c r="B422">
        <v>0.42270000000000002</v>
      </c>
      <c r="C422">
        <v>0.42570000000000002</v>
      </c>
      <c r="D422">
        <v>0.40339999999999998</v>
      </c>
      <c r="E422">
        <v>0.41339999999999999</v>
      </c>
      <c r="F422">
        <v>3919469.25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-0.10313901345291569</v>
      </c>
      <c r="Q422">
        <f t="shared" si="975"/>
        <v>-404250.1917040394</v>
      </c>
      <c r="R422">
        <f t="shared" si="976"/>
        <v>-21146526.042673986</v>
      </c>
      <c r="S422">
        <f t="shared" si="977"/>
        <v>-211.46526042673986</v>
      </c>
      <c r="T422">
        <f t="shared" si="978"/>
        <v>-0.21146526042673985</v>
      </c>
    </row>
    <row r="423" spans="1:20" x14ac:dyDescent="0.25">
      <c r="A423" s="5">
        <v>44170</v>
      </c>
      <c r="B423">
        <v>0.39910000000000001</v>
      </c>
      <c r="C423">
        <v>0.42420000000000002</v>
      </c>
      <c r="D423">
        <v>0.3921</v>
      </c>
      <c r="E423">
        <v>0.42270000000000002</v>
      </c>
      <c r="F423">
        <v>4021026.88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0.90654205607476634</v>
      </c>
      <c r="Q423">
        <f t="shared" si="975"/>
        <v>3645229.9753271025</v>
      </c>
      <c r="R423">
        <f t="shared" si="976"/>
        <v>-20742275.850969948</v>
      </c>
      <c r="S423">
        <f t="shared" si="977"/>
        <v>-207.42275850969949</v>
      </c>
      <c r="T423">
        <f t="shared" si="978"/>
        <v>-0.20742275850969949</v>
      </c>
    </row>
    <row r="424" spans="1:20" x14ac:dyDescent="0.25">
      <c r="A424" s="5">
        <v>44169</v>
      </c>
      <c r="B424">
        <v>0.44019999999999998</v>
      </c>
      <c r="C424">
        <v>0.44169999999999998</v>
      </c>
      <c r="D424">
        <v>0.3901</v>
      </c>
      <c r="E424">
        <v>0.39910000000000001</v>
      </c>
      <c r="F424">
        <v>8914781.7300000004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-0.65116279069767402</v>
      </c>
      <c r="Q424">
        <f t="shared" si="975"/>
        <v>-5804974.1497674389</v>
      </c>
      <c r="R424">
        <f t="shared" si="976"/>
        <v>-24387505.826297048</v>
      </c>
      <c r="S424">
        <f t="shared" si="977"/>
        <v>-243.8750582629705</v>
      </c>
      <c r="T424">
        <f t="shared" si="978"/>
        <v>-0.24387505826297048</v>
      </c>
    </row>
    <row r="425" spans="1:20" x14ac:dyDescent="0.25">
      <c r="A425" s="5">
        <v>44168</v>
      </c>
      <c r="B425">
        <v>0.43719999999999998</v>
      </c>
      <c r="C425">
        <v>0.4486</v>
      </c>
      <c r="D425">
        <v>0.4269</v>
      </c>
      <c r="E425">
        <v>0.44019999999999998</v>
      </c>
      <c r="F425">
        <v>4681285.8099999996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0.22580645161290142</v>
      </c>
      <c r="Q425">
        <f t="shared" si="975"/>
        <v>1057064.537741927</v>
      </c>
      <c r="R425">
        <f t="shared" si="976"/>
        <v>-18582531.676529609</v>
      </c>
      <c r="S425">
        <f t="shared" si="977"/>
        <v>-185.82531676529609</v>
      </c>
      <c r="T425">
        <f t="shared" si="978"/>
        <v>-0.18582531676529609</v>
      </c>
    </row>
    <row r="426" spans="1:20" x14ac:dyDescent="0.25">
      <c r="A426" s="5">
        <v>44167</v>
      </c>
      <c r="B426">
        <v>0.41770000000000002</v>
      </c>
      <c r="C426">
        <v>0.44400000000000001</v>
      </c>
      <c r="D426">
        <v>0.40799999999999997</v>
      </c>
      <c r="E426">
        <v>0.43730000000000002</v>
      </c>
      <c r="F426">
        <v>5804975.2000000002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0.62777777777777899</v>
      </c>
      <c r="Q426">
        <f t="shared" si="975"/>
        <v>3644234.4311111183</v>
      </c>
      <c r="R426">
        <f t="shared" si="976"/>
        <v>-19639596.214271534</v>
      </c>
      <c r="S426">
        <f t="shared" si="977"/>
        <v>-196.39596214271535</v>
      </c>
      <c r="T426">
        <f t="shared" si="978"/>
        <v>-0.19639596214271535</v>
      </c>
    </row>
    <row r="427" spans="1:20" x14ac:dyDescent="0.25">
      <c r="A427" s="5">
        <v>44166</v>
      </c>
      <c r="B427">
        <v>0.4405</v>
      </c>
      <c r="C427">
        <v>0.47170000000000001</v>
      </c>
      <c r="D427">
        <v>0.40110000000000001</v>
      </c>
      <c r="E427">
        <v>0.41789999999999999</v>
      </c>
      <c r="F427">
        <v>11742626.289999999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-0.52407932011331493</v>
      </c>
      <c r="Q427">
        <f t="shared" si="975"/>
        <v>-6154067.6024079369</v>
      </c>
      <c r="R427">
        <f t="shared" si="976"/>
        <v>-23283830.645382654</v>
      </c>
      <c r="S427">
        <f t="shared" si="977"/>
        <v>-232.83830645382653</v>
      </c>
      <c r="T427">
        <f t="shared" si="978"/>
        <v>-0.23283830645382653</v>
      </c>
    </row>
    <row r="428" spans="1:20" x14ac:dyDescent="0.25">
      <c r="A428" s="5">
        <v>44165</v>
      </c>
      <c r="B428">
        <v>0.40789999999999998</v>
      </c>
      <c r="C428">
        <v>0.44790000000000002</v>
      </c>
      <c r="D428">
        <v>0.4027</v>
      </c>
      <c r="E428">
        <v>0.43940000000000001</v>
      </c>
      <c r="F428">
        <v>9373170.8699999992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0.62389380530973437</v>
      </c>
      <c r="Q428">
        <f t="shared" si="975"/>
        <v>5847863.2419026531</v>
      </c>
      <c r="R428">
        <f t="shared" si="976"/>
        <v>-17129763.042974718</v>
      </c>
      <c r="S428">
        <f t="shared" si="977"/>
        <v>-171.29763042974719</v>
      </c>
      <c r="T428">
        <f t="shared" si="978"/>
        <v>-0.17129763042974719</v>
      </c>
    </row>
    <row r="429" spans="1:20" x14ac:dyDescent="0.25">
      <c r="A429" s="5">
        <v>44164</v>
      </c>
      <c r="B429">
        <v>0.4078</v>
      </c>
      <c r="C429">
        <v>0.42559999999999998</v>
      </c>
      <c r="D429">
        <v>0.39829999999999999</v>
      </c>
      <c r="E429">
        <v>0.40789999999999998</v>
      </c>
      <c r="F429">
        <v>5931088.9500000002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-0.29670329670329665</v>
      </c>
      <c r="Q429">
        <f t="shared" si="975"/>
        <v>-1759773.6445054943</v>
      </c>
      <c r="R429">
        <f t="shared" si="976"/>
        <v>-22977626.284877371</v>
      </c>
      <c r="S429">
        <f t="shared" si="977"/>
        <v>-229.77626284877371</v>
      </c>
      <c r="T429">
        <f t="shared" si="978"/>
        <v>-0.2297762628487737</v>
      </c>
    </row>
    <row r="430" spans="1:20" x14ac:dyDescent="0.25">
      <c r="A430" s="5">
        <v>44163</v>
      </c>
      <c r="B430">
        <v>0.3977</v>
      </c>
      <c r="C430">
        <v>0.43</v>
      </c>
      <c r="D430">
        <v>0.38719999999999999</v>
      </c>
      <c r="E430">
        <v>0.4078</v>
      </c>
      <c r="F430">
        <v>6017536.1600000001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-3.7383177570093226E-2</v>
      </c>
      <c r="Q430">
        <f t="shared" si="975"/>
        <v>-224954.62280373691</v>
      </c>
      <c r="R430">
        <f t="shared" si="976"/>
        <v>-21217852.640371878</v>
      </c>
      <c r="S430">
        <f t="shared" si="977"/>
        <v>-212.17852640371876</v>
      </c>
      <c r="T430">
        <f t="shared" si="978"/>
        <v>-0.21217852640371876</v>
      </c>
    </row>
    <row r="431" spans="1:20" x14ac:dyDescent="0.25">
      <c r="A431" s="5">
        <v>44162</v>
      </c>
      <c r="B431">
        <v>0.4047</v>
      </c>
      <c r="C431">
        <v>0.42170000000000002</v>
      </c>
      <c r="D431">
        <v>0.377</v>
      </c>
      <c r="E431">
        <v>0.39660000000000001</v>
      </c>
      <c r="F431">
        <v>8099999.2599999998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-0.12304250559284123</v>
      </c>
      <c r="Q431">
        <f t="shared" si="975"/>
        <v>-996644.20425055979</v>
      </c>
      <c r="R431">
        <f t="shared" si="976"/>
        <v>-20992898.017568141</v>
      </c>
      <c r="S431">
        <f t="shared" si="977"/>
        <v>-209.9289801756814</v>
      </c>
      <c r="T431">
        <f t="shared" si="978"/>
        <v>-0.2099289801756814</v>
      </c>
    </row>
    <row r="432" spans="1:20" x14ac:dyDescent="0.25">
      <c r="A432" s="5">
        <v>44161</v>
      </c>
      <c r="B432">
        <v>0.4718</v>
      </c>
      <c r="C432">
        <v>0.48720000000000002</v>
      </c>
      <c r="D432">
        <v>0.37390000000000001</v>
      </c>
      <c r="E432">
        <v>0.40389999999999998</v>
      </c>
      <c r="F432">
        <v>20540832.260000002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-0.47043248014121858</v>
      </c>
      <c r="Q432">
        <f t="shared" si="975"/>
        <v>-9663074.664236553</v>
      </c>
      <c r="R432">
        <f t="shared" si="976"/>
        <v>-19996253.813317582</v>
      </c>
      <c r="S432">
        <f t="shared" si="977"/>
        <v>-199.96253813317583</v>
      </c>
      <c r="T432">
        <f t="shared" si="978"/>
        <v>-0.19996253813317583</v>
      </c>
    </row>
    <row r="433" spans="1:20" x14ac:dyDescent="0.25">
      <c r="A433" s="5">
        <v>44160</v>
      </c>
      <c r="B433">
        <v>0.46539999999999998</v>
      </c>
      <c r="C433">
        <v>0.54310000000000003</v>
      </c>
      <c r="D433">
        <v>0.4375</v>
      </c>
      <c r="E433">
        <v>0.47220000000000001</v>
      </c>
      <c r="F433">
        <v>25071935.920000002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-0.34280303030303033</v>
      </c>
      <c r="Q433">
        <f t="shared" si="975"/>
        <v>-8594735.6089393944</v>
      </c>
      <c r="R433">
        <f t="shared" si="976"/>
        <v>-10333179.149081031</v>
      </c>
      <c r="S433">
        <f t="shared" si="977"/>
        <v>-103.3317914908103</v>
      </c>
      <c r="T433">
        <f t="shared" si="978"/>
        <v>-0.1033317914908103</v>
      </c>
    </row>
    <row r="434" spans="1:20" x14ac:dyDescent="0.25">
      <c r="A434" s="5">
        <v>44159</v>
      </c>
      <c r="B434">
        <v>0.43740000000000001</v>
      </c>
      <c r="C434">
        <v>0.499</v>
      </c>
      <c r="D434">
        <v>0.41749999999999998</v>
      </c>
      <c r="E434">
        <v>0.4662</v>
      </c>
      <c r="F434">
        <v>25366571.890000001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0.19509202453987756</v>
      </c>
      <c r="Q434">
        <f t="shared" si="975"/>
        <v>4948815.8656564485</v>
      </c>
      <c r="R434">
        <f t="shared" si="976"/>
        <v>-1738443.5401416365</v>
      </c>
      <c r="S434">
        <f t="shared" si="977"/>
        <v>-17.384435401416365</v>
      </c>
      <c r="T434">
        <f t="shared" si="978"/>
        <v>-1.7384435401416366E-2</v>
      </c>
    </row>
    <row r="435" spans="1:20" x14ac:dyDescent="0.25">
      <c r="A435" s="5">
        <v>44158</v>
      </c>
      <c r="B435">
        <v>0.38969999999999999</v>
      </c>
      <c r="C435">
        <v>0.44009999999999999</v>
      </c>
      <c r="D435">
        <v>0.37469999999999998</v>
      </c>
      <c r="E435">
        <v>0.43740000000000001</v>
      </c>
      <c r="F435">
        <v>15448852.699999999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0.91743119266055106</v>
      </c>
      <c r="Q435">
        <f t="shared" si="975"/>
        <v>14173259.357798174</v>
      </c>
      <c r="R435">
        <f t="shared" si="976"/>
        <v>-6687259.405798085</v>
      </c>
      <c r="S435">
        <f t="shared" si="977"/>
        <v>-66.872594057980848</v>
      </c>
      <c r="T435">
        <f t="shared" si="978"/>
        <v>-6.687259405798085E-2</v>
      </c>
    </row>
    <row r="436" spans="1:20" x14ac:dyDescent="0.25">
      <c r="A436" s="5">
        <v>44157</v>
      </c>
      <c r="B436">
        <v>0.40570000000000001</v>
      </c>
      <c r="C436">
        <v>0.41149999999999998</v>
      </c>
      <c r="D436">
        <v>0.36580000000000001</v>
      </c>
      <c r="E436">
        <v>0.3886</v>
      </c>
      <c r="F436">
        <v>9934086.4399999995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-2.1881838074395859E-3</v>
      </c>
      <c r="Q436">
        <f t="shared" si="975"/>
        <v>-21737.607089713161</v>
      </c>
      <c r="R436">
        <f t="shared" si="976"/>
        <v>-20860518.763596259</v>
      </c>
      <c r="S436">
        <f t="shared" si="977"/>
        <v>-208.60518763596258</v>
      </c>
      <c r="T436">
        <f t="shared" si="978"/>
        <v>-0.20860518763596259</v>
      </c>
    </row>
    <row r="437" spans="1:20" x14ac:dyDescent="0.25">
      <c r="A437" s="5">
        <v>44156</v>
      </c>
      <c r="B437">
        <v>0.36270000000000002</v>
      </c>
      <c r="C437">
        <v>0.41</v>
      </c>
      <c r="D437">
        <v>0.36180000000000001</v>
      </c>
      <c r="E437">
        <v>0.40620000000000001</v>
      </c>
      <c r="F437">
        <v>10735983.08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0.84232365145228327</v>
      </c>
      <c r="Q437">
        <f t="shared" si="975"/>
        <v>9043172.4698755313</v>
      </c>
      <c r="R437">
        <f t="shared" si="976"/>
        <v>-20838781.156506546</v>
      </c>
      <c r="S437">
        <f t="shared" si="977"/>
        <v>-208.38781156506545</v>
      </c>
      <c r="T437">
        <f t="shared" si="978"/>
        <v>-0.20838781156506545</v>
      </c>
    </row>
    <row r="438" spans="1:20" x14ac:dyDescent="0.25">
      <c r="A438" s="5">
        <v>44155</v>
      </c>
      <c r="B438">
        <v>0.34570000000000001</v>
      </c>
      <c r="C438">
        <v>0.36630000000000001</v>
      </c>
      <c r="D438">
        <v>0.34420000000000001</v>
      </c>
      <c r="E438">
        <v>0.36199999999999999</v>
      </c>
      <c r="F438">
        <v>5284631.75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0.61085972850678516</v>
      </c>
      <c r="Q438">
        <f t="shared" si="975"/>
        <v>3228168.7160633369</v>
      </c>
      <c r="R438">
        <f t="shared" si="976"/>
        <v>-29881953.626382079</v>
      </c>
      <c r="S438">
        <f t="shared" si="977"/>
        <v>-298.81953626382079</v>
      </c>
      <c r="T438">
        <f t="shared" si="978"/>
        <v>-0.2988195362638208</v>
      </c>
    </row>
    <row r="439" spans="1:20" x14ac:dyDescent="0.25">
      <c r="A439" s="5">
        <v>44154</v>
      </c>
      <c r="B439">
        <v>0.34770000000000001</v>
      </c>
      <c r="C439">
        <v>0.35</v>
      </c>
      <c r="D439">
        <v>0.33450000000000002</v>
      </c>
      <c r="E439">
        <v>0.3458</v>
      </c>
      <c r="F439">
        <v>4505032.2300000004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0.45806451612903321</v>
      </c>
      <c r="Q439">
        <f t="shared" si="975"/>
        <v>2063595.4085806496</v>
      </c>
      <c r="R439">
        <f t="shared" si="976"/>
        <v>-33110122.342445415</v>
      </c>
      <c r="S439">
        <f t="shared" si="977"/>
        <v>-331.10122342445413</v>
      </c>
      <c r="T439">
        <f t="shared" si="978"/>
        <v>-0.33110122342445414</v>
      </c>
    </row>
    <row r="440" spans="1:20" x14ac:dyDescent="0.25">
      <c r="A440" s="5">
        <v>44153</v>
      </c>
      <c r="B440">
        <v>0.36309999999999998</v>
      </c>
      <c r="C440">
        <v>0.36420000000000002</v>
      </c>
      <c r="D440">
        <v>0.33500000000000002</v>
      </c>
      <c r="E440">
        <v>0.34739999999999999</v>
      </c>
      <c r="F440">
        <v>6227119.7999999998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-0.15068493150685172</v>
      </c>
      <c r="Q440">
        <f t="shared" si="975"/>
        <v>-938333.12054796016</v>
      </c>
      <c r="R440">
        <f t="shared" si="976"/>
        <v>-35173717.751026064</v>
      </c>
      <c r="S440">
        <f t="shared" si="977"/>
        <v>-351.73717751026066</v>
      </c>
      <c r="T440">
        <f t="shared" si="978"/>
        <v>-0.35173717751026068</v>
      </c>
    </row>
    <row r="441" spans="1:20" x14ac:dyDescent="0.25">
      <c r="A441" s="5">
        <v>44152</v>
      </c>
      <c r="B441">
        <v>0.35310000000000002</v>
      </c>
      <c r="C441">
        <v>0.36699999999999999</v>
      </c>
      <c r="D441">
        <v>0.35099999999999998</v>
      </c>
      <c r="E441">
        <v>0.36309999999999998</v>
      </c>
      <c r="F441">
        <v>5247234.93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0.51249999999999862</v>
      </c>
      <c r="Q441">
        <f t="shared" si="975"/>
        <v>2689207.9016249925</v>
      </c>
      <c r="R441">
        <f t="shared" si="976"/>
        <v>-34235384.630478106</v>
      </c>
      <c r="S441">
        <f t="shared" si="977"/>
        <v>-342.35384630478109</v>
      </c>
      <c r="T441">
        <f t="shared" si="978"/>
        <v>-0.34235384630478111</v>
      </c>
    </row>
    <row r="442" spans="1:20" x14ac:dyDescent="0.25">
      <c r="A442" s="5">
        <v>44151</v>
      </c>
      <c r="B442">
        <v>0.34110000000000001</v>
      </c>
      <c r="C442">
        <v>0.36280000000000001</v>
      </c>
      <c r="D442">
        <v>0.33510000000000001</v>
      </c>
      <c r="E442">
        <v>0.35289999999999999</v>
      </c>
      <c r="F442">
        <v>5094983.55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0.28519855595667731</v>
      </c>
      <c r="Q442">
        <f t="shared" si="975"/>
        <v>1453081.9510830254</v>
      </c>
      <c r="R442">
        <f t="shared" si="976"/>
        <v>-36924592.532103099</v>
      </c>
      <c r="S442">
        <f t="shared" si="977"/>
        <v>-369.245925321031</v>
      </c>
      <c r="T442">
        <f t="shared" si="978"/>
        <v>-0.36924592532103101</v>
      </c>
    </row>
    <row r="443" spans="1:20" x14ac:dyDescent="0.25">
      <c r="A443" s="5">
        <v>44150</v>
      </c>
      <c r="B443">
        <v>0.35299999999999998</v>
      </c>
      <c r="C443">
        <v>0.3629</v>
      </c>
      <c r="D443">
        <v>0.33129999999999998</v>
      </c>
      <c r="E443">
        <v>0.34100000000000003</v>
      </c>
      <c r="F443">
        <v>5777110.8700000001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-0.38607594936708628</v>
      </c>
      <c r="Q443">
        <f t="shared" si="975"/>
        <v>-2230403.563734164</v>
      </c>
      <c r="R443">
        <f t="shared" si="976"/>
        <v>-38377674.483186126</v>
      </c>
      <c r="S443">
        <f t="shared" si="977"/>
        <v>-383.77674483186127</v>
      </c>
      <c r="T443">
        <f t="shared" si="978"/>
        <v>-0.38377674483186125</v>
      </c>
    </row>
    <row r="444" spans="1:20" x14ac:dyDescent="0.25">
      <c r="A444" s="5">
        <v>44149</v>
      </c>
      <c r="B444">
        <v>0.37440000000000001</v>
      </c>
      <c r="C444">
        <v>0.37519999999999998</v>
      </c>
      <c r="D444">
        <v>0.34960000000000002</v>
      </c>
      <c r="E444">
        <v>0.35220000000000001</v>
      </c>
      <c r="F444">
        <v>4068034.92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-0.79687500000000033</v>
      </c>
      <c r="Q444">
        <f t="shared" si="975"/>
        <v>-3241715.3268750012</v>
      </c>
      <c r="R444">
        <f t="shared" si="976"/>
        <v>-36147270.919451959</v>
      </c>
      <c r="S444">
        <f t="shared" si="977"/>
        <v>-361.47270919451961</v>
      </c>
      <c r="T444">
        <f t="shared" si="978"/>
        <v>-0.36147270919451963</v>
      </c>
    </row>
    <row r="445" spans="1:20" x14ac:dyDescent="0.25">
      <c r="A445" s="5">
        <v>44148</v>
      </c>
      <c r="B445">
        <v>0.36470000000000002</v>
      </c>
      <c r="C445">
        <v>0.37869999999999998</v>
      </c>
      <c r="D445">
        <v>0.36130000000000001</v>
      </c>
      <c r="E445">
        <v>0.37390000000000001</v>
      </c>
      <c r="F445">
        <v>5462127.0899999999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0.44827586206896791</v>
      </c>
      <c r="Q445">
        <f t="shared" si="975"/>
        <v>2448539.730000013</v>
      </c>
      <c r="R445">
        <f t="shared" si="976"/>
        <v>-32905555.592576958</v>
      </c>
      <c r="S445">
        <f t="shared" si="977"/>
        <v>-329.05555592576957</v>
      </c>
      <c r="T445">
        <f t="shared" si="978"/>
        <v>-0.32905555592576957</v>
      </c>
    </row>
    <row r="446" spans="1:20" x14ac:dyDescent="0.25">
      <c r="A446" s="5">
        <v>44147</v>
      </c>
      <c r="B446">
        <v>0.36159999999999998</v>
      </c>
      <c r="C446">
        <v>0.39689999999999998</v>
      </c>
      <c r="D446">
        <v>0.35499999999999998</v>
      </c>
      <c r="E446">
        <v>0.36499999999999999</v>
      </c>
      <c r="F446">
        <v>7004588.9400000004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-0.52267303102625251</v>
      </c>
      <c r="Q446">
        <f t="shared" si="975"/>
        <v>-3661109.7323627654</v>
      </c>
      <c r="R446">
        <f t="shared" si="976"/>
        <v>-35354095.32257697</v>
      </c>
      <c r="S446">
        <f t="shared" si="977"/>
        <v>-353.54095322576973</v>
      </c>
      <c r="T446">
        <f t="shared" si="978"/>
        <v>-0.35354095322576973</v>
      </c>
    </row>
    <row r="447" spans="1:20" x14ac:dyDescent="0.25">
      <c r="A447" s="5">
        <v>44146</v>
      </c>
      <c r="B447">
        <v>0.35799999999999998</v>
      </c>
      <c r="C447">
        <v>0.38090000000000002</v>
      </c>
      <c r="D447">
        <v>0.35580000000000001</v>
      </c>
      <c r="E447">
        <v>0.36130000000000001</v>
      </c>
      <c r="F447">
        <v>6052646.5199999996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-0.5617529880478086</v>
      </c>
      <c r="Q447">
        <f t="shared" si="975"/>
        <v>-3400092.2682071701</v>
      </c>
      <c r="R447">
        <f t="shared" si="976"/>
        <v>-31692985.590214208</v>
      </c>
      <c r="S447">
        <f t="shared" si="977"/>
        <v>-316.92985590214209</v>
      </c>
      <c r="T447">
        <f t="shared" si="978"/>
        <v>-0.31692985590214212</v>
      </c>
    </row>
    <row r="448" spans="1:20" x14ac:dyDescent="0.25">
      <c r="A448" s="5">
        <v>44145</v>
      </c>
      <c r="B448">
        <v>0.34389999999999998</v>
      </c>
      <c r="C448">
        <v>0.3654</v>
      </c>
      <c r="D448">
        <v>0.34</v>
      </c>
      <c r="E448">
        <v>0.35780000000000001</v>
      </c>
      <c r="F448">
        <v>4047942.45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0.40157480314960614</v>
      </c>
      <c r="Q448">
        <f t="shared" si="975"/>
        <v>1625551.6925196846</v>
      </c>
      <c r="R448">
        <f t="shared" si="976"/>
        <v>-28292893.322007038</v>
      </c>
      <c r="S448">
        <f t="shared" si="977"/>
        <v>-282.92893322007041</v>
      </c>
      <c r="T448">
        <f t="shared" si="978"/>
        <v>-0.2829289332200704</v>
      </c>
    </row>
    <row r="449" spans="1:20" x14ac:dyDescent="0.25">
      <c r="A449" s="5">
        <v>44144</v>
      </c>
      <c r="B449">
        <v>0.35070000000000001</v>
      </c>
      <c r="C449">
        <v>0.35780000000000001</v>
      </c>
      <c r="D449">
        <v>0.33</v>
      </c>
      <c r="E449">
        <v>0.34389999999999998</v>
      </c>
      <c r="F449">
        <v>4448859.66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-1.9968040011243829E-15</v>
      </c>
      <c r="Q449">
        <f t="shared" si="975"/>
        <v>-8.8835007695288616E-9</v>
      </c>
      <c r="R449">
        <f t="shared" si="976"/>
        <v>-29918445.014526721</v>
      </c>
      <c r="S449">
        <f t="shared" si="977"/>
        <v>-299.18445014526719</v>
      </c>
      <c r="T449">
        <f t="shared" si="978"/>
        <v>-0.29918445014526718</v>
      </c>
    </row>
    <row r="450" spans="1:20" x14ac:dyDescent="0.25">
      <c r="A450" s="5">
        <v>44143</v>
      </c>
      <c r="B450">
        <v>0.3357</v>
      </c>
      <c r="C450">
        <v>0.36499999999999999</v>
      </c>
      <c r="D450">
        <v>0.33179999999999998</v>
      </c>
      <c r="E450">
        <v>0.35120000000000001</v>
      </c>
      <c r="F450">
        <v>3420365.31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0.16867469879518218</v>
      </c>
      <c r="Q450">
        <f t="shared" si="975"/>
        <v>576929.08843373996</v>
      </c>
      <c r="R450">
        <f t="shared" si="976"/>
        <v>-29918445.014526714</v>
      </c>
      <c r="S450">
        <f t="shared" si="977"/>
        <v>-299.18445014526714</v>
      </c>
      <c r="T450">
        <f t="shared" si="978"/>
        <v>-0.29918445014526712</v>
      </c>
    </row>
    <row r="451" spans="1:20" x14ac:dyDescent="0.25">
      <c r="A451" s="5">
        <v>44142</v>
      </c>
      <c r="B451">
        <v>0.36009999999999998</v>
      </c>
      <c r="C451">
        <v>0.38390000000000002</v>
      </c>
      <c r="D451">
        <v>0.32</v>
      </c>
      <c r="E451">
        <v>0.3357</v>
      </c>
      <c r="F451">
        <v>8087741.9199999999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-0.50860719874804416</v>
      </c>
      <c r="Q451">
        <f t="shared" si="975"/>
        <v>-4113483.7621283284</v>
      </c>
      <c r="R451">
        <f t="shared" si="976"/>
        <v>-30495374.102960452</v>
      </c>
      <c r="S451">
        <f t="shared" si="977"/>
        <v>-304.95374102960454</v>
      </c>
      <c r="T451">
        <f t="shared" si="978"/>
        <v>-0.30495374102960454</v>
      </c>
    </row>
    <row r="452" spans="1:20" x14ac:dyDescent="0.25">
      <c r="A452" s="5">
        <v>44141</v>
      </c>
      <c r="B452">
        <v>0.31690000000000002</v>
      </c>
      <c r="C452">
        <v>0.36980000000000002</v>
      </c>
      <c r="D452">
        <v>0.315</v>
      </c>
      <c r="E452">
        <v>0.3604</v>
      </c>
      <c r="F452">
        <v>6316687.7000000002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0.65693430656934249</v>
      </c>
      <c r="Q452">
        <f t="shared" si="975"/>
        <v>4149648.854014595</v>
      </c>
      <c r="R452">
        <f t="shared" si="976"/>
        <v>-26381890.340832125</v>
      </c>
      <c r="S452">
        <f t="shared" si="977"/>
        <v>-263.81890340832126</v>
      </c>
      <c r="T452">
        <f t="shared" si="978"/>
        <v>-0.26381890340832126</v>
      </c>
    </row>
    <row r="453" spans="1:20" x14ac:dyDescent="0.25">
      <c r="A453" s="5">
        <v>44140</v>
      </c>
      <c r="B453">
        <v>0.31290000000000001</v>
      </c>
      <c r="C453">
        <v>0.318</v>
      </c>
      <c r="D453">
        <v>0.3</v>
      </c>
      <c r="E453">
        <v>0.316</v>
      </c>
      <c r="F453">
        <v>3190371.82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0.77777777777777779</v>
      </c>
      <c r="Q453">
        <f t="shared" si="975"/>
        <v>2481400.3044444444</v>
      </c>
      <c r="R453">
        <f t="shared" si="976"/>
        <v>-30531539.19484672</v>
      </c>
      <c r="S453">
        <f t="shared" si="977"/>
        <v>-305.31539194846721</v>
      </c>
      <c r="T453">
        <f t="shared" si="978"/>
        <v>-0.30531539194846719</v>
      </c>
    </row>
    <row r="454" spans="1:20" x14ac:dyDescent="0.25">
      <c r="A454" s="5">
        <v>44139</v>
      </c>
      <c r="B454">
        <v>0.31569999999999998</v>
      </c>
      <c r="C454">
        <v>0.31580000000000003</v>
      </c>
      <c r="D454">
        <v>0.29430000000000001</v>
      </c>
      <c r="E454">
        <v>0.31240000000000001</v>
      </c>
      <c r="F454">
        <v>2654715.89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0.68372093023255709</v>
      </c>
      <c r="Q454">
        <f t="shared" ref="Q454:Q517" si="980">F454*P454</f>
        <v>1815084.8178139508</v>
      </c>
      <c r="R454">
        <f t="shared" ref="R454:R517" si="981">R455+Q454</f>
        <v>-33012939.499291163</v>
      </c>
      <c r="S454">
        <f t="shared" ref="S454:S517" si="982">R454/100000</f>
        <v>-330.12939499291161</v>
      </c>
      <c r="T454">
        <f t="shared" ref="T454:T517" si="983">S454/1000</f>
        <v>-0.33012939499291161</v>
      </c>
    </row>
    <row r="455" spans="1:20" x14ac:dyDescent="0.25">
      <c r="A455" s="5">
        <v>44138</v>
      </c>
      <c r="B455">
        <v>0.32</v>
      </c>
      <c r="C455">
        <v>0.32590000000000002</v>
      </c>
      <c r="D455">
        <v>0.30649999999999999</v>
      </c>
      <c r="E455">
        <v>0.31569999999999998</v>
      </c>
      <c r="F455">
        <v>2078990.08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-5.1546391752580155E-2</v>
      </c>
      <c r="Q455">
        <f t="shared" si="980"/>
        <v>-107164.43711340796</v>
      </c>
      <c r="R455">
        <f t="shared" si="981"/>
        <v>-34828024.317105114</v>
      </c>
      <c r="S455">
        <f t="shared" si="982"/>
        <v>-348.28024317105115</v>
      </c>
      <c r="T455">
        <f t="shared" si="983"/>
        <v>-0.34828024317105116</v>
      </c>
    </row>
    <row r="456" spans="1:20" x14ac:dyDescent="0.25">
      <c r="A456" s="5">
        <v>44137</v>
      </c>
      <c r="B456">
        <v>0.33729999999999999</v>
      </c>
      <c r="C456">
        <v>0.34279999999999999</v>
      </c>
      <c r="D456">
        <v>0.31890000000000002</v>
      </c>
      <c r="E456">
        <v>0.32040000000000002</v>
      </c>
      <c r="F456">
        <v>1603337.44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-0.87447698744769853</v>
      </c>
      <c r="Q456">
        <f t="shared" si="980"/>
        <v>-1402081.6943933051</v>
      </c>
      <c r="R456">
        <f t="shared" si="981"/>
        <v>-34720859.87999171</v>
      </c>
      <c r="S456">
        <f t="shared" si="982"/>
        <v>-347.20859879991713</v>
      </c>
      <c r="T456">
        <f t="shared" si="983"/>
        <v>-0.34720859879991711</v>
      </c>
    </row>
    <row r="457" spans="1:20" x14ac:dyDescent="0.25">
      <c r="A457" s="5">
        <v>44136</v>
      </c>
      <c r="B457">
        <v>0.3175</v>
      </c>
      <c r="C457">
        <v>0.34289999999999998</v>
      </c>
      <c r="D457">
        <v>0.31590000000000001</v>
      </c>
      <c r="E457">
        <v>0.3377</v>
      </c>
      <c r="F457">
        <v>2068870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0.6148148148148157</v>
      </c>
      <c r="Q457">
        <f t="shared" si="980"/>
        <v>1271971.9259259277</v>
      </c>
      <c r="R457">
        <f t="shared" si="981"/>
        <v>-33318778.185598407</v>
      </c>
      <c r="S457">
        <f t="shared" si="982"/>
        <v>-333.18778185598404</v>
      </c>
      <c r="T457">
        <f t="shared" si="983"/>
        <v>-0.33318778185598402</v>
      </c>
    </row>
    <row r="458" spans="1:20" x14ac:dyDescent="0.25">
      <c r="A458" s="5">
        <v>44135</v>
      </c>
      <c r="B458">
        <v>0.32019999999999998</v>
      </c>
      <c r="C458">
        <v>0.33339999999999997</v>
      </c>
      <c r="D458">
        <v>0.317</v>
      </c>
      <c r="E458">
        <v>0.31809999999999999</v>
      </c>
      <c r="F458">
        <v>1735902.34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-0.86585365853658636</v>
      </c>
      <c r="Q458">
        <f t="shared" si="980"/>
        <v>-1503037.3919512213</v>
      </c>
      <c r="R458">
        <f t="shared" si="981"/>
        <v>-34590750.111524336</v>
      </c>
      <c r="S458">
        <f t="shared" si="982"/>
        <v>-345.90750111524335</v>
      </c>
      <c r="T458">
        <f t="shared" si="983"/>
        <v>-0.34590750111524338</v>
      </c>
    </row>
    <row r="459" spans="1:20" x14ac:dyDescent="0.25">
      <c r="A459" s="5">
        <v>44134</v>
      </c>
      <c r="B459">
        <v>0.33760000000000001</v>
      </c>
      <c r="C459">
        <v>0.34210000000000002</v>
      </c>
      <c r="D459">
        <v>0.30669999999999997</v>
      </c>
      <c r="E459">
        <v>0.32</v>
      </c>
      <c r="F459">
        <v>3176130.75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-0.24858757062146791</v>
      </c>
      <c r="Q459">
        <f t="shared" si="980"/>
        <v>-789546.62711864081</v>
      </c>
      <c r="R459">
        <f t="shared" si="981"/>
        <v>-33087712.719573114</v>
      </c>
      <c r="S459">
        <f t="shared" si="982"/>
        <v>-330.87712719573113</v>
      </c>
      <c r="T459">
        <f t="shared" si="983"/>
        <v>-0.33087712719573115</v>
      </c>
    </row>
    <row r="460" spans="1:20" x14ac:dyDescent="0.25">
      <c r="A460" s="5">
        <v>44133</v>
      </c>
      <c r="B460">
        <v>0.33879999999999999</v>
      </c>
      <c r="C460">
        <v>0.3473</v>
      </c>
      <c r="D460">
        <v>0.32</v>
      </c>
      <c r="E460">
        <v>0.33760000000000001</v>
      </c>
      <c r="F460">
        <v>3221218.74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0.28937728937729013</v>
      </c>
      <c r="Q460">
        <f t="shared" si="980"/>
        <v>932147.54747252993</v>
      </c>
      <c r="R460">
        <f t="shared" si="981"/>
        <v>-32298166.092454474</v>
      </c>
      <c r="S460">
        <f t="shared" si="982"/>
        <v>-322.98166092454477</v>
      </c>
      <c r="T460">
        <f t="shared" si="983"/>
        <v>-0.32298166092454478</v>
      </c>
    </row>
    <row r="461" spans="1:20" x14ac:dyDescent="0.25">
      <c r="A461" s="5">
        <v>44132</v>
      </c>
      <c r="B461">
        <v>0.35699999999999998</v>
      </c>
      <c r="C461">
        <v>0.36249999999999999</v>
      </c>
      <c r="D461">
        <v>0.33129999999999998</v>
      </c>
      <c r="E461">
        <v>0.33989999999999998</v>
      </c>
      <c r="F461">
        <v>3317152.39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-0.44871794871794901</v>
      </c>
      <c r="Q461">
        <f t="shared" si="980"/>
        <v>-1488465.816025642</v>
      </c>
      <c r="R461">
        <f t="shared" si="981"/>
        <v>-33230313.639927004</v>
      </c>
      <c r="S461">
        <f t="shared" si="982"/>
        <v>-332.30313639927004</v>
      </c>
      <c r="T461">
        <f t="shared" si="983"/>
        <v>-0.33230313639927006</v>
      </c>
    </row>
    <row r="462" spans="1:20" x14ac:dyDescent="0.25">
      <c r="A462" s="5">
        <v>44131</v>
      </c>
      <c r="B462">
        <v>0.36099999999999999</v>
      </c>
      <c r="C462">
        <v>0.36959999999999998</v>
      </c>
      <c r="D462">
        <v>0.35239999999999999</v>
      </c>
      <c r="E462">
        <v>0.35699999999999998</v>
      </c>
      <c r="F462">
        <v>2210734.21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-0.46511627906976805</v>
      </c>
      <c r="Q462">
        <f t="shared" si="980"/>
        <v>-1028248.4697674431</v>
      </c>
      <c r="R462">
        <f t="shared" si="981"/>
        <v>-31741847.823901363</v>
      </c>
      <c r="S462">
        <f t="shared" si="982"/>
        <v>-317.41847823901361</v>
      </c>
      <c r="T462">
        <f t="shared" si="983"/>
        <v>-0.31741847823901359</v>
      </c>
    </row>
    <row r="463" spans="1:20" x14ac:dyDescent="0.25">
      <c r="A463" s="5">
        <v>44130</v>
      </c>
      <c r="B463">
        <v>0.3715</v>
      </c>
      <c r="C463">
        <v>0.379</v>
      </c>
      <c r="D463">
        <v>0.34899999999999998</v>
      </c>
      <c r="E463">
        <v>0.36109999999999998</v>
      </c>
      <c r="F463">
        <v>3361709.79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-0.19333333333333408</v>
      </c>
      <c r="Q463">
        <f t="shared" si="980"/>
        <v>-649930.55940000247</v>
      </c>
      <c r="R463">
        <f t="shared" si="981"/>
        <v>-30713599.354133919</v>
      </c>
      <c r="S463">
        <f t="shared" si="982"/>
        <v>-307.13599354133919</v>
      </c>
      <c r="T463">
        <f t="shared" si="983"/>
        <v>-0.30713599354133919</v>
      </c>
    </row>
    <row r="464" spans="1:20" x14ac:dyDescent="0.25">
      <c r="A464" s="5">
        <v>44129</v>
      </c>
      <c r="B464">
        <v>0.37319999999999998</v>
      </c>
      <c r="C464">
        <v>0.37840000000000001</v>
      </c>
      <c r="D464">
        <v>0.36209999999999998</v>
      </c>
      <c r="E464">
        <v>0.37109999999999999</v>
      </c>
      <c r="F464">
        <v>2014732.78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0.10429447852760586</v>
      </c>
      <c r="Q464">
        <f t="shared" si="980"/>
        <v>210125.50466257366</v>
      </c>
      <c r="R464">
        <f t="shared" si="981"/>
        <v>-30063668.794733915</v>
      </c>
      <c r="S464">
        <f t="shared" si="982"/>
        <v>-300.63668794733917</v>
      </c>
      <c r="T464">
        <f t="shared" si="983"/>
        <v>-0.30063668794733917</v>
      </c>
    </row>
    <row r="465" spans="1:20" x14ac:dyDescent="0.25">
      <c r="A465" s="5">
        <v>44128</v>
      </c>
      <c r="B465">
        <v>0.37519999999999998</v>
      </c>
      <c r="C465">
        <v>0.38059999999999999</v>
      </c>
      <c r="D465">
        <v>0.36809999999999998</v>
      </c>
      <c r="E465">
        <v>0.37319999999999998</v>
      </c>
      <c r="F465">
        <v>2094889.93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-0.18400000000000177</v>
      </c>
      <c r="Q465">
        <f t="shared" si="980"/>
        <v>-385459.74712000368</v>
      </c>
      <c r="R465">
        <f t="shared" si="981"/>
        <v>-30273794.299396489</v>
      </c>
      <c r="S465">
        <f t="shared" si="982"/>
        <v>-302.73794299396491</v>
      </c>
      <c r="T465">
        <f t="shared" si="983"/>
        <v>-0.30273794299396489</v>
      </c>
    </row>
    <row r="466" spans="1:20" x14ac:dyDescent="0.25">
      <c r="A466" s="5">
        <v>44127</v>
      </c>
      <c r="B466">
        <v>0.38069999999999998</v>
      </c>
      <c r="C466">
        <v>0.3891</v>
      </c>
      <c r="D466">
        <v>0.36580000000000001</v>
      </c>
      <c r="E466">
        <v>0.37490000000000001</v>
      </c>
      <c r="F466">
        <v>3084774.75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-0.21888412017167366</v>
      </c>
      <c r="Q466">
        <f t="shared" si="980"/>
        <v>-675208.20708154456</v>
      </c>
      <c r="R466">
        <f t="shared" si="981"/>
        <v>-29888334.552276485</v>
      </c>
      <c r="S466">
        <f t="shared" si="982"/>
        <v>-298.88334552276484</v>
      </c>
      <c r="T466">
        <f t="shared" si="983"/>
        <v>-0.29888334552276485</v>
      </c>
    </row>
    <row r="467" spans="1:20" x14ac:dyDescent="0.25">
      <c r="A467" s="5">
        <v>44126</v>
      </c>
      <c r="B467">
        <v>0.37180000000000002</v>
      </c>
      <c r="C467">
        <v>0.39350000000000002</v>
      </c>
      <c r="D467">
        <v>0.36909999999999998</v>
      </c>
      <c r="E467">
        <v>0.38169999999999998</v>
      </c>
      <c r="F467">
        <v>3392165.69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3.278688524590026E-2</v>
      </c>
      <c r="Q467">
        <f t="shared" si="980"/>
        <v>111218.54721311007</v>
      </c>
      <c r="R467">
        <f t="shared" si="981"/>
        <v>-29213126.34519494</v>
      </c>
      <c r="S467">
        <f t="shared" si="982"/>
        <v>-292.13126345194939</v>
      </c>
      <c r="T467">
        <f t="shared" si="983"/>
        <v>-0.2921312634519494</v>
      </c>
    </row>
    <row r="468" spans="1:20" x14ac:dyDescent="0.25">
      <c r="A468" s="5">
        <v>44125</v>
      </c>
      <c r="B468">
        <v>0.35499999999999998</v>
      </c>
      <c r="C468">
        <v>0.38030000000000003</v>
      </c>
      <c r="D468">
        <v>0.35289999999999999</v>
      </c>
      <c r="E468">
        <v>0.37280000000000002</v>
      </c>
      <c r="F468">
        <v>3140465.48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0.45255474452554767</v>
      </c>
      <c r="Q468">
        <f t="shared" si="980"/>
        <v>1421232.5529927015</v>
      </c>
      <c r="R468">
        <f t="shared" si="981"/>
        <v>-29324344.892408051</v>
      </c>
      <c r="S468">
        <f t="shared" si="982"/>
        <v>-293.2434489240805</v>
      </c>
      <c r="T468">
        <f t="shared" si="983"/>
        <v>-0.2932434489240805</v>
      </c>
    </row>
    <row r="469" spans="1:20" x14ac:dyDescent="0.25">
      <c r="A469" s="5">
        <v>44124</v>
      </c>
      <c r="B469">
        <v>0.37380000000000002</v>
      </c>
      <c r="C469">
        <v>0.38650000000000001</v>
      </c>
      <c r="D469">
        <v>0.35239999999999999</v>
      </c>
      <c r="E469">
        <v>0.35439999999999999</v>
      </c>
      <c r="F469">
        <v>3695397.71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-0.88269794721407624</v>
      </c>
      <c r="Q469">
        <f t="shared" si="980"/>
        <v>-3261919.9727565981</v>
      </c>
      <c r="R469">
        <f t="shared" si="981"/>
        <v>-30745577.445400752</v>
      </c>
      <c r="S469">
        <f t="shared" si="982"/>
        <v>-307.4557744540075</v>
      </c>
      <c r="T469">
        <f t="shared" si="983"/>
        <v>-0.30745577445400751</v>
      </c>
    </row>
    <row r="470" spans="1:20" x14ac:dyDescent="0.25">
      <c r="A470" s="5">
        <v>44123</v>
      </c>
      <c r="B470">
        <v>0.3856</v>
      </c>
      <c r="C470">
        <v>0.38650000000000001</v>
      </c>
      <c r="D470">
        <v>0.36870000000000003</v>
      </c>
      <c r="E470">
        <v>0.37380000000000002</v>
      </c>
      <c r="F470">
        <v>2882421.64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-0.42696629213483162</v>
      </c>
      <c r="Q470">
        <f t="shared" si="980"/>
        <v>-1230696.8800000006</v>
      </c>
      <c r="R470">
        <f t="shared" si="981"/>
        <v>-27483657.472644154</v>
      </c>
      <c r="S470">
        <f t="shared" si="982"/>
        <v>-274.83657472644154</v>
      </c>
      <c r="T470">
        <f t="shared" si="983"/>
        <v>-0.27483657472644152</v>
      </c>
    </row>
    <row r="471" spans="1:20" x14ac:dyDescent="0.25">
      <c r="A471" s="5">
        <v>44122</v>
      </c>
      <c r="B471">
        <v>0.38030000000000003</v>
      </c>
      <c r="C471">
        <v>0.3886</v>
      </c>
      <c r="D471">
        <v>0.37859999999999999</v>
      </c>
      <c r="E471">
        <v>0.38500000000000001</v>
      </c>
      <c r="F471">
        <v>1730755.79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0.28000000000000225</v>
      </c>
      <c r="Q471">
        <f t="shared" si="980"/>
        <v>484611.62120000389</v>
      </c>
      <c r="R471">
        <f t="shared" si="981"/>
        <v>-26252960.592644155</v>
      </c>
      <c r="S471">
        <f t="shared" si="982"/>
        <v>-262.52960592644155</v>
      </c>
      <c r="T471">
        <f t="shared" si="983"/>
        <v>-0.26252960592644153</v>
      </c>
    </row>
    <row r="472" spans="1:20" x14ac:dyDescent="0.25">
      <c r="A472" s="5">
        <v>44121</v>
      </c>
      <c r="B472">
        <v>0.36730000000000002</v>
      </c>
      <c r="C472">
        <v>0.3861</v>
      </c>
      <c r="D472">
        <v>0.36109999999999998</v>
      </c>
      <c r="E472">
        <v>0.38140000000000002</v>
      </c>
      <c r="F472">
        <v>2136811.3199999998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0.62400000000000178</v>
      </c>
      <c r="Q472">
        <f t="shared" si="980"/>
        <v>1333370.2636800036</v>
      </c>
      <c r="R472">
        <f t="shared" si="981"/>
        <v>-26737572.213844158</v>
      </c>
      <c r="S472">
        <f t="shared" si="982"/>
        <v>-267.37572213844157</v>
      </c>
      <c r="T472">
        <f t="shared" si="983"/>
        <v>-0.26737572213844157</v>
      </c>
    </row>
    <row r="473" spans="1:20" x14ac:dyDescent="0.25">
      <c r="A473" s="5">
        <v>44120</v>
      </c>
      <c r="B473">
        <v>0.38100000000000001</v>
      </c>
      <c r="C473">
        <v>0.38390000000000002</v>
      </c>
      <c r="D473">
        <v>0.35499999999999998</v>
      </c>
      <c r="E473">
        <v>0.36759999999999998</v>
      </c>
      <c r="F473">
        <v>4554539.82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-0.12802768166090076</v>
      </c>
      <c r="Q473">
        <f t="shared" si="980"/>
        <v>-583107.17418685625</v>
      </c>
      <c r="R473">
        <f t="shared" si="981"/>
        <v>-28070942.477524161</v>
      </c>
      <c r="S473">
        <f t="shared" si="982"/>
        <v>-280.70942477524159</v>
      </c>
      <c r="T473">
        <f t="shared" si="983"/>
        <v>-0.28070942477524158</v>
      </c>
    </row>
    <row r="474" spans="1:20" x14ac:dyDescent="0.25">
      <c r="A474" s="5">
        <v>44119</v>
      </c>
      <c r="B474">
        <v>0.3901</v>
      </c>
      <c r="C474">
        <v>0.3901</v>
      </c>
      <c r="D474">
        <v>0.36620000000000003</v>
      </c>
      <c r="E474">
        <v>0.38080000000000003</v>
      </c>
      <c r="F474">
        <v>4318830.5999999996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0.22175732217573355</v>
      </c>
      <c r="Q474">
        <f t="shared" si="980"/>
        <v>957732.30878661654</v>
      </c>
      <c r="R474">
        <f t="shared" si="981"/>
        <v>-27487835.303337306</v>
      </c>
      <c r="S474">
        <f t="shared" si="982"/>
        <v>-274.87835303337306</v>
      </c>
      <c r="T474">
        <f t="shared" si="983"/>
        <v>-0.27487835303337305</v>
      </c>
    </row>
    <row r="475" spans="1:20" x14ac:dyDescent="0.25">
      <c r="A475" s="5">
        <v>44118</v>
      </c>
      <c r="B475">
        <v>0.41070000000000001</v>
      </c>
      <c r="C475">
        <v>0.41570000000000001</v>
      </c>
      <c r="D475">
        <v>0.38429999999999997</v>
      </c>
      <c r="E475">
        <v>0.3901</v>
      </c>
      <c r="F475">
        <v>3852222.22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-0.63057324840764206</v>
      </c>
      <c r="Q475">
        <f t="shared" si="980"/>
        <v>-2429108.2788534984</v>
      </c>
      <c r="R475">
        <f t="shared" si="981"/>
        <v>-28445567.612123922</v>
      </c>
      <c r="S475">
        <f t="shared" si="982"/>
        <v>-284.45567612123921</v>
      </c>
      <c r="T475">
        <f t="shared" si="983"/>
        <v>-0.28445567612123923</v>
      </c>
    </row>
    <row r="476" spans="1:20" x14ac:dyDescent="0.25">
      <c r="A476" s="5">
        <v>44117</v>
      </c>
      <c r="B476">
        <v>0.40739999999999998</v>
      </c>
      <c r="C476">
        <v>0.4299</v>
      </c>
      <c r="D476">
        <v>0.4037</v>
      </c>
      <c r="E476">
        <v>0.41020000000000001</v>
      </c>
      <c r="F476">
        <v>6287186.2400000002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-0.50381679389312939</v>
      </c>
      <c r="Q476">
        <f t="shared" si="980"/>
        <v>-3167590.0140457992</v>
      </c>
      <c r="R476">
        <f t="shared" si="981"/>
        <v>-26016459.333270423</v>
      </c>
      <c r="S476">
        <f t="shared" si="982"/>
        <v>-260.16459333270421</v>
      </c>
      <c r="T476">
        <f t="shared" si="983"/>
        <v>-0.2601645933327042</v>
      </c>
    </row>
    <row r="477" spans="1:20" x14ac:dyDescent="0.25">
      <c r="A477" s="5">
        <v>44116</v>
      </c>
      <c r="B477">
        <v>0.39589999999999997</v>
      </c>
      <c r="C477">
        <v>0.42299999999999999</v>
      </c>
      <c r="D477">
        <v>0.3921</v>
      </c>
      <c r="E477">
        <v>0.40749999999999997</v>
      </c>
      <c r="F477">
        <v>6076792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-3.2362459546939983E-3</v>
      </c>
      <c r="Q477">
        <f t="shared" si="980"/>
        <v>-19665.99352751685</v>
      </c>
      <c r="R477">
        <f t="shared" si="981"/>
        <v>-22848869.319224622</v>
      </c>
      <c r="S477">
        <f t="shared" si="982"/>
        <v>-228.48869319224622</v>
      </c>
      <c r="T477">
        <f t="shared" si="983"/>
        <v>-0.22848869319224621</v>
      </c>
    </row>
    <row r="478" spans="1:20" x14ac:dyDescent="0.25">
      <c r="A478" s="5">
        <v>44115</v>
      </c>
      <c r="B478">
        <v>0.3931</v>
      </c>
      <c r="C478">
        <v>0.40889999999999999</v>
      </c>
      <c r="D478">
        <v>0.3871</v>
      </c>
      <c r="E478">
        <v>0.39589999999999997</v>
      </c>
      <c r="F478">
        <v>3517267.94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-0.19266055045871741</v>
      </c>
      <c r="Q478">
        <f t="shared" si="980"/>
        <v>-677638.77743119898</v>
      </c>
      <c r="R478">
        <f t="shared" si="981"/>
        <v>-22829203.325697105</v>
      </c>
      <c r="S478">
        <f t="shared" si="982"/>
        <v>-228.29203325697105</v>
      </c>
      <c r="T478">
        <f t="shared" si="983"/>
        <v>-0.22829203325697106</v>
      </c>
    </row>
    <row r="479" spans="1:20" x14ac:dyDescent="0.25">
      <c r="A479" s="5">
        <v>44114</v>
      </c>
      <c r="B479">
        <v>0.39760000000000001</v>
      </c>
      <c r="C479">
        <v>0.41</v>
      </c>
      <c r="D479">
        <v>0.3891</v>
      </c>
      <c r="E479">
        <v>0.3931</v>
      </c>
      <c r="F479">
        <v>4789922.84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-0.61722488038277434</v>
      </c>
      <c r="Q479">
        <f t="shared" si="980"/>
        <v>-2956459.5519617186</v>
      </c>
      <c r="R479">
        <f t="shared" si="981"/>
        <v>-22151564.548265908</v>
      </c>
      <c r="S479">
        <f t="shared" si="982"/>
        <v>-221.51564548265907</v>
      </c>
      <c r="T479">
        <f t="shared" si="983"/>
        <v>-0.22151564548265906</v>
      </c>
    </row>
    <row r="480" spans="1:20" x14ac:dyDescent="0.25">
      <c r="A480" s="5">
        <v>44113</v>
      </c>
      <c r="B480">
        <v>0.37959999999999999</v>
      </c>
      <c r="C480">
        <v>0.4017</v>
      </c>
      <c r="D480">
        <v>0.36890000000000001</v>
      </c>
      <c r="E480">
        <v>0.3982</v>
      </c>
      <c r="F480">
        <v>5728983.3600000003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0.78658536585365835</v>
      </c>
      <c r="Q480">
        <f t="shared" si="980"/>
        <v>4506334.4721951215</v>
      </c>
      <c r="R480">
        <f t="shared" si="981"/>
        <v>-19195104.996304188</v>
      </c>
      <c r="S480">
        <f t="shared" si="982"/>
        <v>-191.95104996304187</v>
      </c>
      <c r="T480">
        <f t="shared" si="983"/>
        <v>-0.19195104996304188</v>
      </c>
    </row>
    <row r="481" spans="1:20" x14ac:dyDescent="0.25">
      <c r="A481" s="5">
        <v>44112</v>
      </c>
      <c r="B481">
        <v>0.36859999999999998</v>
      </c>
      <c r="C481">
        <v>0.38619999999999999</v>
      </c>
      <c r="D481">
        <v>0.3528</v>
      </c>
      <c r="E481">
        <v>0.379</v>
      </c>
      <c r="F481">
        <v>8716281.4399999995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0.56886227544910251</v>
      </c>
      <c r="Q481">
        <f t="shared" si="980"/>
        <v>4958363.6934131794</v>
      </c>
      <c r="R481">
        <f t="shared" si="981"/>
        <v>-23701439.46849931</v>
      </c>
      <c r="S481">
        <f t="shared" si="982"/>
        <v>-237.01439468499311</v>
      </c>
      <c r="T481">
        <f t="shared" si="983"/>
        <v>-0.23701439468499311</v>
      </c>
    </row>
    <row r="482" spans="1:20" x14ac:dyDescent="0.25">
      <c r="A482" s="5">
        <v>44111</v>
      </c>
      <c r="B482">
        <v>0.35799999999999998</v>
      </c>
      <c r="C482">
        <v>0.37109999999999999</v>
      </c>
      <c r="D482">
        <v>0.34689999999999999</v>
      </c>
      <c r="E482">
        <v>0.36830000000000002</v>
      </c>
      <c r="F482">
        <v>14063269.609999999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0.7685950413223166</v>
      </c>
      <c r="Q482">
        <f t="shared" si="980"/>
        <v>10808959.28702483</v>
      </c>
      <c r="R482">
        <f t="shared" si="981"/>
        <v>-28659803.16191249</v>
      </c>
      <c r="S482">
        <f t="shared" si="982"/>
        <v>-286.59803161912492</v>
      </c>
      <c r="T482">
        <f t="shared" si="983"/>
        <v>-0.28659803161912495</v>
      </c>
    </row>
    <row r="483" spans="1:20" x14ac:dyDescent="0.25">
      <c r="A483" s="5">
        <v>44110</v>
      </c>
      <c r="B483">
        <v>0.39360000000000001</v>
      </c>
      <c r="C483">
        <v>0.39610000000000001</v>
      </c>
      <c r="D483">
        <v>0.35070000000000001</v>
      </c>
      <c r="E483">
        <v>0.35830000000000001</v>
      </c>
      <c r="F483">
        <v>11178392.77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-0.66519823788546273</v>
      </c>
      <c r="Q483">
        <f t="shared" si="980"/>
        <v>-7435847.1729955962</v>
      </c>
      <c r="R483">
        <f t="shared" si="981"/>
        <v>-39468762.448937319</v>
      </c>
      <c r="S483">
        <f t="shared" si="982"/>
        <v>-394.68762448937321</v>
      </c>
      <c r="T483">
        <f t="shared" si="983"/>
        <v>-0.39468762448937322</v>
      </c>
    </row>
    <row r="484" spans="1:20" x14ac:dyDescent="0.25">
      <c r="A484" s="5">
        <v>44109</v>
      </c>
      <c r="B484">
        <v>0.39419999999999999</v>
      </c>
      <c r="C484">
        <v>0.40089999999999998</v>
      </c>
      <c r="D484">
        <v>0.3836</v>
      </c>
      <c r="E484">
        <v>0.39360000000000001</v>
      </c>
      <c r="F484">
        <v>8016147.6900000004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0.15606936416185194</v>
      </c>
      <c r="Q484">
        <f t="shared" si="980"/>
        <v>1251075.0730057983</v>
      </c>
      <c r="R484">
        <f t="shared" si="981"/>
        <v>-32032915.275941726</v>
      </c>
      <c r="S484">
        <f t="shared" si="982"/>
        <v>-320.32915275941724</v>
      </c>
      <c r="T484">
        <f t="shared" si="983"/>
        <v>-0.32032915275941726</v>
      </c>
    </row>
    <row r="485" spans="1:20" x14ac:dyDescent="0.25">
      <c r="A485" s="5">
        <v>44108</v>
      </c>
      <c r="B485">
        <v>0.3896</v>
      </c>
      <c r="C485">
        <v>0.39939999999999998</v>
      </c>
      <c r="D485">
        <v>0.38019999999999998</v>
      </c>
      <c r="E485">
        <v>0.39419999999999999</v>
      </c>
      <c r="F485">
        <v>5812802.8600000003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0.45833333333333504</v>
      </c>
      <c r="Q485">
        <f t="shared" si="980"/>
        <v>2664201.3108333433</v>
      </c>
      <c r="R485">
        <f t="shared" si="981"/>
        <v>-33283990.348947525</v>
      </c>
      <c r="S485">
        <f t="shared" si="982"/>
        <v>-332.83990348947526</v>
      </c>
      <c r="T485">
        <f t="shared" si="983"/>
        <v>-0.33283990348947529</v>
      </c>
    </row>
    <row r="486" spans="1:20" x14ac:dyDescent="0.25">
      <c r="A486" s="5">
        <v>44107</v>
      </c>
      <c r="B486">
        <v>0.39419999999999999</v>
      </c>
      <c r="C486">
        <v>0.4027</v>
      </c>
      <c r="D486">
        <v>0.38629999999999998</v>
      </c>
      <c r="E486">
        <v>0.3896</v>
      </c>
      <c r="F486">
        <v>4102721.39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-0.59756097560975363</v>
      </c>
      <c r="Q486">
        <f t="shared" si="980"/>
        <v>-2451626.1964634047</v>
      </c>
      <c r="R486">
        <f t="shared" si="981"/>
        <v>-35948191.659780867</v>
      </c>
      <c r="S486">
        <f t="shared" si="982"/>
        <v>-359.48191659780866</v>
      </c>
      <c r="T486">
        <f t="shared" si="983"/>
        <v>-0.35948191659780865</v>
      </c>
    </row>
    <row r="487" spans="1:20" x14ac:dyDescent="0.25">
      <c r="A487" s="5">
        <v>44106</v>
      </c>
      <c r="B487">
        <v>0.43280000000000002</v>
      </c>
      <c r="C487">
        <v>0.43440000000000001</v>
      </c>
      <c r="D487">
        <v>0.37759999999999999</v>
      </c>
      <c r="E487">
        <v>0.39479999999999998</v>
      </c>
      <c r="F487">
        <v>12676360.710000001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-0.39436619718309901</v>
      </c>
      <c r="Q487">
        <f t="shared" si="980"/>
        <v>-4999128.1673239497</v>
      </c>
      <c r="R487">
        <f t="shared" si="981"/>
        <v>-33496565.463317465</v>
      </c>
      <c r="S487">
        <f t="shared" si="982"/>
        <v>-334.96565463317467</v>
      </c>
      <c r="T487">
        <f t="shared" si="983"/>
        <v>-0.33496565463317468</v>
      </c>
    </row>
    <row r="488" spans="1:20" x14ac:dyDescent="0.25">
      <c r="A488" s="5">
        <v>44105</v>
      </c>
      <c r="B488">
        <v>0.42059999999999997</v>
      </c>
      <c r="C488">
        <v>0.45</v>
      </c>
      <c r="D488">
        <v>0.39950000000000002</v>
      </c>
      <c r="E488">
        <v>0.43330000000000002</v>
      </c>
      <c r="F488">
        <v>11079928.109999999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0.33861386138613875</v>
      </c>
      <c r="Q488">
        <f t="shared" si="980"/>
        <v>3751817.2412079219</v>
      </c>
      <c r="R488">
        <f t="shared" si="981"/>
        <v>-28497437.295993514</v>
      </c>
      <c r="S488">
        <f t="shared" si="982"/>
        <v>-284.97437295993512</v>
      </c>
      <c r="T488">
        <f t="shared" si="983"/>
        <v>-0.28497437295993511</v>
      </c>
    </row>
    <row r="489" spans="1:20" x14ac:dyDescent="0.25">
      <c r="A489" s="5">
        <v>44104</v>
      </c>
      <c r="B489">
        <v>0.42609999999999998</v>
      </c>
      <c r="C489">
        <v>0.43840000000000001</v>
      </c>
      <c r="D489">
        <v>0.40429999999999999</v>
      </c>
      <c r="E489">
        <v>0.42059999999999997</v>
      </c>
      <c r="F489">
        <v>5446938.9400000004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-4.3988269794723048E-2</v>
      </c>
      <c r="Q489">
        <f t="shared" si="980"/>
        <v>-239601.4196481028</v>
      </c>
      <c r="R489">
        <f t="shared" si="981"/>
        <v>-32249254.537201434</v>
      </c>
      <c r="S489">
        <f t="shared" si="982"/>
        <v>-322.49254537201432</v>
      </c>
      <c r="T489">
        <f t="shared" si="983"/>
        <v>-0.32249254537201433</v>
      </c>
    </row>
    <row r="490" spans="1:20" x14ac:dyDescent="0.25">
      <c r="A490" s="5">
        <v>44103</v>
      </c>
      <c r="B490">
        <v>0.40060000000000001</v>
      </c>
      <c r="C490">
        <v>0.43080000000000002</v>
      </c>
      <c r="D490">
        <v>0.39760000000000001</v>
      </c>
      <c r="E490">
        <v>0.42609999999999998</v>
      </c>
      <c r="F490">
        <v>5307273.0599999996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0.71686746987951588</v>
      </c>
      <c r="Q490">
        <f t="shared" si="980"/>
        <v>3804611.4104819158</v>
      </c>
      <c r="R490">
        <f t="shared" si="981"/>
        <v>-32009653.117553331</v>
      </c>
      <c r="S490">
        <f t="shared" si="982"/>
        <v>-320.0965311755333</v>
      </c>
      <c r="T490">
        <f t="shared" si="983"/>
        <v>-0.32009653117553333</v>
      </c>
    </row>
    <row r="491" spans="1:20" x14ac:dyDescent="0.25">
      <c r="A491" s="5">
        <v>44102</v>
      </c>
      <c r="B491">
        <v>0.41610000000000003</v>
      </c>
      <c r="C491">
        <v>0.42080000000000001</v>
      </c>
      <c r="D491">
        <v>0.39539999999999997</v>
      </c>
      <c r="E491">
        <v>0.40089999999999998</v>
      </c>
      <c r="F491">
        <v>7272149.79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-0.56692913385826793</v>
      </c>
      <c r="Q491">
        <f t="shared" si="980"/>
        <v>-4122793.5817322852</v>
      </c>
      <c r="R491">
        <f t="shared" si="981"/>
        <v>-35814264.528035246</v>
      </c>
      <c r="S491">
        <f t="shared" si="982"/>
        <v>-358.14264528035244</v>
      </c>
      <c r="T491">
        <f t="shared" si="983"/>
        <v>-0.35814264528035245</v>
      </c>
    </row>
    <row r="492" spans="1:20" x14ac:dyDescent="0.25">
      <c r="A492" s="5">
        <v>44101</v>
      </c>
      <c r="B492">
        <v>0.42520000000000002</v>
      </c>
      <c r="C492">
        <v>0.42909999999999998</v>
      </c>
      <c r="D492">
        <v>0.39839999999999998</v>
      </c>
      <c r="E492">
        <v>0.41549999999999998</v>
      </c>
      <c r="F492">
        <v>4900076.4800000004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0.11400651465798053</v>
      </c>
      <c r="Q492">
        <f t="shared" si="980"/>
        <v>558640.64104234567</v>
      </c>
      <c r="R492">
        <f t="shared" si="981"/>
        <v>-31691470.946302958</v>
      </c>
      <c r="S492">
        <f t="shared" si="982"/>
        <v>-316.91470946302957</v>
      </c>
      <c r="T492">
        <f t="shared" si="983"/>
        <v>-0.31691470946302958</v>
      </c>
    </row>
    <row r="493" spans="1:20" x14ac:dyDescent="0.25">
      <c r="A493" s="5">
        <v>44100</v>
      </c>
      <c r="B493">
        <v>0.41310000000000002</v>
      </c>
      <c r="C493">
        <v>0.43099999999999999</v>
      </c>
      <c r="D493">
        <v>0.40379999999999999</v>
      </c>
      <c r="E493">
        <v>0.42609999999999998</v>
      </c>
      <c r="F493">
        <v>3931306.4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0.63970588235294001</v>
      </c>
      <c r="Q493">
        <f t="shared" si="980"/>
        <v>2514879.82941176</v>
      </c>
      <c r="R493">
        <f t="shared" si="981"/>
        <v>-32250111.587345302</v>
      </c>
      <c r="S493">
        <f t="shared" si="982"/>
        <v>-322.50111587345305</v>
      </c>
      <c r="T493">
        <f t="shared" si="983"/>
        <v>-0.32250111587345304</v>
      </c>
    </row>
    <row r="494" spans="1:20" x14ac:dyDescent="0.25">
      <c r="A494" s="5">
        <v>44099</v>
      </c>
      <c r="B494">
        <v>0.40849999999999997</v>
      </c>
      <c r="C494">
        <v>0.43099999999999999</v>
      </c>
      <c r="D494">
        <v>0.38890000000000002</v>
      </c>
      <c r="E494">
        <v>0.41310000000000002</v>
      </c>
      <c r="F494">
        <v>4505439.6100000003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0.14964370546318367</v>
      </c>
      <c r="Q494">
        <f t="shared" si="980"/>
        <v>674210.67798100121</v>
      </c>
      <c r="R494">
        <f t="shared" si="981"/>
        <v>-34764991.416757062</v>
      </c>
      <c r="S494">
        <f t="shared" si="982"/>
        <v>-347.64991416757061</v>
      </c>
      <c r="T494">
        <f t="shared" si="983"/>
        <v>-0.34764991416757063</v>
      </c>
    </row>
    <row r="495" spans="1:20" x14ac:dyDescent="0.25">
      <c r="A495" s="5">
        <v>44098</v>
      </c>
      <c r="B495">
        <v>0.3725</v>
      </c>
      <c r="C495">
        <v>0.40920000000000001</v>
      </c>
      <c r="D495">
        <v>0.36780000000000002</v>
      </c>
      <c r="E495">
        <v>0.40789999999999998</v>
      </c>
      <c r="F495">
        <v>6460496.8200000003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0.93719806763284907</v>
      </c>
      <c r="Q495">
        <f t="shared" si="980"/>
        <v>6054765.1356521668</v>
      </c>
      <c r="R495">
        <f t="shared" si="981"/>
        <v>-35439202.094738066</v>
      </c>
      <c r="S495">
        <f t="shared" si="982"/>
        <v>-354.39202094738067</v>
      </c>
      <c r="T495">
        <f t="shared" si="983"/>
        <v>-0.35439202094738065</v>
      </c>
    </row>
    <row r="496" spans="1:20" x14ac:dyDescent="0.25">
      <c r="A496" s="5">
        <v>44097</v>
      </c>
      <c r="B496">
        <v>0.41949999999999998</v>
      </c>
      <c r="C496">
        <v>0.42230000000000001</v>
      </c>
      <c r="D496">
        <v>0.36969999999999997</v>
      </c>
      <c r="E496">
        <v>0.3715</v>
      </c>
      <c r="F496">
        <v>7812498.8700000001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-0.93155893536121592</v>
      </c>
      <c r="Q496">
        <f t="shared" si="980"/>
        <v>-7277803.1298479028</v>
      </c>
      <c r="R496">
        <f t="shared" si="981"/>
        <v>-41493967.230390236</v>
      </c>
      <c r="S496">
        <f t="shared" si="982"/>
        <v>-414.93967230390234</v>
      </c>
      <c r="T496">
        <f t="shared" si="983"/>
        <v>-0.41493967230390233</v>
      </c>
    </row>
    <row r="497" spans="1:20" x14ac:dyDescent="0.25">
      <c r="A497" s="5">
        <v>44096</v>
      </c>
      <c r="B497">
        <v>0.41270000000000001</v>
      </c>
      <c r="C497">
        <v>0.42849999999999999</v>
      </c>
      <c r="D497">
        <v>0.39889999999999998</v>
      </c>
      <c r="E497">
        <v>0.41870000000000002</v>
      </c>
      <c r="F497">
        <v>4045235.05</v>
      </c>
      <c r="G497">
        <v>0</v>
      </c>
      <c r="L497" t="s">
        <v>8</v>
      </c>
      <c r="M497" t="s">
        <v>7</v>
      </c>
      <c r="N497" t="s">
        <v>8</v>
      </c>
      <c r="P497">
        <f t="shared" si="979"/>
        <v>0.33783783783783983</v>
      </c>
      <c r="Q497">
        <f t="shared" si="980"/>
        <v>1366633.4628378458</v>
      </c>
      <c r="R497">
        <f t="shared" si="981"/>
        <v>-34216164.100542337</v>
      </c>
      <c r="S497">
        <f t="shared" si="982"/>
        <v>-342.16164100542335</v>
      </c>
      <c r="T497">
        <f t="shared" si="983"/>
        <v>-0.34216164100542334</v>
      </c>
    </row>
    <row r="498" spans="1:20" x14ac:dyDescent="0.25">
      <c r="A498" s="5">
        <v>44095</v>
      </c>
      <c r="B498">
        <v>0.45789999999999997</v>
      </c>
      <c r="C498">
        <v>0.45850000000000002</v>
      </c>
      <c r="D498">
        <v>0.39500000000000002</v>
      </c>
      <c r="E498">
        <v>0.41149999999999998</v>
      </c>
      <c r="F498">
        <v>8853205.4000000004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-0.48031496062992257</v>
      </c>
      <c r="Q498">
        <f t="shared" si="980"/>
        <v>-4252327.0031496184</v>
      </c>
      <c r="R498">
        <f t="shared" si="981"/>
        <v>-35582797.563380182</v>
      </c>
      <c r="S498">
        <f t="shared" si="982"/>
        <v>-355.82797563380183</v>
      </c>
      <c r="T498">
        <f t="shared" si="983"/>
        <v>-0.35582797563380181</v>
      </c>
    </row>
    <row r="499" spans="1:20" x14ac:dyDescent="0.25">
      <c r="A499" s="5">
        <v>44094</v>
      </c>
      <c r="B499">
        <v>0.46660000000000001</v>
      </c>
      <c r="C499">
        <v>0.49990000000000001</v>
      </c>
      <c r="D499">
        <v>0.44359999999999999</v>
      </c>
      <c r="E499">
        <v>0.45850000000000002</v>
      </c>
      <c r="F499">
        <v>6990256.5800000001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-0.47069271758436876</v>
      </c>
      <c r="Q499">
        <f t="shared" si="980"/>
        <v>-3290262.8662522156</v>
      </c>
      <c r="R499">
        <f t="shared" si="981"/>
        <v>-31330470.560230561</v>
      </c>
      <c r="S499">
        <f t="shared" si="982"/>
        <v>-313.3047056023056</v>
      </c>
      <c r="T499">
        <f t="shared" si="983"/>
        <v>-0.31330470560230561</v>
      </c>
    </row>
    <row r="500" spans="1:20" x14ac:dyDescent="0.25">
      <c r="A500" s="5">
        <v>44093</v>
      </c>
      <c r="B500">
        <v>0.47549999999999998</v>
      </c>
      <c r="C500">
        <v>0.47889999999999999</v>
      </c>
      <c r="D500">
        <v>0.46200000000000002</v>
      </c>
      <c r="E500">
        <v>0.4672</v>
      </c>
      <c r="F500">
        <v>3349863.59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-0.38461538461538564</v>
      </c>
      <c r="Q500">
        <f t="shared" si="980"/>
        <v>-1288409.0730769264</v>
      </c>
      <c r="R500">
        <f t="shared" si="981"/>
        <v>-28040207.693978347</v>
      </c>
      <c r="S500">
        <f t="shared" si="982"/>
        <v>-280.40207693978346</v>
      </c>
      <c r="T500">
        <f t="shared" si="983"/>
        <v>-0.28040207693978347</v>
      </c>
    </row>
    <row r="501" spans="1:20" x14ac:dyDescent="0.25">
      <c r="A501" s="5">
        <v>44092</v>
      </c>
      <c r="B501">
        <v>0.47039999999999998</v>
      </c>
      <c r="C501">
        <v>0.50390000000000001</v>
      </c>
      <c r="D501">
        <v>0.45910000000000001</v>
      </c>
      <c r="E501">
        <v>0.47539999999999999</v>
      </c>
      <c r="F501">
        <v>8038505.2400000002</v>
      </c>
      <c r="G501">
        <v>0</v>
      </c>
      <c r="L501" t="s">
        <v>8</v>
      </c>
      <c r="M501" t="s">
        <v>7</v>
      </c>
      <c r="N501" t="s">
        <v>8</v>
      </c>
      <c r="P501">
        <f t="shared" si="979"/>
        <v>-0.27232142857142949</v>
      </c>
      <c r="Q501">
        <f t="shared" si="980"/>
        <v>-2189057.2305357219</v>
      </c>
      <c r="R501">
        <f t="shared" si="981"/>
        <v>-26751798.620901421</v>
      </c>
      <c r="S501">
        <f t="shared" si="982"/>
        <v>-267.51798620901423</v>
      </c>
      <c r="T501">
        <f t="shared" si="983"/>
        <v>-0.26751798620901424</v>
      </c>
    </row>
    <row r="502" spans="1:20" x14ac:dyDescent="0.25">
      <c r="A502" s="5">
        <v>44091</v>
      </c>
      <c r="B502">
        <v>0.49490000000000001</v>
      </c>
      <c r="C502">
        <v>0.50990000000000002</v>
      </c>
      <c r="D502">
        <v>0.4572</v>
      </c>
      <c r="E502">
        <v>0.47070000000000001</v>
      </c>
      <c r="F502">
        <v>7589703.0199999996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-0.48766603415559751</v>
      </c>
      <c r="Q502">
        <f t="shared" si="980"/>
        <v>-3701240.3721821615</v>
      </c>
      <c r="R502">
        <f t="shared" si="981"/>
        <v>-24562741.390365697</v>
      </c>
      <c r="S502">
        <f t="shared" si="982"/>
        <v>-245.62741390365699</v>
      </c>
      <c r="T502">
        <f t="shared" si="983"/>
        <v>-0.245627413903657</v>
      </c>
    </row>
    <row r="503" spans="1:20" x14ac:dyDescent="0.25">
      <c r="A503" s="5">
        <v>44090</v>
      </c>
      <c r="B503">
        <v>0.50880000000000003</v>
      </c>
      <c r="C503">
        <v>0.5091</v>
      </c>
      <c r="D503">
        <v>0.46949999999999997</v>
      </c>
      <c r="E503">
        <v>0.49530000000000002</v>
      </c>
      <c r="F503">
        <v>6912185.9299999997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0.30303030303030454</v>
      </c>
      <c r="Q503">
        <f t="shared" si="980"/>
        <v>2094601.7969697074</v>
      </c>
      <c r="R503">
        <f t="shared" si="981"/>
        <v>-20861501.018183537</v>
      </c>
      <c r="S503">
        <f t="shared" si="982"/>
        <v>-208.61501018183537</v>
      </c>
      <c r="T503">
        <f t="shared" si="983"/>
        <v>-0.20861501018183537</v>
      </c>
    </row>
    <row r="504" spans="1:20" x14ac:dyDescent="0.25">
      <c r="A504" s="5">
        <v>44089</v>
      </c>
      <c r="B504">
        <v>0.51439999999999997</v>
      </c>
      <c r="C504">
        <v>0.55200000000000005</v>
      </c>
      <c r="D504">
        <v>0.50560000000000005</v>
      </c>
      <c r="E504">
        <v>0.50960000000000005</v>
      </c>
      <c r="F504">
        <v>10757303.369999999</v>
      </c>
      <c r="G504">
        <v>0</v>
      </c>
      <c r="L504" t="s">
        <v>8</v>
      </c>
      <c r="M504" t="s">
        <v>8</v>
      </c>
      <c r="N504" t="s">
        <v>8</v>
      </c>
      <c r="P504">
        <f t="shared" si="979"/>
        <v>-0.8275862068965516</v>
      </c>
      <c r="Q504">
        <f t="shared" si="980"/>
        <v>-8902595.8924137913</v>
      </c>
      <c r="R504">
        <f t="shared" si="981"/>
        <v>-22956102.815153245</v>
      </c>
      <c r="S504">
        <f t="shared" si="982"/>
        <v>-229.56102815153244</v>
      </c>
      <c r="T504">
        <f t="shared" si="983"/>
        <v>-0.22956102815153245</v>
      </c>
    </row>
    <row r="505" spans="1:20" x14ac:dyDescent="0.25">
      <c r="A505" s="5">
        <v>44088</v>
      </c>
      <c r="B505">
        <v>0.4793</v>
      </c>
      <c r="C505">
        <v>0.54</v>
      </c>
      <c r="D505">
        <v>0.46629999999999999</v>
      </c>
      <c r="E505">
        <v>0.51439999999999997</v>
      </c>
      <c r="F505">
        <v>10040819.1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0.30529172320216957</v>
      </c>
      <c r="Q505">
        <f t="shared" si="980"/>
        <v>3065378.9654002571</v>
      </c>
      <c r="R505">
        <f t="shared" si="981"/>
        <v>-14053506.922739454</v>
      </c>
      <c r="S505">
        <f t="shared" si="982"/>
        <v>-140.53506922739453</v>
      </c>
      <c r="T505">
        <f t="shared" si="983"/>
        <v>-0.14053506922739453</v>
      </c>
    </row>
    <row r="506" spans="1:20" x14ac:dyDescent="0.25">
      <c r="A506" s="5">
        <v>44087</v>
      </c>
      <c r="B506">
        <v>0.4919</v>
      </c>
      <c r="C506">
        <v>0.51290000000000002</v>
      </c>
      <c r="D506">
        <v>0.46229999999999999</v>
      </c>
      <c r="E506">
        <v>0.47920000000000001</v>
      </c>
      <c r="F506">
        <v>5793267.9400000004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-0.33201581027667926</v>
      </c>
      <c r="Q506">
        <f t="shared" si="980"/>
        <v>-1923456.5492490085</v>
      </c>
      <c r="R506">
        <f t="shared" si="981"/>
        <v>-17118885.88813971</v>
      </c>
      <c r="S506">
        <f t="shared" si="982"/>
        <v>-171.1888588813971</v>
      </c>
      <c r="T506">
        <f t="shared" si="983"/>
        <v>-0.17118885888139709</v>
      </c>
    </row>
    <row r="507" spans="1:20" x14ac:dyDescent="0.25">
      <c r="A507" s="5">
        <v>44086</v>
      </c>
      <c r="B507">
        <v>0.4481</v>
      </c>
      <c r="C507">
        <v>0.51590000000000003</v>
      </c>
      <c r="D507">
        <v>0.44</v>
      </c>
      <c r="E507">
        <v>0.49199999999999999</v>
      </c>
      <c r="F507">
        <v>7232985.4800000004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0.37022397891963044</v>
      </c>
      <c r="Q507">
        <f t="shared" si="980"/>
        <v>2677824.6638735132</v>
      </c>
      <c r="R507">
        <f t="shared" si="981"/>
        <v>-15195429.338890702</v>
      </c>
      <c r="S507">
        <f t="shared" si="982"/>
        <v>-151.95429338890702</v>
      </c>
      <c r="T507">
        <f t="shared" si="983"/>
        <v>-0.15195429338890701</v>
      </c>
    </row>
    <row r="508" spans="1:20" x14ac:dyDescent="0.25">
      <c r="A508" s="5">
        <v>44085</v>
      </c>
      <c r="B508">
        <v>0.45529999999999998</v>
      </c>
      <c r="C508">
        <v>0.46700000000000003</v>
      </c>
      <c r="D508">
        <v>0.437</v>
      </c>
      <c r="E508">
        <v>0.44829999999999998</v>
      </c>
      <c r="F508">
        <v>5544193.6399999997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-0.24666666666666889</v>
      </c>
      <c r="Q508">
        <f t="shared" si="980"/>
        <v>-1367567.7645333456</v>
      </c>
      <c r="R508">
        <f t="shared" si="981"/>
        <v>-17873254.002764214</v>
      </c>
      <c r="S508">
        <f t="shared" si="982"/>
        <v>-178.73254002764213</v>
      </c>
      <c r="T508">
        <f t="shared" si="983"/>
        <v>-0.17873254002764213</v>
      </c>
    </row>
    <row r="509" spans="1:20" x14ac:dyDescent="0.25">
      <c r="A509" s="5">
        <v>44084</v>
      </c>
      <c r="B509">
        <v>0.41649999999999998</v>
      </c>
      <c r="C509">
        <v>0.4572</v>
      </c>
      <c r="D509">
        <v>0.41649999999999998</v>
      </c>
      <c r="E509">
        <v>0.45619999999999999</v>
      </c>
      <c r="F509">
        <v>5043015.51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0.95085995085995079</v>
      </c>
      <c r="Q509">
        <f t="shared" si="980"/>
        <v>4795201.4800245697</v>
      </c>
      <c r="R509">
        <f t="shared" si="981"/>
        <v>-16505686.238230869</v>
      </c>
      <c r="S509">
        <f t="shared" si="982"/>
        <v>-165.05686238230868</v>
      </c>
      <c r="T509">
        <f t="shared" si="983"/>
        <v>-0.16505686238230868</v>
      </c>
    </row>
    <row r="510" spans="1:20" x14ac:dyDescent="0.25">
      <c r="A510" s="5">
        <v>44083</v>
      </c>
      <c r="B510">
        <v>0.40350000000000003</v>
      </c>
      <c r="C510">
        <v>0.42809999999999998</v>
      </c>
      <c r="D510">
        <v>0.39479999999999998</v>
      </c>
      <c r="E510">
        <v>0.41649999999999998</v>
      </c>
      <c r="F510">
        <v>2963549.18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0.3033033033033033</v>
      </c>
      <c r="Q510">
        <f t="shared" si="980"/>
        <v>898854.25579579582</v>
      </c>
      <c r="R510">
        <f t="shared" si="981"/>
        <v>-21300887.718255438</v>
      </c>
      <c r="S510">
        <f t="shared" si="982"/>
        <v>-213.00887718255439</v>
      </c>
      <c r="T510">
        <f t="shared" si="983"/>
        <v>-0.21300887718255437</v>
      </c>
    </row>
    <row r="511" spans="1:20" x14ac:dyDescent="0.25">
      <c r="A511" s="5">
        <v>44082</v>
      </c>
      <c r="B511">
        <v>0.42699999999999999</v>
      </c>
      <c r="C511">
        <v>0.42909999999999998</v>
      </c>
      <c r="D511">
        <v>0.39100000000000001</v>
      </c>
      <c r="E511">
        <v>0.40360000000000001</v>
      </c>
      <c r="F511">
        <v>4841557.5599999996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-0.33858267716535378</v>
      </c>
      <c r="Q511">
        <f t="shared" si="980"/>
        <v>-1639267.5203149579</v>
      </c>
      <c r="R511">
        <f t="shared" si="981"/>
        <v>-22199741.974051233</v>
      </c>
      <c r="S511">
        <f t="shared" si="982"/>
        <v>-221.99741974051233</v>
      </c>
      <c r="T511">
        <f t="shared" si="983"/>
        <v>-0.22199741974051232</v>
      </c>
    </row>
    <row r="512" spans="1:20" x14ac:dyDescent="0.25">
      <c r="A512" s="5">
        <v>44081</v>
      </c>
      <c r="B512">
        <v>0.4405</v>
      </c>
      <c r="C512">
        <v>0.45200000000000001</v>
      </c>
      <c r="D512">
        <v>0.38850000000000001</v>
      </c>
      <c r="E512">
        <v>0.42609999999999998</v>
      </c>
      <c r="F512">
        <v>6387826.3600000003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0.18425196850393594</v>
      </c>
      <c r="Q512">
        <f t="shared" si="980"/>
        <v>1176969.5812913319</v>
      </c>
      <c r="R512">
        <f t="shared" si="981"/>
        <v>-20560474.453736275</v>
      </c>
      <c r="S512">
        <f t="shared" si="982"/>
        <v>-205.60474453736276</v>
      </c>
      <c r="T512">
        <f t="shared" si="983"/>
        <v>-0.20560474453736277</v>
      </c>
    </row>
    <row r="513" spans="1:20" x14ac:dyDescent="0.25">
      <c r="A513" s="5">
        <v>44080</v>
      </c>
      <c r="B513">
        <v>0.41649999999999998</v>
      </c>
      <c r="C513">
        <v>0.44900000000000001</v>
      </c>
      <c r="D513">
        <v>0.38790000000000002</v>
      </c>
      <c r="E513">
        <v>0.44009999999999999</v>
      </c>
      <c r="F513">
        <v>8094496.3399999999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0.7086743044189846</v>
      </c>
      <c r="Q513">
        <f t="shared" si="980"/>
        <v>5736361.5633715168</v>
      </c>
      <c r="R513">
        <f t="shared" si="981"/>
        <v>-21737444.035027608</v>
      </c>
      <c r="S513">
        <f t="shared" si="982"/>
        <v>-217.37444035027607</v>
      </c>
      <c r="T513">
        <f t="shared" si="983"/>
        <v>-0.21737444035027609</v>
      </c>
    </row>
    <row r="514" spans="1:20" x14ac:dyDescent="0.25">
      <c r="A514" s="5">
        <v>44079</v>
      </c>
      <c r="B514">
        <v>0.4602</v>
      </c>
      <c r="C514">
        <v>0.48749999999999999</v>
      </c>
      <c r="D514">
        <v>0.38500000000000001</v>
      </c>
      <c r="E514">
        <v>0.41699999999999998</v>
      </c>
      <c r="F514">
        <v>9731399.2699999996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-0.37560975609756136</v>
      </c>
      <c r="Q514">
        <f t="shared" si="980"/>
        <v>-3655208.5062926863</v>
      </c>
      <c r="R514">
        <f t="shared" si="981"/>
        <v>-27473805.598399125</v>
      </c>
      <c r="S514">
        <f t="shared" si="982"/>
        <v>-274.73805598399127</v>
      </c>
      <c r="T514">
        <f t="shared" si="983"/>
        <v>-0.27473805598399126</v>
      </c>
    </row>
    <row r="515" spans="1:20" x14ac:dyDescent="0.25">
      <c r="A515" s="5">
        <v>44078</v>
      </c>
      <c r="B515">
        <v>0.436</v>
      </c>
      <c r="C515">
        <v>0.46589999999999998</v>
      </c>
      <c r="D515">
        <v>0.40189999999999998</v>
      </c>
      <c r="E515">
        <v>0.46129999999999999</v>
      </c>
      <c r="F515">
        <v>10524053.699999999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0.85625000000000018</v>
      </c>
      <c r="Q515">
        <f t="shared" si="980"/>
        <v>9011220.9806250017</v>
      </c>
      <c r="R515">
        <f t="shared" si="981"/>
        <v>-23818597.092106439</v>
      </c>
      <c r="S515">
        <f t="shared" si="982"/>
        <v>-238.18597092106438</v>
      </c>
      <c r="T515">
        <f t="shared" si="983"/>
        <v>-0.23818597092106439</v>
      </c>
    </row>
    <row r="516" spans="1:20" x14ac:dyDescent="0.25">
      <c r="A516" s="5">
        <v>44077</v>
      </c>
      <c r="B516">
        <v>0.54720000000000002</v>
      </c>
      <c r="C516">
        <v>0.54879999999999995</v>
      </c>
      <c r="D516">
        <v>0.43519999999999998</v>
      </c>
      <c r="E516">
        <v>0.437</v>
      </c>
      <c r="F516">
        <v>9836551.3100000005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-0.96830985915492918</v>
      </c>
      <c r="Q516">
        <f t="shared" si="980"/>
        <v>-9524829.6135563347</v>
      </c>
      <c r="R516">
        <f t="shared" si="981"/>
        <v>-32829818.072731443</v>
      </c>
      <c r="S516">
        <f t="shared" si="982"/>
        <v>-328.29818072731445</v>
      </c>
      <c r="T516">
        <f t="shared" si="983"/>
        <v>-0.32829818072731443</v>
      </c>
    </row>
    <row r="517" spans="1:20" x14ac:dyDescent="0.25">
      <c r="A517" s="5">
        <v>44076</v>
      </c>
      <c r="B517">
        <v>0.58379999999999999</v>
      </c>
      <c r="C517">
        <v>0.58960000000000001</v>
      </c>
      <c r="D517">
        <v>0.51859999999999995</v>
      </c>
      <c r="E517">
        <v>0.54759999999999998</v>
      </c>
      <c r="F517">
        <v>10336485.029999999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-0.18309859154929578</v>
      </c>
      <c r="Q517">
        <f t="shared" si="980"/>
        <v>-1892595.8505633802</v>
      </c>
      <c r="R517">
        <f t="shared" si="981"/>
        <v>-23304988.459175106</v>
      </c>
      <c r="S517">
        <f t="shared" si="982"/>
        <v>-233.04988459175107</v>
      </c>
      <c r="T517">
        <f t="shared" si="983"/>
        <v>-0.23304988459175108</v>
      </c>
    </row>
    <row r="518" spans="1:20" x14ac:dyDescent="0.25">
      <c r="A518" s="5">
        <v>44075</v>
      </c>
      <c r="B518">
        <v>0.59550000000000003</v>
      </c>
      <c r="C518">
        <v>0.6169</v>
      </c>
      <c r="D518">
        <v>0.56599999999999995</v>
      </c>
      <c r="E518">
        <v>0.58379999999999999</v>
      </c>
      <c r="F518">
        <v>10477056.890000001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-0.30058939096267118</v>
      </c>
      <c r="Q518">
        <f t="shared" ref="Q518:Q581" si="985">F518*P518</f>
        <v>-3149292.1496463581</v>
      </c>
      <c r="R518">
        <f t="shared" ref="R518:R581" si="986">R519+Q518</f>
        <v>-21412392.608611725</v>
      </c>
      <c r="S518">
        <f t="shared" ref="S518:S581" si="987">R518/100000</f>
        <v>-214.12392608611725</v>
      </c>
      <c r="T518">
        <f t="shared" ref="T518:T581" si="988">S518/1000</f>
        <v>-0.21412392608611724</v>
      </c>
    </row>
    <row r="519" spans="1:20" x14ac:dyDescent="0.25">
      <c r="A519" s="5">
        <v>44074</v>
      </c>
      <c r="B519">
        <v>0.61439999999999995</v>
      </c>
      <c r="C519">
        <v>0.62190000000000001</v>
      </c>
      <c r="D519">
        <v>0.59279999999999999</v>
      </c>
      <c r="E519">
        <v>0.59530000000000005</v>
      </c>
      <c r="F519">
        <v>7361548.3899999997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-0.82817869415807177</v>
      </c>
      <c r="Q519">
        <f t="shared" si="985"/>
        <v>-6096677.5326116551</v>
      </c>
      <c r="R519">
        <f t="shared" si="986"/>
        <v>-18263100.458965369</v>
      </c>
      <c r="S519">
        <f t="shared" si="987"/>
        <v>-182.63100458965368</v>
      </c>
      <c r="T519">
        <f t="shared" si="988"/>
        <v>-0.18263100458965367</v>
      </c>
    </row>
    <row r="520" spans="1:20" x14ac:dyDescent="0.25">
      <c r="A520" s="5">
        <v>44073</v>
      </c>
      <c r="B520">
        <v>0.63319999999999999</v>
      </c>
      <c r="C520">
        <v>0.65469999999999995</v>
      </c>
      <c r="D520">
        <v>0.61240000000000006</v>
      </c>
      <c r="E520">
        <v>0.61529999999999996</v>
      </c>
      <c r="F520">
        <v>7377596.46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-0.86288416075650543</v>
      </c>
      <c r="Q520">
        <f t="shared" si="985"/>
        <v>-6366011.1297872653</v>
      </c>
      <c r="R520">
        <f t="shared" si="986"/>
        <v>-12166422.926353715</v>
      </c>
      <c r="S520">
        <f t="shared" si="987"/>
        <v>-121.66422926353715</v>
      </c>
      <c r="T520">
        <f t="shared" si="988"/>
        <v>-0.12166422926353715</v>
      </c>
    </row>
    <row r="521" spans="1:20" x14ac:dyDescent="0.25">
      <c r="A521" s="5">
        <v>44072</v>
      </c>
      <c r="B521">
        <v>0.61580000000000001</v>
      </c>
      <c r="C521">
        <v>0.67220000000000002</v>
      </c>
      <c r="D521">
        <v>0.61580000000000001</v>
      </c>
      <c r="E521">
        <v>0.63329999999999997</v>
      </c>
      <c r="F521">
        <v>14749573.699999999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-0.37943262411347667</v>
      </c>
      <c r="Q521">
        <f t="shared" si="985"/>
        <v>-5596469.4535461208</v>
      </c>
      <c r="R521">
        <f t="shared" si="986"/>
        <v>-5800411.7965664491</v>
      </c>
      <c r="S521">
        <f t="shared" si="987"/>
        <v>-58.004117965664491</v>
      </c>
      <c r="T521">
        <f t="shared" si="988"/>
        <v>-5.8004117965664494E-2</v>
      </c>
    </row>
    <row r="522" spans="1:20" x14ac:dyDescent="0.25">
      <c r="A522" s="5">
        <v>44071</v>
      </c>
      <c r="B522">
        <v>0.58179999999999998</v>
      </c>
      <c r="C522">
        <v>0.64</v>
      </c>
      <c r="D522">
        <v>0.57289999999999996</v>
      </c>
      <c r="E522">
        <v>0.6149</v>
      </c>
      <c r="F522">
        <v>15811977.24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0.25186289120715372</v>
      </c>
      <c r="Q522">
        <f t="shared" si="985"/>
        <v>3982450.3033681107</v>
      </c>
      <c r="R522">
        <f t="shared" si="986"/>
        <v>-203942.34302032879</v>
      </c>
      <c r="S522">
        <f t="shared" si="987"/>
        <v>-2.0394234302032879</v>
      </c>
      <c r="T522">
        <f t="shared" si="988"/>
        <v>-2.0394234302032878E-3</v>
      </c>
    </row>
    <row r="523" spans="1:20" x14ac:dyDescent="0.25">
      <c r="A523" s="5">
        <v>44070</v>
      </c>
      <c r="B523">
        <v>0.64019999999999999</v>
      </c>
      <c r="C523">
        <v>0.64129999999999998</v>
      </c>
      <c r="D523">
        <v>0.55479999999999996</v>
      </c>
      <c r="E523">
        <v>0.58150000000000002</v>
      </c>
      <c r="F523">
        <v>16918325.699999999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-0.38265895953757106</v>
      </c>
      <c r="Q523">
        <f t="shared" si="985"/>
        <v>-6473948.9094797485</v>
      </c>
      <c r="R523">
        <f t="shared" si="986"/>
        <v>-4186392.6463884395</v>
      </c>
      <c r="S523">
        <f t="shared" si="987"/>
        <v>-41.863926463884397</v>
      </c>
      <c r="T523">
        <f t="shared" si="988"/>
        <v>-4.1863926463884399E-2</v>
      </c>
    </row>
    <row r="524" spans="1:20" x14ac:dyDescent="0.25">
      <c r="A524" s="5">
        <v>44069</v>
      </c>
      <c r="B524">
        <v>0.57640000000000002</v>
      </c>
      <c r="C524">
        <v>0.66920000000000002</v>
      </c>
      <c r="D524">
        <v>0.56140000000000001</v>
      </c>
      <c r="E524">
        <v>0.63980000000000004</v>
      </c>
      <c r="F524">
        <v>23811644.079999998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0.45454545454545492</v>
      </c>
      <c r="Q524">
        <f t="shared" si="985"/>
        <v>10823474.581818189</v>
      </c>
      <c r="R524">
        <f t="shared" si="986"/>
        <v>2287556.263091309</v>
      </c>
      <c r="S524">
        <f t="shared" si="987"/>
        <v>22.875562630913091</v>
      </c>
      <c r="T524">
        <f t="shared" si="988"/>
        <v>2.2875562630913091E-2</v>
      </c>
    </row>
    <row r="525" spans="1:20" x14ac:dyDescent="0.25">
      <c r="A525" s="5">
        <v>44068</v>
      </c>
      <c r="B525">
        <v>0.61150000000000004</v>
      </c>
      <c r="C525">
        <v>0.63780000000000003</v>
      </c>
      <c r="D525">
        <v>0.54569999999999996</v>
      </c>
      <c r="E525">
        <v>0.57789999999999997</v>
      </c>
      <c r="F525">
        <v>21360685.989999998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-0.30076004343105361</v>
      </c>
      <c r="Q525">
        <f t="shared" si="985"/>
        <v>-6424440.846069498</v>
      </c>
      <c r="R525">
        <f t="shared" si="986"/>
        <v>-8535918.3187268805</v>
      </c>
      <c r="S525">
        <f t="shared" si="987"/>
        <v>-85.359183187268812</v>
      </c>
      <c r="T525">
        <f t="shared" si="988"/>
        <v>-8.5359183187268817E-2</v>
      </c>
    </row>
    <row r="526" spans="1:20" x14ac:dyDescent="0.25">
      <c r="A526" s="5">
        <v>44067</v>
      </c>
      <c r="B526">
        <v>0.61329999999999996</v>
      </c>
      <c r="C526">
        <v>0.71499999999999997</v>
      </c>
      <c r="D526">
        <v>0.59240000000000004</v>
      </c>
      <c r="E526">
        <v>0.61160000000000003</v>
      </c>
      <c r="F526">
        <v>23597575.219999999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-0.68678629690048931</v>
      </c>
      <c r="Q526">
        <f t="shared" si="985"/>
        <v>-16206491.301174549</v>
      </c>
      <c r="R526">
        <f t="shared" si="986"/>
        <v>-2111477.4726573825</v>
      </c>
      <c r="S526">
        <f t="shared" si="987"/>
        <v>-21.114774726573824</v>
      </c>
      <c r="T526">
        <f t="shared" si="988"/>
        <v>-2.1114774726573825E-2</v>
      </c>
    </row>
    <row r="527" spans="1:20" x14ac:dyDescent="0.25">
      <c r="A527" s="5">
        <v>44066</v>
      </c>
      <c r="B527">
        <v>0.64739999999999998</v>
      </c>
      <c r="C527">
        <v>0.66469999999999996</v>
      </c>
      <c r="D527">
        <v>0.59470000000000001</v>
      </c>
      <c r="E527">
        <v>0.61329999999999996</v>
      </c>
      <c r="F527">
        <v>25984340.27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-0.46857142857142964</v>
      </c>
      <c r="Q527">
        <f t="shared" si="985"/>
        <v>-12175519.440800028</v>
      </c>
      <c r="R527">
        <f t="shared" si="986"/>
        <v>14095013.828517167</v>
      </c>
      <c r="S527">
        <f t="shared" si="987"/>
        <v>140.95013828517168</v>
      </c>
      <c r="T527">
        <f t="shared" si="988"/>
        <v>0.14095013828517167</v>
      </c>
    </row>
    <row r="528" spans="1:20" x14ac:dyDescent="0.25">
      <c r="A528" s="5">
        <v>44065</v>
      </c>
      <c r="B528">
        <v>0.55769999999999997</v>
      </c>
      <c r="C528">
        <v>0.8</v>
      </c>
      <c r="D528">
        <v>0.51600000000000001</v>
      </c>
      <c r="E528">
        <v>0.64549999999999996</v>
      </c>
      <c r="F528">
        <v>72214151.370000005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-8.8028169014084973E-2</v>
      </c>
      <c r="Q528">
        <f t="shared" si="985"/>
        <v>-6356879.5220070761</v>
      </c>
      <c r="R528">
        <f t="shared" si="986"/>
        <v>26270533.269317195</v>
      </c>
      <c r="S528">
        <f t="shared" si="987"/>
        <v>262.70533269317195</v>
      </c>
      <c r="T528">
        <f t="shared" si="988"/>
        <v>0.26270533269317198</v>
      </c>
    </row>
    <row r="529" spans="1:20" x14ac:dyDescent="0.25">
      <c r="A529" s="5">
        <v>44064</v>
      </c>
      <c r="B529">
        <v>0.54090000000000005</v>
      </c>
      <c r="C529">
        <v>0.66</v>
      </c>
      <c r="D529">
        <v>0.53149999999999997</v>
      </c>
      <c r="E529">
        <v>0.55759999999999998</v>
      </c>
      <c r="F529">
        <v>52067315.439999998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-0.59377431906614786</v>
      </c>
      <c r="Q529">
        <f t="shared" si="985"/>
        <v>-30916234.770988327</v>
      </c>
      <c r="R529">
        <f t="shared" si="986"/>
        <v>32627412.791324269</v>
      </c>
      <c r="S529">
        <f t="shared" si="987"/>
        <v>326.27412791324269</v>
      </c>
      <c r="T529">
        <f t="shared" si="988"/>
        <v>0.32627412791324267</v>
      </c>
    </row>
    <row r="530" spans="1:20" x14ac:dyDescent="0.25">
      <c r="A530" s="5">
        <v>44063</v>
      </c>
      <c r="B530">
        <v>0.45590000000000003</v>
      </c>
      <c r="C530">
        <v>0.55000000000000004</v>
      </c>
      <c r="D530">
        <v>0.44440000000000002</v>
      </c>
      <c r="E530">
        <v>0.54120000000000001</v>
      </c>
      <c r="F530">
        <v>12543100.49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0.83333333333333282</v>
      </c>
      <c r="Q530">
        <f t="shared" si="985"/>
        <v>10452583.74166666</v>
      </c>
      <c r="R530">
        <f t="shared" si="986"/>
        <v>63543647.562312596</v>
      </c>
      <c r="S530">
        <f t="shared" si="987"/>
        <v>635.43647562312594</v>
      </c>
      <c r="T530">
        <f t="shared" si="988"/>
        <v>0.635436475623126</v>
      </c>
    </row>
    <row r="531" spans="1:20" x14ac:dyDescent="0.25">
      <c r="A531" s="5">
        <v>44062</v>
      </c>
      <c r="B531">
        <v>0.49509999999999998</v>
      </c>
      <c r="C531">
        <v>0.49519999999999997</v>
      </c>
      <c r="D531">
        <v>0.44180000000000003</v>
      </c>
      <c r="E531">
        <v>0.45469999999999999</v>
      </c>
      <c r="F531">
        <v>8899880.7400000002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-0.51685393258427037</v>
      </c>
      <c r="Q531">
        <f t="shared" si="985"/>
        <v>-4599938.3600000069</v>
      </c>
      <c r="R531">
        <f t="shared" si="986"/>
        <v>53091063.820645936</v>
      </c>
      <c r="S531">
        <f t="shared" si="987"/>
        <v>530.91063820645934</v>
      </c>
      <c r="T531">
        <f t="shared" si="988"/>
        <v>0.53091063820645934</v>
      </c>
    </row>
    <row r="532" spans="1:20" x14ac:dyDescent="0.25">
      <c r="A532" s="5">
        <v>44061</v>
      </c>
      <c r="B532">
        <v>0.50629999999999997</v>
      </c>
      <c r="C532">
        <v>0.52829999999999999</v>
      </c>
      <c r="D532">
        <v>0.47220000000000001</v>
      </c>
      <c r="E532">
        <v>0.49509999999999998</v>
      </c>
      <c r="F532">
        <v>9301650.6799999997</v>
      </c>
      <c r="G532">
        <v>0</v>
      </c>
      <c r="L532" t="s">
        <v>8</v>
      </c>
      <c r="M532" t="s">
        <v>7</v>
      </c>
      <c r="N532" t="s">
        <v>8</v>
      </c>
      <c r="P532">
        <f t="shared" si="984"/>
        <v>-0.18360071301247832</v>
      </c>
      <c r="Q532">
        <f t="shared" si="985"/>
        <v>-1707789.6970410037</v>
      </c>
      <c r="R532">
        <f t="shared" si="986"/>
        <v>57691002.180645943</v>
      </c>
      <c r="S532">
        <f t="shared" si="987"/>
        <v>576.91002180645944</v>
      </c>
      <c r="T532">
        <f t="shared" si="988"/>
        <v>0.57691002180645945</v>
      </c>
    </row>
    <row r="533" spans="1:20" x14ac:dyDescent="0.25">
      <c r="A533" s="5">
        <v>44060</v>
      </c>
      <c r="B533">
        <v>0.53710000000000002</v>
      </c>
      <c r="C533">
        <v>0.54169999999999996</v>
      </c>
      <c r="D533">
        <v>0.46400000000000002</v>
      </c>
      <c r="E533">
        <v>0.50629999999999997</v>
      </c>
      <c r="F533">
        <v>10958984.48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8.880308880308839E-2</v>
      </c>
      <c r="Q533">
        <f t="shared" si="985"/>
        <v>973191.67196910747</v>
      </c>
      <c r="R533">
        <f t="shared" si="986"/>
        <v>59398791.877686948</v>
      </c>
      <c r="S533">
        <f t="shared" si="987"/>
        <v>593.98791877686949</v>
      </c>
      <c r="T533">
        <f t="shared" si="988"/>
        <v>0.59398791877686952</v>
      </c>
    </row>
    <row r="534" spans="1:20" x14ac:dyDescent="0.25">
      <c r="A534" s="5">
        <v>44059</v>
      </c>
      <c r="B534">
        <v>0.51119999999999999</v>
      </c>
      <c r="C534">
        <v>0.5615</v>
      </c>
      <c r="D534">
        <v>0.49399999999999999</v>
      </c>
      <c r="E534">
        <v>0.53680000000000005</v>
      </c>
      <c r="F534">
        <v>10097759.77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0.26814814814814986</v>
      </c>
      <c r="Q534">
        <f t="shared" si="985"/>
        <v>2707695.5827703876</v>
      </c>
      <c r="R534">
        <f t="shared" si="986"/>
        <v>58425600.205717839</v>
      </c>
      <c r="S534">
        <f t="shared" si="987"/>
        <v>584.25600205717842</v>
      </c>
      <c r="T534">
        <f t="shared" si="988"/>
        <v>0.58425600205717843</v>
      </c>
    </row>
    <row r="535" spans="1:20" x14ac:dyDescent="0.25">
      <c r="A535" s="5">
        <v>44058</v>
      </c>
      <c r="B535">
        <v>0.55010000000000003</v>
      </c>
      <c r="C535">
        <v>0.56220000000000003</v>
      </c>
      <c r="D535">
        <v>0.49380000000000002</v>
      </c>
      <c r="E535">
        <v>0.51039999999999996</v>
      </c>
      <c r="F535">
        <v>10662512.199999999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-0.51461988304093731</v>
      </c>
      <c r="Q535">
        <f t="shared" si="985"/>
        <v>-5487140.7812865665</v>
      </c>
      <c r="R535">
        <f t="shared" si="986"/>
        <v>55717904.622947454</v>
      </c>
      <c r="S535">
        <f t="shared" si="987"/>
        <v>557.17904622947458</v>
      </c>
      <c r="T535">
        <f t="shared" si="988"/>
        <v>0.55717904622947456</v>
      </c>
    </row>
    <row r="536" spans="1:20" x14ac:dyDescent="0.25">
      <c r="A536" s="5">
        <v>44057</v>
      </c>
      <c r="B536">
        <v>0.48809999999999998</v>
      </c>
      <c r="C536">
        <v>0.55469999999999997</v>
      </c>
      <c r="D536">
        <v>0.4748</v>
      </c>
      <c r="E536">
        <v>0.55010000000000003</v>
      </c>
      <c r="F536">
        <v>17147777.91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0.88485607008761102</v>
      </c>
      <c r="Q536">
        <f t="shared" si="985"/>
        <v>15173315.372177748</v>
      </c>
      <c r="R536">
        <f t="shared" si="986"/>
        <v>61205045.404234022</v>
      </c>
      <c r="S536">
        <f t="shared" si="987"/>
        <v>612.05045404234022</v>
      </c>
      <c r="T536">
        <f t="shared" si="988"/>
        <v>0.61205045404234026</v>
      </c>
    </row>
    <row r="537" spans="1:20" x14ac:dyDescent="0.25">
      <c r="A537" s="5">
        <v>44056</v>
      </c>
      <c r="B537">
        <v>0.45119999999999999</v>
      </c>
      <c r="C537">
        <v>0.51</v>
      </c>
      <c r="D537">
        <v>0.43140000000000001</v>
      </c>
      <c r="E537">
        <v>0.48770000000000002</v>
      </c>
      <c r="F537">
        <v>16680233.630000001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0.43256997455470775</v>
      </c>
      <c r="Q537">
        <f t="shared" si="985"/>
        <v>7215368.2368956804</v>
      </c>
      <c r="R537">
        <f t="shared" si="986"/>
        <v>46031730.032056272</v>
      </c>
      <c r="S537">
        <f t="shared" si="987"/>
        <v>460.31730032056271</v>
      </c>
      <c r="T537">
        <f t="shared" si="988"/>
        <v>0.46031730032056273</v>
      </c>
    </row>
    <row r="538" spans="1:20" x14ac:dyDescent="0.25">
      <c r="A538" s="5">
        <v>44055</v>
      </c>
      <c r="B538">
        <v>0.42180000000000001</v>
      </c>
      <c r="C538">
        <v>0.45479999999999998</v>
      </c>
      <c r="D538">
        <v>0.4</v>
      </c>
      <c r="E538">
        <v>0.45119999999999999</v>
      </c>
      <c r="F538">
        <v>9237229.7799999993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0.86861313868613155</v>
      </c>
      <c r="Q538">
        <f t="shared" si="985"/>
        <v>8023579.1519708037</v>
      </c>
      <c r="R538">
        <f t="shared" si="986"/>
        <v>38816361.795160592</v>
      </c>
      <c r="S538">
        <f t="shared" si="987"/>
        <v>388.16361795160594</v>
      </c>
      <c r="T538">
        <f t="shared" si="988"/>
        <v>0.38816361795160592</v>
      </c>
    </row>
    <row r="539" spans="1:20" x14ac:dyDescent="0.25">
      <c r="A539" s="5">
        <v>44054</v>
      </c>
      <c r="B539">
        <v>0.45450000000000002</v>
      </c>
      <c r="C539">
        <v>0.45619999999999999</v>
      </c>
      <c r="D539">
        <v>0.41</v>
      </c>
      <c r="E539">
        <v>0.42170000000000002</v>
      </c>
      <c r="F539">
        <v>12157829.539999999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-0.49350649350649184</v>
      </c>
      <c r="Q539">
        <f t="shared" si="985"/>
        <v>-5999967.8249350442</v>
      </c>
      <c r="R539">
        <f t="shared" si="986"/>
        <v>30792782.643189792</v>
      </c>
      <c r="S539">
        <f t="shared" si="987"/>
        <v>307.92782643189793</v>
      </c>
      <c r="T539">
        <f t="shared" si="988"/>
        <v>0.30792782643189792</v>
      </c>
    </row>
    <row r="540" spans="1:20" x14ac:dyDescent="0.25">
      <c r="A540" s="5">
        <v>44053</v>
      </c>
      <c r="B540">
        <v>0.42570000000000002</v>
      </c>
      <c r="C540">
        <v>0.46860000000000002</v>
      </c>
      <c r="D540">
        <v>0.40810000000000002</v>
      </c>
      <c r="E540">
        <v>0.45450000000000002</v>
      </c>
      <c r="F540">
        <v>13917981.800000001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0.53388429752066113</v>
      </c>
      <c r="Q540">
        <f t="shared" si="985"/>
        <v>7430591.9361983472</v>
      </c>
      <c r="R540">
        <f t="shared" si="986"/>
        <v>36792750.468124837</v>
      </c>
      <c r="S540">
        <f t="shared" si="987"/>
        <v>367.92750468124837</v>
      </c>
      <c r="T540">
        <f t="shared" si="988"/>
        <v>0.36792750468124835</v>
      </c>
    </row>
    <row r="541" spans="1:20" x14ac:dyDescent="0.25">
      <c r="A541" s="5">
        <v>44052</v>
      </c>
      <c r="B541">
        <v>0.39629999999999999</v>
      </c>
      <c r="C541">
        <v>0.43330000000000002</v>
      </c>
      <c r="D541">
        <v>0.39250000000000002</v>
      </c>
      <c r="E541">
        <v>0.42580000000000001</v>
      </c>
      <c r="F541">
        <v>13811237.779999999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0.63235294117647034</v>
      </c>
      <c r="Q541">
        <f t="shared" si="985"/>
        <v>8733576.8314705845</v>
      </c>
      <c r="R541">
        <f t="shared" si="986"/>
        <v>29362158.53192649</v>
      </c>
      <c r="S541">
        <f t="shared" si="987"/>
        <v>293.62158531926491</v>
      </c>
      <c r="T541">
        <f t="shared" si="988"/>
        <v>0.29362158531926491</v>
      </c>
    </row>
    <row r="542" spans="1:20" x14ac:dyDescent="0.25">
      <c r="A542" s="5">
        <v>44051</v>
      </c>
      <c r="B542">
        <v>0.37830000000000003</v>
      </c>
      <c r="C542">
        <v>0.39660000000000001</v>
      </c>
      <c r="D542">
        <v>0.3755</v>
      </c>
      <c r="E542">
        <v>0.39629999999999999</v>
      </c>
      <c r="F542">
        <v>5779301.75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0.97156398104265196</v>
      </c>
      <c r="Q542">
        <f t="shared" si="985"/>
        <v>5614961.4158767657</v>
      </c>
      <c r="R542">
        <f t="shared" si="986"/>
        <v>20628581.700455908</v>
      </c>
      <c r="S542">
        <f t="shared" si="987"/>
        <v>206.28581700455908</v>
      </c>
      <c r="T542">
        <f t="shared" si="988"/>
        <v>0.20628581700455909</v>
      </c>
    </row>
    <row r="543" spans="1:20" x14ac:dyDescent="0.25">
      <c r="A543" s="5">
        <v>44050</v>
      </c>
      <c r="B543">
        <v>0.39029999999999998</v>
      </c>
      <c r="C543">
        <v>0.39400000000000002</v>
      </c>
      <c r="D543">
        <v>0.36980000000000002</v>
      </c>
      <c r="E543">
        <v>0.37830000000000003</v>
      </c>
      <c r="F543">
        <v>5552519.8600000003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-0.29752066115702414</v>
      </c>
      <c r="Q543">
        <f t="shared" si="985"/>
        <v>-1651989.3798347071</v>
      </c>
      <c r="R543">
        <f t="shared" si="986"/>
        <v>15013620.284579141</v>
      </c>
      <c r="S543">
        <f t="shared" si="987"/>
        <v>150.13620284579142</v>
      </c>
      <c r="T543">
        <f t="shared" si="988"/>
        <v>0.15013620284579141</v>
      </c>
    </row>
    <row r="544" spans="1:20" x14ac:dyDescent="0.25">
      <c r="A544" s="5">
        <v>44049</v>
      </c>
      <c r="B544">
        <v>0.38990000000000002</v>
      </c>
      <c r="C544">
        <v>0.39250000000000002</v>
      </c>
      <c r="D544">
        <v>0.38190000000000002</v>
      </c>
      <c r="E544">
        <v>0.38979999999999998</v>
      </c>
      <c r="F544">
        <v>4442909.71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0.49056603773584223</v>
      </c>
      <c r="Q544">
        <f t="shared" si="985"/>
        <v>2179540.6124527999</v>
      </c>
      <c r="R544">
        <f t="shared" si="986"/>
        <v>16665609.664413849</v>
      </c>
      <c r="S544">
        <f t="shared" si="987"/>
        <v>166.6560966441385</v>
      </c>
      <c r="T544">
        <f t="shared" si="988"/>
        <v>0.1666560966441385</v>
      </c>
    </row>
    <row r="545" spans="1:20" x14ac:dyDescent="0.25">
      <c r="A545" s="5">
        <v>44048</v>
      </c>
      <c r="B545">
        <v>0.39710000000000001</v>
      </c>
      <c r="C545">
        <v>0.40500000000000003</v>
      </c>
      <c r="D545">
        <v>0.38159999999999999</v>
      </c>
      <c r="E545">
        <v>0.38990000000000002</v>
      </c>
      <c r="F545">
        <v>6025888.0599999996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-0.29059829059828901</v>
      </c>
      <c r="Q545">
        <f t="shared" si="985"/>
        <v>-1751112.7695726398</v>
      </c>
      <c r="R545">
        <f t="shared" si="986"/>
        <v>14486069.051961049</v>
      </c>
      <c r="S545">
        <f t="shared" si="987"/>
        <v>144.8606905196105</v>
      </c>
      <c r="T545">
        <f t="shared" si="988"/>
        <v>0.14486069051961051</v>
      </c>
    </row>
    <row r="546" spans="1:20" x14ac:dyDescent="0.25">
      <c r="A546" s="5">
        <v>44047</v>
      </c>
      <c r="B546">
        <v>0.375</v>
      </c>
      <c r="C546">
        <v>0.39710000000000001</v>
      </c>
      <c r="D546">
        <v>0.37459999999999999</v>
      </c>
      <c r="E546">
        <v>0.39710000000000001</v>
      </c>
      <c r="F546">
        <v>8081359.4199999999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1</v>
      </c>
      <c r="Q546">
        <f t="shared" si="985"/>
        <v>8081359.4199999999</v>
      </c>
      <c r="R546">
        <f t="shared" si="986"/>
        <v>16237181.821533689</v>
      </c>
      <c r="S546">
        <f t="shared" si="987"/>
        <v>162.3718182153369</v>
      </c>
      <c r="T546">
        <f t="shared" si="988"/>
        <v>0.16237181821533689</v>
      </c>
    </row>
    <row r="547" spans="1:20" x14ac:dyDescent="0.25">
      <c r="A547" s="5">
        <v>44046</v>
      </c>
      <c r="B547">
        <v>0.37559999999999999</v>
      </c>
      <c r="C547">
        <v>0.38279999999999997</v>
      </c>
      <c r="D547">
        <v>0.36699999999999999</v>
      </c>
      <c r="E547">
        <v>0.37540000000000001</v>
      </c>
      <c r="F547">
        <v>6344496.3700000001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6.3291139240509969E-2</v>
      </c>
      <c r="Q547">
        <f t="shared" si="985"/>
        <v>401550.40316458006</v>
      </c>
      <c r="R547">
        <f t="shared" si="986"/>
        <v>8155822.4015336893</v>
      </c>
      <c r="S547">
        <f t="shared" si="987"/>
        <v>81.55822401533689</v>
      </c>
      <c r="T547">
        <f t="shared" si="988"/>
        <v>8.1558224015336883E-2</v>
      </c>
    </row>
    <row r="548" spans="1:20" x14ac:dyDescent="0.25">
      <c r="A548" s="5">
        <v>44045</v>
      </c>
      <c r="B548">
        <v>0.38179999999999997</v>
      </c>
      <c r="C548">
        <v>0.39</v>
      </c>
      <c r="D548">
        <v>0.35</v>
      </c>
      <c r="E548">
        <v>0.37419999999999998</v>
      </c>
      <c r="F548">
        <v>7482381.8899999997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0.20999999999999888</v>
      </c>
      <c r="Q548">
        <f t="shared" si="985"/>
        <v>1571300.1968999915</v>
      </c>
      <c r="R548">
        <f t="shared" si="986"/>
        <v>7754271.9983691089</v>
      </c>
      <c r="S548">
        <f t="shared" si="987"/>
        <v>77.542719983691086</v>
      </c>
      <c r="T548">
        <f t="shared" si="988"/>
        <v>7.7542719983691083E-2</v>
      </c>
    </row>
    <row r="549" spans="1:20" x14ac:dyDescent="0.25">
      <c r="A549" s="5">
        <v>44044</v>
      </c>
      <c r="B549">
        <v>0.37390000000000001</v>
      </c>
      <c r="C549">
        <v>0.38490000000000002</v>
      </c>
      <c r="D549">
        <v>0.36919999999999997</v>
      </c>
      <c r="E549">
        <v>0.38140000000000002</v>
      </c>
      <c r="F549">
        <v>5357203.9000000004</v>
      </c>
      <c r="G549">
        <v>0</v>
      </c>
      <c r="L549" t="s">
        <v>8</v>
      </c>
      <c r="M549" t="s">
        <v>7</v>
      </c>
      <c r="N549" t="s">
        <v>8</v>
      </c>
      <c r="P549">
        <f t="shared" si="984"/>
        <v>0.55414012738853602</v>
      </c>
      <c r="Q549">
        <f t="shared" si="985"/>
        <v>2968641.6515923622</v>
      </c>
      <c r="R549">
        <f t="shared" si="986"/>
        <v>6182971.8014691174</v>
      </c>
      <c r="S549">
        <f t="shared" si="987"/>
        <v>61.829718014691174</v>
      </c>
      <c r="T549">
        <f t="shared" si="988"/>
        <v>6.1829718014691178E-2</v>
      </c>
    </row>
    <row r="550" spans="1:20" x14ac:dyDescent="0.25">
      <c r="A550" s="5">
        <v>44043</v>
      </c>
      <c r="B550">
        <v>0.37159999999999999</v>
      </c>
      <c r="C550">
        <v>0.378</v>
      </c>
      <c r="D550">
        <v>0.36809999999999998</v>
      </c>
      <c r="E550">
        <v>0.37380000000000002</v>
      </c>
      <c r="F550">
        <v>2776350.15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0.15151515151515696</v>
      </c>
      <c r="Q550">
        <f t="shared" si="985"/>
        <v>420659.11363637872</v>
      </c>
      <c r="R550">
        <f t="shared" si="986"/>
        <v>3214330.1498767552</v>
      </c>
      <c r="S550">
        <f t="shared" si="987"/>
        <v>32.143301498767549</v>
      </c>
      <c r="T550">
        <f t="shared" si="988"/>
        <v>3.2143301498767547E-2</v>
      </c>
    </row>
    <row r="551" spans="1:20" x14ac:dyDescent="0.25">
      <c r="A551" s="5">
        <v>44042</v>
      </c>
      <c r="B551">
        <v>0.37680000000000002</v>
      </c>
      <c r="C551">
        <v>0.38</v>
      </c>
      <c r="D551">
        <v>0.36699999999999999</v>
      </c>
      <c r="E551">
        <v>0.3715</v>
      </c>
      <c r="F551">
        <v>3618305.59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-0.30769230769230771</v>
      </c>
      <c r="Q551">
        <f t="shared" si="985"/>
        <v>-1113324.796923077</v>
      </c>
      <c r="R551">
        <f t="shared" si="986"/>
        <v>2793671.0362403765</v>
      </c>
      <c r="S551">
        <f t="shared" si="987"/>
        <v>27.936710362403765</v>
      </c>
      <c r="T551">
        <f t="shared" si="988"/>
        <v>2.7936710362403767E-2</v>
      </c>
    </row>
    <row r="552" spans="1:20" x14ac:dyDescent="0.25">
      <c r="A552" s="5">
        <v>44041</v>
      </c>
      <c r="B552">
        <v>0.37909999999999999</v>
      </c>
      <c r="C552">
        <v>0.38390000000000002</v>
      </c>
      <c r="D552">
        <v>0.37159999999999999</v>
      </c>
      <c r="E552">
        <v>0.37680000000000002</v>
      </c>
      <c r="F552">
        <v>4035815.41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-0.15447154471544328</v>
      </c>
      <c r="Q552">
        <f t="shared" si="985"/>
        <v>-623418.64056909003</v>
      </c>
      <c r="R552">
        <f t="shared" si="986"/>
        <v>3906995.8331634533</v>
      </c>
      <c r="S552">
        <f t="shared" si="987"/>
        <v>39.069958331634531</v>
      </c>
      <c r="T552">
        <f t="shared" si="988"/>
        <v>3.9069958331634534E-2</v>
      </c>
    </row>
    <row r="553" spans="1:20" x14ac:dyDescent="0.25">
      <c r="A553" s="5">
        <v>44040</v>
      </c>
      <c r="B553">
        <v>0.36859999999999998</v>
      </c>
      <c r="C553">
        <v>0.38500000000000001</v>
      </c>
      <c r="D553">
        <v>0.36099999999999999</v>
      </c>
      <c r="E553">
        <v>0.37940000000000002</v>
      </c>
      <c r="F553">
        <v>5088231.3499999996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0.53333333333333421</v>
      </c>
      <c r="Q553">
        <f t="shared" si="985"/>
        <v>2713723.3866666709</v>
      </c>
      <c r="R553">
        <f t="shared" si="986"/>
        <v>4530414.4737325432</v>
      </c>
      <c r="S553">
        <f t="shared" si="987"/>
        <v>45.30414473732543</v>
      </c>
      <c r="T553">
        <f t="shared" si="988"/>
        <v>4.5304144737325427E-2</v>
      </c>
    </row>
    <row r="554" spans="1:20" x14ac:dyDescent="0.25">
      <c r="A554" s="5">
        <v>44039</v>
      </c>
      <c r="B554">
        <v>0.38700000000000001</v>
      </c>
      <c r="C554">
        <v>0.38790000000000002</v>
      </c>
      <c r="D554">
        <v>0.34770000000000001</v>
      </c>
      <c r="E554">
        <v>0.3695</v>
      </c>
      <c r="F554">
        <v>11291554.189999999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8.4577114427859645E-2</v>
      </c>
      <c r="Q554">
        <f t="shared" si="985"/>
        <v>955007.07079600799</v>
      </c>
      <c r="R554">
        <f t="shared" si="986"/>
        <v>1816691.0870658723</v>
      </c>
      <c r="S554">
        <f t="shared" si="987"/>
        <v>18.166910870658722</v>
      </c>
      <c r="T554">
        <f t="shared" si="988"/>
        <v>1.816691087065872E-2</v>
      </c>
    </row>
    <row r="555" spans="1:20" x14ac:dyDescent="0.25">
      <c r="A555" s="5">
        <v>44038</v>
      </c>
      <c r="B555">
        <v>0.39879999999999999</v>
      </c>
      <c r="C555">
        <v>0.4</v>
      </c>
      <c r="D555">
        <v>0.37409999999999999</v>
      </c>
      <c r="E555">
        <v>0.38629999999999998</v>
      </c>
      <c r="F555">
        <v>6432789.3099999996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-5.7915057915060034E-2</v>
      </c>
      <c r="Q555">
        <f t="shared" si="985"/>
        <v>-372555.36544402904</v>
      </c>
      <c r="R555">
        <f t="shared" si="986"/>
        <v>861684.01626986428</v>
      </c>
      <c r="S555">
        <f t="shared" si="987"/>
        <v>8.6168401626986419</v>
      </c>
      <c r="T555">
        <f t="shared" si="988"/>
        <v>8.6168401626986416E-3</v>
      </c>
    </row>
    <row r="556" spans="1:20" x14ac:dyDescent="0.25">
      <c r="A556" s="5">
        <v>44037</v>
      </c>
      <c r="B556">
        <v>0.39450000000000002</v>
      </c>
      <c r="C556">
        <v>0.40710000000000002</v>
      </c>
      <c r="D556">
        <v>0.39329999999999998</v>
      </c>
      <c r="E556">
        <v>0.39900000000000002</v>
      </c>
      <c r="F556">
        <v>5415838.2800000003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-0.17391304347825737</v>
      </c>
      <c r="Q556">
        <f t="shared" si="985"/>
        <v>-941884.91826085059</v>
      </c>
      <c r="R556">
        <f t="shared" si="986"/>
        <v>1234239.3817138933</v>
      </c>
      <c r="S556">
        <f t="shared" si="987"/>
        <v>12.342393817138932</v>
      </c>
      <c r="T556">
        <f t="shared" si="988"/>
        <v>1.2342393817138931E-2</v>
      </c>
    </row>
    <row r="557" spans="1:20" x14ac:dyDescent="0.25">
      <c r="A557" s="5">
        <v>44036</v>
      </c>
      <c r="B557">
        <v>0.40839999999999999</v>
      </c>
      <c r="C557">
        <v>0.40899999999999997</v>
      </c>
      <c r="D557">
        <v>0.39269999999999999</v>
      </c>
      <c r="E557">
        <v>0.39379999999999998</v>
      </c>
      <c r="F557">
        <v>4606182.68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-0.86503067484662688</v>
      </c>
      <c r="Q557">
        <f t="shared" si="985"/>
        <v>-3984489.3121472443</v>
      </c>
      <c r="R557">
        <f t="shared" si="986"/>
        <v>2176124.2999747437</v>
      </c>
      <c r="S557">
        <f t="shared" si="987"/>
        <v>21.761242999747438</v>
      </c>
      <c r="T557">
        <f t="shared" si="988"/>
        <v>2.1761242999747438E-2</v>
      </c>
    </row>
    <row r="558" spans="1:20" x14ac:dyDescent="0.25">
      <c r="A558" s="5">
        <v>44035</v>
      </c>
      <c r="B558">
        <v>0.41249999999999998</v>
      </c>
      <c r="C558">
        <v>0.4214</v>
      </c>
      <c r="D558">
        <v>0.40110000000000001</v>
      </c>
      <c r="E558">
        <v>0.4083</v>
      </c>
      <c r="F558">
        <v>5745341.6900000004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-0.29064039408867098</v>
      </c>
      <c r="Q558">
        <f t="shared" si="985"/>
        <v>-1669828.372955671</v>
      </c>
      <c r="R558">
        <f t="shared" si="986"/>
        <v>6160613.6121219881</v>
      </c>
      <c r="S558">
        <f t="shared" si="987"/>
        <v>61.606136121219883</v>
      </c>
      <c r="T558">
        <f t="shared" si="988"/>
        <v>6.160613612121988E-2</v>
      </c>
    </row>
    <row r="559" spans="1:20" x14ac:dyDescent="0.25">
      <c r="A559" s="5">
        <v>44034</v>
      </c>
      <c r="B559">
        <v>0.41220000000000001</v>
      </c>
      <c r="C559">
        <v>0.42980000000000002</v>
      </c>
      <c r="D559">
        <v>0.40229999999999999</v>
      </c>
      <c r="E559">
        <v>0.41310000000000002</v>
      </c>
      <c r="F559">
        <v>10653384.76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-0.21454545454545293</v>
      </c>
      <c r="Q559">
        <f t="shared" si="985"/>
        <v>-2285635.275781801</v>
      </c>
      <c r="R559">
        <f t="shared" si="986"/>
        <v>7830441.9850776587</v>
      </c>
      <c r="S559">
        <f t="shared" si="987"/>
        <v>78.304419850776583</v>
      </c>
      <c r="T559">
        <f t="shared" si="988"/>
        <v>7.8304419850776588E-2</v>
      </c>
    </row>
    <row r="560" spans="1:20" x14ac:dyDescent="0.25">
      <c r="A560" s="5">
        <v>44033</v>
      </c>
      <c r="B560">
        <v>0.40060000000000001</v>
      </c>
      <c r="C560">
        <v>0.4123</v>
      </c>
      <c r="D560">
        <v>0.39200000000000002</v>
      </c>
      <c r="E560">
        <v>0.4123</v>
      </c>
      <c r="F560">
        <v>5392193.8700000001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1</v>
      </c>
      <c r="Q560">
        <f t="shared" si="985"/>
        <v>5392193.8700000001</v>
      </c>
      <c r="R560">
        <f t="shared" si="986"/>
        <v>10116077.26085946</v>
      </c>
      <c r="S560">
        <f t="shared" si="987"/>
        <v>101.1607726085946</v>
      </c>
      <c r="T560">
        <f t="shared" si="988"/>
        <v>0.1011607726085946</v>
      </c>
    </row>
    <row r="561" spans="1:104" x14ac:dyDescent="0.25">
      <c r="A561" s="5">
        <v>44032</v>
      </c>
      <c r="B561">
        <v>0.42249999999999999</v>
      </c>
      <c r="C561">
        <v>0.42759999999999998</v>
      </c>
      <c r="D561">
        <v>0.39500000000000002</v>
      </c>
      <c r="E561">
        <v>0.39979999999999999</v>
      </c>
      <c r="F561">
        <v>6200783.5499999998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-0.70552147239263951</v>
      </c>
      <c r="Q561">
        <f t="shared" si="985"/>
        <v>-4374785.9401840577</v>
      </c>
      <c r="R561">
        <f t="shared" si="986"/>
        <v>4723883.3908594595</v>
      </c>
      <c r="S561">
        <f t="shared" si="987"/>
        <v>47.238833908594593</v>
      </c>
      <c r="T561">
        <f t="shared" si="988"/>
        <v>4.7238833908594596E-2</v>
      </c>
      <c r="CZ561" t="s">
        <v>7</v>
      </c>
    </row>
    <row r="562" spans="1:104" x14ac:dyDescent="0.25">
      <c r="A562" s="5">
        <v>44031</v>
      </c>
      <c r="B562">
        <v>0.38819999999999999</v>
      </c>
      <c r="C562">
        <v>0.42799999999999999</v>
      </c>
      <c r="D562">
        <v>0.37719999999999998</v>
      </c>
      <c r="E562">
        <v>0.42230000000000001</v>
      </c>
      <c r="F562">
        <v>9985884.6099999994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0.77559055118110309</v>
      </c>
      <c r="Q562">
        <f t="shared" si="985"/>
        <v>7744957.7487007938</v>
      </c>
      <c r="R562">
        <f t="shared" si="986"/>
        <v>9098669.3310435172</v>
      </c>
      <c r="S562">
        <f t="shared" si="987"/>
        <v>90.986693310435172</v>
      </c>
      <c r="T562">
        <f t="shared" si="988"/>
        <v>9.0986693310435171E-2</v>
      </c>
      <c r="CZ562" t="s">
        <v>7</v>
      </c>
    </row>
    <row r="563" spans="1:104" x14ac:dyDescent="0.25">
      <c r="A563" s="5">
        <v>44030</v>
      </c>
      <c r="B563">
        <v>0.39019999999999999</v>
      </c>
      <c r="C563">
        <v>0.39389999999999997</v>
      </c>
      <c r="D563">
        <v>0.38030000000000003</v>
      </c>
      <c r="E563">
        <v>0.38800000000000001</v>
      </c>
      <c r="F563">
        <v>2686451.66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0.13235294117647287</v>
      </c>
      <c r="Q563">
        <f t="shared" si="985"/>
        <v>355559.77852941788</v>
      </c>
      <c r="R563">
        <f t="shared" si="986"/>
        <v>1353711.5823427236</v>
      </c>
      <c r="S563">
        <f t="shared" si="987"/>
        <v>13.537115823427236</v>
      </c>
      <c r="T563">
        <f t="shared" si="988"/>
        <v>1.3537115823427235E-2</v>
      </c>
      <c r="CZ563" t="s">
        <v>7</v>
      </c>
    </row>
    <row r="564" spans="1:104" x14ac:dyDescent="0.25">
      <c r="A564" s="5">
        <v>44029</v>
      </c>
      <c r="B564">
        <v>0.38490000000000002</v>
      </c>
      <c r="C564">
        <v>0.39650000000000002</v>
      </c>
      <c r="D564">
        <v>0.3735</v>
      </c>
      <c r="E564">
        <v>0.39090000000000003</v>
      </c>
      <c r="F564">
        <v>4546641.97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0.51304347826087049</v>
      </c>
      <c r="Q564">
        <f t="shared" si="985"/>
        <v>2332625.0106956563</v>
      </c>
      <c r="R564">
        <f t="shared" si="986"/>
        <v>998151.80381330568</v>
      </c>
      <c r="S564">
        <f t="shared" si="987"/>
        <v>9.981518038133057</v>
      </c>
      <c r="T564">
        <f t="shared" si="988"/>
        <v>9.9815180381330575E-3</v>
      </c>
    </row>
    <row r="565" spans="1:104" x14ac:dyDescent="0.25">
      <c r="A565" s="5">
        <v>44028</v>
      </c>
      <c r="B565">
        <v>0.4017</v>
      </c>
      <c r="C565">
        <v>0.4052</v>
      </c>
      <c r="D565">
        <v>0.3599</v>
      </c>
      <c r="E565">
        <v>0.3841</v>
      </c>
      <c r="F565">
        <v>9055368.9800000004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6.8432671081677512E-2</v>
      </c>
      <c r="Q565">
        <f t="shared" si="985"/>
        <v>619683.08693156566</v>
      </c>
      <c r="R565">
        <f t="shared" si="986"/>
        <v>-1334473.2068823506</v>
      </c>
      <c r="S565">
        <f t="shared" si="987"/>
        <v>-13.344732068823506</v>
      </c>
      <c r="T565">
        <f t="shared" si="988"/>
        <v>-1.3344732068823506E-2</v>
      </c>
    </row>
    <row r="566" spans="1:104" x14ac:dyDescent="0.25">
      <c r="A566" s="5">
        <v>44027</v>
      </c>
      <c r="B566">
        <v>0.41010000000000002</v>
      </c>
      <c r="C566">
        <v>0.41959999999999997</v>
      </c>
      <c r="D566">
        <v>0.39500000000000002</v>
      </c>
      <c r="E566">
        <v>0.40100000000000002</v>
      </c>
      <c r="F566">
        <v>4918418.33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-0.51219512195121819</v>
      </c>
      <c r="Q566">
        <f t="shared" si="985"/>
        <v>-2519189.876341457</v>
      </c>
      <c r="R566">
        <f t="shared" si="986"/>
        <v>-1954156.2938139164</v>
      </c>
      <c r="S566">
        <f t="shared" si="987"/>
        <v>-19.541562938139165</v>
      </c>
      <c r="T566">
        <f t="shared" si="988"/>
        <v>-1.9541562938139165E-2</v>
      </c>
    </row>
    <row r="567" spans="1:104" x14ac:dyDescent="0.25">
      <c r="A567" s="5">
        <v>44026</v>
      </c>
      <c r="B567">
        <v>0.41249999999999998</v>
      </c>
      <c r="C567">
        <v>0.42149999999999999</v>
      </c>
      <c r="D567">
        <v>0.39200000000000002</v>
      </c>
      <c r="E567">
        <v>0.4093</v>
      </c>
      <c r="F567">
        <v>6332644.9699999997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0.17288135593220333</v>
      </c>
      <c r="Q567">
        <f t="shared" si="985"/>
        <v>1094796.249050847</v>
      </c>
      <c r="R567">
        <f t="shared" si="986"/>
        <v>565033.58252754062</v>
      </c>
      <c r="S567">
        <f t="shared" si="987"/>
        <v>5.6503358252754063</v>
      </c>
      <c r="T567">
        <f t="shared" si="988"/>
        <v>5.6503358252754064E-3</v>
      </c>
    </row>
    <row r="568" spans="1:104" x14ac:dyDescent="0.25">
      <c r="A568" s="5">
        <v>44025</v>
      </c>
      <c r="B568">
        <v>0.39800000000000002</v>
      </c>
      <c r="C568">
        <v>0.43619999999999998</v>
      </c>
      <c r="D568">
        <v>0.39529999999999998</v>
      </c>
      <c r="E568">
        <v>0.4138</v>
      </c>
      <c r="F568">
        <v>11699068.710000001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-9.5354523227382887E-2</v>
      </c>
      <c r="Q568">
        <f t="shared" si="985"/>
        <v>-1115559.1190464434</v>
      </c>
      <c r="R568">
        <f t="shared" si="986"/>
        <v>-529762.6665233064</v>
      </c>
      <c r="S568">
        <f t="shared" si="987"/>
        <v>-5.2976266652330644</v>
      </c>
      <c r="T568">
        <f t="shared" si="988"/>
        <v>-5.2976266652330645E-3</v>
      </c>
    </row>
    <row r="569" spans="1:104" x14ac:dyDescent="0.25">
      <c r="A569" s="5">
        <v>44024</v>
      </c>
      <c r="B569">
        <v>0.40379999999999999</v>
      </c>
      <c r="C569">
        <v>0.41339999999999999</v>
      </c>
      <c r="D569">
        <v>0.38750000000000001</v>
      </c>
      <c r="E569">
        <v>0.39760000000000001</v>
      </c>
      <c r="F569">
        <v>5199250.59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-0.22007722007721961</v>
      </c>
      <c r="Q569">
        <f t="shared" si="985"/>
        <v>-1144236.6163320439</v>
      </c>
      <c r="R569">
        <f t="shared" si="986"/>
        <v>585796.45252313698</v>
      </c>
      <c r="S569">
        <f t="shared" si="987"/>
        <v>5.8579645252313695</v>
      </c>
      <c r="T569">
        <f t="shared" si="988"/>
        <v>5.857964525231369E-3</v>
      </c>
    </row>
    <row r="570" spans="1:104" x14ac:dyDescent="0.25">
      <c r="A570" s="5">
        <v>44023</v>
      </c>
      <c r="B570">
        <v>0.40250000000000002</v>
      </c>
      <c r="C570">
        <v>0.41420000000000001</v>
      </c>
      <c r="D570">
        <v>0.39500000000000002</v>
      </c>
      <c r="E570">
        <v>0.40389999999999998</v>
      </c>
      <c r="F570">
        <v>6001081.3600000003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-7.2916666666670224E-2</v>
      </c>
      <c r="Q570">
        <f t="shared" si="985"/>
        <v>-437578.84916668804</v>
      </c>
      <c r="R570">
        <f t="shared" si="986"/>
        <v>1730033.0688551809</v>
      </c>
      <c r="S570">
        <f t="shared" si="987"/>
        <v>17.30033068855181</v>
      </c>
      <c r="T570">
        <f t="shared" si="988"/>
        <v>1.7300330688551809E-2</v>
      </c>
    </row>
    <row r="571" spans="1:104" x14ac:dyDescent="0.25">
      <c r="A571" s="5">
        <v>44022</v>
      </c>
      <c r="B571">
        <v>0.38929999999999998</v>
      </c>
      <c r="C571">
        <v>0.40500000000000003</v>
      </c>
      <c r="D571">
        <v>0.373</v>
      </c>
      <c r="E571">
        <v>0.40200000000000002</v>
      </c>
      <c r="F571">
        <v>5771462.29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0.8125</v>
      </c>
      <c r="Q571">
        <f t="shared" si="985"/>
        <v>4689313.1106249997</v>
      </c>
      <c r="R571">
        <f t="shared" si="986"/>
        <v>2167611.9180218689</v>
      </c>
      <c r="S571">
        <f t="shared" si="987"/>
        <v>21.676119180218688</v>
      </c>
      <c r="T571">
        <f t="shared" si="988"/>
        <v>2.1676119180218688E-2</v>
      </c>
    </row>
    <row r="572" spans="1:104" x14ac:dyDescent="0.25">
      <c r="A572" s="5">
        <v>44021</v>
      </c>
      <c r="B572">
        <v>0.39629999999999999</v>
      </c>
      <c r="C572">
        <v>0.4113</v>
      </c>
      <c r="D572">
        <v>0.37</v>
      </c>
      <c r="E572">
        <v>0.3891</v>
      </c>
      <c r="F572">
        <v>8161424.0300000003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-7.506053268765113E-2</v>
      </c>
      <c r="Q572">
        <f t="shared" si="985"/>
        <v>-612600.83518159646</v>
      </c>
      <c r="R572">
        <f t="shared" si="986"/>
        <v>-2521701.1926031308</v>
      </c>
      <c r="S572">
        <f t="shared" si="987"/>
        <v>-25.217011926031308</v>
      </c>
      <c r="T572">
        <f t="shared" si="988"/>
        <v>-2.5217011926031308E-2</v>
      </c>
    </row>
    <row r="573" spans="1:104" x14ac:dyDescent="0.25">
      <c r="A573" s="5">
        <v>44020</v>
      </c>
      <c r="B573">
        <v>0.39340000000000003</v>
      </c>
      <c r="C573">
        <v>0.4178</v>
      </c>
      <c r="D573">
        <v>0.37790000000000001</v>
      </c>
      <c r="E573">
        <v>0.3962</v>
      </c>
      <c r="F573">
        <v>13105294.51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-8.2706766917293881E-2</v>
      </c>
      <c r="Q573">
        <f t="shared" si="985"/>
        <v>-1083896.5384210611</v>
      </c>
      <c r="R573">
        <f t="shared" si="986"/>
        <v>-1909100.3574215344</v>
      </c>
      <c r="S573">
        <f t="shared" si="987"/>
        <v>-19.091003574215343</v>
      </c>
      <c r="T573">
        <f t="shared" si="988"/>
        <v>-1.9091003574215344E-2</v>
      </c>
    </row>
    <row r="574" spans="1:104" x14ac:dyDescent="0.25">
      <c r="A574" s="5">
        <v>44019</v>
      </c>
      <c r="B574">
        <v>0.35220000000000001</v>
      </c>
      <c r="C574">
        <v>0.4</v>
      </c>
      <c r="D574">
        <v>0.34560000000000002</v>
      </c>
      <c r="E574">
        <v>0.39350000000000002</v>
      </c>
      <c r="F574">
        <v>13858394.92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0.76102941176470573</v>
      </c>
      <c r="Q574">
        <f t="shared" si="985"/>
        <v>10546646.133970587</v>
      </c>
      <c r="R574">
        <f t="shared" si="986"/>
        <v>-825203.81900047325</v>
      </c>
      <c r="S574">
        <f t="shared" si="987"/>
        <v>-8.2520381900047326</v>
      </c>
      <c r="T574">
        <f t="shared" si="988"/>
        <v>-8.2520381900047322E-3</v>
      </c>
    </row>
    <row r="575" spans="1:104" x14ac:dyDescent="0.25">
      <c r="A575" s="5">
        <v>44018</v>
      </c>
      <c r="B575">
        <v>0.34599999999999997</v>
      </c>
      <c r="C575">
        <v>0.36149999999999999</v>
      </c>
      <c r="D575">
        <v>0.34510000000000002</v>
      </c>
      <c r="E575">
        <v>0.35220000000000001</v>
      </c>
      <c r="F575">
        <v>5841210.2800000003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-0.13414634146341364</v>
      </c>
      <c r="Q575">
        <f t="shared" si="985"/>
        <v>-783576.98878048209</v>
      </c>
      <c r="R575">
        <f t="shared" si="986"/>
        <v>-11371849.95297106</v>
      </c>
      <c r="S575">
        <f t="shared" si="987"/>
        <v>-113.7184995297106</v>
      </c>
      <c r="T575">
        <f t="shared" si="988"/>
        <v>-0.1137184995297106</v>
      </c>
    </row>
    <row r="576" spans="1:104" x14ac:dyDescent="0.25">
      <c r="A576" s="5">
        <v>44017</v>
      </c>
      <c r="B576">
        <v>0.33560000000000001</v>
      </c>
      <c r="C576">
        <v>0.35780000000000001</v>
      </c>
      <c r="D576">
        <v>0.33160000000000001</v>
      </c>
      <c r="E576">
        <v>0.34610000000000002</v>
      </c>
      <c r="F576">
        <v>9077647.0099999998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0.10687022900763453</v>
      </c>
      <c r="Q576">
        <f t="shared" si="985"/>
        <v>970130.21480916883</v>
      </c>
      <c r="R576">
        <f t="shared" si="986"/>
        <v>-10588272.964190578</v>
      </c>
      <c r="S576">
        <f t="shared" si="987"/>
        <v>-105.88272964190578</v>
      </c>
      <c r="T576">
        <f t="shared" si="988"/>
        <v>-0.10588272964190579</v>
      </c>
    </row>
    <row r="577" spans="1:20" x14ac:dyDescent="0.25">
      <c r="A577" s="5">
        <v>44016</v>
      </c>
      <c r="B577">
        <v>0.3387</v>
      </c>
      <c r="C577">
        <v>0.3417</v>
      </c>
      <c r="D577">
        <v>0.32279999999999998</v>
      </c>
      <c r="E577">
        <v>0.33579999999999999</v>
      </c>
      <c r="F577">
        <v>3777036.36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0.37566137566137486</v>
      </c>
      <c r="Q577">
        <f t="shared" si="985"/>
        <v>1418886.6749206318</v>
      </c>
      <c r="R577">
        <f t="shared" si="986"/>
        <v>-11558403.178999746</v>
      </c>
      <c r="S577">
        <f t="shared" si="987"/>
        <v>-115.58403178999747</v>
      </c>
      <c r="T577">
        <f t="shared" si="988"/>
        <v>-0.11558403178999747</v>
      </c>
    </row>
    <row r="578" spans="1:20" x14ac:dyDescent="0.25">
      <c r="A578" s="5">
        <v>44015</v>
      </c>
      <c r="B578">
        <v>0.31840000000000002</v>
      </c>
      <c r="C578">
        <v>0.34310000000000002</v>
      </c>
      <c r="D578">
        <v>0.31519999999999998</v>
      </c>
      <c r="E578">
        <v>0.33910000000000001</v>
      </c>
      <c r="F578">
        <v>8578235.8399999999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0.71326164874551978</v>
      </c>
      <c r="Q578">
        <f t="shared" si="985"/>
        <v>6118526.6385663087</v>
      </c>
      <c r="R578">
        <f t="shared" si="986"/>
        <v>-12977289.853920378</v>
      </c>
      <c r="S578">
        <f t="shared" si="987"/>
        <v>-129.77289853920377</v>
      </c>
      <c r="T578">
        <f t="shared" si="988"/>
        <v>-0.12977289853920376</v>
      </c>
    </row>
    <row r="579" spans="1:20" x14ac:dyDescent="0.25">
      <c r="A579" s="5">
        <v>44014</v>
      </c>
      <c r="B579">
        <v>0.29920000000000002</v>
      </c>
      <c r="C579">
        <v>0.32150000000000001</v>
      </c>
      <c r="D579">
        <v>0.29720000000000002</v>
      </c>
      <c r="E579">
        <v>0.31840000000000002</v>
      </c>
      <c r="F579">
        <v>6866167.0999999996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0.74485596707818991</v>
      </c>
      <c r="Q579">
        <f t="shared" si="985"/>
        <v>5114305.5353909507</v>
      </c>
      <c r="R579">
        <f t="shared" si="986"/>
        <v>-19095816.492486686</v>
      </c>
      <c r="S579">
        <f t="shared" si="987"/>
        <v>-190.95816492486685</v>
      </c>
      <c r="T579">
        <f t="shared" si="988"/>
        <v>-0.19095816492486686</v>
      </c>
    </row>
    <row r="580" spans="1:20" x14ac:dyDescent="0.25">
      <c r="A580" s="5">
        <v>44013</v>
      </c>
      <c r="B580">
        <v>0.28989999999999999</v>
      </c>
      <c r="C580">
        <v>0.30120000000000002</v>
      </c>
      <c r="D580">
        <v>0.28810000000000002</v>
      </c>
      <c r="E580">
        <v>0.2989</v>
      </c>
      <c r="F580">
        <v>1881785.61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0.64885496183205738</v>
      </c>
      <c r="Q580">
        <f t="shared" si="985"/>
        <v>1221005.9301526649</v>
      </c>
      <c r="R580">
        <f t="shared" si="986"/>
        <v>-24210122.027877636</v>
      </c>
      <c r="S580">
        <f t="shared" si="987"/>
        <v>-242.10122027877637</v>
      </c>
      <c r="T580">
        <f t="shared" si="988"/>
        <v>-0.24210122027877637</v>
      </c>
    </row>
    <row r="581" spans="1:20" x14ac:dyDescent="0.25">
      <c r="A581" s="5">
        <v>44012</v>
      </c>
      <c r="B581">
        <v>0.29699999999999999</v>
      </c>
      <c r="C581">
        <v>0.29949999999999999</v>
      </c>
      <c r="D581">
        <v>0.28720000000000001</v>
      </c>
      <c r="E581">
        <v>0.28989999999999999</v>
      </c>
      <c r="F581">
        <v>2554210.19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-0.56097560975609995</v>
      </c>
      <c r="Q581">
        <f t="shared" si="985"/>
        <v>-1432849.618780494</v>
      </c>
      <c r="R581">
        <f t="shared" si="986"/>
        <v>-25431127.958030302</v>
      </c>
      <c r="S581">
        <f t="shared" si="987"/>
        <v>-254.31127958030302</v>
      </c>
      <c r="T581">
        <f t="shared" si="988"/>
        <v>-0.25431127958030303</v>
      </c>
    </row>
    <row r="582" spans="1:20" x14ac:dyDescent="0.25">
      <c r="A582" s="5">
        <v>44011</v>
      </c>
      <c r="B582">
        <v>0.28699999999999998</v>
      </c>
      <c r="C582">
        <v>0.3009</v>
      </c>
      <c r="D582">
        <v>0.28360000000000002</v>
      </c>
      <c r="E582">
        <v>0.29699999999999999</v>
      </c>
      <c r="F582">
        <v>3152487.93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0.54913294797687651</v>
      </c>
      <c r="Q582">
        <f t="shared" ref="Q582:Q645" si="990">F582*P582</f>
        <v>1731134.9904624212</v>
      </c>
      <c r="R582">
        <f t="shared" ref="R582:R645" si="991">R583+Q582</f>
        <v>-23998278.339249808</v>
      </c>
      <c r="S582">
        <f t="shared" ref="S582:S645" si="992">R582/100000</f>
        <v>-239.98278339249808</v>
      </c>
      <c r="T582">
        <f t="shared" ref="T582:T645" si="993">S582/1000</f>
        <v>-0.23998278339249807</v>
      </c>
    </row>
    <row r="583" spans="1:20" x14ac:dyDescent="0.25">
      <c r="A583" s="5">
        <v>44010</v>
      </c>
      <c r="B583">
        <v>0.28199999999999997</v>
      </c>
      <c r="C583">
        <v>0.29549999999999998</v>
      </c>
      <c r="D583">
        <v>0.2782</v>
      </c>
      <c r="E583">
        <v>0.28760000000000002</v>
      </c>
      <c r="F583">
        <v>2012178.81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8.6705202312142099E-2</v>
      </c>
      <c r="Q583">
        <f t="shared" si="990"/>
        <v>174466.37080925534</v>
      </c>
      <c r="R583">
        <f t="shared" si="991"/>
        <v>-25729413.329712231</v>
      </c>
      <c r="S583">
        <f t="shared" si="992"/>
        <v>-257.2941332971223</v>
      </c>
      <c r="T583">
        <f t="shared" si="993"/>
        <v>-0.25729413329712231</v>
      </c>
    </row>
    <row r="584" spans="1:20" x14ac:dyDescent="0.25">
      <c r="A584" s="5">
        <v>44009</v>
      </c>
      <c r="B584">
        <v>0.29959999999999998</v>
      </c>
      <c r="C584">
        <v>0.30270000000000002</v>
      </c>
      <c r="D584">
        <v>0.27610000000000001</v>
      </c>
      <c r="E584">
        <v>0.28179999999999999</v>
      </c>
      <c r="F584">
        <v>3390343.3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-0.57142857142857295</v>
      </c>
      <c r="Q584">
        <f t="shared" si="990"/>
        <v>-1937339.0285714336</v>
      </c>
      <c r="R584">
        <f t="shared" si="991"/>
        <v>-25903879.700521488</v>
      </c>
      <c r="S584">
        <f t="shared" si="992"/>
        <v>-259.03879700521486</v>
      </c>
      <c r="T584">
        <f t="shared" si="993"/>
        <v>-0.25903879700521487</v>
      </c>
    </row>
    <row r="585" spans="1:20" x14ac:dyDescent="0.25">
      <c r="A585" s="5">
        <v>44008</v>
      </c>
      <c r="B585">
        <v>0.31</v>
      </c>
      <c r="C585">
        <v>0.31190000000000001</v>
      </c>
      <c r="D585">
        <v>0.29699999999999999</v>
      </c>
      <c r="E585">
        <v>0.29980000000000001</v>
      </c>
      <c r="F585">
        <v>2253790.94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-0.62416107382550068</v>
      </c>
      <c r="Q585">
        <f t="shared" si="990"/>
        <v>-1406728.5732885846</v>
      </c>
      <c r="R585">
        <f t="shared" si="991"/>
        <v>-23966540.671950053</v>
      </c>
      <c r="S585">
        <f t="shared" si="992"/>
        <v>-239.66540671950054</v>
      </c>
      <c r="T585">
        <f t="shared" si="993"/>
        <v>-0.23966540671950054</v>
      </c>
    </row>
    <row r="586" spans="1:20" x14ac:dyDescent="0.25">
      <c r="A586" s="5">
        <v>44007</v>
      </c>
      <c r="B586">
        <v>0.31719999999999998</v>
      </c>
      <c r="C586">
        <v>0.31859999999999999</v>
      </c>
      <c r="D586">
        <v>0.3009</v>
      </c>
      <c r="E586">
        <v>0.31069999999999998</v>
      </c>
      <c r="F586">
        <v>2458034.69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0.1073446327683592</v>
      </c>
      <c r="Q586">
        <f t="shared" si="990"/>
        <v>263856.83112993767</v>
      </c>
      <c r="R586">
        <f t="shared" si="991"/>
        <v>-22559812.098661467</v>
      </c>
      <c r="S586">
        <f t="shared" si="992"/>
        <v>-225.59812098661467</v>
      </c>
      <c r="T586">
        <f t="shared" si="993"/>
        <v>-0.22559812098661466</v>
      </c>
    </row>
    <row r="587" spans="1:20" x14ac:dyDescent="0.25">
      <c r="A587" s="5">
        <v>44006</v>
      </c>
      <c r="B587">
        <v>0.32290000000000002</v>
      </c>
      <c r="C587">
        <v>0.32929999999999998</v>
      </c>
      <c r="D587">
        <v>0.3095</v>
      </c>
      <c r="E587">
        <v>0.31740000000000002</v>
      </c>
      <c r="F587">
        <v>3643687.4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-0.20202020202019955</v>
      </c>
      <c r="Q587">
        <f t="shared" si="990"/>
        <v>-736098.4646464556</v>
      </c>
      <c r="R587">
        <f t="shared" si="991"/>
        <v>-22823668.929791406</v>
      </c>
      <c r="S587">
        <f t="shared" si="992"/>
        <v>-228.23668929791407</v>
      </c>
      <c r="T587">
        <f t="shared" si="993"/>
        <v>-0.22823668929791407</v>
      </c>
    </row>
    <row r="588" spans="1:20" x14ac:dyDescent="0.25">
      <c r="A588" s="5">
        <v>44005</v>
      </c>
      <c r="B588">
        <v>0.32619999999999999</v>
      </c>
      <c r="C588">
        <v>0.32879999999999998</v>
      </c>
      <c r="D588">
        <v>0.32190000000000002</v>
      </c>
      <c r="E588">
        <v>0.32290000000000002</v>
      </c>
      <c r="F588">
        <v>2193420.9900000002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-0.71014492753623004</v>
      </c>
      <c r="Q588">
        <f t="shared" si="990"/>
        <v>-1557646.7899999961</v>
      </c>
      <c r="R588">
        <f t="shared" si="991"/>
        <v>-22087570.465144951</v>
      </c>
      <c r="S588">
        <f t="shared" si="992"/>
        <v>-220.8757046514495</v>
      </c>
      <c r="T588">
        <f t="shared" si="993"/>
        <v>-0.22087570465144948</v>
      </c>
    </row>
    <row r="589" spans="1:20" x14ac:dyDescent="0.25">
      <c r="A589" s="5">
        <v>44004</v>
      </c>
      <c r="B589">
        <v>0.31769999999999998</v>
      </c>
      <c r="C589">
        <v>0.32890000000000003</v>
      </c>
      <c r="D589">
        <v>0.31719999999999998</v>
      </c>
      <c r="E589">
        <v>0.32619999999999999</v>
      </c>
      <c r="F589">
        <v>2860927.19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0.53846153846153411</v>
      </c>
      <c r="Q589">
        <f t="shared" si="990"/>
        <v>1540499.2561538336</v>
      </c>
      <c r="R589">
        <f t="shared" si="991"/>
        <v>-20529923.675144956</v>
      </c>
      <c r="S589">
        <f t="shared" si="992"/>
        <v>-205.29923675144954</v>
      </c>
      <c r="T589">
        <f t="shared" si="993"/>
        <v>-0.20529923675144954</v>
      </c>
    </row>
    <row r="590" spans="1:20" x14ac:dyDescent="0.25">
      <c r="A590" s="5">
        <v>44003</v>
      </c>
      <c r="B590">
        <v>0.31950000000000001</v>
      </c>
      <c r="C590">
        <v>0.32350000000000001</v>
      </c>
      <c r="D590">
        <v>0.31759999999999999</v>
      </c>
      <c r="E590">
        <v>0.318</v>
      </c>
      <c r="F590">
        <v>1664343.64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-0.86440677966101342</v>
      </c>
      <c r="Q590">
        <f t="shared" si="990"/>
        <v>-1438669.926101689</v>
      </c>
      <c r="R590">
        <f t="shared" si="991"/>
        <v>-22070422.931298789</v>
      </c>
      <c r="S590">
        <f t="shared" si="992"/>
        <v>-220.70422931298788</v>
      </c>
      <c r="T590">
        <f t="shared" si="993"/>
        <v>-0.22070422931298789</v>
      </c>
    </row>
    <row r="591" spans="1:20" x14ac:dyDescent="0.25">
      <c r="A591" s="5">
        <v>44002</v>
      </c>
      <c r="B591">
        <v>0.31969999999999998</v>
      </c>
      <c r="C591">
        <v>0.32400000000000001</v>
      </c>
      <c r="D591">
        <v>0.31369999999999998</v>
      </c>
      <c r="E591">
        <v>0.31969999999999998</v>
      </c>
      <c r="F591">
        <v>1788286.69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0.16504854368931787</v>
      </c>
      <c r="Q591">
        <f t="shared" si="990"/>
        <v>295154.11388349062</v>
      </c>
      <c r="R591">
        <f t="shared" si="991"/>
        <v>-20631753.0051971</v>
      </c>
      <c r="S591">
        <f t="shared" si="992"/>
        <v>-206.317530051971</v>
      </c>
      <c r="T591">
        <f t="shared" si="993"/>
        <v>-0.20631753005197101</v>
      </c>
    </row>
    <row r="592" spans="1:20" x14ac:dyDescent="0.25">
      <c r="A592" s="5">
        <v>44001</v>
      </c>
      <c r="B592">
        <v>0.32550000000000001</v>
      </c>
      <c r="C592">
        <v>0.33160000000000001</v>
      </c>
      <c r="D592">
        <v>0.31740000000000002</v>
      </c>
      <c r="E592">
        <v>0.3201</v>
      </c>
      <c r="F592">
        <v>3249471.26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-0.61971830985915743</v>
      </c>
      <c r="Q592">
        <f t="shared" si="990"/>
        <v>-2013756.8371831067</v>
      </c>
      <c r="R592">
        <f t="shared" si="991"/>
        <v>-20926907.119080592</v>
      </c>
      <c r="S592">
        <f t="shared" si="992"/>
        <v>-209.26907119080593</v>
      </c>
      <c r="T592">
        <f t="shared" si="993"/>
        <v>-0.20926907119080593</v>
      </c>
    </row>
    <row r="593" spans="1:20" x14ac:dyDescent="0.25">
      <c r="A593" s="5">
        <v>44000</v>
      </c>
      <c r="B593">
        <v>0.32329999999999998</v>
      </c>
      <c r="C593">
        <v>0.34420000000000001</v>
      </c>
      <c r="D593">
        <v>0.3221</v>
      </c>
      <c r="E593">
        <v>0.32550000000000001</v>
      </c>
      <c r="F593">
        <v>6319109.9000000004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-0.69230769230769118</v>
      </c>
      <c r="Q593">
        <f t="shared" si="990"/>
        <v>-4374768.3923076857</v>
      </c>
      <c r="R593">
        <f t="shared" si="991"/>
        <v>-18913150.281897485</v>
      </c>
      <c r="S593">
        <f t="shared" si="992"/>
        <v>-189.13150281897487</v>
      </c>
      <c r="T593">
        <f t="shared" si="993"/>
        <v>-0.18913150281897487</v>
      </c>
    </row>
    <row r="594" spans="1:20" x14ac:dyDescent="0.25">
      <c r="A594" s="5">
        <v>43999</v>
      </c>
      <c r="B594">
        <v>0.31559999999999999</v>
      </c>
      <c r="C594">
        <v>0.3271</v>
      </c>
      <c r="D594">
        <v>0.3115</v>
      </c>
      <c r="E594">
        <v>0.32400000000000001</v>
      </c>
      <c r="F594">
        <v>4322907.24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0.60256410256410375</v>
      </c>
      <c r="Q594">
        <f t="shared" si="990"/>
        <v>2604828.7215384669</v>
      </c>
      <c r="R594">
        <f t="shared" si="991"/>
        <v>-14538381.8895898</v>
      </c>
      <c r="S594">
        <f t="shared" si="992"/>
        <v>-145.383818895898</v>
      </c>
      <c r="T594">
        <f t="shared" si="993"/>
        <v>-0.14538381889589799</v>
      </c>
    </row>
    <row r="595" spans="1:20" x14ac:dyDescent="0.25">
      <c r="A595" s="5">
        <v>43998</v>
      </c>
      <c r="B595">
        <v>0.31580000000000003</v>
      </c>
      <c r="C595">
        <v>0.32519999999999999</v>
      </c>
      <c r="D595">
        <v>0.31280000000000002</v>
      </c>
      <c r="E595">
        <v>0.316</v>
      </c>
      <c r="F595">
        <v>3806757.52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-0.48387096774193722</v>
      </c>
      <c r="Q595">
        <f t="shared" si="990"/>
        <v>-1841979.445161297</v>
      </c>
      <c r="R595">
        <f t="shared" si="991"/>
        <v>-17143210.611128267</v>
      </c>
      <c r="S595">
        <f t="shared" si="992"/>
        <v>-171.43210611128268</v>
      </c>
      <c r="T595">
        <f t="shared" si="993"/>
        <v>-0.17143210611128268</v>
      </c>
    </row>
    <row r="596" spans="1:20" x14ac:dyDescent="0.25">
      <c r="A596" s="5">
        <v>43997</v>
      </c>
      <c r="B596">
        <v>0.32229999999999998</v>
      </c>
      <c r="C596">
        <v>0.32369999999999999</v>
      </c>
      <c r="D596">
        <v>0.29120000000000001</v>
      </c>
      <c r="E596">
        <v>0.31509999999999999</v>
      </c>
      <c r="F596">
        <v>6719372.5199999996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0.47076923076923055</v>
      </c>
      <c r="Q596">
        <f t="shared" si="990"/>
        <v>3163273.8324923059</v>
      </c>
      <c r="R596">
        <f t="shared" si="991"/>
        <v>-15301231.165966969</v>
      </c>
      <c r="S596">
        <f t="shared" si="992"/>
        <v>-153.01231165966968</v>
      </c>
      <c r="T596">
        <f t="shared" si="993"/>
        <v>-0.15301231165966966</v>
      </c>
    </row>
    <row r="597" spans="1:20" x14ac:dyDescent="0.25">
      <c r="A597" s="5">
        <v>43996</v>
      </c>
      <c r="B597">
        <v>0.3387</v>
      </c>
      <c r="C597">
        <v>0.34129999999999999</v>
      </c>
      <c r="D597">
        <v>0.32050000000000001</v>
      </c>
      <c r="E597">
        <v>0.3221</v>
      </c>
      <c r="F597">
        <v>2604796.4500000002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-0.84615384615384692</v>
      </c>
      <c r="Q597">
        <f t="shared" si="990"/>
        <v>-2204058.5346153867</v>
      </c>
      <c r="R597">
        <f t="shared" si="991"/>
        <v>-18464504.998459276</v>
      </c>
      <c r="S597">
        <f t="shared" si="992"/>
        <v>-184.64504998459276</v>
      </c>
      <c r="T597">
        <f t="shared" si="993"/>
        <v>-0.18464504998459275</v>
      </c>
    </row>
    <row r="598" spans="1:20" x14ac:dyDescent="0.25">
      <c r="A598" s="5">
        <v>43995</v>
      </c>
      <c r="B598">
        <v>0.33</v>
      </c>
      <c r="C598">
        <v>0.3448</v>
      </c>
      <c r="D598">
        <v>0.3271</v>
      </c>
      <c r="E598">
        <v>0.3387</v>
      </c>
      <c r="F598">
        <v>3000981.28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0.31073446327683657</v>
      </c>
      <c r="Q598">
        <f t="shared" si="990"/>
        <v>932508.30734463397</v>
      </c>
      <c r="R598">
        <f t="shared" si="991"/>
        <v>-16260446.46384389</v>
      </c>
      <c r="S598">
        <f t="shared" si="992"/>
        <v>-162.60446463843888</v>
      </c>
      <c r="T598">
        <f t="shared" si="993"/>
        <v>-0.16260446463843889</v>
      </c>
    </row>
    <row r="599" spans="1:20" x14ac:dyDescent="0.25">
      <c r="A599" s="5">
        <v>43994</v>
      </c>
      <c r="B599">
        <v>0.32029999999999997</v>
      </c>
      <c r="C599">
        <v>0.33529999999999999</v>
      </c>
      <c r="D599">
        <v>0.31669999999999998</v>
      </c>
      <c r="E599">
        <v>0.33</v>
      </c>
      <c r="F599">
        <v>3643803.77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0.43010752688172366</v>
      </c>
      <c r="Q599">
        <f t="shared" si="990"/>
        <v>1567227.4279570009</v>
      </c>
      <c r="R599">
        <f t="shared" si="991"/>
        <v>-17192954.771188524</v>
      </c>
      <c r="S599">
        <f t="shared" si="992"/>
        <v>-171.92954771188525</v>
      </c>
      <c r="T599">
        <f t="shared" si="993"/>
        <v>-0.17192954771188526</v>
      </c>
    </row>
    <row r="600" spans="1:20" x14ac:dyDescent="0.25">
      <c r="A600" s="5">
        <v>43993</v>
      </c>
      <c r="B600">
        <v>0.36230000000000001</v>
      </c>
      <c r="C600">
        <v>0.36620000000000003</v>
      </c>
      <c r="D600">
        <v>0.31109999999999999</v>
      </c>
      <c r="E600">
        <v>0.32129999999999997</v>
      </c>
      <c r="F600">
        <v>9039130.25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-0.62976406533575391</v>
      </c>
      <c r="Q600">
        <f t="shared" si="990"/>
        <v>-5692519.4133393895</v>
      </c>
      <c r="R600">
        <f t="shared" si="991"/>
        <v>-18760182.199145526</v>
      </c>
      <c r="S600">
        <f t="shared" si="992"/>
        <v>-187.60182199145527</v>
      </c>
      <c r="T600">
        <f t="shared" si="993"/>
        <v>-0.18760182199145528</v>
      </c>
    </row>
    <row r="601" spans="1:20" x14ac:dyDescent="0.25">
      <c r="A601" s="5">
        <v>43992</v>
      </c>
      <c r="B601">
        <v>0.3337</v>
      </c>
      <c r="C601">
        <v>0.3659</v>
      </c>
      <c r="D601">
        <v>0.33310000000000001</v>
      </c>
      <c r="E601">
        <v>0.36230000000000001</v>
      </c>
      <c r="F601">
        <v>7773626.7800000003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0.78048780487804925</v>
      </c>
      <c r="Q601">
        <f t="shared" si="990"/>
        <v>6067220.9014634183</v>
      </c>
      <c r="R601">
        <f t="shared" si="991"/>
        <v>-13067662.785806138</v>
      </c>
      <c r="S601">
        <f t="shared" si="992"/>
        <v>-130.67662785806138</v>
      </c>
      <c r="T601">
        <f t="shared" si="993"/>
        <v>-0.13067662785806139</v>
      </c>
    </row>
    <row r="602" spans="1:20" x14ac:dyDescent="0.25">
      <c r="A602" s="5">
        <v>43991</v>
      </c>
      <c r="B602">
        <v>0.33500000000000002</v>
      </c>
      <c r="C602">
        <v>0.3362</v>
      </c>
      <c r="D602">
        <v>0.32800000000000001</v>
      </c>
      <c r="E602">
        <v>0.33329999999999999</v>
      </c>
      <c r="F602">
        <v>2325406.0299999998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0.29268292682926367</v>
      </c>
      <c r="Q602">
        <f t="shared" si="990"/>
        <v>680606.64292681846</v>
      </c>
      <c r="R602">
        <f t="shared" si="991"/>
        <v>-19134883.687269557</v>
      </c>
      <c r="S602">
        <f t="shared" si="992"/>
        <v>-191.34883687269559</v>
      </c>
      <c r="T602">
        <f t="shared" si="993"/>
        <v>-0.19134883687269558</v>
      </c>
    </row>
    <row r="603" spans="1:20" x14ac:dyDescent="0.25">
      <c r="A603" s="5">
        <v>43990</v>
      </c>
      <c r="B603">
        <v>0.33400000000000002</v>
      </c>
      <c r="C603">
        <v>0.3352</v>
      </c>
      <c r="D603">
        <v>0.32829999999999998</v>
      </c>
      <c r="E603">
        <v>0.33500000000000002</v>
      </c>
      <c r="F603">
        <v>2137139.79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0.94202898550725289</v>
      </c>
      <c r="Q603">
        <f t="shared" si="990"/>
        <v>2013247.6282608835</v>
      </c>
      <c r="R603">
        <f t="shared" si="991"/>
        <v>-19815490.330196377</v>
      </c>
      <c r="S603">
        <f t="shared" si="992"/>
        <v>-198.15490330196377</v>
      </c>
      <c r="T603">
        <f t="shared" si="993"/>
        <v>-0.19815490330196378</v>
      </c>
    </row>
    <row r="604" spans="1:20" x14ac:dyDescent="0.25">
      <c r="A604" s="5">
        <v>43989</v>
      </c>
      <c r="B604">
        <v>0.33750000000000002</v>
      </c>
      <c r="C604">
        <v>0.33950000000000002</v>
      </c>
      <c r="D604">
        <v>0.32290000000000002</v>
      </c>
      <c r="E604">
        <v>0.33400000000000002</v>
      </c>
      <c r="F604">
        <v>2761232.54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0.33734939759036098</v>
      </c>
      <c r="Q604">
        <f t="shared" si="990"/>
        <v>931500.13397590234</v>
      </c>
      <c r="R604">
        <f t="shared" si="991"/>
        <v>-21828737.958457261</v>
      </c>
      <c r="S604">
        <f t="shared" si="992"/>
        <v>-218.28737958457262</v>
      </c>
      <c r="T604">
        <f t="shared" si="993"/>
        <v>-0.21828737958457262</v>
      </c>
    </row>
    <row r="605" spans="1:20" x14ac:dyDescent="0.25">
      <c r="A605" s="5">
        <v>43988</v>
      </c>
      <c r="B605">
        <v>0.33660000000000001</v>
      </c>
      <c r="C605">
        <v>0.34410000000000002</v>
      </c>
      <c r="D605">
        <v>0.33310000000000001</v>
      </c>
      <c r="E605">
        <v>0.33679999999999999</v>
      </c>
      <c r="F605">
        <v>3335235.93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-0.32727272727273132</v>
      </c>
      <c r="Q605">
        <f t="shared" si="990"/>
        <v>-1091531.7589091044</v>
      </c>
      <c r="R605">
        <f t="shared" si="991"/>
        <v>-22760238.092433162</v>
      </c>
      <c r="S605">
        <f t="shared" si="992"/>
        <v>-227.60238092433161</v>
      </c>
      <c r="T605">
        <f t="shared" si="993"/>
        <v>-0.2276023809243316</v>
      </c>
    </row>
    <row r="606" spans="1:20" x14ac:dyDescent="0.25">
      <c r="A606" s="5">
        <v>43987</v>
      </c>
      <c r="B606">
        <v>0.33439999999999998</v>
      </c>
      <c r="C606">
        <v>0.34300000000000003</v>
      </c>
      <c r="D606">
        <v>0.33229999999999998</v>
      </c>
      <c r="E606">
        <v>0.33679999999999999</v>
      </c>
      <c r="F606">
        <v>3088066.75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-0.15887850467289982</v>
      </c>
      <c r="Q606">
        <f t="shared" si="990"/>
        <v>-490627.42757010157</v>
      </c>
      <c r="R606">
        <f t="shared" si="991"/>
        <v>-21668706.333524056</v>
      </c>
      <c r="S606">
        <f t="shared" si="992"/>
        <v>-216.68706333524057</v>
      </c>
      <c r="T606">
        <f t="shared" si="993"/>
        <v>-0.21668706333524057</v>
      </c>
    </row>
    <row r="607" spans="1:20" x14ac:dyDescent="0.25">
      <c r="A607" s="5">
        <v>43986</v>
      </c>
      <c r="B607">
        <v>0.33910000000000001</v>
      </c>
      <c r="C607">
        <v>0.33960000000000001</v>
      </c>
      <c r="D607">
        <v>0.32950000000000002</v>
      </c>
      <c r="E607">
        <v>0.3347</v>
      </c>
      <c r="F607">
        <v>3945696.35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2.9702970297026437E-2</v>
      </c>
      <c r="Q607">
        <f t="shared" si="990"/>
        <v>117198.90148513563</v>
      </c>
      <c r="R607">
        <f t="shared" si="991"/>
        <v>-21178078.905953955</v>
      </c>
      <c r="S607">
        <f t="shared" si="992"/>
        <v>-211.78078905953956</v>
      </c>
      <c r="T607">
        <f t="shared" si="993"/>
        <v>-0.21178078905953956</v>
      </c>
    </row>
    <row r="608" spans="1:20" x14ac:dyDescent="0.25">
      <c r="A608" s="5">
        <v>43985</v>
      </c>
      <c r="B608">
        <v>0.33800000000000002</v>
      </c>
      <c r="C608">
        <v>0.34150000000000003</v>
      </c>
      <c r="D608">
        <v>0.32969999999999999</v>
      </c>
      <c r="E608">
        <v>0.33900000000000002</v>
      </c>
      <c r="F608">
        <v>3322418.09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0.57627118644067876</v>
      </c>
      <c r="Q608">
        <f t="shared" si="990"/>
        <v>1914613.8145762738</v>
      </c>
      <c r="R608">
        <f t="shared" si="991"/>
        <v>-21295277.807439089</v>
      </c>
      <c r="S608">
        <f t="shared" si="992"/>
        <v>-212.95277807439089</v>
      </c>
      <c r="T608">
        <f t="shared" si="993"/>
        <v>-0.21295277807439089</v>
      </c>
    </row>
    <row r="609" spans="1:20" x14ac:dyDescent="0.25">
      <c r="A609" s="5">
        <v>43984</v>
      </c>
      <c r="B609">
        <v>0.3422</v>
      </c>
      <c r="C609">
        <v>0.35370000000000001</v>
      </c>
      <c r="D609">
        <v>0.3221</v>
      </c>
      <c r="E609">
        <v>0.33800000000000002</v>
      </c>
      <c r="F609">
        <v>8805897.1999999993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6.3291139240516893E-3</v>
      </c>
      <c r="Q609">
        <f t="shared" si="990"/>
        <v>55733.526582287777</v>
      </c>
      <c r="R609">
        <f t="shared" si="991"/>
        <v>-23209891.622015364</v>
      </c>
      <c r="S609">
        <f t="shared" si="992"/>
        <v>-232.09891622015365</v>
      </c>
      <c r="T609">
        <f t="shared" si="993"/>
        <v>-0.23209891622015366</v>
      </c>
    </row>
    <row r="610" spans="1:20" x14ac:dyDescent="0.25">
      <c r="A610" s="5">
        <v>43983</v>
      </c>
      <c r="B610">
        <v>0.32740000000000002</v>
      </c>
      <c r="C610">
        <v>0.34649999999999997</v>
      </c>
      <c r="D610">
        <v>0.32579999999999998</v>
      </c>
      <c r="E610">
        <v>0.34229999999999999</v>
      </c>
      <c r="F610">
        <v>4830289.72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0.59420289855072639</v>
      </c>
      <c r="Q610">
        <f t="shared" si="990"/>
        <v>2870172.1524637765</v>
      </c>
      <c r="R610">
        <f t="shared" si="991"/>
        <v>-23265625.148597654</v>
      </c>
      <c r="S610">
        <f t="shared" si="992"/>
        <v>-232.65625148597653</v>
      </c>
      <c r="T610">
        <f t="shared" si="993"/>
        <v>-0.23265625148597652</v>
      </c>
    </row>
    <row r="611" spans="1:20" x14ac:dyDescent="0.25">
      <c r="A611" s="5">
        <v>43982</v>
      </c>
      <c r="B611">
        <v>0.35770000000000002</v>
      </c>
      <c r="C611">
        <v>0.35899999999999999</v>
      </c>
      <c r="D611">
        <v>0.32340000000000002</v>
      </c>
      <c r="E611">
        <v>0.32719999999999999</v>
      </c>
      <c r="F611">
        <v>9309044.0700000003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-0.78651685393258575</v>
      </c>
      <c r="Q611">
        <f t="shared" si="990"/>
        <v>-7321720.0550561938</v>
      </c>
      <c r="R611">
        <f t="shared" si="991"/>
        <v>-26135797.301061429</v>
      </c>
      <c r="S611">
        <f t="shared" si="992"/>
        <v>-261.35797301061427</v>
      </c>
      <c r="T611">
        <f t="shared" si="993"/>
        <v>-0.26135797301061425</v>
      </c>
    </row>
    <row r="612" spans="1:20" x14ac:dyDescent="0.25">
      <c r="A612" s="5">
        <v>43981</v>
      </c>
      <c r="B612">
        <v>0.34920000000000001</v>
      </c>
      <c r="C612">
        <v>0.35970000000000002</v>
      </c>
      <c r="D612">
        <v>0.34660000000000002</v>
      </c>
      <c r="E612">
        <v>0.3579</v>
      </c>
      <c r="F612">
        <v>5490039.54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0.72519083969465281</v>
      </c>
      <c r="Q612">
        <f t="shared" si="990"/>
        <v>3981326.3839694457</v>
      </c>
      <c r="R612">
        <f t="shared" si="991"/>
        <v>-18814077.246005237</v>
      </c>
      <c r="S612">
        <f t="shared" si="992"/>
        <v>-188.14077246005237</v>
      </c>
      <c r="T612">
        <f t="shared" si="993"/>
        <v>-0.18814077246005237</v>
      </c>
    </row>
    <row r="613" spans="1:20" x14ac:dyDescent="0.25">
      <c r="A613" s="5">
        <v>43980</v>
      </c>
      <c r="B613">
        <v>0.3533</v>
      </c>
      <c r="C613">
        <v>0.36799999999999999</v>
      </c>
      <c r="D613">
        <v>0.3422</v>
      </c>
      <c r="E613">
        <v>0.34920000000000001</v>
      </c>
      <c r="F613">
        <v>7577637.7300000004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-0.45736434108527063</v>
      </c>
      <c r="Q613">
        <f t="shared" si="990"/>
        <v>-3465741.2873643362</v>
      </c>
      <c r="R613">
        <f t="shared" si="991"/>
        <v>-22795403.629974682</v>
      </c>
      <c r="S613">
        <f t="shared" si="992"/>
        <v>-227.95403629974683</v>
      </c>
      <c r="T613">
        <f t="shared" si="993"/>
        <v>-0.22795403629974684</v>
      </c>
    </row>
    <row r="614" spans="1:20" x14ac:dyDescent="0.25">
      <c r="A614" s="5">
        <v>43979</v>
      </c>
      <c r="B614">
        <v>0.33810000000000001</v>
      </c>
      <c r="C614">
        <v>0.36820000000000003</v>
      </c>
      <c r="D614">
        <v>0.33710000000000001</v>
      </c>
      <c r="E614">
        <v>0.35270000000000001</v>
      </c>
      <c r="F614">
        <v>11204767.74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3.2154340836009305E-3</v>
      </c>
      <c r="Q614">
        <f t="shared" si="990"/>
        <v>36028.192090028169</v>
      </c>
      <c r="R614">
        <f t="shared" si="991"/>
        <v>-19329662.342610344</v>
      </c>
      <c r="S614">
        <f t="shared" si="992"/>
        <v>-193.29662342610345</v>
      </c>
      <c r="T614">
        <f t="shared" si="993"/>
        <v>-0.19329662342610346</v>
      </c>
    </row>
    <row r="615" spans="1:20" x14ac:dyDescent="0.25">
      <c r="A615" s="5">
        <v>43978</v>
      </c>
      <c r="B615">
        <v>0.34089999999999998</v>
      </c>
      <c r="C615">
        <v>0.34200000000000003</v>
      </c>
      <c r="D615">
        <v>0.3221</v>
      </c>
      <c r="E615">
        <v>0.33879999999999999</v>
      </c>
      <c r="F615">
        <v>8171782.0199999996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0.67839195979899181</v>
      </c>
      <c r="Q615">
        <f t="shared" si="990"/>
        <v>5543671.2195979636</v>
      </c>
      <c r="R615">
        <f t="shared" si="991"/>
        <v>-19365690.534700371</v>
      </c>
      <c r="S615">
        <f t="shared" si="992"/>
        <v>-193.65690534700371</v>
      </c>
      <c r="T615">
        <f t="shared" si="993"/>
        <v>-0.19365690534700372</v>
      </c>
    </row>
    <row r="616" spans="1:20" x14ac:dyDescent="0.25">
      <c r="A616" s="5">
        <v>43977</v>
      </c>
      <c r="B616">
        <v>0.33250000000000002</v>
      </c>
      <c r="C616">
        <v>0.35720000000000002</v>
      </c>
      <c r="D616">
        <v>0.3276</v>
      </c>
      <c r="E616">
        <v>0.34079999999999999</v>
      </c>
      <c r="F616">
        <v>10048028.470000001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-0.10810810810810928</v>
      </c>
      <c r="Q616">
        <f t="shared" si="990"/>
        <v>-1086273.34810812</v>
      </c>
      <c r="R616">
        <f t="shared" si="991"/>
        <v>-24909361.754298337</v>
      </c>
      <c r="S616">
        <f t="shared" si="992"/>
        <v>-249.09361754298337</v>
      </c>
      <c r="T616">
        <f t="shared" si="993"/>
        <v>-0.24909361754298337</v>
      </c>
    </row>
    <row r="617" spans="1:20" x14ac:dyDescent="0.25">
      <c r="A617" s="5">
        <v>43976</v>
      </c>
      <c r="B617">
        <v>0.30320000000000003</v>
      </c>
      <c r="C617">
        <v>0.3458</v>
      </c>
      <c r="D617">
        <v>0.29680000000000001</v>
      </c>
      <c r="E617">
        <v>0.33179999999999998</v>
      </c>
      <c r="F617">
        <v>14568860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0.42857142857142794</v>
      </c>
      <c r="Q617">
        <f t="shared" si="990"/>
        <v>6243797.1428571334</v>
      </c>
      <c r="R617">
        <f t="shared" si="991"/>
        <v>-23823088.406190217</v>
      </c>
      <c r="S617">
        <f t="shared" si="992"/>
        <v>-238.23088406190217</v>
      </c>
      <c r="T617">
        <f t="shared" si="993"/>
        <v>-0.23823088406190218</v>
      </c>
    </row>
    <row r="618" spans="1:20" x14ac:dyDescent="0.25">
      <c r="A618" s="5">
        <v>43975</v>
      </c>
      <c r="B618">
        <v>0.31979999999999997</v>
      </c>
      <c r="C618">
        <v>0.34499999999999997</v>
      </c>
      <c r="D618">
        <v>0.2989</v>
      </c>
      <c r="E618">
        <v>0.30330000000000001</v>
      </c>
      <c r="F618">
        <v>13611145.84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-0.8091106290672444</v>
      </c>
      <c r="Q618">
        <f t="shared" si="990"/>
        <v>-11012922.772928407</v>
      </c>
      <c r="R618">
        <f t="shared" si="991"/>
        <v>-30066885.549047351</v>
      </c>
      <c r="S618">
        <f t="shared" si="992"/>
        <v>-300.6688554904735</v>
      </c>
      <c r="T618">
        <f t="shared" si="993"/>
        <v>-0.30066885549047351</v>
      </c>
    </row>
    <row r="619" spans="1:20" x14ac:dyDescent="0.25">
      <c r="A619" s="5">
        <v>43974</v>
      </c>
      <c r="B619">
        <v>0.32540000000000002</v>
      </c>
      <c r="C619">
        <v>0.32969999999999999</v>
      </c>
      <c r="D619">
        <v>0.31019999999999998</v>
      </c>
      <c r="E619">
        <v>0.31909999999999999</v>
      </c>
      <c r="F619">
        <v>7556133.8200000003</v>
      </c>
      <c r="G619">
        <v>0</v>
      </c>
      <c r="L619" t="s">
        <v>7</v>
      </c>
      <c r="M619" t="s">
        <v>7</v>
      </c>
      <c r="N619" t="s">
        <v>8</v>
      </c>
      <c r="P619">
        <f t="shared" si="989"/>
        <v>-8.7179487179486037E-2</v>
      </c>
      <c r="Q619">
        <f t="shared" si="990"/>
        <v>-658739.87148717092</v>
      </c>
      <c r="R619">
        <f t="shared" si="991"/>
        <v>-19053962.776118942</v>
      </c>
      <c r="S619">
        <f t="shared" si="992"/>
        <v>-190.53962776118942</v>
      </c>
      <c r="T619">
        <f t="shared" si="993"/>
        <v>-0.19053962776118943</v>
      </c>
    </row>
    <row r="620" spans="1:20" x14ac:dyDescent="0.25">
      <c r="A620" s="5">
        <v>43973</v>
      </c>
      <c r="B620">
        <v>0.309</v>
      </c>
      <c r="C620">
        <v>0.33560000000000001</v>
      </c>
      <c r="D620">
        <v>0.29749999999999999</v>
      </c>
      <c r="E620">
        <v>0.32540000000000002</v>
      </c>
      <c r="F620">
        <v>12303699.550000001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0.46456692913385927</v>
      </c>
      <c r="Q620">
        <f t="shared" si="990"/>
        <v>5715891.9169291463</v>
      </c>
      <c r="R620">
        <f t="shared" si="991"/>
        <v>-18395222.904631771</v>
      </c>
      <c r="S620">
        <f t="shared" si="992"/>
        <v>-183.95222904631771</v>
      </c>
      <c r="T620">
        <f t="shared" si="993"/>
        <v>-0.18395222904631772</v>
      </c>
    </row>
    <row r="621" spans="1:20" x14ac:dyDescent="0.25">
      <c r="A621" s="5">
        <v>43972</v>
      </c>
      <c r="B621">
        <v>0.34110000000000001</v>
      </c>
      <c r="C621">
        <v>0.35089999999999999</v>
      </c>
      <c r="D621">
        <v>0.28739999999999999</v>
      </c>
      <c r="E621">
        <v>0.30830000000000002</v>
      </c>
      <c r="F621">
        <v>18577608.039999999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-0.34173228346456602</v>
      </c>
      <c r="Q621">
        <f t="shared" si="990"/>
        <v>-6348568.4168188805</v>
      </c>
      <c r="R621">
        <f t="shared" si="991"/>
        <v>-24111114.821560916</v>
      </c>
      <c r="S621">
        <f t="shared" si="992"/>
        <v>-241.11114821560915</v>
      </c>
      <c r="T621">
        <f t="shared" si="993"/>
        <v>-0.24111114821560914</v>
      </c>
    </row>
    <row r="622" spans="1:20" x14ac:dyDescent="0.25">
      <c r="A622" s="5">
        <v>43971</v>
      </c>
      <c r="B622">
        <v>0.29659999999999997</v>
      </c>
      <c r="C622">
        <v>0.35780000000000001</v>
      </c>
      <c r="D622">
        <v>0.29399999999999998</v>
      </c>
      <c r="E622">
        <v>0.34100000000000003</v>
      </c>
      <c r="F622">
        <v>27563358.52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0.47335423197492238</v>
      </c>
      <c r="Q622">
        <f t="shared" si="990"/>
        <v>13047232.402884033</v>
      </c>
      <c r="R622">
        <f t="shared" si="991"/>
        <v>-17762546.404742036</v>
      </c>
      <c r="S622">
        <f t="shared" si="992"/>
        <v>-177.62546404742037</v>
      </c>
      <c r="T622">
        <f t="shared" si="993"/>
        <v>-0.17762546404742036</v>
      </c>
    </row>
    <row r="623" spans="1:20" x14ac:dyDescent="0.25">
      <c r="A623" s="5">
        <v>43970</v>
      </c>
      <c r="B623">
        <v>0.28660000000000002</v>
      </c>
      <c r="C623">
        <v>0.29849999999999999</v>
      </c>
      <c r="D623">
        <v>0.28420000000000001</v>
      </c>
      <c r="E623">
        <v>0.29609999999999997</v>
      </c>
      <c r="F623">
        <v>8910356.7599999998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0.66433566433566205</v>
      </c>
      <c r="Q623">
        <f t="shared" si="990"/>
        <v>5919467.777622357</v>
      </c>
      <c r="R623">
        <f t="shared" si="991"/>
        <v>-30809778.807626069</v>
      </c>
      <c r="S623">
        <f t="shared" si="992"/>
        <v>-308.09778807626071</v>
      </c>
      <c r="T623">
        <f t="shared" si="993"/>
        <v>-0.3080977880762607</v>
      </c>
    </row>
    <row r="624" spans="1:20" x14ac:dyDescent="0.25">
      <c r="A624" s="5">
        <v>43969</v>
      </c>
      <c r="B624">
        <v>0.27750000000000002</v>
      </c>
      <c r="C624">
        <v>0.28999999999999998</v>
      </c>
      <c r="D624">
        <v>0.27639999999999998</v>
      </c>
      <c r="E624">
        <v>0.28660000000000002</v>
      </c>
      <c r="F624">
        <v>4632424.45</v>
      </c>
      <c r="G624">
        <v>0</v>
      </c>
      <c r="L624" t="s">
        <v>8</v>
      </c>
      <c r="M624" t="s">
        <v>8</v>
      </c>
      <c r="N624" t="s">
        <v>7</v>
      </c>
      <c r="P624">
        <f t="shared" si="989"/>
        <v>0.50000000000000611</v>
      </c>
      <c r="Q624">
        <f t="shared" si="990"/>
        <v>2316212.2250000285</v>
      </c>
      <c r="R624">
        <f t="shared" si="991"/>
        <v>-36729246.585248426</v>
      </c>
      <c r="S624">
        <f t="shared" si="992"/>
        <v>-367.29246585248427</v>
      </c>
      <c r="T624">
        <f t="shared" si="993"/>
        <v>-0.36729246585248426</v>
      </c>
    </row>
    <row r="625" spans="1:20" x14ac:dyDescent="0.25">
      <c r="A625" s="5">
        <v>43968</v>
      </c>
      <c r="B625">
        <v>0.27210000000000001</v>
      </c>
      <c r="C625">
        <v>0.28110000000000002</v>
      </c>
      <c r="D625">
        <v>0.2702</v>
      </c>
      <c r="E625">
        <v>0.27700000000000002</v>
      </c>
      <c r="F625">
        <v>4140495.29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0.24770642201835144</v>
      </c>
      <c r="Q625">
        <f t="shared" si="990"/>
        <v>1025627.2736697365</v>
      </c>
      <c r="R625">
        <f t="shared" si="991"/>
        <v>-39045458.810248457</v>
      </c>
      <c r="S625">
        <f t="shared" si="992"/>
        <v>-390.45458810248459</v>
      </c>
      <c r="T625">
        <f t="shared" si="993"/>
        <v>-0.39045458810248457</v>
      </c>
    </row>
    <row r="626" spans="1:20" x14ac:dyDescent="0.25">
      <c r="A626" s="5">
        <v>43967</v>
      </c>
      <c r="B626">
        <v>0.26910000000000001</v>
      </c>
      <c r="C626">
        <v>0.27889999999999998</v>
      </c>
      <c r="D626">
        <v>0.26600000000000001</v>
      </c>
      <c r="E626">
        <v>0.27250000000000002</v>
      </c>
      <c r="F626">
        <v>4097159.94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7.7519379844995934E-3</v>
      </c>
      <c r="Q626">
        <f t="shared" si="990"/>
        <v>31760.929767456073</v>
      </c>
      <c r="R626">
        <f t="shared" si="991"/>
        <v>-40071086.083918191</v>
      </c>
      <c r="S626">
        <f t="shared" si="992"/>
        <v>-400.71086083918192</v>
      </c>
      <c r="T626">
        <f t="shared" si="993"/>
        <v>-0.40071086083918189</v>
      </c>
    </row>
    <row r="627" spans="1:20" x14ac:dyDescent="0.25">
      <c r="A627" s="5">
        <v>43966</v>
      </c>
      <c r="B627">
        <v>0.26850000000000002</v>
      </c>
      <c r="C627">
        <v>0.27810000000000001</v>
      </c>
      <c r="D627">
        <v>0.25640000000000002</v>
      </c>
      <c r="E627">
        <v>0.26900000000000002</v>
      </c>
      <c r="F627">
        <v>6015291.8300000001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0.16129032258064532</v>
      </c>
      <c r="Q627">
        <f t="shared" si="990"/>
        <v>970208.35967742035</v>
      </c>
      <c r="R627">
        <f t="shared" si="991"/>
        <v>-40102847.013685651</v>
      </c>
      <c r="S627">
        <f t="shared" si="992"/>
        <v>-401.02847013685653</v>
      </c>
      <c r="T627">
        <f t="shared" si="993"/>
        <v>-0.40102847013685655</v>
      </c>
    </row>
    <row r="628" spans="1:20" x14ac:dyDescent="0.25">
      <c r="A628" s="5">
        <v>43965</v>
      </c>
      <c r="B628">
        <v>0.27110000000000001</v>
      </c>
      <c r="C628">
        <v>0.2747</v>
      </c>
      <c r="D628">
        <v>0.26290000000000002</v>
      </c>
      <c r="E628">
        <v>0.26850000000000002</v>
      </c>
      <c r="F628">
        <v>4318773.24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-5.0847457627117849E-2</v>
      </c>
      <c r="Q628">
        <f t="shared" si="990"/>
        <v>-219598.63932203047</v>
      </c>
      <c r="R628">
        <f t="shared" si="991"/>
        <v>-41073055.37336307</v>
      </c>
      <c r="S628">
        <f t="shared" si="992"/>
        <v>-410.7305537336307</v>
      </c>
      <c r="T628">
        <f t="shared" si="993"/>
        <v>-0.41073055373363071</v>
      </c>
    </row>
    <row r="629" spans="1:20" x14ac:dyDescent="0.25">
      <c r="A629" s="5">
        <v>43964</v>
      </c>
      <c r="B629">
        <v>0.26350000000000001</v>
      </c>
      <c r="C629">
        <v>0.27239999999999998</v>
      </c>
      <c r="D629">
        <v>0.25900000000000001</v>
      </c>
      <c r="E629">
        <v>0.2712</v>
      </c>
      <c r="F629">
        <v>4095357.97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0.8208955223880624</v>
      </c>
      <c r="Q629">
        <f t="shared" si="990"/>
        <v>3361861.020149265</v>
      </c>
      <c r="R629">
        <f t="shared" si="991"/>
        <v>-40853456.734041043</v>
      </c>
      <c r="S629">
        <f t="shared" si="992"/>
        <v>-408.53456734041043</v>
      </c>
      <c r="T629">
        <f t="shared" si="993"/>
        <v>-0.40853456734041044</v>
      </c>
    </row>
    <row r="630" spans="1:20" x14ac:dyDescent="0.25">
      <c r="A630" s="5">
        <v>43963</v>
      </c>
      <c r="B630">
        <v>0.25209999999999999</v>
      </c>
      <c r="C630">
        <v>0.26750000000000002</v>
      </c>
      <c r="D630">
        <v>0.24979999999999999</v>
      </c>
      <c r="E630">
        <v>0.26400000000000001</v>
      </c>
      <c r="F630">
        <v>4391236.78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0.60451977401129953</v>
      </c>
      <c r="Q630">
        <f t="shared" si="990"/>
        <v>2654589.4658757066</v>
      </c>
      <c r="R630">
        <f t="shared" si="991"/>
        <v>-44215317.754190311</v>
      </c>
      <c r="S630">
        <f t="shared" si="992"/>
        <v>-442.15317754190312</v>
      </c>
      <c r="T630">
        <f t="shared" si="993"/>
        <v>-0.44215317754190314</v>
      </c>
    </row>
    <row r="631" spans="1:20" x14ac:dyDescent="0.25">
      <c r="A631" s="5">
        <v>43962</v>
      </c>
      <c r="B631">
        <v>0.26429999999999998</v>
      </c>
      <c r="C631">
        <v>0.26939999999999997</v>
      </c>
      <c r="D631">
        <v>0.23139999999999999</v>
      </c>
      <c r="E631">
        <v>0.2515</v>
      </c>
      <c r="F631">
        <v>8096494.3499999996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5.7894736842106227E-2</v>
      </c>
      <c r="Q631">
        <f t="shared" si="990"/>
        <v>468744.40973684989</v>
      </c>
      <c r="R631">
        <f t="shared" si="991"/>
        <v>-46869907.220066018</v>
      </c>
      <c r="S631">
        <f t="shared" si="992"/>
        <v>-468.69907220066017</v>
      </c>
      <c r="T631">
        <f t="shared" si="993"/>
        <v>-0.46869907220066015</v>
      </c>
    </row>
    <row r="632" spans="1:20" x14ac:dyDescent="0.25">
      <c r="A632" s="5">
        <v>43961</v>
      </c>
      <c r="B632">
        <v>0.2954</v>
      </c>
      <c r="C632">
        <v>0.29580000000000001</v>
      </c>
      <c r="D632">
        <v>0.24440000000000001</v>
      </c>
      <c r="E632">
        <v>0.26319999999999999</v>
      </c>
      <c r="F632">
        <v>10253870.199999999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-0.2684824902723742</v>
      </c>
      <c r="Q632">
        <f t="shared" si="990"/>
        <v>-2752984.6062256875</v>
      </c>
      <c r="R632">
        <f t="shared" si="991"/>
        <v>-47338651.629802868</v>
      </c>
      <c r="S632">
        <f t="shared" si="992"/>
        <v>-473.38651629802865</v>
      </c>
      <c r="T632">
        <f t="shared" si="993"/>
        <v>-0.47338651629802864</v>
      </c>
    </row>
    <row r="633" spans="1:20" x14ac:dyDescent="0.25">
      <c r="A633" s="5">
        <v>43960</v>
      </c>
      <c r="B633">
        <v>0.30120000000000002</v>
      </c>
      <c r="C633">
        <v>0.30909999999999999</v>
      </c>
      <c r="D633">
        <v>0.28820000000000001</v>
      </c>
      <c r="E633">
        <v>0.2954</v>
      </c>
      <c r="F633">
        <v>6079659.7000000002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-0.31100478468899589</v>
      </c>
      <c r="Q633">
        <f t="shared" si="990"/>
        <v>-1890803.2559808653</v>
      </c>
      <c r="R633">
        <f t="shared" si="991"/>
        <v>-44585667.023577183</v>
      </c>
      <c r="S633">
        <f t="shared" si="992"/>
        <v>-445.85667023577184</v>
      </c>
      <c r="T633">
        <f t="shared" si="993"/>
        <v>-0.44585667023577186</v>
      </c>
    </row>
    <row r="634" spans="1:20" x14ac:dyDescent="0.25">
      <c r="A634" s="5">
        <v>43959</v>
      </c>
      <c r="B634">
        <v>0.27939999999999998</v>
      </c>
      <c r="C634">
        <v>0.3231</v>
      </c>
      <c r="D634">
        <v>0.27929999999999999</v>
      </c>
      <c r="E634">
        <v>0.30180000000000001</v>
      </c>
      <c r="F634">
        <v>23653939.559999999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2.7397260273973385E-2</v>
      </c>
      <c r="Q634">
        <f t="shared" si="990"/>
        <v>648053.13863015547</v>
      </c>
      <c r="R634">
        <f t="shared" si="991"/>
        <v>-42694863.767596319</v>
      </c>
      <c r="S634">
        <f t="shared" si="992"/>
        <v>-426.9486376759632</v>
      </c>
      <c r="T634">
        <f t="shared" si="993"/>
        <v>-0.42694863767596319</v>
      </c>
    </row>
    <row r="635" spans="1:20" x14ac:dyDescent="0.25">
      <c r="A635" s="5">
        <v>43958</v>
      </c>
      <c r="B635">
        <v>0.26119999999999999</v>
      </c>
      <c r="C635">
        <v>0.28499999999999998</v>
      </c>
      <c r="D635">
        <v>0.2576</v>
      </c>
      <c r="E635">
        <v>0.28010000000000002</v>
      </c>
      <c r="F635">
        <v>5278104.0199999996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0.64233576642336032</v>
      </c>
      <c r="Q635">
        <f t="shared" si="990"/>
        <v>3390314.9909489187</v>
      </c>
      <c r="R635">
        <f t="shared" si="991"/>
        <v>-43342916.906226479</v>
      </c>
      <c r="S635">
        <f t="shared" si="992"/>
        <v>-433.4291690622648</v>
      </c>
      <c r="T635">
        <f t="shared" si="993"/>
        <v>-0.43342916906226481</v>
      </c>
    </row>
    <row r="636" spans="1:20" x14ac:dyDescent="0.25">
      <c r="A636" s="5">
        <v>43957</v>
      </c>
      <c r="B636">
        <v>0.2742</v>
      </c>
      <c r="C636">
        <v>0.27629999999999999</v>
      </c>
      <c r="D636">
        <v>0.2601</v>
      </c>
      <c r="E636">
        <v>0.26129999999999998</v>
      </c>
      <c r="F636">
        <v>3314396.44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-0.85185185185185441</v>
      </c>
      <c r="Q636">
        <f t="shared" si="990"/>
        <v>-2823374.7451851936</v>
      </c>
      <c r="R636">
        <f t="shared" si="991"/>
        <v>-46733231.897175394</v>
      </c>
      <c r="S636">
        <f t="shared" si="992"/>
        <v>-467.33231897175392</v>
      </c>
      <c r="T636">
        <f t="shared" si="993"/>
        <v>-0.46733231897175392</v>
      </c>
    </row>
    <row r="637" spans="1:20" x14ac:dyDescent="0.25">
      <c r="A637" s="5">
        <v>43956</v>
      </c>
      <c r="B637">
        <v>0.27579999999999999</v>
      </c>
      <c r="C637">
        <v>0.28170000000000001</v>
      </c>
      <c r="D637">
        <v>0.26740000000000003</v>
      </c>
      <c r="E637">
        <v>0.2742</v>
      </c>
      <c r="F637">
        <v>3133117.91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-4.8951048951051394E-2</v>
      </c>
      <c r="Q637">
        <f t="shared" si="990"/>
        <v>-153369.40818182586</v>
      </c>
      <c r="R637">
        <f t="shared" si="991"/>
        <v>-43909857.151990198</v>
      </c>
      <c r="S637">
        <f t="shared" si="992"/>
        <v>-439.09857151990195</v>
      </c>
      <c r="T637">
        <f t="shared" si="993"/>
        <v>-0.43909857151990195</v>
      </c>
    </row>
    <row r="638" spans="1:20" x14ac:dyDescent="0.25">
      <c r="A638" s="5">
        <v>43955</v>
      </c>
      <c r="B638">
        <v>0.2742</v>
      </c>
      <c r="C638">
        <v>0.27829999999999999</v>
      </c>
      <c r="D638">
        <v>0.2555</v>
      </c>
      <c r="E638">
        <v>0.27560000000000001</v>
      </c>
      <c r="F638">
        <v>6049026.4500000002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0.7631578947368437</v>
      </c>
      <c r="Q638">
        <f t="shared" si="990"/>
        <v>4616362.2907894831</v>
      </c>
      <c r="R638">
        <f t="shared" si="991"/>
        <v>-43756487.743808374</v>
      </c>
      <c r="S638">
        <f t="shared" si="992"/>
        <v>-437.56487743808373</v>
      </c>
      <c r="T638">
        <f t="shared" si="993"/>
        <v>-0.4375648774380837</v>
      </c>
    </row>
    <row r="639" spans="1:20" x14ac:dyDescent="0.25">
      <c r="A639" s="5">
        <v>43954</v>
      </c>
      <c r="B639">
        <v>0.29060000000000002</v>
      </c>
      <c r="C639">
        <v>0.29110000000000003</v>
      </c>
      <c r="D639">
        <v>0.26719999999999999</v>
      </c>
      <c r="E639">
        <v>0.27379999999999999</v>
      </c>
      <c r="F639">
        <v>5353777.58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-0.44769874476987565</v>
      </c>
      <c r="Q639">
        <f t="shared" si="990"/>
        <v>-2396879.5023431024</v>
      </c>
      <c r="R639">
        <f t="shared" si="991"/>
        <v>-48372850.034597859</v>
      </c>
      <c r="S639">
        <f t="shared" si="992"/>
        <v>-483.7285003459786</v>
      </c>
      <c r="T639">
        <f t="shared" si="993"/>
        <v>-0.48372850034597858</v>
      </c>
    </row>
    <row r="640" spans="1:20" x14ac:dyDescent="0.25">
      <c r="A640" s="5">
        <v>43953</v>
      </c>
      <c r="B640">
        <v>0.28410000000000002</v>
      </c>
      <c r="C640">
        <v>0.29120000000000001</v>
      </c>
      <c r="D640">
        <v>0.28100000000000003</v>
      </c>
      <c r="E640">
        <v>0.29060000000000002</v>
      </c>
      <c r="F640">
        <v>4669206.8600000003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0.88235294117647256</v>
      </c>
      <c r="Q640">
        <f t="shared" si="990"/>
        <v>4119888.4058823623</v>
      </c>
      <c r="R640">
        <f t="shared" si="991"/>
        <v>-45975970.532254755</v>
      </c>
      <c r="S640">
        <f t="shared" si="992"/>
        <v>-459.75970532254757</v>
      </c>
      <c r="T640">
        <f t="shared" si="993"/>
        <v>-0.45975970532254756</v>
      </c>
    </row>
    <row r="641" spans="1:20" x14ac:dyDescent="0.25">
      <c r="A641" s="5">
        <v>43952</v>
      </c>
      <c r="B641">
        <v>0.2782</v>
      </c>
      <c r="C641">
        <v>0.29349999999999998</v>
      </c>
      <c r="D641">
        <v>0.27800000000000002</v>
      </c>
      <c r="E641">
        <v>0.28410000000000002</v>
      </c>
      <c r="F641">
        <v>5623946.5199999996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-0.21290322580645021</v>
      </c>
      <c r="Q641">
        <f t="shared" si="990"/>
        <v>-1197356.3558709598</v>
      </c>
      <c r="R641">
        <f t="shared" si="991"/>
        <v>-50095858.938137114</v>
      </c>
      <c r="S641">
        <f t="shared" si="992"/>
        <v>-500.95858938137116</v>
      </c>
      <c r="T641">
        <f t="shared" si="993"/>
        <v>-0.50095858938137117</v>
      </c>
    </row>
    <row r="642" spans="1:20" x14ac:dyDescent="0.25">
      <c r="A642" s="5">
        <v>43951</v>
      </c>
      <c r="B642">
        <v>0.29859999999999998</v>
      </c>
      <c r="C642">
        <v>0.309</v>
      </c>
      <c r="D642">
        <v>0.2727</v>
      </c>
      <c r="E642">
        <v>0.27860000000000001</v>
      </c>
      <c r="F642">
        <v>11400076.48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-0.67493112947658307</v>
      </c>
      <c r="Q642">
        <f t="shared" si="990"/>
        <v>-7694266.4947658293</v>
      </c>
      <c r="R642">
        <f t="shared" si="991"/>
        <v>-48898502.582266152</v>
      </c>
      <c r="S642">
        <f t="shared" si="992"/>
        <v>-488.9850258226615</v>
      </c>
      <c r="T642">
        <f t="shared" si="993"/>
        <v>-0.48898502582266151</v>
      </c>
    </row>
    <row r="643" spans="1:20" x14ac:dyDescent="0.25">
      <c r="A643" s="5">
        <v>43950</v>
      </c>
      <c r="B643">
        <v>0.2838</v>
      </c>
      <c r="C643">
        <v>0.30270000000000002</v>
      </c>
      <c r="D643">
        <v>0.28220000000000001</v>
      </c>
      <c r="E643">
        <v>0.29899999999999999</v>
      </c>
      <c r="F643">
        <v>11094750.98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0.63902439024389923</v>
      </c>
      <c r="Q643">
        <f t="shared" si="990"/>
        <v>7089816.4799024034</v>
      </c>
      <c r="R643">
        <f t="shared" si="991"/>
        <v>-41204236.087500319</v>
      </c>
      <c r="S643">
        <f t="shared" si="992"/>
        <v>-412.04236087500317</v>
      </c>
      <c r="T643">
        <f t="shared" si="993"/>
        <v>-0.41204236087500318</v>
      </c>
    </row>
    <row r="644" spans="1:20" x14ac:dyDescent="0.25">
      <c r="A644" s="5">
        <v>43949</v>
      </c>
      <c r="B644">
        <v>0.2908</v>
      </c>
      <c r="C644">
        <v>0.2913</v>
      </c>
      <c r="D644">
        <v>0.27400000000000002</v>
      </c>
      <c r="E644">
        <v>0.28389999999999999</v>
      </c>
      <c r="F644">
        <v>5613709.4800000004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0.14450867052022828</v>
      </c>
      <c r="Q644">
        <f t="shared" si="990"/>
        <v>811229.69364160206</v>
      </c>
      <c r="R644">
        <f t="shared" si="991"/>
        <v>-48294052.56740272</v>
      </c>
      <c r="S644">
        <f t="shared" si="992"/>
        <v>-482.94052567402719</v>
      </c>
      <c r="T644">
        <f t="shared" si="993"/>
        <v>-0.48294052567402718</v>
      </c>
    </row>
    <row r="645" spans="1:20" x14ac:dyDescent="0.25">
      <c r="A645" s="5">
        <v>43948</v>
      </c>
      <c r="B645">
        <v>0.29930000000000001</v>
      </c>
      <c r="C645">
        <v>0.30099999999999999</v>
      </c>
      <c r="D645">
        <v>0.27089999999999997</v>
      </c>
      <c r="E645">
        <v>0.29070000000000001</v>
      </c>
      <c r="F645">
        <v>7872246.46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0.31561461794020129</v>
      </c>
      <c r="Q645">
        <f t="shared" si="990"/>
        <v>2484596.0588040021</v>
      </c>
      <c r="R645">
        <f t="shared" si="991"/>
        <v>-49105282.261044323</v>
      </c>
      <c r="S645">
        <f t="shared" si="992"/>
        <v>-491.05282261044323</v>
      </c>
      <c r="T645">
        <f t="shared" si="993"/>
        <v>-0.49105282261044325</v>
      </c>
    </row>
    <row r="646" spans="1:20" x14ac:dyDescent="0.25">
      <c r="A646" s="5">
        <v>43947</v>
      </c>
      <c r="B646">
        <v>0.27210000000000001</v>
      </c>
      <c r="C646">
        <v>0.31119999999999998</v>
      </c>
      <c r="D646">
        <v>0.27129999999999999</v>
      </c>
      <c r="E646">
        <v>0.2989</v>
      </c>
      <c r="F646">
        <v>13191422.98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0.38345864661654233</v>
      </c>
      <c r="Q646">
        <f t="shared" ref="Q646:Q709" si="995">F646*P646</f>
        <v>5058365.2028571563</v>
      </c>
      <c r="R646">
        <f t="shared" ref="R646:R709" si="996">R647+Q646</f>
        <v>-51589878.319848329</v>
      </c>
      <c r="S646">
        <f t="shared" ref="S646:S709" si="997">R646/100000</f>
        <v>-515.89878319848333</v>
      </c>
      <c r="T646">
        <f t="shared" ref="T646:T709" si="998">S646/1000</f>
        <v>-0.51589878319848337</v>
      </c>
    </row>
    <row r="647" spans="1:20" x14ac:dyDescent="0.25">
      <c r="A647" s="5">
        <v>43946</v>
      </c>
      <c r="B647">
        <v>0.26500000000000001</v>
      </c>
      <c r="C647">
        <v>0.28739999999999999</v>
      </c>
      <c r="D647">
        <v>0.26150000000000001</v>
      </c>
      <c r="E647">
        <v>0.2722</v>
      </c>
      <c r="F647">
        <v>6907820.5999999996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-0.17374517374517404</v>
      </c>
      <c r="Q647">
        <f t="shared" si="995"/>
        <v>-1200200.4903474923</v>
      </c>
      <c r="R647">
        <f t="shared" si="996"/>
        <v>-56648243.522705488</v>
      </c>
      <c r="S647">
        <f t="shared" si="997"/>
        <v>-566.48243522705491</v>
      </c>
      <c r="T647">
        <f t="shared" si="998"/>
        <v>-0.56648243522705488</v>
      </c>
    </row>
    <row r="648" spans="1:20" x14ac:dyDescent="0.25">
      <c r="A648" s="5">
        <v>43945</v>
      </c>
      <c r="B648">
        <v>0.24859999999999999</v>
      </c>
      <c r="C648">
        <v>0.28439999999999999</v>
      </c>
      <c r="D648">
        <v>0.24859999999999999</v>
      </c>
      <c r="E648">
        <v>0.26500000000000001</v>
      </c>
      <c r="F648">
        <v>13706322.83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-8.379888268156277E-2</v>
      </c>
      <c r="Q648">
        <f t="shared" si="995"/>
        <v>-1148574.5388267955</v>
      </c>
      <c r="R648">
        <f t="shared" si="996"/>
        <v>-55448043.032357998</v>
      </c>
      <c r="S648">
        <f t="shared" si="997"/>
        <v>-554.48043032357998</v>
      </c>
      <c r="T648">
        <f t="shared" si="998"/>
        <v>-0.55448043032357996</v>
      </c>
    </row>
    <row r="649" spans="1:20" x14ac:dyDescent="0.25">
      <c r="A649" s="5">
        <v>43944</v>
      </c>
      <c r="B649">
        <v>0.23719999999999999</v>
      </c>
      <c r="C649">
        <v>0.25829999999999997</v>
      </c>
      <c r="D649">
        <v>0.2334</v>
      </c>
      <c r="E649">
        <v>0.24970000000000001</v>
      </c>
      <c r="F649">
        <v>8450707.8900000006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0.30923694779116656</v>
      </c>
      <c r="Q649">
        <f t="shared" si="995"/>
        <v>2613271.1145783295</v>
      </c>
      <c r="R649">
        <f t="shared" si="996"/>
        <v>-54299468.493531205</v>
      </c>
      <c r="S649">
        <f t="shared" si="997"/>
        <v>-542.99468493531208</v>
      </c>
      <c r="T649">
        <f t="shared" si="998"/>
        <v>-0.54299468493531211</v>
      </c>
    </row>
    <row r="650" spans="1:20" x14ac:dyDescent="0.25">
      <c r="A650" s="5">
        <v>43943</v>
      </c>
      <c r="B650">
        <v>0.22550000000000001</v>
      </c>
      <c r="C650">
        <v>0.2379</v>
      </c>
      <c r="D650">
        <v>0.223</v>
      </c>
      <c r="E650">
        <v>0.23719999999999999</v>
      </c>
      <c r="F650">
        <v>2844721.97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0.90604026845637498</v>
      </c>
      <c r="Q650">
        <f t="shared" si="995"/>
        <v>2577432.6573825479</v>
      </c>
      <c r="R650">
        <f t="shared" si="996"/>
        <v>-56912739.608109534</v>
      </c>
      <c r="S650">
        <f t="shared" si="997"/>
        <v>-569.1273960810953</v>
      </c>
      <c r="T650">
        <f t="shared" si="998"/>
        <v>-0.5691273960810953</v>
      </c>
    </row>
    <row r="651" spans="1:20" x14ac:dyDescent="0.25">
      <c r="A651" s="5">
        <v>43942</v>
      </c>
      <c r="B651">
        <v>0.22140000000000001</v>
      </c>
      <c r="C651">
        <v>0.22789999999999999</v>
      </c>
      <c r="D651">
        <v>0.21909999999999999</v>
      </c>
      <c r="E651">
        <v>0.22450000000000001</v>
      </c>
      <c r="F651">
        <v>3079040.53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0.22727272727273057</v>
      </c>
      <c r="Q651">
        <f t="shared" si="995"/>
        <v>699781.93863637373</v>
      </c>
      <c r="R651">
        <f t="shared" si="996"/>
        <v>-59490172.265492082</v>
      </c>
      <c r="S651">
        <f t="shared" si="997"/>
        <v>-594.90172265492083</v>
      </c>
      <c r="T651">
        <f t="shared" si="998"/>
        <v>-0.59490172265492081</v>
      </c>
    </row>
    <row r="652" spans="1:20" x14ac:dyDescent="0.25">
      <c r="A652" s="5">
        <v>43941</v>
      </c>
      <c r="B652">
        <v>0.2374</v>
      </c>
      <c r="C652">
        <v>0.245</v>
      </c>
      <c r="D652">
        <v>0.21629999999999999</v>
      </c>
      <c r="E652">
        <v>0.22220000000000001</v>
      </c>
      <c r="F652">
        <v>7917738.29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-0.58885017421602681</v>
      </c>
      <c r="Q652">
        <f t="shared" si="995"/>
        <v>-4662361.5714634061</v>
      </c>
      <c r="R652">
        <f t="shared" si="996"/>
        <v>-60189954.204128452</v>
      </c>
      <c r="S652">
        <f t="shared" si="997"/>
        <v>-601.89954204128446</v>
      </c>
      <c r="T652">
        <f t="shared" si="998"/>
        <v>-0.60189954204128449</v>
      </c>
    </row>
    <row r="653" spans="1:20" x14ac:dyDescent="0.25">
      <c r="A653" s="5">
        <v>43940</v>
      </c>
      <c r="B653">
        <v>0.24729999999999999</v>
      </c>
      <c r="C653">
        <v>0.252</v>
      </c>
      <c r="D653">
        <v>0.2329</v>
      </c>
      <c r="E653">
        <v>0.23780000000000001</v>
      </c>
      <c r="F653">
        <v>5493390.25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-0.48691099476439642</v>
      </c>
      <c r="Q653">
        <f t="shared" si="995"/>
        <v>-2674792.1112565366</v>
      </c>
      <c r="R653">
        <f t="shared" si="996"/>
        <v>-55527592.632665046</v>
      </c>
      <c r="S653">
        <f t="shared" si="997"/>
        <v>-555.27592632665051</v>
      </c>
      <c r="T653">
        <f t="shared" si="998"/>
        <v>-0.55527592632665046</v>
      </c>
    </row>
    <row r="654" spans="1:20" x14ac:dyDescent="0.25">
      <c r="A654" s="5">
        <v>43939</v>
      </c>
      <c r="B654">
        <v>0.2319</v>
      </c>
      <c r="C654">
        <v>0.24959999999999999</v>
      </c>
      <c r="D654">
        <v>0.23169999999999999</v>
      </c>
      <c r="E654">
        <v>0.24740000000000001</v>
      </c>
      <c r="F654">
        <v>5000464.1900000004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0.75418994413408047</v>
      </c>
      <c r="Q654">
        <f t="shared" si="995"/>
        <v>3771299.8081005705</v>
      </c>
      <c r="R654">
        <f t="shared" si="996"/>
        <v>-52852800.521408506</v>
      </c>
      <c r="S654">
        <f t="shared" si="997"/>
        <v>-528.52800521408506</v>
      </c>
      <c r="T654">
        <f t="shared" si="998"/>
        <v>-0.52852800521408505</v>
      </c>
    </row>
    <row r="655" spans="1:20" x14ac:dyDescent="0.25">
      <c r="A655" s="5">
        <v>43938</v>
      </c>
      <c r="B655">
        <v>0.23499999999999999</v>
      </c>
      <c r="C655">
        <v>0.23649999999999999</v>
      </c>
      <c r="D655">
        <v>0.22919999999999999</v>
      </c>
      <c r="E655">
        <v>0.2321</v>
      </c>
      <c r="F655">
        <v>3085421.48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-0.20547945205479087</v>
      </c>
      <c r="Q655">
        <f t="shared" si="995"/>
        <v>-633990.71506848186</v>
      </c>
      <c r="R655">
        <f t="shared" si="996"/>
        <v>-56624100.329509079</v>
      </c>
      <c r="S655">
        <f t="shared" si="997"/>
        <v>-566.24100329509076</v>
      </c>
      <c r="T655">
        <f t="shared" si="998"/>
        <v>-0.56624100329509075</v>
      </c>
    </row>
    <row r="656" spans="1:20" x14ac:dyDescent="0.25">
      <c r="A656" s="5">
        <v>43937</v>
      </c>
      <c r="B656">
        <v>0.22</v>
      </c>
      <c r="C656">
        <v>0.23830000000000001</v>
      </c>
      <c r="D656">
        <v>0.21310000000000001</v>
      </c>
      <c r="E656">
        <v>0.23530000000000001</v>
      </c>
      <c r="F656">
        <v>5809103.0099999998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0.76190476190476164</v>
      </c>
      <c r="Q656">
        <f t="shared" si="995"/>
        <v>4425983.2457142835</v>
      </c>
      <c r="R656">
        <f t="shared" si="996"/>
        <v>-55990109.614440598</v>
      </c>
      <c r="S656">
        <f t="shared" si="997"/>
        <v>-559.90109614440598</v>
      </c>
      <c r="T656">
        <f t="shared" si="998"/>
        <v>-0.55990109614440597</v>
      </c>
    </row>
    <row r="657" spans="1:20" x14ac:dyDescent="0.25">
      <c r="A657" s="5">
        <v>43936</v>
      </c>
      <c r="B657">
        <v>0.22839999999999999</v>
      </c>
      <c r="C657">
        <v>0.23250000000000001</v>
      </c>
      <c r="D657">
        <v>0.219</v>
      </c>
      <c r="E657">
        <v>0.2205</v>
      </c>
      <c r="F657">
        <v>3090823.11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-0.77777777777777779</v>
      </c>
      <c r="Q657">
        <f t="shared" si="995"/>
        <v>-2403973.5299999998</v>
      </c>
      <c r="R657">
        <f t="shared" si="996"/>
        <v>-60416092.860154882</v>
      </c>
      <c r="S657">
        <f t="shared" si="997"/>
        <v>-604.16092860154879</v>
      </c>
      <c r="T657">
        <f t="shared" si="998"/>
        <v>-0.6041609286015488</v>
      </c>
    </row>
    <row r="658" spans="1:20" x14ac:dyDescent="0.25">
      <c r="A658" s="5">
        <v>43935</v>
      </c>
      <c r="B658">
        <v>0.22819999999999999</v>
      </c>
      <c r="C658">
        <v>0.2359</v>
      </c>
      <c r="D658">
        <v>0.22320000000000001</v>
      </c>
      <c r="E658">
        <v>0.22800000000000001</v>
      </c>
      <c r="F658">
        <v>4123570.39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-0.24409448818897594</v>
      </c>
      <c r="Q658">
        <f t="shared" si="995"/>
        <v>-1006540.803858266</v>
      </c>
      <c r="R658">
        <f t="shared" si="996"/>
        <v>-58012119.330154881</v>
      </c>
      <c r="S658">
        <f t="shared" si="997"/>
        <v>-580.12119330154883</v>
      </c>
      <c r="T658">
        <f t="shared" si="998"/>
        <v>-0.58012119330154888</v>
      </c>
    </row>
    <row r="659" spans="1:20" x14ac:dyDescent="0.25">
      <c r="A659" s="5">
        <v>43934</v>
      </c>
      <c r="B659">
        <v>0.23180000000000001</v>
      </c>
      <c r="C659">
        <v>0.23180000000000001</v>
      </c>
      <c r="D659">
        <v>0.21679999999999999</v>
      </c>
      <c r="E659">
        <v>0.22789999999999999</v>
      </c>
      <c r="F659">
        <v>6094875.96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0.47999999999999854</v>
      </c>
      <c r="Q659">
        <f t="shared" si="995"/>
        <v>2925540.4607999912</v>
      </c>
      <c r="R659">
        <f t="shared" si="996"/>
        <v>-57005578.526296616</v>
      </c>
      <c r="S659">
        <f t="shared" si="997"/>
        <v>-570.0557852629662</v>
      </c>
      <c r="T659">
        <f t="shared" si="998"/>
        <v>-0.57005578526296619</v>
      </c>
    </row>
    <row r="660" spans="1:20" x14ac:dyDescent="0.25">
      <c r="A660" s="5">
        <v>43933</v>
      </c>
      <c r="B660">
        <v>0.23039999999999999</v>
      </c>
      <c r="C660">
        <v>0.24299999999999999</v>
      </c>
      <c r="D660">
        <v>0.22509999999999999</v>
      </c>
      <c r="E660">
        <v>0.23230000000000001</v>
      </c>
      <c r="F660">
        <v>6092664.3300000001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-0.19553072625698187</v>
      </c>
      <c r="Q660">
        <f t="shared" si="995"/>
        <v>-1191303.0812849079</v>
      </c>
      <c r="R660">
        <f t="shared" si="996"/>
        <v>-59931118.987096608</v>
      </c>
      <c r="S660">
        <f t="shared" si="997"/>
        <v>-599.31118987096613</v>
      </c>
      <c r="T660">
        <f t="shared" si="998"/>
        <v>-0.5993111898709661</v>
      </c>
    </row>
    <row r="661" spans="1:20" x14ac:dyDescent="0.25">
      <c r="A661" s="5">
        <v>43932</v>
      </c>
      <c r="B661">
        <v>0.2286</v>
      </c>
      <c r="C661">
        <v>0.2379</v>
      </c>
      <c r="D661">
        <v>0.22309999999999999</v>
      </c>
      <c r="E661">
        <v>0.22989999999999999</v>
      </c>
      <c r="F661">
        <v>5391947.9299999997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-8.1081081081081488E-2</v>
      </c>
      <c r="Q661">
        <f t="shared" si="995"/>
        <v>-437184.96729729947</v>
      </c>
      <c r="R661">
        <f t="shared" si="996"/>
        <v>-58739815.905811697</v>
      </c>
      <c r="S661">
        <f t="shared" si="997"/>
        <v>-587.39815905811702</v>
      </c>
      <c r="T661">
        <f t="shared" si="998"/>
        <v>-0.58739815905811699</v>
      </c>
    </row>
    <row r="662" spans="1:20" x14ac:dyDescent="0.25">
      <c r="A662" s="5">
        <v>43931</v>
      </c>
      <c r="B662">
        <v>0.25390000000000001</v>
      </c>
      <c r="C662">
        <v>0.26269999999999999</v>
      </c>
      <c r="D662">
        <v>0.22309999999999999</v>
      </c>
      <c r="E662">
        <v>0.2288</v>
      </c>
      <c r="F662">
        <v>12334559.58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-0.7121212121212116</v>
      </c>
      <c r="Q662">
        <f t="shared" si="995"/>
        <v>-8783701.5190909021</v>
      </c>
      <c r="R662">
        <f t="shared" si="996"/>
        <v>-58302630.938514397</v>
      </c>
      <c r="S662">
        <f t="shared" si="997"/>
        <v>-583.02630938514392</v>
      </c>
      <c r="T662">
        <f t="shared" si="998"/>
        <v>-0.58302630938514388</v>
      </c>
    </row>
    <row r="663" spans="1:20" x14ac:dyDescent="0.25">
      <c r="A663" s="5">
        <v>43930</v>
      </c>
      <c r="B663">
        <v>0.25280000000000002</v>
      </c>
      <c r="C663">
        <v>0.26200000000000001</v>
      </c>
      <c r="D663">
        <v>0.2452</v>
      </c>
      <c r="E663">
        <v>0.25380000000000003</v>
      </c>
      <c r="F663">
        <v>9742162.8300000001</v>
      </c>
      <c r="G663">
        <v>0</v>
      </c>
      <c r="L663" t="s">
        <v>8</v>
      </c>
      <c r="M663" t="s">
        <v>7</v>
      </c>
      <c r="N663" t="s">
        <v>8</v>
      </c>
      <c r="P663">
        <f t="shared" si="994"/>
        <v>2.3809523809526129E-2</v>
      </c>
      <c r="Q663">
        <f t="shared" si="995"/>
        <v>231956.25785716544</v>
      </c>
      <c r="R663">
        <f t="shared" si="996"/>
        <v>-49518929.419423498</v>
      </c>
      <c r="S663">
        <f t="shared" si="997"/>
        <v>-495.189294194235</v>
      </c>
      <c r="T663">
        <f t="shared" si="998"/>
        <v>-0.49518929419423502</v>
      </c>
    </row>
    <row r="664" spans="1:20" x14ac:dyDescent="0.25">
      <c r="A664" s="5">
        <v>43929</v>
      </c>
      <c r="B664">
        <v>0.2485</v>
      </c>
      <c r="C664">
        <v>0.25840000000000002</v>
      </c>
      <c r="D664">
        <v>0.24510000000000001</v>
      </c>
      <c r="E664">
        <v>0.253</v>
      </c>
      <c r="F664">
        <v>8053151.79</v>
      </c>
      <c r="G664">
        <v>0</v>
      </c>
      <c r="L664" t="s">
        <v>7</v>
      </c>
      <c r="M664" t="s">
        <v>7</v>
      </c>
      <c r="N664" t="s">
        <v>8</v>
      </c>
      <c r="P664">
        <f t="shared" si="994"/>
        <v>0.18796992481202807</v>
      </c>
      <c r="Q664">
        <f t="shared" si="995"/>
        <v>1513750.3364661492</v>
      </c>
      <c r="R664">
        <f t="shared" si="996"/>
        <v>-49750885.677280664</v>
      </c>
      <c r="S664">
        <f t="shared" si="997"/>
        <v>-497.50885677280667</v>
      </c>
      <c r="T664">
        <f t="shared" si="998"/>
        <v>-0.49750885677280665</v>
      </c>
    </row>
    <row r="665" spans="1:20" x14ac:dyDescent="0.25">
      <c r="A665" s="5">
        <v>43928</v>
      </c>
      <c r="B665">
        <v>0.25169999999999998</v>
      </c>
      <c r="C665">
        <v>0.26750000000000002</v>
      </c>
      <c r="D665">
        <v>0.2384</v>
      </c>
      <c r="E665">
        <v>0.24790000000000001</v>
      </c>
      <c r="F665">
        <v>13012670.300000001</v>
      </c>
      <c r="G665">
        <v>0</v>
      </c>
      <c r="L665" t="s">
        <v>8</v>
      </c>
      <c r="M665" t="s">
        <v>7</v>
      </c>
      <c r="N665" t="s">
        <v>8</v>
      </c>
      <c r="P665">
        <f t="shared" si="994"/>
        <v>-0.34707903780068705</v>
      </c>
      <c r="Q665">
        <f t="shared" si="995"/>
        <v>-4516425.0869415784</v>
      </c>
      <c r="R665">
        <f t="shared" si="996"/>
        <v>-51264636.013746813</v>
      </c>
      <c r="S665">
        <f t="shared" si="997"/>
        <v>-512.64636013746815</v>
      </c>
      <c r="T665">
        <f t="shared" si="998"/>
        <v>-0.51264636013746812</v>
      </c>
    </row>
    <row r="666" spans="1:20" x14ac:dyDescent="0.25">
      <c r="A666" s="5">
        <v>43927</v>
      </c>
      <c r="B666">
        <v>0.23100000000000001</v>
      </c>
      <c r="C666">
        <v>0.25419999999999998</v>
      </c>
      <c r="D666">
        <v>0.23050000000000001</v>
      </c>
      <c r="E666">
        <v>0.25190000000000001</v>
      </c>
      <c r="F666">
        <v>11465271.539999999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0.80590717299578296</v>
      </c>
      <c r="Q666">
        <f t="shared" si="995"/>
        <v>9239944.5744304061</v>
      </c>
      <c r="R666">
        <f t="shared" si="996"/>
        <v>-46748210.926805235</v>
      </c>
      <c r="S666">
        <f t="shared" si="997"/>
        <v>-467.48210926805234</v>
      </c>
      <c r="T666">
        <f t="shared" si="998"/>
        <v>-0.46748210926805234</v>
      </c>
    </row>
    <row r="667" spans="1:20" x14ac:dyDescent="0.25">
      <c r="A667" s="5">
        <v>43926</v>
      </c>
      <c r="B667">
        <v>0.23930000000000001</v>
      </c>
      <c r="C667">
        <v>0.2417</v>
      </c>
      <c r="D667">
        <v>0.2301</v>
      </c>
      <c r="E667">
        <v>0.23100000000000001</v>
      </c>
      <c r="F667">
        <v>3253176.04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-0.84482758620689447</v>
      </c>
      <c r="Q667">
        <f t="shared" si="995"/>
        <v>-2748372.8613793035</v>
      </c>
      <c r="R667">
        <f t="shared" si="996"/>
        <v>-55988155.501235642</v>
      </c>
      <c r="S667">
        <f t="shared" si="997"/>
        <v>-559.88155501235644</v>
      </c>
      <c r="T667">
        <f t="shared" si="998"/>
        <v>-0.55988155501235648</v>
      </c>
    </row>
    <row r="668" spans="1:20" x14ac:dyDescent="0.25">
      <c r="A668" s="5">
        <v>43925</v>
      </c>
      <c r="B668">
        <v>0.2422</v>
      </c>
      <c r="C668">
        <v>0.24479999999999999</v>
      </c>
      <c r="D668">
        <v>0.23380000000000001</v>
      </c>
      <c r="E668">
        <v>0.2392</v>
      </c>
      <c r="F668">
        <v>6608887.25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-1.8181818181818733E-2</v>
      </c>
      <c r="Q668">
        <f t="shared" si="995"/>
        <v>-120161.58636364</v>
      </c>
      <c r="R668">
        <f t="shared" si="996"/>
        <v>-53239782.639856339</v>
      </c>
      <c r="S668">
        <f t="shared" si="997"/>
        <v>-532.39782639856344</v>
      </c>
      <c r="T668">
        <f t="shared" si="998"/>
        <v>-0.53239782639856348</v>
      </c>
    </row>
    <row r="669" spans="1:20" x14ac:dyDescent="0.25">
      <c r="A669" s="5">
        <v>43924</v>
      </c>
      <c r="B669">
        <v>0.2505</v>
      </c>
      <c r="C669">
        <v>0.25490000000000002</v>
      </c>
      <c r="D669">
        <v>0.23769999999999999</v>
      </c>
      <c r="E669">
        <v>0.2419</v>
      </c>
      <c r="F669">
        <v>9018743.4399999995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-0.51162790697674365</v>
      </c>
      <c r="Q669">
        <f t="shared" si="995"/>
        <v>-4614240.8297674367</v>
      </c>
      <c r="R669">
        <f t="shared" si="996"/>
        <v>-53119621.053492695</v>
      </c>
      <c r="S669">
        <f t="shared" si="997"/>
        <v>-531.19621053492699</v>
      </c>
      <c r="T669">
        <f t="shared" si="998"/>
        <v>-0.53119621053492694</v>
      </c>
    </row>
    <row r="670" spans="1:20" x14ac:dyDescent="0.25">
      <c r="A670" s="5">
        <v>43923</v>
      </c>
      <c r="B670">
        <v>0.24479999999999999</v>
      </c>
      <c r="C670">
        <v>0.2681</v>
      </c>
      <c r="D670">
        <v>0.24249999999999999</v>
      </c>
      <c r="E670">
        <v>0.2505</v>
      </c>
      <c r="F670">
        <v>17978863.309999999</v>
      </c>
      <c r="G670">
        <v>0</v>
      </c>
      <c r="L670" t="s">
        <v>7</v>
      </c>
      <c r="M670" t="s">
        <v>8</v>
      </c>
      <c r="N670" t="s">
        <v>8</v>
      </c>
      <c r="P670">
        <f t="shared" si="994"/>
        <v>-0.37499999999999972</v>
      </c>
      <c r="Q670">
        <f t="shared" si="995"/>
        <v>-6742073.7412499944</v>
      </c>
      <c r="R670">
        <f t="shared" si="996"/>
        <v>-48505380.223725259</v>
      </c>
      <c r="S670">
        <f t="shared" si="997"/>
        <v>-485.05380223725257</v>
      </c>
      <c r="T670">
        <f t="shared" si="998"/>
        <v>-0.48505380223725258</v>
      </c>
    </row>
    <row r="671" spans="1:20" x14ac:dyDescent="0.25">
      <c r="A671" s="5">
        <v>43922</v>
      </c>
      <c r="B671">
        <v>0.21129999999999999</v>
      </c>
      <c r="C671">
        <v>0.26939999999999997</v>
      </c>
      <c r="D671">
        <v>0.2039</v>
      </c>
      <c r="E671">
        <v>0.2447</v>
      </c>
      <c r="F671">
        <v>35135450.359999999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0.24580152671755781</v>
      </c>
      <c r="Q671">
        <f t="shared" si="995"/>
        <v>8636347.3403969668</v>
      </c>
      <c r="R671">
        <f t="shared" si="996"/>
        <v>-41763306.482475266</v>
      </c>
      <c r="S671">
        <f t="shared" si="997"/>
        <v>-417.63306482475264</v>
      </c>
      <c r="T671">
        <f t="shared" si="998"/>
        <v>-0.41763306482475265</v>
      </c>
    </row>
    <row r="672" spans="1:20" x14ac:dyDescent="0.25">
      <c r="A672" s="5">
        <v>43921</v>
      </c>
      <c r="B672">
        <v>0.20549999999999999</v>
      </c>
      <c r="C672">
        <v>0.2198</v>
      </c>
      <c r="D672">
        <v>0.2006</v>
      </c>
      <c r="E672">
        <v>0.21179999999999999</v>
      </c>
      <c r="F672">
        <v>7683360.0099999998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0.16666666666666571</v>
      </c>
      <c r="Q672">
        <f t="shared" si="995"/>
        <v>1280560.0016666593</v>
      </c>
      <c r="R672">
        <f t="shared" si="996"/>
        <v>-50399653.822872236</v>
      </c>
      <c r="S672">
        <f t="shared" si="997"/>
        <v>-503.99653822872239</v>
      </c>
      <c r="T672">
        <f t="shared" si="998"/>
        <v>-0.50399653822872237</v>
      </c>
    </row>
    <row r="673" spans="1:20" x14ac:dyDescent="0.25">
      <c r="A673" s="5">
        <v>43920</v>
      </c>
      <c r="B673">
        <v>0.17860000000000001</v>
      </c>
      <c r="C673">
        <v>0.2195</v>
      </c>
      <c r="D673">
        <v>0.1772</v>
      </c>
      <c r="E673">
        <v>0.20549999999999999</v>
      </c>
      <c r="F673">
        <v>9782587.3200000003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0.33806146572103968</v>
      </c>
      <c r="Q673">
        <f t="shared" si="995"/>
        <v>3307115.8079432575</v>
      </c>
      <c r="R673">
        <f t="shared" si="996"/>
        <v>-51680213.824538894</v>
      </c>
      <c r="S673">
        <f t="shared" si="997"/>
        <v>-516.80213824538896</v>
      </c>
      <c r="T673">
        <f t="shared" si="998"/>
        <v>-0.51680213824538901</v>
      </c>
    </row>
    <row r="674" spans="1:20" x14ac:dyDescent="0.25">
      <c r="A674" s="5">
        <v>43919</v>
      </c>
      <c r="B674">
        <v>0.191</v>
      </c>
      <c r="C674">
        <v>0.1915</v>
      </c>
      <c r="D674">
        <v>0.17829999999999999</v>
      </c>
      <c r="E674">
        <v>0.1789</v>
      </c>
      <c r="F674">
        <v>3389682.31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-0.90909090909090662</v>
      </c>
      <c r="Q674">
        <f t="shared" si="995"/>
        <v>-3081529.3727272642</v>
      </c>
      <c r="R674">
        <f t="shared" si="996"/>
        <v>-54987329.632482149</v>
      </c>
      <c r="S674">
        <f t="shared" si="997"/>
        <v>-549.87329632482147</v>
      </c>
      <c r="T674">
        <f t="shared" si="998"/>
        <v>-0.54987329632482151</v>
      </c>
    </row>
    <row r="675" spans="1:20" x14ac:dyDescent="0.25">
      <c r="A675" s="5">
        <v>43918</v>
      </c>
      <c r="B675">
        <v>0.1938</v>
      </c>
      <c r="C675">
        <v>0.1938</v>
      </c>
      <c r="D675">
        <v>0.18379999999999999</v>
      </c>
      <c r="E675">
        <v>0.1913</v>
      </c>
      <c r="F675">
        <v>5062392.68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0.5</v>
      </c>
      <c r="Q675">
        <f t="shared" si="995"/>
        <v>2531196.34</v>
      </c>
      <c r="R675">
        <f t="shared" si="996"/>
        <v>-51905800.259754881</v>
      </c>
      <c r="S675">
        <f t="shared" si="997"/>
        <v>-519.05800259754881</v>
      </c>
      <c r="T675">
        <f t="shared" si="998"/>
        <v>-0.51905800259754886</v>
      </c>
    </row>
    <row r="676" spans="1:20" x14ac:dyDescent="0.25">
      <c r="A676" s="5">
        <v>43917</v>
      </c>
      <c r="B676">
        <v>0.2092</v>
      </c>
      <c r="C676">
        <v>0.214</v>
      </c>
      <c r="D676">
        <v>0.19</v>
      </c>
      <c r="E676">
        <v>0.19450000000000001</v>
      </c>
      <c r="F676">
        <v>4821337.87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-0.62499999999999956</v>
      </c>
      <c r="Q676">
        <f t="shared" si="995"/>
        <v>-3013336.1687499979</v>
      </c>
      <c r="R676">
        <f t="shared" si="996"/>
        <v>-54436996.599754877</v>
      </c>
      <c r="S676">
        <f t="shared" si="997"/>
        <v>-544.36996599754877</v>
      </c>
      <c r="T676">
        <f t="shared" si="998"/>
        <v>-0.54436996599754872</v>
      </c>
    </row>
    <row r="677" spans="1:20" x14ac:dyDescent="0.25">
      <c r="A677" s="5">
        <v>43916</v>
      </c>
      <c r="B677">
        <v>0.20499999999999999</v>
      </c>
      <c r="C677">
        <v>0.21110000000000001</v>
      </c>
      <c r="D677">
        <v>0.2001</v>
      </c>
      <c r="E677">
        <v>0.2092</v>
      </c>
      <c r="F677">
        <v>4014510.01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0.65454545454545254</v>
      </c>
      <c r="Q677">
        <f t="shared" si="995"/>
        <v>2627679.2792727193</v>
      </c>
      <c r="R677">
        <f t="shared" si="996"/>
        <v>-51423660.431004882</v>
      </c>
      <c r="S677">
        <f t="shared" si="997"/>
        <v>-514.23660431004885</v>
      </c>
      <c r="T677">
        <f t="shared" si="998"/>
        <v>-0.51423660431004881</v>
      </c>
    </row>
    <row r="678" spans="1:20" x14ac:dyDescent="0.25">
      <c r="A678" s="5">
        <v>43915</v>
      </c>
      <c r="B678">
        <v>0.20860000000000001</v>
      </c>
      <c r="C678">
        <v>0.21829999999999999</v>
      </c>
      <c r="D678">
        <v>0.19919999999999999</v>
      </c>
      <c r="E678">
        <v>0.20549999999999999</v>
      </c>
      <c r="F678">
        <v>6063747.5499999998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-0.34031413612565464</v>
      </c>
      <c r="Q678">
        <f t="shared" si="995"/>
        <v>-2063579.0091623047</v>
      </c>
      <c r="R678">
        <f t="shared" si="996"/>
        <v>-54051339.710277602</v>
      </c>
      <c r="S678">
        <f t="shared" si="997"/>
        <v>-540.51339710277603</v>
      </c>
      <c r="T678">
        <f t="shared" si="998"/>
        <v>-0.54051339710277602</v>
      </c>
    </row>
    <row r="679" spans="1:20" x14ac:dyDescent="0.25">
      <c r="A679" s="5">
        <v>43914</v>
      </c>
      <c r="B679">
        <v>0.2001</v>
      </c>
      <c r="C679">
        <v>0.2114</v>
      </c>
      <c r="D679">
        <v>0.1933</v>
      </c>
      <c r="E679">
        <v>0.2089</v>
      </c>
      <c r="F679">
        <v>8061557.9199999999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0.72375690607734788</v>
      </c>
      <c r="Q679">
        <f t="shared" si="995"/>
        <v>5834608.2183425399</v>
      </c>
      <c r="R679">
        <f t="shared" si="996"/>
        <v>-51987760.701115295</v>
      </c>
      <c r="S679">
        <f t="shared" si="997"/>
        <v>-519.87760701115292</v>
      </c>
      <c r="T679">
        <f t="shared" si="998"/>
        <v>-0.51987760701115293</v>
      </c>
    </row>
    <row r="680" spans="1:20" x14ac:dyDescent="0.25">
      <c r="A680" s="5">
        <v>43913</v>
      </c>
      <c r="B680">
        <v>0.18190000000000001</v>
      </c>
      <c r="C680">
        <v>0.2051</v>
      </c>
      <c r="D680">
        <v>0.1774</v>
      </c>
      <c r="E680">
        <v>0.1991</v>
      </c>
      <c r="F680">
        <v>6368369.0099999998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0.56678700361010792</v>
      </c>
      <c r="Q680">
        <f t="shared" si="995"/>
        <v>3609508.7890613694</v>
      </c>
      <c r="R680">
        <f t="shared" si="996"/>
        <v>-57822368.919457838</v>
      </c>
      <c r="S680">
        <f t="shared" si="997"/>
        <v>-578.22368919457836</v>
      </c>
      <c r="T680">
        <f t="shared" si="998"/>
        <v>-0.57822368919457834</v>
      </c>
    </row>
    <row r="681" spans="1:20" x14ac:dyDescent="0.25">
      <c r="A681" s="5">
        <v>43912</v>
      </c>
      <c r="B681">
        <v>0.2009</v>
      </c>
      <c r="C681">
        <v>0.2114</v>
      </c>
      <c r="D681">
        <v>0.18110000000000001</v>
      </c>
      <c r="E681">
        <v>0.1837</v>
      </c>
      <c r="F681">
        <v>5483221.8899999997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-0.82838283828382897</v>
      </c>
      <c r="Q681">
        <f t="shared" si="995"/>
        <v>-4542206.9121782212</v>
      </c>
      <c r="R681">
        <f t="shared" si="996"/>
        <v>-61431877.708519205</v>
      </c>
      <c r="S681">
        <f t="shared" si="997"/>
        <v>-614.3187770851921</v>
      </c>
      <c r="T681">
        <f t="shared" si="998"/>
        <v>-0.61431877708519211</v>
      </c>
    </row>
    <row r="682" spans="1:20" x14ac:dyDescent="0.25">
      <c r="A682" s="5">
        <v>43911</v>
      </c>
      <c r="B682">
        <v>0.20219999999999999</v>
      </c>
      <c r="C682">
        <v>0.2142</v>
      </c>
      <c r="D682">
        <v>0.1903</v>
      </c>
      <c r="E682">
        <v>0.20100000000000001</v>
      </c>
      <c r="F682">
        <v>5508499.9900000002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-0.10460251046024996</v>
      </c>
      <c r="Q682">
        <f t="shared" si="995"/>
        <v>-576202.92782426183</v>
      </c>
      <c r="R682">
        <f t="shared" si="996"/>
        <v>-56889670.796340987</v>
      </c>
      <c r="S682">
        <f t="shared" si="997"/>
        <v>-568.89670796340988</v>
      </c>
      <c r="T682">
        <f t="shared" si="998"/>
        <v>-0.56889670796340985</v>
      </c>
    </row>
    <row r="683" spans="1:20" x14ac:dyDescent="0.25">
      <c r="A683" s="5">
        <v>43910</v>
      </c>
      <c r="B683">
        <v>0.20849999999999999</v>
      </c>
      <c r="C683">
        <v>0.23880000000000001</v>
      </c>
      <c r="D683">
        <v>0.185</v>
      </c>
      <c r="E683">
        <v>0.2021</v>
      </c>
      <c r="F683">
        <v>14223475.08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-0.36431226765799257</v>
      </c>
      <c r="Q683">
        <f t="shared" si="995"/>
        <v>-5181786.4603717476</v>
      </c>
      <c r="R683">
        <f t="shared" si="996"/>
        <v>-56313467.868516728</v>
      </c>
      <c r="S683">
        <f t="shared" si="997"/>
        <v>-563.13467868516727</v>
      </c>
      <c r="T683">
        <f t="shared" si="998"/>
        <v>-0.56313467868516731</v>
      </c>
    </row>
    <row r="684" spans="1:20" x14ac:dyDescent="0.25">
      <c r="A684" s="5">
        <v>43909</v>
      </c>
      <c r="B684">
        <v>0.1822</v>
      </c>
      <c r="C684">
        <v>0.21629999999999999</v>
      </c>
      <c r="D684">
        <v>0.18110000000000001</v>
      </c>
      <c r="E684">
        <v>0.20849999999999999</v>
      </c>
      <c r="F684">
        <v>13411282.369999999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0.55681818181818155</v>
      </c>
      <c r="Q684">
        <f t="shared" si="995"/>
        <v>7467645.8651136318</v>
      </c>
      <c r="R684">
        <f t="shared" si="996"/>
        <v>-51131681.408144981</v>
      </c>
      <c r="S684">
        <f t="shared" si="997"/>
        <v>-511.31681408144982</v>
      </c>
      <c r="T684">
        <f t="shared" si="998"/>
        <v>-0.5113168140814498</v>
      </c>
    </row>
    <row r="685" spans="1:20" x14ac:dyDescent="0.25">
      <c r="A685" s="5">
        <v>43908</v>
      </c>
      <c r="B685">
        <v>0.1804</v>
      </c>
      <c r="C685">
        <v>0.18609999999999999</v>
      </c>
      <c r="D685">
        <v>0.1673</v>
      </c>
      <c r="E685">
        <v>0.1822</v>
      </c>
      <c r="F685">
        <v>5644501.4800000004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0.58510638297872442</v>
      </c>
      <c r="Q685">
        <f t="shared" si="995"/>
        <v>3302633.8446808569</v>
      </c>
      <c r="R685">
        <f t="shared" si="996"/>
        <v>-58599327.273258612</v>
      </c>
      <c r="S685">
        <f t="shared" si="997"/>
        <v>-585.99327273258609</v>
      </c>
      <c r="T685">
        <f t="shared" si="998"/>
        <v>-0.58599327273258606</v>
      </c>
    </row>
    <row r="686" spans="1:20" x14ac:dyDescent="0.25">
      <c r="A686" s="5">
        <v>43907</v>
      </c>
      <c r="B686">
        <v>0.16869999999999999</v>
      </c>
      <c r="C686">
        <v>0.1875</v>
      </c>
      <c r="D686">
        <v>0.16400000000000001</v>
      </c>
      <c r="E686">
        <v>0.1804</v>
      </c>
      <c r="F686">
        <v>5886703.8899999997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0.39574468085106407</v>
      </c>
      <c r="Q686">
        <f t="shared" si="995"/>
        <v>2329631.752212767</v>
      </c>
      <c r="R686">
        <f t="shared" si="996"/>
        <v>-61901961.117939472</v>
      </c>
      <c r="S686">
        <f t="shared" si="997"/>
        <v>-619.0196111793947</v>
      </c>
      <c r="T686">
        <f t="shared" si="998"/>
        <v>-0.61901961117939475</v>
      </c>
    </row>
    <row r="687" spans="1:20" x14ac:dyDescent="0.25">
      <c r="A687" s="5">
        <v>43906</v>
      </c>
      <c r="B687">
        <v>0.1885</v>
      </c>
      <c r="C687">
        <v>0.19700000000000001</v>
      </c>
      <c r="D687">
        <v>0.1472</v>
      </c>
      <c r="E687">
        <v>0.16819999999999999</v>
      </c>
      <c r="F687">
        <v>13717453.449999999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-0.15662650602409695</v>
      </c>
      <c r="Q687">
        <f t="shared" si="995"/>
        <v>-2148516.8054216942</v>
      </c>
      <c r="R687">
        <f t="shared" si="996"/>
        <v>-64231592.870152242</v>
      </c>
      <c r="S687">
        <f t="shared" si="997"/>
        <v>-642.31592870152247</v>
      </c>
      <c r="T687">
        <f t="shared" si="998"/>
        <v>-0.64231592870152243</v>
      </c>
    </row>
    <row r="688" spans="1:20" x14ac:dyDescent="0.25">
      <c r="A688" s="5">
        <v>43905</v>
      </c>
      <c r="B688">
        <v>0.182</v>
      </c>
      <c r="C688">
        <v>0.2039</v>
      </c>
      <c r="D688">
        <v>0.1792</v>
      </c>
      <c r="E688">
        <v>0.1885</v>
      </c>
      <c r="F688">
        <v>6632397.9800000004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-0.24696356275303621</v>
      </c>
      <c r="Q688">
        <f t="shared" si="995"/>
        <v>-1637960.6347368408</v>
      </c>
      <c r="R688">
        <f t="shared" si="996"/>
        <v>-62083076.064730547</v>
      </c>
      <c r="S688">
        <f t="shared" si="997"/>
        <v>-620.83076064730551</v>
      </c>
      <c r="T688">
        <f t="shared" si="998"/>
        <v>-0.62083076064730547</v>
      </c>
    </row>
    <row r="689" spans="1:20" x14ac:dyDescent="0.25">
      <c r="A689" s="5">
        <v>43904</v>
      </c>
      <c r="B689">
        <v>0.1913</v>
      </c>
      <c r="C689">
        <v>0.20419999999999999</v>
      </c>
      <c r="D689">
        <v>0.1772</v>
      </c>
      <c r="E689">
        <v>0.18190000000000001</v>
      </c>
      <c r="F689">
        <v>7876103.75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-0.65185185185185113</v>
      </c>
      <c r="Q689">
        <f t="shared" si="995"/>
        <v>-5134052.8148148088</v>
      </c>
      <c r="R689">
        <f t="shared" si="996"/>
        <v>-60445115.429993704</v>
      </c>
      <c r="S689">
        <f t="shared" si="997"/>
        <v>-604.451154299937</v>
      </c>
      <c r="T689">
        <f t="shared" si="998"/>
        <v>-0.60445115429993701</v>
      </c>
    </row>
    <row r="690" spans="1:20" x14ac:dyDescent="0.25">
      <c r="A690" s="5">
        <v>43903</v>
      </c>
      <c r="B690">
        <v>0.16420000000000001</v>
      </c>
      <c r="C690">
        <v>0.20430000000000001</v>
      </c>
      <c r="D690">
        <v>0.1215</v>
      </c>
      <c r="E690">
        <v>0.19109999999999999</v>
      </c>
      <c r="F690">
        <v>21557966.129999999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0.68115942028985466</v>
      </c>
      <c r="Q690">
        <f t="shared" si="995"/>
        <v>14684411.711739121</v>
      </c>
      <c r="R690">
        <f t="shared" si="996"/>
        <v>-55311062.615178898</v>
      </c>
      <c r="S690">
        <f t="shared" si="997"/>
        <v>-553.11062615178901</v>
      </c>
      <c r="T690">
        <f t="shared" si="998"/>
        <v>-0.55311062615178896</v>
      </c>
    </row>
    <row r="691" spans="1:20" x14ac:dyDescent="0.25">
      <c r="A691" s="5">
        <v>43902</v>
      </c>
      <c r="B691">
        <v>0.30270000000000002</v>
      </c>
      <c r="C691">
        <v>0.30299999999999999</v>
      </c>
      <c r="D691">
        <v>0.14649999999999999</v>
      </c>
      <c r="E691">
        <v>0.1653</v>
      </c>
      <c r="F691">
        <v>22337799.350000001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-0.75974440894568673</v>
      </c>
      <c r="Q691">
        <f t="shared" si="995"/>
        <v>-16971018.164313097</v>
      </c>
      <c r="R691">
        <f t="shared" si="996"/>
        <v>-69995474.326918021</v>
      </c>
      <c r="S691">
        <f t="shared" si="997"/>
        <v>-699.9547432691802</v>
      </c>
      <c r="T691">
        <f t="shared" si="998"/>
        <v>-0.69995474326918017</v>
      </c>
    </row>
    <row r="692" spans="1:20" x14ac:dyDescent="0.25">
      <c r="A692" s="5">
        <v>43901</v>
      </c>
      <c r="B692">
        <v>0.31390000000000001</v>
      </c>
      <c r="C692">
        <v>0.31869999999999998</v>
      </c>
      <c r="D692">
        <v>0.28649999999999998</v>
      </c>
      <c r="E692">
        <v>0.3014</v>
      </c>
      <c r="F692">
        <v>8936276.1199999992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-7.4534161490681899E-2</v>
      </c>
      <c r="Q692">
        <f t="shared" si="995"/>
        <v>-666057.84745340422</v>
      </c>
      <c r="R692">
        <f t="shared" si="996"/>
        <v>-53024456.162604928</v>
      </c>
      <c r="S692">
        <f t="shared" si="997"/>
        <v>-530.24456162604929</v>
      </c>
      <c r="T692">
        <f t="shared" si="998"/>
        <v>-0.53024456162604927</v>
      </c>
    </row>
    <row r="693" spans="1:20" x14ac:dyDescent="0.25">
      <c r="A693" s="5">
        <v>43900</v>
      </c>
      <c r="B693">
        <v>0.32690000000000002</v>
      </c>
      <c r="C693">
        <v>0.33200000000000002</v>
      </c>
      <c r="D693">
        <v>0.29780000000000001</v>
      </c>
      <c r="E693">
        <v>0.31509999999999999</v>
      </c>
      <c r="F693">
        <v>12402771.039999999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1.1695906432747247E-2</v>
      </c>
      <c r="Q693">
        <f t="shared" si="995"/>
        <v>145061.64959062726</v>
      </c>
      <c r="R693">
        <f t="shared" si="996"/>
        <v>-52358398.31515152</v>
      </c>
      <c r="S693">
        <f t="shared" si="997"/>
        <v>-523.58398315151521</v>
      </c>
      <c r="T693">
        <f t="shared" si="998"/>
        <v>-0.52358398315151522</v>
      </c>
    </row>
    <row r="694" spans="1:20" x14ac:dyDescent="0.25">
      <c r="A694" s="5">
        <v>43899</v>
      </c>
      <c r="B694">
        <v>0.29039999999999999</v>
      </c>
      <c r="C694">
        <v>0.3266</v>
      </c>
      <c r="D694">
        <v>0.28510000000000002</v>
      </c>
      <c r="E694">
        <v>0.3266</v>
      </c>
      <c r="F694">
        <v>13838126.1</v>
      </c>
      <c r="G694">
        <v>0</v>
      </c>
      <c r="L694" t="s">
        <v>8</v>
      </c>
      <c r="M694" t="s">
        <v>7</v>
      </c>
      <c r="N694" t="s">
        <v>7</v>
      </c>
      <c r="P694">
        <f t="shared" si="994"/>
        <v>1</v>
      </c>
      <c r="Q694">
        <f t="shared" si="995"/>
        <v>13838126.1</v>
      </c>
      <c r="R694">
        <f t="shared" si="996"/>
        <v>-52503459.964742146</v>
      </c>
      <c r="S694">
        <f t="shared" si="997"/>
        <v>-525.03459964742149</v>
      </c>
      <c r="T694">
        <f t="shared" si="998"/>
        <v>-0.5250345996474215</v>
      </c>
    </row>
    <row r="695" spans="1:20" x14ac:dyDescent="0.25">
      <c r="A695" s="5">
        <v>43898</v>
      </c>
      <c r="B695">
        <v>0.35089999999999999</v>
      </c>
      <c r="C695">
        <v>0.35110000000000002</v>
      </c>
      <c r="D695">
        <v>0.28620000000000001</v>
      </c>
      <c r="E695">
        <v>0.2903</v>
      </c>
      <c r="F695">
        <v>18728246.379999999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-0.87365177195685695</v>
      </c>
      <c r="Q695">
        <f t="shared" si="995"/>
        <v>-16361965.635531591</v>
      </c>
      <c r="R695">
        <f t="shared" si="996"/>
        <v>-66341586.064742148</v>
      </c>
      <c r="S695">
        <f t="shared" si="997"/>
        <v>-663.41586064742148</v>
      </c>
      <c r="T695">
        <f t="shared" si="998"/>
        <v>-0.66341586064742153</v>
      </c>
    </row>
    <row r="696" spans="1:20" x14ac:dyDescent="0.25">
      <c r="A696" s="5">
        <v>43897</v>
      </c>
      <c r="B696">
        <v>0.38129999999999997</v>
      </c>
      <c r="C696">
        <v>0.38650000000000001</v>
      </c>
      <c r="D696">
        <v>0.34699999999999998</v>
      </c>
      <c r="E696">
        <v>0.35099999999999998</v>
      </c>
      <c r="F696">
        <v>12203267.9</v>
      </c>
      <c r="G696">
        <v>0</v>
      </c>
      <c r="L696" t="s">
        <v>7</v>
      </c>
      <c r="M696" t="s">
        <v>7</v>
      </c>
      <c r="N696" t="s">
        <v>8</v>
      </c>
      <c r="P696">
        <f t="shared" si="994"/>
        <v>-0.79746835443037978</v>
      </c>
      <c r="Q696">
        <f t="shared" si="995"/>
        <v>-9731719.9708860759</v>
      </c>
      <c r="R696">
        <f t="shared" si="996"/>
        <v>-49979620.429210559</v>
      </c>
      <c r="S696">
        <f t="shared" si="997"/>
        <v>-499.79620429210559</v>
      </c>
      <c r="T696">
        <f t="shared" si="998"/>
        <v>-0.49979620429210558</v>
      </c>
    </row>
    <row r="697" spans="1:20" x14ac:dyDescent="0.25">
      <c r="A697" s="5">
        <v>43896</v>
      </c>
      <c r="B697">
        <v>0.39539999999999997</v>
      </c>
      <c r="C697">
        <v>0.39600000000000002</v>
      </c>
      <c r="D697">
        <v>0.36599999999999999</v>
      </c>
      <c r="E697">
        <v>0.38119999999999998</v>
      </c>
      <c r="F697">
        <v>18811269.260000002</v>
      </c>
      <c r="G697">
        <v>0</v>
      </c>
      <c r="L697" t="s">
        <v>7</v>
      </c>
      <c r="M697" t="s">
        <v>8</v>
      </c>
      <c r="N697" t="s">
        <v>8</v>
      </c>
      <c r="P697">
        <f t="shared" si="994"/>
        <v>1.3333333333331853E-2</v>
      </c>
      <c r="Q697">
        <f t="shared" si="995"/>
        <v>250816.92346663884</v>
      </c>
      <c r="R697">
        <f t="shared" si="996"/>
        <v>-40247900.458324485</v>
      </c>
      <c r="S697">
        <f t="shared" si="997"/>
        <v>-402.47900458324483</v>
      </c>
      <c r="T697">
        <f t="shared" si="998"/>
        <v>-0.40247900458324481</v>
      </c>
    </row>
    <row r="698" spans="1:20" x14ac:dyDescent="0.25">
      <c r="A698" s="5">
        <v>43895</v>
      </c>
      <c r="B698">
        <v>0.32579999999999998</v>
      </c>
      <c r="C698">
        <v>0.4229</v>
      </c>
      <c r="D698">
        <v>0.32579999999999998</v>
      </c>
      <c r="E698">
        <v>0.39579999999999999</v>
      </c>
      <c r="F698">
        <v>36313767.670000002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0.44181256436663219</v>
      </c>
      <c r="Q698">
        <f t="shared" si="995"/>
        <v>16043878.816096803</v>
      </c>
      <c r="R698">
        <f t="shared" si="996"/>
        <v>-40498717.381791122</v>
      </c>
      <c r="S698">
        <f t="shared" si="997"/>
        <v>-404.98717381791124</v>
      </c>
      <c r="T698">
        <f t="shared" si="998"/>
        <v>-0.40498717381791122</v>
      </c>
    </row>
    <row r="699" spans="1:20" x14ac:dyDescent="0.25">
      <c r="A699" s="5">
        <v>43894</v>
      </c>
      <c r="B699">
        <v>0.33979999999999999</v>
      </c>
      <c r="C699">
        <v>0.34189999999999998</v>
      </c>
      <c r="D699">
        <v>0.31390000000000001</v>
      </c>
      <c r="E699">
        <v>0.32569999999999999</v>
      </c>
      <c r="F699">
        <v>9682131.3800000008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-0.15714285714285786</v>
      </c>
      <c r="Q699">
        <f t="shared" si="995"/>
        <v>-1521477.7882857213</v>
      </c>
      <c r="R699">
        <f t="shared" si="996"/>
        <v>-56542596.197887927</v>
      </c>
      <c r="S699">
        <f t="shared" si="997"/>
        <v>-565.42596197887929</v>
      </c>
      <c r="T699">
        <f t="shared" si="998"/>
        <v>-0.56542596197887929</v>
      </c>
    </row>
    <row r="700" spans="1:20" x14ac:dyDescent="0.25">
      <c r="A700" s="5">
        <v>43893</v>
      </c>
      <c r="B700">
        <v>0.31680000000000003</v>
      </c>
      <c r="C700">
        <v>0.3448</v>
      </c>
      <c r="D700">
        <v>0.30399999999999999</v>
      </c>
      <c r="E700">
        <v>0.33989999999999998</v>
      </c>
      <c r="F700">
        <v>14095787.5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0.75980392156862675</v>
      </c>
      <c r="Q700">
        <f t="shared" si="995"/>
        <v>10710034.62009803</v>
      </c>
      <c r="R700">
        <f t="shared" si="996"/>
        <v>-55021118.409602202</v>
      </c>
      <c r="S700">
        <f t="shared" si="997"/>
        <v>-550.21118409602207</v>
      </c>
      <c r="T700">
        <f t="shared" si="998"/>
        <v>-0.5502111840960221</v>
      </c>
    </row>
    <row r="701" spans="1:20" x14ac:dyDescent="0.25">
      <c r="A701" s="5">
        <v>43892</v>
      </c>
      <c r="B701">
        <v>0.28660000000000002</v>
      </c>
      <c r="C701">
        <v>0.32100000000000001</v>
      </c>
      <c r="D701">
        <v>0.28460000000000002</v>
      </c>
      <c r="E701">
        <v>0.31709999999999999</v>
      </c>
      <c r="F701">
        <v>8735932.6699999999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0.78571428571428481</v>
      </c>
      <c r="Q701">
        <f t="shared" si="995"/>
        <v>6863947.0978571353</v>
      </c>
      <c r="R701">
        <f t="shared" si="996"/>
        <v>-65731153.029700235</v>
      </c>
      <c r="S701">
        <f t="shared" si="997"/>
        <v>-657.31153029700238</v>
      </c>
      <c r="T701">
        <f t="shared" si="998"/>
        <v>-0.6573115302970024</v>
      </c>
    </row>
    <row r="702" spans="1:20" x14ac:dyDescent="0.25">
      <c r="A702" s="5">
        <v>43891</v>
      </c>
      <c r="B702">
        <v>0.29239999999999999</v>
      </c>
      <c r="C702">
        <v>0.30590000000000001</v>
      </c>
      <c r="D702">
        <v>0.28270000000000001</v>
      </c>
      <c r="E702">
        <v>0.28749999999999998</v>
      </c>
      <c r="F702">
        <v>7291958.0999999996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-0.58620689655172664</v>
      </c>
      <c r="Q702">
        <f t="shared" si="995"/>
        <v>-4274596.127586225</v>
      </c>
      <c r="R702">
        <f t="shared" si="996"/>
        <v>-72595100.127557367</v>
      </c>
      <c r="S702">
        <f t="shared" si="997"/>
        <v>-725.95100127557362</v>
      </c>
      <c r="T702">
        <f t="shared" si="998"/>
        <v>-0.72595100127557366</v>
      </c>
    </row>
    <row r="703" spans="1:20" x14ac:dyDescent="0.25">
      <c r="A703" s="5">
        <v>43890</v>
      </c>
      <c r="B703">
        <v>0.3054</v>
      </c>
      <c r="C703">
        <v>0.31390000000000001</v>
      </c>
      <c r="D703">
        <v>0.29270000000000002</v>
      </c>
      <c r="E703">
        <v>0.29370000000000002</v>
      </c>
      <c r="F703">
        <v>6859663.1500000004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-0.90566037735849048</v>
      </c>
      <c r="Q703">
        <f t="shared" si="995"/>
        <v>-6212525.116981132</v>
      </c>
      <c r="R703">
        <f t="shared" si="996"/>
        <v>-68320503.999971136</v>
      </c>
      <c r="S703">
        <f t="shared" si="997"/>
        <v>-683.2050399997114</v>
      </c>
      <c r="T703">
        <f t="shared" si="998"/>
        <v>-0.68320503999971138</v>
      </c>
    </row>
    <row r="704" spans="1:20" x14ac:dyDescent="0.25">
      <c r="A704" s="5">
        <v>43889</v>
      </c>
      <c r="B704">
        <v>0.30990000000000001</v>
      </c>
      <c r="C704">
        <v>0.3306</v>
      </c>
      <c r="D704">
        <v>0.28339999999999999</v>
      </c>
      <c r="E704">
        <v>0.30599999999999999</v>
      </c>
      <c r="F704">
        <v>13997334.279999999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-4.2372881355932222E-2</v>
      </c>
      <c r="Q704">
        <f t="shared" si="995"/>
        <v>-593107.38474576292</v>
      </c>
      <c r="R704">
        <f t="shared" si="996"/>
        <v>-62107978.88299001</v>
      </c>
      <c r="S704">
        <f t="shared" si="997"/>
        <v>-621.07978882990005</v>
      </c>
      <c r="T704">
        <f t="shared" si="998"/>
        <v>-0.6210797888299</v>
      </c>
    </row>
    <row r="705" spans="1:20" x14ac:dyDescent="0.25">
      <c r="A705" s="5">
        <v>43888</v>
      </c>
      <c r="B705">
        <v>0.30270000000000002</v>
      </c>
      <c r="C705">
        <v>0.33189999999999997</v>
      </c>
      <c r="D705">
        <v>0.27610000000000001</v>
      </c>
      <c r="E705">
        <v>0.30990000000000001</v>
      </c>
      <c r="F705">
        <v>17791692.219999999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0.21146953405017996</v>
      </c>
      <c r="Q705">
        <f t="shared" si="995"/>
        <v>3762400.8637276115</v>
      </c>
      <c r="R705">
        <f t="shared" si="996"/>
        <v>-61514871.498244248</v>
      </c>
      <c r="S705">
        <f t="shared" si="997"/>
        <v>-615.14871498244247</v>
      </c>
      <c r="T705">
        <f t="shared" si="998"/>
        <v>-0.6151487149824425</v>
      </c>
    </row>
    <row r="706" spans="1:20" x14ac:dyDescent="0.25">
      <c r="A706" s="5">
        <v>43887</v>
      </c>
      <c r="B706">
        <v>0.32719999999999999</v>
      </c>
      <c r="C706">
        <v>0.33410000000000001</v>
      </c>
      <c r="D706">
        <v>0.26540000000000002</v>
      </c>
      <c r="E706">
        <v>0.30270000000000002</v>
      </c>
      <c r="F706">
        <v>22094658.82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8.5880640465793565E-2</v>
      </c>
      <c r="Q706">
        <f t="shared" si="995"/>
        <v>1897503.4503347948</v>
      </c>
      <c r="R706">
        <f t="shared" si="996"/>
        <v>-65277272.361971863</v>
      </c>
      <c r="S706">
        <f t="shared" si="997"/>
        <v>-652.77272361971859</v>
      </c>
      <c r="T706">
        <f t="shared" si="998"/>
        <v>-0.65277272361971861</v>
      </c>
    </row>
    <row r="707" spans="1:20" x14ac:dyDescent="0.25">
      <c r="A707" s="5">
        <v>43886</v>
      </c>
      <c r="B707">
        <v>0.36499999999999999</v>
      </c>
      <c r="C707">
        <v>0.36499999999999999</v>
      </c>
      <c r="D707">
        <v>0.31530000000000002</v>
      </c>
      <c r="E707">
        <v>0.3266</v>
      </c>
      <c r="F707">
        <v>20066170.579999998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-0.54527162977867261</v>
      </c>
      <c r="Q707">
        <f t="shared" si="995"/>
        <v>-10941513.535573451</v>
      </c>
      <c r="R707">
        <f t="shared" si="996"/>
        <v>-67174775.812306657</v>
      </c>
      <c r="S707">
        <f t="shared" si="997"/>
        <v>-671.74775812306655</v>
      </c>
      <c r="T707">
        <f t="shared" si="998"/>
        <v>-0.67174775812306653</v>
      </c>
    </row>
    <row r="708" spans="1:20" x14ac:dyDescent="0.25">
      <c r="A708" s="5">
        <v>43885</v>
      </c>
      <c r="B708">
        <v>0.40260000000000001</v>
      </c>
      <c r="C708">
        <v>0.40500000000000003</v>
      </c>
      <c r="D708">
        <v>0.35249999999999998</v>
      </c>
      <c r="E708">
        <v>0.36499999999999999</v>
      </c>
      <c r="F708">
        <v>13996187.640000001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-0.52380952380952384</v>
      </c>
      <c r="Q708">
        <f t="shared" si="995"/>
        <v>-7331336.3828571439</v>
      </c>
      <c r="R708">
        <f t="shared" si="996"/>
        <v>-56233262.276733212</v>
      </c>
      <c r="S708">
        <f t="shared" si="997"/>
        <v>-562.33262276733217</v>
      </c>
      <c r="T708">
        <f t="shared" si="998"/>
        <v>-0.5623326227673322</v>
      </c>
    </row>
    <row r="709" spans="1:20" x14ac:dyDescent="0.25">
      <c r="A709" s="5">
        <v>43884</v>
      </c>
      <c r="B709">
        <v>0.40539999999999998</v>
      </c>
      <c r="C709">
        <v>0.41220000000000001</v>
      </c>
      <c r="D709">
        <v>0.39460000000000001</v>
      </c>
      <c r="E709">
        <v>0.40329999999999999</v>
      </c>
      <c r="F709">
        <v>9460398.6500000004</v>
      </c>
      <c r="G709">
        <v>0</v>
      </c>
      <c r="L709" t="s">
        <v>8</v>
      </c>
      <c r="M709" t="s">
        <v>8</v>
      </c>
      <c r="N709" t="s">
        <v>8</v>
      </c>
      <c r="P709">
        <f t="shared" si="994"/>
        <v>-1.1363636363638263E-2</v>
      </c>
      <c r="Q709">
        <f t="shared" si="995"/>
        <v>-107504.53011365434</v>
      </c>
      <c r="R709">
        <f t="shared" si="996"/>
        <v>-48901925.893876068</v>
      </c>
      <c r="S709">
        <f t="shared" si="997"/>
        <v>-489.01925893876069</v>
      </c>
      <c r="T709">
        <f t="shared" si="998"/>
        <v>-0.48901925893876069</v>
      </c>
    </row>
    <row r="710" spans="1:20" x14ac:dyDescent="0.25">
      <c r="A710" s="5">
        <v>43883</v>
      </c>
      <c r="B710">
        <v>0.42220000000000002</v>
      </c>
      <c r="C710">
        <v>0.42349999999999999</v>
      </c>
      <c r="D710">
        <v>0.38529999999999998</v>
      </c>
      <c r="E710">
        <v>0.40670000000000001</v>
      </c>
      <c r="F710">
        <v>11338015.310000001</v>
      </c>
      <c r="G710">
        <v>0</v>
      </c>
      <c r="L710" t="s">
        <v>7</v>
      </c>
      <c r="M710" t="s">
        <v>8</v>
      </c>
      <c r="N710" t="s">
        <v>8</v>
      </c>
      <c r="P710">
        <f t="shared" ref="P710:P766" si="999">IF(C710=D710,0,((E710-D710)-(C710-E710))/(C710-D710))</f>
        <v>0.1204188481675405</v>
      </c>
      <c r="Q710">
        <f t="shared" ref="Q710:Q766" si="1000">F710*P710</f>
        <v>1365310.7441361398</v>
      </c>
      <c r="R710">
        <f t="shared" ref="R710:R766" si="1001">R711+Q710</f>
        <v>-48794421.363762416</v>
      </c>
      <c r="S710">
        <f t="shared" ref="S710:S766" si="1002">R710/100000</f>
        <v>-487.94421363762416</v>
      </c>
      <c r="T710">
        <f t="shared" ref="T710:T766" si="1003">S710/1000</f>
        <v>-0.48794421363762414</v>
      </c>
    </row>
    <row r="711" spans="1:20" x14ac:dyDescent="0.25">
      <c r="A711" s="5">
        <v>43882</v>
      </c>
      <c r="B711">
        <v>0.38929999999999998</v>
      </c>
      <c r="C711">
        <v>0.442</v>
      </c>
      <c r="D711">
        <v>0.38279999999999997</v>
      </c>
      <c r="E711">
        <v>0.42220000000000002</v>
      </c>
      <c r="F711">
        <v>25903722.5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0.33108108108108197</v>
      </c>
      <c r="Q711">
        <f t="shared" si="1000"/>
        <v>8576232.4493243471</v>
      </c>
      <c r="R711">
        <f t="shared" si="1001"/>
        <v>-50159732.107898556</v>
      </c>
      <c r="S711">
        <f t="shared" si="1002"/>
        <v>-501.59732107898554</v>
      </c>
      <c r="T711">
        <f t="shared" si="1003"/>
        <v>-0.50159732107898558</v>
      </c>
    </row>
    <row r="712" spans="1:20" x14ac:dyDescent="0.25">
      <c r="A712" s="5">
        <v>43881</v>
      </c>
      <c r="B712">
        <v>0.36520000000000002</v>
      </c>
      <c r="C712">
        <v>0.41599999999999998</v>
      </c>
      <c r="D712">
        <v>0.34749999999999998</v>
      </c>
      <c r="E712">
        <v>0.3896</v>
      </c>
      <c r="F712">
        <v>28434828.949999999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0.22919708029197147</v>
      </c>
      <c r="Q712">
        <f t="shared" si="1000"/>
        <v>6517179.7739416249</v>
      </c>
      <c r="R712">
        <f t="shared" si="1001"/>
        <v>-58735964.557222903</v>
      </c>
      <c r="S712">
        <f t="shared" si="1002"/>
        <v>-587.35964557222906</v>
      </c>
      <c r="T712">
        <f t="shared" si="1003"/>
        <v>-0.58735964557222908</v>
      </c>
    </row>
    <row r="713" spans="1:20" x14ac:dyDescent="0.25">
      <c r="A713" s="5">
        <v>43880</v>
      </c>
      <c r="B713">
        <v>0.38250000000000001</v>
      </c>
      <c r="C713">
        <v>0.44</v>
      </c>
      <c r="D713">
        <v>0.36049999999999999</v>
      </c>
      <c r="E713">
        <v>0.36330000000000001</v>
      </c>
      <c r="F713">
        <v>38771511.060000002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-0.92955974842767231</v>
      </c>
      <c r="Q713">
        <f t="shared" si="1000"/>
        <v>-36040436.067094319</v>
      </c>
      <c r="R713">
        <f t="shared" si="1001"/>
        <v>-65253144.331164531</v>
      </c>
      <c r="S713">
        <f t="shared" si="1002"/>
        <v>-652.53144331164526</v>
      </c>
      <c r="T713">
        <f t="shared" si="1003"/>
        <v>-0.65253144331164525</v>
      </c>
    </row>
    <row r="714" spans="1:20" x14ac:dyDescent="0.25">
      <c r="A714" s="5">
        <v>43879</v>
      </c>
      <c r="B714">
        <v>0.34749999999999998</v>
      </c>
      <c r="C714">
        <v>0.39500000000000002</v>
      </c>
      <c r="D714">
        <v>0.32319999999999999</v>
      </c>
      <c r="E714">
        <v>0.3826</v>
      </c>
      <c r="F714">
        <v>15254449.890000001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0.65459610027855109</v>
      </c>
      <c r="Q714">
        <f t="shared" si="1000"/>
        <v>9985503.409888573</v>
      </c>
      <c r="R714">
        <f t="shared" si="1001"/>
        <v>-29212708.264070213</v>
      </c>
      <c r="S714">
        <f t="shared" si="1002"/>
        <v>-292.12708264070216</v>
      </c>
      <c r="T714">
        <f t="shared" si="1003"/>
        <v>-0.29212708264070214</v>
      </c>
    </row>
    <row r="715" spans="1:20" x14ac:dyDescent="0.25">
      <c r="A715" s="5">
        <v>43878</v>
      </c>
      <c r="B715">
        <v>0.34920000000000001</v>
      </c>
      <c r="C715">
        <v>0.36580000000000001</v>
      </c>
      <c r="D715">
        <v>0.309</v>
      </c>
      <c r="E715">
        <v>0.34549999999999997</v>
      </c>
      <c r="F715">
        <v>16061555.65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0.28521126760563259</v>
      </c>
      <c r="Q715">
        <f t="shared" si="1000"/>
        <v>4580936.6466549104</v>
      </c>
      <c r="R715">
        <f t="shared" si="1001"/>
        <v>-39198211.673958786</v>
      </c>
      <c r="S715">
        <f t="shared" si="1002"/>
        <v>-391.98211673958787</v>
      </c>
      <c r="T715">
        <f t="shared" si="1003"/>
        <v>-0.39198211673958788</v>
      </c>
    </row>
    <row r="716" spans="1:20" x14ac:dyDescent="0.25">
      <c r="A716" s="5">
        <v>43877</v>
      </c>
      <c r="B716">
        <v>0.35949999999999999</v>
      </c>
      <c r="C716">
        <v>0.37380000000000002</v>
      </c>
      <c r="D716">
        <v>0.31890000000000002</v>
      </c>
      <c r="E716">
        <v>0.35</v>
      </c>
      <c r="F716">
        <v>16590383.66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0.13296903460837736</v>
      </c>
      <c r="Q716">
        <f t="shared" si="1000"/>
        <v>2206007.2990527982</v>
      </c>
      <c r="R716">
        <f t="shared" si="1001"/>
        <v>-43779148.320613697</v>
      </c>
      <c r="S716">
        <f t="shared" si="1002"/>
        <v>-437.79148320613695</v>
      </c>
      <c r="T716">
        <f t="shared" si="1003"/>
        <v>-0.43779148320613692</v>
      </c>
    </row>
    <row r="717" spans="1:20" x14ac:dyDescent="0.25">
      <c r="A717" s="5">
        <v>43876</v>
      </c>
      <c r="B717">
        <v>0.40360000000000001</v>
      </c>
      <c r="C717">
        <v>0.41889999999999999</v>
      </c>
      <c r="D717">
        <v>0.3483</v>
      </c>
      <c r="E717">
        <v>0.35949999999999999</v>
      </c>
      <c r="F717">
        <v>16387672.85</v>
      </c>
      <c r="G717">
        <v>0</v>
      </c>
      <c r="L717" t="s">
        <v>8</v>
      </c>
      <c r="M717" t="s">
        <v>7</v>
      </c>
      <c r="N717" t="s">
        <v>7</v>
      </c>
      <c r="P717">
        <f t="shared" si="999"/>
        <v>-0.68271954674220992</v>
      </c>
      <c r="Q717">
        <f t="shared" si="1000"/>
        <v>-11188184.580311619</v>
      </c>
      <c r="R717">
        <f t="shared" si="1001"/>
        <v>-45985155.619666494</v>
      </c>
      <c r="S717">
        <f t="shared" si="1002"/>
        <v>-459.85155619666494</v>
      </c>
      <c r="T717">
        <f t="shared" si="1003"/>
        <v>-0.45985155619666496</v>
      </c>
    </row>
    <row r="718" spans="1:20" x14ac:dyDescent="0.25">
      <c r="A718" s="5">
        <v>43875</v>
      </c>
      <c r="B718">
        <v>0.38519999999999999</v>
      </c>
      <c r="C718">
        <v>0.40600000000000003</v>
      </c>
      <c r="D718">
        <v>0.37830000000000003</v>
      </c>
      <c r="E718">
        <v>0.40360000000000001</v>
      </c>
      <c r="F718">
        <v>12422204.789999999</v>
      </c>
      <c r="G718">
        <v>0</v>
      </c>
      <c r="L718" t="s">
        <v>8</v>
      </c>
      <c r="M718" t="s">
        <v>7</v>
      </c>
      <c r="N718" t="s">
        <v>7</v>
      </c>
      <c r="P718">
        <f t="shared" si="999"/>
        <v>0.82671480144404241</v>
      </c>
      <c r="Q718">
        <f t="shared" si="1000"/>
        <v>10269620.566462081</v>
      </c>
      <c r="R718">
        <f t="shared" si="1001"/>
        <v>-34796971.039354876</v>
      </c>
      <c r="S718">
        <f t="shared" si="1002"/>
        <v>-347.96971039354878</v>
      </c>
      <c r="T718">
        <f t="shared" si="1003"/>
        <v>-0.34796971039354879</v>
      </c>
    </row>
    <row r="719" spans="1:20" x14ac:dyDescent="0.25">
      <c r="A719" s="5">
        <v>43874</v>
      </c>
      <c r="B719">
        <v>0.42320000000000002</v>
      </c>
      <c r="C719">
        <v>0.42920000000000003</v>
      </c>
      <c r="D719">
        <v>0.37509999999999999</v>
      </c>
      <c r="E719">
        <v>0.38429999999999997</v>
      </c>
      <c r="F719">
        <v>24135399.59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-0.65988909426987141</v>
      </c>
      <c r="Q719">
        <f t="shared" si="1000"/>
        <v>-15926686.975286527</v>
      </c>
      <c r="R719">
        <f t="shared" si="1001"/>
        <v>-45066591.605816953</v>
      </c>
      <c r="S719">
        <f t="shared" si="1002"/>
        <v>-450.6659160581695</v>
      </c>
      <c r="T719">
        <f t="shared" si="1003"/>
        <v>-0.45066591605816952</v>
      </c>
    </row>
    <row r="720" spans="1:20" x14ac:dyDescent="0.25">
      <c r="A720" s="5">
        <v>43873</v>
      </c>
      <c r="B720">
        <v>0.41610000000000003</v>
      </c>
      <c r="C720">
        <v>0.44450000000000001</v>
      </c>
      <c r="D720">
        <v>0.40849999999999997</v>
      </c>
      <c r="E720">
        <v>0.42299999999999999</v>
      </c>
      <c r="F720">
        <v>23092645.440000001</v>
      </c>
      <c r="G720">
        <v>0</v>
      </c>
      <c r="L720" t="s">
        <v>8</v>
      </c>
      <c r="M720" t="s">
        <v>7</v>
      </c>
      <c r="N720" t="s">
        <v>7</v>
      </c>
      <c r="P720">
        <f t="shared" si="999"/>
        <v>-0.19444444444444445</v>
      </c>
      <c r="Q720">
        <f t="shared" si="1000"/>
        <v>-4490236.6133333333</v>
      </c>
      <c r="R720">
        <f t="shared" si="1001"/>
        <v>-29139904.630530428</v>
      </c>
      <c r="S720">
        <f t="shared" si="1002"/>
        <v>-291.3990463053043</v>
      </c>
      <c r="T720">
        <f t="shared" si="1003"/>
        <v>-0.29139904630530428</v>
      </c>
    </row>
    <row r="721" spans="1:20" x14ac:dyDescent="0.25">
      <c r="A721" s="5">
        <v>43872</v>
      </c>
      <c r="B721">
        <v>0.40720000000000001</v>
      </c>
      <c r="C721">
        <v>0.42680000000000001</v>
      </c>
      <c r="D721">
        <v>0.39379999999999998</v>
      </c>
      <c r="E721">
        <v>0.41610000000000003</v>
      </c>
      <c r="F721">
        <v>17487922.34</v>
      </c>
      <c r="G721">
        <v>0</v>
      </c>
      <c r="L721" t="s">
        <v>7</v>
      </c>
      <c r="M721" t="s">
        <v>7</v>
      </c>
      <c r="N721" t="s">
        <v>7</v>
      </c>
      <c r="P721">
        <f t="shared" si="999"/>
        <v>0.35151515151515283</v>
      </c>
      <c r="Q721">
        <f t="shared" si="1000"/>
        <v>6147269.6710303258</v>
      </c>
      <c r="R721">
        <f t="shared" si="1001"/>
        <v>-24649668.017197095</v>
      </c>
      <c r="S721">
        <f t="shared" si="1002"/>
        <v>-246.49668017197095</v>
      </c>
      <c r="T721">
        <f t="shared" si="1003"/>
        <v>-0.24649668017197096</v>
      </c>
    </row>
    <row r="722" spans="1:20" x14ac:dyDescent="0.25">
      <c r="A722" s="5">
        <v>43871</v>
      </c>
      <c r="B722">
        <v>0.438</v>
      </c>
      <c r="C722">
        <v>0.44700000000000001</v>
      </c>
      <c r="D722">
        <v>0.39450000000000002</v>
      </c>
      <c r="E722">
        <v>0.40770000000000001</v>
      </c>
      <c r="F722">
        <v>21491398.579999998</v>
      </c>
      <c r="G722">
        <v>0</v>
      </c>
      <c r="L722" t="s">
        <v>7</v>
      </c>
      <c r="M722" t="s">
        <v>7</v>
      </c>
      <c r="N722" t="s">
        <v>7</v>
      </c>
      <c r="P722">
        <f t="shared" si="999"/>
        <v>-0.49714285714285744</v>
      </c>
      <c r="Q722">
        <f t="shared" si="1000"/>
        <v>-10684295.294057148</v>
      </c>
      <c r="R722">
        <f t="shared" si="1001"/>
        <v>-30796937.688227423</v>
      </c>
      <c r="S722">
        <f t="shared" si="1002"/>
        <v>-307.96937688227422</v>
      </c>
      <c r="T722">
        <f t="shared" si="1003"/>
        <v>-0.30796937688227422</v>
      </c>
    </row>
    <row r="723" spans="1:20" x14ac:dyDescent="0.25">
      <c r="A723" s="5">
        <v>43870</v>
      </c>
      <c r="B723">
        <v>0.40560000000000002</v>
      </c>
      <c r="C723">
        <v>0.45939999999999998</v>
      </c>
      <c r="D723">
        <v>0.40200000000000002</v>
      </c>
      <c r="E723">
        <v>0.438</v>
      </c>
      <c r="F723">
        <v>33283329.600000001</v>
      </c>
      <c r="G723">
        <v>0</v>
      </c>
      <c r="L723" t="s">
        <v>8</v>
      </c>
      <c r="M723" t="s">
        <v>8</v>
      </c>
      <c r="N723" t="s">
        <v>7</v>
      </c>
      <c r="P723">
        <f t="shared" si="999"/>
        <v>0.25435540069686435</v>
      </c>
      <c r="Q723">
        <f t="shared" si="1000"/>
        <v>8465794.6369338054</v>
      </c>
      <c r="R723">
        <f t="shared" si="1001"/>
        <v>-20112642.394170277</v>
      </c>
      <c r="S723">
        <f t="shared" si="1002"/>
        <v>-201.12642394170277</v>
      </c>
      <c r="T723">
        <f t="shared" si="1003"/>
        <v>-0.20112642394170277</v>
      </c>
    </row>
    <row r="724" spans="1:20" x14ac:dyDescent="0.25">
      <c r="A724" s="5">
        <v>43869</v>
      </c>
      <c r="B724">
        <v>0.41199999999999998</v>
      </c>
      <c r="C724">
        <v>0.437</v>
      </c>
      <c r="D724">
        <v>0.38109999999999999</v>
      </c>
      <c r="E724">
        <v>0.40560000000000002</v>
      </c>
      <c r="F724">
        <v>33734223.280000001</v>
      </c>
      <c r="G724">
        <v>0</v>
      </c>
      <c r="L724" t="s">
        <v>7</v>
      </c>
      <c r="M724" t="s">
        <v>7</v>
      </c>
      <c r="N724" t="s">
        <v>7</v>
      </c>
      <c r="P724">
        <f t="shared" si="999"/>
        <v>-0.12343470483005298</v>
      </c>
      <c r="Q724">
        <f t="shared" si="1000"/>
        <v>-4163973.8932379019</v>
      </c>
      <c r="R724">
        <f t="shared" si="1001"/>
        <v>-28578437.03110408</v>
      </c>
      <c r="S724">
        <f t="shared" si="1002"/>
        <v>-285.78437031104079</v>
      </c>
      <c r="T724">
        <f t="shared" si="1003"/>
        <v>-0.28578437031104081</v>
      </c>
    </row>
    <row r="725" spans="1:20" x14ac:dyDescent="0.25">
      <c r="A725" s="5">
        <v>43868</v>
      </c>
      <c r="B725">
        <v>0.45789999999999997</v>
      </c>
      <c r="C725">
        <v>0.47199999999999998</v>
      </c>
      <c r="D725">
        <v>0.3952</v>
      </c>
      <c r="E725">
        <v>0.4123</v>
      </c>
      <c r="F725">
        <v>33743648.609999999</v>
      </c>
      <c r="G725">
        <v>0</v>
      </c>
      <c r="L725" t="s">
        <v>7</v>
      </c>
      <c r="M725" t="s">
        <v>7</v>
      </c>
      <c r="N725" t="s">
        <v>7</v>
      </c>
      <c r="P725">
        <f t="shared" si="999"/>
        <v>-0.55468749999999978</v>
      </c>
      <c r="Q725">
        <f t="shared" si="1000"/>
        <v>-18717180.088359367</v>
      </c>
      <c r="R725">
        <f t="shared" si="1001"/>
        <v>-24414463.137866177</v>
      </c>
      <c r="S725">
        <f t="shared" si="1002"/>
        <v>-244.14463137866176</v>
      </c>
      <c r="T725">
        <f t="shared" si="1003"/>
        <v>-0.24414463137866177</v>
      </c>
    </row>
    <row r="726" spans="1:20" x14ac:dyDescent="0.25">
      <c r="A726" s="5">
        <v>43867</v>
      </c>
      <c r="B726">
        <v>0.43690000000000001</v>
      </c>
      <c r="C726">
        <v>0.48480000000000001</v>
      </c>
      <c r="D726">
        <v>0.41839999999999999</v>
      </c>
      <c r="E726">
        <v>0.45739999999999997</v>
      </c>
      <c r="F726">
        <v>42332157.990000002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0.17469879518072201</v>
      </c>
      <c r="Q726">
        <f t="shared" si="1000"/>
        <v>7395376.9982529748</v>
      </c>
      <c r="R726">
        <f t="shared" si="1001"/>
        <v>-5697283.0495068077</v>
      </c>
      <c r="S726">
        <f t="shared" si="1002"/>
        <v>-56.972830495068074</v>
      </c>
      <c r="T726">
        <f t="shared" si="1003"/>
        <v>-5.6972830495068072E-2</v>
      </c>
    </row>
    <row r="727" spans="1:20" x14ac:dyDescent="0.25">
      <c r="A727" s="5">
        <v>43866</v>
      </c>
      <c r="B727">
        <v>0.50939999999999996</v>
      </c>
      <c r="C727">
        <v>0.52759999999999996</v>
      </c>
      <c r="D727">
        <v>0.40250000000000002</v>
      </c>
      <c r="E727">
        <v>0.43690000000000001</v>
      </c>
      <c r="F727">
        <v>74987315.390000001</v>
      </c>
      <c r="G727">
        <v>0</v>
      </c>
      <c r="L727" t="s">
        <v>7</v>
      </c>
      <c r="M727" t="s">
        <v>7</v>
      </c>
      <c r="N727" t="s">
        <v>7</v>
      </c>
      <c r="P727">
        <f t="shared" si="999"/>
        <v>-0.45003996802557944</v>
      </c>
      <c r="Q727">
        <f t="shared" si="1000"/>
        <v>-33747289.02043964</v>
      </c>
      <c r="R727">
        <f t="shared" si="1001"/>
        <v>-13092660.047759783</v>
      </c>
      <c r="S727">
        <f t="shared" si="1002"/>
        <v>-130.92660047759782</v>
      </c>
      <c r="T727">
        <f t="shared" si="1003"/>
        <v>-0.13092660047759783</v>
      </c>
    </row>
    <row r="728" spans="1:20" x14ac:dyDescent="0.25">
      <c r="A728" s="5">
        <v>43865</v>
      </c>
      <c r="B728">
        <v>0.37090000000000001</v>
      </c>
      <c r="C728">
        <v>0.6</v>
      </c>
      <c r="D728">
        <v>0.3705</v>
      </c>
      <c r="E728">
        <v>0.5091</v>
      </c>
      <c r="F728">
        <v>136622639.53999999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0.20784313725490206</v>
      </c>
      <c r="Q728">
        <f t="shared" si="1000"/>
        <v>28396078.022039227</v>
      </c>
      <c r="R728">
        <f t="shared" si="1001"/>
        <v>20654628.972679857</v>
      </c>
      <c r="S728">
        <f t="shared" si="1002"/>
        <v>206.54628972679856</v>
      </c>
      <c r="T728">
        <f t="shared" si="1003"/>
        <v>0.20654628972679856</v>
      </c>
    </row>
    <row r="729" spans="1:20" x14ac:dyDescent="0.25">
      <c r="A729" s="5">
        <v>43864</v>
      </c>
      <c r="B729">
        <v>0.31759999999999999</v>
      </c>
      <c r="C729">
        <v>0.3795</v>
      </c>
      <c r="D729">
        <v>0.3115</v>
      </c>
      <c r="E729">
        <v>0.3705</v>
      </c>
      <c r="F729">
        <v>37447737.789999999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0.73529411764705865</v>
      </c>
      <c r="Q729">
        <f t="shared" si="1000"/>
        <v>27535101.316176463</v>
      </c>
      <c r="R729">
        <f t="shared" si="1001"/>
        <v>-7741449.04935937</v>
      </c>
      <c r="S729">
        <f t="shared" si="1002"/>
        <v>-77.414490493593703</v>
      </c>
      <c r="T729">
        <f t="shared" si="1003"/>
        <v>-7.741449049359371E-2</v>
      </c>
    </row>
    <row r="730" spans="1:20" x14ac:dyDescent="0.25">
      <c r="A730" s="5">
        <v>43863</v>
      </c>
      <c r="B730">
        <v>0.27389999999999998</v>
      </c>
      <c r="C730">
        <v>0.35799999999999998</v>
      </c>
      <c r="D730">
        <v>0.2576</v>
      </c>
      <c r="E730">
        <v>0.31759999999999999</v>
      </c>
      <c r="F730">
        <v>33250117.539999999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0.19521912350597617</v>
      </c>
      <c r="Q730">
        <f t="shared" si="1000"/>
        <v>6491058.8026294848</v>
      </c>
      <c r="R730">
        <f t="shared" si="1001"/>
        <v>-35276550.365535833</v>
      </c>
      <c r="S730">
        <f t="shared" si="1002"/>
        <v>-352.76550365535832</v>
      </c>
      <c r="T730">
        <f t="shared" si="1003"/>
        <v>-0.3527655036553583</v>
      </c>
    </row>
    <row r="731" spans="1:20" x14ac:dyDescent="0.25">
      <c r="A731" s="5">
        <v>43862</v>
      </c>
      <c r="B731">
        <v>0.25929999999999997</v>
      </c>
      <c r="C731">
        <v>0.28899999999999998</v>
      </c>
      <c r="D731">
        <v>0.24510000000000001</v>
      </c>
      <c r="E731">
        <v>0.27510000000000001</v>
      </c>
      <c r="F731">
        <v>15019916.99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0.36674259681093491</v>
      </c>
      <c r="Q731">
        <f t="shared" si="1000"/>
        <v>5508443.3607972814</v>
      </c>
      <c r="R731">
        <f t="shared" si="1001"/>
        <v>-41767609.168165319</v>
      </c>
      <c r="S731">
        <f t="shared" si="1002"/>
        <v>-417.67609168165319</v>
      </c>
      <c r="T731">
        <f t="shared" si="1003"/>
        <v>-0.41767609168165321</v>
      </c>
    </row>
    <row r="732" spans="1:20" x14ac:dyDescent="0.25">
      <c r="A732" s="5">
        <v>43861</v>
      </c>
      <c r="B732">
        <v>0.23799999999999999</v>
      </c>
      <c r="C732">
        <v>0.27850000000000003</v>
      </c>
      <c r="D732">
        <v>0.2351</v>
      </c>
      <c r="E732">
        <v>0.25890000000000002</v>
      </c>
      <c r="F732">
        <v>23997793.219999999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9.6774193548387261E-2</v>
      </c>
      <c r="Q732">
        <f t="shared" si="1000"/>
        <v>2322367.0858064555</v>
      </c>
      <c r="R732">
        <f t="shared" si="1001"/>
        <v>-47276052.528962597</v>
      </c>
      <c r="S732">
        <f t="shared" si="1002"/>
        <v>-472.76052528962595</v>
      </c>
      <c r="T732">
        <f t="shared" si="1003"/>
        <v>-0.47276052528962592</v>
      </c>
    </row>
    <row r="733" spans="1:20" x14ac:dyDescent="0.25">
      <c r="A733" s="5">
        <v>43860</v>
      </c>
      <c r="B733">
        <v>0.21129999999999999</v>
      </c>
      <c r="C733">
        <v>0.25</v>
      </c>
      <c r="D733">
        <v>0.20150000000000001</v>
      </c>
      <c r="E733">
        <v>0.23799999999999999</v>
      </c>
      <c r="F733">
        <v>12375239.789999999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0.50515463917525716</v>
      </c>
      <c r="Q733">
        <f t="shared" si="1000"/>
        <v>6251409.7908247346</v>
      </c>
      <c r="R733">
        <f t="shared" si="1001"/>
        <v>-49598419.614769049</v>
      </c>
      <c r="S733">
        <f t="shared" si="1002"/>
        <v>-495.98419614769051</v>
      </c>
      <c r="T733">
        <f t="shared" si="1003"/>
        <v>-0.49598419614769051</v>
      </c>
    </row>
    <row r="734" spans="1:20" x14ac:dyDescent="0.25">
      <c r="A734" s="5">
        <v>43859</v>
      </c>
      <c r="B734">
        <v>0.18659999999999999</v>
      </c>
      <c r="C734">
        <v>0.21679999999999999</v>
      </c>
      <c r="D734">
        <v>0.18559999999999999</v>
      </c>
      <c r="E734">
        <v>0.2112</v>
      </c>
      <c r="F734">
        <v>9621221.6999999993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0.64102564102564152</v>
      </c>
      <c r="Q734">
        <f t="shared" si="1000"/>
        <v>6167449.8076923117</v>
      </c>
      <c r="R734">
        <f t="shared" si="1001"/>
        <v>-55849829.405593783</v>
      </c>
      <c r="S734">
        <f t="shared" si="1002"/>
        <v>-558.49829405593778</v>
      </c>
      <c r="T734">
        <f t="shared" si="1003"/>
        <v>-0.55849829405593776</v>
      </c>
    </row>
    <row r="735" spans="1:20" x14ac:dyDescent="0.25">
      <c r="A735" s="5">
        <v>43858</v>
      </c>
      <c r="B735">
        <v>0.1774</v>
      </c>
      <c r="C735">
        <v>0.192</v>
      </c>
      <c r="D735">
        <v>0.1762</v>
      </c>
      <c r="E735">
        <v>0.186</v>
      </c>
      <c r="F735">
        <v>7994792.1699999999</v>
      </c>
      <c r="G735">
        <v>0</v>
      </c>
      <c r="L735" t="s">
        <v>7</v>
      </c>
      <c r="M735" t="s">
        <v>8</v>
      </c>
      <c r="N735" t="s">
        <v>8</v>
      </c>
      <c r="P735">
        <f t="shared" si="999"/>
        <v>0.24050632911392378</v>
      </c>
      <c r="Q735">
        <f t="shared" si="1000"/>
        <v>1922798.1168354407</v>
      </c>
      <c r="R735">
        <f t="shared" si="1001"/>
        <v>-62017279.213286094</v>
      </c>
      <c r="S735">
        <f t="shared" si="1002"/>
        <v>-620.17279213286099</v>
      </c>
      <c r="T735">
        <f t="shared" si="1003"/>
        <v>-0.62017279213286103</v>
      </c>
    </row>
    <row r="736" spans="1:20" x14ac:dyDescent="0.25">
      <c r="A736" s="5">
        <v>43857</v>
      </c>
      <c r="B736">
        <v>0.17449999999999999</v>
      </c>
      <c r="C736">
        <v>0.19620000000000001</v>
      </c>
      <c r="D736">
        <v>0.17449999999999999</v>
      </c>
      <c r="E736">
        <v>0.17749999999999999</v>
      </c>
      <c r="F736">
        <v>12866155.890000001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-0.72350230414746552</v>
      </c>
      <c r="Q736">
        <f t="shared" si="1000"/>
        <v>-9308693.4319354855</v>
      </c>
      <c r="R736">
        <f t="shared" si="1001"/>
        <v>-63940077.330121532</v>
      </c>
      <c r="S736">
        <f t="shared" si="1002"/>
        <v>-639.40077330121528</v>
      </c>
      <c r="T736">
        <f t="shared" si="1003"/>
        <v>-0.63940077330121525</v>
      </c>
    </row>
    <row r="737" spans="1:20" x14ac:dyDescent="0.25">
      <c r="A737" s="5">
        <v>43856</v>
      </c>
      <c r="B737">
        <v>0.1552</v>
      </c>
      <c r="C737">
        <v>0.17879999999999999</v>
      </c>
      <c r="D737">
        <v>0.155</v>
      </c>
      <c r="E737">
        <v>0.17380000000000001</v>
      </c>
      <c r="F737">
        <v>10236287.310000001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0.57983193277311096</v>
      </c>
      <c r="Q737">
        <f t="shared" si="1000"/>
        <v>5935326.255378169</v>
      </c>
      <c r="R737">
        <f t="shared" si="1001"/>
        <v>-54631383.898186043</v>
      </c>
      <c r="S737">
        <f t="shared" si="1002"/>
        <v>-546.31383898186039</v>
      </c>
      <c r="T737">
        <f t="shared" si="1003"/>
        <v>-0.54631383898186037</v>
      </c>
    </row>
    <row r="738" spans="1:20" x14ac:dyDescent="0.25">
      <c r="A738" s="5">
        <v>43855</v>
      </c>
      <c r="B738">
        <v>0.15110000000000001</v>
      </c>
      <c r="C738">
        <v>0.15670000000000001</v>
      </c>
      <c r="D738">
        <v>0.14729999999999999</v>
      </c>
      <c r="E738">
        <v>0.155</v>
      </c>
      <c r="F738">
        <v>2010882.38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0.63829787234042479</v>
      </c>
      <c r="Q738">
        <f t="shared" si="1000"/>
        <v>1283541.9446808496</v>
      </c>
      <c r="R738">
        <f t="shared" si="1001"/>
        <v>-60566710.153564215</v>
      </c>
      <c r="S738">
        <f t="shared" si="1002"/>
        <v>-605.66710153564213</v>
      </c>
      <c r="T738">
        <f t="shared" si="1003"/>
        <v>-0.60566710153564218</v>
      </c>
    </row>
    <row r="739" spans="1:20" x14ac:dyDescent="0.25">
      <c r="A739" s="5">
        <v>43854</v>
      </c>
      <c r="B739">
        <v>0.14949999999999999</v>
      </c>
      <c r="C739">
        <v>0.1517</v>
      </c>
      <c r="D739">
        <v>0.14319999999999999</v>
      </c>
      <c r="E739">
        <v>0.1507</v>
      </c>
      <c r="F739">
        <v>2209582.7599999998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0.76470588235294112</v>
      </c>
      <c r="Q739">
        <f t="shared" si="1000"/>
        <v>1689680.9341176469</v>
      </c>
      <c r="R739">
        <f t="shared" si="1001"/>
        <v>-61850252.098245062</v>
      </c>
      <c r="S739">
        <f t="shared" si="1002"/>
        <v>-618.50252098245062</v>
      </c>
      <c r="T739">
        <f t="shared" si="1003"/>
        <v>-0.61850252098245062</v>
      </c>
    </row>
    <row r="740" spans="1:20" x14ac:dyDescent="0.25">
      <c r="A740" s="5">
        <v>43853</v>
      </c>
      <c r="B740">
        <v>0.15640000000000001</v>
      </c>
      <c r="C740">
        <v>0.15859999999999999</v>
      </c>
      <c r="D740">
        <v>0.14829999999999999</v>
      </c>
      <c r="E740">
        <v>0.14949999999999999</v>
      </c>
      <c r="F740">
        <v>3657569.37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-0.76699029126213469</v>
      </c>
      <c r="Q740">
        <f t="shared" si="1000"/>
        <v>-2805320.1964077624</v>
      </c>
      <c r="R740">
        <f t="shared" si="1001"/>
        <v>-63539933.032362707</v>
      </c>
      <c r="S740">
        <f t="shared" si="1002"/>
        <v>-635.39933032362705</v>
      </c>
      <c r="T740">
        <f t="shared" si="1003"/>
        <v>-0.63539933032362705</v>
      </c>
    </row>
    <row r="741" spans="1:20" x14ac:dyDescent="0.25">
      <c r="A741" s="5">
        <v>43852</v>
      </c>
      <c r="B741">
        <v>0.15720000000000001</v>
      </c>
      <c r="C741">
        <v>0.1575</v>
      </c>
      <c r="D741">
        <v>0.15079999999999999</v>
      </c>
      <c r="E741">
        <v>0.15640000000000001</v>
      </c>
      <c r="F741">
        <v>2598525.33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0.67164179104477972</v>
      </c>
      <c r="Q741">
        <f t="shared" si="1000"/>
        <v>1745278.2067164273</v>
      </c>
      <c r="R741">
        <f t="shared" si="1001"/>
        <v>-60734612.835954942</v>
      </c>
      <c r="S741">
        <f t="shared" si="1002"/>
        <v>-607.34612835954943</v>
      </c>
      <c r="T741">
        <f t="shared" si="1003"/>
        <v>-0.60734612835954938</v>
      </c>
    </row>
    <row r="742" spans="1:20" x14ac:dyDescent="0.25">
      <c r="A742" s="5">
        <v>43851</v>
      </c>
      <c r="B742">
        <v>0.15110000000000001</v>
      </c>
      <c r="C742">
        <v>0.15989999999999999</v>
      </c>
      <c r="D742">
        <v>0.14849999999999999</v>
      </c>
      <c r="E742">
        <v>0.157</v>
      </c>
      <c r="F742">
        <v>3952019.15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0.49122807017544079</v>
      </c>
      <c r="Q742">
        <f t="shared" si="1000"/>
        <v>1941342.7403508858</v>
      </c>
      <c r="R742">
        <f t="shared" si="1001"/>
        <v>-62479891.042671368</v>
      </c>
      <c r="S742">
        <f t="shared" si="1002"/>
        <v>-624.79891042671363</v>
      </c>
      <c r="T742">
        <f t="shared" si="1003"/>
        <v>-0.62479891042671365</v>
      </c>
    </row>
    <row r="743" spans="1:20" x14ac:dyDescent="0.25">
      <c r="A743" s="5">
        <v>43850</v>
      </c>
      <c r="B743">
        <v>0.14610000000000001</v>
      </c>
      <c r="C743">
        <v>0.1522</v>
      </c>
      <c r="D743">
        <v>0.1414</v>
      </c>
      <c r="E743">
        <v>0.15110000000000001</v>
      </c>
      <c r="F743">
        <v>2667114.35</v>
      </c>
      <c r="G743">
        <v>0</v>
      </c>
      <c r="L743" t="s">
        <v>8</v>
      </c>
      <c r="M743" t="s">
        <v>8</v>
      </c>
      <c r="N743" t="s">
        <v>8</v>
      </c>
      <c r="P743">
        <f t="shared" si="999"/>
        <v>0.79629629629629828</v>
      </c>
      <c r="Q743">
        <f t="shared" si="1000"/>
        <v>2123813.2787037091</v>
      </c>
      <c r="R743">
        <f t="shared" si="1001"/>
        <v>-64421233.783022255</v>
      </c>
      <c r="S743">
        <f t="shared" si="1002"/>
        <v>-644.21233783022251</v>
      </c>
      <c r="T743">
        <f t="shared" si="1003"/>
        <v>-0.64421233783022247</v>
      </c>
    </row>
    <row r="744" spans="1:20" x14ac:dyDescent="0.25">
      <c r="A744" s="5">
        <v>43849</v>
      </c>
      <c r="B744">
        <v>0.1537</v>
      </c>
      <c r="C744">
        <v>0.157</v>
      </c>
      <c r="D744">
        <v>0.1401</v>
      </c>
      <c r="E744">
        <v>0.1462</v>
      </c>
      <c r="F744">
        <v>3764934.31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-0.27810650887574023</v>
      </c>
      <c r="Q744">
        <f t="shared" si="1000"/>
        <v>-1047052.737100594</v>
      </c>
      <c r="R744">
        <f t="shared" si="1001"/>
        <v>-66545047.061725967</v>
      </c>
      <c r="S744">
        <f t="shared" si="1002"/>
        <v>-665.45047061725961</v>
      </c>
      <c r="T744">
        <f t="shared" si="1003"/>
        <v>-0.66545047061725959</v>
      </c>
    </row>
    <row r="745" spans="1:20" x14ac:dyDescent="0.25">
      <c r="A745" s="5">
        <v>43848</v>
      </c>
      <c r="B745">
        <v>0.15279999999999999</v>
      </c>
      <c r="C745">
        <v>0.157</v>
      </c>
      <c r="D745">
        <v>0.14829999999999999</v>
      </c>
      <c r="E745">
        <v>0.1532</v>
      </c>
      <c r="F745">
        <v>4017001.43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0.12643678160919725</v>
      </c>
      <c r="Q745">
        <f t="shared" si="1000"/>
        <v>507896.73252874304</v>
      </c>
      <c r="R745">
        <f t="shared" si="1001"/>
        <v>-65497994.324625373</v>
      </c>
      <c r="S745">
        <f t="shared" si="1002"/>
        <v>-654.9799432462537</v>
      </c>
      <c r="T745">
        <f t="shared" si="1003"/>
        <v>-0.65497994324625375</v>
      </c>
    </row>
    <row r="746" spans="1:20" x14ac:dyDescent="0.25">
      <c r="A746" s="5">
        <v>43847</v>
      </c>
      <c r="B746">
        <v>0.14549999999999999</v>
      </c>
      <c r="C746">
        <v>0.16120000000000001</v>
      </c>
      <c r="D746">
        <v>0.14219999999999999</v>
      </c>
      <c r="E746">
        <v>0.1527</v>
      </c>
      <c r="F746">
        <v>7116286.9500000002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0.10526315789473684</v>
      </c>
      <c r="Q746">
        <f t="shared" si="1000"/>
        <v>749082.83684210526</v>
      </c>
      <c r="R746">
        <f t="shared" si="1001"/>
        <v>-66005891.057154119</v>
      </c>
      <c r="S746">
        <f t="shared" si="1002"/>
        <v>-660.05891057154122</v>
      </c>
      <c r="T746">
        <f t="shared" si="1003"/>
        <v>-0.6600589105715412</v>
      </c>
    </row>
    <row r="747" spans="1:20" x14ac:dyDescent="0.25">
      <c r="A747" s="5">
        <v>43846</v>
      </c>
      <c r="B747">
        <v>0.14280000000000001</v>
      </c>
      <c r="C747">
        <v>0.1462</v>
      </c>
      <c r="D747">
        <v>0.1328</v>
      </c>
      <c r="E747">
        <v>0.14549999999999999</v>
      </c>
      <c r="F747">
        <v>5413197.54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0.89552238805970052</v>
      </c>
      <c r="Q747">
        <f t="shared" si="1000"/>
        <v>4847639.5880596964</v>
      </c>
      <c r="R747">
        <f t="shared" si="1001"/>
        <v>-66754973.893996224</v>
      </c>
      <c r="S747">
        <f t="shared" si="1002"/>
        <v>-667.54973893996225</v>
      </c>
      <c r="T747">
        <f t="shared" si="1003"/>
        <v>-0.66754973893996228</v>
      </c>
    </row>
    <row r="748" spans="1:20" x14ac:dyDescent="0.25">
      <c r="A748" s="5">
        <v>43845</v>
      </c>
      <c r="B748">
        <v>0.13869999999999999</v>
      </c>
      <c r="C748">
        <v>0.152</v>
      </c>
      <c r="D748">
        <v>0.13550000000000001</v>
      </c>
      <c r="E748">
        <v>0.14299999999999999</v>
      </c>
      <c r="F748">
        <v>9404696.0099999998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-9.0909090909092743E-2</v>
      </c>
      <c r="Q748">
        <f t="shared" si="1000"/>
        <v>-854972.36454547173</v>
      </c>
      <c r="R748">
        <f t="shared" si="1001"/>
        <v>-71602613.482055917</v>
      </c>
      <c r="S748">
        <f t="shared" si="1002"/>
        <v>-716.02613482055915</v>
      </c>
      <c r="T748">
        <f t="shared" si="1003"/>
        <v>-0.7160261348205591</v>
      </c>
    </row>
    <row r="749" spans="1:20" x14ac:dyDescent="0.25">
      <c r="A749" s="5">
        <v>43844</v>
      </c>
      <c r="B749">
        <v>0.123</v>
      </c>
      <c r="C749">
        <v>0.14449999999999999</v>
      </c>
      <c r="D749">
        <v>0.123</v>
      </c>
      <c r="E749">
        <v>0.1394</v>
      </c>
      <c r="F749">
        <v>7454126.7599999998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0.52558139534883763</v>
      </c>
      <c r="Q749">
        <f t="shared" si="1000"/>
        <v>3917750.3436279101</v>
      </c>
      <c r="R749">
        <f t="shared" si="1001"/>
        <v>-70747641.117510453</v>
      </c>
      <c r="S749">
        <f t="shared" si="1002"/>
        <v>-707.47641117510454</v>
      </c>
      <c r="T749">
        <f t="shared" si="1003"/>
        <v>-0.70747641117510451</v>
      </c>
    </row>
    <row r="750" spans="1:20" x14ac:dyDescent="0.25">
      <c r="A750" s="5">
        <v>43843</v>
      </c>
      <c r="B750">
        <v>0.1215</v>
      </c>
      <c r="C750">
        <v>0.1239</v>
      </c>
      <c r="D750">
        <v>0.11899999999999999</v>
      </c>
      <c r="E750">
        <v>0.1229</v>
      </c>
      <c r="F750">
        <v>1238914.04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0.59183673469387732</v>
      </c>
      <c r="Q750">
        <f t="shared" si="1000"/>
        <v>733234.83999999973</v>
      </c>
      <c r="R750">
        <f t="shared" si="1001"/>
        <v>-74665391.461138368</v>
      </c>
      <c r="S750">
        <f t="shared" si="1002"/>
        <v>-746.6539146113837</v>
      </c>
      <c r="T750">
        <f t="shared" si="1003"/>
        <v>-0.74665391461138375</v>
      </c>
    </row>
    <row r="751" spans="1:20" x14ac:dyDescent="0.25">
      <c r="A751" s="5">
        <v>43842</v>
      </c>
      <c r="B751">
        <v>0.1201</v>
      </c>
      <c r="C751">
        <v>0.1227</v>
      </c>
      <c r="D751">
        <v>0.1195</v>
      </c>
      <c r="E751">
        <v>0.1215</v>
      </c>
      <c r="F751">
        <v>1329508.71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0.24999999999999784</v>
      </c>
      <c r="Q751">
        <f t="shared" si="1000"/>
        <v>332377.17749999714</v>
      </c>
      <c r="R751">
        <f t="shared" si="1001"/>
        <v>-75398626.301138371</v>
      </c>
      <c r="S751">
        <f t="shared" si="1002"/>
        <v>-753.9862630113837</v>
      </c>
      <c r="T751">
        <f t="shared" si="1003"/>
        <v>-0.75398626301138372</v>
      </c>
    </row>
    <row r="752" spans="1:20" x14ac:dyDescent="0.25">
      <c r="A752" s="5">
        <v>43841</v>
      </c>
      <c r="B752">
        <v>0.11899999999999999</v>
      </c>
      <c r="C752">
        <v>0.1226</v>
      </c>
      <c r="D752">
        <v>0.1183</v>
      </c>
      <c r="E752">
        <v>0.1202</v>
      </c>
      <c r="F752">
        <v>1586427.41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-0.11627906976744201</v>
      </c>
      <c r="Q752">
        <f t="shared" si="1000"/>
        <v>-184468.30348837233</v>
      </c>
      <c r="R752">
        <f t="shared" si="1001"/>
        <v>-75731003.478638366</v>
      </c>
      <c r="S752">
        <f t="shared" si="1002"/>
        <v>-757.31003478638365</v>
      </c>
      <c r="T752">
        <f t="shared" si="1003"/>
        <v>-0.7573100347863837</v>
      </c>
    </row>
    <row r="753" spans="1:20" x14ac:dyDescent="0.25">
      <c r="A753" s="5">
        <v>43840</v>
      </c>
      <c r="B753">
        <v>0.1172</v>
      </c>
      <c r="C753">
        <v>0.1193</v>
      </c>
      <c r="D753">
        <v>0.1145</v>
      </c>
      <c r="E753">
        <v>0.1188</v>
      </c>
      <c r="F753">
        <v>1423030.66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0.79166666666666641</v>
      </c>
      <c r="Q753">
        <f t="shared" si="1000"/>
        <v>1126565.9391666662</v>
      </c>
      <c r="R753">
        <f t="shared" si="1001"/>
        <v>-75546535.175149992</v>
      </c>
      <c r="S753">
        <f t="shared" si="1002"/>
        <v>-755.46535175149995</v>
      </c>
      <c r="T753">
        <f t="shared" si="1003"/>
        <v>-0.75546535175149998</v>
      </c>
    </row>
    <row r="754" spans="1:20" x14ac:dyDescent="0.25">
      <c r="A754" s="5">
        <v>43839</v>
      </c>
      <c r="B754">
        <v>0.1166</v>
      </c>
      <c r="C754">
        <v>0.11899999999999999</v>
      </c>
      <c r="D754">
        <v>0.1152</v>
      </c>
      <c r="E754">
        <v>0.1167</v>
      </c>
      <c r="F754">
        <v>1446619.53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-0.21052631578947253</v>
      </c>
      <c r="Q754">
        <f t="shared" si="1000"/>
        <v>-304551.47999999835</v>
      </c>
      <c r="R754">
        <f t="shared" si="1001"/>
        <v>-76673101.114316657</v>
      </c>
      <c r="S754">
        <f t="shared" si="1002"/>
        <v>-766.7310111431666</v>
      </c>
      <c r="T754">
        <f t="shared" si="1003"/>
        <v>-0.76673101114316655</v>
      </c>
    </row>
    <row r="755" spans="1:20" x14ac:dyDescent="0.25">
      <c r="A755" s="5">
        <v>43838</v>
      </c>
      <c r="B755">
        <v>0.1205</v>
      </c>
      <c r="C755">
        <v>0.12089999999999999</v>
      </c>
      <c r="D755">
        <v>0.1138</v>
      </c>
      <c r="E755">
        <v>0.1171</v>
      </c>
      <c r="F755">
        <v>3602262.14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-7.042253521126772E-2</v>
      </c>
      <c r="Q755">
        <f t="shared" si="1000"/>
        <v>-253680.43239436662</v>
      </c>
      <c r="R755">
        <f t="shared" si="1001"/>
        <v>-76368549.634316653</v>
      </c>
      <c r="S755">
        <f t="shared" si="1002"/>
        <v>-763.68549634316651</v>
      </c>
      <c r="T755">
        <f t="shared" si="1003"/>
        <v>-0.76368549634316651</v>
      </c>
    </row>
    <row r="756" spans="1:20" x14ac:dyDescent="0.25">
      <c r="A756" s="5">
        <v>43837</v>
      </c>
      <c r="B756">
        <v>0.12520000000000001</v>
      </c>
      <c r="C756">
        <v>0.12709999999999999</v>
      </c>
      <c r="D756">
        <v>0.1183</v>
      </c>
      <c r="E756">
        <v>0.1201</v>
      </c>
      <c r="F756">
        <v>7858398.8600000003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-0.59090909090909127</v>
      </c>
      <c r="Q756">
        <f t="shared" si="1000"/>
        <v>-4643599.326363639</v>
      </c>
      <c r="R756">
        <f t="shared" si="1001"/>
        <v>-76114869.201922283</v>
      </c>
      <c r="S756">
        <f t="shared" si="1002"/>
        <v>-761.14869201922284</v>
      </c>
      <c r="T756">
        <f t="shared" si="1003"/>
        <v>-0.76114869201922286</v>
      </c>
    </row>
    <row r="757" spans="1:20" x14ac:dyDescent="0.25">
      <c r="A757" s="5">
        <v>43836</v>
      </c>
      <c r="B757">
        <v>0.1134</v>
      </c>
      <c r="C757">
        <v>0.13750000000000001</v>
      </c>
      <c r="D757">
        <v>0.113</v>
      </c>
      <c r="E757">
        <v>0.12479999999999999</v>
      </c>
      <c r="F757">
        <v>4594129.8899999997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-3.6734693877552058E-2</v>
      </c>
      <c r="Q757">
        <f t="shared" si="1000"/>
        <v>-168763.9551428619</v>
      </c>
      <c r="R757">
        <f t="shared" si="1001"/>
        <v>-71471269.875558645</v>
      </c>
      <c r="S757">
        <f t="shared" si="1002"/>
        <v>-714.71269875558642</v>
      </c>
      <c r="T757">
        <f t="shared" si="1003"/>
        <v>-0.71471269875558641</v>
      </c>
    </row>
    <row r="758" spans="1:20" x14ac:dyDescent="0.25">
      <c r="A758" s="5">
        <v>43835</v>
      </c>
      <c r="B758">
        <v>0.114</v>
      </c>
      <c r="C758">
        <v>0.1176</v>
      </c>
      <c r="D758">
        <v>0.1132</v>
      </c>
      <c r="E758">
        <v>0.1135</v>
      </c>
      <c r="F758">
        <v>1319448.69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-0.86363636363635976</v>
      </c>
      <c r="Q758">
        <f t="shared" si="1000"/>
        <v>-1139523.8686363585</v>
      </c>
      <c r="R758">
        <f t="shared" si="1001"/>
        <v>-71302505.920415789</v>
      </c>
      <c r="S758">
        <f t="shared" si="1002"/>
        <v>-713.02505920415786</v>
      </c>
      <c r="T758">
        <f t="shared" si="1003"/>
        <v>-0.71302505920415782</v>
      </c>
    </row>
    <row r="759" spans="1:20" x14ac:dyDescent="0.25">
      <c r="A759" s="5">
        <v>43834</v>
      </c>
      <c r="B759">
        <v>0.11459999999999999</v>
      </c>
      <c r="C759">
        <v>0.1147</v>
      </c>
      <c r="D759">
        <v>0.1124</v>
      </c>
      <c r="E759">
        <v>0.1139</v>
      </c>
      <c r="F759">
        <v>963759.81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0.30434782608695965</v>
      </c>
      <c r="Q759">
        <f t="shared" si="1000"/>
        <v>293318.20304348128</v>
      </c>
      <c r="R759">
        <f t="shared" si="1001"/>
        <v>-70162982.051779434</v>
      </c>
      <c r="S759">
        <f t="shared" si="1002"/>
        <v>-701.62982051779431</v>
      </c>
      <c r="T759">
        <f t="shared" si="1003"/>
        <v>-0.70162982051779432</v>
      </c>
    </row>
    <row r="760" spans="1:20" x14ac:dyDescent="0.25">
      <c r="A760" s="5">
        <v>43833</v>
      </c>
      <c r="B760">
        <v>0.1094</v>
      </c>
      <c r="C760">
        <v>0.1154</v>
      </c>
      <c r="D760">
        <v>0.1066</v>
      </c>
      <c r="E760">
        <v>0.1142</v>
      </c>
      <c r="F760">
        <v>2144168.9300000002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0.72727272727272585</v>
      </c>
      <c r="Q760">
        <f t="shared" si="1000"/>
        <v>1559395.5854545424</v>
      </c>
      <c r="R760">
        <f t="shared" si="1001"/>
        <v>-70456300.25482291</v>
      </c>
      <c r="S760">
        <f t="shared" si="1002"/>
        <v>-704.56300254822906</v>
      </c>
      <c r="T760">
        <f t="shared" si="1003"/>
        <v>-0.70456300254822901</v>
      </c>
    </row>
    <row r="761" spans="1:20" x14ac:dyDescent="0.25">
      <c r="A761" s="5">
        <v>43832</v>
      </c>
      <c r="B761">
        <v>0.11409999999999999</v>
      </c>
      <c r="C761">
        <v>0.1152</v>
      </c>
      <c r="D761">
        <v>0.1081</v>
      </c>
      <c r="E761">
        <v>0.1096</v>
      </c>
      <c r="F761">
        <v>1429388.4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-0.57746478873239371</v>
      </c>
      <c r="Q761">
        <f t="shared" si="1000"/>
        <v>-825421.47042253427</v>
      </c>
      <c r="R761">
        <f t="shared" si="1001"/>
        <v>-72015695.840277448</v>
      </c>
      <c r="S761">
        <f t="shared" si="1002"/>
        <v>-720.15695840277453</v>
      </c>
      <c r="T761">
        <f t="shared" si="1003"/>
        <v>-0.72015695840277449</v>
      </c>
    </row>
    <row r="762" spans="1:20" x14ac:dyDescent="0.25">
      <c r="A762" s="5">
        <v>43831</v>
      </c>
      <c r="B762">
        <v>0.11360000000000001</v>
      </c>
      <c r="C762">
        <v>0.1176</v>
      </c>
      <c r="D762">
        <v>0.1133</v>
      </c>
      <c r="E762">
        <v>0.11459999999999999</v>
      </c>
      <c r="F762">
        <v>746583.32</v>
      </c>
      <c r="G762">
        <v>0</v>
      </c>
      <c r="L762" t="s">
        <v>7</v>
      </c>
      <c r="M762" t="s">
        <v>8</v>
      </c>
      <c r="N762" t="s">
        <v>7</v>
      </c>
      <c r="P762">
        <f t="shared" si="999"/>
        <v>-0.39534883720930414</v>
      </c>
      <c r="Q762">
        <f t="shared" si="1000"/>
        <v>-295160.84744186181</v>
      </c>
      <c r="R762">
        <f t="shared" si="1001"/>
        <v>-71190274.369854912</v>
      </c>
      <c r="S762">
        <f t="shared" si="1002"/>
        <v>-711.9027436985491</v>
      </c>
      <c r="T762">
        <f t="shared" si="1003"/>
        <v>-0.71190274369854911</v>
      </c>
    </row>
    <row r="763" spans="1:20" x14ac:dyDescent="0.25">
      <c r="A763" s="5">
        <v>43830</v>
      </c>
      <c r="B763">
        <v>0.1153</v>
      </c>
      <c r="C763">
        <v>0.11700000000000001</v>
      </c>
      <c r="D763">
        <v>0.1124</v>
      </c>
      <c r="E763">
        <v>0.1139</v>
      </c>
      <c r="F763">
        <v>957332.45</v>
      </c>
      <c r="G763">
        <v>0</v>
      </c>
      <c r="L763" t="s">
        <v>7</v>
      </c>
      <c r="M763" t="s">
        <v>8</v>
      </c>
      <c r="N763" t="s">
        <v>7</v>
      </c>
      <c r="P763">
        <f t="shared" si="999"/>
        <v>-0.34782608695652212</v>
      </c>
      <c r="Q763">
        <f t="shared" si="1000"/>
        <v>-332985.20000000036</v>
      </c>
      <c r="R763">
        <f t="shared" si="1001"/>
        <v>-70895113.522413045</v>
      </c>
      <c r="S763">
        <f t="shared" si="1002"/>
        <v>-708.95113522413044</v>
      </c>
      <c r="T763">
        <f t="shared" si="1003"/>
        <v>-0.70895113522413045</v>
      </c>
    </row>
    <row r="764" spans="1:20" x14ac:dyDescent="0.25">
      <c r="A764" s="5">
        <v>43829</v>
      </c>
      <c r="B764">
        <v>0.11840000000000001</v>
      </c>
      <c r="C764">
        <v>0.11849999999999999</v>
      </c>
      <c r="D764">
        <v>0.115</v>
      </c>
      <c r="E764">
        <v>0.11559999999999999</v>
      </c>
      <c r="F764">
        <v>1009847.02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-0.65714285714286214</v>
      </c>
      <c r="Q764">
        <f t="shared" si="1000"/>
        <v>-663613.75600000506</v>
      </c>
      <c r="R764">
        <f t="shared" si="1001"/>
        <v>-70562128.322413042</v>
      </c>
      <c r="S764">
        <f t="shared" si="1002"/>
        <v>-705.62128322413037</v>
      </c>
      <c r="T764">
        <f t="shared" si="1003"/>
        <v>-0.70562128322413031</v>
      </c>
    </row>
    <row r="765" spans="1:20" x14ac:dyDescent="0.25">
      <c r="A765" s="5">
        <v>43828</v>
      </c>
      <c r="B765">
        <v>0.1179</v>
      </c>
      <c r="C765">
        <v>0.1201</v>
      </c>
      <c r="D765">
        <v>0.11700000000000001</v>
      </c>
      <c r="E765">
        <v>0.1182</v>
      </c>
      <c r="F765">
        <v>1185786.79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-0.22580645161290583</v>
      </c>
      <c r="Q765">
        <f t="shared" si="1000"/>
        <v>-267758.30741935794</v>
      </c>
      <c r="R765">
        <f t="shared" si="1001"/>
        <v>-69898514.56641303</v>
      </c>
      <c r="S765">
        <f t="shared" si="1002"/>
        <v>-698.9851456641303</v>
      </c>
      <c r="T765">
        <f t="shared" si="1003"/>
        <v>-0.69898514566413028</v>
      </c>
    </row>
    <row r="766" spans="1:20" x14ac:dyDescent="0.25">
      <c r="A766" s="5">
        <v>43827</v>
      </c>
      <c r="B766">
        <v>0.1196</v>
      </c>
      <c r="C766">
        <v>0.121</v>
      </c>
      <c r="D766">
        <v>0.1174</v>
      </c>
      <c r="E766">
        <v>0.11799999999999999</v>
      </c>
      <c r="F766">
        <v>954062.2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-0.66666666666667185</v>
      </c>
      <c r="Q766">
        <f t="shared" si="1000"/>
        <v>-636041.46666667156</v>
      </c>
      <c r="R766">
        <f t="shared" si="1001"/>
        <v>-69630756.25899367</v>
      </c>
      <c r="S766">
        <f t="shared" si="1002"/>
        <v>-696.30756258993665</v>
      </c>
      <c r="T766">
        <f t="shared" si="1003"/>
        <v>-0.69630756258993665</v>
      </c>
    </row>
    <row r="767" spans="1:20" x14ac:dyDescent="0.25">
      <c r="A767" s="5">
        <v>43826</v>
      </c>
      <c r="B767">
        <v>0.11940000000000001</v>
      </c>
      <c r="C767">
        <v>0.12039999999999999</v>
      </c>
      <c r="D767">
        <v>0.1137</v>
      </c>
      <c r="E767">
        <v>0.1196</v>
      </c>
      <c r="F767">
        <v>1474028.44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0.76119402985074758</v>
      </c>
      <c r="Q767">
        <f t="shared" ref="Q767:Q830" si="1005">F767*P767</f>
        <v>1122021.6483582109</v>
      </c>
      <c r="R767">
        <f t="shared" ref="R767:R830" si="1006">R768+Q767</f>
        <v>-68994714.792327002</v>
      </c>
      <c r="S767">
        <f t="shared" ref="S767:S830" si="1007">R767/100000</f>
        <v>-689.94714792326999</v>
      </c>
      <c r="T767">
        <f t="shared" ref="T767:T830" si="1008">S767/1000</f>
        <v>-0.68994714792326994</v>
      </c>
    </row>
    <row r="768" spans="1:20" x14ac:dyDescent="0.25">
      <c r="A768" s="5">
        <v>43825</v>
      </c>
      <c r="B768">
        <v>0.1206</v>
      </c>
      <c r="C768">
        <v>0.12479999999999999</v>
      </c>
      <c r="D768">
        <v>0.11799999999999999</v>
      </c>
      <c r="E768">
        <v>0.1195</v>
      </c>
      <c r="F768">
        <v>1414972.28</v>
      </c>
      <c r="G768">
        <v>0</v>
      </c>
      <c r="L768" t="s">
        <v>8</v>
      </c>
      <c r="M768" t="s">
        <v>8</v>
      </c>
      <c r="N768" t="s">
        <v>7</v>
      </c>
      <c r="P768">
        <f t="shared" si="1004"/>
        <v>-0.55882352941176439</v>
      </c>
      <c r="Q768">
        <f t="shared" si="1005"/>
        <v>-790719.80352941132</v>
      </c>
      <c r="R768">
        <f t="shared" si="1006"/>
        <v>-70116736.440685213</v>
      </c>
      <c r="S768">
        <f t="shared" si="1007"/>
        <v>-701.16736440685213</v>
      </c>
      <c r="T768">
        <f t="shared" si="1008"/>
        <v>-0.70116736440685212</v>
      </c>
    </row>
    <row r="769" spans="1:20" x14ac:dyDescent="0.25">
      <c r="A769" s="5">
        <v>43824</v>
      </c>
      <c r="B769">
        <v>0.1191</v>
      </c>
      <c r="C769">
        <v>0.1221</v>
      </c>
      <c r="D769">
        <v>0.1147</v>
      </c>
      <c r="E769">
        <v>0.1207</v>
      </c>
      <c r="F769">
        <v>1486355.96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0.62162162162162227</v>
      </c>
      <c r="Q769">
        <f t="shared" si="1005"/>
        <v>923951.00216216315</v>
      </c>
      <c r="R769">
        <f t="shared" si="1006"/>
        <v>-69326016.637155801</v>
      </c>
      <c r="S769">
        <f t="shared" si="1007"/>
        <v>-693.26016637155806</v>
      </c>
      <c r="T769">
        <f t="shared" si="1008"/>
        <v>-0.69326016637155807</v>
      </c>
    </row>
    <row r="770" spans="1:20" x14ac:dyDescent="0.25">
      <c r="A770" s="5">
        <v>43823</v>
      </c>
      <c r="B770">
        <v>0.1191</v>
      </c>
      <c r="C770">
        <v>0.12130000000000001</v>
      </c>
      <c r="D770">
        <v>0.1166</v>
      </c>
      <c r="E770">
        <v>0.11899999999999999</v>
      </c>
      <c r="F770">
        <v>883097.51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2.1276595744678464E-2</v>
      </c>
      <c r="Q770">
        <f t="shared" si="1005"/>
        <v>18789.308723402148</v>
      </c>
      <c r="R770">
        <f t="shared" si="1006"/>
        <v>-70249967.63931796</v>
      </c>
      <c r="S770">
        <f t="shared" si="1007"/>
        <v>-702.49967639317958</v>
      </c>
      <c r="T770">
        <f t="shared" si="1008"/>
        <v>-0.70249967639317956</v>
      </c>
    </row>
    <row r="771" spans="1:20" x14ac:dyDescent="0.25">
      <c r="A771" s="5">
        <v>43822</v>
      </c>
      <c r="B771">
        <v>0.12479999999999999</v>
      </c>
      <c r="C771">
        <v>0.1255</v>
      </c>
      <c r="D771">
        <v>0.1169</v>
      </c>
      <c r="E771">
        <v>0.1188</v>
      </c>
      <c r="F771">
        <v>1684809.66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-0.55813953488372103</v>
      </c>
      <c r="Q771">
        <f t="shared" si="1005"/>
        <v>-940358.88000000012</v>
      </c>
      <c r="R771">
        <f t="shared" si="1006"/>
        <v>-70268756.948041365</v>
      </c>
      <c r="S771">
        <f t="shared" si="1007"/>
        <v>-702.68756948041369</v>
      </c>
      <c r="T771">
        <f t="shared" si="1008"/>
        <v>-0.70268756948041367</v>
      </c>
    </row>
    <row r="772" spans="1:20" x14ac:dyDescent="0.25">
      <c r="A772" s="5">
        <v>43821</v>
      </c>
      <c r="B772">
        <v>0.1195</v>
      </c>
      <c r="C772">
        <v>0.1321</v>
      </c>
      <c r="D772">
        <v>0.1188</v>
      </c>
      <c r="E772">
        <v>0.12470000000000001</v>
      </c>
      <c r="F772">
        <v>1457019.09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-0.11278195488721716</v>
      </c>
      <c r="Q772">
        <f t="shared" si="1005"/>
        <v>-164325.46127819421</v>
      </c>
      <c r="R772">
        <f t="shared" si="1006"/>
        <v>-69328398.068041369</v>
      </c>
      <c r="S772">
        <f t="shared" si="1007"/>
        <v>-693.28398068041372</v>
      </c>
      <c r="T772">
        <f t="shared" si="1008"/>
        <v>-0.69328398068041375</v>
      </c>
    </row>
    <row r="773" spans="1:20" x14ac:dyDescent="0.25">
      <c r="A773" s="5">
        <v>43820</v>
      </c>
      <c r="B773">
        <v>0.1187</v>
      </c>
      <c r="C773">
        <v>0.1244</v>
      </c>
      <c r="D773">
        <v>0.1182</v>
      </c>
      <c r="E773">
        <v>0.11990000000000001</v>
      </c>
      <c r="F773">
        <v>2476563.19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-0.45161290322580394</v>
      </c>
      <c r="Q773">
        <f t="shared" si="1005"/>
        <v>-1118447.8922580583</v>
      </c>
      <c r="R773">
        <f t="shared" si="1006"/>
        <v>-69164072.606763169</v>
      </c>
      <c r="S773">
        <f t="shared" si="1007"/>
        <v>-691.6407260676317</v>
      </c>
      <c r="T773">
        <f t="shared" si="1008"/>
        <v>-0.69164072606763172</v>
      </c>
    </row>
    <row r="774" spans="1:20" x14ac:dyDescent="0.25">
      <c r="A774" s="5">
        <v>43819</v>
      </c>
      <c r="B774">
        <v>0.1174</v>
      </c>
      <c r="C774">
        <v>0.1197</v>
      </c>
      <c r="D774">
        <v>0.1152</v>
      </c>
      <c r="E774">
        <v>0.1186</v>
      </c>
      <c r="F774">
        <v>1560743.46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0.51111111111110985</v>
      </c>
      <c r="Q774">
        <f t="shared" si="1005"/>
        <v>797713.32399999804</v>
      </c>
      <c r="R774">
        <f t="shared" si="1006"/>
        <v>-68045624.714505106</v>
      </c>
      <c r="S774">
        <f t="shared" si="1007"/>
        <v>-680.45624714505107</v>
      </c>
      <c r="T774">
        <f t="shared" si="1008"/>
        <v>-0.68045624714505104</v>
      </c>
    </row>
    <row r="775" spans="1:20" x14ac:dyDescent="0.25">
      <c r="A775" s="5">
        <v>43818</v>
      </c>
      <c r="B775">
        <v>0.1203</v>
      </c>
      <c r="C775">
        <v>0.1215</v>
      </c>
      <c r="D775">
        <v>0.1149</v>
      </c>
      <c r="E775">
        <v>0.1172</v>
      </c>
      <c r="F775">
        <v>1607735.68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-0.30303030303030354</v>
      </c>
      <c r="Q775">
        <f t="shared" si="1005"/>
        <v>-487192.63030303112</v>
      </c>
      <c r="R775">
        <f t="shared" si="1006"/>
        <v>-68843338.038505107</v>
      </c>
      <c r="S775">
        <f t="shared" si="1007"/>
        <v>-688.43338038505112</v>
      </c>
      <c r="T775">
        <f t="shared" si="1008"/>
        <v>-0.68843338038505109</v>
      </c>
    </row>
    <row r="776" spans="1:20" x14ac:dyDescent="0.25">
      <c r="A776" s="5">
        <v>43817</v>
      </c>
      <c r="B776">
        <v>0.1096</v>
      </c>
      <c r="C776">
        <v>0.12180000000000001</v>
      </c>
      <c r="D776">
        <v>0.1076</v>
      </c>
      <c r="E776">
        <v>0.1202</v>
      </c>
      <c r="F776">
        <v>2673257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0.77464788732394319</v>
      </c>
      <c r="Q776">
        <f t="shared" si="1005"/>
        <v>2070832.8873239425</v>
      </c>
      <c r="R776">
        <f t="shared" si="1006"/>
        <v>-68356145.408202082</v>
      </c>
      <c r="S776">
        <f t="shared" si="1007"/>
        <v>-683.56145408202087</v>
      </c>
      <c r="T776">
        <f t="shared" si="1008"/>
        <v>-0.68356145408202085</v>
      </c>
    </row>
    <row r="777" spans="1:20" x14ac:dyDescent="0.25">
      <c r="A777" s="5">
        <v>43816</v>
      </c>
      <c r="B777">
        <v>0.1191</v>
      </c>
      <c r="C777">
        <v>0.1196</v>
      </c>
      <c r="D777">
        <v>0.1075</v>
      </c>
      <c r="E777">
        <v>0.1096</v>
      </c>
      <c r="F777">
        <v>2306827.4700000002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-0.65289256198347034</v>
      </c>
      <c r="Q777">
        <f t="shared" si="1005"/>
        <v>-1506110.4969421471</v>
      </c>
      <c r="R777">
        <f t="shared" si="1006"/>
        <v>-70426978.295526028</v>
      </c>
      <c r="S777">
        <f t="shared" si="1007"/>
        <v>-704.26978295526033</v>
      </c>
      <c r="T777">
        <f t="shared" si="1008"/>
        <v>-0.70426978295526033</v>
      </c>
    </row>
    <row r="778" spans="1:20" x14ac:dyDescent="0.25">
      <c r="A778" s="5">
        <v>43815</v>
      </c>
      <c r="B778">
        <v>0.126</v>
      </c>
      <c r="C778">
        <v>0.1273</v>
      </c>
      <c r="D778">
        <v>0.1176</v>
      </c>
      <c r="E778">
        <v>0.1195</v>
      </c>
      <c r="F778">
        <v>2421916.58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-0.60824742268041265</v>
      </c>
      <c r="Q778">
        <f t="shared" si="1005"/>
        <v>-1473124.5177319595</v>
      </c>
      <c r="R778">
        <f t="shared" si="1006"/>
        <v>-68920867.79858388</v>
      </c>
      <c r="S778">
        <f t="shared" si="1007"/>
        <v>-689.20867798583879</v>
      </c>
      <c r="T778">
        <f t="shared" si="1008"/>
        <v>-0.68920867798583874</v>
      </c>
    </row>
    <row r="779" spans="1:20" x14ac:dyDescent="0.25">
      <c r="A779" s="5">
        <v>43814</v>
      </c>
      <c r="B779">
        <v>0.12709999999999999</v>
      </c>
      <c r="C779">
        <v>0.128</v>
      </c>
      <c r="D779">
        <v>0.1212</v>
      </c>
      <c r="E779">
        <v>0.126</v>
      </c>
      <c r="F779">
        <v>1312771.17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0.41176470588235248</v>
      </c>
      <c r="Q779">
        <f t="shared" si="1005"/>
        <v>540552.83470588166</v>
      </c>
      <c r="R779">
        <f t="shared" si="1006"/>
        <v>-67447743.280851915</v>
      </c>
      <c r="S779">
        <f t="shared" si="1007"/>
        <v>-674.47743280851921</v>
      </c>
      <c r="T779">
        <f t="shared" si="1008"/>
        <v>-0.67447743280851924</v>
      </c>
    </row>
    <row r="780" spans="1:20" x14ac:dyDescent="0.25">
      <c r="A780" s="5">
        <v>43813</v>
      </c>
      <c r="B780">
        <v>0.13220000000000001</v>
      </c>
      <c r="C780">
        <v>0.1333</v>
      </c>
      <c r="D780">
        <v>0.12559999999999999</v>
      </c>
      <c r="E780">
        <v>0.1275</v>
      </c>
      <c r="F780">
        <v>1052812.81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-0.506493506493504</v>
      </c>
      <c r="Q780">
        <f t="shared" si="1005"/>
        <v>-533242.85181817925</v>
      </c>
      <c r="R780">
        <f t="shared" si="1006"/>
        <v>-67988296.11555779</v>
      </c>
      <c r="S780">
        <f t="shared" si="1007"/>
        <v>-679.88296115557785</v>
      </c>
      <c r="T780">
        <f t="shared" si="1008"/>
        <v>-0.67988296115557789</v>
      </c>
    </row>
    <row r="781" spans="1:20" x14ac:dyDescent="0.25">
      <c r="A781" s="5">
        <v>43812</v>
      </c>
      <c r="B781">
        <v>0.1321</v>
      </c>
      <c r="C781">
        <v>0.13519999999999999</v>
      </c>
      <c r="D781">
        <v>0.13100000000000001</v>
      </c>
      <c r="E781">
        <v>0.1323</v>
      </c>
      <c r="F781">
        <v>1489291.22</v>
      </c>
      <c r="G781">
        <v>0</v>
      </c>
      <c r="L781" t="s">
        <v>8</v>
      </c>
      <c r="M781" t="s">
        <v>8</v>
      </c>
      <c r="N781" t="s">
        <v>7</v>
      </c>
      <c r="P781">
        <f t="shared" si="1004"/>
        <v>-0.38095238095238032</v>
      </c>
      <c r="Q781">
        <f t="shared" si="1005"/>
        <v>-567349.03619047522</v>
      </c>
      <c r="R781">
        <f t="shared" si="1006"/>
        <v>-67455053.263739616</v>
      </c>
      <c r="S781">
        <f t="shared" si="1007"/>
        <v>-674.55053263739615</v>
      </c>
      <c r="T781">
        <f t="shared" si="1008"/>
        <v>-0.67455053263739617</v>
      </c>
    </row>
    <row r="782" spans="1:20" x14ac:dyDescent="0.25">
      <c r="A782" s="5">
        <v>43811</v>
      </c>
      <c r="B782">
        <v>0.12820000000000001</v>
      </c>
      <c r="C782">
        <v>0.13639999999999999</v>
      </c>
      <c r="D782">
        <v>0.126</v>
      </c>
      <c r="E782">
        <v>0.13239999999999999</v>
      </c>
      <c r="F782">
        <v>3101950.54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0.23076923076922953</v>
      </c>
      <c r="Q782">
        <f t="shared" si="1005"/>
        <v>715834.73999999615</v>
      </c>
      <c r="R782">
        <f t="shared" si="1006"/>
        <v>-66887704.227549136</v>
      </c>
      <c r="S782">
        <f t="shared" si="1007"/>
        <v>-668.87704227549136</v>
      </c>
      <c r="T782">
        <f t="shared" si="1008"/>
        <v>-0.66887704227549138</v>
      </c>
    </row>
    <row r="783" spans="1:20" x14ac:dyDescent="0.25">
      <c r="A783" s="5">
        <v>43810</v>
      </c>
      <c r="B783">
        <v>0.1244</v>
      </c>
      <c r="C783">
        <v>0.1298</v>
      </c>
      <c r="D783">
        <v>0.124</v>
      </c>
      <c r="E783">
        <v>0.12790000000000001</v>
      </c>
      <c r="F783">
        <v>1057224.79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0.34482758620690168</v>
      </c>
      <c r="Q783">
        <f t="shared" si="1005"/>
        <v>364560.27241379855</v>
      </c>
      <c r="R783">
        <f t="shared" si="1006"/>
        <v>-67603538.96754913</v>
      </c>
      <c r="S783">
        <f t="shared" si="1007"/>
        <v>-676.03538967549127</v>
      </c>
      <c r="T783">
        <f t="shared" si="1008"/>
        <v>-0.67603538967549126</v>
      </c>
    </row>
    <row r="784" spans="1:20" x14ac:dyDescent="0.25">
      <c r="A784" s="5">
        <v>43809</v>
      </c>
      <c r="B784">
        <v>0.1333</v>
      </c>
      <c r="C784">
        <v>0.1346</v>
      </c>
      <c r="D784">
        <v>0.1231</v>
      </c>
      <c r="E784">
        <v>0.1246</v>
      </c>
      <c r="F784">
        <v>2901968.26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-0.73913043478260843</v>
      </c>
      <c r="Q784">
        <f t="shared" si="1005"/>
        <v>-2144933.0617391295</v>
      </c>
      <c r="R784">
        <f t="shared" si="1006"/>
        <v>-67968099.239962935</v>
      </c>
      <c r="S784">
        <f t="shared" si="1007"/>
        <v>-679.6809923996293</v>
      </c>
      <c r="T784">
        <f t="shared" si="1008"/>
        <v>-0.67968099239962931</v>
      </c>
    </row>
    <row r="785" spans="1:20" x14ac:dyDescent="0.25">
      <c r="A785" s="5">
        <v>43808</v>
      </c>
      <c r="B785">
        <v>0.13550000000000001</v>
      </c>
      <c r="C785">
        <v>0.1386</v>
      </c>
      <c r="D785">
        <v>0.13159999999999999</v>
      </c>
      <c r="E785">
        <v>0.1336</v>
      </c>
      <c r="F785">
        <v>930984.88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-0.42857142857142855</v>
      </c>
      <c r="Q785">
        <f t="shared" si="1005"/>
        <v>-398993.51999999996</v>
      </c>
      <c r="R785">
        <f t="shared" si="1006"/>
        <v>-65823166.178223811</v>
      </c>
      <c r="S785">
        <f t="shared" si="1007"/>
        <v>-658.23166178223812</v>
      </c>
      <c r="T785">
        <f t="shared" si="1008"/>
        <v>-0.65823166178223813</v>
      </c>
    </row>
    <row r="786" spans="1:20" x14ac:dyDescent="0.25">
      <c r="A786" s="5">
        <v>43807</v>
      </c>
      <c r="B786">
        <v>0.13639999999999999</v>
      </c>
      <c r="C786">
        <v>0.13730000000000001</v>
      </c>
      <c r="D786">
        <v>0.13300000000000001</v>
      </c>
      <c r="E786">
        <v>0.13550000000000001</v>
      </c>
      <c r="F786">
        <v>1067852.54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0.16279069767442012</v>
      </c>
      <c r="Q786">
        <f t="shared" si="1005"/>
        <v>173836.46000000162</v>
      </c>
      <c r="R786">
        <f t="shared" si="1006"/>
        <v>-65424172.658223808</v>
      </c>
      <c r="S786">
        <f t="shared" si="1007"/>
        <v>-654.24172658223813</v>
      </c>
      <c r="T786">
        <f t="shared" si="1008"/>
        <v>-0.65424172658223811</v>
      </c>
    </row>
    <row r="787" spans="1:20" x14ac:dyDescent="0.25">
      <c r="A787" s="5">
        <v>43806</v>
      </c>
      <c r="B787">
        <v>0.1343</v>
      </c>
      <c r="C787">
        <v>0.13750000000000001</v>
      </c>
      <c r="D787">
        <v>0.1336</v>
      </c>
      <c r="E787">
        <v>0.1363</v>
      </c>
      <c r="F787">
        <v>1172501.22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0.38461538461538353</v>
      </c>
      <c r="Q787">
        <f t="shared" si="1005"/>
        <v>450962.00769230642</v>
      </c>
      <c r="R787">
        <f t="shared" si="1006"/>
        <v>-65598009.118223809</v>
      </c>
      <c r="S787">
        <f t="shared" si="1007"/>
        <v>-655.98009118223808</v>
      </c>
      <c r="T787">
        <f t="shared" si="1008"/>
        <v>-0.6559800911822381</v>
      </c>
    </row>
    <row r="788" spans="1:20" x14ac:dyDescent="0.25">
      <c r="A788" s="5">
        <v>43805</v>
      </c>
      <c r="B788">
        <v>0.1328</v>
      </c>
      <c r="C788">
        <v>0.1353</v>
      </c>
      <c r="D788">
        <v>0.13039999999999999</v>
      </c>
      <c r="E788">
        <v>0.13500000000000001</v>
      </c>
      <c r="F788">
        <v>924058.04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0.87755102040816579</v>
      </c>
      <c r="Q788">
        <f t="shared" si="1005"/>
        <v>810908.07591836969</v>
      </c>
      <c r="R788">
        <f t="shared" si="1006"/>
        <v>-66048971.125916116</v>
      </c>
      <c r="S788">
        <f t="shared" si="1007"/>
        <v>-660.48971125916114</v>
      </c>
      <c r="T788">
        <f t="shared" si="1008"/>
        <v>-0.66048971125916112</v>
      </c>
    </row>
    <row r="789" spans="1:20" x14ac:dyDescent="0.25">
      <c r="A789" s="5">
        <v>43804</v>
      </c>
      <c r="B789">
        <v>0.129</v>
      </c>
      <c r="C789">
        <v>0.13370000000000001</v>
      </c>
      <c r="D789">
        <v>0.12709999999999999</v>
      </c>
      <c r="E789">
        <v>0.1328</v>
      </c>
      <c r="F789">
        <v>1347500.59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0.72727272727272463</v>
      </c>
      <c r="Q789">
        <f t="shared" si="1005"/>
        <v>980000.42909090559</v>
      </c>
      <c r="R789">
        <f t="shared" si="1006"/>
        <v>-66859879.201834485</v>
      </c>
      <c r="S789">
        <f t="shared" si="1007"/>
        <v>-668.59879201834485</v>
      </c>
      <c r="T789">
        <f t="shared" si="1008"/>
        <v>-0.66859879201834482</v>
      </c>
    </row>
    <row r="790" spans="1:20" x14ac:dyDescent="0.25">
      <c r="A790" s="5">
        <v>43803</v>
      </c>
      <c r="B790">
        <v>0.13239999999999999</v>
      </c>
      <c r="C790">
        <v>0.13800000000000001</v>
      </c>
      <c r="D790">
        <v>0.1273</v>
      </c>
      <c r="E790">
        <v>0.1293</v>
      </c>
      <c r="F790">
        <v>2482004.81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-0.6261682242990656</v>
      </c>
      <c r="Q790">
        <f t="shared" si="1005"/>
        <v>-1554152.5445794398</v>
      </c>
      <c r="R790">
        <f t="shared" si="1006"/>
        <v>-67839879.630925387</v>
      </c>
      <c r="S790">
        <f t="shared" si="1007"/>
        <v>-678.39879630925384</v>
      </c>
      <c r="T790">
        <f t="shared" si="1008"/>
        <v>-0.67839879630925382</v>
      </c>
    </row>
    <row r="791" spans="1:20" x14ac:dyDescent="0.25">
      <c r="A791" s="5">
        <v>43802</v>
      </c>
      <c r="B791">
        <v>0.1308</v>
      </c>
      <c r="C791">
        <v>0.1353</v>
      </c>
      <c r="D791">
        <v>0.13059999999999999</v>
      </c>
      <c r="E791">
        <v>0.1331</v>
      </c>
      <c r="F791">
        <v>949041.62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6.3829787234041299E-2</v>
      </c>
      <c r="Q791">
        <f t="shared" si="1005"/>
        <v>60577.124680849876</v>
      </c>
      <c r="R791">
        <f t="shared" si="1006"/>
        <v>-66285727.086345948</v>
      </c>
      <c r="S791">
        <f t="shared" si="1007"/>
        <v>-662.85727086345946</v>
      </c>
      <c r="T791">
        <f t="shared" si="1008"/>
        <v>-0.66285727086345947</v>
      </c>
    </row>
    <row r="792" spans="1:20" x14ac:dyDescent="0.25">
      <c r="A792" s="5">
        <v>43801</v>
      </c>
      <c r="B792">
        <v>0.1338</v>
      </c>
      <c r="C792">
        <v>0.13450000000000001</v>
      </c>
      <c r="D792">
        <v>0.12939999999999999</v>
      </c>
      <c r="E792">
        <v>0.13150000000000001</v>
      </c>
      <c r="F792">
        <v>700933.13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-0.17647058823529027</v>
      </c>
      <c r="Q792">
        <f t="shared" si="1005"/>
        <v>-123694.08176470318</v>
      </c>
      <c r="R792">
        <f t="shared" si="1006"/>
        <v>-66346304.211026795</v>
      </c>
      <c r="S792">
        <f t="shared" si="1007"/>
        <v>-663.46304211026791</v>
      </c>
      <c r="T792">
        <f t="shared" si="1008"/>
        <v>-0.66346304211026785</v>
      </c>
    </row>
    <row r="793" spans="1:20" x14ac:dyDescent="0.25">
      <c r="A793" s="5">
        <v>43800</v>
      </c>
      <c r="B793">
        <v>0.13669999999999999</v>
      </c>
      <c r="C793">
        <v>0.13739999999999999</v>
      </c>
      <c r="D793">
        <v>0.12920000000000001</v>
      </c>
      <c r="E793">
        <v>0.1338</v>
      </c>
      <c r="F793">
        <v>1477169.9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0.12195121951219545</v>
      </c>
      <c r="Q793">
        <f t="shared" si="1005"/>
        <v>180142.6707317078</v>
      </c>
      <c r="R793">
        <f t="shared" si="1006"/>
        <v>-66222610.12926209</v>
      </c>
      <c r="S793">
        <f t="shared" si="1007"/>
        <v>-662.22610129262091</v>
      </c>
      <c r="T793">
        <f t="shared" si="1008"/>
        <v>-0.66222610129262094</v>
      </c>
    </row>
    <row r="794" spans="1:20" x14ac:dyDescent="0.25">
      <c r="A794" s="5">
        <v>43799</v>
      </c>
      <c r="B794">
        <v>0.1381</v>
      </c>
      <c r="C794">
        <v>0.13950000000000001</v>
      </c>
      <c r="D794">
        <v>0.13370000000000001</v>
      </c>
      <c r="E794">
        <v>0.1366</v>
      </c>
      <c r="F794">
        <v>1131856.25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-4.7854440716601577E-15</v>
      </c>
      <c r="Q794">
        <f t="shared" si="1005"/>
        <v>-5.4164347815339976E-9</v>
      </c>
      <c r="R794">
        <f t="shared" si="1006"/>
        <v>-66402752.799993798</v>
      </c>
      <c r="S794">
        <f t="shared" si="1007"/>
        <v>-664.027527999938</v>
      </c>
      <c r="T794">
        <f t="shared" si="1008"/>
        <v>-0.66402752799993803</v>
      </c>
    </row>
    <row r="795" spans="1:20" x14ac:dyDescent="0.25">
      <c r="A795" s="5">
        <v>43798</v>
      </c>
      <c r="B795">
        <v>0.1353</v>
      </c>
      <c r="C795">
        <v>0.14799999999999999</v>
      </c>
      <c r="D795">
        <v>0.1346</v>
      </c>
      <c r="E795">
        <v>0.13800000000000001</v>
      </c>
      <c r="F795">
        <v>2824657.32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-0.49253731343283352</v>
      </c>
      <c r="Q795">
        <f t="shared" si="1005"/>
        <v>-1391249.1277611875</v>
      </c>
      <c r="R795">
        <f t="shared" si="1006"/>
        <v>-66402752.799993791</v>
      </c>
      <c r="S795">
        <f t="shared" si="1007"/>
        <v>-664.02752799993789</v>
      </c>
      <c r="T795">
        <f t="shared" si="1008"/>
        <v>-0.66402752799993792</v>
      </c>
    </row>
    <row r="796" spans="1:20" x14ac:dyDescent="0.25">
      <c r="A796" s="5">
        <v>43797</v>
      </c>
      <c r="B796">
        <v>0.13769999999999999</v>
      </c>
      <c r="C796">
        <v>0.1396</v>
      </c>
      <c r="D796">
        <v>0.1331</v>
      </c>
      <c r="E796">
        <v>0.13519999999999999</v>
      </c>
      <c r="F796">
        <v>2583994.9500000002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-0.35384615384615725</v>
      </c>
      <c r="Q796">
        <f t="shared" si="1005"/>
        <v>-914336.67461539351</v>
      </c>
      <c r="R796">
        <f t="shared" si="1006"/>
        <v>-65011503.672232606</v>
      </c>
      <c r="S796">
        <f t="shared" si="1007"/>
        <v>-650.11503672232607</v>
      </c>
      <c r="T796">
        <f t="shared" si="1008"/>
        <v>-0.65011503672232607</v>
      </c>
    </row>
    <row r="797" spans="1:20" x14ac:dyDescent="0.25">
      <c r="A797" s="5">
        <v>43796</v>
      </c>
      <c r="B797">
        <v>0.12920000000000001</v>
      </c>
      <c r="C797">
        <v>0.14030000000000001</v>
      </c>
      <c r="D797">
        <v>0.1226</v>
      </c>
      <c r="E797">
        <v>0.13789999999999999</v>
      </c>
      <c r="F797">
        <v>5404412.2000000002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0.72881355932203251</v>
      </c>
      <c r="Q797">
        <f t="shared" si="1005"/>
        <v>3938808.8915254162</v>
      </c>
      <c r="R797">
        <f t="shared" si="1006"/>
        <v>-64097166.997617215</v>
      </c>
      <c r="S797">
        <f t="shared" si="1007"/>
        <v>-640.97166997617217</v>
      </c>
      <c r="T797">
        <f t="shared" si="1008"/>
        <v>-0.64097166997617216</v>
      </c>
    </row>
    <row r="798" spans="1:20" x14ac:dyDescent="0.25">
      <c r="A798" s="5">
        <v>43795</v>
      </c>
      <c r="B798">
        <v>0.12770000000000001</v>
      </c>
      <c r="C798">
        <v>0.13</v>
      </c>
      <c r="D798">
        <v>0.125</v>
      </c>
      <c r="E798">
        <v>0.12959999999999999</v>
      </c>
      <c r="F798">
        <v>1835564.59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0.83999999999999553</v>
      </c>
      <c r="Q798">
        <f t="shared" si="1005"/>
        <v>1541874.2555999919</v>
      </c>
      <c r="R798">
        <f t="shared" si="1006"/>
        <v>-68035975.889142632</v>
      </c>
      <c r="S798">
        <f t="shared" si="1007"/>
        <v>-680.35975889142628</v>
      </c>
      <c r="T798">
        <f t="shared" si="1008"/>
        <v>-0.6803597588914263</v>
      </c>
    </row>
    <row r="799" spans="1:20" x14ac:dyDescent="0.25">
      <c r="A799" s="5">
        <v>43794</v>
      </c>
      <c r="B799">
        <v>0.12429999999999999</v>
      </c>
      <c r="C799">
        <v>0.13200000000000001</v>
      </c>
      <c r="D799">
        <v>0.11409999999999999</v>
      </c>
      <c r="E799">
        <v>0.1273</v>
      </c>
      <c r="F799">
        <v>3587747.48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0.47486033519553</v>
      </c>
      <c r="Q799">
        <f t="shared" si="1005"/>
        <v>1703678.970949718</v>
      </c>
      <c r="R799">
        <f t="shared" si="1006"/>
        <v>-69577850.144742623</v>
      </c>
      <c r="S799">
        <f t="shared" si="1007"/>
        <v>-695.77850144742627</v>
      </c>
      <c r="T799">
        <f t="shared" si="1008"/>
        <v>-0.69577850144742626</v>
      </c>
    </row>
    <row r="800" spans="1:20" x14ac:dyDescent="0.25">
      <c r="A800" s="5">
        <v>43793</v>
      </c>
      <c r="B800">
        <v>0.13650000000000001</v>
      </c>
      <c r="C800">
        <v>0.13850000000000001</v>
      </c>
      <c r="D800">
        <v>0.12379999999999999</v>
      </c>
      <c r="E800">
        <v>0.12520000000000001</v>
      </c>
      <c r="F800">
        <v>1677546.39</v>
      </c>
      <c r="G800">
        <v>0</v>
      </c>
      <c r="L800" t="s">
        <v>8</v>
      </c>
      <c r="M800" t="s">
        <v>7</v>
      </c>
      <c r="N800" t="s">
        <v>7</v>
      </c>
      <c r="P800">
        <f t="shared" si="1004"/>
        <v>-0.80952380952380809</v>
      </c>
      <c r="Q800">
        <f t="shared" si="1005"/>
        <v>-1358013.7442857118</v>
      </c>
      <c r="R800">
        <f t="shared" si="1006"/>
        <v>-71281529.115692347</v>
      </c>
      <c r="S800">
        <f t="shared" si="1007"/>
        <v>-712.81529115692342</v>
      </c>
      <c r="T800">
        <f t="shared" si="1008"/>
        <v>-0.71281529115692344</v>
      </c>
    </row>
    <row r="801" spans="1:20" x14ac:dyDescent="0.25">
      <c r="A801" s="5">
        <v>43792</v>
      </c>
      <c r="B801">
        <v>0.13270000000000001</v>
      </c>
      <c r="C801">
        <v>0.13719999999999999</v>
      </c>
      <c r="D801">
        <v>0.12959999999999999</v>
      </c>
      <c r="E801">
        <v>0.1366</v>
      </c>
      <c r="F801">
        <v>1501206.14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0.84210526315789747</v>
      </c>
      <c r="Q801">
        <f t="shared" si="1005"/>
        <v>1264173.5915789513</v>
      </c>
      <c r="R801">
        <f t="shared" si="1006"/>
        <v>-69923515.37140663</v>
      </c>
      <c r="S801">
        <f t="shared" si="1007"/>
        <v>-699.23515371406631</v>
      </c>
      <c r="T801">
        <f t="shared" si="1008"/>
        <v>-0.6992351537140663</v>
      </c>
    </row>
    <row r="802" spans="1:20" x14ac:dyDescent="0.25">
      <c r="A802" s="5">
        <v>43791</v>
      </c>
      <c r="B802">
        <v>0.14460000000000001</v>
      </c>
      <c r="C802">
        <v>0.14610000000000001</v>
      </c>
      <c r="D802">
        <v>0.12</v>
      </c>
      <c r="E802">
        <v>0.13270000000000001</v>
      </c>
      <c r="F802">
        <v>4479891.67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-2.6819923371646671E-2</v>
      </c>
      <c r="Q802">
        <f t="shared" si="1005"/>
        <v>-120150.35130267823</v>
      </c>
      <c r="R802">
        <f t="shared" si="1006"/>
        <v>-71187688.962985575</v>
      </c>
      <c r="S802">
        <f t="shared" si="1007"/>
        <v>-711.87688962985578</v>
      </c>
      <c r="T802">
        <f t="shared" si="1008"/>
        <v>-0.71187688962985574</v>
      </c>
    </row>
    <row r="803" spans="1:20" x14ac:dyDescent="0.25">
      <c r="A803" s="5">
        <v>43790</v>
      </c>
      <c r="B803">
        <v>0.156</v>
      </c>
      <c r="C803">
        <v>0.1585</v>
      </c>
      <c r="D803">
        <v>0.14080000000000001</v>
      </c>
      <c r="E803">
        <v>0.14419999999999999</v>
      </c>
      <c r="F803">
        <v>3867458.03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-0.61581920903954945</v>
      </c>
      <c r="Q803">
        <f t="shared" si="1005"/>
        <v>-2381654.9450282538</v>
      </c>
      <c r="R803">
        <f t="shared" si="1006"/>
        <v>-71067538.611682892</v>
      </c>
      <c r="S803">
        <f t="shared" si="1007"/>
        <v>-710.67538611682892</v>
      </c>
      <c r="T803">
        <f t="shared" si="1008"/>
        <v>-0.7106753861168289</v>
      </c>
    </row>
    <row r="804" spans="1:20" x14ac:dyDescent="0.25">
      <c r="A804" s="5">
        <v>43789</v>
      </c>
      <c r="B804">
        <v>0.16300000000000001</v>
      </c>
      <c r="C804">
        <v>0.16550000000000001</v>
      </c>
      <c r="D804">
        <v>0.15429999999999999</v>
      </c>
      <c r="E804">
        <v>0.156</v>
      </c>
      <c r="F804">
        <v>3438631.37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-0.69642857142857062</v>
      </c>
      <c r="Q804">
        <f t="shared" si="1005"/>
        <v>-2394761.1326785688</v>
      </c>
      <c r="R804">
        <f t="shared" si="1006"/>
        <v>-68685883.666654631</v>
      </c>
      <c r="S804">
        <f t="shared" si="1007"/>
        <v>-686.85883666654627</v>
      </c>
      <c r="T804">
        <f t="shared" si="1008"/>
        <v>-0.68685883666654624</v>
      </c>
    </row>
    <row r="805" spans="1:20" x14ac:dyDescent="0.25">
      <c r="A805" s="5">
        <v>43788</v>
      </c>
      <c r="B805">
        <v>0.15629999999999999</v>
      </c>
      <c r="C805">
        <v>0.17499999999999999</v>
      </c>
      <c r="D805">
        <v>0.15429999999999999</v>
      </c>
      <c r="E805">
        <v>0.16309999999999999</v>
      </c>
      <c r="F805">
        <v>8042374.9699999997</v>
      </c>
      <c r="G805">
        <v>0</v>
      </c>
      <c r="L805" t="s">
        <v>8</v>
      </c>
      <c r="M805" t="s">
        <v>7</v>
      </c>
      <c r="N805" t="s">
        <v>7</v>
      </c>
      <c r="P805">
        <f t="shared" si="1004"/>
        <v>-0.14975845410627983</v>
      </c>
      <c r="Q805">
        <f t="shared" si="1005"/>
        <v>-1204413.6428502386</v>
      </c>
      <c r="R805">
        <f t="shared" si="1006"/>
        <v>-66291122.533976063</v>
      </c>
      <c r="S805">
        <f t="shared" si="1007"/>
        <v>-662.91122533976068</v>
      </c>
      <c r="T805">
        <f t="shared" si="1008"/>
        <v>-0.66291122533976066</v>
      </c>
    </row>
    <row r="806" spans="1:20" x14ac:dyDescent="0.25">
      <c r="A806" s="5">
        <v>43787</v>
      </c>
      <c r="B806">
        <v>0.1648</v>
      </c>
      <c r="C806">
        <v>0.17130000000000001</v>
      </c>
      <c r="D806">
        <v>0.15210000000000001</v>
      </c>
      <c r="E806">
        <v>0.15609999999999999</v>
      </c>
      <c r="F806">
        <v>6019785.3200000003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-0.5833333333333357</v>
      </c>
      <c r="Q806">
        <f t="shared" si="1005"/>
        <v>-3511541.436666681</v>
      </c>
      <c r="R806">
        <f t="shared" si="1006"/>
        <v>-65086708.891125828</v>
      </c>
      <c r="S806">
        <f t="shared" si="1007"/>
        <v>-650.86708891125829</v>
      </c>
      <c r="T806">
        <f t="shared" si="1008"/>
        <v>-0.65086708891125833</v>
      </c>
    </row>
    <row r="807" spans="1:20" x14ac:dyDescent="0.25">
      <c r="A807" s="5">
        <v>43786</v>
      </c>
      <c r="B807">
        <v>0.16059999999999999</v>
      </c>
      <c r="C807">
        <v>0.17100000000000001</v>
      </c>
      <c r="D807">
        <v>0.15859999999999999</v>
      </c>
      <c r="E807">
        <v>0.1646</v>
      </c>
      <c r="F807">
        <v>3836329.2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-3.2258064516129899E-2</v>
      </c>
      <c r="Q807">
        <f t="shared" si="1005"/>
        <v>-123752.55483871301</v>
      </c>
      <c r="R807">
        <f t="shared" si="1006"/>
        <v>-61575167.454459146</v>
      </c>
      <c r="S807">
        <f t="shared" si="1007"/>
        <v>-615.75167454459142</v>
      </c>
      <c r="T807">
        <f t="shared" si="1008"/>
        <v>-0.61575167454459145</v>
      </c>
    </row>
    <row r="808" spans="1:20" x14ac:dyDescent="0.25">
      <c r="A808" s="5">
        <v>43785</v>
      </c>
      <c r="B808">
        <v>0.15720000000000001</v>
      </c>
      <c r="C808">
        <v>0.16170000000000001</v>
      </c>
      <c r="D808">
        <v>0.15609999999999999</v>
      </c>
      <c r="E808">
        <v>0.16059999999999999</v>
      </c>
      <c r="F808">
        <v>1745902.28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0.60714285714285232</v>
      </c>
      <c r="Q808">
        <f t="shared" si="1005"/>
        <v>1060012.0985714202</v>
      </c>
      <c r="R808">
        <f t="shared" si="1006"/>
        <v>-61451414.899620436</v>
      </c>
      <c r="S808">
        <f t="shared" si="1007"/>
        <v>-614.51414899620431</v>
      </c>
      <c r="T808">
        <f t="shared" si="1008"/>
        <v>-0.61451414899620427</v>
      </c>
    </row>
    <row r="809" spans="1:20" x14ac:dyDescent="0.25">
      <c r="A809" s="5">
        <v>43784</v>
      </c>
      <c r="B809">
        <v>0.1598</v>
      </c>
      <c r="C809">
        <v>0.16159999999999999</v>
      </c>
      <c r="D809">
        <v>0.15509999999999999</v>
      </c>
      <c r="E809">
        <v>0.157</v>
      </c>
      <c r="F809">
        <v>2553709.5499999998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-0.41538461538461197</v>
      </c>
      <c r="Q809">
        <f t="shared" si="1005"/>
        <v>-1060771.6592307605</v>
      </c>
      <c r="R809">
        <f t="shared" si="1006"/>
        <v>-62511426.998191856</v>
      </c>
      <c r="S809">
        <f t="shared" si="1007"/>
        <v>-625.1142699819186</v>
      </c>
      <c r="T809">
        <f t="shared" si="1008"/>
        <v>-0.62511426998191855</v>
      </c>
    </row>
    <row r="810" spans="1:20" x14ac:dyDescent="0.25">
      <c r="A810" s="5">
        <v>43783</v>
      </c>
      <c r="B810">
        <v>0.1633</v>
      </c>
      <c r="C810">
        <v>0.16489999999999999</v>
      </c>
      <c r="D810">
        <v>0.15659999999999999</v>
      </c>
      <c r="E810">
        <v>0.1605</v>
      </c>
      <c r="F810">
        <v>4044300.68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-6.0240963855418383E-2</v>
      </c>
      <c r="Q810">
        <f t="shared" si="1005"/>
        <v>-243632.57108432401</v>
      </c>
      <c r="R810">
        <f t="shared" si="1006"/>
        <v>-61450655.338961095</v>
      </c>
      <c r="S810">
        <f t="shared" si="1007"/>
        <v>-614.50655338961099</v>
      </c>
      <c r="T810">
        <f t="shared" si="1008"/>
        <v>-0.61450655338961102</v>
      </c>
    </row>
    <row r="811" spans="1:20" x14ac:dyDescent="0.25">
      <c r="A811" s="5">
        <v>43782</v>
      </c>
      <c r="B811">
        <v>0.1605</v>
      </c>
      <c r="C811">
        <v>0.1656</v>
      </c>
      <c r="D811">
        <v>0.1593</v>
      </c>
      <c r="E811">
        <v>0.1633</v>
      </c>
      <c r="F811">
        <v>3804888.96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0.26984126984127094</v>
      </c>
      <c r="Q811">
        <f t="shared" si="1005"/>
        <v>1026716.0685714327</v>
      </c>
      <c r="R811">
        <f t="shared" si="1006"/>
        <v>-61207022.767876774</v>
      </c>
      <c r="S811">
        <f t="shared" si="1007"/>
        <v>-612.07022767876776</v>
      </c>
      <c r="T811">
        <f t="shared" si="1008"/>
        <v>-0.61207022767876773</v>
      </c>
    </row>
    <row r="812" spans="1:20" x14ac:dyDescent="0.25">
      <c r="A812" s="5">
        <v>43781</v>
      </c>
      <c r="B812">
        <v>0.16039999999999999</v>
      </c>
      <c r="C812">
        <v>0.16300000000000001</v>
      </c>
      <c r="D812">
        <v>0.15959999999999999</v>
      </c>
      <c r="E812">
        <v>0.161</v>
      </c>
      <c r="F812">
        <v>2940525.78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-0.17647058823529027</v>
      </c>
      <c r="Q812">
        <f t="shared" si="1005"/>
        <v>-518916.31411763572</v>
      </c>
      <c r="R812">
        <f t="shared" si="1006"/>
        <v>-62233738.836448207</v>
      </c>
      <c r="S812">
        <f t="shared" si="1007"/>
        <v>-622.33738836448208</v>
      </c>
      <c r="T812">
        <f t="shared" si="1008"/>
        <v>-0.62233738836448205</v>
      </c>
    </row>
    <row r="813" spans="1:20" x14ac:dyDescent="0.25">
      <c r="A813" s="5">
        <v>43780</v>
      </c>
      <c r="B813">
        <v>0.1671</v>
      </c>
      <c r="C813">
        <v>0.1678</v>
      </c>
      <c r="D813">
        <v>0.158</v>
      </c>
      <c r="E813">
        <v>0.16120000000000001</v>
      </c>
      <c r="F813">
        <v>2670040.88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-0.34693877551020258</v>
      </c>
      <c r="Q813">
        <f t="shared" si="1005"/>
        <v>-926340.71346938366</v>
      </c>
      <c r="R813">
        <f t="shared" si="1006"/>
        <v>-61714822.522330575</v>
      </c>
      <c r="S813">
        <f t="shared" si="1007"/>
        <v>-617.14822522330576</v>
      </c>
      <c r="T813">
        <f t="shared" si="1008"/>
        <v>-0.61714822522330581</v>
      </c>
    </row>
    <row r="814" spans="1:20" x14ac:dyDescent="0.25">
      <c r="A814" s="5">
        <v>43779</v>
      </c>
      <c r="B814">
        <v>0.1638</v>
      </c>
      <c r="C814">
        <v>0.16980000000000001</v>
      </c>
      <c r="D814">
        <v>0.1615</v>
      </c>
      <c r="E814">
        <v>0.16750000000000001</v>
      </c>
      <c r="F814">
        <v>2785613.45</v>
      </c>
      <c r="G814">
        <v>0</v>
      </c>
      <c r="L814" t="s">
        <v>7</v>
      </c>
      <c r="M814" t="s">
        <v>8</v>
      </c>
      <c r="N814" t="s">
        <v>7</v>
      </c>
      <c r="P814">
        <f t="shared" si="1004"/>
        <v>0.44578313253012147</v>
      </c>
      <c r="Q814">
        <f t="shared" si="1005"/>
        <v>1241779.4897590389</v>
      </c>
      <c r="R814">
        <f t="shared" si="1006"/>
        <v>-60788481.808861189</v>
      </c>
      <c r="S814">
        <f t="shared" si="1007"/>
        <v>-607.88481808861184</v>
      </c>
      <c r="T814">
        <f t="shared" si="1008"/>
        <v>-0.60788481808861183</v>
      </c>
    </row>
    <row r="815" spans="1:20" x14ac:dyDescent="0.25">
      <c r="A815" s="5">
        <v>43778</v>
      </c>
      <c r="B815">
        <v>0.1648</v>
      </c>
      <c r="C815">
        <v>0.1663</v>
      </c>
      <c r="D815">
        <v>0.16159999999999999</v>
      </c>
      <c r="E815">
        <v>0.16389999999999999</v>
      </c>
      <c r="F815">
        <v>2152034.89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-2.1276595744684369E-2</v>
      </c>
      <c r="Q815">
        <f t="shared" si="1005"/>
        <v>-45787.976382986293</v>
      </c>
      <c r="R815">
        <f t="shared" si="1006"/>
        <v>-62030261.298620224</v>
      </c>
      <c r="S815">
        <f t="shared" si="1007"/>
        <v>-620.30261298620223</v>
      </c>
      <c r="T815">
        <f t="shared" si="1008"/>
        <v>-0.62030261298620226</v>
      </c>
    </row>
    <row r="816" spans="1:20" x14ac:dyDescent="0.25">
      <c r="A816" s="5">
        <v>43777</v>
      </c>
      <c r="B816">
        <v>0.17979999999999999</v>
      </c>
      <c r="C816">
        <v>0.1804</v>
      </c>
      <c r="D816">
        <v>0.16020000000000001</v>
      </c>
      <c r="E816">
        <v>0.16470000000000001</v>
      </c>
      <c r="F816">
        <v>5790716.2000000002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-0.55445544554455395</v>
      </c>
      <c r="Q816">
        <f t="shared" si="1005"/>
        <v>-3210694.1306930664</v>
      </c>
      <c r="R816">
        <f t="shared" si="1006"/>
        <v>-61984473.322237238</v>
      </c>
      <c r="S816">
        <f t="shared" si="1007"/>
        <v>-619.84473322237238</v>
      </c>
      <c r="T816">
        <f t="shared" si="1008"/>
        <v>-0.61984473322237243</v>
      </c>
    </row>
    <row r="817" spans="1:20" x14ac:dyDescent="0.25">
      <c r="A817" s="5">
        <v>43776</v>
      </c>
      <c r="B817">
        <v>0.182</v>
      </c>
      <c r="C817">
        <v>0.18609999999999999</v>
      </c>
      <c r="D817">
        <v>0.17399999999999999</v>
      </c>
      <c r="E817">
        <v>0.1799</v>
      </c>
      <c r="F817">
        <v>4193359.05</v>
      </c>
      <c r="G817">
        <v>0</v>
      </c>
      <c r="L817" t="s">
        <v>8</v>
      </c>
      <c r="M817" t="s">
        <v>8</v>
      </c>
      <c r="N817" t="s">
        <v>7</v>
      </c>
      <c r="P817">
        <f t="shared" si="1004"/>
        <v>-2.4793388429749336E-2</v>
      </c>
      <c r="Q817">
        <f t="shared" si="1005"/>
        <v>-103967.57975205466</v>
      </c>
      <c r="R817">
        <f t="shared" si="1006"/>
        <v>-58773779.191544175</v>
      </c>
      <c r="S817">
        <f t="shared" si="1007"/>
        <v>-587.73779191544179</v>
      </c>
      <c r="T817">
        <f t="shared" si="1008"/>
        <v>-0.58773779191544184</v>
      </c>
    </row>
    <row r="818" spans="1:20" x14ac:dyDescent="0.25">
      <c r="A818" s="5">
        <v>43775</v>
      </c>
      <c r="B818">
        <v>0.18240000000000001</v>
      </c>
      <c r="C818">
        <v>0.1837</v>
      </c>
      <c r="D818">
        <v>0.1774</v>
      </c>
      <c r="E818">
        <v>0.18179999999999999</v>
      </c>
      <c r="F818">
        <v>2881754.14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0.39682539682539275</v>
      </c>
      <c r="Q818">
        <f t="shared" si="1005"/>
        <v>1143553.2301587185</v>
      </c>
      <c r="R818">
        <f t="shared" si="1006"/>
        <v>-58669811.611792117</v>
      </c>
      <c r="S818">
        <f t="shared" si="1007"/>
        <v>-586.69811611792113</v>
      </c>
      <c r="T818">
        <f t="shared" si="1008"/>
        <v>-0.58669811611792111</v>
      </c>
    </row>
    <row r="819" spans="1:20" x14ac:dyDescent="0.25">
      <c r="A819" s="5">
        <v>43774</v>
      </c>
      <c r="B819">
        <v>0.17699999999999999</v>
      </c>
      <c r="C819">
        <v>0.183</v>
      </c>
      <c r="D819">
        <v>0.17</v>
      </c>
      <c r="E819">
        <v>0.18210000000000001</v>
      </c>
      <c r="F819">
        <v>4730511.53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0.86153846153846381</v>
      </c>
      <c r="Q819">
        <f t="shared" si="1005"/>
        <v>4075517.6258461648</v>
      </c>
      <c r="R819">
        <f t="shared" si="1006"/>
        <v>-59813364.841950834</v>
      </c>
      <c r="S819">
        <f t="shared" si="1007"/>
        <v>-598.13364841950829</v>
      </c>
      <c r="T819">
        <f t="shared" si="1008"/>
        <v>-0.59813364841950833</v>
      </c>
    </row>
    <row r="820" spans="1:20" x14ac:dyDescent="0.25">
      <c r="A820" s="5">
        <v>43773</v>
      </c>
      <c r="B820">
        <v>0.16700000000000001</v>
      </c>
      <c r="C820">
        <v>0.17860000000000001</v>
      </c>
      <c r="D820">
        <v>0.16500000000000001</v>
      </c>
      <c r="E820">
        <v>0.1774</v>
      </c>
      <c r="F820">
        <v>3970649.71</v>
      </c>
      <c r="G820">
        <v>0</v>
      </c>
      <c r="L820" t="s">
        <v>8</v>
      </c>
      <c r="M820" t="s">
        <v>8</v>
      </c>
      <c r="N820" t="s">
        <v>7</v>
      </c>
      <c r="P820">
        <f t="shared" si="1004"/>
        <v>0.82352941176470495</v>
      </c>
      <c r="Q820">
        <f t="shared" si="1005"/>
        <v>3269946.8199999961</v>
      </c>
      <c r="R820">
        <f t="shared" si="1006"/>
        <v>-63888882.467796996</v>
      </c>
      <c r="S820">
        <f t="shared" si="1007"/>
        <v>-638.88882467796998</v>
      </c>
      <c r="T820">
        <f t="shared" si="1008"/>
        <v>-0.63888882467796992</v>
      </c>
    </row>
    <row r="821" spans="1:20" x14ac:dyDescent="0.25">
      <c r="A821" s="5">
        <v>43772</v>
      </c>
      <c r="B821">
        <v>0.16470000000000001</v>
      </c>
      <c r="C821">
        <v>0.1671</v>
      </c>
      <c r="D821">
        <v>0.16159999999999999</v>
      </c>
      <c r="E821">
        <v>0.1661</v>
      </c>
      <c r="F821">
        <v>3363874.94</v>
      </c>
      <c r="G821">
        <v>0</v>
      </c>
      <c r="L821" t="s">
        <v>7</v>
      </c>
      <c r="M821" t="s">
        <v>8</v>
      </c>
      <c r="N821" t="s">
        <v>7</v>
      </c>
      <c r="P821">
        <f t="shared" si="1004"/>
        <v>0.63636363636363635</v>
      </c>
      <c r="Q821">
        <f t="shared" si="1005"/>
        <v>2140647.689090909</v>
      </c>
      <c r="R821">
        <f t="shared" si="1006"/>
        <v>-67158829.287796989</v>
      </c>
      <c r="S821">
        <f t="shared" si="1007"/>
        <v>-671.58829287796993</v>
      </c>
      <c r="T821">
        <f t="shared" si="1008"/>
        <v>-0.67158829287796995</v>
      </c>
    </row>
    <row r="822" spans="1:20" x14ac:dyDescent="0.25">
      <c r="A822" s="5">
        <v>43771</v>
      </c>
      <c r="B822">
        <v>0.16250000000000001</v>
      </c>
      <c r="C822">
        <v>0.16489999999999999</v>
      </c>
      <c r="D822">
        <v>0.161</v>
      </c>
      <c r="E822">
        <v>0.1646</v>
      </c>
      <c r="F822">
        <v>2434360.46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0.84615384615384837</v>
      </c>
      <c r="Q822">
        <f t="shared" si="1005"/>
        <v>2059843.4661538515</v>
      </c>
      <c r="R822">
        <f t="shared" si="1006"/>
        <v>-69299476.976887897</v>
      </c>
      <c r="S822">
        <f t="shared" si="1007"/>
        <v>-692.994769768879</v>
      </c>
      <c r="T822">
        <f t="shared" si="1008"/>
        <v>-0.69299476976887897</v>
      </c>
    </row>
    <row r="823" spans="1:20" x14ac:dyDescent="0.25">
      <c r="A823" s="5">
        <v>43770</v>
      </c>
      <c r="B823">
        <v>0.16170000000000001</v>
      </c>
      <c r="C823">
        <v>0.16639999999999999</v>
      </c>
      <c r="D823">
        <v>0.16059999999999999</v>
      </c>
      <c r="E823">
        <v>0.1628</v>
      </c>
      <c r="F823">
        <v>3362423.21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-0.24137931034482493</v>
      </c>
      <c r="Q823">
        <f t="shared" si="1005"/>
        <v>-811619.39551723248</v>
      </c>
      <c r="R823">
        <f t="shared" si="1006"/>
        <v>-71359320.443041742</v>
      </c>
      <c r="S823">
        <f t="shared" si="1007"/>
        <v>-713.59320443041747</v>
      </c>
      <c r="T823">
        <f t="shared" si="1008"/>
        <v>-0.71359320443041752</v>
      </c>
    </row>
    <row r="824" spans="1:20" x14ac:dyDescent="0.25">
      <c r="A824" s="5">
        <v>43769</v>
      </c>
      <c r="B824">
        <v>0.16880000000000001</v>
      </c>
      <c r="C824">
        <v>0.16980000000000001</v>
      </c>
      <c r="D824">
        <v>0.15629999999999999</v>
      </c>
      <c r="E824">
        <v>0.1618</v>
      </c>
      <c r="F824">
        <v>3670657.27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-0.18518518518518517</v>
      </c>
      <c r="Q824">
        <f t="shared" si="1005"/>
        <v>-679751.34629629622</v>
      </c>
      <c r="R824">
        <f t="shared" si="1006"/>
        <v>-70547701.047524512</v>
      </c>
      <c r="S824">
        <f t="shared" si="1007"/>
        <v>-705.47701047524515</v>
      </c>
      <c r="T824">
        <f t="shared" si="1008"/>
        <v>-0.70547701047524514</v>
      </c>
    </row>
    <row r="825" spans="1:20" x14ac:dyDescent="0.25">
      <c r="A825" s="5">
        <v>43768</v>
      </c>
      <c r="B825">
        <v>0.16569999999999999</v>
      </c>
      <c r="C825">
        <v>0.1724</v>
      </c>
      <c r="D825">
        <v>0.16209999999999999</v>
      </c>
      <c r="E825">
        <v>0.16889999999999999</v>
      </c>
      <c r="F825">
        <v>5269955.9000000004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0.32038834951456274</v>
      </c>
      <c r="Q825">
        <f t="shared" si="1005"/>
        <v>1688432.4728155322</v>
      </c>
      <c r="R825">
        <f t="shared" si="1006"/>
        <v>-69867949.701228216</v>
      </c>
      <c r="S825">
        <f t="shared" si="1007"/>
        <v>-698.67949701228213</v>
      </c>
      <c r="T825">
        <f t="shared" si="1008"/>
        <v>-0.69867949701228216</v>
      </c>
    </row>
    <row r="826" spans="1:20" x14ac:dyDescent="0.25">
      <c r="A826" s="5">
        <v>43767</v>
      </c>
      <c r="B826">
        <v>0.1663</v>
      </c>
      <c r="C826">
        <v>0.17399999999999999</v>
      </c>
      <c r="D826">
        <v>0.1615</v>
      </c>
      <c r="E826">
        <v>0.16539999999999999</v>
      </c>
      <c r="F826">
        <v>4752283.16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-0.37600000000000128</v>
      </c>
      <c r="Q826">
        <f t="shared" si="1005"/>
        <v>-1786858.4681600062</v>
      </c>
      <c r="R826">
        <f t="shared" si="1006"/>
        <v>-71556382.174043745</v>
      </c>
      <c r="S826">
        <f t="shared" si="1007"/>
        <v>-715.56382174043745</v>
      </c>
      <c r="T826">
        <f t="shared" si="1008"/>
        <v>-0.71556382174043742</v>
      </c>
    </row>
    <row r="827" spans="1:20" x14ac:dyDescent="0.25">
      <c r="A827" s="5">
        <v>43766</v>
      </c>
      <c r="B827">
        <v>0.16500000000000001</v>
      </c>
      <c r="C827">
        <v>0.1774</v>
      </c>
      <c r="D827">
        <v>0.161</v>
      </c>
      <c r="E827">
        <v>0.1666</v>
      </c>
      <c r="F827">
        <v>9082540.0800000001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-0.31707317073170799</v>
      </c>
      <c r="Q827">
        <f t="shared" si="1005"/>
        <v>-2879829.7814634209</v>
      </c>
      <c r="R827">
        <f t="shared" si="1006"/>
        <v>-69769523.705883741</v>
      </c>
      <c r="S827">
        <f t="shared" si="1007"/>
        <v>-697.69523705883739</v>
      </c>
      <c r="T827">
        <f t="shared" si="1008"/>
        <v>-0.6976952370588374</v>
      </c>
    </row>
    <row r="828" spans="1:20" x14ac:dyDescent="0.25">
      <c r="A828" s="5">
        <v>43765</v>
      </c>
      <c r="B828">
        <v>0.14560000000000001</v>
      </c>
      <c r="C828">
        <v>0.17080000000000001</v>
      </c>
      <c r="D828">
        <v>0.14499999999999999</v>
      </c>
      <c r="E828">
        <v>0.16489999999999999</v>
      </c>
      <c r="F828">
        <v>10438775.279999999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0.54263565891472776</v>
      </c>
      <c r="Q828">
        <f t="shared" si="1005"/>
        <v>5664451.7023255713</v>
      </c>
      <c r="R828">
        <f t="shared" si="1006"/>
        <v>-66889693.924420327</v>
      </c>
      <c r="S828">
        <f t="shared" si="1007"/>
        <v>-668.89693924420328</v>
      </c>
      <c r="T828">
        <f t="shared" si="1008"/>
        <v>-0.66889693924420324</v>
      </c>
    </row>
    <row r="829" spans="1:20" x14ac:dyDescent="0.25">
      <c r="A829" s="5">
        <v>43764</v>
      </c>
      <c r="B829">
        <v>0.15110000000000001</v>
      </c>
      <c r="C829">
        <v>0.161</v>
      </c>
      <c r="D829">
        <v>0.1426</v>
      </c>
      <c r="E829">
        <v>0.1457</v>
      </c>
      <c r="F829">
        <v>7151058.4800000004</v>
      </c>
      <c r="G829">
        <v>0</v>
      </c>
      <c r="L829" t="s">
        <v>8</v>
      </c>
      <c r="M829" t="s">
        <v>7</v>
      </c>
      <c r="N829" t="s">
        <v>7</v>
      </c>
      <c r="P829">
        <f t="shared" si="1004"/>
        <v>-0.66304347826087051</v>
      </c>
      <c r="Q829">
        <f t="shared" si="1005"/>
        <v>-4741462.6878260942</v>
      </c>
      <c r="R829">
        <f t="shared" si="1006"/>
        <v>-72554145.626745895</v>
      </c>
      <c r="S829">
        <f t="shared" si="1007"/>
        <v>-725.5414562674589</v>
      </c>
      <c r="T829">
        <f t="shared" si="1008"/>
        <v>-0.72554145626745892</v>
      </c>
    </row>
    <row r="830" spans="1:20" x14ac:dyDescent="0.25">
      <c r="A830" s="5">
        <v>43763</v>
      </c>
      <c r="B830">
        <v>0.1404</v>
      </c>
      <c r="C830">
        <v>0.1535</v>
      </c>
      <c r="D830">
        <v>0.13950000000000001</v>
      </c>
      <c r="E830">
        <v>0.15110000000000001</v>
      </c>
      <c r="F830">
        <v>5970177.4299999997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0.65714285714285881</v>
      </c>
      <c r="Q830">
        <f t="shared" si="1005"/>
        <v>3923259.4540000097</v>
      </c>
      <c r="R830">
        <f t="shared" si="1006"/>
        <v>-67812682.938919798</v>
      </c>
      <c r="S830">
        <f t="shared" si="1007"/>
        <v>-678.12682938919795</v>
      </c>
      <c r="T830">
        <f t="shared" si="1008"/>
        <v>-0.67812682938919799</v>
      </c>
    </row>
    <row r="831" spans="1:20" x14ac:dyDescent="0.25">
      <c r="A831" s="5">
        <v>43762</v>
      </c>
      <c r="B831">
        <v>0.14099999999999999</v>
      </c>
      <c r="C831">
        <v>0.1431</v>
      </c>
      <c r="D831">
        <v>0.1381</v>
      </c>
      <c r="E831">
        <v>0.14080000000000001</v>
      </c>
      <c r="F831">
        <v>2082051.2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8.0000000000002222E-2</v>
      </c>
      <c r="Q831">
        <f t="shared" ref="Q831:Q894" si="1010">F831*P831</f>
        <v>166564.09600000462</v>
      </c>
      <c r="R831">
        <f t="shared" ref="R831:R894" si="1011">R832+Q831</f>
        <v>-71735942.392919809</v>
      </c>
      <c r="S831">
        <f t="shared" ref="S831:S894" si="1012">R831/100000</f>
        <v>-717.3594239291981</v>
      </c>
      <c r="T831">
        <f t="shared" ref="T831:T894" si="1013">S831/1000</f>
        <v>-0.71735942392919805</v>
      </c>
    </row>
    <row r="832" spans="1:20" x14ac:dyDescent="0.25">
      <c r="A832" s="5">
        <v>43761</v>
      </c>
      <c r="B832">
        <v>0.15359999999999999</v>
      </c>
      <c r="C832">
        <v>0.1545</v>
      </c>
      <c r="D832">
        <v>0.13619999999999999</v>
      </c>
      <c r="E832">
        <v>0.1414</v>
      </c>
      <c r="F832">
        <v>3157331.97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-0.43169398907103745</v>
      </c>
      <c r="Q832">
        <f t="shared" si="1010"/>
        <v>-1363001.2329508173</v>
      </c>
      <c r="R832">
        <f t="shared" si="1011"/>
        <v>-71902506.488919809</v>
      </c>
      <c r="S832">
        <f t="shared" si="1012"/>
        <v>-719.02506488919812</v>
      </c>
      <c r="T832">
        <f t="shared" si="1013"/>
        <v>-0.71902506488919815</v>
      </c>
    </row>
    <row r="833" spans="1:20" x14ac:dyDescent="0.25">
      <c r="A833" s="5">
        <v>43760</v>
      </c>
      <c r="B833">
        <v>0.15579999999999999</v>
      </c>
      <c r="C833">
        <v>0.15989999999999999</v>
      </c>
      <c r="D833">
        <v>0.15329999999999999</v>
      </c>
      <c r="E833">
        <v>0.15359999999999999</v>
      </c>
      <c r="F833">
        <v>2219070.27</v>
      </c>
      <c r="G833">
        <v>0</v>
      </c>
      <c r="L833" t="s">
        <v>7</v>
      </c>
      <c r="M833" t="s">
        <v>8</v>
      </c>
      <c r="N833" t="s">
        <v>7</v>
      </c>
      <c r="P833">
        <f t="shared" si="1009"/>
        <v>-0.90909090909091061</v>
      </c>
      <c r="Q833">
        <f t="shared" si="1010"/>
        <v>-2017336.6090909124</v>
      </c>
      <c r="R833">
        <f t="shared" si="1011"/>
        <v>-70539505.255968988</v>
      </c>
      <c r="S833">
        <f t="shared" si="1012"/>
        <v>-705.39505255968993</v>
      </c>
      <c r="T833">
        <f t="shared" si="1013"/>
        <v>-0.70539505255968993</v>
      </c>
    </row>
    <row r="834" spans="1:20" x14ac:dyDescent="0.25">
      <c r="A834" s="5">
        <v>43759</v>
      </c>
      <c r="B834">
        <v>0.1575</v>
      </c>
      <c r="C834">
        <v>0.1578</v>
      </c>
      <c r="D834">
        <v>0.15390000000000001</v>
      </c>
      <c r="E834">
        <v>0.15559999999999999</v>
      </c>
      <c r="F834">
        <v>2527358.89</v>
      </c>
      <c r="G834">
        <v>0</v>
      </c>
      <c r="L834" t="s">
        <v>7</v>
      </c>
      <c r="M834" t="s">
        <v>8</v>
      </c>
      <c r="N834" t="s">
        <v>7</v>
      </c>
      <c r="P834">
        <f t="shared" si="1009"/>
        <v>-0.12820512820513588</v>
      </c>
      <c r="Q834">
        <f t="shared" si="1010"/>
        <v>-324020.37051283993</v>
      </c>
      <c r="R834">
        <f t="shared" si="1011"/>
        <v>-68522168.646878079</v>
      </c>
      <c r="S834">
        <f t="shared" si="1012"/>
        <v>-685.22168646878083</v>
      </c>
      <c r="T834">
        <f t="shared" si="1013"/>
        <v>-0.68522168646878079</v>
      </c>
    </row>
    <row r="835" spans="1:20" x14ac:dyDescent="0.25">
      <c r="A835" s="5">
        <v>43758</v>
      </c>
      <c r="B835">
        <v>0.15359999999999999</v>
      </c>
      <c r="C835">
        <v>0.1583</v>
      </c>
      <c r="D835">
        <v>0.15179999999999999</v>
      </c>
      <c r="E835">
        <v>0.157</v>
      </c>
      <c r="F835">
        <v>1769032.35</v>
      </c>
      <c r="G835">
        <v>0</v>
      </c>
      <c r="L835" t="s">
        <v>7</v>
      </c>
      <c r="M835" t="s">
        <v>8</v>
      </c>
      <c r="N835" t="s">
        <v>7</v>
      </c>
      <c r="P835">
        <f t="shared" si="1009"/>
        <v>0.60000000000000175</v>
      </c>
      <c r="Q835">
        <f t="shared" si="1010"/>
        <v>1061419.4100000032</v>
      </c>
      <c r="R835">
        <f t="shared" si="1011"/>
        <v>-68198148.276365235</v>
      </c>
      <c r="S835">
        <f t="shared" si="1012"/>
        <v>-681.98148276365237</v>
      </c>
      <c r="T835">
        <f t="shared" si="1013"/>
        <v>-0.68198148276365234</v>
      </c>
    </row>
    <row r="836" spans="1:20" x14ac:dyDescent="0.25">
      <c r="A836" s="5">
        <v>43757</v>
      </c>
      <c r="B836">
        <v>0.15459999999999999</v>
      </c>
      <c r="C836">
        <v>0.17299999999999999</v>
      </c>
      <c r="D836">
        <v>0.152</v>
      </c>
      <c r="E836">
        <v>0.15379999999999999</v>
      </c>
      <c r="F836">
        <v>2212777.5099999998</v>
      </c>
      <c r="G836">
        <v>0</v>
      </c>
      <c r="L836" t="s">
        <v>8</v>
      </c>
      <c r="M836" t="s">
        <v>8</v>
      </c>
      <c r="N836" t="s">
        <v>7</v>
      </c>
      <c r="P836">
        <f t="shared" si="1009"/>
        <v>-0.82857142857142885</v>
      </c>
      <c r="Q836">
        <f t="shared" si="1010"/>
        <v>-1833444.2225714291</v>
      </c>
      <c r="R836">
        <f t="shared" si="1011"/>
        <v>-69259567.686365232</v>
      </c>
      <c r="S836">
        <f t="shared" si="1012"/>
        <v>-692.59567686365233</v>
      </c>
      <c r="T836">
        <f t="shared" si="1013"/>
        <v>-0.69259567686365231</v>
      </c>
    </row>
    <row r="837" spans="1:20" x14ac:dyDescent="0.25">
      <c r="A837" s="5">
        <v>43756</v>
      </c>
      <c r="B837">
        <v>0.16039999999999999</v>
      </c>
      <c r="C837">
        <v>0.1608</v>
      </c>
      <c r="D837">
        <v>0.15229999999999999</v>
      </c>
      <c r="E837">
        <v>0.155</v>
      </c>
      <c r="F837">
        <v>2327406.35</v>
      </c>
      <c r="G837">
        <v>0</v>
      </c>
      <c r="L837" t="s">
        <v>8</v>
      </c>
      <c r="M837" t="s">
        <v>7</v>
      </c>
      <c r="N837" t="s">
        <v>7</v>
      </c>
      <c r="P837">
        <f t="shared" si="1009"/>
        <v>-0.36470588235293988</v>
      </c>
      <c r="Q837">
        <f t="shared" si="1010"/>
        <v>-848818.78647058527</v>
      </c>
      <c r="R837">
        <f t="shared" si="1011"/>
        <v>-67426123.463793799</v>
      </c>
      <c r="S837">
        <f t="shared" si="1012"/>
        <v>-674.26123463793795</v>
      </c>
      <c r="T837">
        <f t="shared" si="1013"/>
        <v>-0.67426123463793797</v>
      </c>
    </row>
    <row r="838" spans="1:20" x14ac:dyDescent="0.25">
      <c r="A838" s="5">
        <v>43755</v>
      </c>
      <c r="B838">
        <v>0.1552</v>
      </c>
      <c r="C838">
        <v>0.161</v>
      </c>
      <c r="D838">
        <v>0.15340000000000001</v>
      </c>
      <c r="E838">
        <v>0.16059999999999999</v>
      </c>
      <c r="F838">
        <v>2152011.83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0.89473684210526006</v>
      </c>
      <c r="Q838">
        <f t="shared" si="1010"/>
        <v>1925484.2689473617</v>
      </c>
      <c r="R838">
        <f t="shared" si="1011"/>
        <v>-66577304.677323207</v>
      </c>
      <c r="S838">
        <f t="shared" si="1012"/>
        <v>-665.77304677323207</v>
      </c>
      <c r="T838">
        <f t="shared" si="1013"/>
        <v>-0.66577304677323201</v>
      </c>
    </row>
    <row r="839" spans="1:20" x14ac:dyDescent="0.25">
      <c r="A839" s="5">
        <v>43754</v>
      </c>
      <c r="B839">
        <v>0.16020000000000001</v>
      </c>
      <c r="C839">
        <v>0.1673</v>
      </c>
      <c r="D839">
        <v>0.14810000000000001</v>
      </c>
      <c r="E839">
        <v>0.15570000000000001</v>
      </c>
      <c r="F839">
        <v>3482880.48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-0.20833333333333356</v>
      </c>
      <c r="Q839">
        <f t="shared" si="1010"/>
        <v>-725600.10000000079</v>
      </c>
      <c r="R839">
        <f t="shared" si="1011"/>
        <v>-68502788.94627057</v>
      </c>
      <c r="S839">
        <f t="shared" si="1012"/>
        <v>-685.02788946270573</v>
      </c>
      <c r="T839">
        <f t="shared" si="1013"/>
        <v>-0.68502788946270576</v>
      </c>
    </row>
    <row r="840" spans="1:20" x14ac:dyDescent="0.25">
      <c r="A840" s="5">
        <v>43753</v>
      </c>
      <c r="B840">
        <v>0.1661</v>
      </c>
      <c r="C840">
        <v>0.16739999999999999</v>
      </c>
      <c r="D840">
        <v>0.15870000000000001</v>
      </c>
      <c r="E840">
        <v>0.16009999999999999</v>
      </c>
      <c r="F840">
        <v>3245278.11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-0.67816091954023294</v>
      </c>
      <c r="Q840">
        <f t="shared" si="1010"/>
        <v>-2200820.787241389</v>
      </c>
      <c r="R840">
        <f t="shared" si="1011"/>
        <v>-67777188.846270576</v>
      </c>
      <c r="S840">
        <f t="shared" si="1012"/>
        <v>-677.77188846270576</v>
      </c>
      <c r="T840">
        <f t="shared" si="1013"/>
        <v>-0.67777188846270575</v>
      </c>
    </row>
    <row r="841" spans="1:20" x14ac:dyDescent="0.25">
      <c r="A841" s="5">
        <v>43752</v>
      </c>
      <c r="B841">
        <v>0.16550000000000001</v>
      </c>
      <c r="C841">
        <v>0.1686</v>
      </c>
      <c r="D841">
        <v>0.15790000000000001</v>
      </c>
      <c r="E841">
        <v>0.1661</v>
      </c>
      <c r="F841">
        <v>3496263.77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0.53271028037383084</v>
      </c>
      <c r="Q841">
        <f t="shared" si="1010"/>
        <v>1862495.6531775668</v>
      </c>
      <c r="R841">
        <f t="shared" si="1011"/>
        <v>-65576368.059029184</v>
      </c>
      <c r="S841">
        <f t="shared" si="1012"/>
        <v>-655.76368059029187</v>
      </c>
      <c r="T841">
        <f t="shared" si="1013"/>
        <v>-0.65576368059029189</v>
      </c>
    </row>
    <row r="842" spans="1:20" x14ac:dyDescent="0.25">
      <c r="A842" s="5">
        <v>43751</v>
      </c>
      <c r="B842">
        <v>0.16470000000000001</v>
      </c>
      <c r="C842">
        <v>0.16880000000000001</v>
      </c>
      <c r="D842">
        <v>0.16439999999999999</v>
      </c>
      <c r="E842">
        <v>0.16569999999999999</v>
      </c>
      <c r="F842">
        <v>2465980.23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-0.40909090909091311</v>
      </c>
      <c r="Q842">
        <f t="shared" si="1010"/>
        <v>-1008810.094090919</v>
      </c>
      <c r="R842">
        <f t="shared" si="1011"/>
        <v>-67438863.712206751</v>
      </c>
      <c r="S842">
        <f t="shared" si="1012"/>
        <v>-674.38863712206751</v>
      </c>
      <c r="T842">
        <f t="shared" si="1013"/>
        <v>-0.67438863712206754</v>
      </c>
    </row>
    <row r="843" spans="1:20" x14ac:dyDescent="0.25">
      <c r="A843" s="5">
        <v>43750</v>
      </c>
      <c r="B843">
        <v>0.16389999999999999</v>
      </c>
      <c r="C843">
        <v>0.1666</v>
      </c>
      <c r="D843">
        <v>0.1623</v>
      </c>
      <c r="E843">
        <v>0.16500000000000001</v>
      </c>
      <c r="F843">
        <v>3152581.56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0.25581395348837632</v>
      </c>
      <c r="Q843">
        <f t="shared" si="1010"/>
        <v>806474.35255815287</v>
      </c>
      <c r="R843">
        <f t="shared" si="1011"/>
        <v>-66430053.618115827</v>
      </c>
      <c r="S843">
        <f t="shared" si="1012"/>
        <v>-664.30053618115824</v>
      </c>
      <c r="T843">
        <f t="shared" si="1013"/>
        <v>-0.66430053618115825</v>
      </c>
    </row>
    <row r="844" spans="1:20" x14ac:dyDescent="0.25">
      <c r="A844" s="5">
        <v>43749</v>
      </c>
      <c r="B844">
        <v>0.1739</v>
      </c>
      <c r="C844">
        <v>0.17460000000000001</v>
      </c>
      <c r="D844">
        <v>0.16309999999999999</v>
      </c>
      <c r="E844">
        <v>0.16400000000000001</v>
      </c>
      <c r="F844">
        <v>3725967.8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-0.84347826086956323</v>
      </c>
      <c r="Q844">
        <f t="shared" si="1010"/>
        <v>-3142772.8399999924</v>
      </c>
      <c r="R844">
        <f t="shared" si="1011"/>
        <v>-67236527.970673978</v>
      </c>
      <c r="S844">
        <f t="shared" si="1012"/>
        <v>-672.36527970673978</v>
      </c>
      <c r="T844">
        <f t="shared" si="1013"/>
        <v>-0.67236527970673976</v>
      </c>
    </row>
    <row r="845" spans="1:20" x14ac:dyDescent="0.25">
      <c r="A845" s="5">
        <v>43748</v>
      </c>
      <c r="B845">
        <v>0.17630000000000001</v>
      </c>
      <c r="C845">
        <v>0.1822</v>
      </c>
      <c r="D845">
        <v>0.17</v>
      </c>
      <c r="E845">
        <v>0.17380000000000001</v>
      </c>
      <c r="F845">
        <v>3497734.78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-0.3770491803278686</v>
      </c>
      <c r="Q845">
        <f t="shared" si="1010"/>
        <v>-1318818.0318032778</v>
      </c>
      <c r="R845">
        <f t="shared" si="1011"/>
        <v>-64093755.130673982</v>
      </c>
      <c r="S845">
        <f t="shared" si="1012"/>
        <v>-640.93755130673981</v>
      </c>
      <c r="T845">
        <f t="shared" si="1013"/>
        <v>-0.64093755130673979</v>
      </c>
    </row>
    <row r="846" spans="1:20" x14ac:dyDescent="0.25">
      <c r="A846" s="5">
        <v>43747</v>
      </c>
      <c r="B846">
        <v>0.17860000000000001</v>
      </c>
      <c r="C846">
        <v>0.18390000000000001</v>
      </c>
      <c r="D846">
        <v>0.17019999999999999</v>
      </c>
      <c r="E846">
        <v>0.1762</v>
      </c>
      <c r="F846">
        <v>4671638.43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-0.12408759124087626</v>
      </c>
      <c r="Q846">
        <f t="shared" si="1010"/>
        <v>-579692.35992700886</v>
      </c>
      <c r="R846">
        <f t="shared" si="1011"/>
        <v>-62774937.098870702</v>
      </c>
      <c r="S846">
        <f t="shared" si="1012"/>
        <v>-627.74937098870703</v>
      </c>
      <c r="T846">
        <f t="shared" si="1013"/>
        <v>-0.62774937098870698</v>
      </c>
    </row>
    <row r="847" spans="1:20" x14ac:dyDescent="0.25">
      <c r="A847" s="5">
        <v>43746</v>
      </c>
      <c r="B847">
        <v>0.17199999999999999</v>
      </c>
      <c r="C847">
        <v>0.18129999999999999</v>
      </c>
      <c r="D847">
        <v>0.17</v>
      </c>
      <c r="E847">
        <v>0.17879999999999999</v>
      </c>
      <c r="F847">
        <v>3531799.01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0.55752212389380396</v>
      </c>
      <c r="Q847">
        <f t="shared" si="1010"/>
        <v>1969056.085221234</v>
      </c>
      <c r="R847">
        <f t="shared" si="1011"/>
        <v>-62195244.738943696</v>
      </c>
      <c r="S847">
        <f t="shared" si="1012"/>
        <v>-621.952447389437</v>
      </c>
      <c r="T847">
        <f t="shared" si="1013"/>
        <v>-0.621952447389437</v>
      </c>
    </row>
    <row r="848" spans="1:20" x14ac:dyDescent="0.25">
      <c r="A848" s="5">
        <v>43745</v>
      </c>
      <c r="B848">
        <v>0.1651</v>
      </c>
      <c r="C848">
        <v>0.1736</v>
      </c>
      <c r="D848">
        <v>0.16300000000000001</v>
      </c>
      <c r="E848">
        <v>0.17199999999999999</v>
      </c>
      <c r="F848">
        <v>3468087.69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0.69811320754716633</v>
      </c>
      <c r="Q848">
        <f t="shared" si="1010"/>
        <v>2421117.8213207424</v>
      </c>
      <c r="R848">
        <f t="shared" si="1011"/>
        <v>-64164300.824164927</v>
      </c>
      <c r="S848">
        <f t="shared" si="1012"/>
        <v>-641.64300824164923</v>
      </c>
      <c r="T848">
        <f t="shared" si="1013"/>
        <v>-0.64164300824164922</v>
      </c>
    </row>
    <row r="849" spans="1:20" x14ac:dyDescent="0.25">
      <c r="A849" s="5">
        <v>43744</v>
      </c>
      <c r="B849">
        <v>0.17080000000000001</v>
      </c>
      <c r="C849">
        <v>0.1724</v>
      </c>
      <c r="D849">
        <v>0.16350000000000001</v>
      </c>
      <c r="E849">
        <v>0.16520000000000001</v>
      </c>
      <c r="F849">
        <v>1996864.02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-0.61797752808988571</v>
      </c>
      <c r="Q849">
        <f t="shared" si="1010"/>
        <v>-1234017.091011232</v>
      </c>
      <c r="R849">
        <f t="shared" si="1011"/>
        <v>-66585418.645485669</v>
      </c>
      <c r="S849">
        <f t="shared" si="1012"/>
        <v>-665.85418645485674</v>
      </c>
      <c r="T849">
        <f t="shared" si="1013"/>
        <v>-0.66585418645485672</v>
      </c>
    </row>
    <row r="850" spans="1:20" x14ac:dyDescent="0.25">
      <c r="A850" s="5">
        <v>43743</v>
      </c>
      <c r="B850">
        <v>0.16889999999999999</v>
      </c>
      <c r="C850">
        <v>0.17419999999999999</v>
      </c>
      <c r="D850">
        <v>0.1648</v>
      </c>
      <c r="E850">
        <v>0.17080000000000001</v>
      </c>
      <c r="F850">
        <v>2551419.66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0.27659574468085335</v>
      </c>
      <c r="Q850">
        <f t="shared" si="1010"/>
        <v>705711.82085106976</v>
      </c>
      <c r="R850">
        <f t="shared" si="1011"/>
        <v>-65351401.554474436</v>
      </c>
      <c r="S850">
        <f t="shared" si="1012"/>
        <v>-653.51401554474432</v>
      </c>
      <c r="T850">
        <f t="shared" si="1013"/>
        <v>-0.65351401554474431</v>
      </c>
    </row>
    <row r="851" spans="1:20" x14ac:dyDescent="0.25">
      <c r="A851" s="5">
        <v>43742</v>
      </c>
      <c r="B851">
        <v>0.1643</v>
      </c>
      <c r="C851">
        <v>0.17480000000000001</v>
      </c>
      <c r="D851">
        <v>0.1613</v>
      </c>
      <c r="E851">
        <v>0.16889999999999999</v>
      </c>
      <c r="F851">
        <v>3372326.86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0.12592592592592428</v>
      </c>
      <c r="Q851">
        <f t="shared" si="1010"/>
        <v>424663.38237036479</v>
      </c>
      <c r="R851">
        <f t="shared" si="1011"/>
        <v>-66057113.375325508</v>
      </c>
      <c r="S851">
        <f t="shared" si="1012"/>
        <v>-660.57113375325514</v>
      </c>
      <c r="T851">
        <f t="shared" si="1013"/>
        <v>-0.66057113375325516</v>
      </c>
    </row>
    <row r="852" spans="1:20" x14ac:dyDescent="0.25">
      <c r="A852" s="5">
        <v>43741</v>
      </c>
      <c r="B852">
        <v>0.16750000000000001</v>
      </c>
      <c r="C852">
        <v>0.1706</v>
      </c>
      <c r="D852">
        <v>0.16170000000000001</v>
      </c>
      <c r="E852">
        <v>0.1646</v>
      </c>
      <c r="F852">
        <v>2198313.59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-0.34831460674157555</v>
      </c>
      <c r="Q852">
        <f t="shared" si="1010"/>
        <v>-765704.73359551106</v>
      </c>
      <c r="R852">
        <f t="shared" si="1011"/>
        <v>-66481776.757695876</v>
      </c>
      <c r="S852">
        <f t="shared" si="1012"/>
        <v>-664.81776757695877</v>
      </c>
      <c r="T852">
        <f t="shared" si="1013"/>
        <v>-0.66481776757695876</v>
      </c>
    </row>
    <row r="853" spans="1:20" x14ac:dyDescent="0.25">
      <c r="A853" s="5">
        <v>43740</v>
      </c>
      <c r="B853">
        <v>0.1648</v>
      </c>
      <c r="C853">
        <v>0.16880000000000001</v>
      </c>
      <c r="D853">
        <v>0.1638</v>
      </c>
      <c r="E853">
        <v>0.1668</v>
      </c>
      <c r="F853">
        <v>1480535.11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0.2</v>
      </c>
      <c r="Q853">
        <f t="shared" si="1010"/>
        <v>296107.02200000006</v>
      </c>
      <c r="R853">
        <f t="shared" si="1011"/>
        <v>-65716072.024100363</v>
      </c>
      <c r="S853">
        <f t="shared" si="1012"/>
        <v>-657.16072024100367</v>
      </c>
      <c r="T853">
        <f t="shared" si="1013"/>
        <v>-0.65716072024100369</v>
      </c>
    </row>
    <row r="854" spans="1:20" x14ac:dyDescent="0.25">
      <c r="A854" s="5">
        <v>43739</v>
      </c>
      <c r="B854">
        <v>0.16750000000000001</v>
      </c>
      <c r="C854">
        <v>0.17150000000000001</v>
      </c>
      <c r="D854">
        <v>0.16320000000000001</v>
      </c>
      <c r="E854">
        <v>0.1648</v>
      </c>
      <c r="F854">
        <v>3218800.28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-0.61445783132530363</v>
      </c>
      <c r="Q854">
        <f t="shared" si="1010"/>
        <v>-1977817.03951808</v>
      </c>
      <c r="R854">
        <f t="shared" si="1011"/>
        <v>-66012179.046100363</v>
      </c>
      <c r="S854">
        <f t="shared" si="1012"/>
        <v>-660.12179046100368</v>
      </c>
      <c r="T854">
        <f t="shared" si="1013"/>
        <v>-0.66012179046100372</v>
      </c>
    </row>
    <row r="855" spans="1:20" x14ac:dyDescent="0.25">
      <c r="A855" s="5">
        <v>43738</v>
      </c>
      <c r="B855">
        <v>0.16300000000000001</v>
      </c>
      <c r="C855">
        <v>0.1691</v>
      </c>
      <c r="D855">
        <v>0.15579999999999999</v>
      </c>
      <c r="E855">
        <v>0.16739999999999999</v>
      </c>
      <c r="F855">
        <v>2099130.4500000002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0.74436090225563811</v>
      </c>
      <c r="Q855">
        <f t="shared" si="1010"/>
        <v>1562510.6357142837</v>
      </c>
      <c r="R855">
        <f t="shared" si="1011"/>
        <v>-64034362.006582282</v>
      </c>
      <c r="S855">
        <f t="shared" si="1012"/>
        <v>-640.34362006582285</v>
      </c>
      <c r="T855">
        <f t="shared" si="1013"/>
        <v>-0.64034362006582279</v>
      </c>
    </row>
    <row r="856" spans="1:20" x14ac:dyDescent="0.25">
      <c r="A856" s="5">
        <v>43737</v>
      </c>
      <c r="B856">
        <v>0.1653</v>
      </c>
      <c r="C856">
        <v>0.16550000000000001</v>
      </c>
      <c r="D856">
        <v>0.15529999999999999</v>
      </c>
      <c r="E856">
        <v>0.16300000000000001</v>
      </c>
      <c r="F856">
        <v>1409674.63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0.50980392156862775</v>
      </c>
      <c r="Q856">
        <f t="shared" si="1010"/>
        <v>718657.65450980433</v>
      </c>
      <c r="R856">
        <f t="shared" si="1011"/>
        <v>-65596872.642296568</v>
      </c>
      <c r="S856">
        <f t="shared" si="1012"/>
        <v>-655.96872642296569</v>
      </c>
      <c r="T856">
        <f t="shared" si="1013"/>
        <v>-0.65596872642296566</v>
      </c>
    </row>
    <row r="857" spans="1:20" x14ac:dyDescent="0.25">
      <c r="A857" s="5">
        <v>43736</v>
      </c>
      <c r="B857">
        <v>0.1648</v>
      </c>
      <c r="C857">
        <v>0.16850000000000001</v>
      </c>
      <c r="D857">
        <v>0.16209999999999999</v>
      </c>
      <c r="E857">
        <v>0.16520000000000001</v>
      </c>
      <c r="F857">
        <v>1666025.1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-3.1249999999996475E-2</v>
      </c>
      <c r="Q857">
        <f t="shared" si="1010"/>
        <v>-52063.284374994131</v>
      </c>
      <c r="R857">
        <f t="shared" si="1011"/>
        <v>-66315530.296806373</v>
      </c>
      <c r="S857">
        <f t="shared" si="1012"/>
        <v>-663.15530296806378</v>
      </c>
      <c r="T857">
        <f t="shared" si="1013"/>
        <v>-0.6631553029680638</v>
      </c>
    </row>
    <row r="858" spans="1:20" x14ac:dyDescent="0.25">
      <c r="A858" s="5">
        <v>43735</v>
      </c>
      <c r="B858">
        <v>0.1595</v>
      </c>
      <c r="C858">
        <v>0.16589999999999999</v>
      </c>
      <c r="D858">
        <v>0.15670000000000001</v>
      </c>
      <c r="E858">
        <v>0.1648</v>
      </c>
      <c r="F858">
        <v>1877503.87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0.76086956521739313</v>
      </c>
      <c r="Q858">
        <f t="shared" si="1010"/>
        <v>1428535.5532608731</v>
      </c>
      <c r="R858">
        <f t="shared" si="1011"/>
        <v>-66263467.012431376</v>
      </c>
      <c r="S858">
        <f t="shared" si="1012"/>
        <v>-662.63467012431374</v>
      </c>
      <c r="T858">
        <f t="shared" si="1013"/>
        <v>-0.66263467012431376</v>
      </c>
    </row>
    <row r="859" spans="1:20" x14ac:dyDescent="0.25">
      <c r="A859" s="5">
        <v>43734</v>
      </c>
      <c r="B859">
        <v>0.1681</v>
      </c>
      <c r="C859">
        <v>0.1706</v>
      </c>
      <c r="D859">
        <v>0.1522</v>
      </c>
      <c r="E859">
        <v>0.159</v>
      </c>
      <c r="F859">
        <v>2738583.16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-0.26086956521739124</v>
      </c>
      <c r="Q859">
        <f t="shared" si="1010"/>
        <v>-714412.99826086941</v>
      </c>
      <c r="R859">
        <f t="shared" si="1011"/>
        <v>-67692002.565692246</v>
      </c>
      <c r="S859">
        <f t="shared" si="1012"/>
        <v>-676.92002565692246</v>
      </c>
      <c r="T859">
        <f t="shared" si="1013"/>
        <v>-0.67692002565692244</v>
      </c>
    </row>
    <row r="860" spans="1:20" x14ac:dyDescent="0.25">
      <c r="A860" s="5">
        <v>43733</v>
      </c>
      <c r="B860">
        <v>0.16220000000000001</v>
      </c>
      <c r="C860">
        <v>0.16950000000000001</v>
      </c>
      <c r="D860">
        <v>0.158</v>
      </c>
      <c r="E860">
        <v>0.1681</v>
      </c>
      <c r="F860">
        <v>2961090.77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0.75652173913043286</v>
      </c>
      <c r="Q860">
        <f t="shared" si="1010"/>
        <v>2240129.5390434726</v>
      </c>
      <c r="R860">
        <f t="shared" si="1011"/>
        <v>-66977589.567431375</v>
      </c>
      <c r="S860">
        <f t="shared" si="1012"/>
        <v>-669.7758956743138</v>
      </c>
      <c r="T860">
        <f t="shared" si="1013"/>
        <v>-0.66977589567431384</v>
      </c>
    </row>
    <row r="861" spans="1:20" x14ac:dyDescent="0.25">
      <c r="A861" s="5">
        <v>43732</v>
      </c>
      <c r="B861">
        <v>0.19270000000000001</v>
      </c>
      <c r="C861">
        <v>0.19600000000000001</v>
      </c>
      <c r="D861">
        <v>0.1487</v>
      </c>
      <c r="E861">
        <v>0.1623</v>
      </c>
      <c r="F861">
        <v>3822157.23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-0.42494714587737847</v>
      </c>
      <c r="Q861">
        <f t="shared" si="1010"/>
        <v>-1624214.8059830868</v>
      </c>
      <c r="R861">
        <f t="shared" si="1011"/>
        <v>-69217719.106474847</v>
      </c>
      <c r="S861">
        <f t="shared" si="1012"/>
        <v>-692.17719106474851</v>
      </c>
      <c r="T861">
        <f t="shared" si="1013"/>
        <v>-0.69217719106474851</v>
      </c>
    </row>
    <row r="862" spans="1:20" x14ac:dyDescent="0.25">
      <c r="A862" s="5">
        <v>43731</v>
      </c>
      <c r="B862">
        <v>0.20019999999999999</v>
      </c>
      <c r="C862">
        <v>0.2046</v>
      </c>
      <c r="D862">
        <v>0.19120000000000001</v>
      </c>
      <c r="E862">
        <v>0.19239999999999999</v>
      </c>
      <c r="F862">
        <v>1754506.04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-0.82089552238806285</v>
      </c>
      <c r="Q862">
        <f t="shared" si="1010"/>
        <v>-1440266.1522388116</v>
      </c>
      <c r="R862">
        <f t="shared" si="1011"/>
        <v>-67593504.300491765</v>
      </c>
      <c r="S862">
        <f t="shared" si="1012"/>
        <v>-675.9350430049177</v>
      </c>
      <c r="T862">
        <f t="shared" si="1013"/>
        <v>-0.67593504300491769</v>
      </c>
    </row>
    <row r="863" spans="1:20" x14ac:dyDescent="0.25">
      <c r="A863" s="5">
        <v>43730</v>
      </c>
      <c r="B863">
        <v>0.20660000000000001</v>
      </c>
      <c r="C863">
        <v>0.20660000000000001</v>
      </c>
      <c r="D863">
        <v>0.19769999999999999</v>
      </c>
      <c r="E863">
        <v>0.20069999999999999</v>
      </c>
      <c r="F863">
        <v>2118074.33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-0.32584269662921433</v>
      </c>
      <c r="Q863">
        <f t="shared" si="1010"/>
        <v>-690159.05134831648</v>
      </c>
      <c r="R863">
        <f t="shared" si="1011"/>
        <v>-66153238.148252957</v>
      </c>
      <c r="S863">
        <f t="shared" si="1012"/>
        <v>-661.53238148252956</v>
      </c>
      <c r="T863">
        <f t="shared" si="1013"/>
        <v>-0.66153238148252957</v>
      </c>
    </row>
    <row r="864" spans="1:20" x14ac:dyDescent="0.25">
      <c r="A864" s="5">
        <v>43729</v>
      </c>
      <c r="B864">
        <v>0.20880000000000001</v>
      </c>
      <c r="C864">
        <v>0.21129999999999999</v>
      </c>
      <c r="D864">
        <v>0.20480000000000001</v>
      </c>
      <c r="E864">
        <v>0.20699999999999999</v>
      </c>
      <c r="F864">
        <v>1185798.97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-0.32307692307692704</v>
      </c>
      <c r="Q864">
        <f t="shared" si="1010"/>
        <v>-383104.28261538933</v>
      </c>
      <c r="R864">
        <f t="shared" si="1011"/>
        <v>-65463079.096904643</v>
      </c>
      <c r="S864">
        <f t="shared" si="1012"/>
        <v>-654.63079096904642</v>
      </c>
      <c r="T864">
        <f t="shared" si="1013"/>
        <v>-0.65463079096904642</v>
      </c>
    </row>
    <row r="865" spans="1:20" x14ac:dyDescent="0.25">
      <c r="A865" s="5">
        <v>43728</v>
      </c>
      <c r="B865">
        <v>0.2112</v>
      </c>
      <c r="C865">
        <v>0.21149999999999999</v>
      </c>
      <c r="D865">
        <v>0.20549999999999999</v>
      </c>
      <c r="E865">
        <v>0.20880000000000001</v>
      </c>
      <c r="F865">
        <v>2472280.08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0.1000000000000074</v>
      </c>
      <c r="Q865">
        <f t="shared" si="1010"/>
        <v>247228.00800001831</v>
      </c>
      <c r="R865">
        <f t="shared" si="1011"/>
        <v>-65079974.814289257</v>
      </c>
      <c r="S865">
        <f t="shared" si="1012"/>
        <v>-650.79974814289255</v>
      </c>
      <c r="T865">
        <f t="shared" si="1013"/>
        <v>-0.65079974814289254</v>
      </c>
    </row>
    <row r="866" spans="1:20" x14ac:dyDescent="0.25">
      <c r="A866" s="5">
        <v>43727</v>
      </c>
      <c r="B866">
        <v>0.21759999999999999</v>
      </c>
      <c r="C866">
        <v>0.21809999999999999</v>
      </c>
      <c r="D866">
        <v>0.20230000000000001</v>
      </c>
      <c r="E866">
        <v>0.2112</v>
      </c>
      <c r="F866">
        <v>4104844.85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0.12658227848101292</v>
      </c>
      <c r="Q866">
        <f t="shared" si="1010"/>
        <v>519600.61392405169</v>
      </c>
      <c r="R866">
        <f t="shared" si="1011"/>
        <v>-65327202.822289273</v>
      </c>
      <c r="S866">
        <f t="shared" si="1012"/>
        <v>-653.27202822289269</v>
      </c>
      <c r="T866">
        <f t="shared" si="1013"/>
        <v>-0.65327202822289265</v>
      </c>
    </row>
    <row r="867" spans="1:20" x14ac:dyDescent="0.25">
      <c r="A867" s="5">
        <v>43726</v>
      </c>
      <c r="B867">
        <v>0.2089</v>
      </c>
      <c r="C867">
        <v>0.21920000000000001</v>
      </c>
      <c r="D867">
        <v>0.20599999999999999</v>
      </c>
      <c r="E867">
        <v>0.21759999999999999</v>
      </c>
      <c r="F867">
        <v>3909488.2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0.75757575757575513</v>
      </c>
      <c r="Q867">
        <f t="shared" si="1010"/>
        <v>2961733.4848484755</v>
      </c>
      <c r="R867">
        <f t="shared" si="1011"/>
        <v>-65846803.436213322</v>
      </c>
      <c r="S867">
        <f t="shared" si="1012"/>
        <v>-658.46803436213327</v>
      </c>
      <c r="T867">
        <f t="shared" si="1013"/>
        <v>-0.6584680343621333</v>
      </c>
    </row>
    <row r="868" spans="1:20" x14ac:dyDescent="0.25">
      <c r="A868" s="5">
        <v>43725</v>
      </c>
      <c r="B868">
        <v>0.20030000000000001</v>
      </c>
      <c r="C868">
        <v>0.21279999999999999</v>
      </c>
      <c r="D868">
        <v>0.1973</v>
      </c>
      <c r="E868">
        <v>0.2089</v>
      </c>
      <c r="F868">
        <v>4575848.5199999996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0.49677419354838837</v>
      </c>
      <c r="Q868">
        <f t="shared" si="1010"/>
        <v>2273163.458322586</v>
      </c>
      <c r="R868">
        <f t="shared" si="1011"/>
        <v>-68808536.921061799</v>
      </c>
      <c r="S868">
        <f t="shared" si="1012"/>
        <v>-688.08536921061796</v>
      </c>
      <c r="T868">
        <f t="shared" si="1013"/>
        <v>-0.68808536921061791</v>
      </c>
    </row>
    <row r="869" spans="1:20" x14ac:dyDescent="0.25">
      <c r="A869" s="5">
        <v>43724</v>
      </c>
      <c r="B869">
        <v>0.20130000000000001</v>
      </c>
      <c r="C869">
        <v>0.2024</v>
      </c>
      <c r="D869">
        <v>0.19600000000000001</v>
      </c>
      <c r="E869">
        <v>0.20050000000000001</v>
      </c>
      <c r="F869">
        <v>1482707.43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0.40625000000000366</v>
      </c>
      <c r="Q869">
        <f t="shared" si="1010"/>
        <v>602349.89343750535</v>
      </c>
      <c r="R869">
        <f t="shared" si="1011"/>
        <v>-71081700.379384384</v>
      </c>
      <c r="S869">
        <f t="shared" si="1012"/>
        <v>-710.81700379384381</v>
      </c>
      <c r="T869">
        <f t="shared" si="1013"/>
        <v>-0.71081700379384383</v>
      </c>
    </row>
    <row r="870" spans="1:20" x14ac:dyDescent="0.25">
      <c r="A870" s="5">
        <v>43723</v>
      </c>
      <c r="B870">
        <v>0.1976</v>
      </c>
      <c r="C870">
        <v>0.2021</v>
      </c>
      <c r="D870">
        <v>0.19750000000000001</v>
      </c>
      <c r="E870">
        <v>0.20080000000000001</v>
      </c>
      <c r="F870">
        <v>889973.2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0.43478260869565322</v>
      </c>
      <c r="Q870">
        <f t="shared" si="1010"/>
        <v>386944.86956521828</v>
      </c>
      <c r="R870">
        <f t="shared" si="1011"/>
        <v>-71684050.272821888</v>
      </c>
      <c r="S870">
        <f t="shared" si="1012"/>
        <v>-716.84050272821889</v>
      </c>
      <c r="T870">
        <f t="shared" si="1013"/>
        <v>-0.71684050272821886</v>
      </c>
    </row>
    <row r="871" spans="1:20" x14ac:dyDescent="0.25">
      <c r="A871" s="5">
        <v>43722</v>
      </c>
      <c r="B871">
        <v>0.1981</v>
      </c>
      <c r="C871">
        <v>0.20030000000000001</v>
      </c>
      <c r="D871">
        <v>0.1953</v>
      </c>
      <c r="E871">
        <v>0.1976</v>
      </c>
      <c r="F871">
        <v>2076404.91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-8.0000000000002222E-2</v>
      </c>
      <c r="Q871">
        <f t="shared" si="1010"/>
        <v>-166112.3928000046</v>
      </c>
      <c r="R871">
        <f t="shared" si="1011"/>
        <v>-72070995.142387107</v>
      </c>
      <c r="S871">
        <f t="shared" si="1012"/>
        <v>-720.70995142387108</v>
      </c>
      <c r="T871">
        <f t="shared" si="1013"/>
        <v>-0.72070995142387106</v>
      </c>
    </row>
    <row r="872" spans="1:20" x14ac:dyDescent="0.25">
      <c r="A872" s="5">
        <v>43721</v>
      </c>
      <c r="B872">
        <v>0.20180000000000001</v>
      </c>
      <c r="C872">
        <v>0.20399999999999999</v>
      </c>
      <c r="D872">
        <v>0.1961</v>
      </c>
      <c r="E872">
        <v>0.19800000000000001</v>
      </c>
      <c r="F872">
        <v>2472676.67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-0.51898734177214811</v>
      </c>
      <c r="Q872">
        <f t="shared" si="1010"/>
        <v>-1283287.8920253071</v>
      </c>
      <c r="R872">
        <f t="shared" si="1011"/>
        <v>-71904882.749587104</v>
      </c>
      <c r="S872">
        <f t="shared" si="1012"/>
        <v>-719.04882749587102</v>
      </c>
      <c r="T872">
        <f t="shared" si="1013"/>
        <v>-0.71904882749587107</v>
      </c>
    </row>
    <row r="873" spans="1:20" x14ac:dyDescent="0.25">
      <c r="A873" s="5">
        <v>43720</v>
      </c>
      <c r="B873">
        <v>0.1933</v>
      </c>
      <c r="C873">
        <v>0.21299999999999999</v>
      </c>
      <c r="D873">
        <v>0.1883</v>
      </c>
      <c r="E873">
        <v>0.20219999999999999</v>
      </c>
      <c r="F873">
        <v>7388050.71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0.12550607287449358</v>
      </c>
      <c r="Q873">
        <f t="shared" si="1010"/>
        <v>927245.23080971406</v>
      </c>
      <c r="R873">
        <f t="shared" si="1011"/>
        <v>-70621594.857561797</v>
      </c>
      <c r="S873">
        <f t="shared" si="1012"/>
        <v>-706.21594857561797</v>
      </c>
      <c r="T873">
        <f t="shared" si="1013"/>
        <v>-0.70621594857561798</v>
      </c>
    </row>
    <row r="874" spans="1:20" x14ac:dyDescent="0.25">
      <c r="A874" s="5">
        <v>43719</v>
      </c>
      <c r="B874">
        <v>0.20480000000000001</v>
      </c>
      <c r="C874">
        <v>0.2064</v>
      </c>
      <c r="D874">
        <v>0.1905</v>
      </c>
      <c r="E874">
        <v>0.19259999999999999</v>
      </c>
      <c r="F874">
        <v>3453153.18</v>
      </c>
      <c r="G874">
        <v>0</v>
      </c>
      <c r="L874" t="s">
        <v>7</v>
      </c>
      <c r="M874" t="s">
        <v>8</v>
      </c>
      <c r="N874" t="s">
        <v>7</v>
      </c>
      <c r="P874">
        <f t="shared" si="1009"/>
        <v>-0.73584905660377475</v>
      </c>
      <c r="Q874">
        <f t="shared" si="1010"/>
        <v>-2540999.509811325</v>
      </c>
      <c r="R874">
        <f t="shared" si="1011"/>
        <v>-71548840.088371515</v>
      </c>
      <c r="S874">
        <f t="shared" si="1012"/>
        <v>-715.48840088371514</v>
      </c>
      <c r="T874">
        <f t="shared" si="1013"/>
        <v>-0.71548840088371513</v>
      </c>
    </row>
    <row r="875" spans="1:20" x14ac:dyDescent="0.25">
      <c r="A875" s="5">
        <v>43718</v>
      </c>
      <c r="B875">
        <v>0.20830000000000001</v>
      </c>
      <c r="C875">
        <v>0.20949999999999999</v>
      </c>
      <c r="D875">
        <v>0.2009</v>
      </c>
      <c r="E875">
        <v>0.20430000000000001</v>
      </c>
      <c r="F875">
        <v>2250638.08</v>
      </c>
      <c r="G875">
        <v>0</v>
      </c>
      <c r="L875" t="s">
        <v>7</v>
      </c>
      <c r="M875" t="s">
        <v>8</v>
      </c>
      <c r="N875" t="s">
        <v>7</v>
      </c>
      <c r="P875">
        <f t="shared" si="1009"/>
        <v>-0.20930232558139175</v>
      </c>
      <c r="Q875">
        <f t="shared" si="1010"/>
        <v>-471063.78418603842</v>
      </c>
      <c r="R875">
        <f t="shared" si="1011"/>
        <v>-69007840.578560188</v>
      </c>
      <c r="S875">
        <f t="shared" si="1012"/>
        <v>-690.07840578560183</v>
      </c>
      <c r="T875">
        <f t="shared" si="1013"/>
        <v>-0.69007840578560187</v>
      </c>
    </row>
    <row r="876" spans="1:20" x14ac:dyDescent="0.25">
      <c r="A876" s="5">
        <v>43717</v>
      </c>
      <c r="B876">
        <v>0.20050000000000001</v>
      </c>
      <c r="C876">
        <v>0.22209999999999999</v>
      </c>
      <c r="D876">
        <v>0.19500000000000001</v>
      </c>
      <c r="E876">
        <v>0.20849999999999999</v>
      </c>
      <c r="F876">
        <v>4700087.91</v>
      </c>
      <c r="G876">
        <v>0</v>
      </c>
      <c r="L876" t="s">
        <v>8</v>
      </c>
      <c r="M876" t="s">
        <v>8</v>
      </c>
      <c r="N876" t="s">
        <v>7</v>
      </c>
      <c r="P876">
        <f t="shared" si="1009"/>
        <v>-3.6900369003696233E-3</v>
      </c>
      <c r="Q876">
        <f t="shared" si="1010"/>
        <v>-17343.497822881141</v>
      </c>
      <c r="R876">
        <f t="shared" si="1011"/>
        <v>-68536776.794374153</v>
      </c>
      <c r="S876">
        <f t="shared" si="1012"/>
        <v>-685.36776794374157</v>
      </c>
      <c r="T876">
        <f t="shared" si="1013"/>
        <v>-0.68536776794374155</v>
      </c>
    </row>
    <row r="877" spans="1:20" x14ac:dyDescent="0.25">
      <c r="A877" s="5">
        <v>43716</v>
      </c>
      <c r="B877">
        <v>0.20330000000000001</v>
      </c>
      <c r="C877">
        <v>0.20649999999999999</v>
      </c>
      <c r="D877">
        <v>0.1993</v>
      </c>
      <c r="E877">
        <v>0.20050000000000001</v>
      </c>
      <c r="F877">
        <v>2626147.19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-0.66666666666666408</v>
      </c>
      <c r="Q877">
        <f t="shared" si="1010"/>
        <v>-1750764.7933333265</v>
      </c>
      <c r="R877">
        <f t="shared" si="1011"/>
        <v>-68519433.296551272</v>
      </c>
      <c r="S877">
        <f t="shared" si="1012"/>
        <v>-685.19433296551267</v>
      </c>
      <c r="T877">
        <f t="shared" si="1013"/>
        <v>-0.68519433296551269</v>
      </c>
    </row>
    <row r="878" spans="1:20" x14ac:dyDescent="0.25">
      <c r="A878" s="5">
        <v>43715</v>
      </c>
      <c r="B878">
        <v>0.19109999999999999</v>
      </c>
      <c r="C878">
        <v>0.20499999999999999</v>
      </c>
      <c r="D878">
        <v>0.19</v>
      </c>
      <c r="E878">
        <v>0.20319999999999999</v>
      </c>
      <c r="F878">
        <v>2510466.7400000002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0.76000000000000034</v>
      </c>
      <c r="Q878">
        <f t="shared" si="1010"/>
        <v>1907954.722400001</v>
      </c>
      <c r="R878">
        <f t="shared" si="1011"/>
        <v>-66768668.503217943</v>
      </c>
      <c r="S878">
        <f t="shared" si="1012"/>
        <v>-667.68668503217941</v>
      </c>
      <c r="T878">
        <f t="shared" si="1013"/>
        <v>-0.66768668503217943</v>
      </c>
    </row>
    <row r="879" spans="1:20" x14ac:dyDescent="0.25">
      <c r="A879" s="5">
        <v>43714</v>
      </c>
      <c r="B879">
        <v>0.1966</v>
      </c>
      <c r="C879">
        <v>0.19939999999999999</v>
      </c>
      <c r="D879">
        <v>0.18790000000000001</v>
      </c>
      <c r="E879">
        <v>0.19109999999999999</v>
      </c>
      <c r="F879">
        <v>3315971.07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-0.44347826086956771</v>
      </c>
      <c r="Q879">
        <f t="shared" si="1010"/>
        <v>-1470561.0832173994</v>
      </c>
      <c r="R879">
        <f t="shared" si="1011"/>
        <v>-68676623.225617945</v>
      </c>
      <c r="S879">
        <f t="shared" si="1012"/>
        <v>-686.76623225617948</v>
      </c>
      <c r="T879">
        <f t="shared" si="1013"/>
        <v>-0.6867662322561795</v>
      </c>
    </row>
    <row r="880" spans="1:20" x14ac:dyDescent="0.25">
      <c r="A880" s="5">
        <v>43713</v>
      </c>
      <c r="B880">
        <v>0.2029</v>
      </c>
      <c r="C880">
        <v>0.2049</v>
      </c>
      <c r="D880">
        <v>0.19209999999999999</v>
      </c>
      <c r="E880">
        <v>0.19689999999999999</v>
      </c>
      <c r="F880">
        <v>3847713.85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-0.25000000000000056</v>
      </c>
      <c r="Q880">
        <f t="shared" si="1010"/>
        <v>-961928.46250000212</v>
      </c>
      <c r="R880">
        <f t="shared" si="1011"/>
        <v>-67206062.142400548</v>
      </c>
      <c r="S880">
        <f t="shared" si="1012"/>
        <v>-672.06062142400549</v>
      </c>
      <c r="T880">
        <f t="shared" si="1013"/>
        <v>-0.67206062142400547</v>
      </c>
    </row>
    <row r="881" spans="1:20" x14ac:dyDescent="0.25">
      <c r="A881" s="5">
        <v>43712</v>
      </c>
      <c r="B881">
        <v>0.20660000000000001</v>
      </c>
      <c r="C881">
        <v>0.21129999999999999</v>
      </c>
      <c r="D881">
        <v>0.2009</v>
      </c>
      <c r="E881">
        <v>0.2029</v>
      </c>
      <c r="F881">
        <v>3522285.37</v>
      </c>
      <c r="G881">
        <v>0</v>
      </c>
      <c r="L881" t="s">
        <v>7</v>
      </c>
      <c r="M881" t="s">
        <v>7</v>
      </c>
      <c r="N881" t="s">
        <v>8</v>
      </c>
      <c r="P881">
        <f t="shared" si="1009"/>
        <v>-0.61538461538461475</v>
      </c>
      <c r="Q881">
        <f t="shared" si="1010"/>
        <v>-2167560.2276923056</v>
      </c>
      <c r="R881">
        <f t="shared" si="1011"/>
        <v>-66244133.679900542</v>
      </c>
      <c r="S881">
        <f t="shared" si="1012"/>
        <v>-662.4413367990054</v>
      </c>
      <c r="T881">
        <f t="shared" si="1013"/>
        <v>-0.66244133679900541</v>
      </c>
    </row>
    <row r="882" spans="1:20" x14ac:dyDescent="0.25">
      <c r="A882" s="5">
        <v>43711</v>
      </c>
      <c r="B882">
        <v>0.21099999999999999</v>
      </c>
      <c r="C882">
        <v>0.21870000000000001</v>
      </c>
      <c r="D882">
        <v>0.20580000000000001</v>
      </c>
      <c r="E882">
        <v>0.2069</v>
      </c>
      <c r="F882">
        <v>3672924.5</v>
      </c>
      <c r="G882">
        <v>0</v>
      </c>
      <c r="L882" t="s">
        <v>8</v>
      </c>
      <c r="M882" t="s">
        <v>7</v>
      </c>
      <c r="N882" t="s">
        <v>8</v>
      </c>
      <c r="P882">
        <f t="shared" si="1009"/>
        <v>-0.82945736434108674</v>
      </c>
      <c r="Q882">
        <f t="shared" si="1010"/>
        <v>-3046534.2751938039</v>
      </c>
      <c r="R882">
        <f t="shared" si="1011"/>
        <v>-64076573.452208236</v>
      </c>
      <c r="S882">
        <f t="shared" si="1012"/>
        <v>-640.76573452208231</v>
      </c>
      <c r="T882">
        <f t="shared" si="1013"/>
        <v>-0.6407657345220823</v>
      </c>
    </row>
    <row r="883" spans="1:20" x14ac:dyDescent="0.25">
      <c r="A883" s="5">
        <v>43710</v>
      </c>
      <c r="B883">
        <v>0.21010000000000001</v>
      </c>
      <c r="C883">
        <v>0.22159999999999999</v>
      </c>
      <c r="D883">
        <v>0.21010000000000001</v>
      </c>
      <c r="E883">
        <v>0.21079999999999999</v>
      </c>
      <c r="F883">
        <v>4775719.26</v>
      </c>
      <c r="G883">
        <v>0</v>
      </c>
      <c r="L883" t="s">
        <v>8</v>
      </c>
      <c r="M883" t="s">
        <v>7</v>
      </c>
      <c r="N883" t="s">
        <v>8</v>
      </c>
      <c r="P883">
        <f t="shared" si="1009"/>
        <v>-0.87826086956522098</v>
      </c>
      <c r="Q883">
        <f t="shared" si="1010"/>
        <v>-4194327.350086973</v>
      </c>
      <c r="R883">
        <f t="shared" si="1011"/>
        <v>-61030039.177014433</v>
      </c>
      <c r="S883">
        <f t="shared" si="1012"/>
        <v>-610.3003917701443</v>
      </c>
      <c r="T883">
        <f t="shared" si="1013"/>
        <v>-0.61030039177014428</v>
      </c>
    </row>
    <row r="884" spans="1:20" x14ac:dyDescent="0.25">
      <c r="A884" s="5">
        <v>43709</v>
      </c>
      <c r="B884">
        <v>0.20530000000000001</v>
      </c>
      <c r="C884">
        <v>0.21329999999999999</v>
      </c>
      <c r="D884">
        <v>0.20269999999999999</v>
      </c>
      <c r="E884">
        <v>0.20910000000000001</v>
      </c>
      <c r="F884">
        <v>1917907.47</v>
      </c>
      <c r="G884">
        <v>0</v>
      </c>
      <c r="L884" t="s">
        <v>7</v>
      </c>
      <c r="M884" t="s">
        <v>7</v>
      </c>
      <c r="N884" t="s">
        <v>8</v>
      </c>
      <c r="P884">
        <f t="shared" si="1009"/>
        <v>0.20754716981132412</v>
      </c>
      <c r="Q884">
        <f t="shared" si="1010"/>
        <v>398056.26735849702</v>
      </c>
      <c r="R884">
        <f t="shared" si="1011"/>
        <v>-56835711.826927461</v>
      </c>
      <c r="S884">
        <f t="shared" si="1012"/>
        <v>-568.35711826927457</v>
      </c>
      <c r="T884">
        <f t="shared" si="1013"/>
        <v>-0.5683571182692746</v>
      </c>
    </row>
    <row r="885" spans="1:20" x14ac:dyDescent="0.25">
      <c r="A885" s="5">
        <v>43708</v>
      </c>
      <c r="B885">
        <v>0.21279999999999999</v>
      </c>
      <c r="C885">
        <v>0.2145</v>
      </c>
      <c r="D885">
        <v>0.20050000000000001</v>
      </c>
      <c r="E885">
        <v>0.2054</v>
      </c>
      <c r="F885">
        <v>2298121.14</v>
      </c>
      <c r="G885">
        <v>0</v>
      </c>
      <c r="L885" t="s">
        <v>7</v>
      </c>
      <c r="M885" t="s">
        <v>7</v>
      </c>
      <c r="N885" t="s">
        <v>8</v>
      </c>
      <c r="P885">
        <f t="shared" si="1009"/>
        <v>-0.30000000000000099</v>
      </c>
      <c r="Q885">
        <f t="shared" si="1010"/>
        <v>-689436.34200000227</v>
      </c>
      <c r="R885">
        <f t="shared" si="1011"/>
        <v>-57233768.094285958</v>
      </c>
      <c r="S885">
        <f t="shared" si="1012"/>
        <v>-572.33768094285961</v>
      </c>
      <c r="T885">
        <f t="shared" si="1013"/>
        <v>-0.57233768094285964</v>
      </c>
    </row>
    <row r="886" spans="1:20" x14ac:dyDescent="0.25">
      <c r="A886" s="5">
        <v>43707</v>
      </c>
      <c r="B886">
        <v>0.2117</v>
      </c>
      <c r="C886">
        <v>0.21790000000000001</v>
      </c>
      <c r="D886">
        <v>0.20710000000000001</v>
      </c>
      <c r="E886">
        <v>0.2127</v>
      </c>
      <c r="F886">
        <v>3713940.43</v>
      </c>
      <c r="G886">
        <v>0</v>
      </c>
      <c r="L886" t="s">
        <v>7</v>
      </c>
      <c r="M886" t="s">
        <v>7</v>
      </c>
      <c r="N886" t="s">
        <v>8</v>
      </c>
      <c r="P886">
        <f t="shared" si="1009"/>
        <v>3.7037037037035515E-2</v>
      </c>
      <c r="Q886">
        <f t="shared" si="1010"/>
        <v>137553.34925925362</v>
      </c>
      <c r="R886">
        <f t="shared" si="1011"/>
        <v>-56544331.752285957</v>
      </c>
      <c r="S886">
        <f t="shared" si="1012"/>
        <v>-565.44331752285962</v>
      </c>
      <c r="T886">
        <f t="shared" si="1013"/>
        <v>-0.56544331752285959</v>
      </c>
    </row>
    <row r="887" spans="1:20" x14ac:dyDescent="0.25">
      <c r="A887" s="5">
        <v>43706</v>
      </c>
      <c r="B887">
        <v>0.20449999999999999</v>
      </c>
      <c r="C887">
        <v>0.2263</v>
      </c>
      <c r="D887">
        <v>0.20319999999999999</v>
      </c>
      <c r="E887">
        <v>0.21149999999999999</v>
      </c>
      <c r="F887">
        <v>7943458.2599999998</v>
      </c>
      <c r="G887">
        <v>0</v>
      </c>
      <c r="L887" t="s">
        <v>8</v>
      </c>
      <c r="M887" t="s">
        <v>7</v>
      </c>
      <c r="N887" t="s">
        <v>8</v>
      </c>
      <c r="P887">
        <f t="shared" si="1009"/>
        <v>-0.28138528138528152</v>
      </c>
      <c r="Q887">
        <f t="shared" si="1010"/>
        <v>-2235172.2376623387</v>
      </c>
      <c r="R887">
        <f t="shared" si="1011"/>
        <v>-56681885.101545215</v>
      </c>
      <c r="S887">
        <f t="shared" si="1012"/>
        <v>-566.8188510154522</v>
      </c>
      <c r="T887">
        <f t="shared" si="1013"/>
        <v>-0.56681885101545215</v>
      </c>
    </row>
    <row r="888" spans="1:20" x14ac:dyDescent="0.25">
      <c r="A888" s="5">
        <v>43705</v>
      </c>
      <c r="B888">
        <v>0.2223</v>
      </c>
      <c r="C888">
        <v>0.22900000000000001</v>
      </c>
      <c r="D888">
        <v>0.20230000000000001</v>
      </c>
      <c r="E888">
        <v>0.20449999999999999</v>
      </c>
      <c r="F888">
        <v>5214921.1100000003</v>
      </c>
      <c r="G888">
        <v>0</v>
      </c>
      <c r="L888" t="s">
        <v>7</v>
      </c>
      <c r="M888" t="s">
        <v>7</v>
      </c>
      <c r="N888" t="s">
        <v>8</v>
      </c>
      <c r="P888">
        <f t="shared" si="1009"/>
        <v>-0.83520599250936478</v>
      </c>
      <c r="Q888">
        <f t="shared" si="1010"/>
        <v>-4355533.3615355883</v>
      </c>
      <c r="R888">
        <f t="shared" si="1011"/>
        <v>-54446712.863882877</v>
      </c>
      <c r="S888">
        <f t="shared" si="1012"/>
        <v>-544.46712863882874</v>
      </c>
      <c r="T888">
        <f t="shared" si="1013"/>
        <v>-0.54446712863882873</v>
      </c>
    </row>
    <row r="889" spans="1:20" x14ac:dyDescent="0.25">
      <c r="A889" s="5">
        <v>43704</v>
      </c>
      <c r="B889">
        <v>0.2402</v>
      </c>
      <c r="C889">
        <v>0.24110000000000001</v>
      </c>
      <c r="D889">
        <v>0.2208</v>
      </c>
      <c r="E889">
        <v>0.22209999999999999</v>
      </c>
      <c r="F889">
        <v>5317187.03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-0.87192118226601034</v>
      </c>
      <c r="Q889">
        <f t="shared" si="1010"/>
        <v>-4636168.0015270961</v>
      </c>
      <c r="R889">
        <f t="shared" si="1011"/>
        <v>-50091179.502347291</v>
      </c>
      <c r="S889">
        <f t="shared" si="1012"/>
        <v>-500.91179502347291</v>
      </c>
      <c r="T889">
        <f t="shared" si="1013"/>
        <v>-0.50091179502347294</v>
      </c>
    </row>
    <row r="890" spans="1:20" x14ac:dyDescent="0.25">
      <c r="A890" s="5">
        <v>43703</v>
      </c>
      <c r="B890">
        <v>0.2235</v>
      </c>
      <c r="C890">
        <v>0.2447</v>
      </c>
      <c r="D890">
        <v>0.22070000000000001</v>
      </c>
      <c r="E890">
        <v>0.2402</v>
      </c>
      <c r="F890">
        <v>9784339.5899999999</v>
      </c>
      <c r="G890">
        <v>0</v>
      </c>
      <c r="L890" t="s">
        <v>8</v>
      </c>
      <c r="M890" t="s">
        <v>7</v>
      </c>
      <c r="N890" t="s">
        <v>8</v>
      </c>
      <c r="P890">
        <f t="shared" si="1009"/>
        <v>0.62499999999999956</v>
      </c>
      <c r="Q890">
        <f t="shared" si="1010"/>
        <v>6115212.2437499957</v>
      </c>
      <c r="R890">
        <f t="shared" si="1011"/>
        <v>-45455011.500820197</v>
      </c>
      <c r="S890">
        <f t="shared" si="1012"/>
        <v>-454.550115008202</v>
      </c>
      <c r="T890">
        <f t="shared" si="1013"/>
        <v>-0.45455011500820197</v>
      </c>
    </row>
    <row r="891" spans="1:20" x14ac:dyDescent="0.25">
      <c r="A891" s="5">
        <v>43702</v>
      </c>
      <c r="B891">
        <v>0.24199999999999999</v>
      </c>
      <c r="C891">
        <v>0.2475</v>
      </c>
      <c r="D891">
        <v>0.22040000000000001</v>
      </c>
      <c r="E891">
        <v>0.22309999999999999</v>
      </c>
      <c r="F891">
        <v>9173870.0500000007</v>
      </c>
      <c r="G891">
        <v>0</v>
      </c>
      <c r="L891" t="s">
        <v>7</v>
      </c>
      <c r="M891" t="s">
        <v>7</v>
      </c>
      <c r="N891" t="s">
        <v>8</v>
      </c>
      <c r="P891">
        <f t="shared" si="1009"/>
        <v>-0.80073800738007517</v>
      </c>
      <c r="Q891">
        <f t="shared" si="1010"/>
        <v>-7345866.4238007516</v>
      </c>
      <c r="R891">
        <f t="shared" si="1011"/>
        <v>-51570223.744570196</v>
      </c>
      <c r="S891">
        <f t="shared" si="1012"/>
        <v>-515.70223744570194</v>
      </c>
      <c r="T891">
        <f t="shared" si="1013"/>
        <v>-0.51570223744570198</v>
      </c>
    </row>
    <row r="892" spans="1:20" x14ac:dyDescent="0.25">
      <c r="A892" s="5">
        <v>43701</v>
      </c>
      <c r="B892">
        <v>0.24260000000000001</v>
      </c>
      <c r="C892">
        <v>0.2767</v>
      </c>
      <c r="D892">
        <v>0.23549999999999999</v>
      </c>
      <c r="E892">
        <v>0.24199999999999999</v>
      </c>
      <c r="F892">
        <v>16250656.619999999</v>
      </c>
      <c r="G892">
        <v>0</v>
      </c>
      <c r="L892" t="s">
        <v>8</v>
      </c>
      <c r="M892" t="s">
        <v>8</v>
      </c>
      <c r="N892" t="s">
        <v>8</v>
      </c>
      <c r="P892">
        <f t="shared" si="1009"/>
        <v>-0.68446601941747554</v>
      </c>
      <c r="Q892">
        <f t="shared" si="1010"/>
        <v>-11123022.249611646</v>
      </c>
      <c r="R892">
        <f t="shared" si="1011"/>
        <v>-44224357.320769444</v>
      </c>
      <c r="S892">
        <f t="shared" si="1012"/>
        <v>-442.24357320769445</v>
      </c>
      <c r="T892">
        <f t="shared" si="1013"/>
        <v>-0.44224357320769447</v>
      </c>
    </row>
    <row r="893" spans="1:20" x14ac:dyDescent="0.25">
      <c r="A893" s="5">
        <v>43700</v>
      </c>
      <c r="B893">
        <v>0.2263</v>
      </c>
      <c r="C893">
        <v>0.25540000000000002</v>
      </c>
      <c r="D893">
        <v>0.2205</v>
      </c>
      <c r="E893">
        <v>0.24229999999999999</v>
      </c>
      <c r="F893">
        <v>15233877.199999999</v>
      </c>
      <c r="G893">
        <v>0</v>
      </c>
      <c r="L893" t="s">
        <v>7</v>
      </c>
      <c r="M893" t="s">
        <v>8</v>
      </c>
      <c r="N893" t="s">
        <v>8</v>
      </c>
      <c r="P893">
        <f t="shared" si="1009"/>
        <v>0.2492836676217752</v>
      </c>
      <c r="Q893">
        <f t="shared" si="1010"/>
        <v>3797556.7805157392</v>
      </c>
      <c r="R893">
        <f t="shared" si="1011"/>
        <v>-33101335.071157798</v>
      </c>
      <c r="S893">
        <f t="shared" si="1012"/>
        <v>-331.01335071157797</v>
      </c>
      <c r="T893">
        <f t="shared" si="1013"/>
        <v>-0.33101335071157795</v>
      </c>
    </row>
    <row r="894" spans="1:20" x14ac:dyDescent="0.25">
      <c r="A894" s="5">
        <v>43699</v>
      </c>
      <c r="B894">
        <v>0.18940000000000001</v>
      </c>
      <c r="C894">
        <v>0.26490000000000002</v>
      </c>
      <c r="D894">
        <v>0.1837</v>
      </c>
      <c r="E894">
        <v>0.22550000000000001</v>
      </c>
      <c r="F894">
        <v>27156084.800000001</v>
      </c>
      <c r="G894">
        <v>0</v>
      </c>
      <c r="L894" t="s">
        <v>8</v>
      </c>
      <c r="M894" t="s">
        <v>8</v>
      </c>
      <c r="N894" t="s">
        <v>8</v>
      </c>
      <c r="P894">
        <f t="shared" si="1009"/>
        <v>2.9556650246305233E-2</v>
      </c>
      <c r="Q894">
        <f t="shared" si="1010"/>
        <v>802642.90049260587</v>
      </c>
      <c r="R894">
        <f t="shared" si="1011"/>
        <v>-36898891.851673536</v>
      </c>
      <c r="S894">
        <f t="shared" si="1012"/>
        <v>-368.98891851673534</v>
      </c>
      <c r="T894">
        <f t="shared" si="1013"/>
        <v>-0.36898891851673532</v>
      </c>
    </row>
    <row r="895" spans="1:20" x14ac:dyDescent="0.25">
      <c r="A895" s="5">
        <v>43698</v>
      </c>
      <c r="B895">
        <v>0.19539999999999999</v>
      </c>
      <c r="C895">
        <v>0.19650000000000001</v>
      </c>
      <c r="D895">
        <v>0.1784</v>
      </c>
      <c r="E895">
        <v>0.1895</v>
      </c>
      <c r="F895">
        <v>3620852.97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0.22651933701657412</v>
      </c>
      <c r="Q895">
        <f t="shared" ref="Q895:Q958" si="1015">F895*P895</f>
        <v>820193.2141988934</v>
      </c>
      <c r="R895">
        <f t="shared" ref="R895:R958" si="1016">R896+Q895</f>
        <v>-37701534.752166145</v>
      </c>
      <c r="S895">
        <f t="shared" ref="S895:S958" si="1017">R895/100000</f>
        <v>-377.01534752166145</v>
      </c>
      <c r="T895">
        <f t="shared" ref="T895:T958" si="1018">S895/1000</f>
        <v>-0.37701534752166144</v>
      </c>
    </row>
    <row r="896" spans="1:20" x14ac:dyDescent="0.25">
      <c r="A896" s="5">
        <v>43697</v>
      </c>
      <c r="B896">
        <v>0.19570000000000001</v>
      </c>
      <c r="C896">
        <v>0.19739999999999999</v>
      </c>
      <c r="D896">
        <v>0.1883</v>
      </c>
      <c r="E896">
        <v>0.19550000000000001</v>
      </c>
      <c r="F896">
        <v>2983317.23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0.58241758241758557</v>
      </c>
      <c r="Q896">
        <f t="shared" si="1015"/>
        <v>1737536.4086813282</v>
      </c>
      <c r="R896">
        <f t="shared" si="1016"/>
        <v>-38521727.966365039</v>
      </c>
      <c r="S896">
        <f t="shared" si="1017"/>
        <v>-385.2172796636504</v>
      </c>
      <c r="T896">
        <f t="shared" si="1018"/>
        <v>-0.38521727966365038</v>
      </c>
    </row>
    <row r="897" spans="1:20" x14ac:dyDescent="0.25">
      <c r="A897" s="5">
        <v>43696</v>
      </c>
      <c r="B897">
        <v>0.19950000000000001</v>
      </c>
      <c r="C897">
        <v>0.20480000000000001</v>
      </c>
      <c r="D897">
        <v>0.1928</v>
      </c>
      <c r="E897">
        <v>0.1948</v>
      </c>
      <c r="F897">
        <v>3232515.59</v>
      </c>
      <c r="G897">
        <v>0</v>
      </c>
      <c r="L897" t="s">
        <v>7</v>
      </c>
      <c r="M897" t="s">
        <v>7</v>
      </c>
      <c r="N897" t="s">
        <v>7</v>
      </c>
      <c r="P897">
        <f t="shared" si="1014"/>
        <v>-0.66666666666666663</v>
      </c>
      <c r="Q897">
        <f t="shared" si="1015"/>
        <v>-2155010.3933333331</v>
      </c>
      <c r="R897">
        <f t="shared" si="1016"/>
        <v>-40259264.375046365</v>
      </c>
      <c r="S897">
        <f t="shared" si="1017"/>
        <v>-402.59264375046365</v>
      </c>
      <c r="T897">
        <f t="shared" si="1018"/>
        <v>-0.40259264375046366</v>
      </c>
    </row>
    <row r="898" spans="1:20" x14ac:dyDescent="0.25">
      <c r="A898" s="5">
        <v>43695</v>
      </c>
      <c r="B898">
        <v>0.19750000000000001</v>
      </c>
      <c r="C898">
        <v>0.20580000000000001</v>
      </c>
      <c r="D898">
        <v>0.1915</v>
      </c>
      <c r="E898">
        <v>0.19950000000000001</v>
      </c>
      <c r="F898">
        <v>3106733.82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0.11888111888111931</v>
      </c>
      <c r="Q898">
        <f t="shared" si="1015"/>
        <v>369331.99258741393</v>
      </c>
      <c r="R898">
        <f t="shared" si="1016"/>
        <v>-38104253.981713034</v>
      </c>
      <c r="S898">
        <f t="shared" si="1017"/>
        <v>-381.04253981713032</v>
      </c>
      <c r="T898">
        <f t="shared" si="1018"/>
        <v>-0.38104253981713032</v>
      </c>
    </row>
    <row r="899" spans="1:20" x14ac:dyDescent="0.25">
      <c r="A899" s="5">
        <v>43694</v>
      </c>
      <c r="B899">
        <v>0.1918</v>
      </c>
      <c r="C899">
        <v>0.2019</v>
      </c>
      <c r="D899">
        <v>0.1918</v>
      </c>
      <c r="E899">
        <v>0.19750000000000001</v>
      </c>
      <c r="F899">
        <v>2286710.34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0.12871287128713105</v>
      </c>
      <c r="Q899">
        <f t="shared" si="1015"/>
        <v>294329.05366337165</v>
      </c>
      <c r="R899">
        <f t="shared" si="1016"/>
        <v>-38473585.974300452</v>
      </c>
      <c r="S899">
        <f t="shared" si="1017"/>
        <v>-384.73585974300454</v>
      </c>
      <c r="T899">
        <f t="shared" si="1018"/>
        <v>-0.38473585974300456</v>
      </c>
    </row>
    <row r="900" spans="1:20" x14ac:dyDescent="0.25">
      <c r="A900" s="5">
        <v>43693</v>
      </c>
      <c r="B900">
        <v>0.2009</v>
      </c>
      <c r="C900">
        <v>0.20519999999999999</v>
      </c>
      <c r="D900">
        <v>0.19040000000000001</v>
      </c>
      <c r="E900">
        <v>0.19170000000000001</v>
      </c>
      <c r="F900">
        <v>5057247.82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-0.82432432432432468</v>
      </c>
      <c r="Q900">
        <f t="shared" si="1015"/>
        <v>-4168812.3921621642</v>
      </c>
      <c r="R900">
        <f t="shared" si="1016"/>
        <v>-38767915.027963825</v>
      </c>
      <c r="S900">
        <f t="shared" si="1017"/>
        <v>-387.67915027963824</v>
      </c>
      <c r="T900">
        <f t="shared" si="1018"/>
        <v>-0.38767915027963823</v>
      </c>
    </row>
    <row r="901" spans="1:20" x14ac:dyDescent="0.25">
      <c r="A901" s="5">
        <v>43692</v>
      </c>
      <c r="B901">
        <v>0.18709999999999999</v>
      </c>
      <c r="C901">
        <v>0.20780000000000001</v>
      </c>
      <c r="D901">
        <v>0.18459999999999999</v>
      </c>
      <c r="E901">
        <v>0.2011</v>
      </c>
      <c r="F901">
        <v>7275493.7599999998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0.42241379310344795</v>
      </c>
      <c r="Q901">
        <f t="shared" si="1015"/>
        <v>3073268.9158620667</v>
      </c>
      <c r="R901">
        <f t="shared" si="1016"/>
        <v>-34599102.635801658</v>
      </c>
      <c r="S901">
        <f t="shared" si="1017"/>
        <v>-345.9910263580166</v>
      </c>
      <c r="T901">
        <f t="shared" si="1018"/>
        <v>-0.3459910263580166</v>
      </c>
    </row>
    <row r="902" spans="1:20" x14ac:dyDescent="0.25">
      <c r="A902" s="5">
        <v>43691</v>
      </c>
      <c r="B902">
        <v>0.20019999999999999</v>
      </c>
      <c r="C902">
        <v>0.2051</v>
      </c>
      <c r="D902">
        <v>0.17899999999999999</v>
      </c>
      <c r="E902">
        <v>0.18709999999999999</v>
      </c>
      <c r="F902">
        <v>9044321.25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-0.3793103448275868</v>
      </c>
      <c r="Q902">
        <f t="shared" si="1015"/>
        <v>-3430604.6120689707</v>
      </c>
      <c r="R902">
        <f t="shared" si="1016"/>
        <v>-37672371.551663727</v>
      </c>
      <c r="S902">
        <f t="shared" si="1017"/>
        <v>-376.72371551663724</v>
      </c>
      <c r="T902">
        <f t="shared" si="1018"/>
        <v>-0.37672371551663725</v>
      </c>
    </row>
    <row r="903" spans="1:20" x14ac:dyDescent="0.25">
      <c r="A903" s="5">
        <v>43690</v>
      </c>
      <c r="B903">
        <v>0.20100000000000001</v>
      </c>
      <c r="C903">
        <v>0.20399999999999999</v>
      </c>
      <c r="D903">
        <v>0.1918</v>
      </c>
      <c r="E903">
        <v>0.20019999999999999</v>
      </c>
      <c r="F903">
        <v>2754541.5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0.3770491803278686</v>
      </c>
      <c r="Q903">
        <f t="shared" si="1015"/>
        <v>1038597.6147540977</v>
      </c>
      <c r="R903">
        <f t="shared" si="1016"/>
        <v>-34241766.939594753</v>
      </c>
      <c r="S903">
        <f t="shared" si="1017"/>
        <v>-342.41766939594754</v>
      </c>
      <c r="T903">
        <f t="shared" si="1018"/>
        <v>-0.34241766939594753</v>
      </c>
    </row>
    <row r="904" spans="1:20" x14ac:dyDescent="0.25">
      <c r="A904" s="5">
        <v>43689</v>
      </c>
      <c r="B904">
        <v>0.20419999999999999</v>
      </c>
      <c r="C904">
        <v>0.20680000000000001</v>
      </c>
      <c r="D904">
        <v>0.19689999999999999</v>
      </c>
      <c r="E904">
        <v>0.20100000000000001</v>
      </c>
      <c r="F904">
        <v>3295161.44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-0.17171717171716927</v>
      </c>
      <c r="Q904">
        <f t="shared" si="1015"/>
        <v>-565835.80282827478</v>
      </c>
      <c r="R904">
        <f t="shared" si="1016"/>
        <v>-35280364.554348849</v>
      </c>
      <c r="S904">
        <f t="shared" si="1017"/>
        <v>-352.80364554348847</v>
      </c>
      <c r="T904">
        <f t="shared" si="1018"/>
        <v>-0.35280364554348848</v>
      </c>
    </row>
    <row r="905" spans="1:20" x14ac:dyDescent="0.25">
      <c r="A905" s="5">
        <v>43688</v>
      </c>
      <c r="B905">
        <v>0.20219999999999999</v>
      </c>
      <c r="C905">
        <v>0.20710000000000001</v>
      </c>
      <c r="D905">
        <v>0.19919999999999999</v>
      </c>
      <c r="E905">
        <v>0.20399999999999999</v>
      </c>
      <c r="F905">
        <v>3364156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0.21518987341771842</v>
      </c>
      <c r="Q905">
        <f t="shared" si="1015"/>
        <v>723932.30379745795</v>
      </c>
      <c r="R905">
        <f t="shared" si="1016"/>
        <v>-34714528.751520574</v>
      </c>
      <c r="S905">
        <f t="shared" si="1017"/>
        <v>-347.14528751520572</v>
      </c>
      <c r="T905">
        <f t="shared" si="1018"/>
        <v>-0.34714528751520574</v>
      </c>
    </row>
    <row r="906" spans="1:20" x14ac:dyDescent="0.25">
      <c r="A906" s="5">
        <v>43687</v>
      </c>
      <c r="B906">
        <v>0.1948</v>
      </c>
      <c r="C906">
        <v>0.2041</v>
      </c>
      <c r="D906">
        <v>0.1903</v>
      </c>
      <c r="E906">
        <v>0.20230000000000001</v>
      </c>
      <c r="F906">
        <v>4458986.32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0.73913043478260942</v>
      </c>
      <c r="Q906">
        <f t="shared" si="1015"/>
        <v>3295772.4973913077</v>
      </c>
      <c r="R906">
        <f t="shared" si="1016"/>
        <v>-35438461.055318035</v>
      </c>
      <c r="S906">
        <f t="shared" si="1017"/>
        <v>-354.38461055318038</v>
      </c>
      <c r="T906">
        <f t="shared" si="1018"/>
        <v>-0.35438461055318038</v>
      </c>
    </row>
    <row r="907" spans="1:20" x14ac:dyDescent="0.25">
      <c r="A907" s="5">
        <v>43686</v>
      </c>
      <c r="B907">
        <v>0.21629999999999999</v>
      </c>
      <c r="C907">
        <v>0.22259999999999999</v>
      </c>
      <c r="D907">
        <v>0.1918</v>
      </c>
      <c r="E907">
        <v>0.19450000000000001</v>
      </c>
      <c r="F907">
        <v>4824635.51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-0.82467532467532412</v>
      </c>
      <c r="Q907">
        <f t="shared" si="1015"/>
        <v>-3978757.8556493479</v>
      </c>
      <c r="R907">
        <f t="shared" si="1016"/>
        <v>-38734233.552709341</v>
      </c>
      <c r="S907">
        <f t="shared" si="1017"/>
        <v>-387.34233552709338</v>
      </c>
      <c r="T907">
        <f t="shared" si="1018"/>
        <v>-0.38734233552709341</v>
      </c>
    </row>
    <row r="908" spans="1:20" x14ac:dyDescent="0.25">
      <c r="A908" s="5">
        <v>43685</v>
      </c>
      <c r="B908">
        <v>0.219</v>
      </c>
      <c r="C908">
        <v>0.2243</v>
      </c>
      <c r="D908">
        <v>0.21110000000000001</v>
      </c>
      <c r="E908">
        <v>0.21640000000000001</v>
      </c>
      <c r="F908">
        <v>4250346.0599999996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-0.19696969696969646</v>
      </c>
      <c r="Q908">
        <f t="shared" si="1015"/>
        <v>-837189.37545454316</v>
      </c>
      <c r="R908">
        <f t="shared" si="1016"/>
        <v>-34755475.697059996</v>
      </c>
      <c r="S908">
        <f t="shared" si="1017"/>
        <v>-347.55475697059995</v>
      </c>
      <c r="T908">
        <f t="shared" si="1018"/>
        <v>-0.34755475697059995</v>
      </c>
    </row>
    <row r="909" spans="1:20" x14ac:dyDescent="0.25">
      <c r="A909" s="5">
        <v>43684</v>
      </c>
      <c r="B909">
        <v>0.23089999999999999</v>
      </c>
      <c r="C909">
        <v>0.23860000000000001</v>
      </c>
      <c r="D909">
        <v>0.21759999999999999</v>
      </c>
      <c r="E909">
        <v>0.21859999999999999</v>
      </c>
      <c r="F909">
        <v>4598937.8600000003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-0.90476190476190477</v>
      </c>
      <c r="Q909">
        <f t="shared" si="1015"/>
        <v>-4160943.7780952384</v>
      </c>
      <c r="R909">
        <f t="shared" si="1016"/>
        <v>-33918286.321605451</v>
      </c>
      <c r="S909">
        <f t="shared" si="1017"/>
        <v>-339.1828632160545</v>
      </c>
      <c r="T909">
        <f t="shared" si="1018"/>
        <v>-0.33918286321605451</v>
      </c>
    </row>
    <row r="910" spans="1:20" x14ac:dyDescent="0.25">
      <c r="A910" s="5">
        <v>43683</v>
      </c>
      <c r="B910">
        <v>0.2397</v>
      </c>
      <c r="C910">
        <v>0.2424</v>
      </c>
      <c r="D910">
        <v>0.22500000000000001</v>
      </c>
      <c r="E910">
        <v>0.23119999999999999</v>
      </c>
      <c r="F910">
        <v>3753523.9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-0.28735632183908233</v>
      </c>
      <c r="Q910">
        <f t="shared" si="1015"/>
        <v>-1078598.8218390874</v>
      </c>
      <c r="R910">
        <f t="shared" si="1016"/>
        <v>-29757342.54351021</v>
      </c>
      <c r="S910">
        <f t="shared" si="1017"/>
        <v>-297.57342543510208</v>
      </c>
      <c r="T910">
        <f t="shared" si="1018"/>
        <v>-0.29757342543510207</v>
      </c>
    </row>
    <row r="911" spans="1:20" x14ac:dyDescent="0.25">
      <c r="A911" s="5">
        <v>43682</v>
      </c>
      <c r="B911">
        <v>0.23760000000000001</v>
      </c>
      <c r="C911">
        <v>0.2427</v>
      </c>
      <c r="D911">
        <v>0.2334</v>
      </c>
      <c r="E911">
        <v>0.23960000000000001</v>
      </c>
      <c r="F911">
        <v>5296798.38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0.33333333333333531</v>
      </c>
      <c r="Q911">
        <f t="shared" si="1015"/>
        <v>1765599.4600000104</v>
      </c>
      <c r="R911">
        <f t="shared" si="1016"/>
        <v>-28678743.721671123</v>
      </c>
      <c r="S911">
        <f t="shared" si="1017"/>
        <v>-286.78743721671123</v>
      </c>
      <c r="T911">
        <f t="shared" si="1018"/>
        <v>-0.28678743721671124</v>
      </c>
    </row>
    <row r="912" spans="1:20" x14ac:dyDescent="0.25">
      <c r="A912" s="5">
        <v>43681</v>
      </c>
      <c r="B912">
        <v>0.24</v>
      </c>
      <c r="C912">
        <v>0.24249999999999999</v>
      </c>
      <c r="D912">
        <v>0.23350000000000001</v>
      </c>
      <c r="E912">
        <v>0.2379</v>
      </c>
      <c r="F912">
        <v>4331322.71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-2.2222222222222907E-2</v>
      </c>
      <c r="Q912">
        <f t="shared" si="1015"/>
        <v>-96251.615777780738</v>
      </c>
      <c r="R912">
        <f t="shared" si="1016"/>
        <v>-30444343.181671135</v>
      </c>
      <c r="S912">
        <f t="shared" si="1017"/>
        <v>-304.44343181671132</v>
      </c>
      <c r="T912">
        <f t="shared" si="1018"/>
        <v>-0.30444343181671135</v>
      </c>
    </row>
    <row r="913" spans="1:20" x14ac:dyDescent="0.25">
      <c r="A913" s="5">
        <v>43680</v>
      </c>
      <c r="B913">
        <v>0.2487</v>
      </c>
      <c r="C913">
        <v>0.25140000000000001</v>
      </c>
      <c r="D913">
        <v>0.23400000000000001</v>
      </c>
      <c r="E913">
        <v>0.24010000000000001</v>
      </c>
      <c r="F913">
        <v>4379631.62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-0.29885057471264426</v>
      </c>
      <c r="Q913">
        <f t="shared" si="1015"/>
        <v>-1308855.4266666693</v>
      </c>
      <c r="R913">
        <f t="shared" si="1016"/>
        <v>-30348091.565893356</v>
      </c>
      <c r="S913">
        <f t="shared" si="1017"/>
        <v>-303.48091565893355</v>
      </c>
      <c r="T913">
        <f t="shared" si="1018"/>
        <v>-0.30348091565893354</v>
      </c>
    </row>
    <row r="914" spans="1:20" x14ac:dyDescent="0.25">
      <c r="A914" s="5">
        <v>43679</v>
      </c>
      <c r="B914">
        <v>0.25019999999999998</v>
      </c>
      <c r="C914">
        <v>0.25330000000000003</v>
      </c>
      <c r="D914">
        <v>0.24099999999999999</v>
      </c>
      <c r="E914">
        <v>0.24859999999999999</v>
      </c>
      <c r="F914">
        <v>3836406.19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0.23577235772357319</v>
      </c>
      <c r="Q914">
        <f t="shared" si="1015"/>
        <v>904518.53260161052</v>
      </c>
      <c r="R914">
        <f t="shared" si="1016"/>
        <v>-29039236.139226686</v>
      </c>
      <c r="S914">
        <f t="shared" si="1017"/>
        <v>-290.39236139226688</v>
      </c>
      <c r="T914">
        <f t="shared" si="1018"/>
        <v>-0.29039236139226687</v>
      </c>
    </row>
    <row r="915" spans="1:20" x14ac:dyDescent="0.25">
      <c r="A915" s="5">
        <v>43678</v>
      </c>
      <c r="B915">
        <v>0.26740000000000003</v>
      </c>
      <c r="C915">
        <v>0.26769999999999999</v>
      </c>
      <c r="D915">
        <v>0.24149999999999999</v>
      </c>
      <c r="E915">
        <v>0.25030000000000002</v>
      </c>
      <c r="F915">
        <v>3178459.15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-0.32824427480915802</v>
      </c>
      <c r="Q915">
        <f t="shared" si="1015"/>
        <v>-1043311.0187022828</v>
      </c>
      <c r="R915">
        <f t="shared" si="1016"/>
        <v>-29943754.671828296</v>
      </c>
      <c r="S915">
        <f t="shared" si="1017"/>
        <v>-299.43754671828299</v>
      </c>
      <c r="T915">
        <f t="shared" si="1018"/>
        <v>-0.29943754671828299</v>
      </c>
    </row>
    <row r="916" spans="1:20" x14ac:dyDescent="0.25">
      <c r="A916" s="5">
        <v>43677</v>
      </c>
      <c r="B916">
        <v>0.25509999999999999</v>
      </c>
      <c r="C916">
        <v>0.27079999999999999</v>
      </c>
      <c r="D916">
        <v>0.25409999999999999</v>
      </c>
      <c r="E916">
        <v>0.26629999999999998</v>
      </c>
      <c r="F916">
        <v>3007947.69</v>
      </c>
      <c r="G916">
        <v>0</v>
      </c>
      <c r="L916" t="s">
        <v>8</v>
      </c>
      <c r="M916" t="s">
        <v>8</v>
      </c>
      <c r="N916" t="s">
        <v>7</v>
      </c>
      <c r="P916">
        <f t="shared" si="1014"/>
        <v>0.46107784431137655</v>
      </c>
      <c r="Q916">
        <f t="shared" si="1015"/>
        <v>1386898.0367065847</v>
      </c>
      <c r="R916">
        <f t="shared" si="1016"/>
        <v>-28900443.653126013</v>
      </c>
      <c r="S916">
        <f t="shared" si="1017"/>
        <v>-289.00443653126013</v>
      </c>
      <c r="T916">
        <f t="shared" si="1018"/>
        <v>-0.28900443653126012</v>
      </c>
    </row>
    <row r="917" spans="1:20" x14ac:dyDescent="0.25">
      <c r="A917" s="5">
        <v>43676</v>
      </c>
      <c r="B917">
        <v>0.25490000000000002</v>
      </c>
      <c r="C917">
        <v>0.25679999999999997</v>
      </c>
      <c r="D917">
        <v>0.24729999999999999</v>
      </c>
      <c r="E917">
        <v>0.255</v>
      </c>
      <c r="F917">
        <v>1595336.92</v>
      </c>
      <c r="G917">
        <v>0</v>
      </c>
      <c r="L917" t="s">
        <v>8</v>
      </c>
      <c r="M917" t="s">
        <v>8</v>
      </c>
      <c r="N917" t="s">
        <v>7</v>
      </c>
      <c r="P917">
        <f t="shared" si="1014"/>
        <v>0.6210526315789533</v>
      </c>
      <c r="Q917">
        <f t="shared" si="1015"/>
        <v>990788.19242106203</v>
      </c>
      <c r="R917">
        <f t="shared" si="1016"/>
        <v>-30287341.689832598</v>
      </c>
      <c r="S917">
        <f t="shared" si="1017"/>
        <v>-302.87341689832596</v>
      </c>
      <c r="T917">
        <f t="shared" si="1018"/>
        <v>-0.30287341689832598</v>
      </c>
    </row>
    <row r="918" spans="1:20" x14ac:dyDescent="0.25">
      <c r="A918" s="5">
        <v>43675</v>
      </c>
      <c r="B918">
        <v>0.2591</v>
      </c>
      <c r="C918">
        <v>0.26200000000000001</v>
      </c>
      <c r="D918">
        <v>0.25030000000000002</v>
      </c>
      <c r="E918">
        <v>0.25540000000000002</v>
      </c>
      <c r="F918">
        <v>1910267.01</v>
      </c>
      <c r="G918">
        <v>0</v>
      </c>
      <c r="L918" t="s">
        <v>8</v>
      </c>
      <c r="M918" t="s">
        <v>8</v>
      </c>
      <c r="N918" t="s">
        <v>7</v>
      </c>
      <c r="P918">
        <f t="shared" si="1014"/>
        <v>-0.12820512820512844</v>
      </c>
      <c r="Q918">
        <f t="shared" si="1015"/>
        <v>-244906.02692307738</v>
      </c>
      <c r="R918">
        <f t="shared" si="1016"/>
        <v>-31278129.882253662</v>
      </c>
      <c r="S918">
        <f t="shared" si="1017"/>
        <v>-312.7812988225366</v>
      </c>
      <c r="T918">
        <f t="shared" si="1018"/>
        <v>-0.31278129882253658</v>
      </c>
    </row>
    <row r="919" spans="1:20" x14ac:dyDescent="0.25">
      <c r="A919" s="5">
        <v>43674</v>
      </c>
      <c r="B919">
        <v>0.26350000000000001</v>
      </c>
      <c r="C919">
        <v>0.26800000000000002</v>
      </c>
      <c r="D919">
        <v>0.2447</v>
      </c>
      <c r="E919">
        <v>0.25900000000000001</v>
      </c>
      <c r="F919">
        <v>2175498.91</v>
      </c>
      <c r="G919">
        <v>0</v>
      </c>
      <c r="L919" t="s">
        <v>7</v>
      </c>
      <c r="M919" t="s">
        <v>8</v>
      </c>
      <c r="N919" t="s">
        <v>7</v>
      </c>
      <c r="P919">
        <f t="shared" si="1014"/>
        <v>0.22746781115879811</v>
      </c>
      <c r="Q919">
        <f t="shared" si="1015"/>
        <v>494855.97523605113</v>
      </c>
      <c r="R919">
        <f t="shared" si="1016"/>
        <v>-31033223.855330583</v>
      </c>
      <c r="S919">
        <f t="shared" si="1017"/>
        <v>-310.33223855330584</v>
      </c>
      <c r="T919">
        <f t="shared" si="1018"/>
        <v>-0.31033223855330583</v>
      </c>
    </row>
    <row r="920" spans="1:20" x14ac:dyDescent="0.25">
      <c r="A920" s="5">
        <v>43673</v>
      </c>
      <c r="B920">
        <v>0.2787</v>
      </c>
      <c r="C920">
        <v>0.28270000000000001</v>
      </c>
      <c r="D920">
        <v>0.26019999999999999</v>
      </c>
      <c r="E920">
        <v>0.26390000000000002</v>
      </c>
      <c r="F920">
        <v>2905602.51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-0.67111111111110811</v>
      </c>
      <c r="Q920">
        <f t="shared" si="1015"/>
        <v>-1949982.1289333245</v>
      </c>
      <c r="R920">
        <f t="shared" si="1016"/>
        <v>-31528079.830566633</v>
      </c>
      <c r="S920">
        <f t="shared" si="1017"/>
        <v>-315.28079830566634</v>
      </c>
      <c r="T920">
        <f t="shared" si="1018"/>
        <v>-0.31528079830566635</v>
      </c>
    </row>
    <row r="921" spans="1:20" x14ac:dyDescent="0.25">
      <c r="A921" s="5">
        <v>43672</v>
      </c>
      <c r="B921">
        <v>0.27879999999999999</v>
      </c>
      <c r="C921">
        <v>0.28399999999999997</v>
      </c>
      <c r="D921">
        <v>0.26640000000000003</v>
      </c>
      <c r="E921">
        <v>0.27860000000000001</v>
      </c>
      <c r="F921">
        <v>3661380.85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0.38636363636363907</v>
      </c>
      <c r="Q921">
        <f t="shared" si="1015"/>
        <v>1414624.4193181917</v>
      </c>
      <c r="R921">
        <f t="shared" si="1016"/>
        <v>-29578097.701633308</v>
      </c>
      <c r="S921">
        <f t="shared" si="1017"/>
        <v>-295.78097701633305</v>
      </c>
      <c r="T921">
        <f t="shared" si="1018"/>
        <v>-0.29578097701633305</v>
      </c>
    </row>
    <row r="922" spans="1:20" x14ac:dyDescent="0.25">
      <c r="A922" s="5">
        <v>43671</v>
      </c>
      <c r="B922">
        <v>0.26650000000000001</v>
      </c>
      <c r="C922">
        <v>0.28299999999999997</v>
      </c>
      <c r="D922">
        <v>0.26569999999999999</v>
      </c>
      <c r="E922">
        <v>0.27779999999999999</v>
      </c>
      <c r="F922">
        <v>3802871.12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0.39884393063583956</v>
      </c>
      <c r="Q922">
        <f t="shared" si="1015"/>
        <v>1516752.0652023174</v>
      </c>
      <c r="R922">
        <f t="shared" si="1016"/>
        <v>-30992722.1209515</v>
      </c>
      <c r="S922">
        <f t="shared" si="1017"/>
        <v>-309.92722120951498</v>
      </c>
      <c r="T922">
        <f t="shared" si="1018"/>
        <v>-0.30992722120951499</v>
      </c>
    </row>
    <row r="923" spans="1:20" x14ac:dyDescent="0.25">
      <c r="A923" s="5">
        <v>43670</v>
      </c>
      <c r="B923">
        <v>0.26229999999999998</v>
      </c>
      <c r="C923">
        <v>0.27139999999999997</v>
      </c>
      <c r="D923">
        <v>0.25280000000000002</v>
      </c>
      <c r="E923">
        <v>0.26719999999999999</v>
      </c>
      <c r="F923">
        <v>2978774.66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0.54838709677419428</v>
      </c>
      <c r="Q923">
        <f t="shared" si="1015"/>
        <v>1633521.5877419377</v>
      </c>
      <c r="R923">
        <f t="shared" si="1016"/>
        <v>-32509474.186153818</v>
      </c>
      <c r="S923">
        <f t="shared" si="1017"/>
        <v>-325.09474186153818</v>
      </c>
      <c r="T923">
        <f t="shared" si="1018"/>
        <v>-0.32509474186153819</v>
      </c>
    </row>
    <row r="924" spans="1:20" x14ac:dyDescent="0.25">
      <c r="A924" s="5">
        <v>43669</v>
      </c>
      <c r="B924">
        <v>0.26400000000000001</v>
      </c>
      <c r="C924">
        <v>0.2777</v>
      </c>
      <c r="D924">
        <v>0.26040000000000002</v>
      </c>
      <c r="E924">
        <v>0.26290000000000002</v>
      </c>
      <c r="F924">
        <v>4522222.33</v>
      </c>
      <c r="G924">
        <v>0</v>
      </c>
      <c r="L924" t="s">
        <v>8</v>
      </c>
      <c r="M924" t="s">
        <v>8</v>
      </c>
      <c r="N924" t="s">
        <v>7</v>
      </c>
      <c r="P924">
        <f t="shared" si="1014"/>
        <v>-0.71098265895953705</v>
      </c>
      <c r="Q924">
        <f t="shared" si="1015"/>
        <v>-3215221.6565895933</v>
      </c>
      <c r="R924">
        <f t="shared" si="1016"/>
        <v>-34142995.773895755</v>
      </c>
      <c r="S924">
        <f t="shared" si="1017"/>
        <v>-341.42995773895757</v>
      </c>
      <c r="T924">
        <f t="shared" si="1018"/>
        <v>-0.34142995773895757</v>
      </c>
    </row>
    <row r="925" spans="1:20" x14ac:dyDescent="0.25">
      <c r="A925" s="5">
        <v>43668</v>
      </c>
      <c r="B925">
        <v>0.26950000000000002</v>
      </c>
      <c r="C925">
        <v>0.27889999999999998</v>
      </c>
      <c r="D925">
        <v>0.25650000000000001</v>
      </c>
      <c r="E925">
        <v>0.26390000000000002</v>
      </c>
      <c r="F925">
        <v>3289352.08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-0.33928571428571197</v>
      </c>
      <c r="Q925">
        <f t="shared" si="1015"/>
        <v>-1116030.1699999925</v>
      </c>
      <c r="R925">
        <f t="shared" si="1016"/>
        <v>-30927774.117306165</v>
      </c>
      <c r="S925">
        <f t="shared" si="1017"/>
        <v>-309.27774117306166</v>
      </c>
      <c r="T925">
        <f t="shared" si="1018"/>
        <v>-0.30927774117306167</v>
      </c>
    </row>
    <row r="926" spans="1:20" x14ac:dyDescent="0.25">
      <c r="A926" s="5">
        <v>43667</v>
      </c>
      <c r="B926">
        <v>0.2702</v>
      </c>
      <c r="C926">
        <v>0.27410000000000001</v>
      </c>
      <c r="D926">
        <v>0.25850000000000001</v>
      </c>
      <c r="E926">
        <v>0.26900000000000002</v>
      </c>
      <c r="F926">
        <v>2151205.7999999998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0.34615384615384709</v>
      </c>
      <c r="Q926">
        <f t="shared" si="1015"/>
        <v>744648.16153846344</v>
      </c>
      <c r="R926">
        <f t="shared" si="1016"/>
        <v>-29811743.947306171</v>
      </c>
      <c r="S926">
        <f t="shared" si="1017"/>
        <v>-298.11743947306172</v>
      </c>
      <c r="T926">
        <f t="shared" si="1018"/>
        <v>-0.29811743947306174</v>
      </c>
    </row>
    <row r="927" spans="1:20" x14ac:dyDescent="0.25">
      <c r="A927" s="5">
        <v>43666</v>
      </c>
      <c r="B927">
        <v>0.26469999999999999</v>
      </c>
      <c r="C927">
        <v>0.27989999999999998</v>
      </c>
      <c r="D927">
        <v>0.26340000000000002</v>
      </c>
      <c r="E927">
        <v>0.27110000000000001</v>
      </c>
      <c r="F927">
        <v>3581825.43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-6.6666666666666222E-2</v>
      </c>
      <c r="Q927">
        <f t="shared" si="1015"/>
        <v>-238788.36199999842</v>
      </c>
      <c r="R927">
        <f t="shared" si="1016"/>
        <v>-30556392.108844634</v>
      </c>
      <c r="S927">
        <f t="shared" si="1017"/>
        <v>-305.56392108844636</v>
      </c>
      <c r="T927">
        <f t="shared" si="1018"/>
        <v>-0.30556392108844638</v>
      </c>
    </row>
    <row r="928" spans="1:20" x14ac:dyDescent="0.25">
      <c r="A928" s="5">
        <v>43665</v>
      </c>
      <c r="B928">
        <v>0.27129999999999999</v>
      </c>
      <c r="C928">
        <v>0.27250000000000002</v>
      </c>
      <c r="D928">
        <v>0.25440000000000002</v>
      </c>
      <c r="E928">
        <v>0.26440000000000002</v>
      </c>
      <c r="F928">
        <v>3845470.16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0.10497237569060841</v>
      </c>
      <c r="Q928">
        <f t="shared" si="1015"/>
        <v>403668.13834254403</v>
      </c>
      <c r="R928">
        <f t="shared" si="1016"/>
        <v>-30317603.746844634</v>
      </c>
      <c r="S928">
        <f t="shared" si="1017"/>
        <v>-303.17603746844634</v>
      </c>
      <c r="T928">
        <f t="shared" si="1018"/>
        <v>-0.30317603746844635</v>
      </c>
    </row>
    <row r="929" spans="1:20" x14ac:dyDescent="0.25">
      <c r="A929" s="5">
        <v>43664</v>
      </c>
      <c r="B929">
        <v>0.2596</v>
      </c>
      <c r="C929">
        <v>0.27550000000000002</v>
      </c>
      <c r="D929">
        <v>0.24399999999999999</v>
      </c>
      <c r="E929">
        <v>0.2712</v>
      </c>
      <c r="F929">
        <v>6678964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0.72698412698412562</v>
      </c>
      <c r="Q929">
        <f t="shared" si="1015"/>
        <v>4855500.8126984034</v>
      </c>
      <c r="R929">
        <f t="shared" si="1016"/>
        <v>-30721271.885187179</v>
      </c>
      <c r="S929">
        <f t="shared" si="1017"/>
        <v>-307.21271885187178</v>
      </c>
      <c r="T929">
        <f t="shared" si="1018"/>
        <v>-0.30721271885187179</v>
      </c>
    </row>
    <row r="930" spans="1:20" x14ac:dyDescent="0.25">
      <c r="A930" s="5">
        <v>43663</v>
      </c>
      <c r="B930">
        <v>0.2404</v>
      </c>
      <c r="C930">
        <v>0.26419999999999999</v>
      </c>
      <c r="D930">
        <v>0.22850000000000001</v>
      </c>
      <c r="E930">
        <v>0.2591</v>
      </c>
      <c r="F930">
        <v>8096672.5099999998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0.71428571428571452</v>
      </c>
      <c r="Q930">
        <f t="shared" si="1015"/>
        <v>5783337.5071428586</v>
      </c>
      <c r="R930">
        <f t="shared" si="1016"/>
        <v>-35576772.69788558</v>
      </c>
      <c r="S930">
        <f t="shared" si="1017"/>
        <v>-355.76772697885582</v>
      </c>
      <c r="T930">
        <f t="shared" si="1018"/>
        <v>-0.35576772697885584</v>
      </c>
    </row>
    <row r="931" spans="1:20" x14ac:dyDescent="0.25">
      <c r="A931" s="5">
        <v>43662</v>
      </c>
      <c r="B931">
        <v>0.27539999999999998</v>
      </c>
      <c r="C931">
        <v>0.28129999999999999</v>
      </c>
      <c r="D931">
        <v>0.23019999999999999</v>
      </c>
      <c r="E931">
        <v>0.24030000000000001</v>
      </c>
      <c r="F931">
        <v>7030053.4699999997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-0.6046966731898229</v>
      </c>
      <c r="Q931">
        <f t="shared" si="1015"/>
        <v>-4251049.9456555704</v>
      </c>
      <c r="R931">
        <f t="shared" si="1016"/>
        <v>-41360110.205028437</v>
      </c>
      <c r="S931">
        <f t="shared" si="1017"/>
        <v>-413.6011020502844</v>
      </c>
      <c r="T931">
        <f t="shared" si="1018"/>
        <v>-0.41360110205028439</v>
      </c>
    </row>
    <row r="932" spans="1:20" x14ac:dyDescent="0.25">
      <c r="A932" s="5">
        <v>43661</v>
      </c>
      <c r="B932">
        <v>0.2863</v>
      </c>
      <c r="C932">
        <v>0.28849999999999998</v>
      </c>
      <c r="D932">
        <v>0.26679999999999998</v>
      </c>
      <c r="E932">
        <v>0.27600000000000002</v>
      </c>
      <c r="F932">
        <v>8525938.1400000006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-0.15207373271889008</v>
      </c>
      <c r="Q932">
        <f t="shared" si="1015"/>
        <v>-1296571.2378801508</v>
      </c>
      <c r="R932">
        <f t="shared" si="1016"/>
        <v>-37109060.259372868</v>
      </c>
      <c r="S932">
        <f t="shared" si="1017"/>
        <v>-371.0906025937287</v>
      </c>
      <c r="T932">
        <f t="shared" si="1018"/>
        <v>-0.37109060259372872</v>
      </c>
    </row>
    <row r="933" spans="1:20" x14ac:dyDescent="0.25">
      <c r="A933" s="5">
        <v>43660</v>
      </c>
      <c r="B933">
        <v>0.29570000000000002</v>
      </c>
      <c r="C933">
        <v>0.32629999999999998</v>
      </c>
      <c r="D933">
        <v>0.28289999999999998</v>
      </c>
      <c r="E933">
        <v>0.2863</v>
      </c>
      <c r="F933">
        <v>11987473.52</v>
      </c>
      <c r="G933">
        <v>0</v>
      </c>
      <c r="L933" t="s">
        <v>8</v>
      </c>
      <c r="M933" t="s">
        <v>8</v>
      </c>
      <c r="N933" t="s">
        <v>7</v>
      </c>
      <c r="P933">
        <f t="shared" si="1014"/>
        <v>-0.84331797235022976</v>
      </c>
      <c r="Q933">
        <f t="shared" si="1015"/>
        <v>-10109251.862488471</v>
      </c>
      <c r="R933">
        <f t="shared" si="1016"/>
        <v>-35812489.02149272</v>
      </c>
      <c r="S933">
        <f t="shared" si="1017"/>
        <v>-358.12489021492718</v>
      </c>
      <c r="T933">
        <f t="shared" si="1018"/>
        <v>-0.35812489021492716</v>
      </c>
    </row>
    <row r="934" spans="1:20" x14ac:dyDescent="0.25">
      <c r="A934" s="5">
        <v>43659</v>
      </c>
      <c r="B934">
        <v>0.30819999999999997</v>
      </c>
      <c r="C934">
        <v>0.316</v>
      </c>
      <c r="D934">
        <v>0.28610000000000002</v>
      </c>
      <c r="E934">
        <v>0.29659999999999997</v>
      </c>
      <c r="F934">
        <v>3148599.36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-0.29765886287625687</v>
      </c>
      <c r="Q934">
        <f t="shared" si="1015"/>
        <v>-937208.50515051011</v>
      </c>
      <c r="R934">
        <f t="shared" si="1016"/>
        <v>-25703237.159004245</v>
      </c>
      <c r="S934">
        <f t="shared" si="1017"/>
        <v>-257.03237159004243</v>
      </c>
      <c r="T934">
        <f t="shared" si="1018"/>
        <v>-0.25703237159004244</v>
      </c>
    </row>
    <row r="935" spans="1:20" x14ac:dyDescent="0.25">
      <c r="A935" s="5">
        <v>43658</v>
      </c>
      <c r="B935">
        <v>0.28820000000000001</v>
      </c>
      <c r="C935">
        <v>0.31519999999999998</v>
      </c>
      <c r="D935">
        <v>0.27929999999999999</v>
      </c>
      <c r="E935">
        <v>0.30880000000000002</v>
      </c>
      <c r="F935">
        <v>4616120.33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0.64345403899721654</v>
      </c>
      <c r="Q935">
        <f t="shared" si="1015"/>
        <v>2970261.2708356641</v>
      </c>
      <c r="R935">
        <f t="shared" si="1016"/>
        <v>-24766028.653853733</v>
      </c>
      <c r="S935">
        <f t="shared" si="1017"/>
        <v>-247.66028653853732</v>
      </c>
      <c r="T935">
        <f t="shared" si="1018"/>
        <v>-0.24766028653853733</v>
      </c>
    </row>
    <row r="936" spans="1:20" x14ac:dyDescent="0.25">
      <c r="A936" s="5">
        <v>43657</v>
      </c>
      <c r="B936">
        <v>0.33050000000000002</v>
      </c>
      <c r="C936">
        <v>0.33329999999999999</v>
      </c>
      <c r="D936">
        <v>0.28370000000000001</v>
      </c>
      <c r="E936">
        <v>0.29120000000000001</v>
      </c>
      <c r="F936">
        <v>5559017.2800000003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-0.69758064516128993</v>
      </c>
      <c r="Q936">
        <f t="shared" si="1015"/>
        <v>-3877862.8606451591</v>
      </c>
      <c r="R936">
        <f t="shared" si="1016"/>
        <v>-27736289.924689397</v>
      </c>
      <c r="S936">
        <f t="shared" si="1017"/>
        <v>-277.36289924689396</v>
      </c>
      <c r="T936">
        <f t="shared" si="1018"/>
        <v>-0.27736289924689395</v>
      </c>
    </row>
    <row r="937" spans="1:20" x14ac:dyDescent="0.25">
      <c r="A937" s="5">
        <v>43656</v>
      </c>
      <c r="B937">
        <v>0.33050000000000002</v>
      </c>
      <c r="C937">
        <v>0.3478</v>
      </c>
      <c r="D937">
        <v>0.31</v>
      </c>
      <c r="E937">
        <v>0.3301</v>
      </c>
      <c r="F937">
        <v>9886990.25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6.3492063492063835E-2</v>
      </c>
      <c r="Q937">
        <f t="shared" si="1015"/>
        <v>627745.41269841604</v>
      </c>
      <c r="R937">
        <f t="shared" si="1016"/>
        <v>-23858427.064044237</v>
      </c>
      <c r="S937">
        <f t="shared" si="1017"/>
        <v>-238.58427064044238</v>
      </c>
      <c r="T937">
        <f t="shared" si="1018"/>
        <v>-0.23858427064044238</v>
      </c>
    </row>
    <row r="938" spans="1:20" x14ac:dyDescent="0.25">
      <c r="A938" s="5">
        <v>43655</v>
      </c>
      <c r="B938">
        <v>0.3322</v>
      </c>
      <c r="C938">
        <v>0.33989999999999998</v>
      </c>
      <c r="D938">
        <v>0.32219999999999999</v>
      </c>
      <c r="E938">
        <v>0.33160000000000001</v>
      </c>
      <c r="F938">
        <v>7630045.0499999998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6.2146892655369816E-2</v>
      </c>
      <c r="Q938">
        <f t="shared" si="1015"/>
        <v>474183.59067798581</v>
      </c>
      <c r="R938">
        <f t="shared" si="1016"/>
        <v>-24486172.476742651</v>
      </c>
      <c r="S938">
        <f t="shared" si="1017"/>
        <v>-244.86172476742652</v>
      </c>
      <c r="T938">
        <f t="shared" si="1018"/>
        <v>-0.24486172476742651</v>
      </c>
    </row>
    <row r="939" spans="1:20" x14ac:dyDescent="0.25">
      <c r="A939" s="5">
        <v>43654</v>
      </c>
      <c r="B939">
        <v>0.3548</v>
      </c>
      <c r="C939">
        <v>0.38500000000000001</v>
      </c>
      <c r="D939">
        <v>0.32900000000000001</v>
      </c>
      <c r="E939">
        <v>0.33300000000000002</v>
      </c>
      <c r="F939">
        <v>19011355.489999998</v>
      </c>
      <c r="G939">
        <v>0</v>
      </c>
      <c r="L939" t="s">
        <v>8</v>
      </c>
      <c r="M939" t="s">
        <v>8</v>
      </c>
      <c r="N939" t="s">
        <v>7</v>
      </c>
      <c r="P939">
        <f t="shared" si="1014"/>
        <v>-0.85714285714285698</v>
      </c>
      <c r="Q939">
        <f t="shared" si="1015"/>
        <v>-16295447.562857138</v>
      </c>
      <c r="R939">
        <f t="shared" si="1016"/>
        <v>-24960356.067420635</v>
      </c>
      <c r="S939">
        <f t="shared" si="1017"/>
        <v>-249.60356067420636</v>
      </c>
      <c r="T939">
        <f t="shared" si="1018"/>
        <v>-0.24960356067420636</v>
      </c>
    </row>
    <row r="940" spans="1:20" x14ac:dyDescent="0.25">
      <c r="A940" s="5">
        <v>43653</v>
      </c>
      <c r="B940">
        <v>0.31219999999999998</v>
      </c>
      <c r="C940">
        <v>0.37319999999999998</v>
      </c>
      <c r="D940">
        <v>0.30719999999999997</v>
      </c>
      <c r="E940">
        <v>0.3543</v>
      </c>
      <c r="F940">
        <v>13617216.550000001</v>
      </c>
      <c r="G940">
        <v>0</v>
      </c>
      <c r="L940" t="s">
        <v>8</v>
      </c>
      <c r="M940" t="s">
        <v>8</v>
      </c>
      <c r="N940" t="s">
        <v>7</v>
      </c>
      <c r="P940">
        <f t="shared" si="1014"/>
        <v>0.42727272727272814</v>
      </c>
      <c r="Q940">
        <f t="shared" si="1015"/>
        <v>5818265.25318183</v>
      </c>
      <c r="R940">
        <f t="shared" si="1016"/>
        <v>-8664908.5045634974</v>
      </c>
      <c r="S940">
        <f t="shared" si="1017"/>
        <v>-86.649085045634976</v>
      </c>
      <c r="T940">
        <f t="shared" si="1018"/>
        <v>-8.6649085045634983E-2</v>
      </c>
    </row>
    <row r="941" spans="1:20" x14ac:dyDescent="0.25">
      <c r="A941" s="5">
        <v>43652</v>
      </c>
      <c r="B941">
        <v>0.30249999999999999</v>
      </c>
      <c r="C941">
        <v>0.3221</v>
      </c>
      <c r="D941">
        <v>0.3019</v>
      </c>
      <c r="E941">
        <v>0.31309999999999999</v>
      </c>
      <c r="F941">
        <v>3610429.74</v>
      </c>
      <c r="G941">
        <v>0</v>
      </c>
      <c r="L941" t="s">
        <v>8</v>
      </c>
      <c r="M941" t="s">
        <v>7</v>
      </c>
      <c r="N941" t="s">
        <v>7</v>
      </c>
      <c r="P941">
        <f t="shared" si="1014"/>
        <v>0.10891089108910793</v>
      </c>
      <c r="Q941">
        <f t="shared" si="1015"/>
        <v>393215.12019801629</v>
      </c>
      <c r="R941">
        <f t="shared" si="1016"/>
        <v>-14483173.757745327</v>
      </c>
      <c r="S941">
        <f t="shared" si="1017"/>
        <v>-144.83173757745328</v>
      </c>
      <c r="T941">
        <f t="shared" si="1018"/>
        <v>-0.1448317375774533</v>
      </c>
    </row>
    <row r="942" spans="1:20" x14ac:dyDescent="0.25">
      <c r="A942" s="5">
        <v>43651</v>
      </c>
      <c r="B942">
        <v>0.30549999999999999</v>
      </c>
      <c r="C942">
        <v>0.32079999999999997</v>
      </c>
      <c r="D942">
        <v>0.29670000000000002</v>
      </c>
      <c r="E942">
        <v>0.30170000000000002</v>
      </c>
      <c r="F942">
        <v>4636943.03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-0.58506224066389922</v>
      </c>
      <c r="Q942">
        <f t="shared" si="1015"/>
        <v>-2712900.2789626503</v>
      </c>
      <c r="R942">
        <f t="shared" si="1016"/>
        <v>-14876388.877943344</v>
      </c>
      <c r="S942">
        <f t="shared" si="1017"/>
        <v>-148.76388877943344</v>
      </c>
      <c r="T942">
        <f t="shared" si="1018"/>
        <v>-0.14876388877943345</v>
      </c>
    </row>
    <row r="943" spans="1:20" x14ac:dyDescent="0.25">
      <c r="A943" s="5">
        <v>43650</v>
      </c>
      <c r="B943">
        <v>0.30659999999999998</v>
      </c>
      <c r="C943">
        <v>0.32090000000000002</v>
      </c>
      <c r="D943">
        <v>0.2954</v>
      </c>
      <c r="E943">
        <v>0.30620000000000003</v>
      </c>
      <c r="F943">
        <v>6952048.9800000004</v>
      </c>
      <c r="G943">
        <v>0</v>
      </c>
      <c r="L943" t="s">
        <v>8</v>
      </c>
      <c r="M943" t="s">
        <v>7</v>
      </c>
      <c r="N943" t="s">
        <v>7</v>
      </c>
      <c r="P943">
        <f t="shared" si="1014"/>
        <v>-0.1529411764705865</v>
      </c>
      <c r="Q943">
        <f t="shared" si="1015"/>
        <v>-1063254.5498823409</v>
      </c>
      <c r="R943">
        <f t="shared" si="1016"/>
        <v>-12163488.598980695</v>
      </c>
      <c r="S943">
        <f t="shared" si="1017"/>
        <v>-121.63488598980695</v>
      </c>
      <c r="T943">
        <f t="shared" si="1018"/>
        <v>-0.12163488598980694</v>
      </c>
    </row>
    <row r="944" spans="1:20" x14ac:dyDescent="0.25">
      <c r="A944" s="5">
        <v>43649</v>
      </c>
      <c r="B944">
        <v>0.30359999999999998</v>
      </c>
      <c r="C944">
        <v>0.31380000000000002</v>
      </c>
      <c r="D944">
        <v>0.2928</v>
      </c>
      <c r="E944">
        <v>0.30630000000000002</v>
      </c>
      <c r="F944">
        <v>7921154.3099999996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0.2857142857142857</v>
      </c>
      <c r="Q944">
        <f t="shared" si="1015"/>
        <v>2263186.9457142856</v>
      </c>
      <c r="R944">
        <f t="shared" si="1016"/>
        <v>-11100234.049098354</v>
      </c>
      <c r="S944">
        <f t="shared" si="1017"/>
        <v>-111.00234049098354</v>
      </c>
      <c r="T944">
        <f t="shared" si="1018"/>
        <v>-0.11100234049098354</v>
      </c>
    </row>
    <row r="945" spans="1:20" x14ac:dyDescent="0.25">
      <c r="A945" s="5">
        <v>43648</v>
      </c>
      <c r="B945">
        <v>0.31309999999999999</v>
      </c>
      <c r="C945">
        <v>0.31580000000000003</v>
      </c>
      <c r="D945">
        <v>0.29039999999999999</v>
      </c>
      <c r="E945">
        <v>0.30349999999999999</v>
      </c>
      <c r="F945">
        <v>5833198.0800000001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3.1496062992124658E-2</v>
      </c>
      <c r="Q945">
        <f t="shared" si="1015"/>
        <v>183722.77417322062</v>
      </c>
      <c r="R945">
        <f t="shared" si="1016"/>
        <v>-13363420.994812639</v>
      </c>
      <c r="S945">
        <f t="shared" si="1017"/>
        <v>-133.6342099481264</v>
      </c>
      <c r="T945">
        <f t="shared" si="1018"/>
        <v>-0.13363420994812639</v>
      </c>
    </row>
    <row r="946" spans="1:20" x14ac:dyDescent="0.25">
      <c r="A946" s="5">
        <v>43647</v>
      </c>
      <c r="B946">
        <v>0.30630000000000002</v>
      </c>
      <c r="C946">
        <v>0.32640000000000002</v>
      </c>
      <c r="D946">
        <v>0.29799999999999999</v>
      </c>
      <c r="E946">
        <v>0.31259999999999999</v>
      </c>
      <c r="F946">
        <v>7445618.0300000003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2.816901408450586E-2</v>
      </c>
      <c r="Q946">
        <f t="shared" si="1015"/>
        <v>209735.71915492078</v>
      </c>
      <c r="R946">
        <f t="shared" si="1016"/>
        <v>-13547143.76898586</v>
      </c>
      <c r="S946">
        <f t="shared" si="1017"/>
        <v>-135.47143768985859</v>
      </c>
      <c r="T946">
        <f t="shared" si="1018"/>
        <v>-0.13547143768985859</v>
      </c>
    </row>
    <row r="947" spans="1:20" x14ac:dyDescent="0.25">
      <c r="A947" s="5">
        <v>43646</v>
      </c>
      <c r="B947">
        <v>0.33400000000000002</v>
      </c>
      <c r="C947">
        <v>0.33550000000000002</v>
      </c>
      <c r="D947">
        <v>0.30399999999999999</v>
      </c>
      <c r="E947">
        <v>0.30520000000000003</v>
      </c>
      <c r="F947">
        <v>5894702.0800000001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-0.92380952380952175</v>
      </c>
      <c r="Q947">
        <f t="shared" si="1015"/>
        <v>-5445581.9215237973</v>
      </c>
      <c r="R947">
        <f t="shared" si="1016"/>
        <v>-13756879.48814078</v>
      </c>
      <c r="S947">
        <f t="shared" si="1017"/>
        <v>-137.5687948814078</v>
      </c>
      <c r="T947">
        <f t="shared" si="1018"/>
        <v>-0.1375687948814078</v>
      </c>
    </row>
    <row r="948" spans="1:20" x14ac:dyDescent="0.25">
      <c r="A948" s="5">
        <v>43645</v>
      </c>
      <c r="B948">
        <v>0.31619999999999998</v>
      </c>
      <c r="C948">
        <v>0.33500000000000002</v>
      </c>
      <c r="D948">
        <v>0.30370000000000003</v>
      </c>
      <c r="E948">
        <v>0.33339999999999997</v>
      </c>
      <c r="F948">
        <v>7272170.2599999998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0.89776357827475739</v>
      </c>
      <c r="Q948">
        <f t="shared" si="1015"/>
        <v>6528689.5944408728</v>
      </c>
      <c r="R948">
        <f t="shared" si="1016"/>
        <v>-8311297.5666169832</v>
      </c>
      <c r="S948">
        <f t="shared" si="1017"/>
        <v>-83.112975666169831</v>
      </c>
      <c r="T948">
        <f t="shared" si="1018"/>
        <v>-8.3112975666169833E-2</v>
      </c>
    </row>
    <row r="949" spans="1:20" x14ac:dyDescent="0.25">
      <c r="A949" s="5">
        <v>43644</v>
      </c>
      <c r="B949">
        <v>0.30759999999999998</v>
      </c>
      <c r="C949">
        <v>0.32150000000000001</v>
      </c>
      <c r="D949">
        <v>0.3039</v>
      </c>
      <c r="E949">
        <v>0.31659999999999999</v>
      </c>
      <c r="F949">
        <v>7354761.9699999997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0.44318181818181657</v>
      </c>
      <c r="Q949">
        <f t="shared" si="1015"/>
        <v>3259496.7821590789</v>
      </c>
      <c r="R949">
        <f t="shared" si="1016"/>
        <v>-14839987.161057856</v>
      </c>
      <c r="S949">
        <f t="shared" si="1017"/>
        <v>-148.39987161057857</v>
      </c>
      <c r="T949">
        <f t="shared" si="1018"/>
        <v>-0.14839987161057858</v>
      </c>
    </row>
    <row r="950" spans="1:20" x14ac:dyDescent="0.25">
      <c r="A950" s="5">
        <v>43643</v>
      </c>
      <c r="B950">
        <v>0.34689999999999999</v>
      </c>
      <c r="C950">
        <v>0.35420000000000001</v>
      </c>
      <c r="D950">
        <v>0.29599999999999999</v>
      </c>
      <c r="E950">
        <v>0.30769999999999997</v>
      </c>
      <c r="F950">
        <v>12311514.07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-0.59793814432989756</v>
      </c>
      <c r="Q950">
        <f t="shared" si="1015"/>
        <v>-7361523.8769072248</v>
      </c>
      <c r="R950">
        <f t="shared" si="1016"/>
        <v>-18099483.943216935</v>
      </c>
      <c r="S950">
        <f t="shared" si="1017"/>
        <v>-180.99483943216936</v>
      </c>
      <c r="T950">
        <f t="shared" si="1018"/>
        <v>-0.18099483943216935</v>
      </c>
    </row>
    <row r="951" spans="1:20" x14ac:dyDescent="0.25">
      <c r="A951" s="5">
        <v>43642</v>
      </c>
      <c r="B951">
        <v>0.33379999999999999</v>
      </c>
      <c r="C951">
        <v>0.38840000000000002</v>
      </c>
      <c r="D951">
        <v>0.33090000000000003</v>
      </c>
      <c r="E951">
        <v>0.3473</v>
      </c>
      <c r="F951">
        <v>26124598.620000001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-0.42956521739130532</v>
      </c>
      <c r="Q951">
        <f t="shared" si="1015"/>
        <v>-11222218.885460895</v>
      </c>
      <c r="R951">
        <f t="shared" si="1016"/>
        <v>-10737960.066309709</v>
      </c>
      <c r="S951">
        <f t="shared" si="1017"/>
        <v>-107.37960066309709</v>
      </c>
      <c r="T951">
        <f t="shared" si="1018"/>
        <v>-0.1073796006630971</v>
      </c>
    </row>
    <row r="952" spans="1:20" x14ac:dyDescent="0.25">
      <c r="A952" s="5">
        <v>43641</v>
      </c>
      <c r="B952">
        <v>0.34250000000000003</v>
      </c>
      <c r="C952">
        <v>0.35360000000000003</v>
      </c>
      <c r="D952">
        <v>0.32850000000000001</v>
      </c>
      <c r="E952">
        <v>0.33439999999999998</v>
      </c>
      <c r="F952">
        <v>7999330.5999999996</v>
      </c>
      <c r="G952">
        <v>0</v>
      </c>
      <c r="L952" t="s">
        <v>8</v>
      </c>
      <c r="M952" t="s">
        <v>7</v>
      </c>
      <c r="N952" t="s">
        <v>8</v>
      </c>
      <c r="P952">
        <f t="shared" si="1014"/>
        <v>-0.52988047808765271</v>
      </c>
      <c r="Q952">
        <f t="shared" si="1015"/>
        <v>-4238689.1227091895</v>
      </c>
      <c r="R952">
        <f t="shared" si="1016"/>
        <v>484258.81915118638</v>
      </c>
      <c r="S952">
        <f t="shared" si="1017"/>
        <v>4.8425881915118643</v>
      </c>
      <c r="T952">
        <f t="shared" si="1018"/>
        <v>4.8425881915118646E-3</v>
      </c>
    </row>
    <row r="953" spans="1:20" x14ac:dyDescent="0.25">
      <c r="A953" s="5">
        <v>43640</v>
      </c>
      <c r="B953">
        <v>0.33829999999999999</v>
      </c>
      <c r="C953">
        <v>0.34920000000000001</v>
      </c>
      <c r="D953">
        <v>0.32829999999999998</v>
      </c>
      <c r="E953">
        <v>0.34250000000000003</v>
      </c>
      <c r="F953">
        <v>3950259.33</v>
      </c>
      <c r="G953">
        <v>0</v>
      </c>
      <c r="L953" t="s">
        <v>7</v>
      </c>
      <c r="M953" t="s">
        <v>7</v>
      </c>
      <c r="N953" t="s">
        <v>8</v>
      </c>
      <c r="P953">
        <f t="shared" si="1014"/>
        <v>0.35885167464115081</v>
      </c>
      <c r="Q953">
        <f t="shared" si="1015"/>
        <v>1417557.1758373305</v>
      </c>
      <c r="R953">
        <f t="shared" si="1016"/>
        <v>4722947.9418603759</v>
      </c>
      <c r="S953">
        <f t="shared" si="1017"/>
        <v>47.229479418603759</v>
      </c>
      <c r="T953">
        <f t="shared" si="1018"/>
        <v>4.7229479418603761E-2</v>
      </c>
    </row>
    <row r="954" spans="1:20" x14ac:dyDescent="0.25">
      <c r="A954" s="5">
        <v>43639</v>
      </c>
      <c r="B954">
        <v>0.34799999999999998</v>
      </c>
      <c r="C954">
        <v>0.35870000000000002</v>
      </c>
      <c r="D954">
        <v>0.33339999999999997</v>
      </c>
      <c r="E954">
        <v>0.33789999999999998</v>
      </c>
      <c r="F954">
        <v>8070619.9000000004</v>
      </c>
      <c r="G954">
        <v>0</v>
      </c>
      <c r="L954" t="s">
        <v>8</v>
      </c>
      <c r="M954" t="s">
        <v>7</v>
      </c>
      <c r="N954" t="s">
        <v>8</v>
      </c>
      <c r="P954">
        <f t="shared" si="1014"/>
        <v>-0.64426877470355759</v>
      </c>
      <c r="Q954">
        <f t="shared" si="1015"/>
        <v>-5199648.3940711487</v>
      </c>
      <c r="R954">
        <f t="shared" si="1016"/>
        <v>3305390.7660230454</v>
      </c>
      <c r="S954">
        <f t="shared" si="1017"/>
        <v>33.053907660230458</v>
      </c>
      <c r="T954">
        <f t="shared" si="1018"/>
        <v>3.3053907660230461E-2</v>
      </c>
    </row>
    <row r="955" spans="1:20" x14ac:dyDescent="0.25">
      <c r="A955" s="5">
        <v>43638</v>
      </c>
      <c r="B955">
        <v>0.33019999999999999</v>
      </c>
      <c r="C955">
        <v>0.35699999999999998</v>
      </c>
      <c r="D955">
        <v>0.32300000000000001</v>
      </c>
      <c r="E955">
        <v>0.34810000000000002</v>
      </c>
      <c r="F955">
        <v>13549129.57</v>
      </c>
      <c r="G955">
        <v>0</v>
      </c>
      <c r="L955" t="s">
        <v>7</v>
      </c>
      <c r="M955" t="s">
        <v>7</v>
      </c>
      <c r="N955" t="s">
        <v>8</v>
      </c>
      <c r="P955">
        <f t="shared" si="1014"/>
        <v>0.47647058823529587</v>
      </c>
      <c r="Q955">
        <f t="shared" si="1015"/>
        <v>6455761.736294141</v>
      </c>
      <c r="R955">
        <f t="shared" si="1016"/>
        <v>8505039.1600941941</v>
      </c>
      <c r="S955">
        <f t="shared" si="1017"/>
        <v>85.050391600941936</v>
      </c>
      <c r="T955">
        <f t="shared" si="1018"/>
        <v>8.5050391600941938E-2</v>
      </c>
    </row>
    <row r="956" spans="1:20" x14ac:dyDescent="0.25">
      <c r="A956" s="5">
        <v>43637</v>
      </c>
      <c r="B956">
        <v>0.33960000000000001</v>
      </c>
      <c r="C956">
        <v>0.34860000000000002</v>
      </c>
      <c r="D956">
        <v>0.32629999999999998</v>
      </c>
      <c r="E956">
        <v>0.3306</v>
      </c>
      <c r="F956">
        <v>7488828.9000000004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-0.61434977578475181</v>
      </c>
      <c r="Q956">
        <f t="shared" si="1015"/>
        <v>-4600760.3556053694</v>
      </c>
      <c r="R956">
        <f t="shared" si="1016"/>
        <v>2049277.423800054</v>
      </c>
      <c r="S956">
        <f t="shared" si="1017"/>
        <v>20.492774238000539</v>
      </c>
      <c r="T956">
        <f t="shared" si="1018"/>
        <v>2.0492774238000538E-2</v>
      </c>
    </row>
    <row r="957" spans="1:20" x14ac:dyDescent="0.25">
      <c r="A957" s="5">
        <v>43636</v>
      </c>
      <c r="B957">
        <v>0.35749999999999998</v>
      </c>
      <c r="C957">
        <v>0.36170000000000002</v>
      </c>
      <c r="D957">
        <v>0.33550000000000002</v>
      </c>
      <c r="E957">
        <v>0.33910000000000001</v>
      </c>
      <c r="F957">
        <v>4589308.76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-0.72519083969465714</v>
      </c>
      <c r="Q957">
        <f t="shared" si="1015"/>
        <v>-3328124.6732824454</v>
      </c>
      <c r="R957">
        <f t="shared" si="1016"/>
        <v>6650037.7794054234</v>
      </c>
      <c r="S957">
        <f t="shared" si="1017"/>
        <v>66.500377794054231</v>
      </c>
      <c r="T957">
        <f t="shared" si="1018"/>
        <v>6.6500377794054225E-2</v>
      </c>
    </row>
    <row r="958" spans="1:20" x14ac:dyDescent="0.25">
      <c r="A958" s="5">
        <v>43635</v>
      </c>
      <c r="B958">
        <v>0.35720000000000002</v>
      </c>
      <c r="C958">
        <v>0.36749999999999999</v>
      </c>
      <c r="D958">
        <v>0.35399999999999998</v>
      </c>
      <c r="E958">
        <v>0.35630000000000001</v>
      </c>
      <c r="F958">
        <v>4881105.8899999997</v>
      </c>
      <c r="G958">
        <v>0</v>
      </c>
      <c r="L958" t="s">
        <v>7</v>
      </c>
      <c r="M958" t="s">
        <v>7</v>
      </c>
      <c r="N958" t="s">
        <v>8</v>
      </c>
      <c r="P958">
        <f t="shared" si="1014"/>
        <v>-0.65925925925925599</v>
      </c>
      <c r="Q958">
        <f t="shared" si="1015"/>
        <v>-3217914.2534073913</v>
      </c>
      <c r="R958">
        <f t="shared" si="1016"/>
        <v>9978162.4526878688</v>
      </c>
      <c r="S958">
        <f t="shared" si="1017"/>
        <v>99.781624526878687</v>
      </c>
      <c r="T958">
        <f t="shared" si="1018"/>
        <v>9.9781624526878693E-2</v>
      </c>
    </row>
    <row r="959" spans="1:20" x14ac:dyDescent="0.25">
      <c r="A959" s="5">
        <v>43634</v>
      </c>
      <c r="B959">
        <v>0.36170000000000002</v>
      </c>
      <c r="C959">
        <v>0.36320000000000002</v>
      </c>
      <c r="D959">
        <v>0.34849999999999998</v>
      </c>
      <c r="E959">
        <v>0.35670000000000002</v>
      </c>
      <c r="F959">
        <v>4979129.8</v>
      </c>
      <c r="G959">
        <v>0</v>
      </c>
      <c r="L959" t="s">
        <v>7</v>
      </c>
      <c r="M959" t="s">
        <v>7</v>
      </c>
      <c r="N959" t="s">
        <v>8</v>
      </c>
      <c r="P959">
        <f t="shared" ref="P959:P1022" si="1019">IF(C959=D959,0,((E959-D959)-(C959-E959))/(C959-D959))</f>
        <v>0.11564625850340336</v>
      </c>
      <c r="Q959">
        <f t="shared" ref="Q959:Q1022" si="1020">F959*P959</f>
        <v>575817.73197279905</v>
      </c>
      <c r="R959">
        <f t="shared" ref="R959:R1022" si="1021">R960+Q959</f>
        <v>13196076.70609526</v>
      </c>
      <c r="S959">
        <f t="shared" ref="S959:S1022" si="1022">R959/100000</f>
        <v>131.96076706095261</v>
      </c>
      <c r="T959">
        <f t="shared" ref="T959:T1022" si="1023">S959/1000</f>
        <v>0.13196076706095261</v>
      </c>
    </row>
    <row r="960" spans="1:20" x14ac:dyDescent="0.25">
      <c r="A960" s="5">
        <v>43633</v>
      </c>
      <c r="B960">
        <v>0.36649999999999999</v>
      </c>
      <c r="C960">
        <v>0.37369999999999998</v>
      </c>
      <c r="D960">
        <v>0.35709999999999997</v>
      </c>
      <c r="E960">
        <v>0.36170000000000002</v>
      </c>
      <c r="F960">
        <v>6395787.4000000004</v>
      </c>
      <c r="G960">
        <v>0</v>
      </c>
      <c r="L960" t="s">
        <v>7</v>
      </c>
      <c r="M960" t="s">
        <v>7</v>
      </c>
      <c r="N960" t="s">
        <v>8</v>
      </c>
      <c r="P960">
        <f t="shared" si="1019"/>
        <v>-0.44578313253011476</v>
      </c>
      <c r="Q960">
        <f t="shared" si="1020"/>
        <v>-2851134.1421686383</v>
      </c>
      <c r="R960">
        <f t="shared" si="1021"/>
        <v>12620258.974122461</v>
      </c>
      <c r="S960">
        <f t="shared" si="1022"/>
        <v>126.20258974122461</v>
      </c>
      <c r="T960">
        <f t="shared" si="1023"/>
        <v>0.12620258974122461</v>
      </c>
    </row>
    <row r="961" spans="1:20" x14ac:dyDescent="0.25">
      <c r="A961" s="5">
        <v>43632</v>
      </c>
      <c r="B961">
        <v>0.37409999999999999</v>
      </c>
      <c r="C961">
        <v>0.3826</v>
      </c>
      <c r="D961">
        <v>0.36120000000000002</v>
      </c>
      <c r="E961">
        <v>0.36620000000000003</v>
      </c>
      <c r="F961">
        <v>6227148.1100000003</v>
      </c>
      <c r="G961">
        <v>0</v>
      </c>
      <c r="L961" t="s">
        <v>8</v>
      </c>
      <c r="M961" t="s">
        <v>7</v>
      </c>
      <c r="N961" t="s">
        <v>8</v>
      </c>
      <c r="P961">
        <f t="shared" si="1019"/>
        <v>-0.53271028037383084</v>
      </c>
      <c r="Q961">
        <f t="shared" si="1020"/>
        <v>-3317265.8156074709</v>
      </c>
      <c r="R961">
        <f t="shared" si="1021"/>
        <v>15471393.1162911</v>
      </c>
      <c r="S961">
        <f t="shared" si="1022"/>
        <v>154.713931162911</v>
      </c>
      <c r="T961">
        <f t="shared" si="1023"/>
        <v>0.15471393116291099</v>
      </c>
    </row>
    <row r="962" spans="1:20" x14ac:dyDescent="0.25">
      <c r="A962" s="5">
        <v>43631</v>
      </c>
      <c r="B962">
        <v>0.37030000000000002</v>
      </c>
      <c r="C962">
        <v>0.37969999999999998</v>
      </c>
      <c r="D962">
        <v>0.36180000000000001</v>
      </c>
      <c r="E962">
        <v>0.37159999999999999</v>
      </c>
      <c r="F962">
        <v>5345453.2</v>
      </c>
      <c r="G962">
        <v>0</v>
      </c>
      <c r="L962" t="s">
        <v>8</v>
      </c>
      <c r="M962" t="s">
        <v>7</v>
      </c>
      <c r="N962" t="s">
        <v>8</v>
      </c>
      <c r="P962">
        <f t="shared" si="1019"/>
        <v>9.4972067039105143E-2</v>
      </c>
      <c r="Q962">
        <f t="shared" si="1020"/>
        <v>507668.73966479913</v>
      </c>
      <c r="R962">
        <f t="shared" si="1021"/>
        <v>18788658.931898572</v>
      </c>
      <c r="S962">
        <f t="shared" si="1022"/>
        <v>187.88658931898573</v>
      </c>
      <c r="T962">
        <f t="shared" si="1023"/>
        <v>0.18788658931898572</v>
      </c>
    </row>
    <row r="963" spans="1:20" x14ac:dyDescent="0.25">
      <c r="A963" s="5">
        <v>43630</v>
      </c>
      <c r="B963">
        <v>0.38319999999999999</v>
      </c>
      <c r="C963">
        <v>0.38900000000000001</v>
      </c>
      <c r="D963">
        <v>0.35510000000000003</v>
      </c>
      <c r="E963">
        <v>0.37030000000000002</v>
      </c>
      <c r="F963">
        <v>9506224.6099999994</v>
      </c>
      <c r="G963">
        <v>0</v>
      </c>
      <c r="L963" t="s">
        <v>7</v>
      </c>
      <c r="M963" t="s">
        <v>7</v>
      </c>
      <c r="N963" t="s">
        <v>8</v>
      </c>
      <c r="P963">
        <f t="shared" si="1019"/>
        <v>-0.10324483775811223</v>
      </c>
      <c r="Q963">
        <f t="shared" si="1020"/>
        <v>-981468.61755162361</v>
      </c>
      <c r="R963">
        <f t="shared" si="1021"/>
        <v>18280990.192233771</v>
      </c>
      <c r="S963">
        <f t="shared" si="1022"/>
        <v>182.8099019223377</v>
      </c>
      <c r="T963">
        <f t="shared" si="1023"/>
        <v>0.1828099019223377</v>
      </c>
    </row>
    <row r="964" spans="1:20" x14ac:dyDescent="0.25">
      <c r="A964" s="5">
        <v>43629</v>
      </c>
      <c r="B964">
        <v>0.39629999999999999</v>
      </c>
      <c r="C964">
        <v>0.39750000000000002</v>
      </c>
      <c r="D964">
        <v>0.38009999999999999</v>
      </c>
      <c r="E964">
        <v>0.38319999999999999</v>
      </c>
      <c r="F964">
        <v>7166008.5099999998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-0.64367816091954178</v>
      </c>
      <c r="Q964">
        <f t="shared" si="1020"/>
        <v>-4612603.1788505856</v>
      </c>
      <c r="R964">
        <f t="shared" si="1021"/>
        <v>19262458.809785396</v>
      </c>
      <c r="S964">
        <f t="shared" si="1022"/>
        <v>192.62458809785394</v>
      </c>
      <c r="T964">
        <f t="shared" si="1023"/>
        <v>0.19262458809785393</v>
      </c>
    </row>
    <row r="965" spans="1:20" x14ac:dyDescent="0.25">
      <c r="A965" s="5">
        <v>43628</v>
      </c>
      <c r="B965">
        <v>0.37709999999999999</v>
      </c>
      <c r="C965">
        <v>0.40679999999999999</v>
      </c>
      <c r="D965">
        <v>0.37640000000000001</v>
      </c>
      <c r="E965">
        <v>0.39639999999999997</v>
      </c>
      <c r="F965">
        <v>7227215.5899999999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0.31578947368420879</v>
      </c>
      <c r="Q965">
        <f t="shared" si="1020"/>
        <v>2282278.6073684082</v>
      </c>
      <c r="R965">
        <f t="shared" si="1021"/>
        <v>23875061.98863598</v>
      </c>
      <c r="S965">
        <f t="shared" si="1022"/>
        <v>238.7506198863598</v>
      </c>
      <c r="T965">
        <f t="shared" si="1023"/>
        <v>0.23875061988635979</v>
      </c>
    </row>
    <row r="966" spans="1:20" x14ac:dyDescent="0.25">
      <c r="A966" s="5">
        <v>43627</v>
      </c>
      <c r="B966">
        <v>0.37880000000000003</v>
      </c>
      <c r="C966">
        <v>0.38200000000000001</v>
      </c>
      <c r="D966">
        <v>0.35799999999999998</v>
      </c>
      <c r="E966">
        <v>0.377</v>
      </c>
      <c r="F966">
        <v>4585176.76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0.58333333333333337</v>
      </c>
      <c r="Q966">
        <f t="shared" si="1020"/>
        <v>2674686.4433333334</v>
      </c>
      <c r="R966">
        <f t="shared" si="1021"/>
        <v>21592783.38126757</v>
      </c>
      <c r="S966">
        <f t="shared" si="1022"/>
        <v>215.92783381267569</v>
      </c>
      <c r="T966">
        <f t="shared" si="1023"/>
        <v>0.21592783381267569</v>
      </c>
    </row>
    <row r="967" spans="1:20" x14ac:dyDescent="0.25">
      <c r="A967" s="5">
        <v>43626</v>
      </c>
      <c r="B967">
        <v>0.35270000000000001</v>
      </c>
      <c r="C967">
        <v>0.37919999999999998</v>
      </c>
      <c r="D967">
        <v>0.34589999999999999</v>
      </c>
      <c r="E967">
        <v>0.37880000000000003</v>
      </c>
      <c r="F967">
        <v>6441664.4500000002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0.97597597597597863</v>
      </c>
      <c r="Q967">
        <f t="shared" si="1020"/>
        <v>6286909.7484985162</v>
      </c>
      <c r="R967">
        <f t="shared" si="1021"/>
        <v>18918096.937934235</v>
      </c>
      <c r="S967">
        <f t="shared" si="1022"/>
        <v>189.18096937934234</v>
      </c>
      <c r="T967">
        <f t="shared" si="1023"/>
        <v>0.18918096937934234</v>
      </c>
    </row>
    <row r="968" spans="1:20" x14ac:dyDescent="0.25">
      <c r="A968" s="5">
        <v>43625</v>
      </c>
      <c r="B968">
        <v>0.37590000000000001</v>
      </c>
      <c r="C968">
        <v>0.377</v>
      </c>
      <c r="D968">
        <v>0.34360000000000002</v>
      </c>
      <c r="E968">
        <v>0.35299999999999998</v>
      </c>
      <c r="F968">
        <v>4981216.75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-0.4371257485029959</v>
      </c>
      <c r="Q968">
        <f t="shared" si="1020"/>
        <v>-2177418.1002994105</v>
      </c>
      <c r="R968">
        <f t="shared" si="1021"/>
        <v>12631187.18943572</v>
      </c>
      <c r="S968">
        <f t="shared" si="1022"/>
        <v>126.31187189435721</v>
      </c>
      <c r="T968">
        <f t="shared" si="1023"/>
        <v>0.12631187189435722</v>
      </c>
    </row>
    <row r="969" spans="1:20" x14ac:dyDescent="0.25">
      <c r="A969" s="5">
        <v>43624</v>
      </c>
      <c r="B969">
        <v>0.37840000000000001</v>
      </c>
      <c r="C969">
        <v>0.38940000000000002</v>
      </c>
      <c r="D969">
        <v>0.36770000000000003</v>
      </c>
      <c r="E969">
        <v>0.376</v>
      </c>
      <c r="F969">
        <v>4198812.32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-0.23502304147465666</v>
      </c>
      <c r="Q969">
        <f t="shared" si="1020"/>
        <v>-986817.64202765946</v>
      </c>
      <c r="R969">
        <f t="shared" si="1021"/>
        <v>14808605.289735131</v>
      </c>
      <c r="S969">
        <f t="shared" si="1022"/>
        <v>148.08605289735132</v>
      </c>
      <c r="T969">
        <f t="shared" si="1023"/>
        <v>0.14808605289735133</v>
      </c>
    </row>
    <row r="970" spans="1:20" x14ac:dyDescent="0.25">
      <c r="A970" s="5">
        <v>43623</v>
      </c>
      <c r="B970">
        <v>0.36630000000000001</v>
      </c>
      <c r="C970">
        <v>0.38819999999999999</v>
      </c>
      <c r="D970">
        <v>0.36270000000000002</v>
      </c>
      <c r="E970">
        <v>0.37909999999999999</v>
      </c>
      <c r="F970">
        <v>5621673.6900000004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0.28627450980392088</v>
      </c>
      <c r="Q970">
        <f t="shared" si="1020"/>
        <v>1609341.8798823492</v>
      </c>
      <c r="R970">
        <f t="shared" si="1021"/>
        <v>15795422.93176279</v>
      </c>
      <c r="S970">
        <f t="shared" si="1022"/>
        <v>157.95422931762789</v>
      </c>
      <c r="T970">
        <f t="shared" si="1023"/>
        <v>0.1579542293176279</v>
      </c>
    </row>
    <row r="971" spans="1:20" x14ac:dyDescent="0.25">
      <c r="A971" s="5">
        <v>43622</v>
      </c>
      <c r="B971">
        <v>0.3584</v>
      </c>
      <c r="C971">
        <v>0.37119999999999997</v>
      </c>
      <c r="D971">
        <v>0.34610000000000002</v>
      </c>
      <c r="E971">
        <v>0.3659</v>
      </c>
      <c r="F971">
        <v>7104440.5999999996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0.57768924302788993</v>
      </c>
      <c r="Q971">
        <f t="shared" si="1020"/>
        <v>4104158.912350608</v>
      </c>
      <c r="R971">
        <f t="shared" si="1021"/>
        <v>14186081.051880442</v>
      </c>
      <c r="S971">
        <f t="shared" si="1022"/>
        <v>141.86081051880441</v>
      </c>
      <c r="T971">
        <f t="shared" si="1023"/>
        <v>0.14186081051880442</v>
      </c>
    </row>
    <row r="972" spans="1:20" x14ac:dyDescent="0.25">
      <c r="A972" s="5">
        <v>43621</v>
      </c>
      <c r="B972">
        <v>0.36080000000000001</v>
      </c>
      <c r="C972">
        <v>0.374</v>
      </c>
      <c r="D972">
        <v>0.35039999999999999</v>
      </c>
      <c r="E972">
        <v>0.3594</v>
      </c>
      <c r="F972">
        <v>9505747.6799999997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-0.23728813559321998</v>
      </c>
      <c r="Q972">
        <f t="shared" si="1020"/>
        <v>-2255601.1444067764</v>
      </c>
      <c r="R972">
        <f t="shared" si="1021"/>
        <v>10081922.139529834</v>
      </c>
      <c r="S972">
        <f t="shared" si="1022"/>
        <v>100.81922139529834</v>
      </c>
      <c r="T972">
        <f t="shared" si="1023"/>
        <v>0.10081922139529834</v>
      </c>
    </row>
    <row r="973" spans="1:20" x14ac:dyDescent="0.25">
      <c r="A973" s="5">
        <v>43620</v>
      </c>
      <c r="B973">
        <v>0.3866</v>
      </c>
      <c r="C973">
        <v>0.3921</v>
      </c>
      <c r="D973">
        <v>0.34649999999999997</v>
      </c>
      <c r="E973">
        <v>0.36070000000000002</v>
      </c>
      <c r="F973">
        <v>16503061.16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-0.37719298245613875</v>
      </c>
      <c r="Q973">
        <f t="shared" si="1020"/>
        <v>-6224838.8585964646</v>
      </c>
      <c r="R973">
        <f t="shared" si="1021"/>
        <v>12337523.28393661</v>
      </c>
      <c r="S973">
        <f t="shared" si="1022"/>
        <v>123.37523283936611</v>
      </c>
      <c r="T973">
        <f t="shared" si="1023"/>
        <v>0.12337523283936611</v>
      </c>
    </row>
    <row r="974" spans="1:20" x14ac:dyDescent="0.25">
      <c r="A974" s="5">
        <v>43619</v>
      </c>
      <c r="B974">
        <v>0.43020000000000003</v>
      </c>
      <c r="C974">
        <v>0.43180000000000002</v>
      </c>
      <c r="D974">
        <v>0.38500000000000001</v>
      </c>
      <c r="E974">
        <v>0.38619999999999999</v>
      </c>
      <c r="F974">
        <v>18323337.390000001</v>
      </c>
      <c r="G974">
        <v>0</v>
      </c>
      <c r="L974" t="s">
        <v>7</v>
      </c>
      <c r="M974" t="s">
        <v>8</v>
      </c>
      <c r="N974" t="s">
        <v>8</v>
      </c>
      <c r="P974">
        <f t="shared" si="1019"/>
        <v>-0.94871794871794968</v>
      </c>
      <c r="Q974">
        <f t="shared" si="1020"/>
        <v>-17383679.062307712</v>
      </c>
      <c r="R974">
        <f t="shared" si="1021"/>
        <v>18562362.142533075</v>
      </c>
      <c r="S974">
        <f t="shared" si="1022"/>
        <v>185.62362142533075</v>
      </c>
      <c r="T974">
        <f t="shared" si="1023"/>
        <v>0.18562362142533076</v>
      </c>
    </row>
    <row r="975" spans="1:20" x14ac:dyDescent="0.25">
      <c r="A975" s="5">
        <v>43618</v>
      </c>
      <c r="B975">
        <v>0.38690000000000002</v>
      </c>
      <c r="C975">
        <v>0.45789999999999997</v>
      </c>
      <c r="D975">
        <v>0.38419999999999999</v>
      </c>
      <c r="E975">
        <v>0.43009999999999998</v>
      </c>
      <c r="F975">
        <v>21765149.670000002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0.24559023066485763</v>
      </c>
      <c r="Q975">
        <f t="shared" si="1020"/>
        <v>5345308.1279104501</v>
      </c>
      <c r="R975">
        <f t="shared" si="1021"/>
        <v>35946041.204840787</v>
      </c>
      <c r="S975">
        <f t="shared" si="1022"/>
        <v>359.46041204840787</v>
      </c>
      <c r="T975">
        <f t="shared" si="1023"/>
        <v>0.3594604120484079</v>
      </c>
    </row>
    <row r="976" spans="1:20" x14ac:dyDescent="0.25">
      <c r="A976" s="5">
        <v>43617</v>
      </c>
      <c r="B976">
        <v>0.3987</v>
      </c>
      <c r="C976">
        <v>0.40200000000000002</v>
      </c>
      <c r="D976">
        <v>0.379</v>
      </c>
      <c r="E976">
        <v>0.38719999999999999</v>
      </c>
      <c r="F976">
        <v>9288771.7799999993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-0.28695652173913239</v>
      </c>
      <c r="Q976">
        <f t="shared" si="1020"/>
        <v>-2665473.6412174092</v>
      </c>
      <c r="R976">
        <f t="shared" si="1021"/>
        <v>30600733.076930337</v>
      </c>
      <c r="S976">
        <f t="shared" si="1022"/>
        <v>306.00733076930339</v>
      </c>
      <c r="T976">
        <f t="shared" si="1023"/>
        <v>0.30600733076930342</v>
      </c>
    </row>
    <row r="977" spans="1:20" x14ac:dyDescent="0.25">
      <c r="A977" s="5">
        <v>43616</v>
      </c>
      <c r="B977">
        <v>0.38750000000000001</v>
      </c>
      <c r="C977">
        <v>0.4</v>
      </c>
      <c r="D977">
        <v>0.36499999999999999</v>
      </c>
      <c r="E977">
        <v>0.3987</v>
      </c>
      <c r="F977">
        <v>13052894.5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0.92571428571428449</v>
      </c>
      <c r="Q977">
        <f t="shared" si="1020"/>
        <v>12083250.908571413</v>
      </c>
      <c r="R977">
        <f t="shared" si="1021"/>
        <v>33266206.718147747</v>
      </c>
      <c r="S977">
        <f t="shared" si="1022"/>
        <v>332.66206718147748</v>
      </c>
      <c r="T977">
        <f t="shared" si="1023"/>
        <v>0.33266206718147751</v>
      </c>
    </row>
    <row r="978" spans="1:20" x14ac:dyDescent="0.25">
      <c r="A978" s="5">
        <v>43615</v>
      </c>
      <c r="B978">
        <v>0.40739999999999998</v>
      </c>
      <c r="C978">
        <v>0.44719999999999999</v>
      </c>
      <c r="D978">
        <v>0.37</v>
      </c>
      <c r="E978">
        <v>0.38679999999999998</v>
      </c>
      <c r="F978">
        <v>23274539.109999999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-0.56476683937823879</v>
      </c>
      <c r="Q978">
        <f t="shared" si="1020"/>
        <v>-13144687.891139906</v>
      </c>
      <c r="R978">
        <f t="shared" si="1021"/>
        <v>21182955.809576336</v>
      </c>
      <c r="S978">
        <f t="shared" si="1022"/>
        <v>211.82955809576336</v>
      </c>
      <c r="T978">
        <f t="shared" si="1023"/>
        <v>0.21182955809576337</v>
      </c>
    </row>
    <row r="979" spans="1:20" x14ac:dyDescent="0.25">
      <c r="A979" s="5">
        <v>43614</v>
      </c>
      <c r="B979">
        <v>0.4012</v>
      </c>
      <c r="C979">
        <v>0.4229</v>
      </c>
      <c r="D979">
        <v>0.37769999999999998</v>
      </c>
      <c r="E979">
        <v>0.40810000000000002</v>
      </c>
      <c r="F979">
        <v>12758971.140000001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0.34513274336283301</v>
      </c>
      <c r="Q979">
        <f t="shared" si="1020"/>
        <v>4403538.7120354129</v>
      </c>
      <c r="R979">
        <f t="shared" si="1021"/>
        <v>34327643.700716242</v>
      </c>
      <c r="S979">
        <f t="shared" si="1022"/>
        <v>343.27643700716243</v>
      </c>
      <c r="T979">
        <f t="shared" si="1023"/>
        <v>0.34327643700716243</v>
      </c>
    </row>
    <row r="980" spans="1:20" x14ac:dyDescent="0.25">
      <c r="A980" s="5">
        <v>43613</v>
      </c>
      <c r="B980">
        <v>0.39219999999999999</v>
      </c>
      <c r="C980">
        <v>0.40749999999999997</v>
      </c>
      <c r="D980">
        <v>0.3745</v>
      </c>
      <c r="E980">
        <v>0.39989999999999998</v>
      </c>
      <c r="F980">
        <v>9075647.7699999996</v>
      </c>
      <c r="G980">
        <v>0</v>
      </c>
      <c r="L980" t="s">
        <v>7</v>
      </c>
      <c r="M980" t="s">
        <v>7</v>
      </c>
      <c r="N980" t="s">
        <v>8</v>
      </c>
      <c r="P980">
        <f t="shared" si="1019"/>
        <v>0.53939393939393931</v>
      </c>
      <c r="Q980">
        <f t="shared" si="1020"/>
        <v>4895349.4032121198</v>
      </c>
      <c r="R980">
        <f t="shared" si="1021"/>
        <v>29924104.988680832</v>
      </c>
      <c r="S980">
        <f t="shared" si="1022"/>
        <v>299.2410498868083</v>
      </c>
      <c r="T980">
        <f t="shared" si="1023"/>
        <v>0.29924104988680827</v>
      </c>
    </row>
    <row r="981" spans="1:20" x14ac:dyDescent="0.25">
      <c r="A981" s="5">
        <v>43612</v>
      </c>
      <c r="B981">
        <v>0.37859999999999999</v>
      </c>
      <c r="C981">
        <v>0.40920000000000001</v>
      </c>
      <c r="D981">
        <v>0.3775</v>
      </c>
      <c r="E981">
        <v>0.39200000000000002</v>
      </c>
      <c r="F981">
        <v>8638498.0700000003</v>
      </c>
      <c r="G981">
        <v>0</v>
      </c>
      <c r="L981" t="s">
        <v>8</v>
      </c>
      <c r="M981" t="s">
        <v>7</v>
      </c>
      <c r="N981" t="s">
        <v>8</v>
      </c>
      <c r="P981">
        <f t="shared" si="1019"/>
        <v>-8.5173501577286426E-2</v>
      </c>
      <c r="Q981">
        <f t="shared" si="1020"/>
        <v>-735771.12899053073</v>
      </c>
      <c r="R981">
        <f t="shared" si="1021"/>
        <v>25028755.585468713</v>
      </c>
      <c r="S981">
        <f t="shared" si="1022"/>
        <v>250.28755585468713</v>
      </c>
      <c r="T981">
        <f t="shared" si="1023"/>
        <v>0.25028755585468715</v>
      </c>
    </row>
    <row r="982" spans="1:20" x14ac:dyDescent="0.25">
      <c r="A982" s="5">
        <v>43611</v>
      </c>
      <c r="B982">
        <v>0.37659999999999999</v>
      </c>
      <c r="C982">
        <v>0.38279999999999997</v>
      </c>
      <c r="D982">
        <v>0.36059999999999998</v>
      </c>
      <c r="E982">
        <v>0.37859999999999999</v>
      </c>
      <c r="F982">
        <v>4944458.3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0.62162162162162327</v>
      </c>
      <c r="Q982">
        <f t="shared" si="1020"/>
        <v>3073582.1864864947</v>
      </c>
      <c r="R982">
        <f t="shared" si="1021"/>
        <v>25764526.714459244</v>
      </c>
      <c r="S982">
        <f t="shared" si="1022"/>
        <v>257.64526714459242</v>
      </c>
      <c r="T982">
        <f t="shared" si="1023"/>
        <v>0.2576452671445924</v>
      </c>
    </row>
    <row r="983" spans="1:20" x14ac:dyDescent="0.25">
      <c r="A983" s="5">
        <v>43610</v>
      </c>
      <c r="B983">
        <v>0.38579999999999998</v>
      </c>
      <c r="C983">
        <v>0.38750000000000001</v>
      </c>
      <c r="D983">
        <v>0.37019999999999997</v>
      </c>
      <c r="E983">
        <v>0.37659999999999999</v>
      </c>
      <c r="F983">
        <v>3231375.44</v>
      </c>
      <c r="G983">
        <v>0</v>
      </c>
      <c r="L983" t="s">
        <v>7</v>
      </c>
      <c r="M983" t="s">
        <v>7</v>
      </c>
      <c r="N983" t="s">
        <v>8</v>
      </c>
      <c r="P983">
        <f t="shared" si="1019"/>
        <v>-0.26011560693641583</v>
      </c>
      <c r="Q983">
        <f t="shared" si="1020"/>
        <v>-840531.1838150277</v>
      </c>
      <c r="R983">
        <f t="shared" si="1021"/>
        <v>22690944.52797275</v>
      </c>
      <c r="S983">
        <f t="shared" si="1022"/>
        <v>226.90944527972749</v>
      </c>
      <c r="T983">
        <f t="shared" si="1023"/>
        <v>0.22690944527972751</v>
      </c>
    </row>
    <row r="984" spans="1:20" x14ac:dyDescent="0.25">
      <c r="A984" s="5">
        <v>43609</v>
      </c>
      <c r="B984">
        <v>0.38300000000000001</v>
      </c>
      <c r="C984">
        <v>0.39600000000000002</v>
      </c>
      <c r="D984">
        <v>0.37440000000000001</v>
      </c>
      <c r="E984">
        <v>0.38600000000000001</v>
      </c>
      <c r="F984">
        <v>6380646.5499999998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7.4074074074073598E-2</v>
      </c>
      <c r="Q984">
        <f t="shared" si="1020"/>
        <v>472640.48518518213</v>
      </c>
      <c r="R984">
        <f t="shared" si="1021"/>
        <v>23531475.711787779</v>
      </c>
      <c r="S984">
        <f t="shared" si="1022"/>
        <v>235.31475711787778</v>
      </c>
      <c r="T984">
        <f t="shared" si="1023"/>
        <v>0.23531475711787778</v>
      </c>
    </row>
    <row r="985" spans="1:20" x14ac:dyDescent="0.25">
      <c r="A985" s="5">
        <v>43608</v>
      </c>
      <c r="B985">
        <v>0.37409999999999999</v>
      </c>
      <c r="C985">
        <v>0.38979999999999998</v>
      </c>
      <c r="D985">
        <v>0.3493</v>
      </c>
      <c r="E985">
        <v>0.38150000000000001</v>
      </c>
      <c r="F985">
        <v>10303330.560000001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0.59012345679012457</v>
      </c>
      <c r="Q985">
        <f t="shared" si="1020"/>
        <v>6080237.0465185307</v>
      </c>
      <c r="R985">
        <f t="shared" si="1021"/>
        <v>23058835.226602595</v>
      </c>
      <c r="S985">
        <f t="shared" si="1022"/>
        <v>230.58835226602596</v>
      </c>
      <c r="T985">
        <f t="shared" si="1023"/>
        <v>0.23058835226602598</v>
      </c>
    </row>
    <row r="986" spans="1:20" x14ac:dyDescent="0.25">
      <c r="A986" s="5">
        <v>43607</v>
      </c>
      <c r="B986">
        <v>0.40110000000000001</v>
      </c>
      <c r="C986">
        <v>0.4173</v>
      </c>
      <c r="D986">
        <v>0.36599999999999999</v>
      </c>
      <c r="E986">
        <v>0.3745</v>
      </c>
      <c r="F986">
        <v>11080887.75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-0.66861598440545789</v>
      </c>
      <c r="Q986">
        <f t="shared" si="1020"/>
        <v>-7408858.6710526291</v>
      </c>
      <c r="R986">
        <f t="shared" si="1021"/>
        <v>16978598.180084065</v>
      </c>
      <c r="S986">
        <f t="shared" si="1022"/>
        <v>169.78598180084066</v>
      </c>
      <c r="T986">
        <f t="shared" si="1023"/>
        <v>0.16978598180084065</v>
      </c>
    </row>
    <row r="987" spans="1:20" x14ac:dyDescent="0.25">
      <c r="A987" s="5">
        <v>43606</v>
      </c>
      <c r="B987">
        <v>0.36890000000000001</v>
      </c>
      <c r="C987">
        <v>0.43149999999999999</v>
      </c>
      <c r="D987">
        <v>0.36680000000000001</v>
      </c>
      <c r="E987">
        <v>0.40160000000000001</v>
      </c>
      <c r="F987">
        <v>15945878.18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7.5734157650695785E-2</v>
      </c>
      <c r="Q987">
        <f t="shared" si="1020"/>
        <v>1207647.6519629098</v>
      </c>
      <c r="R987">
        <f t="shared" si="1021"/>
        <v>24387456.851136692</v>
      </c>
      <c r="S987">
        <f t="shared" si="1022"/>
        <v>243.87456851136693</v>
      </c>
      <c r="T987">
        <f t="shared" si="1023"/>
        <v>0.24387456851136693</v>
      </c>
    </row>
    <row r="988" spans="1:20" x14ac:dyDescent="0.25">
      <c r="A988" s="5">
        <v>43605</v>
      </c>
      <c r="B988">
        <v>0.38169999999999998</v>
      </c>
      <c r="C988">
        <v>0.38169999999999998</v>
      </c>
      <c r="D988">
        <v>0.35470000000000002</v>
      </c>
      <c r="E988">
        <v>0.36899999999999999</v>
      </c>
      <c r="F988">
        <v>9635703.8499999996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5.925925925925897E-2</v>
      </c>
      <c r="Q988">
        <f t="shared" si="1020"/>
        <v>571004.67259258975</v>
      </c>
      <c r="R988">
        <f t="shared" si="1021"/>
        <v>23179809.199173782</v>
      </c>
      <c r="S988">
        <f t="shared" si="1022"/>
        <v>231.79809199173783</v>
      </c>
      <c r="T988">
        <f t="shared" si="1023"/>
        <v>0.23179809199173784</v>
      </c>
    </row>
    <row r="989" spans="1:20" x14ac:dyDescent="0.25">
      <c r="A989" s="5">
        <v>43604</v>
      </c>
      <c r="B989">
        <v>0.37090000000000001</v>
      </c>
      <c r="C989">
        <v>0.39190000000000003</v>
      </c>
      <c r="D989">
        <v>0.3695</v>
      </c>
      <c r="E989">
        <v>0.38219999999999998</v>
      </c>
      <c r="F989">
        <v>12823428.869999999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0.13392857142856887</v>
      </c>
      <c r="Q989">
        <f t="shared" si="1020"/>
        <v>1717423.5093749671</v>
      </c>
      <c r="R989">
        <f t="shared" si="1021"/>
        <v>22608804.526581191</v>
      </c>
      <c r="S989">
        <f t="shared" si="1022"/>
        <v>226.0880452658119</v>
      </c>
      <c r="T989">
        <f t="shared" si="1023"/>
        <v>0.22608804526581189</v>
      </c>
    </row>
    <row r="990" spans="1:20" x14ac:dyDescent="0.25">
      <c r="A990" s="5">
        <v>43603</v>
      </c>
      <c r="B990">
        <v>0.3735</v>
      </c>
      <c r="C990">
        <v>0.39140000000000003</v>
      </c>
      <c r="D990">
        <v>0.36149999999999999</v>
      </c>
      <c r="E990">
        <v>0.371</v>
      </c>
      <c r="F990">
        <v>9050353.7400000002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-0.36454849498327785</v>
      </c>
      <c r="Q990">
        <f t="shared" si="1020"/>
        <v>-3299292.8349832799</v>
      </c>
      <c r="R990">
        <f t="shared" si="1021"/>
        <v>20891381.017206222</v>
      </c>
      <c r="S990">
        <f t="shared" si="1022"/>
        <v>208.91381017206223</v>
      </c>
      <c r="T990">
        <f t="shared" si="1023"/>
        <v>0.20891381017206223</v>
      </c>
    </row>
    <row r="991" spans="1:20" x14ac:dyDescent="0.25">
      <c r="A991" s="5">
        <v>43602</v>
      </c>
      <c r="B991">
        <v>0.3896</v>
      </c>
      <c r="C991">
        <v>0.39129999999999998</v>
      </c>
      <c r="D991">
        <v>0.33300000000000002</v>
      </c>
      <c r="E991">
        <v>0.3735</v>
      </c>
      <c r="F991">
        <v>12782060.92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0.38936535162950281</v>
      </c>
      <c r="Q991">
        <f t="shared" si="1020"/>
        <v>4976891.6446655262</v>
      </c>
      <c r="R991">
        <f t="shared" si="1021"/>
        <v>24190673.852189504</v>
      </c>
      <c r="S991">
        <f t="shared" si="1022"/>
        <v>241.90673852189502</v>
      </c>
      <c r="T991">
        <f t="shared" si="1023"/>
        <v>0.24190673852189501</v>
      </c>
    </row>
    <row r="992" spans="1:20" x14ac:dyDescent="0.25">
      <c r="A992" s="5">
        <v>43601</v>
      </c>
      <c r="B992">
        <v>0.39839999999999998</v>
      </c>
      <c r="C992">
        <v>0.43080000000000002</v>
      </c>
      <c r="D992">
        <v>0.36399999999999999</v>
      </c>
      <c r="E992">
        <v>0.38969999999999999</v>
      </c>
      <c r="F992">
        <v>17876887.239999998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-0.23053892215568891</v>
      </c>
      <c r="Q992">
        <f t="shared" si="1020"/>
        <v>-4121318.3158083879</v>
      </c>
      <c r="R992">
        <f t="shared" si="1021"/>
        <v>19213782.207523979</v>
      </c>
      <c r="S992">
        <f t="shared" si="1022"/>
        <v>192.1378220752398</v>
      </c>
      <c r="T992">
        <f t="shared" si="1023"/>
        <v>0.1921378220752398</v>
      </c>
    </row>
    <row r="993" spans="1:20" x14ac:dyDescent="0.25">
      <c r="A993" s="5">
        <v>43600</v>
      </c>
      <c r="B993">
        <v>0.35959999999999998</v>
      </c>
      <c r="C993">
        <v>0.40239999999999998</v>
      </c>
      <c r="D993">
        <v>0.3533</v>
      </c>
      <c r="E993">
        <v>0.39860000000000001</v>
      </c>
      <c r="F993">
        <v>8921274.4000000004</v>
      </c>
      <c r="G993">
        <v>0</v>
      </c>
      <c r="L993" t="s">
        <v>8</v>
      </c>
      <c r="M993" t="s">
        <v>8</v>
      </c>
      <c r="N993" t="s">
        <v>7</v>
      </c>
      <c r="P993">
        <f t="shared" si="1019"/>
        <v>0.84521384928717014</v>
      </c>
      <c r="Q993">
        <f t="shared" si="1020"/>
        <v>7540384.6761710895</v>
      </c>
      <c r="R993">
        <f t="shared" si="1021"/>
        <v>23335100.523332369</v>
      </c>
      <c r="S993">
        <f t="shared" si="1022"/>
        <v>233.35100523332369</v>
      </c>
      <c r="T993">
        <f t="shared" si="1023"/>
        <v>0.23335100523332369</v>
      </c>
    </row>
    <row r="994" spans="1:20" x14ac:dyDescent="0.25">
      <c r="A994" s="5">
        <v>43599</v>
      </c>
      <c r="B994">
        <v>0.32990000000000003</v>
      </c>
      <c r="C994">
        <v>0.3639</v>
      </c>
      <c r="D994">
        <v>0.32429999999999998</v>
      </c>
      <c r="E994">
        <v>0.3594</v>
      </c>
      <c r="F994">
        <v>13411783.199999999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0.77272727272727271</v>
      </c>
      <c r="Q994">
        <f t="shared" si="1020"/>
        <v>10363650.654545454</v>
      </c>
      <c r="R994">
        <f t="shared" si="1021"/>
        <v>15794715.847161278</v>
      </c>
      <c r="S994">
        <f t="shared" si="1022"/>
        <v>157.94715847161279</v>
      </c>
      <c r="T994">
        <f t="shared" si="1023"/>
        <v>0.15794715847161281</v>
      </c>
    </row>
    <row r="995" spans="1:20" x14ac:dyDescent="0.25">
      <c r="A995" s="5">
        <v>43598</v>
      </c>
      <c r="B995">
        <v>0.32369999999999999</v>
      </c>
      <c r="C995">
        <v>0.35199999999999998</v>
      </c>
      <c r="D995">
        <v>0.32</v>
      </c>
      <c r="E995">
        <v>0.32950000000000002</v>
      </c>
      <c r="F995">
        <v>9119360.7400000002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-0.40624999999999895</v>
      </c>
      <c r="Q995">
        <f t="shared" si="1020"/>
        <v>-3704740.3006249904</v>
      </c>
      <c r="R995">
        <f t="shared" si="1021"/>
        <v>5431065.1926158238</v>
      </c>
      <c r="S995">
        <f t="shared" si="1022"/>
        <v>54.310651926158236</v>
      </c>
      <c r="T995">
        <f t="shared" si="1023"/>
        <v>5.4310651926158235E-2</v>
      </c>
    </row>
    <row r="996" spans="1:20" x14ac:dyDescent="0.25">
      <c r="A996" s="5">
        <v>43597</v>
      </c>
      <c r="B996">
        <v>0.34300000000000003</v>
      </c>
      <c r="C996">
        <v>0.35360000000000003</v>
      </c>
      <c r="D996">
        <v>0.31180000000000002</v>
      </c>
      <c r="E996">
        <v>0.32429999999999998</v>
      </c>
      <c r="F996">
        <v>8672312.6899999995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-0.40191387559808828</v>
      </c>
      <c r="Q996">
        <f t="shared" si="1020"/>
        <v>-3485522.8036363819</v>
      </c>
      <c r="R996">
        <f t="shared" si="1021"/>
        <v>9135805.4932408147</v>
      </c>
      <c r="S996">
        <f t="shared" si="1022"/>
        <v>91.358054932408152</v>
      </c>
      <c r="T996">
        <f t="shared" si="1023"/>
        <v>9.1358054932408145E-2</v>
      </c>
    </row>
    <row r="997" spans="1:20" x14ac:dyDescent="0.25">
      <c r="A997" s="5">
        <v>43596</v>
      </c>
      <c r="B997">
        <v>0.32040000000000002</v>
      </c>
      <c r="C997">
        <v>0.36459999999999998</v>
      </c>
      <c r="D997">
        <v>0.31240000000000001</v>
      </c>
      <c r="E997">
        <v>0.34100000000000003</v>
      </c>
      <c r="F997">
        <v>9778229.9199999999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9.5785440613028031E-2</v>
      </c>
      <c r="Q997">
        <f t="shared" si="1020"/>
        <v>936612.06130269379</v>
      </c>
      <c r="R997">
        <f t="shared" si="1021"/>
        <v>12621328.296877196</v>
      </c>
      <c r="S997">
        <f t="shared" si="1022"/>
        <v>126.21328296877196</v>
      </c>
      <c r="T997">
        <f t="shared" si="1023"/>
        <v>0.12621328296877196</v>
      </c>
    </row>
    <row r="998" spans="1:20" x14ac:dyDescent="0.25">
      <c r="A998" s="5">
        <v>43595</v>
      </c>
      <c r="B998">
        <v>0.29239999999999999</v>
      </c>
      <c r="C998">
        <v>0.32579999999999998</v>
      </c>
      <c r="D998">
        <v>0.29199999999999998</v>
      </c>
      <c r="E998">
        <v>0.3206</v>
      </c>
      <c r="F998">
        <v>5086694.33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0.69230769230769329</v>
      </c>
      <c r="Q998">
        <f t="shared" si="1020"/>
        <v>3521557.6130769281</v>
      </c>
      <c r="R998">
        <f t="shared" si="1021"/>
        <v>11684716.235574502</v>
      </c>
      <c r="S998">
        <f t="shared" si="1022"/>
        <v>116.84716235574503</v>
      </c>
      <c r="T998">
        <f t="shared" si="1023"/>
        <v>0.11684716235574502</v>
      </c>
    </row>
    <row r="999" spans="1:20" x14ac:dyDescent="0.25">
      <c r="A999" s="5">
        <v>43594</v>
      </c>
      <c r="B999">
        <v>0.31559999999999999</v>
      </c>
      <c r="C999">
        <v>0.3201</v>
      </c>
      <c r="D999">
        <v>0.2903</v>
      </c>
      <c r="E999">
        <v>0.2923</v>
      </c>
      <c r="F999">
        <v>3813809.36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-0.86577181208053677</v>
      </c>
      <c r="Q999">
        <f t="shared" si="1020"/>
        <v>-3301888.6405369123</v>
      </c>
      <c r="R999">
        <f t="shared" si="1021"/>
        <v>8163158.6224975735</v>
      </c>
      <c r="S999">
        <f t="shared" si="1022"/>
        <v>81.631586224975734</v>
      </c>
      <c r="T999">
        <f t="shared" si="1023"/>
        <v>8.1631586224975738E-2</v>
      </c>
    </row>
    <row r="1000" spans="1:20" x14ac:dyDescent="0.25">
      <c r="A1000" s="5">
        <v>43593</v>
      </c>
      <c r="B1000">
        <v>0.32029999999999997</v>
      </c>
      <c r="C1000">
        <v>0.32519999999999999</v>
      </c>
      <c r="D1000">
        <v>0.30740000000000001</v>
      </c>
      <c r="E1000">
        <v>0.31430000000000002</v>
      </c>
      <c r="F1000">
        <v>2394325.71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-0.22471910112359281</v>
      </c>
      <c r="Q1000">
        <f t="shared" si="1020"/>
        <v>-538050.72134830814</v>
      </c>
      <c r="R1000">
        <f t="shared" si="1021"/>
        <v>11465047.263034485</v>
      </c>
      <c r="S1000">
        <f t="shared" si="1022"/>
        <v>114.65047263034485</v>
      </c>
      <c r="T1000">
        <f t="shared" si="1023"/>
        <v>0.11465047263034485</v>
      </c>
    </row>
    <row r="1001" spans="1:20" x14ac:dyDescent="0.25">
      <c r="A1001" s="5">
        <v>43592</v>
      </c>
      <c r="B1001">
        <v>0.33600000000000002</v>
      </c>
      <c r="C1001">
        <v>0.34799999999999998</v>
      </c>
      <c r="D1001">
        <v>0.31819999999999998</v>
      </c>
      <c r="E1001">
        <v>0.31879999999999997</v>
      </c>
      <c r="F1001">
        <v>4132027.62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-0.9597315436241618</v>
      </c>
      <c r="Q1001">
        <f t="shared" si="1020"/>
        <v>-3965637.2460402716</v>
      </c>
      <c r="R1001">
        <f t="shared" si="1021"/>
        <v>12003097.984382793</v>
      </c>
      <c r="S1001">
        <f t="shared" si="1022"/>
        <v>120.03097984382794</v>
      </c>
      <c r="T1001">
        <f t="shared" si="1023"/>
        <v>0.12003097984382793</v>
      </c>
    </row>
    <row r="1002" spans="1:20" x14ac:dyDescent="0.25">
      <c r="A1002" s="5">
        <v>43591</v>
      </c>
      <c r="B1002">
        <v>0.33550000000000002</v>
      </c>
      <c r="C1002">
        <v>0.34250000000000003</v>
      </c>
      <c r="D1002">
        <v>0.31730000000000003</v>
      </c>
      <c r="E1002">
        <v>0.33579999999999999</v>
      </c>
      <c r="F1002">
        <v>3448475.59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0.46825396825396515</v>
      </c>
      <c r="Q1002">
        <f t="shared" si="1020"/>
        <v>1614762.3794444336</v>
      </c>
      <c r="R1002">
        <f t="shared" si="1021"/>
        <v>15968735.230423065</v>
      </c>
      <c r="S1002">
        <f t="shared" si="1022"/>
        <v>159.68735230423064</v>
      </c>
      <c r="T1002">
        <f t="shared" si="1023"/>
        <v>0.15968735230423065</v>
      </c>
    </row>
    <row r="1003" spans="1:20" x14ac:dyDescent="0.25">
      <c r="A1003" s="5">
        <v>43590</v>
      </c>
      <c r="B1003">
        <v>0.3342</v>
      </c>
      <c r="C1003">
        <v>0.34449999999999997</v>
      </c>
      <c r="D1003">
        <v>0.32990000000000003</v>
      </c>
      <c r="E1003">
        <v>0.3352</v>
      </c>
      <c r="F1003">
        <v>1954412.03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-0.27397260273972729</v>
      </c>
      <c r="Q1003">
        <f t="shared" si="1020"/>
        <v>-535455.35068493395</v>
      </c>
      <c r="R1003">
        <f t="shared" si="1021"/>
        <v>14353972.850978632</v>
      </c>
      <c r="S1003">
        <f t="shared" si="1022"/>
        <v>143.53972850978633</v>
      </c>
      <c r="T1003">
        <f t="shared" si="1023"/>
        <v>0.14353972850978633</v>
      </c>
    </row>
    <row r="1004" spans="1:20" x14ac:dyDescent="0.25">
      <c r="A1004" s="5">
        <v>43589</v>
      </c>
      <c r="B1004">
        <v>0.33989999999999998</v>
      </c>
      <c r="C1004">
        <v>0.35049999999999998</v>
      </c>
      <c r="D1004">
        <v>0.32519999999999999</v>
      </c>
      <c r="E1004">
        <v>0.3342</v>
      </c>
      <c r="F1004">
        <v>4883190.91</v>
      </c>
      <c r="G1004">
        <v>0</v>
      </c>
      <c r="L1004" t="s">
        <v>8</v>
      </c>
      <c r="M1004" t="s">
        <v>7</v>
      </c>
      <c r="N1004" t="s">
        <v>7</v>
      </c>
      <c r="P1004">
        <f t="shared" si="1019"/>
        <v>-0.28853754940711368</v>
      </c>
      <c r="Q1004">
        <f t="shared" si="1020"/>
        <v>-1408983.9384584934</v>
      </c>
      <c r="R1004">
        <f t="shared" si="1021"/>
        <v>14889428.201663565</v>
      </c>
      <c r="S1004">
        <f t="shared" si="1022"/>
        <v>148.89428201663566</v>
      </c>
      <c r="T1004">
        <f t="shared" si="1023"/>
        <v>0.14889428201663565</v>
      </c>
    </row>
    <row r="1005" spans="1:20" x14ac:dyDescent="0.25">
      <c r="A1005" s="5">
        <v>43588</v>
      </c>
      <c r="B1005">
        <v>0.3357</v>
      </c>
      <c r="C1005">
        <v>0.3473</v>
      </c>
      <c r="D1005">
        <v>0.33250000000000002</v>
      </c>
      <c r="E1005">
        <v>0.33939999999999998</v>
      </c>
      <c r="F1005">
        <v>4861410.78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-6.7567567567571471E-2</v>
      </c>
      <c r="Q1005">
        <f t="shared" si="1020"/>
        <v>-328473.70135137037</v>
      </c>
      <c r="R1005">
        <f t="shared" si="1021"/>
        <v>16298412.140122058</v>
      </c>
      <c r="S1005">
        <f t="shared" si="1022"/>
        <v>162.98412140122059</v>
      </c>
      <c r="T1005">
        <f t="shared" si="1023"/>
        <v>0.16298412140122059</v>
      </c>
    </row>
    <row r="1006" spans="1:20" x14ac:dyDescent="0.25">
      <c r="A1006" s="5">
        <v>43587</v>
      </c>
      <c r="B1006">
        <v>0.33300000000000002</v>
      </c>
      <c r="C1006">
        <v>0.34310000000000002</v>
      </c>
      <c r="D1006">
        <v>0.33050000000000002</v>
      </c>
      <c r="E1006">
        <v>0.3352</v>
      </c>
      <c r="F1006">
        <v>2784888.94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-0.25396825396825684</v>
      </c>
      <c r="Q1006">
        <f t="shared" si="1020"/>
        <v>-707273.38158730953</v>
      </c>
      <c r="R1006">
        <f t="shared" si="1021"/>
        <v>16626885.841473429</v>
      </c>
      <c r="S1006">
        <f t="shared" si="1022"/>
        <v>166.2688584147343</v>
      </c>
      <c r="T1006">
        <f t="shared" si="1023"/>
        <v>0.16626885841473429</v>
      </c>
    </row>
    <row r="1007" spans="1:20" x14ac:dyDescent="0.25">
      <c r="A1007" s="5">
        <v>43586</v>
      </c>
      <c r="B1007">
        <v>0.34029999999999999</v>
      </c>
      <c r="C1007">
        <v>0.34360000000000002</v>
      </c>
      <c r="D1007">
        <v>0.32590000000000002</v>
      </c>
      <c r="E1007">
        <v>0.33300000000000002</v>
      </c>
      <c r="F1007">
        <v>2837595.02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-0.19774011299435054</v>
      </c>
      <c r="Q1007">
        <f t="shared" si="1020"/>
        <v>-561106.35988700634</v>
      </c>
      <c r="R1007">
        <f t="shared" si="1021"/>
        <v>17334159.223060738</v>
      </c>
      <c r="S1007">
        <f t="shared" si="1022"/>
        <v>173.34159223060738</v>
      </c>
      <c r="T1007">
        <f t="shared" si="1023"/>
        <v>0.17334159223060738</v>
      </c>
    </row>
    <row r="1008" spans="1:20" x14ac:dyDescent="0.25">
      <c r="A1008" s="5">
        <v>43585</v>
      </c>
      <c r="B1008">
        <v>0.32769999999999999</v>
      </c>
      <c r="C1008">
        <v>0.34060000000000001</v>
      </c>
      <c r="D1008">
        <v>0.3145</v>
      </c>
      <c r="E1008">
        <v>0.34029999999999999</v>
      </c>
      <c r="F1008">
        <v>4168380.43</v>
      </c>
      <c r="G1008">
        <v>0</v>
      </c>
      <c r="L1008" t="s">
        <v>7</v>
      </c>
      <c r="M1008" t="s">
        <v>7</v>
      </c>
      <c r="N1008" t="s">
        <v>7</v>
      </c>
      <c r="P1008">
        <f t="shared" si="1019"/>
        <v>0.97701149425287181</v>
      </c>
      <c r="Q1008">
        <f t="shared" si="1020"/>
        <v>4072555.5925287283</v>
      </c>
      <c r="R1008">
        <f t="shared" si="1021"/>
        <v>17895265.582947746</v>
      </c>
      <c r="S1008">
        <f t="shared" si="1022"/>
        <v>178.95265582947746</v>
      </c>
      <c r="T1008">
        <f t="shared" si="1023"/>
        <v>0.17895265582947747</v>
      </c>
    </row>
    <row r="1009" spans="1:20" x14ac:dyDescent="0.25">
      <c r="A1009" s="5">
        <v>43584</v>
      </c>
      <c r="B1009">
        <v>0.35560000000000003</v>
      </c>
      <c r="C1009">
        <v>0.35770000000000002</v>
      </c>
      <c r="D1009">
        <v>0.3201</v>
      </c>
      <c r="E1009">
        <v>0.32779999999999998</v>
      </c>
      <c r="F1009">
        <v>4823782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-0.59042553191489466</v>
      </c>
      <c r="Q1009">
        <f t="shared" si="1020"/>
        <v>-2848084.0531914942</v>
      </c>
      <c r="R1009">
        <f t="shared" si="1021"/>
        <v>13822709.990419019</v>
      </c>
      <c r="S1009">
        <f t="shared" si="1022"/>
        <v>138.2270999041902</v>
      </c>
      <c r="T1009">
        <f t="shared" si="1023"/>
        <v>0.13822709990419019</v>
      </c>
    </row>
    <row r="1010" spans="1:20" x14ac:dyDescent="0.25">
      <c r="A1010" s="5">
        <v>43583</v>
      </c>
      <c r="B1010">
        <v>0.3629</v>
      </c>
      <c r="C1010">
        <v>0.36520000000000002</v>
      </c>
      <c r="D1010">
        <v>0.35199999999999998</v>
      </c>
      <c r="E1010">
        <v>0.35499999999999998</v>
      </c>
      <c r="F1010">
        <v>1508084.12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-0.54545454545454664</v>
      </c>
      <c r="Q1010">
        <f t="shared" si="1020"/>
        <v>-822591.33818182</v>
      </c>
      <c r="R1010">
        <f t="shared" si="1021"/>
        <v>16670794.043610513</v>
      </c>
      <c r="S1010">
        <f t="shared" si="1022"/>
        <v>166.70794043610513</v>
      </c>
      <c r="T1010">
        <f t="shared" si="1023"/>
        <v>0.16670794043610512</v>
      </c>
    </row>
    <row r="1011" spans="1:20" x14ac:dyDescent="0.25">
      <c r="A1011" s="5">
        <v>43582</v>
      </c>
      <c r="B1011">
        <v>0.36049999999999999</v>
      </c>
      <c r="C1011">
        <v>0.36799999999999999</v>
      </c>
      <c r="D1011">
        <v>0.35089999999999999</v>
      </c>
      <c r="E1011">
        <v>0.3624</v>
      </c>
      <c r="F1011">
        <v>2131525.19</v>
      </c>
      <c r="G1011">
        <v>0</v>
      </c>
      <c r="L1011" t="s">
        <v>7</v>
      </c>
      <c r="M1011" t="s">
        <v>7</v>
      </c>
      <c r="N1011" t="s">
        <v>8</v>
      </c>
      <c r="P1011">
        <f t="shared" si="1019"/>
        <v>0.34502923976608274</v>
      </c>
      <c r="Q1011">
        <f t="shared" si="1020"/>
        <v>735438.51584795502</v>
      </c>
      <c r="R1011">
        <f t="shared" si="1021"/>
        <v>17493385.381792333</v>
      </c>
      <c r="S1011">
        <f t="shared" si="1022"/>
        <v>174.93385381792334</v>
      </c>
      <c r="T1011">
        <f t="shared" si="1023"/>
        <v>0.17493385381792334</v>
      </c>
    </row>
    <row r="1012" spans="1:20" x14ac:dyDescent="0.25">
      <c r="A1012" s="5">
        <v>43581</v>
      </c>
      <c r="B1012">
        <v>0.35589999999999999</v>
      </c>
      <c r="C1012">
        <v>0.37240000000000001</v>
      </c>
      <c r="D1012">
        <v>0.34560000000000002</v>
      </c>
      <c r="E1012">
        <v>0.36059999999999998</v>
      </c>
      <c r="F1012">
        <v>6369546.1200000001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0.11940298507462412</v>
      </c>
      <c r="Q1012">
        <f t="shared" si="1020"/>
        <v>760542.82029849</v>
      </c>
      <c r="R1012">
        <f t="shared" si="1021"/>
        <v>16757946.865944376</v>
      </c>
      <c r="S1012">
        <f t="shared" si="1022"/>
        <v>167.57946865944376</v>
      </c>
      <c r="T1012">
        <f t="shared" si="1023"/>
        <v>0.16757946865944376</v>
      </c>
    </row>
    <row r="1013" spans="1:20" x14ac:dyDescent="0.25">
      <c r="A1013" s="5">
        <v>43580</v>
      </c>
      <c r="B1013">
        <v>0.3866</v>
      </c>
      <c r="C1013">
        <v>0.40500000000000003</v>
      </c>
      <c r="D1013">
        <v>0.34749999999999998</v>
      </c>
      <c r="E1013">
        <v>0.35589999999999999</v>
      </c>
      <c r="F1013">
        <v>11278128.539999999</v>
      </c>
      <c r="G1013">
        <v>0</v>
      </c>
      <c r="L1013" t="s">
        <v>8</v>
      </c>
      <c r="M1013" t="s">
        <v>7</v>
      </c>
      <c r="N1013" t="s">
        <v>8</v>
      </c>
      <c r="P1013">
        <f t="shared" si="1019"/>
        <v>-0.70782608695652138</v>
      </c>
      <c r="Q1013">
        <f t="shared" si="1020"/>
        <v>-7982953.5926608648</v>
      </c>
      <c r="R1013">
        <f t="shared" si="1021"/>
        <v>15997404.045645887</v>
      </c>
      <c r="S1013">
        <f t="shared" si="1022"/>
        <v>159.97404045645888</v>
      </c>
      <c r="T1013">
        <f t="shared" si="1023"/>
        <v>0.15997404045645888</v>
      </c>
    </row>
    <row r="1014" spans="1:20" x14ac:dyDescent="0.25">
      <c r="A1014" s="5">
        <v>43579</v>
      </c>
      <c r="B1014">
        <v>0.37780000000000002</v>
      </c>
      <c r="C1014">
        <v>0.38800000000000001</v>
      </c>
      <c r="D1014">
        <v>0.34499999999999997</v>
      </c>
      <c r="E1014">
        <v>0.38669999999999999</v>
      </c>
      <c r="F1014">
        <v>9577332.4800000004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0.93953488372092919</v>
      </c>
      <c r="Q1014">
        <f t="shared" si="1020"/>
        <v>8998237.9579534791</v>
      </c>
      <c r="R1014">
        <f t="shared" si="1021"/>
        <v>23980357.638306752</v>
      </c>
      <c r="S1014">
        <f t="shared" si="1022"/>
        <v>239.80357638306751</v>
      </c>
      <c r="T1014">
        <f t="shared" si="1023"/>
        <v>0.23980357638306751</v>
      </c>
    </row>
    <row r="1015" spans="1:20" x14ac:dyDescent="0.25">
      <c r="A1015" s="5">
        <v>43578</v>
      </c>
      <c r="B1015">
        <v>0.40400000000000003</v>
      </c>
      <c r="C1015">
        <v>0.42659999999999998</v>
      </c>
      <c r="D1015">
        <v>0.37630000000000002</v>
      </c>
      <c r="E1015">
        <v>0.37659999999999999</v>
      </c>
      <c r="F1015">
        <v>14327277.26</v>
      </c>
      <c r="G1015">
        <v>0</v>
      </c>
      <c r="L1015" t="s">
        <v>7</v>
      </c>
      <c r="M1015" t="s">
        <v>8</v>
      </c>
      <c r="N1015" t="s">
        <v>8</v>
      </c>
      <c r="P1015">
        <f t="shared" si="1019"/>
        <v>-0.98807157057654205</v>
      </c>
      <c r="Q1015">
        <f t="shared" si="1020"/>
        <v>-14156375.344373776</v>
      </c>
      <c r="R1015">
        <f t="shared" si="1021"/>
        <v>14982119.680353271</v>
      </c>
      <c r="S1015">
        <f t="shared" si="1022"/>
        <v>149.8211968035327</v>
      </c>
      <c r="T1015">
        <f t="shared" si="1023"/>
        <v>0.1498211968035327</v>
      </c>
    </row>
    <row r="1016" spans="1:20" x14ac:dyDescent="0.25">
      <c r="A1016" s="5">
        <v>43577</v>
      </c>
      <c r="B1016">
        <v>0.35699999999999998</v>
      </c>
      <c r="C1016">
        <v>0.42399999999999999</v>
      </c>
      <c r="D1016">
        <v>0.3543</v>
      </c>
      <c r="E1016">
        <v>0.4037</v>
      </c>
      <c r="F1016">
        <v>19550448.52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0.4175035868005742</v>
      </c>
      <c r="Q1016">
        <f t="shared" si="1020"/>
        <v>8162382.380659977</v>
      </c>
      <c r="R1016">
        <f t="shared" si="1021"/>
        <v>29138495.024727046</v>
      </c>
      <c r="S1016">
        <f t="shared" si="1022"/>
        <v>291.38495024727047</v>
      </c>
      <c r="T1016">
        <f t="shared" si="1023"/>
        <v>0.29138495024727046</v>
      </c>
    </row>
    <row r="1017" spans="1:20" x14ac:dyDescent="0.25">
      <c r="A1017" s="5">
        <v>43576</v>
      </c>
      <c r="B1017">
        <v>0.37490000000000001</v>
      </c>
      <c r="C1017">
        <v>0.37759999999999999</v>
      </c>
      <c r="D1017">
        <v>0.34210000000000002</v>
      </c>
      <c r="E1017">
        <v>0.35709999999999997</v>
      </c>
      <c r="F1017">
        <v>5624462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-0.15492957746479055</v>
      </c>
      <c r="Q1017">
        <f t="shared" si="1020"/>
        <v>-871395.52112677076</v>
      </c>
      <c r="R1017">
        <f t="shared" si="1021"/>
        <v>20976112.644067071</v>
      </c>
      <c r="S1017">
        <f t="shared" si="1022"/>
        <v>209.76112644067072</v>
      </c>
      <c r="T1017">
        <f t="shared" si="1023"/>
        <v>0.20976112644067071</v>
      </c>
    </row>
    <row r="1018" spans="1:20" x14ac:dyDescent="0.25">
      <c r="A1018" s="5">
        <v>43575</v>
      </c>
      <c r="B1018">
        <v>0.36509999999999998</v>
      </c>
      <c r="C1018">
        <v>0.38540000000000002</v>
      </c>
      <c r="D1018">
        <v>0.36509999999999998</v>
      </c>
      <c r="E1018">
        <v>0.37490000000000001</v>
      </c>
      <c r="F1018">
        <v>5986379.3600000003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-3.4482758620688524E-2</v>
      </c>
      <c r="Q1018">
        <f t="shared" si="1020"/>
        <v>-206426.87448275185</v>
      </c>
      <c r="R1018">
        <f t="shared" si="1021"/>
        <v>21847508.165193841</v>
      </c>
      <c r="S1018">
        <f t="shared" si="1022"/>
        <v>218.47508165193841</v>
      </c>
      <c r="T1018">
        <f t="shared" si="1023"/>
        <v>0.21847508165193841</v>
      </c>
    </row>
    <row r="1019" spans="1:20" x14ac:dyDescent="0.25">
      <c r="A1019" s="5">
        <v>43574</v>
      </c>
      <c r="B1019">
        <v>0.37119999999999997</v>
      </c>
      <c r="C1019">
        <v>0.37269999999999998</v>
      </c>
      <c r="D1019">
        <v>0.3589</v>
      </c>
      <c r="E1019">
        <v>0.36580000000000001</v>
      </c>
      <c r="F1019">
        <v>4446229.18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4.0225471906708635E-15</v>
      </c>
      <c r="Q1019">
        <f t="shared" si="1020"/>
        <v>1.7885166697087814E-8</v>
      </c>
      <c r="R1019">
        <f t="shared" si="1021"/>
        <v>22053935.039676592</v>
      </c>
      <c r="S1019">
        <f t="shared" si="1022"/>
        <v>220.53935039676591</v>
      </c>
      <c r="T1019">
        <f t="shared" si="1023"/>
        <v>0.22053935039676592</v>
      </c>
    </row>
    <row r="1020" spans="1:20" x14ac:dyDescent="0.25">
      <c r="A1020" s="5">
        <v>43573</v>
      </c>
      <c r="B1020">
        <v>0.36049999999999999</v>
      </c>
      <c r="C1020">
        <v>0.37880000000000003</v>
      </c>
      <c r="D1020">
        <v>0.3584</v>
      </c>
      <c r="E1020">
        <v>0.37130000000000002</v>
      </c>
      <c r="F1020">
        <v>7341914.0700000003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0.26470588235294157</v>
      </c>
      <c r="Q1020">
        <f t="shared" si="1020"/>
        <v>1943447.8420588265</v>
      </c>
      <c r="R1020">
        <f t="shared" si="1021"/>
        <v>22053935.039676573</v>
      </c>
      <c r="S1020">
        <f t="shared" si="1022"/>
        <v>220.53935039676574</v>
      </c>
      <c r="T1020">
        <f t="shared" si="1023"/>
        <v>0.22053935039676575</v>
      </c>
    </row>
    <row r="1021" spans="1:20" x14ac:dyDescent="0.25">
      <c r="A1021" s="5">
        <v>43572</v>
      </c>
      <c r="B1021">
        <v>0.36449999999999999</v>
      </c>
      <c r="C1021">
        <v>0.36909999999999998</v>
      </c>
      <c r="D1021">
        <v>0.35249999999999998</v>
      </c>
      <c r="E1021">
        <v>0.36049999999999999</v>
      </c>
      <c r="F1021">
        <v>3624999.27</v>
      </c>
      <c r="G1021">
        <v>0</v>
      </c>
      <c r="L1021" t="s">
        <v>7</v>
      </c>
      <c r="M1021" t="s">
        <v>7</v>
      </c>
      <c r="N1021" t="s">
        <v>8</v>
      </c>
      <c r="P1021">
        <f t="shared" si="1019"/>
        <v>-3.6144578313252365E-2</v>
      </c>
      <c r="Q1021">
        <f t="shared" si="1020"/>
        <v>-131024.06999999765</v>
      </c>
      <c r="R1021">
        <f t="shared" si="1021"/>
        <v>20110487.197617747</v>
      </c>
      <c r="S1021">
        <f t="shared" si="1022"/>
        <v>201.10487197617746</v>
      </c>
      <c r="T1021">
        <f t="shared" si="1023"/>
        <v>0.20110487197617746</v>
      </c>
    </row>
    <row r="1022" spans="1:20" x14ac:dyDescent="0.25">
      <c r="A1022" s="5">
        <v>43571</v>
      </c>
      <c r="B1022">
        <v>0.35260000000000002</v>
      </c>
      <c r="C1022">
        <v>0.36599999999999999</v>
      </c>
      <c r="D1022">
        <v>0.34970000000000001</v>
      </c>
      <c r="E1022">
        <v>0.3649</v>
      </c>
      <c r="F1022">
        <v>4879014.0199999996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0.86503067484662688</v>
      </c>
      <c r="Q1022">
        <f t="shared" si="1020"/>
        <v>4220496.7903067535</v>
      </c>
      <c r="R1022">
        <f t="shared" si="1021"/>
        <v>20241511.267617743</v>
      </c>
      <c r="S1022">
        <f t="shared" si="1022"/>
        <v>202.41511267617744</v>
      </c>
      <c r="T1022">
        <f t="shared" si="1023"/>
        <v>0.20241511267617746</v>
      </c>
    </row>
    <row r="1023" spans="1:20" x14ac:dyDescent="0.25">
      <c r="A1023" s="5">
        <v>43570</v>
      </c>
      <c r="B1023">
        <v>0.379</v>
      </c>
      <c r="C1023">
        <v>0.38490000000000002</v>
      </c>
      <c r="D1023">
        <v>0.34599999999999997</v>
      </c>
      <c r="E1023">
        <v>0.35370000000000001</v>
      </c>
      <c r="F1023">
        <v>7498746.3499999996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-0.60411311053984418</v>
      </c>
      <c r="Q1023">
        <f t="shared" ref="Q1023:Q1086" si="1025">F1023*P1023</f>
        <v>-4530090.9826478027</v>
      </c>
      <c r="R1023">
        <f t="shared" ref="R1023:R1086" si="1026">R1024+Q1023</f>
        <v>16021014.477310989</v>
      </c>
      <c r="S1023">
        <f t="shared" ref="S1023:S1086" si="1027">R1023/100000</f>
        <v>160.2101447731099</v>
      </c>
      <c r="T1023">
        <f t="shared" ref="T1023:T1086" si="1028">S1023/1000</f>
        <v>0.16021014477310991</v>
      </c>
    </row>
    <row r="1024" spans="1:20" x14ac:dyDescent="0.25">
      <c r="A1024" s="5">
        <v>43569</v>
      </c>
      <c r="B1024">
        <v>0.36599999999999999</v>
      </c>
      <c r="C1024">
        <v>0.37990000000000002</v>
      </c>
      <c r="D1024">
        <v>0.36209999999999998</v>
      </c>
      <c r="E1024">
        <v>0.37919999999999998</v>
      </c>
      <c r="F1024">
        <v>5385313.8200000003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0.92134831460673794</v>
      </c>
      <c r="Q1024">
        <f t="shared" si="1025"/>
        <v>4961749.811685374</v>
      </c>
      <c r="R1024">
        <f t="shared" si="1026"/>
        <v>20551105.459958792</v>
      </c>
      <c r="S1024">
        <f t="shared" si="1027"/>
        <v>205.51105459958791</v>
      </c>
      <c r="T1024">
        <f t="shared" si="1028"/>
        <v>0.20551105459958791</v>
      </c>
    </row>
    <row r="1025" spans="1:20" x14ac:dyDescent="0.25">
      <c r="A1025" s="5">
        <v>43568</v>
      </c>
      <c r="B1025">
        <v>0.373</v>
      </c>
      <c r="C1025">
        <v>0.38129999999999997</v>
      </c>
      <c r="D1025">
        <v>0.3604</v>
      </c>
      <c r="E1025">
        <v>0.36599999999999999</v>
      </c>
      <c r="F1025">
        <v>4161651.32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-0.46411483253588509</v>
      </c>
      <c r="Q1025">
        <f t="shared" si="1025"/>
        <v>-1931484.105454545</v>
      </c>
      <c r="R1025">
        <f t="shared" si="1026"/>
        <v>15589355.64827342</v>
      </c>
      <c r="S1025">
        <f t="shared" si="1027"/>
        <v>155.8935564827342</v>
      </c>
      <c r="T1025">
        <f t="shared" si="1028"/>
        <v>0.1558935564827342</v>
      </c>
    </row>
    <row r="1026" spans="1:20" x14ac:dyDescent="0.25">
      <c r="A1026" s="5">
        <v>43567</v>
      </c>
      <c r="B1026">
        <v>0.37109999999999999</v>
      </c>
      <c r="C1026">
        <v>0.38059999999999999</v>
      </c>
      <c r="D1026">
        <v>0.34799999999999998</v>
      </c>
      <c r="E1026">
        <v>0.373</v>
      </c>
      <c r="F1026">
        <v>8445648.4100000001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0.53374233128834403</v>
      </c>
      <c r="Q1026">
        <f t="shared" si="1025"/>
        <v>4507800.071595096</v>
      </c>
      <c r="R1026">
        <f t="shared" si="1026"/>
        <v>17520839.753727965</v>
      </c>
      <c r="S1026">
        <f t="shared" si="1027"/>
        <v>175.20839753727964</v>
      </c>
      <c r="T1026">
        <f t="shared" si="1028"/>
        <v>0.17520839753727963</v>
      </c>
    </row>
    <row r="1027" spans="1:20" x14ac:dyDescent="0.25">
      <c r="A1027" s="5">
        <v>43566</v>
      </c>
      <c r="B1027">
        <v>0.40050000000000002</v>
      </c>
      <c r="C1027">
        <v>0.40139999999999998</v>
      </c>
      <c r="D1027">
        <v>0.3387</v>
      </c>
      <c r="E1027">
        <v>0.37109999999999999</v>
      </c>
      <c r="F1027">
        <v>15008114.310000001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3.349282296650704E-2</v>
      </c>
      <c r="Q1027">
        <f t="shared" si="1025"/>
        <v>502664.11564593099</v>
      </c>
      <c r="R1027">
        <f t="shared" si="1026"/>
        <v>13013039.68213287</v>
      </c>
      <c r="S1027">
        <f t="shared" si="1027"/>
        <v>130.1303968213287</v>
      </c>
      <c r="T1027">
        <f t="shared" si="1028"/>
        <v>0.13013039682132871</v>
      </c>
    </row>
    <row r="1028" spans="1:20" x14ac:dyDescent="0.25">
      <c r="A1028" s="5">
        <v>43565</v>
      </c>
      <c r="B1028">
        <v>0.40129999999999999</v>
      </c>
      <c r="C1028">
        <v>0.41710000000000003</v>
      </c>
      <c r="D1028">
        <v>0.39450000000000002</v>
      </c>
      <c r="E1028">
        <v>0.39989999999999998</v>
      </c>
      <c r="F1028">
        <v>9592087.5199999996</v>
      </c>
      <c r="G1028">
        <v>0</v>
      </c>
      <c r="L1028" t="s">
        <v>7</v>
      </c>
      <c r="M1028" t="s">
        <v>7</v>
      </c>
      <c r="N1028" t="s">
        <v>8</v>
      </c>
      <c r="P1028">
        <f t="shared" si="1024"/>
        <v>-0.52212389380531343</v>
      </c>
      <c r="Q1028">
        <f t="shared" si="1025"/>
        <v>-5008258.0856637517</v>
      </c>
      <c r="R1028">
        <f t="shared" si="1026"/>
        <v>12510375.56648694</v>
      </c>
      <c r="S1028">
        <f t="shared" si="1027"/>
        <v>125.1037556648694</v>
      </c>
      <c r="T1028">
        <f t="shared" si="1028"/>
        <v>0.12510375566486939</v>
      </c>
    </row>
    <row r="1029" spans="1:20" x14ac:dyDescent="0.25">
      <c r="A1029" s="5">
        <v>43564</v>
      </c>
      <c r="B1029">
        <v>0.42420000000000002</v>
      </c>
      <c r="C1029">
        <v>0.42580000000000001</v>
      </c>
      <c r="D1029">
        <v>0.39</v>
      </c>
      <c r="E1029">
        <v>0.40110000000000001</v>
      </c>
      <c r="F1029">
        <v>9579173.6400000006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-0.37988826815642462</v>
      </c>
      <c r="Q1029">
        <f t="shared" si="1025"/>
        <v>-3639015.6844692742</v>
      </c>
      <c r="R1029">
        <f t="shared" si="1026"/>
        <v>17518633.652150691</v>
      </c>
      <c r="S1029">
        <f t="shared" si="1027"/>
        <v>175.18633652150692</v>
      </c>
      <c r="T1029">
        <f t="shared" si="1028"/>
        <v>0.17518633652150692</v>
      </c>
    </row>
    <row r="1030" spans="1:20" x14ac:dyDescent="0.25">
      <c r="A1030" s="5">
        <v>43563</v>
      </c>
      <c r="B1030">
        <v>0.43659999999999999</v>
      </c>
      <c r="C1030">
        <v>0.44350000000000001</v>
      </c>
      <c r="D1030">
        <v>0.40500000000000003</v>
      </c>
      <c r="E1030">
        <v>0.42409999999999998</v>
      </c>
      <c r="F1030">
        <v>12029189.029999999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-7.7922077922098218E-3</v>
      </c>
      <c r="Q1030">
        <f t="shared" si="1025"/>
        <v>-93733.940493530899</v>
      </c>
      <c r="R1030">
        <f t="shared" si="1026"/>
        <v>21157649.336619966</v>
      </c>
      <c r="S1030">
        <f t="shared" si="1027"/>
        <v>211.57649336619966</v>
      </c>
      <c r="T1030">
        <f t="shared" si="1028"/>
        <v>0.21157649336619966</v>
      </c>
    </row>
    <row r="1031" spans="1:20" x14ac:dyDescent="0.25">
      <c r="A1031" s="5">
        <v>43562</v>
      </c>
      <c r="B1031">
        <v>0.44240000000000002</v>
      </c>
      <c r="C1031">
        <v>0.46579999999999999</v>
      </c>
      <c r="D1031">
        <v>0.42909999999999998</v>
      </c>
      <c r="E1031">
        <v>0.43790000000000001</v>
      </c>
      <c r="F1031">
        <v>12782928.65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-0.52043596730245079</v>
      </c>
      <c r="Q1031">
        <f t="shared" si="1025"/>
        <v>-6652695.8369209617</v>
      </c>
      <c r="R1031">
        <f t="shared" si="1026"/>
        <v>21251383.277113497</v>
      </c>
      <c r="S1031">
        <f t="shared" si="1027"/>
        <v>212.51383277113499</v>
      </c>
      <c r="T1031">
        <f t="shared" si="1028"/>
        <v>0.21251383277113498</v>
      </c>
    </row>
    <row r="1032" spans="1:20" x14ac:dyDescent="0.25">
      <c r="A1032" s="5">
        <v>43561</v>
      </c>
      <c r="B1032">
        <v>0.43209999999999998</v>
      </c>
      <c r="C1032">
        <v>0.45900000000000002</v>
      </c>
      <c r="D1032">
        <v>0.41710000000000003</v>
      </c>
      <c r="E1032">
        <v>0.4425</v>
      </c>
      <c r="F1032">
        <v>20723264.07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0.21241050119331659</v>
      </c>
      <c r="Q1032">
        <f t="shared" si="1025"/>
        <v>4401838.9074701499</v>
      </c>
      <c r="R1032">
        <f t="shared" si="1026"/>
        <v>27904079.114034459</v>
      </c>
      <c r="S1032">
        <f t="shared" si="1027"/>
        <v>279.0407911403446</v>
      </c>
      <c r="T1032">
        <f t="shared" si="1028"/>
        <v>0.27904079114034458</v>
      </c>
    </row>
    <row r="1033" spans="1:20" x14ac:dyDescent="0.25">
      <c r="A1033" s="5">
        <v>43560</v>
      </c>
      <c r="B1033">
        <v>0.40139999999999998</v>
      </c>
      <c r="C1033">
        <v>0.43359999999999999</v>
      </c>
      <c r="D1033">
        <v>0.4</v>
      </c>
      <c r="E1033">
        <v>0.432</v>
      </c>
      <c r="F1033">
        <v>13298306.01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0.90476190476190521</v>
      </c>
      <c r="Q1033">
        <f t="shared" si="1025"/>
        <v>12031800.675714292</v>
      </c>
      <c r="R1033">
        <f t="shared" si="1026"/>
        <v>23502240.206564307</v>
      </c>
      <c r="S1033">
        <f t="shared" si="1027"/>
        <v>235.02240206564306</v>
      </c>
      <c r="T1033">
        <f t="shared" si="1028"/>
        <v>0.23502240206564307</v>
      </c>
    </row>
    <row r="1034" spans="1:20" x14ac:dyDescent="0.25">
      <c r="A1034" s="5">
        <v>43559</v>
      </c>
      <c r="B1034">
        <v>0.40210000000000001</v>
      </c>
      <c r="C1034">
        <v>0.4365</v>
      </c>
      <c r="D1034">
        <v>0.3831</v>
      </c>
      <c r="E1034">
        <v>0.40139999999999998</v>
      </c>
      <c r="F1034">
        <v>19081660.25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-0.31460674157303437</v>
      </c>
      <c r="Q1034">
        <f t="shared" si="1025"/>
        <v>-6003218.9550561924</v>
      </c>
      <c r="R1034">
        <f t="shared" si="1026"/>
        <v>11470439.530850017</v>
      </c>
      <c r="S1034">
        <f t="shared" si="1027"/>
        <v>114.70439530850017</v>
      </c>
      <c r="T1034">
        <f t="shared" si="1028"/>
        <v>0.11470439530850017</v>
      </c>
    </row>
    <row r="1035" spans="1:20" x14ac:dyDescent="0.25">
      <c r="A1035" s="5">
        <v>43558</v>
      </c>
      <c r="B1035">
        <v>0.38619999999999999</v>
      </c>
      <c r="C1035">
        <v>0.44240000000000002</v>
      </c>
      <c r="D1035">
        <v>0.37</v>
      </c>
      <c r="E1035">
        <v>0.40060000000000001</v>
      </c>
      <c r="F1035">
        <v>32993731.129999999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-0.15469613259668488</v>
      </c>
      <c r="Q1035">
        <f t="shared" si="1025"/>
        <v>-5104002.6057458492</v>
      </c>
      <c r="R1035">
        <f t="shared" si="1026"/>
        <v>17473658.48590621</v>
      </c>
      <c r="S1035">
        <f t="shared" si="1027"/>
        <v>174.73658485906211</v>
      </c>
      <c r="T1035">
        <f t="shared" si="1028"/>
        <v>0.1747365848590621</v>
      </c>
    </row>
    <row r="1036" spans="1:20" x14ac:dyDescent="0.25">
      <c r="A1036" s="5">
        <v>43557</v>
      </c>
      <c r="B1036">
        <v>0.3523</v>
      </c>
      <c r="C1036">
        <v>0.39250000000000002</v>
      </c>
      <c r="D1036">
        <v>0.35039999999999999</v>
      </c>
      <c r="E1036">
        <v>0.38719999999999999</v>
      </c>
      <c r="F1036">
        <v>20296242.879999999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0.74821852731591332</v>
      </c>
      <c r="Q1036">
        <f t="shared" si="1025"/>
        <v>15186024.957719691</v>
      </c>
      <c r="R1036">
        <f t="shared" si="1026"/>
        <v>22577661.091652058</v>
      </c>
      <c r="S1036">
        <f t="shared" si="1027"/>
        <v>225.77661091652058</v>
      </c>
      <c r="T1036">
        <f t="shared" si="1028"/>
        <v>0.22577661091652057</v>
      </c>
    </row>
    <row r="1037" spans="1:20" x14ac:dyDescent="0.25">
      <c r="A1037" s="5">
        <v>43556</v>
      </c>
      <c r="B1037">
        <v>0.35389999999999999</v>
      </c>
      <c r="C1037">
        <v>0.36670000000000003</v>
      </c>
      <c r="D1037">
        <v>0.34010000000000001</v>
      </c>
      <c r="E1037">
        <v>0.35239999999999999</v>
      </c>
      <c r="F1037">
        <v>12872434.77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-7.5187969924814149E-2</v>
      </c>
      <c r="Q1037">
        <f t="shared" si="1025"/>
        <v>-967852.23834589194</v>
      </c>
      <c r="R1037">
        <f t="shared" si="1026"/>
        <v>7391636.133932367</v>
      </c>
      <c r="S1037">
        <f t="shared" si="1027"/>
        <v>73.916361339323672</v>
      </c>
      <c r="T1037">
        <f t="shared" si="1028"/>
        <v>7.3916361339323666E-2</v>
      </c>
    </row>
    <row r="1038" spans="1:20" x14ac:dyDescent="0.25">
      <c r="A1038" s="5">
        <v>43555</v>
      </c>
      <c r="B1038">
        <v>0.33789999999999998</v>
      </c>
      <c r="C1038">
        <v>0.35439999999999999</v>
      </c>
      <c r="D1038">
        <v>0.33090000000000003</v>
      </c>
      <c r="E1038">
        <v>0.35370000000000001</v>
      </c>
      <c r="F1038">
        <v>6650452.29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0.94042553191489542</v>
      </c>
      <c r="Q1038">
        <f t="shared" si="1025"/>
        <v>6254255.1322978847</v>
      </c>
      <c r="R1038">
        <f t="shared" si="1026"/>
        <v>8359488.3722782591</v>
      </c>
      <c r="S1038">
        <f t="shared" si="1027"/>
        <v>83.594883722782598</v>
      </c>
      <c r="T1038">
        <f t="shared" si="1028"/>
        <v>8.3594883722782592E-2</v>
      </c>
    </row>
    <row r="1039" spans="1:20" x14ac:dyDescent="0.25">
      <c r="A1039" s="5">
        <v>43554</v>
      </c>
      <c r="B1039">
        <v>0.33389999999999997</v>
      </c>
      <c r="C1039">
        <v>0.34660000000000002</v>
      </c>
      <c r="D1039">
        <v>0.32779999999999998</v>
      </c>
      <c r="E1039">
        <v>0.33810000000000001</v>
      </c>
      <c r="F1039">
        <v>10183802.699999999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9.5744680851064898E-2</v>
      </c>
      <c r="Q1039">
        <f t="shared" si="1025"/>
        <v>975044.9393617129</v>
      </c>
      <c r="R1039">
        <f t="shared" si="1026"/>
        <v>2105233.2399803745</v>
      </c>
      <c r="S1039">
        <f t="shared" si="1027"/>
        <v>21.052332399803745</v>
      </c>
      <c r="T1039">
        <f t="shared" si="1028"/>
        <v>2.1052332399803746E-2</v>
      </c>
    </row>
    <row r="1040" spans="1:20" x14ac:dyDescent="0.25">
      <c r="A1040" s="5">
        <v>43553</v>
      </c>
      <c r="B1040">
        <v>0.3246</v>
      </c>
      <c r="C1040">
        <v>0.33529999999999999</v>
      </c>
      <c r="D1040">
        <v>0.32229999999999998</v>
      </c>
      <c r="E1040">
        <v>0.3337</v>
      </c>
      <c r="F1040">
        <v>7102039.4800000004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0.75384615384615561</v>
      </c>
      <c r="Q1040">
        <f t="shared" si="1025"/>
        <v>5353845.1464615511</v>
      </c>
      <c r="R1040">
        <f t="shared" si="1026"/>
        <v>1130188.3006186616</v>
      </c>
      <c r="S1040">
        <f t="shared" si="1027"/>
        <v>11.301883006186616</v>
      </c>
      <c r="T1040">
        <f t="shared" si="1028"/>
        <v>1.1301883006186616E-2</v>
      </c>
    </row>
    <row r="1041" spans="1:20" x14ac:dyDescent="0.25">
      <c r="A1041" s="5">
        <v>43552</v>
      </c>
      <c r="B1041">
        <v>0.32869999999999999</v>
      </c>
      <c r="C1041">
        <v>0.32900000000000001</v>
      </c>
      <c r="D1041">
        <v>0.31659999999999999</v>
      </c>
      <c r="E1041">
        <v>0.32469999999999999</v>
      </c>
      <c r="F1041">
        <v>6157863.1500000004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0.30645161290322287</v>
      </c>
      <c r="Q1041">
        <f t="shared" si="1025"/>
        <v>1887087.0943548207</v>
      </c>
      <c r="R1041">
        <f t="shared" si="1026"/>
        <v>-4223656.8458428895</v>
      </c>
      <c r="S1041">
        <f t="shared" si="1027"/>
        <v>-42.236568458428899</v>
      </c>
      <c r="T1041">
        <f t="shared" si="1028"/>
        <v>-4.2236568458428901E-2</v>
      </c>
    </row>
    <row r="1042" spans="1:20" x14ac:dyDescent="0.25">
      <c r="A1042" s="5">
        <v>43551</v>
      </c>
      <c r="B1042">
        <v>0.31090000000000001</v>
      </c>
      <c r="C1042">
        <v>0.3322</v>
      </c>
      <c r="D1042">
        <v>0.30990000000000001</v>
      </c>
      <c r="E1042">
        <v>0.32850000000000001</v>
      </c>
      <c r="F1042">
        <v>11844506.49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0.66816143497757996</v>
      </c>
      <c r="Q1042">
        <f t="shared" si="1025"/>
        <v>7914042.4529596586</v>
      </c>
      <c r="R1042">
        <f t="shared" si="1026"/>
        <v>-6110743.9401977099</v>
      </c>
      <c r="S1042">
        <f t="shared" si="1027"/>
        <v>-61.107439401977096</v>
      </c>
      <c r="T1042">
        <f t="shared" si="1028"/>
        <v>-6.1107439401977097E-2</v>
      </c>
    </row>
    <row r="1043" spans="1:20" x14ac:dyDescent="0.25">
      <c r="A1043" s="5">
        <v>43550</v>
      </c>
      <c r="B1043">
        <v>0.31709999999999999</v>
      </c>
      <c r="C1043">
        <v>0.3206</v>
      </c>
      <c r="D1043">
        <v>0.30130000000000001</v>
      </c>
      <c r="E1043">
        <v>0.31090000000000001</v>
      </c>
      <c r="F1043">
        <v>11530835.890000001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-5.1813471502585012E-3</v>
      </c>
      <c r="Q1043">
        <f t="shared" si="1025"/>
        <v>-59745.26367874995</v>
      </c>
      <c r="R1043">
        <f t="shared" si="1026"/>
        <v>-14024786.393157369</v>
      </c>
      <c r="S1043">
        <f t="shared" si="1027"/>
        <v>-140.24786393157368</v>
      </c>
      <c r="T1043">
        <f t="shared" si="1028"/>
        <v>-0.14024786393157368</v>
      </c>
    </row>
    <row r="1044" spans="1:20" x14ac:dyDescent="0.25">
      <c r="A1044" s="5">
        <v>43549</v>
      </c>
      <c r="B1044">
        <v>0.33829999999999999</v>
      </c>
      <c r="C1044">
        <v>0.35730000000000001</v>
      </c>
      <c r="D1044">
        <v>0.30009999999999998</v>
      </c>
      <c r="E1044">
        <v>0.31730000000000003</v>
      </c>
      <c r="F1044">
        <v>23295062.210000001</v>
      </c>
      <c r="G1044">
        <v>0</v>
      </c>
      <c r="L1044" t="s">
        <v>8</v>
      </c>
      <c r="M1044" t="s">
        <v>8</v>
      </c>
      <c r="N1044" t="s">
        <v>8</v>
      </c>
      <c r="P1044">
        <f t="shared" si="1024"/>
        <v>-0.39860139860139721</v>
      </c>
      <c r="Q1044">
        <f t="shared" si="1025"/>
        <v>-9285444.3774125557</v>
      </c>
      <c r="R1044">
        <f t="shared" si="1026"/>
        <v>-13965041.129478619</v>
      </c>
      <c r="S1044">
        <f t="shared" si="1027"/>
        <v>-139.65041129478618</v>
      </c>
      <c r="T1044">
        <f t="shared" si="1028"/>
        <v>-0.13965041129478617</v>
      </c>
    </row>
    <row r="1045" spans="1:20" x14ac:dyDescent="0.25">
      <c r="A1045" s="5">
        <v>43548</v>
      </c>
      <c r="B1045">
        <v>0.32479999999999998</v>
      </c>
      <c r="C1045">
        <v>0.35389999999999999</v>
      </c>
      <c r="D1045">
        <v>0.31709999999999999</v>
      </c>
      <c r="E1045">
        <v>0.3382</v>
      </c>
      <c r="F1045">
        <v>15092016.34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0.14673913043478304</v>
      </c>
      <c r="Q1045">
        <f t="shared" si="1025"/>
        <v>2214589.3542391369</v>
      </c>
      <c r="R1045">
        <f t="shared" si="1026"/>
        <v>-4679596.7520660628</v>
      </c>
      <c r="S1045">
        <f t="shared" si="1027"/>
        <v>-46.795967520660625</v>
      </c>
      <c r="T1045">
        <f t="shared" si="1028"/>
        <v>-4.6795967520660627E-2</v>
      </c>
    </row>
    <row r="1046" spans="1:20" x14ac:dyDescent="0.25">
      <c r="A1046" s="5">
        <v>43547</v>
      </c>
      <c r="B1046">
        <v>0.31900000000000001</v>
      </c>
      <c r="C1046">
        <v>0.32729999999999998</v>
      </c>
      <c r="D1046">
        <v>0.316</v>
      </c>
      <c r="E1046">
        <v>0.32490000000000002</v>
      </c>
      <c r="F1046">
        <v>7422833.2199999997</v>
      </c>
      <c r="G1046">
        <v>0</v>
      </c>
      <c r="L1046" t="s">
        <v>8</v>
      </c>
      <c r="M1046" t="s">
        <v>7</v>
      </c>
      <c r="N1046" t="s">
        <v>8</v>
      </c>
      <c r="P1046">
        <f t="shared" si="1024"/>
        <v>0.57522123893805965</v>
      </c>
      <c r="Q1046">
        <f t="shared" si="1025"/>
        <v>4269771.3212389862</v>
      </c>
      <c r="R1046">
        <f t="shared" si="1026"/>
        <v>-6894186.1063051997</v>
      </c>
      <c r="S1046">
        <f t="shared" si="1027"/>
        <v>-68.941861063052002</v>
      </c>
      <c r="T1046">
        <f t="shared" si="1028"/>
        <v>-6.8941861063052001E-2</v>
      </c>
    </row>
    <row r="1047" spans="1:20" x14ac:dyDescent="0.25">
      <c r="A1047" s="5">
        <v>43546</v>
      </c>
      <c r="B1047">
        <v>0.31609999999999999</v>
      </c>
      <c r="C1047">
        <v>0.32619999999999999</v>
      </c>
      <c r="D1047">
        <v>0.313</v>
      </c>
      <c r="E1047">
        <v>0.31879999999999997</v>
      </c>
      <c r="F1047">
        <v>7706604.21</v>
      </c>
      <c r="G1047">
        <v>0</v>
      </c>
      <c r="L1047" t="s">
        <v>8</v>
      </c>
      <c r="M1047" t="s">
        <v>7</v>
      </c>
      <c r="N1047" t="s">
        <v>8</v>
      </c>
      <c r="P1047">
        <f t="shared" si="1024"/>
        <v>-0.12121212121212478</v>
      </c>
      <c r="Q1047">
        <f t="shared" si="1025"/>
        <v>-934133.8436363911</v>
      </c>
      <c r="R1047">
        <f t="shared" si="1026"/>
        <v>-11163957.427544186</v>
      </c>
      <c r="S1047">
        <f t="shared" si="1027"/>
        <v>-111.63957427544186</v>
      </c>
      <c r="T1047">
        <f t="shared" si="1028"/>
        <v>-0.11163957427544186</v>
      </c>
    </row>
    <row r="1048" spans="1:20" x14ac:dyDescent="0.25">
      <c r="A1048" s="5">
        <v>43545</v>
      </c>
      <c r="B1048">
        <v>0.33589999999999998</v>
      </c>
      <c r="C1048">
        <v>0.34200000000000003</v>
      </c>
      <c r="D1048">
        <v>0.2913</v>
      </c>
      <c r="E1048">
        <v>0.31590000000000001</v>
      </c>
      <c r="F1048">
        <v>16519922.470000001</v>
      </c>
      <c r="G1048">
        <v>0</v>
      </c>
      <c r="L1048" t="s">
        <v>7</v>
      </c>
      <c r="M1048" t="s">
        <v>7</v>
      </c>
      <c r="N1048" t="s">
        <v>8</v>
      </c>
      <c r="P1048">
        <f t="shared" si="1024"/>
        <v>-2.958579881656806E-2</v>
      </c>
      <c r="Q1048">
        <f t="shared" si="1025"/>
        <v>-488755.10266272211</v>
      </c>
      <c r="R1048">
        <f t="shared" si="1026"/>
        <v>-10229823.583907794</v>
      </c>
      <c r="S1048">
        <f t="shared" si="1027"/>
        <v>-102.29823583907795</v>
      </c>
      <c r="T1048">
        <f t="shared" si="1028"/>
        <v>-0.10229823583907795</v>
      </c>
    </row>
    <row r="1049" spans="1:20" x14ac:dyDescent="0.25">
      <c r="A1049" s="5">
        <v>43544</v>
      </c>
      <c r="B1049">
        <v>0.34439999999999998</v>
      </c>
      <c r="C1049">
        <v>0.34520000000000001</v>
      </c>
      <c r="D1049">
        <v>0.3281</v>
      </c>
      <c r="E1049">
        <v>0.33610000000000001</v>
      </c>
      <c r="F1049">
        <v>9392057.0399999991</v>
      </c>
      <c r="G1049">
        <v>0</v>
      </c>
      <c r="L1049" t="s">
        <v>8</v>
      </c>
      <c r="M1049" t="s">
        <v>7</v>
      </c>
      <c r="N1049" t="s">
        <v>8</v>
      </c>
      <c r="P1049">
        <f t="shared" si="1024"/>
        <v>-6.4327485380116345E-2</v>
      </c>
      <c r="Q1049">
        <f t="shared" si="1025"/>
        <v>-604167.41192981869</v>
      </c>
      <c r="R1049">
        <f t="shared" si="1026"/>
        <v>-9741068.4812450726</v>
      </c>
      <c r="S1049">
        <f t="shared" si="1027"/>
        <v>-97.410684812450725</v>
      </c>
      <c r="T1049">
        <f t="shared" si="1028"/>
        <v>-9.7410684812450729E-2</v>
      </c>
    </row>
    <row r="1050" spans="1:20" x14ac:dyDescent="0.25">
      <c r="A1050" s="5">
        <v>43543</v>
      </c>
      <c r="B1050">
        <v>0.3271</v>
      </c>
      <c r="C1050">
        <v>0.34989999999999999</v>
      </c>
      <c r="D1050">
        <v>0.32540000000000002</v>
      </c>
      <c r="E1050">
        <v>0.34429999999999999</v>
      </c>
      <c r="F1050">
        <v>12277545.369999999</v>
      </c>
      <c r="G1050">
        <v>0</v>
      </c>
      <c r="L1050" t="s">
        <v>8</v>
      </c>
      <c r="M1050" t="s">
        <v>7</v>
      </c>
      <c r="N1050" t="s">
        <v>8</v>
      </c>
      <c r="P1050">
        <f t="shared" si="1024"/>
        <v>0.5428571428571427</v>
      </c>
      <c r="Q1050">
        <f t="shared" si="1025"/>
        <v>6664953.2008571401</v>
      </c>
      <c r="R1050">
        <f t="shared" si="1026"/>
        <v>-9136901.0693152547</v>
      </c>
      <c r="S1050">
        <f t="shared" si="1027"/>
        <v>-91.369010693152546</v>
      </c>
      <c r="T1050">
        <f t="shared" si="1028"/>
        <v>-9.136901069315255E-2</v>
      </c>
    </row>
    <row r="1051" spans="1:20" x14ac:dyDescent="0.25">
      <c r="A1051" s="5">
        <v>43542</v>
      </c>
      <c r="B1051">
        <v>0.33139999999999997</v>
      </c>
      <c r="C1051">
        <v>0.34</v>
      </c>
      <c r="D1051">
        <v>0.32029999999999997</v>
      </c>
      <c r="E1051">
        <v>0.3271</v>
      </c>
      <c r="F1051">
        <v>6935444.1200000001</v>
      </c>
      <c r="G1051">
        <v>0</v>
      </c>
      <c r="L1051" t="s">
        <v>7</v>
      </c>
      <c r="M1051" t="s">
        <v>7</v>
      </c>
      <c r="N1051" t="s">
        <v>8</v>
      </c>
      <c r="P1051">
        <f t="shared" si="1024"/>
        <v>-0.30964467005076035</v>
      </c>
      <c r="Q1051">
        <f t="shared" si="1025"/>
        <v>-2147523.3061928861</v>
      </c>
      <c r="R1051">
        <f t="shared" si="1026"/>
        <v>-15801854.270172395</v>
      </c>
      <c r="S1051">
        <f t="shared" si="1027"/>
        <v>-158.01854270172396</v>
      </c>
      <c r="T1051">
        <f t="shared" si="1028"/>
        <v>-0.15801854270172397</v>
      </c>
    </row>
    <row r="1052" spans="1:20" x14ac:dyDescent="0.25">
      <c r="A1052" s="5">
        <v>43541</v>
      </c>
      <c r="B1052">
        <v>0.33960000000000001</v>
      </c>
      <c r="C1052">
        <v>0.33979999999999999</v>
      </c>
      <c r="D1052">
        <v>0.32019999999999998</v>
      </c>
      <c r="E1052">
        <v>0.33139999999999997</v>
      </c>
      <c r="F1052">
        <v>5849820.6900000004</v>
      </c>
      <c r="G1052">
        <v>0</v>
      </c>
      <c r="L1052" t="s">
        <v>7</v>
      </c>
      <c r="M1052" t="s">
        <v>7</v>
      </c>
      <c r="N1052" t="s">
        <v>8</v>
      </c>
      <c r="P1052">
        <f t="shared" si="1024"/>
        <v>0.14285714285714124</v>
      </c>
      <c r="Q1052">
        <f t="shared" si="1025"/>
        <v>835688.66999999061</v>
      </c>
      <c r="R1052">
        <f t="shared" si="1026"/>
        <v>-13654330.963979509</v>
      </c>
      <c r="S1052">
        <f t="shared" si="1027"/>
        <v>-136.5433096397951</v>
      </c>
      <c r="T1052">
        <f t="shared" si="1028"/>
        <v>-0.13654330963979511</v>
      </c>
    </row>
    <row r="1053" spans="1:20" x14ac:dyDescent="0.25">
      <c r="A1053" s="5">
        <v>43540</v>
      </c>
      <c r="B1053">
        <v>0.3392</v>
      </c>
      <c r="C1053">
        <v>0.34489999999999998</v>
      </c>
      <c r="D1053">
        <v>0.3291</v>
      </c>
      <c r="E1053">
        <v>0.33950000000000002</v>
      </c>
      <c r="F1053">
        <v>7372958.6799999997</v>
      </c>
      <c r="G1053">
        <v>0</v>
      </c>
      <c r="L1053" t="s">
        <v>8</v>
      </c>
      <c r="M1053" t="s">
        <v>7</v>
      </c>
      <c r="N1053" t="s">
        <v>8</v>
      </c>
      <c r="P1053">
        <f t="shared" si="1024"/>
        <v>0.31645569620253583</v>
      </c>
      <c r="Q1053">
        <f t="shared" si="1025"/>
        <v>2333214.7721519293</v>
      </c>
      <c r="R1053">
        <f t="shared" si="1026"/>
        <v>-14490019.633979499</v>
      </c>
      <c r="S1053">
        <f t="shared" si="1027"/>
        <v>-144.900196339795</v>
      </c>
      <c r="T1053">
        <f t="shared" si="1028"/>
        <v>-0.14490019633979501</v>
      </c>
    </row>
    <row r="1054" spans="1:20" x14ac:dyDescent="0.25">
      <c r="A1054" s="5">
        <v>43539</v>
      </c>
      <c r="B1054">
        <v>0.3301</v>
      </c>
      <c r="C1054">
        <v>0.34810000000000002</v>
      </c>
      <c r="D1054">
        <v>0.3241</v>
      </c>
      <c r="E1054">
        <v>0.33929999999999999</v>
      </c>
      <c r="F1054">
        <v>7150387.7999999998</v>
      </c>
      <c r="G1054">
        <v>0</v>
      </c>
      <c r="L1054" t="s">
        <v>8</v>
      </c>
      <c r="M1054" t="s">
        <v>7</v>
      </c>
      <c r="N1054" t="s">
        <v>8</v>
      </c>
      <c r="P1054">
        <f t="shared" si="1024"/>
        <v>0.26666666666666483</v>
      </c>
      <c r="Q1054">
        <f t="shared" si="1025"/>
        <v>1906770.0799999868</v>
      </c>
      <c r="R1054">
        <f t="shared" si="1026"/>
        <v>-16823234.406131428</v>
      </c>
      <c r="S1054">
        <f t="shared" si="1027"/>
        <v>-168.23234406131428</v>
      </c>
      <c r="T1054">
        <f t="shared" si="1028"/>
        <v>-0.16823234406131429</v>
      </c>
    </row>
    <row r="1055" spans="1:20" x14ac:dyDescent="0.25">
      <c r="A1055" s="5">
        <v>43538</v>
      </c>
      <c r="B1055">
        <v>0.32990000000000003</v>
      </c>
      <c r="C1055">
        <v>0.33500000000000002</v>
      </c>
      <c r="D1055">
        <v>0.314</v>
      </c>
      <c r="E1055">
        <v>0.3296</v>
      </c>
      <c r="F1055">
        <v>8320170.3200000003</v>
      </c>
      <c r="G1055">
        <v>0</v>
      </c>
      <c r="L1055" t="s">
        <v>7</v>
      </c>
      <c r="M1055" t="s">
        <v>7</v>
      </c>
      <c r="N1055" t="s">
        <v>8</v>
      </c>
      <c r="P1055">
        <f t="shared" si="1024"/>
        <v>0.48571428571428465</v>
      </c>
      <c r="Q1055">
        <f t="shared" si="1025"/>
        <v>4041225.5839999914</v>
      </c>
      <c r="R1055">
        <f t="shared" si="1026"/>
        <v>-18730004.486131415</v>
      </c>
      <c r="S1055">
        <f t="shared" si="1027"/>
        <v>-187.30004486131415</v>
      </c>
      <c r="T1055">
        <f t="shared" si="1028"/>
        <v>-0.18730004486131416</v>
      </c>
    </row>
    <row r="1056" spans="1:20" x14ac:dyDescent="0.25">
      <c r="A1056" s="5">
        <v>43537</v>
      </c>
      <c r="B1056">
        <v>0.34200000000000003</v>
      </c>
      <c r="C1056">
        <v>0.3548</v>
      </c>
      <c r="D1056">
        <v>0.32350000000000001</v>
      </c>
      <c r="E1056">
        <v>0.32969999999999999</v>
      </c>
      <c r="F1056">
        <v>9971059.0700000003</v>
      </c>
      <c r="G1056">
        <v>0</v>
      </c>
      <c r="L1056" t="s">
        <v>7</v>
      </c>
      <c r="M1056" t="s">
        <v>7</v>
      </c>
      <c r="N1056" t="s">
        <v>8</v>
      </c>
      <c r="P1056">
        <f t="shared" si="1024"/>
        <v>-0.60383386581469745</v>
      </c>
      <c r="Q1056">
        <f t="shared" si="1025"/>
        <v>-6020863.1445048023</v>
      </c>
      <c r="R1056">
        <f t="shared" si="1026"/>
        <v>-22771230.070131406</v>
      </c>
      <c r="S1056">
        <f t="shared" si="1027"/>
        <v>-227.71230070131406</v>
      </c>
      <c r="T1056">
        <f t="shared" si="1028"/>
        <v>-0.22771230070131407</v>
      </c>
    </row>
    <row r="1057" spans="1:20" x14ac:dyDescent="0.25">
      <c r="A1057" s="5">
        <v>43536</v>
      </c>
      <c r="B1057">
        <v>0.32640000000000002</v>
      </c>
      <c r="C1057">
        <v>0.36</v>
      </c>
      <c r="D1057">
        <v>0.311</v>
      </c>
      <c r="E1057">
        <v>0.34160000000000001</v>
      </c>
      <c r="F1057">
        <v>11721830.470000001</v>
      </c>
      <c r="G1057">
        <v>0</v>
      </c>
      <c r="L1057" t="s">
        <v>8</v>
      </c>
      <c r="M1057" t="s">
        <v>7</v>
      </c>
      <c r="N1057" t="s">
        <v>8</v>
      </c>
      <c r="P1057">
        <f t="shared" si="1024"/>
        <v>0.24897959183673565</v>
      </c>
      <c r="Q1057">
        <f t="shared" si="1025"/>
        <v>2918496.5660000113</v>
      </c>
      <c r="R1057">
        <f t="shared" si="1026"/>
        <v>-16750366.925626602</v>
      </c>
      <c r="S1057">
        <f t="shared" si="1027"/>
        <v>-167.50366925626602</v>
      </c>
      <c r="T1057">
        <f t="shared" si="1028"/>
        <v>-0.16750366925626603</v>
      </c>
    </row>
    <row r="1058" spans="1:20" x14ac:dyDescent="0.25">
      <c r="A1058" s="5">
        <v>43535</v>
      </c>
      <c r="B1058">
        <v>0.35410000000000003</v>
      </c>
      <c r="C1058">
        <v>0.3574</v>
      </c>
      <c r="D1058">
        <v>0.314</v>
      </c>
      <c r="E1058">
        <v>0.32669999999999999</v>
      </c>
      <c r="F1058">
        <v>14379467.939999999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-0.41474654377880227</v>
      </c>
      <c r="Q1058">
        <f t="shared" si="1025"/>
        <v>-5963834.6294930931</v>
      </c>
      <c r="R1058">
        <f t="shared" si="1026"/>
        <v>-19668863.491626613</v>
      </c>
      <c r="S1058">
        <f t="shared" si="1027"/>
        <v>-196.68863491626612</v>
      </c>
      <c r="T1058">
        <f t="shared" si="1028"/>
        <v>-0.19668863491626612</v>
      </c>
    </row>
    <row r="1059" spans="1:20" x14ac:dyDescent="0.25">
      <c r="A1059" s="5">
        <v>43534</v>
      </c>
      <c r="B1059">
        <v>0.38030000000000003</v>
      </c>
      <c r="C1059">
        <v>0.38869999999999999</v>
      </c>
      <c r="D1059">
        <v>0.3372</v>
      </c>
      <c r="E1059">
        <v>0.35399999999999998</v>
      </c>
      <c r="F1059">
        <v>21479552.390000001</v>
      </c>
      <c r="G1059">
        <v>0</v>
      </c>
      <c r="L1059" t="s">
        <v>8</v>
      </c>
      <c r="M1059" t="s">
        <v>8</v>
      </c>
      <c r="N1059" t="s">
        <v>8</v>
      </c>
      <c r="P1059">
        <f t="shared" si="1024"/>
        <v>-0.34757281553398117</v>
      </c>
      <c r="Q1059">
        <f t="shared" si="1025"/>
        <v>-7465708.5006019548</v>
      </c>
      <c r="R1059">
        <f t="shared" si="1026"/>
        <v>-13705028.862133518</v>
      </c>
      <c r="S1059">
        <f t="shared" si="1027"/>
        <v>-137.05028862133517</v>
      </c>
      <c r="T1059">
        <f t="shared" si="1028"/>
        <v>-0.13705028862133517</v>
      </c>
    </row>
    <row r="1060" spans="1:20" x14ac:dyDescent="0.25">
      <c r="A1060" s="5">
        <v>43533</v>
      </c>
      <c r="B1060">
        <v>0.32079999999999997</v>
      </c>
      <c r="C1060">
        <v>0.3821</v>
      </c>
      <c r="D1060">
        <v>0.31369999999999998</v>
      </c>
      <c r="E1060">
        <v>0.38</v>
      </c>
      <c r="F1060">
        <v>31654591.559999999</v>
      </c>
      <c r="G1060">
        <v>0</v>
      </c>
      <c r="L1060" t="s">
        <v>8</v>
      </c>
      <c r="M1060" t="s">
        <v>8</v>
      </c>
      <c r="N1060" t="s">
        <v>8</v>
      </c>
      <c r="P1060">
        <f t="shared" si="1024"/>
        <v>0.93859649122807043</v>
      </c>
      <c r="Q1060">
        <f t="shared" si="1025"/>
        <v>29710888.569473691</v>
      </c>
      <c r="R1060">
        <f t="shared" si="1026"/>
        <v>-6239320.3615315631</v>
      </c>
      <c r="S1060">
        <f t="shared" si="1027"/>
        <v>-62.393203615315628</v>
      </c>
      <c r="T1060">
        <f t="shared" si="1028"/>
        <v>-6.2393203615315626E-2</v>
      </c>
    </row>
    <row r="1061" spans="1:20" x14ac:dyDescent="0.25">
      <c r="A1061" s="5">
        <v>43532</v>
      </c>
      <c r="B1061">
        <v>0.32090000000000002</v>
      </c>
      <c r="C1061">
        <v>0.34899999999999998</v>
      </c>
      <c r="D1061">
        <v>0.30480000000000002</v>
      </c>
      <c r="E1061">
        <v>0.32079999999999997</v>
      </c>
      <c r="F1061">
        <v>30454688.780000001</v>
      </c>
      <c r="G1061">
        <v>0</v>
      </c>
      <c r="L1061" t="s">
        <v>8</v>
      </c>
      <c r="M1061" t="s">
        <v>8</v>
      </c>
      <c r="N1061" t="s">
        <v>8</v>
      </c>
      <c r="P1061">
        <f t="shared" si="1024"/>
        <v>-0.27601809954751255</v>
      </c>
      <c r="Q1061">
        <f t="shared" si="1025"/>
        <v>-8406045.3193665538</v>
      </c>
      <c r="R1061">
        <f t="shared" si="1026"/>
        <v>-35950208.931005254</v>
      </c>
      <c r="S1061">
        <f t="shared" si="1027"/>
        <v>-359.50208931005255</v>
      </c>
      <c r="T1061">
        <f t="shared" si="1028"/>
        <v>-0.35950208931005256</v>
      </c>
    </row>
    <row r="1062" spans="1:20" x14ac:dyDescent="0.25">
      <c r="A1062" s="5">
        <v>43531</v>
      </c>
      <c r="B1062">
        <v>0.28149999999999997</v>
      </c>
      <c r="C1062">
        <v>0.33800000000000002</v>
      </c>
      <c r="D1062">
        <v>0.27889999999999998</v>
      </c>
      <c r="E1062">
        <v>0.32100000000000001</v>
      </c>
      <c r="F1062">
        <v>29704569.039999999</v>
      </c>
      <c r="G1062">
        <v>0</v>
      </c>
      <c r="L1062" t="s">
        <v>8</v>
      </c>
      <c r="M1062" t="s">
        <v>8</v>
      </c>
      <c r="N1062" t="s">
        <v>8</v>
      </c>
      <c r="P1062">
        <f t="shared" si="1024"/>
        <v>0.42470389170896772</v>
      </c>
      <c r="Q1062">
        <f t="shared" si="1025"/>
        <v>12615646.072825715</v>
      </c>
      <c r="R1062">
        <f t="shared" si="1026"/>
        <v>-27544163.611638702</v>
      </c>
      <c r="S1062">
        <f t="shared" si="1027"/>
        <v>-275.44163611638703</v>
      </c>
      <c r="T1062">
        <f t="shared" si="1028"/>
        <v>-0.27544163611638706</v>
      </c>
    </row>
    <row r="1063" spans="1:20" x14ac:dyDescent="0.25">
      <c r="A1063" s="5">
        <v>43530</v>
      </c>
      <c r="B1063">
        <v>0.2853</v>
      </c>
      <c r="C1063">
        <v>0.28789999999999999</v>
      </c>
      <c r="D1063">
        <v>0.2762</v>
      </c>
      <c r="E1063">
        <v>0.28149999999999997</v>
      </c>
      <c r="F1063">
        <v>8600164.3000000007</v>
      </c>
      <c r="G1063">
        <v>0</v>
      </c>
      <c r="L1063" t="s">
        <v>8</v>
      </c>
      <c r="M1063" t="s">
        <v>7</v>
      </c>
      <c r="N1063" t="s">
        <v>8</v>
      </c>
      <c r="P1063">
        <f t="shared" si="1024"/>
        <v>-9.4017094017097985E-2</v>
      </c>
      <c r="Q1063">
        <f t="shared" si="1025"/>
        <v>-808562.45555558975</v>
      </c>
      <c r="R1063">
        <f t="shared" si="1026"/>
        <v>-40159809.684464417</v>
      </c>
      <c r="S1063">
        <f t="shared" si="1027"/>
        <v>-401.59809684464415</v>
      </c>
      <c r="T1063">
        <f t="shared" si="1028"/>
        <v>-0.40159809684464415</v>
      </c>
    </row>
    <row r="1064" spans="1:20" x14ac:dyDescent="0.25">
      <c r="A1064" s="5">
        <v>43529</v>
      </c>
      <c r="B1064">
        <v>0.26769999999999999</v>
      </c>
      <c r="C1064">
        <v>0.29380000000000001</v>
      </c>
      <c r="D1064">
        <v>0.26</v>
      </c>
      <c r="E1064">
        <v>0.28549999999999998</v>
      </c>
      <c r="F1064">
        <v>12782687.189999999</v>
      </c>
      <c r="G1064">
        <v>0</v>
      </c>
      <c r="L1064" t="s">
        <v>8</v>
      </c>
      <c r="M1064" t="s">
        <v>7</v>
      </c>
      <c r="N1064" t="s">
        <v>8</v>
      </c>
      <c r="P1064">
        <f t="shared" si="1024"/>
        <v>0.50887573964496857</v>
      </c>
      <c r="Q1064">
        <f t="shared" si="1025"/>
        <v>6504799.3984615151</v>
      </c>
      <c r="R1064">
        <f t="shared" si="1026"/>
        <v>-39351247.228908829</v>
      </c>
      <c r="S1064">
        <f t="shared" si="1027"/>
        <v>-393.51247228908829</v>
      </c>
      <c r="T1064">
        <f t="shared" si="1028"/>
        <v>-0.39351247228908831</v>
      </c>
    </row>
    <row r="1065" spans="1:20" x14ac:dyDescent="0.25">
      <c r="A1065" s="5">
        <v>43528</v>
      </c>
      <c r="B1065">
        <v>0.2792</v>
      </c>
      <c r="C1065">
        <v>0.28139999999999998</v>
      </c>
      <c r="D1065">
        <v>0.25690000000000002</v>
      </c>
      <c r="E1065">
        <v>0.26779999999999998</v>
      </c>
      <c r="F1065">
        <v>12579187.57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-0.11020408163265467</v>
      </c>
      <c r="Q1065">
        <f t="shared" si="1025"/>
        <v>-1386277.813836755</v>
      </c>
      <c r="R1065">
        <f t="shared" si="1026"/>
        <v>-45856046.627370343</v>
      </c>
      <c r="S1065">
        <f t="shared" si="1027"/>
        <v>-458.56046627370341</v>
      </c>
      <c r="T1065">
        <f t="shared" si="1028"/>
        <v>-0.45856046627370339</v>
      </c>
    </row>
    <row r="1066" spans="1:20" x14ac:dyDescent="0.25">
      <c r="A1066" s="5">
        <v>43527</v>
      </c>
      <c r="B1066">
        <v>0.27989999999999998</v>
      </c>
      <c r="C1066">
        <v>0.2959</v>
      </c>
      <c r="D1066">
        <v>0.27679999999999999</v>
      </c>
      <c r="E1066">
        <v>0.28010000000000002</v>
      </c>
      <c r="F1066">
        <v>10423399.640000001</v>
      </c>
      <c r="G1066">
        <v>0</v>
      </c>
      <c r="L1066" t="s">
        <v>8</v>
      </c>
      <c r="M1066" t="s">
        <v>8</v>
      </c>
      <c r="N1066" t="s">
        <v>8</v>
      </c>
      <c r="P1066">
        <f t="shared" si="1024"/>
        <v>-0.65445026178010224</v>
      </c>
      <c r="Q1066">
        <f t="shared" si="1025"/>
        <v>-6821596.6230366239</v>
      </c>
      <c r="R1066">
        <f t="shared" si="1026"/>
        <v>-44469768.813533589</v>
      </c>
      <c r="S1066">
        <f t="shared" si="1027"/>
        <v>-444.69768813533591</v>
      </c>
      <c r="T1066">
        <f t="shared" si="1028"/>
        <v>-0.44469768813533589</v>
      </c>
    </row>
    <row r="1067" spans="1:20" x14ac:dyDescent="0.25">
      <c r="A1067" s="5">
        <v>43526</v>
      </c>
      <c r="B1067">
        <v>0.29120000000000001</v>
      </c>
      <c r="C1067">
        <v>0.29199999999999998</v>
      </c>
      <c r="D1067">
        <v>0.27510000000000001</v>
      </c>
      <c r="E1067">
        <v>0.27989999999999998</v>
      </c>
      <c r="F1067">
        <v>12845678.65</v>
      </c>
      <c r="G1067">
        <v>0</v>
      </c>
      <c r="L1067" t="s">
        <v>7</v>
      </c>
      <c r="M1067" t="s">
        <v>8</v>
      </c>
      <c r="N1067" t="s">
        <v>8</v>
      </c>
      <c r="P1067">
        <f t="shared" si="1024"/>
        <v>-0.43195266272189592</v>
      </c>
      <c r="Q1067">
        <f t="shared" si="1025"/>
        <v>-5548725.0973373093</v>
      </c>
      <c r="R1067">
        <f t="shared" si="1026"/>
        <v>-37648172.190496966</v>
      </c>
      <c r="S1067">
        <f t="shared" si="1027"/>
        <v>-376.48172190496967</v>
      </c>
      <c r="T1067">
        <f t="shared" si="1028"/>
        <v>-0.3764817219049697</v>
      </c>
    </row>
    <row r="1068" spans="1:20" x14ac:dyDescent="0.25">
      <c r="A1068" s="5">
        <v>43525</v>
      </c>
      <c r="B1068">
        <v>0.28699999999999998</v>
      </c>
      <c r="C1068">
        <v>0.315</v>
      </c>
      <c r="D1068">
        <v>0.28639999999999999</v>
      </c>
      <c r="E1068">
        <v>0.29089999999999999</v>
      </c>
      <c r="F1068">
        <v>24003545.41</v>
      </c>
      <c r="G1068">
        <v>0</v>
      </c>
      <c r="L1068" t="s">
        <v>8</v>
      </c>
      <c r="M1068" t="s">
        <v>8</v>
      </c>
      <c r="N1068" t="s">
        <v>8</v>
      </c>
      <c r="P1068">
        <f t="shared" si="1024"/>
        <v>-0.6853146853146852</v>
      </c>
      <c r="Q1068">
        <f t="shared" si="1025"/>
        <v>-16449982.169090906</v>
      </c>
      <c r="R1068">
        <f t="shared" si="1026"/>
        <v>-32099447.093159661</v>
      </c>
      <c r="S1068">
        <f t="shared" si="1027"/>
        <v>-320.9944709315966</v>
      </c>
      <c r="T1068">
        <f t="shared" si="1028"/>
        <v>-0.32099447093159661</v>
      </c>
    </row>
    <row r="1069" spans="1:20" x14ac:dyDescent="0.25">
      <c r="A1069" s="5">
        <v>43524</v>
      </c>
      <c r="B1069">
        <v>0.27279999999999999</v>
      </c>
      <c r="C1069">
        <v>0.30399999999999999</v>
      </c>
      <c r="D1069">
        <v>0.26829999999999998</v>
      </c>
      <c r="E1069">
        <v>0.28799999999999998</v>
      </c>
      <c r="F1069">
        <v>25261892.170000002</v>
      </c>
      <c r="G1069">
        <v>0</v>
      </c>
      <c r="L1069" t="s">
        <v>8</v>
      </c>
      <c r="M1069" t="s">
        <v>8</v>
      </c>
      <c r="N1069" t="s">
        <v>8</v>
      </c>
      <c r="P1069">
        <f t="shared" si="1024"/>
        <v>0.10364145658263249</v>
      </c>
      <c r="Q1069">
        <f t="shared" si="1025"/>
        <v>2618179.300532199</v>
      </c>
      <c r="R1069">
        <f t="shared" si="1026"/>
        <v>-15649464.924068753</v>
      </c>
      <c r="S1069">
        <f t="shared" si="1027"/>
        <v>-156.49464924068752</v>
      </c>
      <c r="T1069">
        <f t="shared" si="1028"/>
        <v>-0.15649464924068751</v>
      </c>
    </row>
    <row r="1070" spans="1:20" x14ac:dyDescent="0.25">
      <c r="A1070" s="5">
        <v>43523</v>
      </c>
      <c r="B1070">
        <v>0.26719999999999999</v>
      </c>
      <c r="C1070">
        <v>0.28000000000000003</v>
      </c>
      <c r="D1070">
        <v>0.25690000000000002</v>
      </c>
      <c r="E1070">
        <v>0.27310000000000001</v>
      </c>
      <c r="F1070">
        <v>18006208.59</v>
      </c>
      <c r="G1070">
        <v>0</v>
      </c>
      <c r="L1070" t="s">
        <v>7</v>
      </c>
      <c r="M1070" t="s">
        <v>8</v>
      </c>
      <c r="N1070" t="s">
        <v>8</v>
      </c>
      <c r="P1070">
        <f t="shared" si="1024"/>
        <v>0.40259740259740134</v>
      </c>
      <c r="Q1070">
        <f t="shared" si="1025"/>
        <v>7249252.8089610161</v>
      </c>
      <c r="R1070">
        <f t="shared" si="1026"/>
        <v>-18267644.224600952</v>
      </c>
      <c r="S1070">
        <f t="shared" si="1027"/>
        <v>-182.67644224600951</v>
      </c>
      <c r="T1070">
        <f t="shared" si="1028"/>
        <v>-0.18267644224600951</v>
      </c>
    </row>
    <row r="1071" spans="1:20" x14ac:dyDescent="0.25">
      <c r="A1071" s="5">
        <v>43522</v>
      </c>
      <c r="B1071">
        <v>0.24829999999999999</v>
      </c>
      <c r="C1071">
        <v>0.28999999999999998</v>
      </c>
      <c r="D1071">
        <v>0.245</v>
      </c>
      <c r="E1071">
        <v>0.2671</v>
      </c>
      <c r="F1071">
        <v>30931590.07</v>
      </c>
      <c r="G1071">
        <v>0</v>
      </c>
      <c r="L1071" t="s">
        <v>8</v>
      </c>
      <c r="M1071" t="s">
        <v>8</v>
      </c>
      <c r="N1071" t="s">
        <v>8</v>
      </c>
      <c r="P1071">
        <f t="shared" si="1024"/>
        <v>-1.777777777777706E-2</v>
      </c>
      <c r="Q1071">
        <f t="shared" si="1025"/>
        <v>-549894.93457775551</v>
      </c>
      <c r="R1071">
        <f t="shared" si="1026"/>
        <v>-25516897.033561967</v>
      </c>
      <c r="S1071">
        <f t="shared" si="1027"/>
        <v>-255.16897033561966</v>
      </c>
      <c r="T1071">
        <f t="shared" si="1028"/>
        <v>-0.25516897033561964</v>
      </c>
    </row>
    <row r="1072" spans="1:20" x14ac:dyDescent="0.25">
      <c r="A1072" s="5">
        <v>43521</v>
      </c>
      <c r="B1072">
        <v>0.23230000000000001</v>
      </c>
      <c r="C1072">
        <v>0.251</v>
      </c>
      <c r="D1072">
        <v>0.23230000000000001</v>
      </c>
      <c r="E1072">
        <v>0.24829999999999999</v>
      </c>
      <c r="F1072">
        <v>10617448.060000001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0.71122994652406324</v>
      </c>
      <c r="Q1072">
        <f t="shared" si="1025"/>
        <v>7551447.0159358196</v>
      </c>
      <c r="R1072">
        <f t="shared" si="1026"/>
        <v>-24967002.098984212</v>
      </c>
      <c r="S1072">
        <f t="shared" si="1027"/>
        <v>-249.67002098984213</v>
      </c>
      <c r="T1072">
        <f t="shared" si="1028"/>
        <v>-0.24967002098984212</v>
      </c>
    </row>
    <row r="1073" spans="1:20" x14ac:dyDescent="0.25">
      <c r="A1073" s="5">
        <v>43520</v>
      </c>
      <c r="B1073">
        <v>0.2762</v>
      </c>
      <c r="C1073">
        <v>0.28999999999999998</v>
      </c>
      <c r="D1073">
        <v>0.23069999999999999</v>
      </c>
      <c r="E1073">
        <v>0.2324</v>
      </c>
      <c r="F1073">
        <v>23799463.59</v>
      </c>
      <c r="G1073">
        <v>0</v>
      </c>
      <c r="L1073" t="s">
        <v>8</v>
      </c>
      <c r="M1073" t="s">
        <v>8</v>
      </c>
      <c r="N1073" t="s">
        <v>8</v>
      </c>
      <c r="P1073">
        <f t="shared" si="1024"/>
        <v>-0.94266441821247871</v>
      </c>
      <c r="Q1073">
        <f t="shared" si="1025"/>
        <v>-22434907.49883642</v>
      </c>
      <c r="R1073">
        <f t="shared" si="1026"/>
        <v>-32518449.114920031</v>
      </c>
      <c r="S1073">
        <f t="shared" si="1027"/>
        <v>-325.18449114920031</v>
      </c>
      <c r="T1073">
        <f t="shared" si="1028"/>
        <v>-0.32518449114920034</v>
      </c>
    </row>
    <row r="1074" spans="1:20" x14ac:dyDescent="0.25">
      <c r="A1074" s="5">
        <v>43519</v>
      </c>
      <c r="B1074">
        <v>0.25130000000000002</v>
      </c>
      <c r="C1074">
        <v>0.27700000000000002</v>
      </c>
      <c r="D1074">
        <v>0.24629999999999999</v>
      </c>
      <c r="E1074">
        <v>0.27660000000000001</v>
      </c>
      <c r="F1074">
        <v>15462177.039999999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0.97394136807817522</v>
      </c>
      <c r="Q1074">
        <f t="shared" si="1025"/>
        <v>15059253.859804548</v>
      </c>
      <c r="R1074">
        <f t="shared" si="1026"/>
        <v>-10083541.616083611</v>
      </c>
      <c r="S1074">
        <f t="shared" si="1027"/>
        <v>-100.8354161608361</v>
      </c>
      <c r="T1074">
        <f t="shared" si="1028"/>
        <v>-0.10083541616083611</v>
      </c>
    </row>
    <row r="1075" spans="1:20" x14ac:dyDescent="0.25">
      <c r="A1075" s="5">
        <v>43518</v>
      </c>
      <c r="B1075">
        <v>0.2432</v>
      </c>
      <c r="C1075">
        <v>0.25259999999999999</v>
      </c>
      <c r="D1075">
        <v>0.24099999999999999</v>
      </c>
      <c r="E1075">
        <v>0.25109999999999999</v>
      </c>
      <c r="F1075">
        <v>6320801.0999999996</v>
      </c>
      <c r="G1075">
        <v>0</v>
      </c>
      <c r="L1075" t="s">
        <v>8</v>
      </c>
      <c r="M1075" t="s">
        <v>8</v>
      </c>
      <c r="N1075" t="s">
        <v>7</v>
      </c>
      <c r="P1075">
        <f t="shared" si="1024"/>
        <v>0.74137931034482729</v>
      </c>
      <c r="Q1075">
        <f t="shared" si="1025"/>
        <v>4686111.1603448251</v>
      </c>
      <c r="R1075">
        <f t="shared" si="1026"/>
        <v>-25142795.475888159</v>
      </c>
      <c r="S1075">
        <f t="shared" si="1027"/>
        <v>-251.42795475888158</v>
      </c>
      <c r="T1075">
        <f t="shared" si="1028"/>
        <v>-0.25142795475888158</v>
      </c>
    </row>
    <row r="1076" spans="1:20" x14ac:dyDescent="0.25">
      <c r="A1076" s="5">
        <v>43517</v>
      </c>
      <c r="B1076">
        <v>0.2422</v>
      </c>
      <c r="C1076">
        <v>0.254</v>
      </c>
      <c r="D1076">
        <v>0.23880000000000001</v>
      </c>
      <c r="E1076">
        <v>0.24260000000000001</v>
      </c>
      <c r="F1076">
        <v>10013361.24</v>
      </c>
      <c r="G1076">
        <v>0</v>
      </c>
      <c r="L1076" t="s">
        <v>8</v>
      </c>
      <c r="M1076" t="s">
        <v>8</v>
      </c>
      <c r="N1076" t="s">
        <v>7</v>
      </c>
      <c r="P1076">
        <f t="shared" si="1024"/>
        <v>-0.5</v>
      </c>
      <c r="Q1076">
        <f t="shared" si="1025"/>
        <v>-5006680.62</v>
      </c>
      <c r="R1076">
        <f t="shared" si="1026"/>
        <v>-29828906.636232983</v>
      </c>
      <c r="S1076">
        <f t="shared" si="1027"/>
        <v>-298.28906636232983</v>
      </c>
      <c r="T1076">
        <f t="shared" si="1028"/>
        <v>-0.29828906636232982</v>
      </c>
    </row>
    <row r="1077" spans="1:20" x14ac:dyDescent="0.25">
      <c r="A1077" s="5">
        <v>43516</v>
      </c>
      <c r="B1077">
        <v>0.23799999999999999</v>
      </c>
      <c r="C1077">
        <v>0.245</v>
      </c>
      <c r="D1077">
        <v>0.23200000000000001</v>
      </c>
      <c r="E1077">
        <v>0.2424</v>
      </c>
      <c r="F1077">
        <v>9666269.2100000009</v>
      </c>
      <c r="G1077">
        <v>0</v>
      </c>
      <c r="L1077" t="s">
        <v>7</v>
      </c>
      <c r="M1077" t="s">
        <v>8</v>
      </c>
      <c r="N1077" t="s">
        <v>7</v>
      </c>
      <c r="P1077">
        <f t="shared" si="1024"/>
        <v>0.60000000000000087</v>
      </c>
      <c r="Q1077">
        <f t="shared" si="1025"/>
        <v>5799761.5260000089</v>
      </c>
      <c r="R1077">
        <f t="shared" si="1026"/>
        <v>-24822226.016232982</v>
      </c>
      <c r="S1077">
        <f t="shared" si="1027"/>
        <v>-248.22226016232983</v>
      </c>
      <c r="T1077">
        <f t="shared" si="1028"/>
        <v>-0.24822226016232984</v>
      </c>
    </row>
    <row r="1078" spans="1:20" x14ac:dyDescent="0.25">
      <c r="A1078" s="5">
        <v>43515</v>
      </c>
      <c r="B1078">
        <v>0.2429</v>
      </c>
      <c r="C1078">
        <v>0.24679999999999999</v>
      </c>
      <c r="D1078">
        <v>0.23089999999999999</v>
      </c>
      <c r="E1078">
        <v>0.23830000000000001</v>
      </c>
      <c r="F1078">
        <v>14064209.310000001</v>
      </c>
      <c r="G1078">
        <v>0</v>
      </c>
      <c r="L1078" t="s">
        <v>7</v>
      </c>
      <c r="M1078" t="s">
        <v>8</v>
      </c>
      <c r="N1078" t="s">
        <v>7</v>
      </c>
      <c r="P1078">
        <f t="shared" si="1024"/>
        <v>-6.9182389937104544E-2</v>
      </c>
      <c r="Q1078">
        <f t="shared" si="1025"/>
        <v>-972995.61264147609</v>
      </c>
      <c r="R1078">
        <f t="shared" si="1026"/>
        <v>-30621987.54223299</v>
      </c>
      <c r="S1078">
        <f t="shared" si="1027"/>
        <v>-306.21987542232989</v>
      </c>
      <c r="T1078">
        <f t="shared" si="1028"/>
        <v>-0.30621987542232987</v>
      </c>
    </row>
    <row r="1079" spans="1:20" x14ac:dyDescent="0.25">
      <c r="A1079" s="5">
        <v>43514</v>
      </c>
      <c r="B1079">
        <v>0.2334</v>
      </c>
      <c r="C1079">
        <v>0.246</v>
      </c>
      <c r="D1079">
        <v>0.22750000000000001</v>
      </c>
      <c r="E1079">
        <v>0.24299999999999999</v>
      </c>
      <c r="F1079">
        <v>9779569.5399999991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0.67567567567567521</v>
      </c>
      <c r="Q1079">
        <f t="shared" si="1025"/>
        <v>6607817.2567567518</v>
      </c>
      <c r="R1079">
        <f t="shared" si="1026"/>
        <v>-29648991.929591514</v>
      </c>
      <c r="S1079">
        <f t="shared" si="1027"/>
        <v>-296.48991929591512</v>
      </c>
      <c r="T1079">
        <f t="shared" si="1028"/>
        <v>-0.29648991929591512</v>
      </c>
    </row>
    <row r="1080" spans="1:20" x14ac:dyDescent="0.25">
      <c r="A1080" s="5">
        <v>43513</v>
      </c>
      <c r="B1080">
        <v>0.2238</v>
      </c>
      <c r="C1080">
        <v>0.2397</v>
      </c>
      <c r="D1080">
        <v>0.2223</v>
      </c>
      <c r="E1080">
        <v>0.2331</v>
      </c>
      <c r="F1080">
        <v>5508185.8499999996</v>
      </c>
      <c r="G1080">
        <v>0</v>
      </c>
      <c r="L1080" t="s">
        <v>8</v>
      </c>
      <c r="M1080" t="s">
        <v>8</v>
      </c>
      <c r="N1080" t="s">
        <v>7</v>
      </c>
      <c r="P1080">
        <f t="shared" si="1024"/>
        <v>0.24137931034482812</v>
      </c>
      <c r="Q1080">
        <f t="shared" si="1025"/>
        <v>1329562.1017241408</v>
      </c>
      <c r="R1080">
        <f t="shared" si="1026"/>
        <v>-36256809.186348267</v>
      </c>
      <c r="S1080">
        <f t="shared" si="1027"/>
        <v>-362.56809186348266</v>
      </c>
      <c r="T1080">
        <f t="shared" si="1028"/>
        <v>-0.36256809186348266</v>
      </c>
    </row>
    <row r="1081" spans="1:20" x14ac:dyDescent="0.25">
      <c r="A1081" s="5">
        <v>43512</v>
      </c>
      <c r="B1081">
        <v>0.222</v>
      </c>
      <c r="C1081">
        <v>0.22720000000000001</v>
      </c>
      <c r="D1081">
        <v>0.21679999999999999</v>
      </c>
      <c r="E1081">
        <v>0.22320000000000001</v>
      </c>
      <c r="F1081">
        <v>3035565.78</v>
      </c>
      <c r="G1081">
        <v>0</v>
      </c>
      <c r="L1081" t="s">
        <v>8</v>
      </c>
      <c r="M1081" t="s">
        <v>8</v>
      </c>
      <c r="N1081" t="s">
        <v>7</v>
      </c>
      <c r="P1081">
        <f t="shared" si="1024"/>
        <v>0.23076923076923159</v>
      </c>
      <c r="Q1081">
        <f t="shared" si="1025"/>
        <v>700515.18000000238</v>
      </c>
      <c r="R1081">
        <f t="shared" si="1026"/>
        <v>-37586371.288072407</v>
      </c>
      <c r="S1081">
        <f t="shared" si="1027"/>
        <v>-375.86371288072405</v>
      </c>
      <c r="T1081">
        <f t="shared" si="1028"/>
        <v>-0.37586371288072407</v>
      </c>
    </row>
    <row r="1082" spans="1:20" x14ac:dyDescent="0.25">
      <c r="A1082" s="5">
        <v>43511</v>
      </c>
      <c r="B1082">
        <v>0.21690000000000001</v>
      </c>
      <c r="C1082">
        <v>0.22950000000000001</v>
      </c>
      <c r="D1082">
        <v>0.21529999999999999</v>
      </c>
      <c r="E1082">
        <v>0.2225</v>
      </c>
      <c r="F1082">
        <v>4115283.88</v>
      </c>
      <c r="G1082">
        <v>0</v>
      </c>
      <c r="L1082" t="s">
        <v>8</v>
      </c>
      <c r="M1082" t="s">
        <v>8</v>
      </c>
      <c r="N1082" t="s">
        <v>7</v>
      </c>
      <c r="P1082">
        <f t="shared" si="1024"/>
        <v>1.4084507042253907E-2</v>
      </c>
      <c r="Q1082">
        <f t="shared" si="1025"/>
        <v>57961.74478873398</v>
      </c>
      <c r="R1082">
        <f t="shared" si="1026"/>
        <v>-38286886.468072407</v>
      </c>
      <c r="S1082">
        <f t="shared" si="1027"/>
        <v>-382.86886468072407</v>
      </c>
      <c r="T1082">
        <f t="shared" si="1028"/>
        <v>-0.38286886468072406</v>
      </c>
    </row>
    <row r="1083" spans="1:20" x14ac:dyDescent="0.25">
      <c r="A1083" s="5">
        <v>43510</v>
      </c>
      <c r="B1083">
        <v>0.2198</v>
      </c>
      <c r="C1083">
        <v>0.2215</v>
      </c>
      <c r="D1083">
        <v>0.21310000000000001</v>
      </c>
      <c r="E1083">
        <v>0.2167</v>
      </c>
      <c r="F1083">
        <v>2880742.37</v>
      </c>
      <c r="G1083">
        <v>0</v>
      </c>
      <c r="L1083" t="s">
        <v>7</v>
      </c>
      <c r="M1083" t="s">
        <v>8</v>
      </c>
      <c r="N1083" t="s">
        <v>7</v>
      </c>
      <c r="P1083">
        <f t="shared" si="1024"/>
        <v>-0.14285714285714379</v>
      </c>
      <c r="Q1083">
        <f t="shared" si="1025"/>
        <v>-411534.62428571697</v>
      </c>
      <c r="R1083">
        <f t="shared" si="1026"/>
        <v>-38344848.212861143</v>
      </c>
      <c r="S1083">
        <f t="shared" si="1027"/>
        <v>-383.44848212861143</v>
      </c>
      <c r="T1083">
        <f t="shared" si="1028"/>
        <v>-0.38344848212861143</v>
      </c>
    </row>
    <row r="1084" spans="1:20" x14ac:dyDescent="0.25">
      <c r="A1084" s="5">
        <v>43509</v>
      </c>
      <c r="B1084">
        <v>0.22689999999999999</v>
      </c>
      <c r="C1084">
        <v>0.23250000000000001</v>
      </c>
      <c r="D1084">
        <v>0.2157</v>
      </c>
      <c r="E1084">
        <v>0.21970000000000001</v>
      </c>
      <c r="F1084">
        <v>5870377.9299999997</v>
      </c>
      <c r="G1084">
        <v>0</v>
      </c>
      <c r="L1084" t="s">
        <v>7</v>
      </c>
      <c r="M1084" t="s">
        <v>8</v>
      </c>
      <c r="N1084" t="s">
        <v>7</v>
      </c>
      <c r="P1084">
        <f t="shared" si="1024"/>
        <v>-0.52380952380952361</v>
      </c>
      <c r="Q1084">
        <f t="shared" si="1025"/>
        <v>-3074959.8680952368</v>
      </c>
      <c r="R1084">
        <f t="shared" si="1026"/>
        <v>-37933313.588575423</v>
      </c>
      <c r="S1084">
        <f t="shared" si="1027"/>
        <v>-379.33313588575425</v>
      </c>
      <c r="T1084">
        <f t="shared" si="1028"/>
        <v>-0.37933313588575424</v>
      </c>
    </row>
    <row r="1085" spans="1:20" x14ac:dyDescent="0.25">
      <c r="A1085" s="5">
        <v>43508</v>
      </c>
      <c r="B1085">
        <v>0.22919999999999999</v>
      </c>
      <c r="C1085">
        <v>0.23330000000000001</v>
      </c>
      <c r="D1085">
        <v>0.2225</v>
      </c>
      <c r="E1085">
        <v>0.2268</v>
      </c>
      <c r="F1085">
        <v>8995760.0199999996</v>
      </c>
      <c r="G1085">
        <v>0</v>
      </c>
      <c r="L1085" t="s">
        <v>8</v>
      </c>
      <c r="M1085" t="s">
        <v>8</v>
      </c>
      <c r="N1085" t="s">
        <v>7</v>
      </c>
      <c r="P1085">
        <f t="shared" si="1024"/>
        <v>-0.20370370370370433</v>
      </c>
      <c r="Q1085">
        <f t="shared" si="1025"/>
        <v>-1832469.6337037093</v>
      </c>
      <c r="R1085">
        <f t="shared" si="1026"/>
        <v>-34858353.720480189</v>
      </c>
      <c r="S1085">
        <f t="shared" si="1027"/>
        <v>-348.58353720480187</v>
      </c>
      <c r="T1085">
        <f t="shared" si="1028"/>
        <v>-0.3485835372048019</v>
      </c>
    </row>
    <row r="1086" spans="1:20" x14ac:dyDescent="0.25">
      <c r="A1086" s="5">
        <v>43507</v>
      </c>
      <c r="B1086">
        <v>0.22259999999999999</v>
      </c>
      <c r="C1086">
        <v>0.23300000000000001</v>
      </c>
      <c r="D1086">
        <v>0.21529999999999999</v>
      </c>
      <c r="E1086">
        <v>0.22969999999999999</v>
      </c>
      <c r="F1086">
        <v>6198118.21</v>
      </c>
      <c r="G1086">
        <v>0</v>
      </c>
      <c r="L1086" t="s">
        <v>7</v>
      </c>
      <c r="M1086" t="s">
        <v>8</v>
      </c>
      <c r="N1086" t="s">
        <v>7</v>
      </c>
      <c r="P1086">
        <f t="shared" si="1024"/>
        <v>0.62711864406779427</v>
      </c>
      <c r="Q1086">
        <f t="shared" si="1025"/>
        <v>3886955.4876271039</v>
      </c>
      <c r="R1086">
        <f t="shared" si="1026"/>
        <v>-33025884.08677648</v>
      </c>
      <c r="S1086">
        <f t="shared" si="1027"/>
        <v>-330.25884086776477</v>
      </c>
      <c r="T1086">
        <f t="shared" si="1028"/>
        <v>-0.3302588408677648</v>
      </c>
    </row>
    <row r="1087" spans="1:20" x14ac:dyDescent="0.25">
      <c r="A1087" s="5">
        <v>43506</v>
      </c>
      <c r="B1087">
        <v>0.2215</v>
      </c>
      <c r="C1087">
        <v>0.2339</v>
      </c>
      <c r="D1087">
        <v>0.21229999999999999</v>
      </c>
      <c r="E1087">
        <v>0.22220000000000001</v>
      </c>
      <c r="F1087">
        <v>7250523.6900000004</v>
      </c>
      <c r="G1087">
        <v>0</v>
      </c>
      <c r="L1087" t="s">
        <v>8</v>
      </c>
      <c r="M1087" t="s">
        <v>8</v>
      </c>
      <c r="N1087" t="s">
        <v>7</v>
      </c>
      <c r="P1087">
        <f t="shared" ref="P1087:P1150" si="1029">IF(C1087=D1087,0,((E1087-D1087)-(C1087-E1087))/(C1087-D1087))</f>
        <v>-8.333333333333183E-2</v>
      </c>
      <c r="Q1087">
        <f t="shared" ref="Q1087:Q1150" si="1030">F1087*P1087</f>
        <v>-604210.30749998917</v>
      </c>
      <c r="R1087">
        <f t="shared" ref="R1087:R1150" si="1031">R1088+Q1087</f>
        <v>-36912839.574403584</v>
      </c>
      <c r="S1087">
        <f t="shared" ref="S1087:S1150" si="1032">R1087/100000</f>
        <v>-369.12839574403586</v>
      </c>
      <c r="T1087">
        <f t="shared" ref="T1087:T1150" si="1033">S1087/1000</f>
        <v>-0.36912839574403583</v>
      </c>
    </row>
    <row r="1088" spans="1:20" x14ac:dyDescent="0.25">
      <c r="A1088" s="5">
        <v>43505</v>
      </c>
      <c r="B1088">
        <v>0.22320000000000001</v>
      </c>
      <c r="C1088">
        <v>0.2243</v>
      </c>
      <c r="D1088">
        <v>0.21540000000000001</v>
      </c>
      <c r="E1088">
        <v>0.22159999999999999</v>
      </c>
      <c r="F1088">
        <v>6628523.3700000001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0.39325842696628976</v>
      </c>
      <c r="Q1088">
        <f t="shared" si="1030"/>
        <v>2606722.6735954899</v>
      </c>
      <c r="R1088">
        <f t="shared" si="1031"/>
        <v>-36308629.266903594</v>
      </c>
      <c r="S1088">
        <f t="shared" si="1032"/>
        <v>-363.08629266903591</v>
      </c>
      <c r="T1088">
        <f t="shared" si="1033"/>
        <v>-0.36308629266903591</v>
      </c>
    </row>
    <row r="1089" spans="1:20" x14ac:dyDescent="0.25">
      <c r="A1089" s="5">
        <v>43504</v>
      </c>
      <c r="B1089">
        <v>0.21</v>
      </c>
      <c r="C1089">
        <v>0.22969999999999999</v>
      </c>
      <c r="D1089">
        <v>0.20169999999999999</v>
      </c>
      <c r="E1089">
        <v>0.223</v>
      </c>
      <c r="F1089">
        <v>16895004.550000001</v>
      </c>
      <c r="G1089">
        <v>0</v>
      </c>
      <c r="L1089" t="s">
        <v>7</v>
      </c>
      <c r="M1089" t="s">
        <v>8</v>
      </c>
      <c r="N1089" t="s">
        <v>7</v>
      </c>
      <c r="P1089">
        <f t="shared" si="1029"/>
        <v>0.52142857142857257</v>
      </c>
      <c r="Q1089">
        <f t="shared" si="1030"/>
        <v>8809538.0867857337</v>
      </c>
      <c r="R1089">
        <f t="shared" si="1031"/>
        <v>-38915351.940499082</v>
      </c>
      <c r="S1089">
        <f t="shared" si="1032"/>
        <v>-389.15351940499085</v>
      </c>
      <c r="T1089">
        <f t="shared" si="1033"/>
        <v>-0.38915351940499082</v>
      </c>
    </row>
    <row r="1090" spans="1:20" x14ac:dyDescent="0.25">
      <c r="A1090" s="5">
        <v>43503</v>
      </c>
      <c r="B1090">
        <v>0.1862</v>
      </c>
      <c r="C1090">
        <v>0.23</v>
      </c>
      <c r="D1090">
        <v>0.1862</v>
      </c>
      <c r="E1090">
        <v>0.2099</v>
      </c>
      <c r="F1090">
        <v>26404258.859999999</v>
      </c>
      <c r="G1090">
        <v>0</v>
      </c>
      <c r="L1090" t="s">
        <v>8</v>
      </c>
      <c r="M1090" t="s">
        <v>8</v>
      </c>
      <c r="N1090" t="s">
        <v>7</v>
      </c>
      <c r="P1090">
        <f t="shared" si="1029"/>
        <v>8.2191780821917623E-2</v>
      </c>
      <c r="Q1090">
        <f t="shared" si="1030"/>
        <v>2170213.0569862965</v>
      </c>
      <c r="R1090">
        <f t="shared" si="1031"/>
        <v>-47724890.027284816</v>
      </c>
      <c r="S1090">
        <f t="shared" si="1032"/>
        <v>-477.24890027284818</v>
      </c>
      <c r="T1090">
        <f t="shared" si="1033"/>
        <v>-0.47724890027284816</v>
      </c>
    </row>
    <row r="1091" spans="1:20" x14ac:dyDescent="0.25">
      <c r="A1091" s="5">
        <v>43502</v>
      </c>
      <c r="B1091">
        <v>0.1885</v>
      </c>
      <c r="C1091">
        <v>0.1895</v>
      </c>
      <c r="D1091">
        <v>0.1802</v>
      </c>
      <c r="E1091">
        <v>0.18609999999999999</v>
      </c>
      <c r="F1091">
        <v>5282505.24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0.26881720430107242</v>
      </c>
      <c r="Q1091">
        <f t="shared" si="1030"/>
        <v>1420028.2903225657</v>
      </c>
      <c r="R1091">
        <f t="shared" si="1031"/>
        <v>-49895103.084271111</v>
      </c>
      <c r="S1091">
        <f t="shared" si="1032"/>
        <v>-498.95103084271113</v>
      </c>
      <c r="T1091">
        <f t="shared" si="1033"/>
        <v>-0.49895103084271114</v>
      </c>
    </row>
    <row r="1092" spans="1:20" x14ac:dyDescent="0.25">
      <c r="A1092" s="5">
        <v>43501</v>
      </c>
      <c r="B1092">
        <v>0.18920000000000001</v>
      </c>
      <c r="C1092">
        <v>0.19120000000000001</v>
      </c>
      <c r="D1092">
        <v>0.18590000000000001</v>
      </c>
      <c r="E1092">
        <v>0.1885</v>
      </c>
      <c r="F1092">
        <v>3019774.53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-1.886792452830505E-2</v>
      </c>
      <c r="Q1092">
        <f t="shared" si="1030"/>
        <v>-56976.877924537854</v>
      </c>
      <c r="R1092">
        <f t="shared" si="1031"/>
        <v>-51315131.374593675</v>
      </c>
      <c r="S1092">
        <f t="shared" si="1032"/>
        <v>-513.1513137459367</v>
      </c>
      <c r="T1092">
        <f t="shared" si="1033"/>
        <v>-0.5131513137459367</v>
      </c>
    </row>
    <row r="1093" spans="1:20" x14ac:dyDescent="0.25">
      <c r="A1093" s="5">
        <v>43500</v>
      </c>
      <c r="B1093">
        <v>0.187</v>
      </c>
      <c r="C1093">
        <v>0.19020000000000001</v>
      </c>
      <c r="D1093">
        <v>0.1857</v>
      </c>
      <c r="E1093">
        <v>0.18920000000000001</v>
      </c>
      <c r="F1093">
        <v>3223582.38</v>
      </c>
      <c r="G1093">
        <v>0</v>
      </c>
      <c r="L1093" t="s">
        <v>7</v>
      </c>
      <c r="M1093" t="s">
        <v>7</v>
      </c>
      <c r="N1093" t="s">
        <v>7</v>
      </c>
      <c r="P1093">
        <f t="shared" si="1029"/>
        <v>0.55555555555555558</v>
      </c>
      <c r="Q1093">
        <f t="shared" si="1030"/>
        <v>1790879.1</v>
      </c>
      <c r="R1093">
        <f t="shared" si="1031"/>
        <v>-51258154.496669136</v>
      </c>
      <c r="S1093">
        <f t="shared" si="1032"/>
        <v>-512.58154496669135</v>
      </c>
      <c r="T1093">
        <f t="shared" si="1033"/>
        <v>-0.51258154496669139</v>
      </c>
    </row>
    <row r="1094" spans="1:20" x14ac:dyDescent="0.25">
      <c r="A1094" s="5">
        <v>43499</v>
      </c>
      <c r="B1094">
        <v>0.19209999999999999</v>
      </c>
      <c r="C1094">
        <v>0.19270000000000001</v>
      </c>
      <c r="D1094">
        <v>0.1847</v>
      </c>
      <c r="E1094">
        <v>0.18659999999999999</v>
      </c>
      <c r="F1094">
        <v>2837516.86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-0.52500000000000413</v>
      </c>
      <c r="Q1094">
        <f t="shared" si="1030"/>
        <v>-1489696.3515000117</v>
      </c>
      <c r="R1094">
        <f t="shared" si="1031"/>
        <v>-53049033.596669137</v>
      </c>
      <c r="S1094">
        <f t="shared" si="1032"/>
        <v>-530.49033596669142</v>
      </c>
      <c r="T1094">
        <f t="shared" si="1033"/>
        <v>-0.53049033596669137</v>
      </c>
    </row>
    <row r="1095" spans="1:20" x14ac:dyDescent="0.25">
      <c r="A1095" s="5">
        <v>43498</v>
      </c>
      <c r="B1095">
        <v>0.1913</v>
      </c>
      <c r="C1095">
        <v>0.1933</v>
      </c>
      <c r="D1095">
        <v>0.18840000000000001</v>
      </c>
      <c r="E1095">
        <v>0.192</v>
      </c>
      <c r="F1095">
        <v>3305926.09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0.46938775510204128</v>
      </c>
      <c r="Q1095">
        <f t="shared" si="1030"/>
        <v>1551761.2259183689</v>
      </c>
      <c r="R1095">
        <f t="shared" si="1031"/>
        <v>-51559337.245169125</v>
      </c>
      <c r="S1095">
        <f t="shared" si="1032"/>
        <v>-515.59337245169127</v>
      </c>
      <c r="T1095">
        <f t="shared" si="1033"/>
        <v>-0.51559337245169123</v>
      </c>
    </row>
    <row r="1096" spans="1:20" x14ac:dyDescent="0.25">
      <c r="A1096" s="5">
        <v>43497</v>
      </c>
      <c r="B1096">
        <v>0.18759999999999999</v>
      </c>
      <c r="C1096">
        <v>0.1948</v>
      </c>
      <c r="D1096">
        <v>0.1845</v>
      </c>
      <c r="E1096">
        <v>0.1913</v>
      </c>
      <c r="F1096">
        <v>6708792.9000000004</v>
      </c>
      <c r="G1096">
        <v>0</v>
      </c>
      <c r="L1096" t="s">
        <v>7</v>
      </c>
      <c r="M1096" t="s">
        <v>7</v>
      </c>
      <c r="N1096" t="s">
        <v>7</v>
      </c>
      <c r="P1096">
        <f t="shared" si="1029"/>
        <v>0.32038834951456274</v>
      </c>
      <c r="Q1096">
        <f t="shared" si="1030"/>
        <v>2149419.0844660173</v>
      </c>
      <c r="R1096">
        <f t="shared" si="1031"/>
        <v>-53111098.471087493</v>
      </c>
      <c r="S1096">
        <f t="shared" si="1032"/>
        <v>-531.11098471087496</v>
      </c>
      <c r="T1096">
        <f t="shared" si="1033"/>
        <v>-0.53111098471087492</v>
      </c>
    </row>
    <row r="1097" spans="1:20" x14ac:dyDescent="0.25">
      <c r="A1097" s="5">
        <v>43496</v>
      </c>
      <c r="B1097">
        <v>0.2034</v>
      </c>
      <c r="C1097">
        <v>0.20799999999999999</v>
      </c>
      <c r="D1097">
        <v>0.1845</v>
      </c>
      <c r="E1097">
        <v>0.18759999999999999</v>
      </c>
      <c r="F1097">
        <v>8165241.0099999998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-0.73617021276595807</v>
      </c>
      <c r="Q1097">
        <f t="shared" si="1030"/>
        <v>-6011007.2116170265</v>
      </c>
      <c r="R1097">
        <f t="shared" si="1031"/>
        <v>-55260517.555553511</v>
      </c>
      <c r="S1097">
        <f t="shared" si="1032"/>
        <v>-552.60517555553508</v>
      </c>
      <c r="T1097">
        <f t="shared" si="1033"/>
        <v>-0.55260517555553512</v>
      </c>
    </row>
    <row r="1098" spans="1:20" x14ac:dyDescent="0.25">
      <c r="A1098" s="5">
        <v>43495</v>
      </c>
      <c r="B1098">
        <v>0.19850000000000001</v>
      </c>
      <c r="C1098">
        <v>0.20979999999999999</v>
      </c>
      <c r="D1098">
        <v>0.1956</v>
      </c>
      <c r="E1098">
        <v>0.20349999999999999</v>
      </c>
      <c r="F1098">
        <v>6162368.0599999996</v>
      </c>
      <c r="G1098">
        <v>0</v>
      </c>
      <c r="L1098" t="s">
        <v>8</v>
      </c>
      <c r="M1098" t="s">
        <v>7</v>
      </c>
      <c r="N1098" t="s">
        <v>7</v>
      </c>
      <c r="P1098">
        <f t="shared" si="1029"/>
        <v>0.11267605633802756</v>
      </c>
      <c r="Q1098">
        <f t="shared" si="1030"/>
        <v>694351.3307042215</v>
      </c>
      <c r="R1098">
        <f t="shared" si="1031"/>
        <v>-49249510.343936481</v>
      </c>
      <c r="S1098">
        <f t="shared" si="1032"/>
        <v>-492.49510343936481</v>
      </c>
      <c r="T1098">
        <f t="shared" si="1033"/>
        <v>-0.49249510343936481</v>
      </c>
    </row>
    <row r="1099" spans="1:20" x14ac:dyDescent="0.25">
      <c r="A1099" s="5">
        <v>43494</v>
      </c>
      <c r="B1099">
        <v>0.20449999999999999</v>
      </c>
      <c r="C1099">
        <v>0.2056</v>
      </c>
      <c r="D1099">
        <v>0.1933</v>
      </c>
      <c r="E1099">
        <v>0.1986</v>
      </c>
      <c r="F1099">
        <v>6232252.2599999998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-0.13821138211382164</v>
      </c>
      <c r="Q1099">
        <f t="shared" si="1030"/>
        <v>-861368.19853658846</v>
      </c>
      <c r="R1099">
        <f t="shared" si="1031"/>
        <v>-49943861.6746407</v>
      </c>
      <c r="S1099">
        <f t="shared" si="1032"/>
        <v>-499.43861674640698</v>
      </c>
      <c r="T1099">
        <f t="shared" si="1033"/>
        <v>-0.49943861674640699</v>
      </c>
    </row>
    <row r="1100" spans="1:20" x14ac:dyDescent="0.25">
      <c r="A1100" s="5">
        <v>43493</v>
      </c>
      <c r="B1100">
        <v>0.2198</v>
      </c>
      <c r="C1100">
        <v>0.22090000000000001</v>
      </c>
      <c r="D1100">
        <v>0.19500000000000001</v>
      </c>
      <c r="E1100">
        <v>0.20419999999999999</v>
      </c>
      <c r="F1100">
        <v>5799486.8099999996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-0.28957528957529083</v>
      </c>
      <c r="Q1100">
        <f t="shared" si="1030"/>
        <v>-1679388.0723938295</v>
      </c>
      <c r="R1100">
        <f t="shared" si="1031"/>
        <v>-49082493.47610411</v>
      </c>
      <c r="S1100">
        <f t="shared" si="1032"/>
        <v>-490.82493476104111</v>
      </c>
      <c r="T1100">
        <f t="shared" si="1033"/>
        <v>-0.49082493476104111</v>
      </c>
    </row>
    <row r="1101" spans="1:20" x14ac:dyDescent="0.25">
      <c r="A1101" s="5">
        <v>43492</v>
      </c>
      <c r="B1101">
        <v>0.22620000000000001</v>
      </c>
      <c r="C1101">
        <v>0.2271</v>
      </c>
      <c r="D1101">
        <v>0.2127</v>
      </c>
      <c r="E1101">
        <v>0.2198</v>
      </c>
      <c r="F1101">
        <v>4181376.98</v>
      </c>
      <c r="G1101">
        <v>0</v>
      </c>
      <c r="L1101" t="s">
        <v>7</v>
      </c>
      <c r="M1101" t="s">
        <v>8</v>
      </c>
      <c r="N1101" t="s">
        <v>7</v>
      </c>
      <c r="P1101">
        <f t="shared" si="1029"/>
        <v>-1.3888888888889291E-2</v>
      </c>
      <c r="Q1101">
        <f t="shared" si="1030"/>
        <v>-58074.680277779458</v>
      </c>
      <c r="R1101">
        <f t="shared" si="1031"/>
        <v>-47403105.403710283</v>
      </c>
      <c r="S1101">
        <f t="shared" si="1032"/>
        <v>-474.03105403710282</v>
      </c>
      <c r="T1101">
        <f t="shared" si="1033"/>
        <v>-0.47403105403710283</v>
      </c>
    </row>
    <row r="1102" spans="1:20" x14ac:dyDescent="0.25">
      <c r="A1102" s="5">
        <v>43491</v>
      </c>
      <c r="B1102">
        <v>0.2263</v>
      </c>
      <c r="C1102">
        <v>0.2316</v>
      </c>
      <c r="D1102">
        <v>0.2238</v>
      </c>
      <c r="E1102">
        <v>0.2263</v>
      </c>
      <c r="F1102">
        <v>2808077.19</v>
      </c>
      <c r="G1102">
        <v>0</v>
      </c>
      <c r="L1102" t="s">
        <v>7</v>
      </c>
      <c r="M1102" t="s">
        <v>8</v>
      </c>
      <c r="N1102" t="s">
        <v>7</v>
      </c>
      <c r="P1102">
        <f t="shared" si="1029"/>
        <v>-0.35897435897435853</v>
      </c>
      <c r="Q1102">
        <f t="shared" si="1030"/>
        <v>-1008027.7092307679</v>
      </c>
      <c r="R1102">
        <f t="shared" si="1031"/>
        <v>-47345030.723432504</v>
      </c>
      <c r="S1102">
        <f t="shared" si="1032"/>
        <v>-473.45030723432501</v>
      </c>
      <c r="T1102">
        <f t="shared" si="1033"/>
        <v>-0.47345030723432502</v>
      </c>
    </row>
    <row r="1103" spans="1:20" x14ac:dyDescent="0.25">
      <c r="A1103" s="5">
        <v>43490</v>
      </c>
      <c r="B1103">
        <v>0.22939999999999999</v>
      </c>
      <c r="C1103">
        <v>0.23119999999999999</v>
      </c>
      <c r="D1103">
        <v>0.2218</v>
      </c>
      <c r="E1103">
        <v>0.22620000000000001</v>
      </c>
      <c r="F1103">
        <v>2208742.34</v>
      </c>
      <c r="G1103">
        <v>0</v>
      </c>
      <c r="L1103" t="s">
        <v>7</v>
      </c>
      <c r="M1103" t="s">
        <v>8</v>
      </c>
      <c r="N1103" t="s">
        <v>7</v>
      </c>
      <c r="P1103">
        <f t="shared" si="1029"/>
        <v>-6.3829787234038537E-2</v>
      </c>
      <c r="Q1103">
        <f t="shared" si="1030"/>
        <v>-140983.5536170124</v>
      </c>
      <c r="R1103">
        <f t="shared" si="1031"/>
        <v>-46337003.014201738</v>
      </c>
      <c r="S1103">
        <f t="shared" si="1032"/>
        <v>-463.37003014201736</v>
      </c>
      <c r="T1103">
        <f t="shared" si="1033"/>
        <v>-0.46337003014201733</v>
      </c>
    </row>
    <row r="1104" spans="1:20" x14ac:dyDescent="0.25">
      <c r="A1104" s="5">
        <v>43489</v>
      </c>
      <c r="B1104">
        <v>0.22720000000000001</v>
      </c>
      <c r="C1104">
        <v>0.2326</v>
      </c>
      <c r="D1104">
        <v>0.22520000000000001</v>
      </c>
      <c r="E1104">
        <v>0.22969999999999999</v>
      </c>
      <c r="F1104">
        <v>2492471.2000000002</v>
      </c>
      <c r="G1104">
        <v>0</v>
      </c>
      <c r="L1104" t="s">
        <v>8</v>
      </c>
      <c r="M1104" t="s">
        <v>8</v>
      </c>
      <c r="N1104" t="s">
        <v>7</v>
      </c>
      <c r="P1104">
        <f t="shared" si="1029"/>
        <v>0.21621621621621145</v>
      </c>
      <c r="Q1104">
        <f t="shared" si="1030"/>
        <v>538912.69189188001</v>
      </c>
      <c r="R1104">
        <f t="shared" si="1031"/>
        <v>-46196019.460584722</v>
      </c>
      <c r="S1104">
        <f t="shared" si="1032"/>
        <v>-461.96019460584722</v>
      </c>
      <c r="T1104">
        <f t="shared" si="1033"/>
        <v>-0.4619601946058472</v>
      </c>
    </row>
    <row r="1105" spans="1:20" x14ac:dyDescent="0.25">
      <c r="A1105" s="5">
        <v>43488</v>
      </c>
      <c r="B1105">
        <v>0.23019999999999999</v>
      </c>
      <c r="C1105">
        <v>0.23569999999999999</v>
      </c>
      <c r="D1105">
        <v>0.22040000000000001</v>
      </c>
      <c r="E1105">
        <v>0.2273</v>
      </c>
      <c r="F1105">
        <v>5182180.53</v>
      </c>
      <c r="G1105">
        <v>0</v>
      </c>
      <c r="L1105" t="s">
        <v>8</v>
      </c>
      <c r="M1105" t="s">
        <v>8</v>
      </c>
      <c r="N1105" t="s">
        <v>7</v>
      </c>
      <c r="P1105">
        <f t="shared" si="1029"/>
        <v>-9.8039215686274717E-2</v>
      </c>
      <c r="Q1105">
        <f t="shared" si="1030"/>
        <v>-508056.91470588348</v>
      </c>
      <c r="R1105">
        <f t="shared" si="1031"/>
        <v>-46734932.152476601</v>
      </c>
      <c r="S1105">
        <f t="shared" si="1032"/>
        <v>-467.34932152476603</v>
      </c>
      <c r="T1105">
        <f t="shared" si="1033"/>
        <v>-0.46734932152476605</v>
      </c>
    </row>
    <row r="1106" spans="1:20" x14ac:dyDescent="0.25">
      <c r="A1106" s="5">
        <v>43487</v>
      </c>
      <c r="B1106">
        <v>0.23</v>
      </c>
      <c r="C1106">
        <v>0.23330000000000001</v>
      </c>
      <c r="D1106">
        <v>0.2165</v>
      </c>
      <c r="E1106">
        <v>0.23050000000000001</v>
      </c>
      <c r="F1106">
        <v>4506595.8099999996</v>
      </c>
      <c r="G1106">
        <v>0</v>
      </c>
      <c r="L1106" t="s">
        <v>7</v>
      </c>
      <c r="M1106" t="s">
        <v>8</v>
      </c>
      <c r="N1106" t="s">
        <v>7</v>
      </c>
      <c r="P1106">
        <f t="shared" si="1029"/>
        <v>0.66666666666666718</v>
      </c>
      <c r="Q1106">
        <f t="shared" si="1030"/>
        <v>3004397.2066666689</v>
      </c>
      <c r="R1106">
        <f t="shared" si="1031"/>
        <v>-46226875.237770721</v>
      </c>
      <c r="S1106">
        <f t="shared" si="1032"/>
        <v>-462.26875237770719</v>
      </c>
      <c r="T1106">
        <f t="shared" si="1033"/>
        <v>-0.4622687523777072</v>
      </c>
    </row>
    <row r="1107" spans="1:20" x14ac:dyDescent="0.25">
      <c r="A1107" s="5">
        <v>43486</v>
      </c>
      <c r="B1107">
        <v>0.22889999999999999</v>
      </c>
      <c r="C1107">
        <v>0.2341</v>
      </c>
      <c r="D1107">
        <v>0.22309999999999999</v>
      </c>
      <c r="E1107">
        <v>0.2296</v>
      </c>
      <c r="F1107">
        <v>2959824.59</v>
      </c>
      <c r="G1107">
        <v>0</v>
      </c>
      <c r="L1107" t="s">
        <v>7</v>
      </c>
      <c r="M1107" t="s">
        <v>8</v>
      </c>
      <c r="N1107" t="s">
        <v>7</v>
      </c>
      <c r="P1107">
        <f t="shared" si="1029"/>
        <v>0.18181818181818182</v>
      </c>
      <c r="Q1107">
        <f t="shared" si="1030"/>
        <v>538149.92545454542</v>
      </c>
      <c r="R1107">
        <f t="shared" si="1031"/>
        <v>-49231272.444437392</v>
      </c>
      <c r="S1107">
        <f t="shared" si="1032"/>
        <v>-492.31272444437394</v>
      </c>
      <c r="T1107">
        <f t="shared" si="1033"/>
        <v>-0.49231272444437396</v>
      </c>
    </row>
    <row r="1108" spans="1:20" x14ac:dyDescent="0.25">
      <c r="A1108" s="5">
        <v>43485</v>
      </c>
      <c r="B1108">
        <v>0.24060000000000001</v>
      </c>
      <c r="C1108">
        <v>0.24279999999999999</v>
      </c>
      <c r="D1108">
        <v>0.2223</v>
      </c>
      <c r="E1108">
        <v>0.22819999999999999</v>
      </c>
      <c r="F1108">
        <v>4642977.6500000004</v>
      </c>
      <c r="G1108">
        <v>0</v>
      </c>
      <c r="L1108" t="s">
        <v>7</v>
      </c>
      <c r="M1108" t="s">
        <v>8</v>
      </c>
      <c r="N1108" t="s">
        <v>7</v>
      </c>
      <c r="P1108">
        <f t="shared" si="1029"/>
        <v>-0.42439024390243985</v>
      </c>
      <c r="Q1108">
        <f t="shared" si="1030"/>
        <v>-1970434.4173170771</v>
      </c>
      <c r="R1108">
        <f t="shared" si="1031"/>
        <v>-49769422.369891934</v>
      </c>
      <c r="S1108">
        <f t="shared" si="1032"/>
        <v>-497.69422369891936</v>
      </c>
      <c r="T1108">
        <f t="shared" si="1033"/>
        <v>-0.49769422369891936</v>
      </c>
    </row>
    <row r="1109" spans="1:20" x14ac:dyDescent="0.25">
      <c r="A1109" s="5">
        <v>43484</v>
      </c>
      <c r="B1109">
        <v>0.2341</v>
      </c>
      <c r="C1109">
        <v>0.246</v>
      </c>
      <c r="D1109">
        <v>0.23350000000000001</v>
      </c>
      <c r="E1109">
        <v>0.24079999999999999</v>
      </c>
      <c r="F1109">
        <v>2831569.35</v>
      </c>
      <c r="G1109">
        <v>0</v>
      </c>
      <c r="L1109" t="s">
        <v>8</v>
      </c>
      <c r="M1109" t="s">
        <v>8</v>
      </c>
      <c r="N1109" t="s">
        <v>7</v>
      </c>
      <c r="P1109">
        <f t="shared" si="1029"/>
        <v>0.16799999999999726</v>
      </c>
      <c r="Q1109">
        <f t="shared" si="1030"/>
        <v>475703.65079999226</v>
      </c>
      <c r="R1109">
        <f t="shared" si="1031"/>
        <v>-47798987.952574857</v>
      </c>
      <c r="S1109">
        <f t="shared" si="1032"/>
        <v>-477.98987952574856</v>
      </c>
      <c r="T1109">
        <f t="shared" si="1033"/>
        <v>-0.47798987952574856</v>
      </c>
    </row>
    <row r="1110" spans="1:20" x14ac:dyDescent="0.25">
      <c r="A1110" s="5">
        <v>43483</v>
      </c>
      <c r="B1110">
        <v>0.2424</v>
      </c>
      <c r="C1110">
        <v>0.2482</v>
      </c>
      <c r="D1110">
        <v>0.22900000000000001</v>
      </c>
      <c r="E1110">
        <v>0.23369999999999999</v>
      </c>
      <c r="F1110">
        <v>3845019.75</v>
      </c>
      <c r="G1110">
        <v>0</v>
      </c>
      <c r="L1110" t="s">
        <v>8</v>
      </c>
      <c r="M1110" t="s">
        <v>8</v>
      </c>
      <c r="N1110" t="s">
        <v>7</v>
      </c>
      <c r="P1110">
        <f t="shared" si="1029"/>
        <v>-0.51041666666666841</v>
      </c>
      <c r="Q1110">
        <f t="shared" si="1030"/>
        <v>-1962562.1640625068</v>
      </c>
      <c r="R1110">
        <f t="shared" si="1031"/>
        <v>-48274691.603374846</v>
      </c>
      <c r="S1110">
        <f t="shared" si="1032"/>
        <v>-482.74691603374845</v>
      </c>
      <c r="T1110">
        <f t="shared" si="1033"/>
        <v>-0.48274691603374847</v>
      </c>
    </row>
    <row r="1111" spans="1:20" x14ac:dyDescent="0.25">
      <c r="A1111" s="5">
        <v>43482</v>
      </c>
      <c r="B1111">
        <v>0.22889999999999999</v>
      </c>
      <c r="C1111">
        <v>0.24440000000000001</v>
      </c>
      <c r="D1111">
        <v>0.22339999999999999</v>
      </c>
      <c r="E1111">
        <v>0.2422</v>
      </c>
      <c r="F1111">
        <v>4238192.28</v>
      </c>
      <c r="G1111">
        <v>0</v>
      </c>
      <c r="L1111" t="s">
        <v>8</v>
      </c>
      <c r="M1111" t="s">
        <v>8</v>
      </c>
      <c r="N1111" t="s">
        <v>7</v>
      </c>
      <c r="P1111">
        <f t="shared" si="1029"/>
        <v>0.79047619047619</v>
      </c>
      <c r="Q1111">
        <f t="shared" si="1030"/>
        <v>3350190.0879999981</v>
      </c>
      <c r="R1111">
        <f t="shared" si="1031"/>
        <v>-46312129.439312339</v>
      </c>
      <c r="S1111">
        <f t="shared" si="1032"/>
        <v>-463.12129439312338</v>
      </c>
      <c r="T1111">
        <f t="shared" si="1033"/>
        <v>-0.46312129439312338</v>
      </c>
    </row>
    <row r="1112" spans="1:20" x14ac:dyDescent="0.25">
      <c r="A1112" s="5">
        <v>43481</v>
      </c>
      <c r="B1112">
        <v>0.2198</v>
      </c>
      <c r="C1112">
        <v>0.23449999999999999</v>
      </c>
      <c r="D1112">
        <v>0.2185</v>
      </c>
      <c r="E1112">
        <v>0.22869999999999999</v>
      </c>
      <c r="F1112">
        <v>3426256.92</v>
      </c>
      <c r="G1112">
        <v>0</v>
      </c>
      <c r="L1112" t="s">
        <v>8</v>
      </c>
      <c r="M1112" t="s">
        <v>7</v>
      </c>
      <c r="N1112" t="s">
        <v>7</v>
      </c>
      <c r="P1112">
        <f t="shared" si="1029"/>
        <v>0.27499999999999941</v>
      </c>
      <c r="Q1112">
        <f t="shared" si="1030"/>
        <v>942220.65299999795</v>
      </c>
      <c r="R1112">
        <f t="shared" si="1031"/>
        <v>-49662319.527312338</v>
      </c>
      <c r="S1112">
        <f t="shared" si="1032"/>
        <v>-496.62319527312337</v>
      </c>
      <c r="T1112">
        <f t="shared" si="1033"/>
        <v>-0.49662319527312337</v>
      </c>
    </row>
    <row r="1113" spans="1:20" x14ac:dyDescent="0.25">
      <c r="A1113" s="5">
        <v>43480</v>
      </c>
      <c r="B1113">
        <v>0.2283</v>
      </c>
      <c r="C1113">
        <v>0.2321</v>
      </c>
      <c r="D1113">
        <v>0.2162</v>
      </c>
      <c r="E1113">
        <v>0.2198</v>
      </c>
      <c r="F1113">
        <v>6389446.9900000002</v>
      </c>
      <c r="G1113">
        <v>0</v>
      </c>
      <c r="L1113" t="s">
        <v>7</v>
      </c>
      <c r="M1113" t="s">
        <v>7</v>
      </c>
      <c r="N1113" t="s">
        <v>7</v>
      </c>
      <c r="P1113">
        <f t="shared" si="1029"/>
        <v>-0.54716981132075559</v>
      </c>
      <c r="Q1113">
        <f t="shared" si="1030"/>
        <v>-3496112.50396227</v>
      </c>
      <c r="R1113">
        <f t="shared" si="1031"/>
        <v>-50604540.180312335</v>
      </c>
      <c r="S1113">
        <f t="shared" si="1032"/>
        <v>-506.04540180312335</v>
      </c>
      <c r="T1113">
        <f t="shared" si="1033"/>
        <v>-0.50604540180312341</v>
      </c>
    </row>
    <row r="1114" spans="1:20" x14ac:dyDescent="0.25">
      <c r="A1114" s="5">
        <v>43479</v>
      </c>
      <c r="B1114">
        <v>0.2127</v>
      </c>
      <c r="C1114">
        <v>0.24260000000000001</v>
      </c>
      <c r="D1114">
        <v>0.21260000000000001</v>
      </c>
      <c r="E1114">
        <v>0.22800000000000001</v>
      </c>
      <c r="F1114">
        <v>6112895.4500000002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2.6666666666666505E-2</v>
      </c>
      <c r="Q1114">
        <f t="shared" si="1030"/>
        <v>163010.54533333235</v>
      </c>
      <c r="R1114">
        <f t="shared" si="1031"/>
        <v>-47108427.676350065</v>
      </c>
      <c r="S1114">
        <f t="shared" si="1032"/>
        <v>-471.08427676350067</v>
      </c>
      <c r="T1114">
        <f t="shared" si="1033"/>
        <v>-0.47108427676350068</v>
      </c>
    </row>
    <row r="1115" spans="1:20" x14ac:dyDescent="0.25">
      <c r="A1115" s="5">
        <v>43478</v>
      </c>
      <c r="B1115">
        <v>0.2354</v>
      </c>
      <c r="C1115">
        <v>0.23699999999999999</v>
      </c>
      <c r="D1115">
        <v>0.20910000000000001</v>
      </c>
      <c r="E1115">
        <v>0.21310000000000001</v>
      </c>
      <c r="F1115">
        <v>5740283.71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-0.71326164874551923</v>
      </c>
      <c r="Q1115">
        <f t="shared" si="1030"/>
        <v>-4094324.223261646</v>
      </c>
      <c r="R1115">
        <f t="shared" si="1031"/>
        <v>-47271438.221683398</v>
      </c>
      <c r="S1115">
        <f t="shared" si="1032"/>
        <v>-472.714382216834</v>
      </c>
      <c r="T1115">
        <f t="shared" si="1033"/>
        <v>-0.47271438221683398</v>
      </c>
    </row>
    <row r="1116" spans="1:20" x14ac:dyDescent="0.25">
      <c r="A1116" s="5">
        <v>43477</v>
      </c>
      <c r="B1116">
        <v>0.2382</v>
      </c>
      <c r="C1116">
        <v>0.2382</v>
      </c>
      <c r="D1116">
        <v>0.23089999999999999</v>
      </c>
      <c r="E1116">
        <v>0.2356</v>
      </c>
      <c r="F1116">
        <v>3085948.14</v>
      </c>
      <c r="G1116">
        <v>0</v>
      </c>
      <c r="L1116" t="s">
        <v>7</v>
      </c>
      <c r="M1116" t="s">
        <v>7</v>
      </c>
      <c r="N1116" t="s">
        <v>8</v>
      </c>
      <c r="P1116">
        <f t="shared" si="1029"/>
        <v>0.28767123287671481</v>
      </c>
      <c r="Q1116">
        <f t="shared" si="1030"/>
        <v>887738.50602740492</v>
      </c>
      <c r="R1116">
        <f t="shared" si="1031"/>
        <v>-43177113.998421751</v>
      </c>
      <c r="S1116">
        <f t="shared" si="1032"/>
        <v>-431.77113998421748</v>
      </c>
      <c r="T1116">
        <f t="shared" si="1033"/>
        <v>-0.43177113998421751</v>
      </c>
    </row>
    <row r="1117" spans="1:20" x14ac:dyDescent="0.25">
      <c r="A1117" s="5">
        <v>43476</v>
      </c>
      <c r="B1117">
        <v>0.2364</v>
      </c>
      <c r="C1117">
        <v>0.24060000000000001</v>
      </c>
      <c r="D1117">
        <v>0.2291</v>
      </c>
      <c r="E1117">
        <v>0.2382</v>
      </c>
      <c r="F1117">
        <v>6680402.21</v>
      </c>
      <c r="G1117">
        <v>0</v>
      </c>
      <c r="L1117" t="s">
        <v>7</v>
      </c>
      <c r="M1117" t="s">
        <v>7</v>
      </c>
      <c r="N1117" t="s">
        <v>8</v>
      </c>
      <c r="P1117">
        <f t="shared" si="1029"/>
        <v>0.58260869565217199</v>
      </c>
      <c r="Q1117">
        <f t="shared" si="1030"/>
        <v>3892060.417999987</v>
      </c>
      <c r="R1117">
        <f t="shared" si="1031"/>
        <v>-44064852.504449159</v>
      </c>
      <c r="S1117">
        <f t="shared" si="1032"/>
        <v>-440.64852504449158</v>
      </c>
      <c r="T1117">
        <f t="shared" si="1033"/>
        <v>-0.44064852504449159</v>
      </c>
    </row>
    <row r="1118" spans="1:20" x14ac:dyDescent="0.25">
      <c r="A1118" s="5">
        <v>43475</v>
      </c>
      <c r="B1118">
        <v>0.28179999999999999</v>
      </c>
      <c r="C1118">
        <v>0.29649999999999999</v>
      </c>
      <c r="D1118">
        <v>0.22600000000000001</v>
      </c>
      <c r="E1118">
        <v>0.23580000000000001</v>
      </c>
      <c r="F1118">
        <v>15660633.4</v>
      </c>
      <c r="G1118">
        <v>0</v>
      </c>
      <c r="L1118" t="s">
        <v>8</v>
      </c>
      <c r="M1118" t="s">
        <v>8</v>
      </c>
      <c r="N1118" t="s">
        <v>8</v>
      </c>
      <c r="P1118">
        <f t="shared" si="1029"/>
        <v>-0.7219858156028367</v>
      </c>
      <c r="Q1118">
        <f t="shared" si="1030"/>
        <v>-11306755.178156026</v>
      </c>
      <c r="R1118">
        <f t="shared" si="1031"/>
        <v>-47956912.922449149</v>
      </c>
      <c r="S1118">
        <f t="shared" si="1032"/>
        <v>-479.56912922449152</v>
      </c>
      <c r="T1118">
        <f t="shared" si="1033"/>
        <v>-0.47956912922449152</v>
      </c>
    </row>
    <row r="1119" spans="1:20" x14ac:dyDescent="0.25">
      <c r="A1119" s="5">
        <v>43474</v>
      </c>
      <c r="B1119">
        <v>0.27039999999999997</v>
      </c>
      <c r="C1119">
        <v>0.28549999999999998</v>
      </c>
      <c r="D1119">
        <v>0.27</v>
      </c>
      <c r="E1119">
        <v>0.28149999999999997</v>
      </c>
      <c r="F1119">
        <v>9538413.8300000001</v>
      </c>
      <c r="G1119">
        <v>0</v>
      </c>
      <c r="L1119" t="s">
        <v>8</v>
      </c>
      <c r="M1119" t="s">
        <v>8</v>
      </c>
      <c r="N1119" t="s">
        <v>7</v>
      </c>
      <c r="P1119">
        <f t="shared" si="1029"/>
        <v>0.48387096774193361</v>
      </c>
      <c r="Q1119">
        <f t="shared" si="1030"/>
        <v>4615361.5306451432</v>
      </c>
      <c r="R1119">
        <f t="shared" si="1031"/>
        <v>-36650157.744293123</v>
      </c>
      <c r="S1119">
        <f t="shared" si="1032"/>
        <v>-366.50157744293125</v>
      </c>
      <c r="T1119">
        <f t="shared" si="1033"/>
        <v>-0.36650157744293127</v>
      </c>
    </row>
    <row r="1120" spans="1:20" x14ac:dyDescent="0.25">
      <c r="A1120" s="5">
        <v>43473</v>
      </c>
      <c r="B1120">
        <v>0.27250000000000002</v>
      </c>
      <c r="C1120">
        <v>0.28270000000000001</v>
      </c>
      <c r="D1120">
        <v>0.26200000000000001</v>
      </c>
      <c r="E1120">
        <v>0.27050000000000002</v>
      </c>
      <c r="F1120">
        <v>8905198.4100000001</v>
      </c>
      <c r="G1120">
        <v>0</v>
      </c>
      <c r="L1120" t="s">
        <v>7</v>
      </c>
      <c r="M1120" t="s">
        <v>8</v>
      </c>
      <c r="N1120" t="s">
        <v>7</v>
      </c>
      <c r="P1120">
        <f t="shared" si="1029"/>
        <v>-0.17874396135265613</v>
      </c>
      <c r="Q1120">
        <f t="shared" si="1030"/>
        <v>-1591750.4404347748</v>
      </c>
      <c r="R1120">
        <f t="shared" si="1031"/>
        <v>-41265519.27493827</v>
      </c>
      <c r="S1120">
        <f t="shared" si="1032"/>
        <v>-412.65519274938271</v>
      </c>
      <c r="T1120">
        <f t="shared" si="1033"/>
        <v>-0.41265519274938273</v>
      </c>
    </row>
    <row r="1121" spans="1:20" x14ac:dyDescent="0.25">
      <c r="A1121" s="5">
        <v>43472</v>
      </c>
      <c r="B1121">
        <v>0.28170000000000001</v>
      </c>
      <c r="C1121">
        <v>0.28810000000000002</v>
      </c>
      <c r="D1121">
        <v>0.27110000000000001</v>
      </c>
      <c r="E1121">
        <v>0.27300000000000002</v>
      </c>
      <c r="F1121">
        <v>7301706.2300000004</v>
      </c>
      <c r="G1121">
        <v>0</v>
      </c>
      <c r="L1121" t="s">
        <v>8</v>
      </c>
      <c r="M1121" t="s">
        <v>8</v>
      </c>
      <c r="N1121" t="s">
        <v>7</v>
      </c>
      <c r="P1121">
        <f t="shared" si="1029"/>
        <v>-0.7764705882352928</v>
      </c>
      <c r="Q1121">
        <f t="shared" si="1030"/>
        <v>-5669560.1315294029</v>
      </c>
      <c r="R1121">
        <f t="shared" si="1031"/>
        <v>-39673768.834503494</v>
      </c>
      <c r="S1121">
        <f t="shared" si="1032"/>
        <v>-396.73768834503494</v>
      </c>
      <c r="T1121">
        <f t="shared" si="1033"/>
        <v>-0.39673768834503492</v>
      </c>
    </row>
    <row r="1122" spans="1:20" x14ac:dyDescent="0.25">
      <c r="A1122" s="5">
        <v>43471</v>
      </c>
      <c r="B1122">
        <v>0.26440000000000002</v>
      </c>
      <c r="C1122">
        <v>0.28689999999999999</v>
      </c>
      <c r="D1122">
        <v>0.2571</v>
      </c>
      <c r="E1122">
        <v>0.28189999999999998</v>
      </c>
      <c r="F1122">
        <v>9296647.1400000006</v>
      </c>
      <c r="G1122">
        <v>0</v>
      </c>
      <c r="L1122" t="s">
        <v>7</v>
      </c>
      <c r="M1122" t="s">
        <v>8</v>
      </c>
      <c r="N1122" t="s">
        <v>7</v>
      </c>
      <c r="P1122">
        <f t="shared" si="1029"/>
        <v>0.66442953020134188</v>
      </c>
      <c r="Q1122">
        <f t="shared" si="1030"/>
        <v>6176966.891677849</v>
      </c>
      <c r="R1122">
        <f t="shared" si="1031"/>
        <v>-34004208.702974088</v>
      </c>
      <c r="S1122">
        <f t="shared" si="1032"/>
        <v>-340.04208702974091</v>
      </c>
      <c r="T1122">
        <f t="shared" si="1033"/>
        <v>-0.34004208702974092</v>
      </c>
    </row>
    <row r="1123" spans="1:20" x14ac:dyDescent="0.25">
      <c r="A1123" s="5">
        <v>43470</v>
      </c>
      <c r="B1123">
        <v>0.26929999999999998</v>
      </c>
      <c r="C1123">
        <v>0.28339999999999999</v>
      </c>
      <c r="D1123">
        <v>0.26179999999999998</v>
      </c>
      <c r="E1123">
        <v>0.26379999999999998</v>
      </c>
      <c r="F1123">
        <v>7463913.79</v>
      </c>
      <c r="G1123">
        <v>0</v>
      </c>
      <c r="L1123" t="s">
        <v>8</v>
      </c>
      <c r="M1123" t="s">
        <v>8</v>
      </c>
      <c r="N1123" t="s">
        <v>7</v>
      </c>
      <c r="P1123">
        <f t="shared" si="1029"/>
        <v>-0.81481481481481477</v>
      </c>
      <c r="Q1123">
        <f t="shared" si="1030"/>
        <v>-6081707.5325925918</v>
      </c>
      <c r="R1123">
        <f t="shared" si="1031"/>
        <v>-40181175.594651937</v>
      </c>
      <c r="S1123">
        <f t="shared" si="1032"/>
        <v>-401.81175594651938</v>
      </c>
      <c r="T1123">
        <f t="shared" si="1033"/>
        <v>-0.40181175594651941</v>
      </c>
    </row>
    <row r="1124" spans="1:20" x14ac:dyDescent="0.25">
      <c r="A1124" s="5">
        <v>43469</v>
      </c>
      <c r="B1124">
        <v>0.25700000000000001</v>
      </c>
      <c r="C1124">
        <v>0.27550000000000002</v>
      </c>
      <c r="D1124">
        <v>0.25259999999999999</v>
      </c>
      <c r="E1124">
        <v>0.26919999999999999</v>
      </c>
      <c r="F1124">
        <v>8498542.6099999994</v>
      </c>
      <c r="G1124">
        <v>0</v>
      </c>
      <c r="L1124" t="s">
        <v>8</v>
      </c>
      <c r="M1124" t="s">
        <v>8</v>
      </c>
      <c r="N1124" t="s">
        <v>7</v>
      </c>
      <c r="P1124">
        <f t="shared" si="1029"/>
        <v>0.44978165938864462</v>
      </c>
      <c r="Q1124">
        <f t="shared" si="1030"/>
        <v>3822488.5975109027</v>
      </c>
      <c r="R1124">
        <f t="shared" si="1031"/>
        <v>-34099468.062059343</v>
      </c>
      <c r="S1124">
        <f t="shared" si="1032"/>
        <v>-340.99468062059344</v>
      </c>
      <c r="T1124">
        <f t="shared" si="1033"/>
        <v>-0.34099468062059346</v>
      </c>
    </row>
    <row r="1125" spans="1:20" x14ac:dyDescent="0.25">
      <c r="A1125" s="5">
        <v>43468</v>
      </c>
      <c r="B1125">
        <v>0.25140000000000001</v>
      </c>
      <c r="C1125">
        <v>0.26540000000000002</v>
      </c>
      <c r="D1125">
        <v>0.24690000000000001</v>
      </c>
      <c r="E1125">
        <v>0.25700000000000001</v>
      </c>
      <c r="F1125">
        <v>10388623.07</v>
      </c>
      <c r="G1125">
        <v>0</v>
      </c>
      <c r="L1125" t="s">
        <v>8</v>
      </c>
      <c r="M1125" t="s">
        <v>8</v>
      </c>
      <c r="N1125" t="s">
        <v>7</v>
      </c>
      <c r="P1125">
        <f t="shared" si="1029"/>
        <v>9.189189189189069E-2</v>
      </c>
      <c r="Q1125">
        <f t="shared" si="1030"/>
        <v>954630.22805404163</v>
      </c>
      <c r="R1125">
        <f t="shared" si="1031"/>
        <v>-37921956.659570247</v>
      </c>
      <c r="S1125">
        <f t="shared" si="1032"/>
        <v>-379.21956659570247</v>
      </c>
      <c r="T1125">
        <f t="shared" si="1033"/>
        <v>-0.3792195665957025</v>
      </c>
    </row>
    <row r="1126" spans="1:20" x14ac:dyDescent="0.25">
      <c r="A1126" s="5">
        <v>43467</v>
      </c>
      <c r="B1126">
        <v>0.24129999999999999</v>
      </c>
      <c r="C1126">
        <v>0.25600000000000001</v>
      </c>
      <c r="D1126">
        <v>0.2379</v>
      </c>
      <c r="E1126">
        <v>0.25030000000000002</v>
      </c>
      <c r="F1126">
        <v>4231528.68</v>
      </c>
      <c r="G1126">
        <v>0</v>
      </c>
      <c r="L1126" t="s">
        <v>8</v>
      </c>
      <c r="M1126" t="s">
        <v>8</v>
      </c>
      <c r="N1126" t="s">
        <v>7</v>
      </c>
      <c r="P1126">
        <f t="shared" si="1029"/>
        <v>0.37016574585635564</v>
      </c>
      <c r="Q1126">
        <f t="shared" si="1030"/>
        <v>1566366.96994476</v>
      </c>
      <c r="R1126">
        <f t="shared" si="1031"/>
        <v>-38876586.887624286</v>
      </c>
      <c r="S1126">
        <f t="shared" si="1032"/>
        <v>-388.76586887624285</v>
      </c>
      <c r="T1126">
        <f t="shared" si="1033"/>
        <v>-0.38876586887624287</v>
      </c>
    </row>
    <row r="1127" spans="1:20" x14ac:dyDescent="0.25">
      <c r="A1127" s="5">
        <v>43466</v>
      </c>
      <c r="B1127">
        <v>0.23449999999999999</v>
      </c>
      <c r="C1127">
        <v>0.2419</v>
      </c>
      <c r="D1127">
        <v>0.22950000000000001</v>
      </c>
      <c r="E1127">
        <v>0.24179999999999999</v>
      </c>
      <c r="F1127">
        <v>2785523.41</v>
      </c>
      <c r="G1127">
        <v>0</v>
      </c>
      <c r="L1127" t="s">
        <v>7</v>
      </c>
      <c r="M1127" t="s">
        <v>7</v>
      </c>
      <c r="N1127" t="s">
        <v>7</v>
      </c>
      <c r="P1127">
        <f t="shared" si="1029"/>
        <v>0.98387096774193272</v>
      </c>
      <c r="Q1127">
        <f t="shared" si="1030"/>
        <v>2740595.6130645084</v>
      </c>
      <c r="R1127">
        <f t="shared" si="1031"/>
        <v>-40442953.857569046</v>
      </c>
      <c r="S1127">
        <f t="shared" si="1032"/>
        <v>-404.42953857569046</v>
      </c>
      <c r="T1127">
        <f t="shared" si="1033"/>
        <v>-0.40442953857569047</v>
      </c>
    </row>
    <row r="1128" spans="1:20" x14ac:dyDescent="0.25">
      <c r="A1128" s="5">
        <v>43465</v>
      </c>
      <c r="B1128">
        <v>0.2414</v>
      </c>
      <c r="C1128">
        <v>0.24279999999999999</v>
      </c>
      <c r="D1128">
        <v>0.2288</v>
      </c>
      <c r="E1128">
        <v>0.23380000000000001</v>
      </c>
      <c r="F1128">
        <v>3552306.64</v>
      </c>
      <c r="G1128">
        <v>0</v>
      </c>
      <c r="L1128" t="s">
        <v>7</v>
      </c>
      <c r="M1128" t="s">
        <v>7</v>
      </c>
      <c r="N1128" t="s">
        <v>7</v>
      </c>
      <c r="P1128">
        <f t="shared" si="1029"/>
        <v>-0.28571428571428431</v>
      </c>
      <c r="Q1128">
        <f t="shared" si="1030"/>
        <v>-1014944.7542857094</v>
      </c>
      <c r="R1128">
        <f t="shared" si="1031"/>
        <v>-43183549.470633551</v>
      </c>
      <c r="S1128">
        <f t="shared" si="1032"/>
        <v>-431.83549470633551</v>
      </c>
      <c r="T1128">
        <f t="shared" si="1033"/>
        <v>-0.43183549470633553</v>
      </c>
    </row>
    <row r="1129" spans="1:20" x14ac:dyDescent="0.25">
      <c r="A1129" s="5">
        <v>43464</v>
      </c>
      <c r="B1129">
        <v>0.23019999999999999</v>
      </c>
      <c r="C1129">
        <v>0.2432</v>
      </c>
      <c r="D1129">
        <v>0.22750000000000001</v>
      </c>
      <c r="E1129">
        <v>0.24099999999999999</v>
      </c>
      <c r="F1129">
        <v>4451493.42</v>
      </c>
      <c r="G1129">
        <v>0</v>
      </c>
      <c r="L1129" t="s">
        <v>7</v>
      </c>
      <c r="M1129" t="s">
        <v>7</v>
      </c>
      <c r="N1129" t="s">
        <v>7</v>
      </c>
      <c r="P1129">
        <f t="shared" si="1029"/>
        <v>0.71974522292993526</v>
      </c>
      <c r="Q1129">
        <f t="shared" si="1030"/>
        <v>3203941.1239490397</v>
      </c>
      <c r="R1129">
        <f t="shared" si="1031"/>
        <v>-42168604.716347843</v>
      </c>
      <c r="S1129">
        <f t="shared" si="1032"/>
        <v>-421.68604716347841</v>
      </c>
      <c r="T1129">
        <f t="shared" si="1033"/>
        <v>-0.42168604716347841</v>
      </c>
    </row>
    <row r="1130" spans="1:20" x14ac:dyDescent="0.25">
      <c r="A1130" s="5">
        <v>43463</v>
      </c>
      <c r="B1130">
        <v>0.24529999999999999</v>
      </c>
      <c r="C1130">
        <v>0.24979999999999999</v>
      </c>
      <c r="D1130">
        <v>0.22750000000000001</v>
      </c>
      <c r="E1130">
        <v>0.22900000000000001</v>
      </c>
      <c r="F1130">
        <v>6101238.5999999996</v>
      </c>
      <c r="G1130">
        <v>0</v>
      </c>
      <c r="L1130" t="s">
        <v>7</v>
      </c>
      <c r="M1130" t="s">
        <v>7</v>
      </c>
      <c r="N1130" t="s">
        <v>7</v>
      </c>
      <c r="P1130">
        <f t="shared" si="1029"/>
        <v>-0.86547085201793705</v>
      </c>
      <c r="Q1130">
        <f t="shared" si="1030"/>
        <v>-5280444.1695067249</v>
      </c>
      <c r="R1130">
        <f t="shared" si="1031"/>
        <v>-45372545.840296879</v>
      </c>
      <c r="S1130">
        <f t="shared" si="1032"/>
        <v>-453.7254584029688</v>
      </c>
      <c r="T1130">
        <f t="shared" si="1033"/>
        <v>-0.4537254584029688</v>
      </c>
    </row>
    <row r="1131" spans="1:20" x14ac:dyDescent="0.25">
      <c r="A1131" s="5">
        <v>43462</v>
      </c>
      <c r="B1131">
        <v>0.21820000000000001</v>
      </c>
      <c r="C1131">
        <v>0.249</v>
      </c>
      <c r="D1131">
        <v>0.215</v>
      </c>
      <c r="E1131">
        <v>0.24529999999999999</v>
      </c>
      <c r="F1131">
        <v>6779532.5099999998</v>
      </c>
      <c r="G1131">
        <v>0</v>
      </c>
      <c r="L1131" t="s">
        <v>8</v>
      </c>
      <c r="M1131" t="s">
        <v>7</v>
      </c>
      <c r="N1131" t="s">
        <v>7</v>
      </c>
      <c r="P1131">
        <f t="shared" si="1029"/>
        <v>0.78235294117647003</v>
      </c>
      <c r="Q1131">
        <f t="shared" si="1030"/>
        <v>5303987.1989999963</v>
      </c>
      <c r="R1131">
        <f t="shared" si="1031"/>
        <v>-40092101.670790158</v>
      </c>
      <c r="S1131">
        <f t="shared" si="1032"/>
        <v>-400.92101670790157</v>
      </c>
      <c r="T1131">
        <f t="shared" si="1033"/>
        <v>-0.40092101670790159</v>
      </c>
    </row>
    <row r="1132" spans="1:20" x14ac:dyDescent="0.25">
      <c r="A1132" s="5">
        <v>43461</v>
      </c>
      <c r="B1132">
        <v>0.2414</v>
      </c>
      <c r="C1132">
        <v>0.24279999999999999</v>
      </c>
      <c r="D1132">
        <v>0.21540000000000001</v>
      </c>
      <c r="E1132">
        <v>0.21809999999999999</v>
      </c>
      <c r="F1132">
        <v>5774256.6799999997</v>
      </c>
      <c r="G1132">
        <v>0</v>
      </c>
      <c r="L1132" t="s">
        <v>7</v>
      </c>
      <c r="M1132" t="s">
        <v>7</v>
      </c>
      <c r="N1132" t="s">
        <v>7</v>
      </c>
      <c r="P1132">
        <f t="shared" si="1029"/>
        <v>-0.80291970802919843</v>
      </c>
      <c r="Q1132">
        <f t="shared" si="1030"/>
        <v>-4636264.487591248</v>
      </c>
      <c r="R1132">
        <f t="shared" si="1031"/>
        <v>-45396088.869790152</v>
      </c>
      <c r="S1132">
        <f t="shared" si="1032"/>
        <v>-453.96088869790151</v>
      </c>
      <c r="T1132">
        <f t="shared" si="1033"/>
        <v>-0.45396088869790152</v>
      </c>
    </row>
    <row r="1133" spans="1:20" x14ac:dyDescent="0.25">
      <c r="A1133" s="5">
        <v>43460</v>
      </c>
      <c r="B1133">
        <v>0.24349999999999999</v>
      </c>
      <c r="C1133">
        <v>0.2505</v>
      </c>
      <c r="D1133">
        <v>0.23169999999999999</v>
      </c>
      <c r="E1133">
        <v>0.24079999999999999</v>
      </c>
      <c r="F1133">
        <v>5742850.9299999997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-3.1914893617022169E-2</v>
      </c>
      <c r="Q1133">
        <f t="shared" si="1030"/>
        <v>-183282.47648936682</v>
      </c>
      <c r="R1133">
        <f t="shared" si="1031"/>
        <v>-40759824.382198907</v>
      </c>
      <c r="S1133">
        <f t="shared" si="1032"/>
        <v>-407.59824382198906</v>
      </c>
      <c r="T1133">
        <f t="shared" si="1033"/>
        <v>-0.40759824382198906</v>
      </c>
    </row>
    <row r="1134" spans="1:20" x14ac:dyDescent="0.25">
      <c r="A1134" s="5">
        <v>43459</v>
      </c>
      <c r="B1134">
        <v>0.27150000000000002</v>
      </c>
      <c r="C1134">
        <v>0.27279999999999999</v>
      </c>
      <c r="D1134">
        <v>0.23100000000000001</v>
      </c>
      <c r="E1134">
        <v>0.24179999999999999</v>
      </c>
      <c r="F1134">
        <v>8982001.9000000004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-0.48325358851674727</v>
      </c>
      <c r="Q1134">
        <f t="shared" si="1030"/>
        <v>-4340584.6502392422</v>
      </c>
      <c r="R1134">
        <f t="shared" si="1031"/>
        <v>-40576541.905709542</v>
      </c>
      <c r="S1134">
        <f t="shared" si="1032"/>
        <v>-405.76541905709541</v>
      </c>
      <c r="T1134">
        <f t="shared" si="1033"/>
        <v>-0.4057654190570954</v>
      </c>
    </row>
    <row r="1135" spans="1:20" x14ac:dyDescent="0.25">
      <c r="A1135" s="5">
        <v>43458</v>
      </c>
      <c r="B1135">
        <v>0.26090000000000002</v>
      </c>
      <c r="C1135">
        <v>0.29039999999999999</v>
      </c>
      <c r="D1135">
        <v>0.26090000000000002</v>
      </c>
      <c r="E1135">
        <v>0.27200000000000002</v>
      </c>
      <c r="F1135">
        <v>12430681.52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-0.24745762711864341</v>
      </c>
      <c r="Q1135">
        <f t="shared" si="1030"/>
        <v>-3076066.9524067715</v>
      </c>
      <c r="R1135">
        <f t="shared" si="1031"/>
        <v>-36235957.255470298</v>
      </c>
      <c r="S1135">
        <f t="shared" si="1032"/>
        <v>-362.35957255470299</v>
      </c>
      <c r="T1135">
        <f t="shared" si="1033"/>
        <v>-0.36235957255470297</v>
      </c>
    </row>
    <row r="1136" spans="1:20" x14ac:dyDescent="0.25">
      <c r="A1136" s="5">
        <v>43457</v>
      </c>
      <c r="B1136">
        <v>0.25230000000000002</v>
      </c>
      <c r="C1136">
        <v>0.27</v>
      </c>
      <c r="D1136">
        <v>0.2462</v>
      </c>
      <c r="E1136">
        <v>0.26090000000000002</v>
      </c>
      <c r="F1136">
        <v>9172821.3900000006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0.23529411764705957</v>
      </c>
      <c r="Q1136">
        <f t="shared" si="1030"/>
        <v>2158310.9152941247</v>
      </c>
      <c r="R1136">
        <f t="shared" si="1031"/>
        <v>-33159890.303063527</v>
      </c>
      <c r="S1136">
        <f t="shared" si="1032"/>
        <v>-331.59890303063526</v>
      </c>
      <c r="T1136">
        <f t="shared" si="1033"/>
        <v>-0.33159890303063527</v>
      </c>
    </row>
    <row r="1137" spans="1:20" x14ac:dyDescent="0.25">
      <c r="A1137" s="5">
        <v>43456</v>
      </c>
      <c r="B1137">
        <v>0.2399</v>
      </c>
      <c r="C1137">
        <v>0.25600000000000001</v>
      </c>
      <c r="D1137">
        <v>0.23369999999999999</v>
      </c>
      <c r="E1137">
        <v>0.25180000000000002</v>
      </c>
      <c r="F1137">
        <v>6094306.2199999997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0.62331838565022613</v>
      </c>
      <c r="Q1137">
        <f t="shared" si="1030"/>
        <v>3798693.1147085316</v>
      </c>
      <c r="R1137">
        <f t="shared" si="1031"/>
        <v>-35318201.218357652</v>
      </c>
      <c r="S1137">
        <f t="shared" si="1032"/>
        <v>-353.18201218357655</v>
      </c>
      <c r="T1137">
        <f t="shared" si="1033"/>
        <v>-0.35318201218357653</v>
      </c>
    </row>
    <row r="1138" spans="1:20" x14ac:dyDescent="0.25">
      <c r="A1138" s="5">
        <v>43455</v>
      </c>
      <c r="B1138">
        <v>0.24979999999999999</v>
      </c>
      <c r="C1138">
        <v>0.26919999999999999</v>
      </c>
      <c r="D1138">
        <v>0.2339</v>
      </c>
      <c r="E1138">
        <v>0.23899999999999999</v>
      </c>
      <c r="F1138">
        <v>16140106.65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-0.71104815864022697</v>
      </c>
      <c r="Q1138">
        <f t="shared" si="1030"/>
        <v>-11476393.113739382</v>
      </c>
      <c r="R1138">
        <f t="shared" si="1031"/>
        <v>-39116894.33306618</v>
      </c>
      <c r="S1138">
        <f t="shared" si="1032"/>
        <v>-391.16894333066182</v>
      </c>
      <c r="T1138">
        <f t="shared" si="1033"/>
        <v>-0.39116894333066182</v>
      </c>
    </row>
    <row r="1139" spans="1:20" x14ac:dyDescent="0.25">
      <c r="A1139" s="5">
        <v>43454</v>
      </c>
      <c r="B1139">
        <v>0.21970000000000001</v>
      </c>
      <c r="C1139">
        <v>0.25219999999999998</v>
      </c>
      <c r="D1139">
        <v>0.21759999999999999</v>
      </c>
      <c r="E1139">
        <v>0.2487</v>
      </c>
      <c r="F1139">
        <v>16711775.199999999</v>
      </c>
      <c r="G1139">
        <v>0</v>
      </c>
      <c r="L1139" t="s">
        <v>8</v>
      </c>
      <c r="M1139" t="s">
        <v>8</v>
      </c>
      <c r="N1139" t="s">
        <v>7</v>
      </c>
      <c r="P1139">
        <f t="shared" si="1029"/>
        <v>0.79768786127167768</v>
      </c>
      <c r="Q1139">
        <f t="shared" si="1030"/>
        <v>13330780.217341064</v>
      </c>
      <c r="R1139">
        <f t="shared" si="1031"/>
        <v>-27640501.219326794</v>
      </c>
      <c r="S1139">
        <f t="shared" si="1032"/>
        <v>-276.40501219326796</v>
      </c>
      <c r="T1139">
        <f t="shared" si="1033"/>
        <v>-0.27640501219326796</v>
      </c>
    </row>
    <row r="1140" spans="1:20" x14ac:dyDescent="0.25">
      <c r="A1140" s="5">
        <v>43453</v>
      </c>
      <c r="B1140">
        <v>0.22090000000000001</v>
      </c>
      <c r="C1140">
        <v>0.24759999999999999</v>
      </c>
      <c r="D1140">
        <v>0.2165</v>
      </c>
      <c r="E1140">
        <v>0.21929999999999999</v>
      </c>
      <c r="F1140">
        <v>17980044.140000001</v>
      </c>
      <c r="G1140">
        <v>0</v>
      </c>
      <c r="L1140" t="s">
        <v>8</v>
      </c>
      <c r="M1140" t="s">
        <v>8</v>
      </c>
      <c r="N1140" t="s">
        <v>7</v>
      </c>
      <c r="P1140">
        <f t="shared" si="1029"/>
        <v>-0.81993569131832811</v>
      </c>
      <c r="Q1140">
        <f t="shared" si="1030"/>
        <v>-14742479.921864955</v>
      </c>
      <c r="R1140">
        <f t="shared" si="1031"/>
        <v>-40971281.43666786</v>
      </c>
      <c r="S1140">
        <f t="shared" si="1032"/>
        <v>-409.71281436667857</v>
      </c>
      <c r="T1140">
        <f t="shared" si="1033"/>
        <v>-0.40971281436667856</v>
      </c>
    </row>
    <row r="1141" spans="1:20" x14ac:dyDescent="0.25">
      <c r="A1141" s="5">
        <v>43452</v>
      </c>
      <c r="B1141">
        <v>0.2089</v>
      </c>
      <c r="C1141">
        <v>0.221</v>
      </c>
      <c r="D1141">
        <v>0.19900000000000001</v>
      </c>
      <c r="E1141">
        <v>0.2205</v>
      </c>
      <c r="F1141">
        <v>8847436.0700000003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0.95454545454545447</v>
      </c>
      <c r="Q1141">
        <f t="shared" si="1030"/>
        <v>8445279.8849999998</v>
      </c>
      <c r="R1141">
        <f t="shared" si="1031"/>
        <v>-26228801.514802903</v>
      </c>
      <c r="S1141">
        <f t="shared" si="1032"/>
        <v>-262.28801514802905</v>
      </c>
      <c r="T1141">
        <f t="shared" si="1033"/>
        <v>-0.26228801514802902</v>
      </c>
    </row>
    <row r="1142" spans="1:20" x14ac:dyDescent="0.25">
      <c r="A1142" s="5">
        <v>43451</v>
      </c>
      <c r="B1142">
        <v>0.18709999999999999</v>
      </c>
      <c r="C1142">
        <v>0.21560000000000001</v>
      </c>
      <c r="D1142">
        <v>0.1865</v>
      </c>
      <c r="E1142">
        <v>0.2089</v>
      </c>
      <c r="F1142">
        <v>8496478.1999999993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0.53951890034364203</v>
      </c>
      <c r="Q1142">
        <f t="shared" si="1030"/>
        <v>4584010.5752577269</v>
      </c>
      <c r="R1142">
        <f t="shared" si="1031"/>
        <v>-34674081.399802901</v>
      </c>
      <c r="S1142">
        <f t="shared" si="1032"/>
        <v>-346.74081399802901</v>
      </c>
      <c r="T1142">
        <f t="shared" si="1033"/>
        <v>-0.34674081399802903</v>
      </c>
    </row>
    <row r="1143" spans="1:20" x14ac:dyDescent="0.25">
      <c r="A1143" s="5">
        <v>43450</v>
      </c>
      <c r="B1143">
        <v>0.1862</v>
      </c>
      <c r="C1143">
        <v>0.19420000000000001</v>
      </c>
      <c r="D1143">
        <v>0.18559999999999999</v>
      </c>
      <c r="E1143">
        <v>0.18709999999999999</v>
      </c>
      <c r="F1143">
        <v>2430172.29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-0.65116279069767513</v>
      </c>
      <c r="Q1143">
        <f t="shared" si="1030"/>
        <v>-1582437.7702325599</v>
      </c>
      <c r="R1143">
        <f t="shared" si="1031"/>
        <v>-39258091.975060627</v>
      </c>
      <c r="S1143">
        <f t="shared" si="1032"/>
        <v>-392.58091975060626</v>
      </c>
      <c r="T1143">
        <f t="shared" si="1033"/>
        <v>-0.39258091975060627</v>
      </c>
    </row>
    <row r="1144" spans="1:20" x14ac:dyDescent="0.25">
      <c r="A1144" s="5">
        <v>43449</v>
      </c>
      <c r="B1144">
        <v>0.18579999999999999</v>
      </c>
      <c r="C1144">
        <v>0.191</v>
      </c>
      <c r="D1144">
        <v>0.18129999999999999</v>
      </c>
      <c r="E1144">
        <v>0.186</v>
      </c>
      <c r="F1144">
        <v>3853040.52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-3.0927835051545803E-2</v>
      </c>
      <c r="Q1144">
        <f t="shared" si="1030"/>
        <v>-119166.20164948227</v>
      </c>
      <c r="R1144">
        <f t="shared" si="1031"/>
        <v>-37675654.204828069</v>
      </c>
      <c r="S1144">
        <f t="shared" si="1032"/>
        <v>-376.75654204828066</v>
      </c>
      <c r="T1144">
        <f t="shared" si="1033"/>
        <v>-0.37675654204828068</v>
      </c>
    </row>
    <row r="1145" spans="1:20" x14ac:dyDescent="0.25">
      <c r="A1145" s="5">
        <v>43448</v>
      </c>
      <c r="B1145">
        <v>0.1956</v>
      </c>
      <c r="C1145">
        <v>0.20150000000000001</v>
      </c>
      <c r="D1145">
        <v>0.1807</v>
      </c>
      <c r="E1145">
        <v>0.186</v>
      </c>
      <c r="F1145">
        <v>6063809.9100000001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-0.49038461538461581</v>
      </c>
      <c r="Q1145">
        <f t="shared" si="1030"/>
        <v>-2973599.0904807718</v>
      </c>
      <c r="R1145">
        <f t="shared" si="1031"/>
        <v>-37556488.003178589</v>
      </c>
      <c r="S1145">
        <f t="shared" si="1032"/>
        <v>-375.56488003178589</v>
      </c>
      <c r="T1145">
        <f t="shared" si="1033"/>
        <v>-0.3755648800317859</v>
      </c>
    </row>
    <row r="1146" spans="1:20" x14ac:dyDescent="0.25">
      <c r="A1146" s="5">
        <v>43447</v>
      </c>
      <c r="B1146">
        <v>0.20799999999999999</v>
      </c>
      <c r="C1146">
        <v>0.2089</v>
      </c>
      <c r="D1146">
        <v>0.1923</v>
      </c>
      <c r="E1146">
        <v>0.19550000000000001</v>
      </c>
      <c r="F1146">
        <v>4354518.33</v>
      </c>
      <c r="G1146">
        <v>0</v>
      </c>
      <c r="L1146" t="s">
        <v>7</v>
      </c>
      <c r="M1146" t="s">
        <v>8</v>
      </c>
      <c r="N1146" t="s">
        <v>7</v>
      </c>
      <c r="P1146">
        <f t="shared" si="1029"/>
        <v>-0.6144578313253003</v>
      </c>
      <c r="Q1146">
        <f t="shared" si="1030"/>
        <v>-2675667.8895180682</v>
      </c>
      <c r="R1146">
        <f t="shared" si="1031"/>
        <v>-34582888.912697814</v>
      </c>
      <c r="S1146">
        <f t="shared" si="1032"/>
        <v>-345.82888912697814</v>
      </c>
      <c r="T1146">
        <f t="shared" si="1033"/>
        <v>-0.34582888912697812</v>
      </c>
    </row>
    <row r="1147" spans="1:20" x14ac:dyDescent="0.25">
      <c r="A1147" s="5">
        <v>43446</v>
      </c>
      <c r="B1147">
        <v>0.20050000000000001</v>
      </c>
      <c r="C1147">
        <v>0.21060000000000001</v>
      </c>
      <c r="D1147">
        <v>0.1953</v>
      </c>
      <c r="E1147">
        <v>0.20810000000000001</v>
      </c>
      <c r="F1147">
        <v>4373155.5</v>
      </c>
      <c r="G1147">
        <v>0</v>
      </c>
      <c r="L1147" t="s">
        <v>8</v>
      </c>
      <c r="M1147" t="s">
        <v>8</v>
      </c>
      <c r="N1147" t="s">
        <v>7</v>
      </c>
      <c r="P1147">
        <f t="shared" si="1029"/>
        <v>0.6732026143790848</v>
      </c>
      <c r="Q1147">
        <f t="shared" si="1030"/>
        <v>2944019.7156862738</v>
      </c>
      <c r="R1147">
        <f t="shared" si="1031"/>
        <v>-31907221.023179743</v>
      </c>
      <c r="S1147">
        <f t="shared" si="1032"/>
        <v>-319.07221023179744</v>
      </c>
      <c r="T1147">
        <f t="shared" si="1033"/>
        <v>-0.31907221023179744</v>
      </c>
    </row>
    <row r="1148" spans="1:20" x14ac:dyDescent="0.25">
      <c r="A1148" s="5">
        <v>43445</v>
      </c>
      <c r="B1148">
        <v>0.20549999999999999</v>
      </c>
      <c r="C1148">
        <v>0.20860000000000001</v>
      </c>
      <c r="D1148">
        <v>0.1948</v>
      </c>
      <c r="E1148">
        <v>0.20050000000000001</v>
      </c>
      <c r="F1148">
        <v>3868131.34</v>
      </c>
      <c r="G1148">
        <v>0</v>
      </c>
      <c r="L1148" t="s">
        <v>7</v>
      </c>
      <c r="M1148" t="s">
        <v>8</v>
      </c>
      <c r="N1148" t="s">
        <v>7</v>
      </c>
      <c r="P1148">
        <f t="shared" si="1029"/>
        <v>-0.17391304347825973</v>
      </c>
      <c r="Q1148">
        <f t="shared" si="1030"/>
        <v>-672718.49391303898</v>
      </c>
      <c r="R1148">
        <f t="shared" si="1031"/>
        <v>-34851240.738866016</v>
      </c>
      <c r="S1148">
        <f t="shared" si="1032"/>
        <v>-348.51240738866016</v>
      </c>
      <c r="T1148">
        <f t="shared" si="1033"/>
        <v>-0.34851240738866018</v>
      </c>
    </row>
    <row r="1149" spans="1:20" x14ac:dyDescent="0.25">
      <c r="A1149" s="5">
        <v>43444</v>
      </c>
      <c r="B1149">
        <v>0.21809999999999999</v>
      </c>
      <c r="C1149">
        <v>0.2215</v>
      </c>
      <c r="D1149">
        <v>0.2001</v>
      </c>
      <c r="E1149">
        <v>0.20580000000000001</v>
      </c>
      <c r="F1149">
        <v>5407810.5599999996</v>
      </c>
      <c r="G1149">
        <v>0</v>
      </c>
      <c r="L1149" t="s">
        <v>7</v>
      </c>
      <c r="M1149" t="s">
        <v>8</v>
      </c>
      <c r="N1149" t="s">
        <v>7</v>
      </c>
      <c r="P1149">
        <f t="shared" si="1029"/>
        <v>-0.46728971962616728</v>
      </c>
      <c r="Q1149">
        <f t="shared" si="1030"/>
        <v>-2527014.2803738266</v>
      </c>
      <c r="R1149">
        <f t="shared" si="1031"/>
        <v>-34178522.244952977</v>
      </c>
      <c r="S1149">
        <f t="shared" si="1032"/>
        <v>-341.78522244952978</v>
      </c>
      <c r="T1149">
        <f t="shared" si="1033"/>
        <v>-0.3417852224495298</v>
      </c>
    </row>
    <row r="1150" spans="1:20" x14ac:dyDescent="0.25">
      <c r="A1150" s="5">
        <v>43443</v>
      </c>
      <c r="B1150">
        <v>0.20630000000000001</v>
      </c>
      <c r="C1150">
        <v>0.2298</v>
      </c>
      <c r="D1150">
        <v>0.20549999999999999</v>
      </c>
      <c r="E1150">
        <v>0.2177</v>
      </c>
      <c r="F1150">
        <v>6486529.6100000003</v>
      </c>
      <c r="G1150">
        <v>0</v>
      </c>
      <c r="L1150" t="s">
        <v>8</v>
      </c>
      <c r="M1150" t="s">
        <v>8</v>
      </c>
      <c r="N1150" t="s">
        <v>7</v>
      </c>
      <c r="P1150">
        <f t="shared" si="1029"/>
        <v>4.1152263374492461E-3</v>
      </c>
      <c r="Q1150">
        <f t="shared" si="1030"/>
        <v>26693.537489716389</v>
      </c>
      <c r="R1150">
        <f t="shared" si="1031"/>
        <v>-31651507.96457915</v>
      </c>
      <c r="S1150">
        <f t="shared" si="1032"/>
        <v>-316.5150796457915</v>
      </c>
      <c r="T1150">
        <f t="shared" si="1033"/>
        <v>-0.31651507964579151</v>
      </c>
    </row>
    <row r="1151" spans="1:20" x14ac:dyDescent="0.25">
      <c r="A1151" s="5">
        <v>43442</v>
      </c>
      <c r="B1151">
        <v>0.21049999999999999</v>
      </c>
      <c r="C1151">
        <v>0.2235</v>
      </c>
      <c r="D1151">
        <v>0.19520000000000001</v>
      </c>
      <c r="E1151">
        <v>0.2059</v>
      </c>
      <c r="F1151">
        <v>7244830.4900000002</v>
      </c>
      <c r="G1151">
        <v>0</v>
      </c>
      <c r="L1151" t="s">
        <v>8</v>
      </c>
      <c r="M1151" t="s">
        <v>8</v>
      </c>
      <c r="N1151" t="s">
        <v>7</v>
      </c>
      <c r="P1151">
        <f t="shared" ref="P1151:P1195" si="1034">IF(C1151=D1151,0,((E1151-D1151)-(C1151-E1151))/(C1151-D1151))</f>
        <v>-0.24381625441696181</v>
      </c>
      <c r="Q1151">
        <f t="shared" ref="Q1151:Q1195" si="1035">F1151*P1151</f>
        <v>-1766407.4339576021</v>
      </c>
      <c r="R1151">
        <f t="shared" ref="R1151:R1195" si="1036">R1152+Q1151</f>
        <v>-31678201.502068866</v>
      </c>
      <c r="S1151">
        <f t="shared" ref="S1151:S1195" si="1037">R1151/100000</f>
        <v>-316.78201502068868</v>
      </c>
      <c r="T1151">
        <f t="shared" ref="T1151:T1195" si="1038">S1151/1000</f>
        <v>-0.3167820150206887</v>
      </c>
    </row>
    <row r="1152" spans="1:20" x14ac:dyDescent="0.25">
      <c r="A1152" s="5">
        <v>43441</v>
      </c>
      <c r="B1152">
        <v>0.21179999999999999</v>
      </c>
      <c r="C1152">
        <v>0.22209999999999999</v>
      </c>
      <c r="D1152">
        <v>0.19</v>
      </c>
      <c r="E1152">
        <v>0.21</v>
      </c>
      <c r="F1152">
        <v>10665741.91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0.24610591900311504</v>
      </c>
      <c r="Q1152">
        <f t="shared" si="1035"/>
        <v>2624902.2146105897</v>
      </c>
      <c r="R1152">
        <f t="shared" si="1036"/>
        <v>-29911794.068111263</v>
      </c>
      <c r="S1152">
        <f t="shared" si="1037"/>
        <v>-299.11794068111266</v>
      </c>
      <c r="T1152">
        <f t="shared" si="1038"/>
        <v>-0.29911794068111264</v>
      </c>
    </row>
    <row r="1153" spans="1:20" x14ac:dyDescent="0.25">
      <c r="A1153" s="5">
        <v>43440</v>
      </c>
      <c r="B1153">
        <v>0.2324</v>
      </c>
      <c r="C1153">
        <v>0.246</v>
      </c>
      <c r="D1153">
        <v>0.21</v>
      </c>
      <c r="E1153">
        <v>0.21240000000000001</v>
      </c>
      <c r="F1153">
        <v>8669208.1999999993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-0.86666666666666592</v>
      </c>
      <c r="Q1153">
        <f t="shared" si="1035"/>
        <v>-7513313.773333326</v>
      </c>
      <c r="R1153">
        <f t="shared" si="1036"/>
        <v>-32536696.282721855</v>
      </c>
      <c r="S1153">
        <f t="shared" si="1037"/>
        <v>-325.36696282721857</v>
      </c>
      <c r="T1153">
        <f t="shared" si="1038"/>
        <v>-0.32536696282721855</v>
      </c>
    </row>
    <row r="1154" spans="1:20" x14ac:dyDescent="0.25">
      <c r="A1154" s="5">
        <v>43439</v>
      </c>
      <c r="B1154">
        <v>0.25430000000000003</v>
      </c>
      <c r="C1154">
        <v>0.25840000000000002</v>
      </c>
      <c r="D1154">
        <v>0.23139999999999999</v>
      </c>
      <c r="E1154">
        <v>0.23250000000000001</v>
      </c>
      <c r="F1154">
        <v>5869833.4699999997</v>
      </c>
      <c r="G1154">
        <v>0</v>
      </c>
      <c r="L1154" t="s">
        <v>7</v>
      </c>
      <c r="M1154" t="s">
        <v>7</v>
      </c>
      <c r="N1154" t="s">
        <v>8</v>
      </c>
      <c r="P1154">
        <f t="shared" si="1034"/>
        <v>-0.91851851851851729</v>
      </c>
      <c r="Q1154">
        <f t="shared" si="1035"/>
        <v>-5391550.7428148072</v>
      </c>
      <c r="R1154">
        <f t="shared" si="1036"/>
        <v>-25023382.509388529</v>
      </c>
      <c r="S1154">
        <f t="shared" si="1037"/>
        <v>-250.23382509388529</v>
      </c>
      <c r="T1154">
        <f t="shared" si="1038"/>
        <v>-0.25023382509388531</v>
      </c>
    </row>
    <row r="1155" spans="1:20" x14ac:dyDescent="0.25">
      <c r="A1155" s="5">
        <v>43438</v>
      </c>
      <c r="B1155">
        <v>0.248</v>
      </c>
      <c r="C1155">
        <v>0.26889999999999997</v>
      </c>
      <c r="D1155">
        <v>0.23630000000000001</v>
      </c>
      <c r="E1155">
        <v>0.25430000000000003</v>
      </c>
      <c r="F1155">
        <v>7967828.3700000001</v>
      </c>
      <c r="G1155">
        <v>0</v>
      </c>
      <c r="L1155" t="s">
        <v>8</v>
      </c>
      <c r="M1155" t="s">
        <v>7</v>
      </c>
      <c r="N1155" t="s">
        <v>8</v>
      </c>
      <c r="P1155">
        <f t="shared" si="1034"/>
        <v>0.10429447852760962</v>
      </c>
      <c r="Q1155">
        <f t="shared" si="1035"/>
        <v>831000.50484664377</v>
      </c>
      <c r="R1155">
        <f t="shared" si="1036"/>
        <v>-19631831.76657372</v>
      </c>
      <c r="S1155">
        <f t="shared" si="1037"/>
        <v>-196.3183176657372</v>
      </c>
      <c r="T1155">
        <f t="shared" si="1038"/>
        <v>-0.19631831766573721</v>
      </c>
    </row>
    <row r="1156" spans="1:20" x14ac:dyDescent="0.25">
      <c r="A1156" s="5">
        <v>43437</v>
      </c>
      <c r="B1156">
        <v>0.27389999999999998</v>
      </c>
      <c r="C1156">
        <v>0.27579999999999999</v>
      </c>
      <c r="D1156">
        <v>0.2399</v>
      </c>
      <c r="E1156">
        <v>0.2472</v>
      </c>
      <c r="F1156">
        <v>8392222.7100000009</v>
      </c>
      <c r="G1156">
        <v>0</v>
      </c>
      <c r="L1156" t="s">
        <v>7</v>
      </c>
      <c r="M1156" t="s">
        <v>7</v>
      </c>
      <c r="N1156" t="s">
        <v>8</v>
      </c>
      <c r="P1156">
        <f t="shared" si="1034"/>
        <v>-0.59331476323119758</v>
      </c>
      <c r="Q1156">
        <f t="shared" si="1035"/>
        <v>-4979229.6301671294</v>
      </c>
      <c r="R1156">
        <f t="shared" si="1036"/>
        <v>-20462832.271420363</v>
      </c>
      <c r="S1156">
        <f t="shared" si="1037"/>
        <v>-204.62832271420362</v>
      </c>
      <c r="T1156">
        <f t="shared" si="1038"/>
        <v>-0.20462832271420361</v>
      </c>
    </row>
    <row r="1157" spans="1:20" x14ac:dyDescent="0.25">
      <c r="A1157" s="5">
        <v>43436</v>
      </c>
      <c r="B1157">
        <v>0.27729999999999999</v>
      </c>
      <c r="C1157">
        <v>0.28999999999999998</v>
      </c>
      <c r="D1157">
        <v>0.27</v>
      </c>
      <c r="E1157">
        <v>0.27389999999999998</v>
      </c>
      <c r="F1157">
        <v>7018602.8600000003</v>
      </c>
      <c r="G1157">
        <v>0</v>
      </c>
      <c r="L1157" t="s">
        <v>7</v>
      </c>
      <c r="M1157" t="s">
        <v>8</v>
      </c>
      <c r="N1157" t="s">
        <v>8</v>
      </c>
      <c r="P1157">
        <f t="shared" si="1034"/>
        <v>-0.61000000000000332</v>
      </c>
      <c r="Q1157">
        <f t="shared" si="1035"/>
        <v>-4281347.7446000231</v>
      </c>
      <c r="R1157">
        <f t="shared" si="1036"/>
        <v>-15483602.641253233</v>
      </c>
      <c r="S1157">
        <f t="shared" si="1037"/>
        <v>-154.83602641253233</v>
      </c>
      <c r="T1157">
        <f t="shared" si="1038"/>
        <v>-0.15483602641253233</v>
      </c>
    </row>
    <row r="1158" spans="1:20" x14ac:dyDescent="0.25">
      <c r="A1158" s="5">
        <v>43435</v>
      </c>
      <c r="B1158">
        <v>0.26040000000000002</v>
      </c>
      <c r="C1158">
        <v>0.28789999999999999</v>
      </c>
      <c r="D1158">
        <v>0.25009999999999999</v>
      </c>
      <c r="E1158">
        <v>0.27800000000000002</v>
      </c>
      <c r="F1158">
        <v>7752912.9500000002</v>
      </c>
      <c r="G1158">
        <v>0</v>
      </c>
      <c r="L1158" t="s">
        <v>8</v>
      </c>
      <c r="M1158" t="s">
        <v>8</v>
      </c>
      <c r="N1158" t="s">
        <v>8</v>
      </c>
      <c r="P1158">
        <f t="shared" si="1034"/>
        <v>0.47619047619047805</v>
      </c>
      <c r="Q1158">
        <f t="shared" si="1035"/>
        <v>3691863.3095238241</v>
      </c>
      <c r="R1158">
        <f t="shared" si="1036"/>
        <v>-11202254.896653211</v>
      </c>
      <c r="S1158">
        <f t="shared" si="1037"/>
        <v>-112.02254896653211</v>
      </c>
      <c r="T1158">
        <f t="shared" si="1038"/>
        <v>-0.11202254896653212</v>
      </c>
    </row>
    <row r="1159" spans="1:20" x14ac:dyDescent="0.25">
      <c r="A1159" s="5">
        <v>43434</v>
      </c>
      <c r="B1159">
        <v>0.29020000000000001</v>
      </c>
      <c r="C1159">
        <v>0.2923</v>
      </c>
      <c r="D1159">
        <v>0.24260000000000001</v>
      </c>
      <c r="E1159">
        <v>0.26029999999999998</v>
      </c>
      <c r="F1159">
        <v>11348398.17</v>
      </c>
      <c r="G1159">
        <v>0</v>
      </c>
      <c r="L1159" t="s">
        <v>7</v>
      </c>
      <c r="M1159" t="s">
        <v>7</v>
      </c>
      <c r="N1159" t="s">
        <v>8</v>
      </c>
      <c r="P1159">
        <f t="shared" si="1034"/>
        <v>-0.28772635814889463</v>
      </c>
      <c r="Q1159">
        <f t="shared" si="1035"/>
        <v>-3265233.2762776804</v>
      </c>
      <c r="R1159">
        <f t="shared" si="1036"/>
        <v>-14894118.206177035</v>
      </c>
      <c r="S1159">
        <f t="shared" si="1037"/>
        <v>-148.94118206177035</v>
      </c>
      <c r="T1159">
        <f t="shared" si="1038"/>
        <v>-0.14894118206177034</v>
      </c>
    </row>
    <row r="1160" spans="1:20" x14ac:dyDescent="0.25">
      <c r="A1160" s="5">
        <v>43433</v>
      </c>
      <c r="B1160">
        <v>0.27729999999999999</v>
      </c>
      <c r="C1160">
        <v>0.31</v>
      </c>
      <c r="D1160">
        <v>0.26200000000000001</v>
      </c>
      <c r="E1160">
        <v>0.29020000000000001</v>
      </c>
      <c r="F1160">
        <v>12787436.49</v>
      </c>
      <c r="G1160">
        <v>0</v>
      </c>
      <c r="L1160" t="s">
        <v>8</v>
      </c>
      <c r="M1160" t="s">
        <v>8</v>
      </c>
      <c r="N1160" t="s">
        <v>8</v>
      </c>
      <c r="P1160">
        <f t="shared" si="1034"/>
        <v>0.17500000000000043</v>
      </c>
      <c r="Q1160">
        <f t="shared" si="1035"/>
        <v>2237801.3857500055</v>
      </c>
      <c r="R1160">
        <f t="shared" si="1036"/>
        <v>-11628884.929899355</v>
      </c>
      <c r="S1160">
        <f t="shared" si="1037"/>
        <v>-116.28884929899355</v>
      </c>
      <c r="T1160">
        <f t="shared" si="1038"/>
        <v>-0.11628884929899355</v>
      </c>
    </row>
    <row r="1161" spans="1:20" x14ac:dyDescent="0.25">
      <c r="A1161" s="5">
        <v>43432</v>
      </c>
      <c r="B1161">
        <v>0.23300000000000001</v>
      </c>
      <c r="C1161">
        <v>0.2893</v>
      </c>
      <c r="D1161">
        <v>0.23300000000000001</v>
      </c>
      <c r="E1161">
        <v>0.27789999999999998</v>
      </c>
      <c r="F1161">
        <v>11797801.35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0.59502664298401342</v>
      </c>
      <c r="Q1161">
        <f t="shared" si="1035"/>
        <v>7020006.1318827616</v>
      </c>
      <c r="R1161">
        <f t="shared" si="1036"/>
        <v>-13866686.31564936</v>
      </c>
      <c r="S1161">
        <f t="shared" si="1037"/>
        <v>-138.6668631564936</v>
      </c>
      <c r="T1161">
        <f t="shared" si="1038"/>
        <v>-0.1386668631564936</v>
      </c>
    </row>
    <row r="1162" spans="1:20" x14ac:dyDescent="0.25">
      <c r="A1162" s="5">
        <v>43431</v>
      </c>
      <c r="B1162">
        <v>0.22559999999999999</v>
      </c>
      <c r="C1162">
        <v>0.2392</v>
      </c>
      <c r="D1162">
        <v>0.21609999999999999</v>
      </c>
      <c r="E1162">
        <v>0.2336</v>
      </c>
      <c r="F1162">
        <v>4700598.57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0.51515151515151592</v>
      </c>
      <c r="Q1162">
        <f t="shared" si="1035"/>
        <v>2421520.4754545493</v>
      </c>
      <c r="R1162">
        <f t="shared" si="1036"/>
        <v>-20886692.447532121</v>
      </c>
      <c r="S1162">
        <f t="shared" si="1037"/>
        <v>-208.86692447532121</v>
      </c>
      <c r="T1162">
        <f t="shared" si="1038"/>
        <v>-0.20886692447532121</v>
      </c>
    </row>
    <row r="1163" spans="1:20" x14ac:dyDescent="0.25">
      <c r="A1163" s="5">
        <v>43430</v>
      </c>
      <c r="B1163">
        <v>0.24310000000000001</v>
      </c>
      <c r="C1163">
        <v>0.25700000000000001</v>
      </c>
      <c r="D1163">
        <v>0.2112</v>
      </c>
      <c r="E1163">
        <v>0.22589999999999999</v>
      </c>
      <c r="F1163">
        <v>8852137.5399999991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-0.35807860262008784</v>
      </c>
      <c r="Q1163">
        <f t="shared" si="1035"/>
        <v>-3169761.0405240217</v>
      </c>
      <c r="R1163">
        <f t="shared" si="1036"/>
        <v>-23308212.922986671</v>
      </c>
      <c r="S1163">
        <f t="shared" si="1037"/>
        <v>-233.08212922986672</v>
      </c>
      <c r="T1163">
        <f t="shared" si="1038"/>
        <v>-0.23308212922986674</v>
      </c>
    </row>
    <row r="1164" spans="1:20" x14ac:dyDescent="0.25">
      <c r="A1164" s="5">
        <v>43429</v>
      </c>
      <c r="B1164">
        <v>0.23930000000000001</v>
      </c>
      <c r="C1164">
        <v>0.25280000000000002</v>
      </c>
      <c r="D1164">
        <v>0.20910000000000001</v>
      </c>
      <c r="E1164">
        <v>0.24440000000000001</v>
      </c>
      <c r="F1164">
        <v>9113950.1099999994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0.6155606407322648</v>
      </c>
      <c r="Q1164">
        <f t="shared" si="1035"/>
        <v>5610188.9693134949</v>
      </c>
      <c r="R1164">
        <f t="shared" si="1036"/>
        <v>-20138451.882462651</v>
      </c>
      <c r="S1164">
        <f t="shared" si="1037"/>
        <v>-201.3845188246265</v>
      </c>
      <c r="T1164">
        <f t="shared" si="1038"/>
        <v>-0.20138451882462649</v>
      </c>
    </row>
    <row r="1165" spans="1:20" x14ac:dyDescent="0.25">
      <c r="A1165" s="5">
        <v>43428</v>
      </c>
      <c r="B1165">
        <v>0.27589999999999998</v>
      </c>
      <c r="C1165">
        <v>0.28839999999999999</v>
      </c>
      <c r="D1165">
        <v>0.23080000000000001</v>
      </c>
      <c r="E1165">
        <v>0.23949999999999999</v>
      </c>
      <c r="F1165">
        <v>4463144.0599999996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-0.69791666666666707</v>
      </c>
      <c r="Q1165">
        <f t="shared" si="1035"/>
        <v>-3114902.625208335</v>
      </c>
      <c r="R1165">
        <f t="shared" si="1036"/>
        <v>-25748640.851776145</v>
      </c>
      <c r="S1165">
        <f t="shared" si="1037"/>
        <v>-257.48640851776145</v>
      </c>
      <c r="T1165">
        <f t="shared" si="1038"/>
        <v>-0.25748640851776144</v>
      </c>
    </row>
    <row r="1166" spans="1:20" x14ac:dyDescent="0.25">
      <c r="A1166" s="5">
        <v>43427</v>
      </c>
      <c r="B1166">
        <v>0.27760000000000001</v>
      </c>
      <c r="C1166">
        <v>0.28539999999999999</v>
      </c>
      <c r="D1166">
        <v>0.26100000000000001</v>
      </c>
      <c r="E1166">
        <v>0.27679999999999999</v>
      </c>
      <c r="F1166">
        <v>4599029.5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0.29508196721311436</v>
      </c>
      <c r="Q1166">
        <f t="shared" si="1035"/>
        <v>1357090.6721311458</v>
      </c>
      <c r="R1166">
        <f t="shared" si="1036"/>
        <v>-22633738.226567809</v>
      </c>
      <c r="S1166">
        <f t="shared" si="1037"/>
        <v>-226.33738226567809</v>
      </c>
      <c r="T1166">
        <f t="shared" si="1038"/>
        <v>-0.22633738226567809</v>
      </c>
    </row>
    <row r="1167" spans="1:20" x14ac:dyDescent="0.25">
      <c r="A1167" s="5">
        <v>43426</v>
      </c>
      <c r="B1167">
        <v>0.30330000000000001</v>
      </c>
      <c r="C1167">
        <v>0.30980000000000002</v>
      </c>
      <c r="D1167">
        <v>0.2762</v>
      </c>
      <c r="E1167">
        <v>0.27760000000000001</v>
      </c>
      <c r="F1167">
        <v>4162684.32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-0.91666666666666596</v>
      </c>
      <c r="Q1167">
        <f t="shared" si="1035"/>
        <v>-3815793.9599999967</v>
      </c>
      <c r="R1167">
        <f t="shared" si="1036"/>
        <v>-23990828.898698956</v>
      </c>
      <c r="S1167">
        <f t="shared" si="1037"/>
        <v>-239.90828898698956</v>
      </c>
      <c r="T1167">
        <f t="shared" si="1038"/>
        <v>-0.23990828898698957</v>
      </c>
    </row>
    <row r="1168" spans="1:20" x14ac:dyDescent="0.25">
      <c r="A1168" s="5">
        <v>43425</v>
      </c>
      <c r="B1168">
        <v>0.28549999999999998</v>
      </c>
      <c r="C1168">
        <v>0.31680000000000003</v>
      </c>
      <c r="D1168">
        <v>0.27239999999999998</v>
      </c>
      <c r="E1168">
        <v>0.30320000000000003</v>
      </c>
      <c r="F1168">
        <v>7740990.4800000004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0.38738738738738804</v>
      </c>
      <c r="Q1168">
        <f t="shared" si="1035"/>
        <v>2998762.077837843</v>
      </c>
      <c r="R1168">
        <f t="shared" si="1036"/>
        <v>-20175034.938698959</v>
      </c>
      <c r="S1168">
        <f t="shared" si="1037"/>
        <v>-201.7503493869896</v>
      </c>
      <c r="T1168">
        <f t="shared" si="1038"/>
        <v>-0.2017503493869896</v>
      </c>
    </row>
    <row r="1169" spans="1:20" x14ac:dyDescent="0.25">
      <c r="A1169" s="5">
        <v>43424</v>
      </c>
      <c r="B1169">
        <v>0.32919999999999999</v>
      </c>
      <c r="C1169">
        <v>0.35</v>
      </c>
      <c r="D1169">
        <v>0.2555</v>
      </c>
      <c r="E1169">
        <v>0.28699999999999998</v>
      </c>
      <c r="F1169">
        <v>16804692.199999999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-0.3333333333333337</v>
      </c>
      <c r="Q1169">
        <f t="shared" si="1035"/>
        <v>-5601564.0666666729</v>
      </c>
      <c r="R1169">
        <f t="shared" si="1036"/>
        <v>-23173797.016536802</v>
      </c>
      <c r="S1169">
        <f t="shared" si="1037"/>
        <v>-231.73797016536801</v>
      </c>
      <c r="T1169">
        <f t="shared" si="1038"/>
        <v>-0.23173797016536801</v>
      </c>
    </row>
    <row r="1170" spans="1:20" x14ac:dyDescent="0.25">
      <c r="A1170" s="5">
        <v>43423</v>
      </c>
      <c r="B1170">
        <v>0.42259999999999998</v>
      </c>
      <c r="C1170">
        <v>0.42259999999999998</v>
      </c>
      <c r="D1170">
        <v>0.32100000000000001</v>
      </c>
      <c r="E1170">
        <v>0.33069999999999999</v>
      </c>
      <c r="F1170">
        <v>11044993.960000001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-0.80905511811023645</v>
      </c>
      <c r="Q1170">
        <f t="shared" si="1035"/>
        <v>-8936008.8928346485</v>
      </c>
      <c r="R1170">
        <f t="shared" si="1036"/>
        <v>-17572232.949870128</v>
      </c>
      <c r="S1170">
        <f t="shared" si="1037"/>
        <v>-175.72232949870127</v>
      </c>
      <c r="T1170">
        <f t="shared" si="1038"/>
        <v>-0.17572232949870126</v>
      </c>
    </row>
    <row r="1171" spans="1:20" x14ac:dyDescent="0.25">
      <c r="A1171" s="5">
        <v>43422</v>
      </c>
      <c r="B1171">
        <v>0.42280000000000001</v>
      </c>
      <c r="C1171">
        <v>0.43140000000000001</v>
      </c>
      <c r="D1171">
        <v>0.41710000000000003</v>
      </c>
      <c r="E1171">
        <v>0.42220000000000002</v>
      </c>
      <c r="F1171">
        <v>1772428.39</v>
      </c>
      <c r="G1171">
        <v>0</v>
      </c>
      <c r="L1171" t="s">
        <v>7</v>
      </c>
      <c r="M1171" t="s">
        <v>7</v>
      </c>
      <c r="N1171" t="s">
        <v>7</v>
      </c>
      <c r="P1171">
        <f t="shared" si="1034"/>
        <v>-0.28671328671328661</v>
      </c>
      <c r="Q1171">
        <f t="shared" si="1035"/>
        <v>-508178.76916083897</v>
      </c>
      <c r="R1171">
        <f t="shared" si="1036"/>
        <v>-8636224.0570354797</v>
      </c>
      <c r="S1171">
        <f t="shared" si="1037"/>
        <v>-86.3622405703548</v>
      </c>
      <c r="T1171">
        <f t="shared" si="1038"/>
        <v>-8.6362240570354798E-2</v>
      </c>
    </row>
    <row r="1172" spans="1:20" x14ac:dyDescent="0.25">
      <c r="A1172" s="5">
        <v>43421</v>
      </c>
      <c r="B1172">
        <v>0.42820000000000003</v>
      </c>
      <c r="C1172">
        <v>0.4299</v>
      </c>
      <c r="D1172">
        <v>0.4103</v>
      </c>
      <c r="E1172">
        <v>0.42199999999999999</v>
      </c>
      <c r="F1172">
        <v>1979680.49</v>
      </c>
      <c r="G1172">
        <v>0</v>
      </c>
      <c r="L1172" t="s">
        <v>7</v>
      </c>
      <c r="M1172" t="s">
        <v>7</v>
      </c>
      <c r="N1172" t="s">
        <v>7</v>
      </c>
      <c r="P1172">
        <f t="shared" si="1034"/>
        <v>0.19387755102040657</v>
      </c>
      <c r="Q1172">
        <f t="shared" si="1035"/>
        <v>383815.60520407849</v>
      </c>
      <c r="R1172">
        <f t="shared" si="1036"/>
        <v>-8128045.28787464</v>
      </c>
      <c r="S1172">
        <f t="shared" si="1037"/>
        <v>-81.280452878746402</v>
      </c>
      <c r="T1172">
        <f t="shared" si="1038"/>
        <v>-8.1280452878746398E-2</v>
      </c>
    </row>
    <row r="1173" spans="1:20" x14ac:dyDescent="0.25">
      <c r="A1173" s="5">
        <v>43420</v>
      </c>
      <c r="B1173">
        <v>0.45169999999999999</v>
      </c>
      <c r="C1173">
        <v>0.46</v>
      </c>
      <c r="D1173">
        <v>0.41699999999999998</v>
      </c>
      <c r="E1173">
        <v>0.4274</v>
      </c>
      <c r="F1173">
        <v>3408369.43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-0.51627906976744131</v>
      </c>
      <c r="Q1173">
        <f t="shared" si="1035"/>
        <v>-1759669.7987441842</v>
      </c>
      <c r="R1173">
        <f t="shared" si="1036"/>
        <v>-8511860.8930787183</v>
      </c>
      <c r="S1173">
        <f t="shared" si="1037"/>
        <v>-85.11860893078719</v>
      </c>
      <c r="T1173">
        <f t="shared" si="1038"/>
        <v>-8.5118608930787196E-2</v>
      </c>
    </row>
    <row r="1174" spans="1:20" x14ac:dyDescent="0.25">
      <c r="A1174" s="5">
        <v>43419</v>
      </c>
      <c r="B1174">
        <v>0.47320000000000001</v>
      </c>
      <c r="C1174">
        <v>0.47749999999999998</v>
      </c>
      <c r="D1174">
        <v>0.4</v>
      </c>
      <c r="E1174">
        <v>0.45229999999999998</v>
      </c>
      <c r="F1174">
        <v>7950915.0199999996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0.34967741935483837</v>
      </c>
      <c r="Q1174">
        <f t="shared" si="1035"/>
        <v>2780255.4457032229</v>
      </c>
      <c r="R1174">
        <f t="shared" si="1036"/>
        <v>-6752191.0943345334</v>
      </c>
      <c r="S1174">
        <f t="shared" si="1037"/>
        <v>-67.521910943345333</v>
      </c>
      <c r="T1174">
        <f t="shared" si="1038"/>
        <v>-6.7521910943345337E-2</v>
      </c>
    </row>
    <row r="1175" spans="1:20" x14ac:dyDescent="0.25">
      <c r="A1175" s="5">
        <v>43418</v>
      </c>
      <c r="B1175">
        <v>0.54959999999999998</v>
      </c>
      <c r="C1175">
        <v>0.5504</v>
      </c>
      <c r="D1175">
        <v>0.43380000000000002</v>
      </c>
      <c r="E1175">
        <v>0.47449999999999998</v>
      </c>
      <c r="F1175">
        <v>7769563.7400000002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-0.30188679245283079</v>
      </c>
      <c r="Q1175">
        <f t="shared" si="1035"/>
        <v>-2345528.6762264199</v>
      </c>
      <c r="R1175">
        <f t="shared" si="1036"/>
        <v>-9532446.5400377568</v>
      </c>
      <c r="S1175">
        <f t="shared" si="1037"/>
        <v>-95.324465400377562</v>
      </c>
      <c r="T1175">
        <f t="shared" si="1038"/>
        <v>-9.5324465400377562E-2</v>
      </c>
    </row>
    <row r="1176" spans="1:20" x14ac:dyDescent="0.25">
      <c r="A1176" s="5">
        <v>43417</v>
      </c>
      <c r="B1176">
        <v>0.56879999999999997</v>
      </c>
      <c r="C1176">
        <v>0.56889999999999996</v>
      </c>
      <c r="D1176">
        <v>0.54249999999999998</v>
      </c>
      <c r="E1176">
        <v>0.54969999999999997</v>
      </c>
      <c r="F1176">
        <v>3554483.38</v>
      </c>
      <c r="G1176">
        <v>0</v>
      </c>
      <c r="L1176" t="s">
        <v>7</v>
      </c>
      <c r="M1176" t="s">
        <v>7</v>
      </c>
      <c r="N1176" t="s">
        <v>7</v>
      </c>
      <c r="P1176">
        <f t="shared" si="1034"/>
        <v>-0.45454545454545531</v>
      </c>
      <c r="Q1176">
        <f t="shared" si="1035"/>
        <v>-1615674.2636363662</v>
      </c>
      <c r="R1176">
        <f t="shared" si="1036"/>
        <v>-7186917.8638113374</v>
      </c>
      <c r="S1176">
        <f t="shared" si="1037"/>
        <v>-71.869178638113368</v>
      </c>
      <c r="T1176">
        <f t="shared" si="1038"/>
        <v>-7.1869178638113373E-2</v>
      </c>
    </row>
    <row r="1177" spans="1:20" x14ac:dyDescent="0.25">
      <c r="A1177" s="5">
        <v>43416</v>
      </c>
      <c r="B1177">
        <v>0.58299999999999996</v>
      </c>
      <c r="C1177">
        <v>0.59179999999999999</v>
      </c>
      <c r="D1177">
        <v>0.55330000000000001</v>
      </c>
      <c r="E1177">
        <v>0.56879999999999997</v>
      </c>
      <c r="F1177">
        <v>2597975.5299999998</v>
      </c>
      <c r="G1177">
        <v>0</v>
      </c>
      <c r="L1177" t="s">
        <v>7</v>
      </c>
      <c r="M1177" t="s">
        <v>7</v>
      </c>
      <c r="N1177" t="s">
        <v>7</v>
      </c>
      <c r="P1177">
        <f t="shared" si="1034"/>
        <v>-0.19480519480519654</v>
      </c>
      <c r="Q1177">
        <f t="shared" si="1035"/>
        <v>-506099.12922078365</v>
      </c>
      <c r="R1177">
        <f t="shared" si="1036"/>
        <v>-5571243.6001749709</v>
      </c>
      <c r="S1177">
        <f t="shared" si="1037"/>
        <v>-55.712436001749708</v>
      </c>
      <c r="T1177">
        <f t="shared" si="1038"/>
        <v>-5.5712436001749709E-2</v>
      </c>
    </row>
    <row r="1178" spans="1:20" x14ac:dyDescent="0.25">
      <c r="A1178" s="5">
        <v>43415</v>
      </c>
      <c r="B1178">
        <v>0.59650000000000003</v>
      </c>
      <c r="C1178">
        <v>0.59940000000000004</v>
      </c>
      <c r="D1178">
        <v>0.57130000000000003</v>
      </c>
      <c r="E1178">
        <v>0.5827</v>
      </c>
      <c r="F1178">
        <v>1451891.4</v>
      </c>
      <c r="G1178">
        <v>0</v>
      </c>
      <c r="L1178" t="s">
        <v>7</v>
      </c>
      <c r="M1178" t="s">
        <v>7</v>
      </c>
      <c r="N1178" t="s">
        <v>7</v>
      </c>
      <c r="P1178">
        <f t="shared" si="1034"/>
        <v>-0.18861209964413095</v>
      </c>
      <c r="Q1178">
        <f t="shared" si="1035"/>
        <v>-273844.28540925676</v>
      </c>
      <c r="R1178">
        <f t="shared" si="1036"/>
        <v>-5065144.4709541872</v>
      </c>
      <c r="S1178">
        <f t="shared" si="1037"/>
        <v>-50.65144470954187</v>
      </c>
      <c r="T1178">
        <f t="shared" si="1038"/>
        <v>-5.0651444709541874E-2</v>
      </c>
    </row>
    <row r="1179" spans="1:20" x14ac:dyDescent="0.25">
      <c r="A1179" s="5">
        <v>43414</v>
      </c>
      <c r="B1179">
        <v>0.59209999999999996</v>
      </c>
      <c r="C1179">
        <v>0.60940000000000005</v>
      </c>
      <c r="D1179">
        <v>0.59</v>
      </c>
      <c r="E1179">
        <v>0.59809999999999997</v>
      </c>
      <c r="F1179">
        <v>1285269.55</v>
      </c>
      <c r="G1179">
        <v>0</v>
      </c>
      <c r="L1179" t="s">
        <v>7</v>
      </c>
      <c r="M1179" t="s">
        <v>7</v>
      </c>
      <c r="N1179" t="s">
        <v>7</v>
      </c>
      <c r="P1179">
        <f t="shared" si="1034"/>
        <v>-0.16494845360825144</v>
      </c>
      <c r="Q1179">
        <f t="shared" si="1035"/>
        <v>-212003.22474227322</v>
      </c>
      <c r="R1179">
        <f t="shared" si="1036"/>
        <v>-4791300.1855449304</v>
      </c>
      <c r="S1179">
        <f t="shared" si="1037"/>
        <v>-47.913001855449302</v>
      </c>
      <c r="T1179">
        <f t="shared" si="1038"/>
        <v>-4.7913001855449305E-2</v>
      </c>
    </row>
    <row r="1180" spans="1:20" x14ac:dyDescent="0.25">
      <c r="A1180" s="5">
        <v>43413</v>
      </c>
      <c r="B1180">
        <v>0.61680000000000001</v>
      </c>
      <c r="C1180">
        <v>0.62</v>
      </c>
      <c r="D1180">
        <v>0.58509999999999995</v>
      </c>
      <c r="E1180">
        <v>0.59209999999999996</v>
      </c>
      <c r="F1180">
        <v>2613939.9500000002</v>
      </c>
      <c r="G1180">
        <v>0</v>
      </c>
      <c r="L1180" t="s">
        <v>7</v>
      </c>
      <c r="M1180" t="s">
        <v>7</v>
      </c>
      <c r="N1180" t="s">
        <v>7</v>
      </c>
      <c r="P1180">
        <f t="shared" si="1034"/>
        <v>-0.59885386819484254</v>
      </c>
      <c r="Q1180">
        <f t="shared" si="1035"/>
        <v>-1565368.0502865333</v>
      </c>
      <c r="R1180">
        <f t="shared" si="1036"/>
        <v>-4579296.9608026575</v>
      </c>
      <c r="S1180">
        <f t="shared" si="1037"/>
        <v>-45.792969608026574</v>
      </c>
      <c r="T1180">
        <f t="shared" si="1038"/>
        <v>-4.5792969608026576E-2</v>
      </c>
    </row>
    <row r="1181" spans="1:20" x14ac:dyDescent="0.25">
      <c r="A1181" s="5">
        <v>43412</v>
      </c>
      <c r="B1181">
        <v>0.64429999999999998</v>
      </c>
      <c r="C1181">
        <v>0.64790000000000003</v>
      </c>
      <c r="D1181">
        <v>0.61419999999999997</v>
      </c>
      <c r="E1181">
        <v>0.61680000000000001</v>
      </c>
      <c r="F1181">
        <v>2445485.91</v>
      </c>
      <c r="G1181">
        <v>0</v>
      </c>
      <c r="L1181" t="s">
        <v>7</v>
      </c>
      <c r="M1181" t="s">
        <v>7</v>
      </c>
      <c r="N1181" t="s">
        <v>7</v>
      </c>
      <c r="P1181">
        <f t="shared" si="1034"/>
        <v>-0.84569732937685216</v>
      </c>
      <c r="Q1181">
        <f t="shared" si="1035"/>
        <v>-2068140.9031157212</v>
      </c>
      <c r="R1181">
        <f t="shared" si="1036"/>
        <v>-3013928.9105161242</v>
      </c>
      <c r="S1181">
        <f t="shared" si="1037"/>
        <v>-30.139289105161243</v>
      </c>
      <c r="T1181">
        <f t="shared" si="1038"/>
        <v>-3.0139289105161244E-2</v>
      </c>
    </row>
    <row r="1182" spans="1:20" x14ac:dyDescent="0.25">
      <c r="A1182" s="5">
        <v>43411</v>
      </c>
      <c r="B1182">
        <v>0.65269999999999995</v>
      </c>
      <c r="C1182">
        <v>0.66210000000000002</v>
      </c>
      <c r="D1182">
        <v>0.63500000000000001</v>
      </c>
      <c r="E1182">
        <v>0.64370000000000005</v>
      </c>
      <c r="F1182">
        <v>2496439.25</v>
      </c>
      <c r="G1182">
        <v>0</v>
      </c>
      <c r="L1182" t="s">
        <v>8</v>
      </c>
      <c r="M1182" t="s">
        <v>7</v>
      </c>
      <c r="N1182" t="s">
        <v>7</v>
      </c>
      <c r="P1182">
        <f t="shared" si="1034"/>
        <v>-0.35793357933579062</v>
      </c>
      <c r="Q1182">
        <f t="shared" si="1035"/>
        <v>-893559.43634685664</v>
      </c>
      <c r="R1182">
        <f t="shared" si="1036"/>
        <v>-945788.00740040303</v>
      </c>
      <c r="S1182">
        <f t="shared" si="1037"/>
        <v>-9.4578800740040307</v>
      </c>
      <c r="T1182">
        <f t="shared" si="1038"/>
        <v>-9.4578800740040304E-3</v>
      </c>
    </row>
    <row r="1183" spans="1:20" x14ac:dyDescent="0.25">
      <c r="A1183" s="5">
        <v>43410</v>
      </c>
      <c r="B1183">
        <v>0.63649999999999995</v>
      </c>
      <c r="C1183">
        <v>0.65359999999999996</v>
      </c>
      <c r="D1183">
        <v>0.63100000000000001</v>
      </c>
      <c r="E1183">
        <v>0.65269999999999995</v>
      </c>
      <c r="F1183">
        <v>3333701.03</v>
      </c>
      <c r="G1183">
        <v>0</v>
      </c>
      <c r="L1183" t="s">
        <v>8</v>
      </c>
      <c r="M1183" t="s">
        <v>7</v>
      </c>
      <c r="N1183" t="s">
        <v>7</v>
      </c>
      <c r="P1183">
        <f t="shared" si="1034"/>
        <v>0.92035398230088372</v>
      </c>
      <c r="Q1183">
        <f t="shared" si="1035"/>
        <v>3068185.0187610579</v>
      </c>
      <c r="R1183">
        <f t="shared" si="1036"/>
        <v>-52228.571053546388</v>
      </c>
      <c r="S1183">
        <f t="shared" si="1037"/>
        <v>-0.52228571053546391</v>
      </c>
      <c r="T1183">
        <f t="shared" si="1038"/>
        <v>-5.2228571053546395E-4</v>
      </c>
    </row>
    <row r="1184" spans="1:20" x14ac:dyDescent="0.25">
      <c r="A1184" s="5">
        <v>43409</v>
      </c>
      <c r="B1184">
        <v>0.65039999999999998</v>
      </c>
      <c r="C1184">
        <v>0.65300000000000002</v>
      </c>
      <c r="D1184">
        <v>0.63019999999999998</v>
      </c>
      <c r="E1184">
        <v>0.63649999999999995</v>
      </c>
      <c r="F1184">
        <v>3059624.44</v>
      </c>
      <c r="G1184">
        <v>0</v>
      </c>
      <c r="L1184" t="s">
        <v>8</v>
      </c>
      <c r="M1184" t="s">
        <v>7</v>
      </c>
      <c r="N1184" t="s">
        <v>7</v>
      </c>
      <c r="P1184">
        <f t="shared" si="1034"/>
        <v>-0.44736842105263502</v>
      </c>
      <c r="Q1184">
        <f t="shared" si="1035"/>
        <v>-1368779.3547368527</v>
      </c>
      <c r="R1184">
        <f t="shared" si="1036"/>
        <v>-3120413.5898146043</v>
      </c>
      <c r="S1184">
        <f t="shared" si="1037"/>
        <v>-31.204135898146042</v>
      </c>
      <c r="T1184">
        <f t="shared" si="1038"/>
        <v>-3.1204135898146041E-2</v>
      </c>
    </row>
    <row r="1185" spans="1:20" x14ac:dyDescent="0.25">
      <c r="A1185" s="5">
        <v>43408</v>
      </c>
      <c r="B1185">
        <v>0.63139999999999996</v>
      </c>
      <c r="C1185">
        <v>0.66490000000000005</v>
      </c>
      <c r="D1185">
        <v>0.625</v>
      </c>
      <c r="E1185">
        <v>0.65059999999999996</v>
      </c>
      <c r="F1185">
        <v>3569692.88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0.28320802005012163</v>
      </c>
      <c r="Q1185">
        <f t="shared" si="1035"/>
        <v>1010965.6527318164</v>
      </c>
      <c r="R1185">
        <f t="shared" si="1036"/>
        <v>-1751634.2350777518</v>
      </c>
      <c r="S1185">
        <f t="shared" si="1037"/>
        <v>-17.516342350777517</v>
      </c>
      <c r="T1185">
        <f t="shared" si="1038"/>
        <v>-1.7516342350777515E-2</v>
      </c>
    </row>
    <row r="1186" spans="1:20" x14ac:dyDescent="0.25">
      <c r="A1186" s="5">
        <v>43407</v>
      </c>
      <c r="B1186">
        <v>0.64270000000000005</v>
      </c>
      <c r="C1186">
        <v>0.64370000000000005</v>
      </c>
      <c r="D1186">
        <v>0.62229999999999996</v>
      </c>
      <c r="E1186">
        <v>0.63260000000000005</v>
      </c>
      <c r="F1186">
        <v>2088850.54</v>
      </c>
      <c r="G1186">
        <v>0</v>
      </c>
      <c r="L1186" t="s">
        <v>8</v>
      </c>
      <c r="M1186" t="s">
        <v>7</v>
      </c>
      <c r="N1186" t="s">
        <v>7</v>
      </c>
      <c r="P1186">
        <f t="shared" si="1034"/>
        <v>-3.7383177570089195E-2</v>
      </c>
      <c r="Q1186">
        <f t="shared" si="1035"/>
        <v>-78087.870654196697</v>
      </c>
      <c r="R1186">
        <f t="shared" si="1036"/>
        <v>-2762599.8878095681</v>
      </c>
      <c r="S1186">
        <f t="shared" si="1037"/>
        <v>-27.625998878095682</v>
      </c>
      <c r="T1186">
        <f t="shared" si="1038"/>
        <v>-2.7625998878095682E-2</v>
      </c>
    </row>
    <row r="1187" spans="1:20" x14ac:dyDescent="0.25">
      <c r="A1187" s="5">
        <v>43406</v>
      </c>
      <c r="B1187">
        <v>0.65139999999999998</v>
      </c>
      <c r="C1187">
        <v>0.65510000000000002</v>
      </c>
      <c r="D1187">
        <v>0.6351</v>
      </c>
      <c r="E1187">
        <v>0.64229999999999998</v>
      </c>
      <c r="F1187">
        <v>2560472.0699999998</v>
      </c>
      <c r="G1187">
        <v>0</v>
      </c>
      <c r="L1187" t="s">
        <v>8</v>
      </c>
      <c r="M1187" t="s">
        <v>7</v>
      </c>
      <c r="N1187" t="s">
        <v>7</v>
      </c>
      <c r="P1187">
        <f t="shared" si="1034"/>
        <v>-0.28000000000000225</v>
      </c>
      <c r="Q1187">
        <f t="shared" si="1035"/>
        <v>-716932.17960000574</v>
      </c>
      <c r="R1187">
        <f t="shared" si="1036"/>
        <v>-2684512.0171553716</v>
      </c>
      <c r="S1187">
        <f t="shared" si="1037"/>
        <v>-26.845120171553717</v>
      </c>
      <c r="T1187">
        <f t="shared" si="1038"/>
        <v>-2.6845120171553716E-2</v>
      </c>
    </row>
    <row r="1188" spans="1:20" x14ac:dyDescent="0.25">
      <c r="A1188" s="5">
        <v>43405</v>
      </c>
      <c r="B1188">
        <v>0.64929999999999999</v>
      </c>
      <c r="C1188">
        <v>0.66</v>
      </c>
      <c r="D1188">
        <v>0.63800000000000001</v>
      </c>
      <c r="E1188">
        <v>0.65090000000000003</v>
      </c>
      <c r="F1188">
        <v>2445498.39</v>
      </c>
      <c r="G1188">
        <v>0</v>
      </c>
      <c r="L1188" t="s">
        <v>8</v>
      </c>
      <c r="M1188" t="s">
        <v>7</v>
      </c>
      <c r="N1188" t="s">
        <v>7</v>
      </c>
      <c r="P1188">
        <f t="shared" si="1034"/>
        <v>0.17272727272727373</v>
      </c>
      <c r="Q1188">
        <f t="shared" si="1035"/>
        <v>422404.26736363885</v>
      </c>
      <c r="R1188">
        <f t="shared" si="1036"/>
        <v>-1967579.8375553659</v>
      </c>
      <c r="S1188">
        <f t="shared" si="1037"/>
        <v>-19.675798375553658</v>
      </c>
      <c r="T1188">
        <f t="shared" si="1038"/>
        <v>-1.9675798375553659E-2</v>
      </c>
    </row>
    <row r="1189" spans="1:20" x14ac:dyDescent="0.25">
      <c r="A1189" s="5">
        <v>43404</v>
      </c>
      <c r="B1189">
        <v>0.62670000000000003</v>
      </c>
      <c r="C1189">
        <v>0.65380000000000005</v>
      </c>
      <c r="D1189">
        <v>0.6008</v>
      </c>
      <c r="E1189">
        <v>0.6492</v>
      </c>
      <c r="F1189">
        <v>3252666.19</v>
      </c>
      <c r="G1189">
        <v>0</v>
      </c>
      <c r="L1189" t="s">
        <v>8</v>
      </c>
      <c r="M1189" t="s">
        <v>7</v>
      </c>
      <c r="N1189" t="s">
        <v>7</v>
      </c>
      <c r="P1189">
        <f t="shared" si="1034"/>
        <v>0.82641509433962101</v>
      </c>
      <c r="Q1189">
        <f t="shared" si="1035"/>
        <v>2688052.4362641457</v>
      </c>
      <c r="R1189">
        <f t="shared" si="1036"/>
        <v>-2389984.1049190047</v>
      </c>
      <c r="S1189">
        <f t="shared" si="1037"/>
        <v>-23.899841049190048</v>
      </c>
      <c r="T1189">
        <f t="shared" si="1038"/>
        <v>-2.3899841049190049E-2</v>
      </c>
    </row>
    <row r="1190" spans="1:20" x14ac:dyDescent="0.25">
      <c r="A1190" s="5">
        <v>43403</v>
      </c>
      <c r="B1190">
        <v>0.62290000000000001</v>
      </c>
      <c r="C1190">
        <v>0.64200000000000002</v>
      </c>
      <c r="D1190">
        <v>0.61939999999999995</v>
      </c>
      <c r="E1190">
        <v>0.62690000000000001</v>
      </c>
      <c r="F1190">
        <v>2104197.69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-0.33628318584070438</v>
      </c>
      <c r="Q1190">
        <f t="shared" si="1035"/>
        <v>-707606.30283185083</v>
      </c>
      <c r="R1190">
        <f t="shared" si="1036"/>
        <v>-5078036.5411831504</v>
      </c>
      <c r="S1190">
        <f t="shared" si="1037"/>
        <v>-50.780365411831504</v>
      </c>
      <c r="T1190">
        <f t="shared" si="1038"/>
        <v>-5.07803654118315E-2</v>
      </c>
    </row>
    <row r="1191" spans="1:20" x14ac:dyDescent="0.25">
      <c r="A1191" s="5">
        <v>43402</v>
      </c>
      <c r="B1191">
        <v>0.65049999999999997</v>
      </c>
      <c r="C1191">
        <v>0.65790000000000004</v>
      </c>
      <c r="D1191">
        <v>0.60550000000000004</v>
      </c>
      <c r="E1191">
        <v>0.62260000000000004</v>
      </c>
      <c r="F1191">
        <v>3140400.93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-0.34732824427480902</v>
      </c>
      <c r="Q1191">
        <f t="shared" si="1035"/>
        <v>-1090749.9413358774</v>
      </c>
      <c r="R1191">
        <f t="shared" si="1036"/>
        <v>-4370430.2383512994</v>
      </c>
      <c r="S1191">
        <f t="shared" si="1037"/>
        <v>-43.704302383512996</v>
      </c>
      <c r="T1191">
        <f t="shared" si="1038"/>
        <v>-4.3704302383512993E-2</v>
      </c>
    </row>
    <row r="1192" spans="1:20" x14ac:dyDescent="0.25">
      <c r="A1192" s="5">
        <v>43401</v>
      </c>
      <c r="B1192">
        <v>0.64559999999999995</v>
      </c>
      <c r="C1192">
        <v>0.6542</v>
      </c>
      <c r="D1192">
        <v>0.64329999999999998</v>
      </c>
      <c r="E1192">
        <v>0.65049999999999997</v>
      </c>
      <c r="F1192">
        <v>2077726.84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0.32110091743118724</v>
      </c>
      <c r="Q1192">
        <f t="shared" si="1035"/>
        <v>667159.99449540162</v>
      </c>
      <c r="R1192">
        <f t="shared" si="1036"/>
        <v>-3279680.297015422</v>
      </c>
      <c r="S1192">
        <f t="shared" si="1037"/>
        <v>-32.796802970154218</v>
      </c>
      <c r="T1192">
        <f t="shared" si="1038"/>
        <v>-3.2796802970154221E-2</v>
      </c>
    </row>
    <row r="1193" spans="1:20" x14ac:dyDescent="0.25">
      <c r="A1193" s="5">
        <v>43400</v>
      </c>
      <c r="B1193">
        <v>0.67020000000000002</v>
      </c>
      <c r="C1193">
        <v>0.67700000000000005</v>
      </c>
      <c r="D1193">
        <v>0.64</v>
      </c>
      <c r="E1193">
        <v>0.6452</v>
      </c>
      <c r="F1193">
        <v>2763760.53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-0.71891891891892012</v>
      </c>
      <c r="Q1193">
        <f t="shared" si="1035"/>
        <v>-1986919.7323783815</v>
      </c>
      <c r="R1193">
        <f t="shared" si="1036"/>
        <v>-3946840.2915108236</v>
      </c>
      <c r="S1193">
        <f t="shared" si="1037"/>
        <v>-39.468402915108236</v>
      </c>
      <c r="T1193">
        <f t="shared" si="1038"/>
        <v>-3.9468402915108239E-2</v>
      </c>
    </row>
    <row r="1194" spans="1:20" x14ac:dyDescent="0.25">
      <c r="A1194" s="5">
        <v>43399</v>
      </c>
      <c r="B1194">
        <v>0.66669999999999996</v>
      </c>
      <c r="C1194">
        <v>0.67800000000000005</v>
      </c>
      <c r="D1194">
        <v>0.66339999999999999</v>
      </c>
      <c r="E1194">
        <v>0.67020000000000002</v>
      </c>
      <c r="F1194">
        <v>2277207.88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-6.8493150684931295E-2</v>
      </c>
      <c r="Q1194">
        <f t="shared" si="1035"/>
        <v>-155973.14246575293</v>
      </c>
      <c r="R1194">
        <f t="shared" si="1036"/>
        <v>-1959920.5591324421</v>
      </c>
      <c r="S1194">
        <f t="shared" si="1037"/>
        <v>-19.59920559132442</v>
      </c>
      <c r="T1194">
        <f t="shared" si="1038"/>
        <v>-1.9599205591324421E-2</v>
      </c>
    </row>
    <row r="1195" spans="1:20" x14ac:dyDescent="0.25">
      <c r="A1195" s="5">
        <v>43398</v>
      </c>
      <c r="B1195">
        <v>0.68120000000000003</v>
      </c>
      <c r="C1195">
        <v>0.68359999999999999</v>
      </c>
      <c r="D1195">
        <v>0.66200000000000003</v>
      </c>
      <c r="E1195">
        <v>0.66679999999999995</v>
      </c>
      <c r="F1195">
        <v>3247105.35</v>
      </c>
      <c r="G1195">
        <v>0</v>
      </c>
      <c r="P1195">
        <f t="shared" si="1034"/>
        <v>-0.55555555555556246</v>
      </c>
      <c r="Q1195">
        <f t="shared" si="1035"/>
        <v>-1803947.4166666891</v>
      </c>
      <c r="R1195">
        <f t="shared" si="1036"/>
        <v>-1803947.4166666891</v>
      </c>
      <c r="S1195">
        <f t="shared" si="1037"/>
        <v>-18.039474166666892</v>
      </c>
      <c r="T1195">
        <f t="shared" si="1038"/>
        <v>-1.8039474166666892E-2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UB607" sqref="UB60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$A$606</v>
      </c>
      <c r="D111" s="1" t="str">
        <f>ADDRESS(C121-1,D121,1,1)</f>
        <v>$UB$606</v>
      </c>
      <c r="E111"/>
    </row>
    <row r="112" spans="1:5" x14ac:dyDescent="0.25">
      <c r="A112" s="7">
        <v>12164.144957890772</v>
      </c>
      <c r="C112" s="1" t="str">
        <f>ADDRESS(C121,1,1,1)</f>
        <v>$A$607</v>
      </c>
      <c r="D112" s="1" t="str">
        <f>ADDRESS(C121,D121-1,1,1)</f>
        <v>$UA$607</v>
      </c>
      <c r="E112"/>
    </row>
    <row r="113" spans="1:5" x14ac:dyDescent="0.25">
      <c r="A113" s="7">
        <v>11925.63231165762</v>
      </c>
      <c r="C113" s="1" t="str">
        <f>ADDRESS(C121+1,1,1,1)</f>
        <v>$A$608</v>
      </c>
      <c r="D113" s="1" t="str">
        <f>ADDRESS(C121-1,D121+1,1,1)</f>
        <v>$UC$606</v>
      </c>
    </row>
    <row r="114" spans="1:5" x14ac:dyDescent="0.25">
      <c r="A114" s="7">
        <v>11691.796383978059</v>
      </c>
      <c r="C114" s="1" t="str">
        <f>ADDRESS(C121,D121,1,1)</f>
        <v>$UB$607</v>
      </c>
      <c r="D114" s="1" t="str">
        <f>ADDRESS(C121+1,D121+1,1,1)</f>
        <v>$UC$608</v>
      </c>
    </row>
    <row r="115" spans="1:5" x14ac:dyDescent="0.25">
      <c r="A115" s="7">
        <v>11462.545474488292</v>
      </c>
      <c r="C115" s="1" t="str">
        <f>ADDRESS(C121+1,D121,1,1)</f>
        <v>$UB$608</v>
      </c>
    </row>
    <row r="116" spans="1:5" x14ac:dyDescent="0.25">
      <c r="A116" s="7">
        <v>11237.789680870874</v>
      </c>
      <c r="C116" s="1">
        <f>C117-1</f>
        <v>606</v>
      </c>
    </row>
    <row r="117" spans="1:5" x14ac:dyDescent="0.25">
      <c r="A117" s="7">
        <v>11017.440863598895</v>
      </c>
      <c r="C117" s="1">
        <f>C121</f>
        <v>607</v>
      </c>
      <c r="D117" s="1">
        <f>D121</f>
        <v>548</v>
      </c>
    </row>
    <row r="118" spans="1:5" x14ac:dyDescent="0.25">
      <c r="A118" s="7">
        <v>10801.412611371465</v>
      </c>
      <c r="C118" s="1">
        <f>C117+1</f>
        <v>608</v>
      </c>
      <c r="D118" s="1">
        <f>D117+1</f>
        <v>549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607</v>
      </c>
      <c r="D121" s="19">
        <v>548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R607</v>
      </c>
      <c r="D123" s="1" t="str">
        <f>"C"&amp;D121</f>
        <v>C548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0.67297133310805768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16" x14ac:dyDescent="0.25">
      <c r="A529" s="7">
        <v>3.1536243640574906</v>
      </c>
      <c r="B529"/>
      <c r="C529"/>
      <c r="D529"/>
      <c r="E529"/>
      <c r="OE529" s="27" t="s">
        <v>8</v>
      </c>
    </row>
    <row r="530" spans="1:516" x14ac:dyDescent="0.25">
      <c r="A530" s="7">
        <v>3.0917885922132262</v>
      </c>
      <c r="B530"/>
      <c r="C530"/>
      <c r="D530"/>
      <c r="E530"/>
      <c r="OE530" s="27" t="s">
        <v>8</v>
      </c>
      <c r="OF530" s="27" t="s">
        <v>7</v>
      </c>
      <c r="OY530" s="27" t="s">
        <v>8</v>
      </c>
    </row>
    <row r="531" spans="1:516" x14ac:dyDescent="0.25">
      <c r="A531" s="7">
        <v>3.0311652864835552</v>
      </c>
      <c r="B531"/>
      <c r="C531"/>
      <c r="D531"/>
      <c r="E531"/>
      <c r="OE531" s="27" t="s">
        <v>8</v>
      </c>
      <c r="OF531" s="27" t="s">
        <v>7</v>
      </c>
      <c r="OY531" s="27" t="s">
        <v>8</v>
      </c>
      <c r="OZ531" s="27" t="s">
        <v>7</v>
      </c>
    </row>
    <row r="532" spans="1:516" x14ac:dyDescent="0.25">
      <c r="A532" s="7">
        <v>2.9717306730230932</v>
      </c>
      <c r="B532"/>
      <c r="C532"/>
      <c r="D532"/>
      <c r="E532"/>
      <c r="OE532" s="27" t="s">
        <v>8</v>
      </c>
      <c r="OF532" s="27" t="s">
        <v>7</v>
      </c>
      <c r="OY532" s="27" t="s">
        <v>8</v>
      </c>
      <c r="OZ532" s="27" t="s">
        <v>7</v>
      </c>
    </row>
    <row r="533" spans="1:516" x14ac:dyDescent="0.25">
      <c r="A533" s="7">
        <v>2.9134614441402875</v>
      </c>
      <c r="B533"/>
      <c r="C533"/>
      <c r="D533"/>
      <c r="E533"/>
      <c r="OE533" s="27" t="s">
        <v>8</v>
      </c>
      <c r="OF533" s="27" t="s">
        <v>7</v>
      </c>
      <c r="OO533" s="27" t="s">
        <v>8</v>
      </c>
      <c r="OY533" s="27" t="s">
        <v>8</v>
      </c>
      <c r="OZ533" s="27" t="s">
        <v>7</v>
      </c>
    </row>
    <row r="534" spans="1:516" x14ac:dyDescent="0.25">
      <c r="A534" s="7">
        <v>2.8563347491571447</v>
      </c>
      <c r="B534"/>
      <c r="C534"/>
      <c r="D534"/>
      <c r="E534"/>
      <c r="OE534" s="27" t="s">
        <v>8</v>
      </c>
      <c r="OF534" s="27" t="s">
        <v>7</v>
      </c>
      <c r="OO534" s="27" t="s">
        <v>8</v>
      </c>
      <c r="OP534" s="27" t="s">
        <v>7</v>
      </c>
      <c r="OY534" s="27" t="s">
        <v>8</v>
      </c>
      <c r="OZ534" s="27" t="s">
        <v>7</v>
      </c>
    </row>
    <row r="535" spans="1:516" x14ac:dyDescent="0.25">
      <c r="A535" s="7">
        <v>2.8003281854481812</v>
      </c>
      <c r="B535"/>
      <c r="C535"/>
      <c r="D535"/>
      <c r="E535"/>
      <c r="OE535" s="27" t="s">
        <v>8</v>
      </c>
      <c r="OF535" s="27" t="s">
        <v>7</v>
      </c>
      <c r="OK535" s="27" t="s">
        <v>8</v>
      </c>
      <c r="OO535" s="27" t="s">
        <v>8</v>
      </c>
      <c r="OP535" s="27" t="s">
        <v>7</v>
      </c>
      <c r="OY535" s="27" t="s">
        <v>8</v>
      </c>
      <c r="OZ535" s="27" t="s">
        <v>7</v>
      </c>
    </row>
    <row r="536" spans="1:516" x14ac:dyDescent="0.25">
      <c r="A536" s="7">
        <v>2.7454197896550796</v>
      </c>
      <c r="B536"/>
      <c r="C536"/>
      <c r="D536"/>
      <c r="E536"/>
      <c r="OE536" s="27" t="s">
        <v>8</v>
      </c>
      <c r="OF536" s="27" t="s">
        <v>7</v>
      </c>
      <c r="OI536" s="27" t="s">
        <v>8</v>
      </c>
      <c r="OK536" s="27" t="s">
        <v>8</v>
      </c>
      <c r="OL536" s="27" t="s">
        <v>7</v>
      </c>
      <c r="OO536" s="27" t="s">
        <v>8</v>
      </c>
      <c r="OP536" s="27" t="s">
        <v>7</v>
      </c>
      <c r="OW536" s="27" t="s">
        <v>8</v>
      </c>
      <c r="OY536" s="27" t="s">
        <v>8</v>
      </c>
      <c r="OZ536" s="27" t="s">
        <v>7</v>
      </c>
    </row>
    <row r="537" spans="1:516" x14ac:dyDescent="0.25">
      <c r="A537" s="7">
        <v>2.6915880290736074</v>
      </c>
      <c r="B537"/>
      <c r="C537"/>
      <c r="D537"/>
      <c r="E537"/>
      <c r="OE537" s="27" t="s">
        <v>8</v>
      </c>
      <c r="OF537" s="27" t="s">
        <v>7</v>
      </c>
      <c r="OG537" s="27" t="s">
        <v>8</v>
      </c>
      <c r="OI537" s="27" t="s">
        <v>8</v>
      </c>
      <c r="OJ537" s="27" t="s">
        <v>7</v>
      </c>
      <c r="OK537" s="27" t="s">
        <v>8</v>
      </c>
      <c r="OL537" s="27" t="s">
        <v>7</v>
      </c>
      <c r="OO537" s="27" t="s">
        <v>8</v>
      </c>
      <c r="OP537" s="27" t="s">
        <v>7</v>
      </c>
      <c r="OW537" s="27" t="s">
        <v>8</v>
      </c>
      <c r="OX537" s="27" t="s">
        <v>7</v>
      </c>
      <c r="OY537" s="27" t="s">
        <v>8</v>
      </c>
      <c r="OZ537" s="27" t="s">
        <v>7</v>
      </c>
      <c r="SS537" s="27" t="s">
        <v>8</v>
      </c>
    </row>
    <row r="538" spans="1:516" x14ac:dyDescent="0.25">
      <c r="A538" s="7">
        <v>2.6388117932094191</v>
      </c>
      <c r="B538"/>
      <c r="C538"/>
      <c r="D538"/>
      <c r="E538"/>
      <c r="OE538" s="27" t="s">
        <v>8</v>
      </c>
      <c r="OF538" s="27" t="s">
        <v>7</v>
      </c>
      <c r="OG538" s="27" t="s">
        <v>8</v>
      </c>
      <c r="OH538" s="27" t="s">
        <v>7</v>
      </c>
      <c r="OI538" s="27" t="s">
        <v>8</v>
      </c>
      <c r="OJ538" s="27" t="s">
        <v>7</v>
      </c>
      <c r="OK538" s="27" t="s">
        <v>8</v>
      </c>
      <c r="OL538" s="27" t="s">
        <v>7</v>
      </c>
      <c r="OM538" s="27" t="s">
        <v>8</v>
      </c>
      <c r="OO538" s="27" t="s">
        <v>8</v>
      </c>
      <c r="OP538" s="27" t="s">
        <v>7</v>
      </c>
      <c r="OW538" s="27" t="s">
        <v>8</v>
      </c>
      <c r="OX538" s="27" t="s">
        <v>7</v>
      </c>
      <c r="OY538" s="27" t="s">
        <v>8</v>
      </c>
      <c r="OZ538" s="27" t="s">
        <v>7</v>
      </c>
      <c r="SS538" s="27" t="s">
        <v>8</v>
      </c>
      <c r="ST538" s="27" t="s">
        <v>7</v>
      </c>
    </row>
    <row r="539" spans="1:516" x14ac:dyDescent="0.25">
      <c r="A539" s="7">
        <v>2.5870703854994304</v>
      </c>
      <c r="B539"/>
      <c r="C539"/>
      <c r="D539"/>
      <c r="E539"/>
      <c r="OE539" s="27" t="s">
        <v>8</v>
      </c>
      <c r="OF539" s="27" t="s">
        <v>7</v>
      </c>
      <c r="OG539" s="27" t="s">
        <v>8</v>
      </c>
      <c r="OH539" s="27" t="s">
        <v>7</v>
      </c>
      <c r="OI539" s="27" t="s">
        <v>8</v>
      </c>
      <c r="OJ539" s="27" t="s">
        <v>7</v>
      </c>
      <c r="OK539" s="27" t="s">
        <v>8</v>
      </c>
      <c r="OL539" s="27" t="s">
        <v>7</v>
      </c>
      <c r="OM539" s="27" t="s">
        <v>8</v>
      </c>
      <c r="ON539" s="27" t="s">
        <v>7</v>
      </c>
      <c r="OO539" s="27" t="s">
        <v>8</v>
      </c>
      <c r="OP539" s="27" t="s">
        <v>7</v>
      </c>
      <c r="OW539" s="27" t="s">
        <v>8</v>
      </c>
      <c r="OX539" s="27" t="s">
        <v>7</v>
      </c>
      <c r="OY539" s="27" t="s">
        <v>8</v>
      </c>
      <c r="OZ539" s="27" t="s">
        <v>7</v>
      </c>
      <c r="SS539" s="27" t="s">
        <v>8</v>
      </c>
      <c r="ST539" s="27" t="s">
        <v>7</v>
      </c>
      <c r="SU539" s="27" t="s">
        <v>8</v>
      </c>
    </row>
    <row r="540" spans="1:516" x14ac:dyDescent="0.25">
      <c r="A540" s="7">
        <v>2.53634351519552</v>
      </c>
      <c r="B540"/>
      <c r="C540"/>
      <c r="D540"/>
      <c r="E540"/>
      <c r="OE540" s="27" t="s">
        <v>8</v>
      </c>
      <c r="OF540" s="27" t="s">
        <v>7</v>
      </c>
      <c r="OG540" s="27" t="s">
        <v>8</v>
      </c>
      <c r="OH540" s="27" t="s">
        <v>7</v>
      </c>
      <c r="OI540" s="27" t="s">
        <v>8</v>
      </c>
      <c r="OJ540" s="27" t="s">
        <v>7</v>
      </c>
      <c r="OK540" s="27" t="s">
        <v>8</v>
      </c>
      <c r="OL540" s="27" t="s">
        <v>7</v>
      </c>
      <c r="OM540" s="27" t="s">
        <v>8</v>
      </c>
      <c r="ON540" s="27" t="s">
        <v>7</v>
      </c>
      <c r="OO540" s="27" t="s">
        <v>8</v>
      </c>
      <c r="OP540" s="27" t="s">
        <v>7</v>
      </c>
      <c r="OW540" s="27" t="s">
        <v>8</v>
      </c>
      <c r="OX540" s="27" t="s">
        <v>7</v>
      </c>
      <c r="OY540" s="27" t="s">
        <v>8</v>
      </c>
      <c r="OZ540" s="27" t="s">
        <v>7</v>
      </c>
      <c r="PA540" s="27" t="s">
        <v>8</v>
      </c>
      <c r="RW540" s="27" t="s">
        <v>8</v>
      </c>
      <c r="SS540" s="27" t="s">
        <v>8</v>
      </c>
      <c r="ST540" s="27" t="s">
        <v>7</v>
      </c>
      <c r="SU540" s="27" t="s">
        <v>8</v>
      </c>
      <c r="SV540" s="27" t="s">
        <v>7</v>
      </c>
    </row>
    <row r="541" spans="1:516" x14ac:dyDescent="0.25">
      <c r="A541" s="7">
        <v>2.4866112894073726</v>
      </c>
      <c r="B541"/>
      <c r="C541"/>
      <c r="D541"/>
      <c r="E541"/>
      <c r="OE541" s="27" t="s">
        <v>8</v>
      </c>
      <c r="OF541" s="27" t="s">
        <v>7</v>
      </c>
      <c r="OG541" s="27" t="s">
        <v>8</v>
      </c>
      <c r="OH541" s="27" t="s">
        <v>7</v>
      </c>
      <c r="OI541" s="27" t="s">
        <v>8</v>
      </c>
      <c r="OJ541" s="27" t="s">
        <v>7</v>
      </c>
      <c r="OL541" s="27" t="s">
        <v>7</v>
      </c>
      <c r="OM541" s="27" t="s">
        <v>8</v>
      </c>
      <c r="ON541" s="27" t="s">
        <v>7</v>
      </c>
      <c r="OO541" s="27" t="s">
        <v>8</v>
      </c>
      <c r="OP541" s="27" t="s">
        <v>7</v>
      </c>
      <c r="OW541" s="27" t="s">
        <v>8</v>
      </c>
      <c r="OX541" s="27" t="s">
        <v>7</v>
      </c>
      <c r="OY541" s="27" t="s">
        <v>8</v>
      </c>
      <c r="OZ541" s="27" t="s">
        <v>7</v>
      </c>
      <c r="PA541" s="27" t="s">
        <v>8</v>
      </c>
      <c r="PB541" s="27" t="s">
        <v>7</v>
      </c>
      <c r="RW541" s="27" t="s">
        <v>8</v>
      </c>
      <c r="RX541" s="27" t="s">
        <v>7</v>
      </c>
      <c r="SM541" s="27" t="s">
        <v>8</v>
      </c>
      <c r="SS541" s="27" t="s">
        <v>8</v>
      </c>
      <c r="ST541" s="27" t="s">
        <v>7</v>
      </c>
      <c r="SU541" s="27" t="s">
        <v>8</v>
      </c>
      <c r="SV541" s="27" t="s">
        <v>7</v>
      </c>
    </row>
    <row r="542" spans="1:516" x14ac:dyDescent="0.25">
      <c r="A542" s="7">
        <v>2.4378542053013459</v>
      </c>
      <c r="B542"/>
      <c r="C542"/>
      <c r="D542"/>
      <c r="E542"/>
      <c r="NG542" s="27" t="s">
        <v>8</v>
      </c>
      <c r="OE542" s="27" t="s">
        <v>8</v>
      </c>
      <c r="OF542" s="27" t="s">
        <v>7</v>
      </c>
      <c r="OH542" s="27" t="s">
        <v>7</v>
      </c>
      <c r="OI542" s="27" t="s">
        <v>8</v>
      </c>
      <c r="OL542" s="27" t="s">
        <v>7</v>
      </c>
      <c r="OM542" s="27" t="s">
        <v>8</v>
      </c>
      <c r="ON542" s="27" t="s">
        <v>7</v>
      </c>
      <c r="OP542" s="27" t="s">
        <v>7</v>
      </c>
      <c r="OQ542" s="27" t="s">
        <v>8</v>
      </c>
      <c r="OW542" s="27" t="s">
        <v>8</v>
      </c>
      <c r="OX542" s="27" t="s">
        <v>7</v>
      </c>
      <c r="OY542" s="27" t="s">
        <v>8</v>
      </c>
      <c r="OZ542" s="27" t="s">
        <v>7</v>
      </c>
      <c r="PA542" s="27" t="s">
        <v>8</v>
      </c>
      <c r="PB542" s="27" t="s">
        <v>7</v>
      </c>
      <c r="RW542" s="27" t="s">
        <v>8</v>
      </c>
      <c r="RX542" s="27" t="s">
        <v>7</v>
      </c>
      <c r="SM542" s="27" t="s">
        <v>8</v>
      </c>
      <c r="SN542" s="27" t="s">
        <v>7</v>
      </c>
      <c r="SS542" s="27" t="s">
        <v>8</v>
      </c>
      <c r="ST542" s="27" t="s">
        <v>7</v>
      </c>
      <c r="SU542" s="27" t="s">
        <v>8</v>
      </c>
      <c r="SV542" s="27" t="s">
        <v>7</v>
      </c>
    </row>
    <row r="543" spans="1:516" x14ac:dyDescent="0.25">
      <c r="A543" s="7">
        <v>2.3900531424522997</v>
      </c>
      <c r="B543"/>
      <c r="C543"/>
      <c r="D543"/>
      <c r="E543"/>
      <c r="NG543" s="27" t="s">
        <v>8</v>
      </c>
      <c r="NH543" s="27" t="s">
        <v>7</v>
      </c>
      <c r="OE543" s="27" t="s">
        <v>8</v>
      </c>
      <c r="OH543" s="27" t="s">
        <v>7</v>
      </c>
      <c r="OI543" s="27" t="s">
        <v>8</v>
      </c>
      <c r="OL543" s="27" t="s">
        <v>7</v>
      </c>
      <c r="OP543" s="27" t="s">
        <v>7</v>
      </c>
      <c r="OQ543" s="27" t="s">
        <v>8</v>
      </c>
      <c r="OR543" s="27" t="s">
        <v>7</v>
      </c>
      <c r="OW543" s="27" t="s">
        <v>8</v>
      </c>
      <c r="OX543" s="27" t="s">
        <v>7</v>
      </c>
      <c r="OY543" s="27" t="s">
        <v>8</v>
      </c>
      <c r="OZ543" s="27" t="s">
        <v>7</v>
      </c>
      <c r="PA543" s="27" t="s">
        <v>8</v>
      </c>
      <c r="PB543" s="27" t="s">
        <v>7</v>
      </c>
      <c r="RW543" s="27" t="s">
        <v>8</v>
      </c>
      <c r="RX543" s="27" t="s">
        <v>7</v>
      </c>
      <c r="SK543" s="27" t="s">
        <v>8</v>
      </c>
      <c r="SM543" s="27" t="s">
        <v>8</v>
      </c>
      <c r="SN543" s="27" t="s">
        <v>7</v>
      </c>
      <c r="SS543" s="27" t="s">
        <v>8</v>
      </c>
      <c r="ST543" s="27" t="s">
        <v>7</v>
      </c>
      <c r="SU543" s="27" t="s">
        <v>8</v>
      </c>
      <c r="SV543" s="27" t="s">
        <v>7</v>
      </c>
    </row>
    <row r="544" spans="1:516" x14ac:dyDescent="0.25">
      <c r="A544" s="7">
        <v>2.343189355345392</v>
      </c>
      <c r="B544"/>
      <c r="C544"/>
      <c r="D544"/>
      <c r="E544"/>
      <c r="NG544" s="27" t="s">
        <v>8</v>
      </c>
      <c r="NH544" s="27" t="s">
        <v>7</v>
      </c>
      <c r="OE544" s="27" t="s">
        <v>8</v>
      </c>
      <c r="OH544" s="27" t="s">
        <v>7</v>
      </c>
      <c r="OI544" s="27" t="s">
        <v>8</v>
      </c>
      <c r="OP544" s="27" t="s">
        <v>7</v>
      </c>
      <c r="OQ544" s="27" t="s">
        <v>8</v>
      </c>
      <c r="OR544" s="27" t="s">
        <v>7</v>
      </c>
      <c r="OS544" s="27" t="s">
        <v>8</v>
      </c>
      <c r="OW544" s="27" t="s">
        <v>8</v>
      </c>
      <c r="OX544" s="27" t="s">
        <v>7</v>
      </c>
      <c r="OY544" s="27" t="s">
        <v>8</v>
      </c>
      <c r="OZ544" s="27" t="s">
        <v>7</v>
      </c>
      <c r="PA544" s="27" t="s">
        <v>8</v>
      </c>
      <c r="PB544" s="27" t="s">
        <v>7</v>
      </c>
      <c r="RU544" s="27" t="s">
        <v>8</v>
      </c>
      <c r="RW544" s="27" t="s">
        <v>8</v>
      </c>
      <c r="RX544" s="27" t="s">
        <v>7</v>
      </c>
      <c r="SK544" s="27" t="s">
        <v>8</v>
      </c>
      <c r="SL544" s="27" t="s">
        <v>7</v>
      </c>
      <c r="SM544" s="27" t="s">
        <v>8</v>
      </c>
      <c r="SN544" s="27" t="s">
        <v>7</v>
      </c>
      <c r="SS544" s="27" t="s">
        <v>8</v>
      </c>
      <c r="ST544" s="27" t="s">
        <v>7</v>
      </c>
      <c r="SU544" s="27" t="s">
        <v>8</v>
      </c>
      <c r="SV544" s="27" t="s">
        <v>7</v>
      </c>
    </row>
    <row r="545" spans="1:536" x14ac:dyDescent="0.25">
      <c r="A545" s="7">
        <v>2.2972444660248938</v>
      </c>
      <c r="B545"/>
      <c r="C545"/>
      <c r="D545"/>
      <c r="E545"/>
      <c r="NG545" s="27" t="s">
        <v>8</v>
      </c>
      <c r="NH545" s="27" t="s">
        <v>7</v>
      </c>
      <c r="NO545" s="27" t="s">
        <v>8</v>
      </c>
      <c r="OE545" s="27" t="s">
        <v>8</v>
      </c>
      <c r="OH545" s="27" t="s">
        <v>7</v>
      </c>
      <c r="OI545" s="27" t="s">
        <v>8</v>
      </c>
      <c r="OP545" s="27" t="s">
        <v>7</v>
      </c>
      <c r="OQ545" s="27" t="s">
        <v>8</v>
      </c>
      <c r="OR545" s="27" t="s">
        <v>7</v>
      </c>
      <c r="OS545" s="27" t="s">
        <v>8</v>
      </c>
      <c r="OT545" s="27" t="s">
        <v>7</v>
      </c>
      <c r="OW545" s="27" t="s">
        <v>8</v>
      </c>
      <c r="OX545" s="27" t="s">
        <v>7</v>
      </c>
      <c r="OY545" s="27" t="s">
        <v>8</v>
      </c>
      <c r="OZ545" s="27" t="s">
        <v>7</v>
      </c>
      <c r="PA545" s="27" t="s">
        <v>8</v>
      </c>
      <c r="PB545" s="27" t="s">
        <v>7</v>
      </c>
      <c r="RU545" s="27" t="s">
        <v>8</v>
      </c>
      <c r="RV545" s="27" t="s">
        <v>7</v>
      </c>
      <c r="RW545" s="27" t="s">
        <v>8</v>
      </c>
      <c r="RX545" s="27" t="s">
        <v>7</v>
      </c>
      <c r="SA545" s="27" t="s">
        <v>8</v>
      </c>
      <c r="SK545" s="27" t="s">
        <v>8</v>
      </c>
      <c r="SL545" s="27" t="s">
        <v>7</v>
      </c>
      <c r="SM545" s="27" t="s">
        <v>8</v>
      </c>
      <c r="SN545" s="27" t="s">
        <v>7</v>
      </c>
      <c r="SS545" s="27" t="s">
        <v>8</v>
      </c>
      <c r="ST545" s="27" t="s">
        <v>7</v>
      </c>
      <c r="SU545" s="27" t="s">
        <v>8</v>
      </c>
      <c r="SV545" s="27" t="s">
        <v>7</v>
      </c>
    </row>
    <row r="546" spans="1:536" x14ac:dyDescent="0.25">
      <c r="A546" s="7">
        <v>2.252200456887151</v>
      </c>
      <c r="B546"/>
      <c r="C546"/>
      <c r="D546"/>
      <c r="E546"/>
      <c r="NG546" s="27" t="s">
        <v>8</v>
      </c>
      <c r="NH546" s="27" t="s">
        <v>7</v>
      </c>
      <c r="NO546" s="27" t="s">
        <v>8</v>
      </c>
      <c r="NP546" s="27" t="s">
        <v>7</v>
      </c>
      <c r="OE546" s="27" t="s">
        <v>8</v>
      </c>
      <c r="OH546" s="27" t="s">
        <v>7</v>
      </c>
      <c r="OI546" s="27" t="s">
        <v>8</v>
      </c>
      <c r="OP546" s="27" t="s">
        <v>7</v>
      </c>
      <c r="OQ546" s="27" t="s">
        <v>8</v>
      </c>
      <c r="OR546" s="27" t="s">
        <v>7</v>
      </c>
      <c r="OS546" s="27" t="s">
        <v>8</v>
      </c>
      <c r="OT546" s="27" t="s">
        <v>7</v>
      </c>
      <c r="OW546" s="27" t="s">
        <v>8</v>
      </c>
      <c r="OX546" s="27" t="s">
        <v>7</v>
      </c>
      <c r="OY546" s="27" t="s">
        <v>8</v>
      </c>
      <c r="OZ546" s="27" t="s">
        <v>7</v>
      </c>
      <c r="PA546" s="27" t="s">
        <v>8</v>
      </c>
      <c r="PB546" s="27" t="s">
        <v>7</v>
      </c>
      <c r="PC546" s="27" t="s">
        <v>8</v>
      </c>
      <c r="RK546" s="27" t="s">
        <v>8</v>
      </c>
      <c r="RU546" s="27" t="s">
        <v>8</v>
      </c>
      <c r="RV546" s="27" t="s">
        <v>7</v>
      </c>
      <c r="RW546" s="27" t="s">
        <v>8</v>
      </c>
      <c r="RX546" s="27" t="s">
        <v>7</v>
      </c>
      <c r="SA546" s="27" t="s">
        <v>8</v>
      </c>
      <c r="SB546" s="27" t="s">
        <v>7</v>
      </c>
      <c r="SK546" s="27" t="s">
        <v>8</v>
      </c>
      <c r="SL546" s="27" t="s">
        <v>7</v>
      </c>
      <c r="SM546" s="27" t="s">
        <v>8</v>
      </c>
      <c r="SN546" s="27" t="s">
        <v>7</v>
      </c>
      <c r="SS546" s="27" t="s">
        <v>8</v>
      </c>
      <c r="ST546" s="27" t="s">
        <v>7</v>
      </c>
      <c r="SU546" s="27" t="s">
        <v>8</v>
      </c>
      <c r="SV546" s="27" t="s">
        <v>7</v>
      </c>
    </row>
    <row r="547" spans="1:536" x14ac:dyDescent="0.25">
      <c r="A547" s="7">
        <v>2.208039663614854</v>
      </c>
      <c r="B547"/>
      <c r="C547"/>
      <c r="D547"/>
      <c r="E547"/>
      <c r="NG547" s="27" t="s">
        <v>8</v>
      </c>
      <c r="NH547" s="27" t="s">
        <v>7</v>
      </c>
      <c r="NO547" s="27" t="s">
        <v>8</v>
      </c>
      <c r="NP547" s="27" t="s">
        <v>7</v>
      </c>
      <c r="OE547" s="27" t="s">
        <v>8</v>
      </c>
      <c r="OH547" s="27" t="s">
        <v>7</v>
      </c>
      <c r="OP547" s="27" t="s">
        <v>7</v>
      </c>
      <c r="OQ547" s="27" t="s">
        <v>8</v>
      </c>
      <c r="OR547" s="27" t="s">
        <v>7</v>
      </c>
      <c r="OS547" s="27" t="s">
        <v>8</v>
      </c>
      <c r="OT547" s="27" t="s">
        <v>7</v>
      </c>
      <c r="OW547" s="27" t="s">
        <v>8</v>
      </c>
      <c r="OX547" s="27" t="s">
        <v>7</v>
      </c>
      <c r="OY547" s="27" t="s">
        <v>8</v>
      </c>
      <c r="OZ547" s="27" t="s">
        <v>7</v>
      </c>
      <c r="PA547" s="27" t="s">
        <v>8</v>
      </c>
      <c r="PB547" s="27" t="s">
        <v>7</v>
      </c>
      <c r="PC547" s="27" t="s">
        <v>8</v>
      </c>
      <c r="PD547" s="27" t="s">
        <v>7</v>
      </c>
      <c r="RK547" s="27" t="s">
        <v>8</v>
      </c>
      <c r="RL547" s="27" t="s">
        <v>7</v>
      </c>
      <c r="RM547" s="27" t="s">
        <v>8</v>
      </c>
      <c r="RU547" s="27" t="s">
        <v>8</v>
      </c>
      <c r="RV547" s="27" t="s">
        <v>7</v>
      </c>
      <c r="RW547" s="27" t="s">
        <v>8</v>
      </c>
      <c r="RX547" s="27" t="s">
        <v>7</v>
      </c>
      <c r="RY547" s="27" t="s">
        <v>8</v>
      </c>
      <c r="SA547" s="27" t="s">
        <v>8</v>
      </c>
      <c r="SB547" s="27" t="s">
        <v>7</v>
      </c>
      <c r="SK547" s="27" t="s">
        <v>8</v>
      </c>
      <c r="SL547" s="27" t="s">
        <v>7</v>
      </c>
      <c r="SN547" s="27" t="s">
        <v>7</v>
      </c>
      <c r="SQ547" s="27" t="s">
        <v>8</v>
      </c>
      <c r="SS547" s="27" t="s">
        <v>8</v>
      </c>
      <c r="ST547" s="27" t="s">
        <v>7</v>
      </c>
      <c r="SU547" s="27" t="s">
        <v>8</v>
      </c>
      <c r="SV547" s="27" t="s">
        <v>7</v>
      </c>
    </row>
    <row r="548" spans="1:536" x14ac:dyDescent="0.25">
      <c r="A548" s="7">
        <v>2.1647447682498568</v>
      </c>
      <c r="B548"/>
      <c r="C548"/>
      <c r="D548"/>
      <c r="E548"/>
      <c r="NG548" s="27" t="s">
        <v>8</v>
      </c>
      <c r="NH548" s="27" t="s">
        <v>7</v>
      </c>
      <c r="NI548" s="27" t="s">
        <v>8</v>
      </c>
      <c r="NO548" s="27" t="s">
        <v>8</v>
      </c>
      <c r="NP548" s="27" t="s">
        <v>7</v>
      </c>
      <c r="OC548" s="27" t="s">
        <v>8</v>
      </c>
      <c r="OE548" s="27" t="s">
        <v>8</v>
      </c>
      <c r="OP548" s="27" t="s">
        <v>7</v>
      </c>
      <c r="OQ548" s="27" t="s">
        <v>8</v>
      </c>
      <c r="OR548" s="27" t="s">
        <v>7</v>
      </c>
      <c r="OS548" s="27" t="s">
        <v>8</v>
      </c>
      <c r="OT548" s="27" t="s">
        <v>7</v>
      </c>
      <c r="OW548" s="27" t="s">
        <v>8</v>
      </c>
      <c r="OX548" s="27" t="s">
        <v>7</v>
      </c>
      <c r="OZ548" s="27" t="s">
        <v>7</v>
      </c>
      <c r="PB548" s="27" t="s">
        <v>7</v>
      </c>
      <c r="PC548" s="27" t="s">
        <v>8</v>
      </c>
      <c r="PD548" s="27" t="s">
        <v>7</v>
      </c>
      <c r="RK548" s="27" t="s">
        <v>8</v>
      </c>
      <c r="RL548" s="27" t="s">
        <v>7</v>
      </c>
      <c r="RM548" s="27" t="s">
        <v>8</v>
      </c>
      <c r="RN548" s="27" t="s">
        <v>7</v>
      </c>
      <c r="RU548" s="27" t="s">
        <v>8</v>
      </c>
      <c r="RV548" s="27" t="s">
        <v>7</v>
      </c>
      <c r="RW548" s="27" t="s">
        <v>8</v>
      </c>
      <c r="RX548" s="27" t="s">
        <v>7</v>
      </c>
      <c r="RY548" s="27" t="s">
        <v>8</v>
      </c>
      <c r="RZ548" s="27" t="s">
        <v>7</v>
      </c>
      <c r="SA548" s="27" t="s">
        <v>8</v>
      </c>
      <c r="SB548" s="27" t="s">
        <v>7</v>
      </c>
      <c r="SC548" s="27" t="s">
        <v>8</v>
      </c>
      <c r="SE548" s="27" t="s">
        <v>8</v>
      </c>
      <c r="SG548" s="27" t="s">
        <v>8</v>
      </c>
      <c r="SK548" s="27" t="s">
        <v>8</v>
      </c>
      <c r="SN548" s="27" t="s">
        <v>7</v>
      </c>
      <c r="SQ548" s="27" t="s">
        <v>8</v>
      </c>
      <c r="SR548" s="27" t="s">
        <v>7</v>
      </c>
      <c r="SS548" s="27" t="s">
        <v>8</v>
      </c>
      <c r="ST548" s="27" t="s">
        <v>7</v>
      </c>
      <c r="SU548" s="27" t="s">
        <v>8</v>
      </c>
      <c r="SV548" s="27" t="s">
        <v>7</v>
      </c>
    </row>
    <row r="549" spans="1:536" x14ac:dyDescent="0.25">
      <c r="A549" s="7">
        <v>2.1222987924018204</v>
      </c>
      <c r="B549"/>
      <c r="C549"/>
      <c r="D549"/>
      <c r="E549"/>
      <c r="NG549" s="27" t="s">
        <v>8</v>
      </c>
      <c r="NH549" s="27" t="s">
        <v>7</v>
      </c>
      <c r="NI549" s="27" t="s">
        <v>8</v>
      </c>
      <c r="NJ549" s="27" t="s">
        <v>7</v>
      </c>
      <c r="NO549" s="27" t="s">
        <v>8</v>
      </c>
      <c r="NP549" s="27" t="s">
        <v>7</v>
      </c>
      <c r="NS549" s="27" t="s">
        <v>8</v>
      </c>
      <c r="NW549" s="27" t="s">
        <v>8</v>
      </c>
      <c r="NY549" s="27" t="s">
        <v>8</v>
      </c>
      <c r="OC549" s="27" t="s">
        <v>8</v>
      </c>
      <c r="OD549" s="27" t="s">
        <v>7</v>
      </c>
      <c r="OE549" s="27" t="s">
        <v>8</v>
      </c>
      <c r="OP549" s="27" t="s">
        <v>7</v>
      </c>
      <c r="OQ549" s="27" t="s">
        <v>8</v>
      </c>
      <c r="OR549" s="27" t="s">
        <v>7</v>
      </c>
      <c r="OS549" s="27" t="s">
        <v>8</v>
      </c>
      <c r="OT549" s="27" t="s">
        <v>7</v>
      </c>
      <c r="OW549" s="27" t="s">
        <v>8</v>
      </c>
      <c r="PB549" s="27" t="s">
        <v>7</v>
      </c>
      <c r="PC549" s="27" t="s">
        <v>8</v>
      </c>
      <c r="PD549" s="27" t="s">
        <v>7</v>
      </c>
      <c r="RK549" s="27" t="s">
        <v>8</v>
      </c>
      <c r="RL549" s="27" t="s">
        <v>7</v>
      </c>
      <c r="RM549" s="27" t="s">
        <v>8</v>
      </c>
      <c r="RN549" s="27" t="s">
        <v>7</v>
      </c>
      <c r="RU549" s="27" t="s">
        <v>8</v>
      </c>
      <c r="RV549" s="27" t="s">
        <v>7</v>
      </c>
      <c r="RW549" s="27" t="s">
        <v>8</v>
      </c>
      <c r="RX549" s="27" t="s">
        <v>7</v>
      </c>
      <c r="RY549" s="27" t="s">
        <v>8</v>
      </c>
      <c r="RZ549" s="27" t="s">
        <v>7</v>
      </c>
      <c r="SA549" s="27" t="s">
        <v>8</v>
      </c>
      <c r="SB549" s="27" t="s">
        <v>7</v>
      </c>
      <c r="SC549" s="27" t="s">
        <v>8</v>
      </c>
      <c r="SD549" s="27" t="s">
        <v>7</v>
      </c>
      <c r="SE549" s="27" t="s">
        <v>8</v>
      </c>
      <c r="SF549" s="27" t="s">
        <v>7</v>
      </c>
      <c r="SG549" s="27" t="s">
        <v>8</v>
      </c>
      <c r="SH549" s="27" t="s">
        <v>7</v>
      </c>
      <c r="SI549" s="27" t="s">
        <v>8</v>
      </c>
      <c r="SK549" s="27" t="s">
        <v>8</v>
      </c>
      <c r="SN549" s="27" t="s">
        <v>7</v>
      </c>
      <c r="SO549" s="27" t="s">
        <v>8</v>
      </c>
      <c r="SQ549" s="27" t="s">
        <v>8</v>
      </c>
      <c r="SR549" s="27" t="s">
        <v>7</v>
      </c>
      <c r="SS549" s="27" t="s">
        <v>8</v>
      </c>
      <c r="ST549" s="27" t="s">
        <v>7</v>
      </c>
      <c r="SU549" s="27" t="s">
        <v>8</v>
      </c>
      <c r="SV549" s="27" t="s">
        <v>7</v>
      </c>
    </row>
    <row r="550" spans="1:536" x14ac:dyDescent="0.25">
      <c r="A550" s="7">
        <v>2.0806850905900198</v>
      </c>
      <c r="B550"/>
      <c r="C550"/>
      <c r="D550"/>
      <c r="E550"/>
      <c r="NG550" s="27" t="s">
        <v>8</v>
      </c>
      <c r="NH550" s="27" t="s">
        <v>7</v>
      </c>
      <c r="NI550" s="27" t="s">
        <v>8</v>
      </c>
      <c r="NJ550" s="27" t="s">
        <v>7</v>
      </c>
      <c r="NO550" s="27" t="s">
        <v>8</v>
      </c>
      <c r="NP550" s="27" t="s">
        <v>7</v>
      </c>
      <c r="NS550" s="27" t="s">
        <v>8</v>
      </c>
      <c r="NT550" s="27" t="s">
        <v>7</v>
      </c>
      <c r="NW550" s="27" t="s">
        <v>8</v>
      </c>
      <c r="NX550" s="27" t="s">
        <v>7</v>
      </c>
      <c r="NY550" s="27" t="s">
        <v>8</v>
      </c>
      <c r="NZ550" s="27" t="s">
        <v>7</v>
      </c>
      <c r="OC550" s="27" t="s">
        <v>8</v>
      </c>
      <c r="OD550" s="27" t="s">
        <v>7</v>
      </c>
      <c r="OE550" s="27" t="s">
        <v>8</v>
      </c>
      <c r="OP550" s="27" t="s">
        <v>7</v>
      </c>
      <c r="OQ550" s="27" t="s">
        <v>8</v>
      </c>
      <c r="OR550" s="27" t="s">
        <v>7</v>
      </c>
      <c r="OS550" s="27" t="s">
        <v>8</v>
      </c>
      <c r="OT550" s="27" t="s">
        <v>7</v>
      </c>
      <c r="OW550" s="27" t="s">
        <v>8</v>
      </c>
      <c r="PB550" s="27" t="s">
        <v>7</v>
      </c>
      <c r="PC550" s="27" t="s">
        <v>8</v>
      </c>
      <c r="PD550" s="27" t="s">
        <v>7</v>
      </c>
      <c r="RK550" s="27" t="s">
        <v>8</v>
      </c>
      <c r="RL550" s="27" t="s">
        <v>7</v>
      </c>
      <c r="RM550" s="27" t="s">
        <v>8</v>
      </c>
      <c r="RN550" s="27" t="s">
        <v>7</v>
      </c>
      <c r="RU550" s="27" t="s">
        <v>8</v>
      </c>
      <c r="RV550" s="27" t="s">
        <v>7</v>
      </c>
      <c r="RW550" s="27" t="s">
        <v>8</v>
      </c>
      <c r="RX550" s="27" t="s">
        <v>7</v>
      </c>
      <c r="RZ550" s="27" t="s">
        <v>7</v>
      </c>
      <c r="SB550" s="27" t="s">
        <v>7</v>
      </c>
      <c r="SC550" s="27" t="s">
        <v>8</v>
      </c>
      <c r="SD550" s="27" t="s">
        <v>7</v>
      </c>
      <c r="SE550" s="27" t="s">
        <v>8</v>
      </c>
      <c r="SF550" s="27" t="s">
        <v>7</v>
      </c>
      <c r="SG550" s="27" t="s">
        <v>8</v>
      </c>
      <c r="SH550" s="27" t="s">
        <v>7</v>
      </c>
      <c r="SI550" s="27" t="s">
        <v>8</v>
      </c>
      <c r="SJ550" s="27" t="s">
        <v>7</v>
      </c>
      <c r="SK550" s="27" t="s">
        <v>8</v>
      </c>
      <c r="SN550" s="27" t="s">
        <v>7</v>
      </c>
      <c r="SO550" s="27" t="s">
        <v>8</v>
      </c>
      <c r="SP550" s="27" t="s">
        <v>7</v>
      </c>
      <c r="SQ550" s="27" t="s">
        <v>8</v>
      </c>
      <c r="SR550" s="27" t="s">
        <v>7</v>
      </c>
      <c r="SS550" s="27" t="s">
        <v>8</v>
      </c>
      <c r="ST550" s="27" t="s">
        <v>7</v>
      </c>
      <c r="SU550" s="27" t="s">
        <v>8</v>
      </c>
      <c r="SV550" s="27" t="s">
        <v>7</v>
      </c>
    </row>
    <row r="551" spans="1:536" x14ac:dyDescent="0.25">
      <c r="A551" s="7">
        <v>2.0398873437157055</v>
      </c>
      <c r="B551"/>
      <c r="C551"/>
      <c r="D551"/>
      <c r="E551"/>
      <c r="NG551" s="27" t="s">
        <v>8</v>
      </c>
      <c r="NH551" s="27" t="s">
        <v>7</v>
      </c>
      <c r="NI551" s="27" t="s">
        <v>8</v>
      </c>
      <c r="NJ551" s="27" t="s">
        <v>7</v>
      </c>
      <c r="NO551" s="27" t="s">
        <v>8</v>
      </c>
      <c r="NP551" s="27" t="s">
        <v>7</v>
      </c>
      <c r="NS551" s="27" t="s">
        <v>8</v>
      </c>
      <c r="NT551" s="27" t="s">
        <v>7</v>
      </c>
      <c r="NW551" s="27" t="s">
        <v>8</v>
      </c>
      <c r="NX551" s="27" t="s">
        <v>7</v>
      </c>
      <c r="NY551" s="27" t="s">
        <v>8</v>
      </c>
      <c r="NZ551" s="27" t="s">
        <v>7</v>
      </c>
      <c r="OC551" s="27" t="s">
        <v>8</v>
      </c>
      <c r="OD551" s="27" t="s">
        <v>7</v>
      </c>
      <c r="OE551" s="27" t="s">
        <v>8</v>
      </c>
      <c r="OP551" s="27" t="s">
        <v>7</v>
      </c>
      <c r="OQ551" s="27" t="s">
        <v>8</v>
      </c>
      <c r="OR551" s="27" t="s">
        <v>7</v>
      </c>
      <c r="OS551" s="27" t="s">
        <v>8</v>
      </c>
      <c r="OT551" s="27" t="s">
        <v>7</v>
      </c>
      <c r="OW551" s="27" t="s">
        <v>8</v>
      </c>
      <c r="PB551" s="27" t="s">
        <v>7</v>
      </c>
      <c r="PC551" s="27" t="s">
        <v>8</v>
      </c>
      <c r="PD551" s="27" t="s">
        <v>7</v>
      </c>
      <c r="RK551" s="27" t="s">
        <v>8</v>
      </c>
      <c r="RL551" s="27" t="s">
        <v>7</v>
      </c>
      <c r="RM551" s="27" t="s">
        <v>8</v>
      </c>
      <c r="RN551" s="27" t="s">
        <v>7</v>
      </c>
      <c r="RU551" s="27" t="s">
        <v>8</v>
      </c>
      <c r="RV551" s="27" t="s">
        <v>7</v>
      </c>
      <c r="SB551" s="27" t="s">
        <v>7</v>
      </c>
      <c r="SC551" s="27" t="s">
        <v>8</v>
      </c>
      <c r="SD551" s="27" t="s">
        <v>7</v>
      </c>
      <c r="SE551" s="27" t="s">
        <v>8</v>
      </c>
      <c r="SF551" s="27" t="s">
        <v>7</v>
      </c>
      <c r="SH551" s="27" t="s">
        <v>7</v>
      </c>
      <c r="SI551" s="27" t="s">
        <v>8</v>
      </c>
      <c r="SJ551" s="27" t="s">
        <v>7</v>
      </c>
      <c r="SK551" s="27" t="s">
        <v>8</v>
      </c>
      <c r="SN551" s="27" t="s">
        <v>7</v>
      </c>
      <c r="SO551" s="27" t="s">
        <v>8</v>
      </c>
      <c r="SP551" s="27" t="s">
        <v>7</v>
      </c>
      <c r="SQ551" s="27" t="s">
        <v>8</v>
      </c>
      <c r="SR551" s="27" t="s">
        <v>7</v>
      </c>
      <c r="SS551" s="27" t="s">
        <v>8</v>
      </c>
      <c r="ST551" s="27" t="s">
        <v>7</v>
      </c>
      <c r="SU551" s="27" t="s">
        <v>8</v>
      </c>
      <c r="SV551" s="27" t="s">
        <v>7</v>
      </c>
    </row>
    <row r="552" spans="1:536" x14ac:dyDescent="0.25">
      <c r="A552" s="7">
        <v>1.9998895526624565</v>
      </c>
      <c r="B552"/>
      <c r="C552"/>
      <c r="D552"/>
      <c r="E552"/>
      <c r="NG552" s="27" t="s">
        <v>8</v>
      </c>
      <c r="NH552" s="27" t="s">
        <v>7</v>
      </c>
      <c r="NI552" s="27" t="s">
        <v>8</v>
      </c>
      <c r="NJ552" s="27" t="s">
        <v>7</v>
      </c>
      <c r="NO552" s="27" t="s">
        <v>8</v>
      </c>
      <c r="NP552" s="27" t="s">
        <v>7</v>
      </c>
      <c r="NS552" s="27" t="s">
        <v>8</v>
      </c>
      <c r="NT552" s="27" t="s">
        <v>7</v>
      </c>
      <c r="NW552" s="27" t="s">
        <v>8</v>
      </c>
      <c r="NX552" s="27" t="s">
        <v>7</v>
      </c>
      <c r="NY552" s="27" t="s">
        <v>8</v>
      </c>
      <c r="NZ552" s="27" t="s">
        <v>7</v>
      </c>
      <c r="OA552" s="27" t="s">
        <v>8</v>
      </c>
      <c r="OC552" s="27" t="s">
        <v>8</v>
      </c>
      <c r="OD552" s="27" t="s">
        <v>7</v>
      </c>
      <c r="OE552" s="27" t="s">
        <v>8</v>
      </c>
      <c r="OP552" s="27" t="s">
        <v>7</v>
      </c>
      <c r="OQ552" s="27" t="s">
        <v>8</v>
      </c>
      <c r="OR552" s="27" t="s">
        <v>7</v>
      </c>
      <c r="OS552" s="27" t="s">
        <v>8</v>
      </c>
      <c r="OT552" s="27" t="s">
        <v>7</v>
      </c>
      <c r="OW552" s="27" t="s">
        <v>8</v>
      </c>
      <c r="PB552" s="27" t="s">
        <v>7</v>
      </c>
      <c r="PC552" s="27" t="s">
        <v>8</v>
      </c>
      <c r="PD552" s="27" t="s">
        <v>7</v>
      </c>
      <c r="PE552" s="27" t="s">
        <v>8</v>
      </c>
      <c r="RK552" s="27" t="s">
        <v>8</v>
      </c>
      <c r="RL552" s="27" t="s">
        <v>7</v>
      </c>
      <c r="RM552" s="27" t="s">
        <v>8</v>
      </c>
      <c r="RN552" s="27" t="s">
        <v>7</v>
      </c>
      <c r="RU552" s="27" t="s">
        <v>8</v>
      </c>
      <c r="SB552" s="27" t="s">
        <v>7</v>
      </c>
      <c r="SD552" s="27" t="s">
        <v>7</v>
      </c>
      <c r="SE552" s="27" t="s">
        <v>8</v>
      </c>
      <c r="SH552" s="27" t="s">
        <v>7</v>
      </c>
      <c r="SJ552" s="27" t="s">
        <v>7</v>
      </c>
      <c r="SK552" s="27" t="s">
        <v>8</v>
      </c>
      <c r="SN552" s="27" t="s">
        <v>7</v>
      </c>
      <c r="SP552" s="27" t="s">
        <v>7</v>
      </c>
      <c r="SR552" s="27" t="s">
        <v>7</v>
      </c>
      <c r="SS552" s="27" t="s">
        <v>8</v>
      </c>
      <c r="ST552" s="27" t="s">
        <v>7</v>
      </c>
      <c r="SV552" s="27" t="s">
        <v>7</v>
      </c>
    </row>
    <row r="553" spans="1:536" x14ac:dyDescent="0.25">
      <c r="A553" s="7">
        <v>1.9606760320220162</v>
      </c>
      <c r="B553"/>
      <c r="C553"/>
      <c r="D553"/>
      <c r="E553"/>
      <c r="NG553" s="27" t="s">
        <v>8</v>
      </c>
      <c r="NH553" s="27" t="s">
        <v>7</v>
      </c>
      <c r="NJ553" s="27" t="s">
        <v>7</v>
      </c>
      <c r="NO553" s="27" t="s">
        <v>8</v>
      </c>
      <c r="NP553" s="27" t="s">
        <v>7</v>
      </c>
      <c r="NQ553" s="27" t="s">
        <v>8</v>
      </c>
      <c r="NS553" s="27" t="s">
        <v>8</v>
      </c>
      <c r="NT553" s="27" t="s">
        <v>7</v>
      </c>
      <c r="NU553" s="27" t="s">
        <v>8</v>
      </c>
      <c r="NW553" s="27" t="s">
        <v>8</v>
      </c>
      <c r="NX553" s="27" t="s">
        <v>7</v>
      </c>
      <c r="NY553" s="27" t="s">
        <v>8</v>
      </c>
      <c r="NZ553" s="27" t="s">
        <v>7</v>
      </c>
      <c r="OA553" s="27" t="s">
        <v>8</v>
      </c>
      <c r="OB553" s="27" t="s">
        <v>7</v>
      </c>
      <c r="OC553" s="27" t="s">
        <v>8</v>
      </c>
      <c r="OD553" s="27" t="s">
        <v>7</v>
      </c>
      <c r="OE553" s="27" t="s">
        <v>8</v>
      </c>
      <c r="OP553" s="27" t="s">
        <v>7</v>
      </c>
      <c r="OQ553" s="27" t="s">
        <v>8</v>
      </c>
      <c r="OR553" s="27" t="s">
        <v>7</v>
      </c>
      <c r="OS553" s="27" t="s">
        <v>8</v>
      </c>
      <c r="OT553" s="27" t="s">
        <v>7</v>
      </c>
      <c r="OW553" s="27" t="s">
        <v>8</v>
      </c>
      <c r="PB553" s="27" t="s">
        <v>7</v>
      </c>
      <c r="PC553" s="27" t="s">
        <v>8</v>
      </c>
      <c r="PD553" s="27" t="s">
        <v>7</v>
      </c>
      <c r="PE553" s="27" t="s">
        <v>8</v>
      </c>
      <c r="PF553" s="27" t="s">
        <v>7</v>
      </c>
      <c r="RK553" s="27" t="s">
        <v>8</v>
      </c>
      <c r="RL553" s="27" t="s">
        <v>7</v>
      </c>
      <c r="RM553" s="27" t="s">
        <v>8</v>
      </c>
      <c r="RN553" s="27" t="s">
        <v>7</v>
      </c>
      <c r="RO553" s="27" t="s">
        <v>8</v>
      </c>
      <c r="RU553" s="27" t="s">
        <v>8</v>
      </c>
      <c r="SD553" s="27" t="s">
        <v>7</v>
      </c>
      <c r="SE553" s="27" t="s">
        <v>8</v>
      </c>
      <c r="SJ553" s="27" t="s">
        <v>7</v>
      </c>
      <c r="SK553" s="27" t="s">
        <v>8</v>
      </c>
      <c r="SR553" s="27" t="s">
        <v>7</v>
      </c>
      <c r="SS553" s="27" t="s">
        <v>8</v>
      </c>
      <c r="SV553" s="27" t="s">
        <v>7</v>
      </c>
      <c r="TO553" s="27" t="s">
        <v>8</v>
      </c>
    </row>
    <row r="554" spans="1:536" x14ac:dyDescent="0.25">
      <c r="A554" s="7">
        <v>1.9222314039431532</v>
      </c>
      <c r="B554"/>
      <c r="C554"/>
      <c r="D554"/>
      <c r="E554"/>
      <c r="NG554" s="27" t="s">
        <v>8</v>
      </c>
      <c r="NJ554" s="27" t="s">
        <v>7</v>
      </c>
      <c r="NO554" s="27" t="s">
        <v>8</v>
      </c>
      <c r="NP554" s="27" t="s">
        <v>7</v>
      </c>
      <c r="NQ554" s="27" t="s">
        <v>8</v>
      </c>
      <c r="NR554" s="27" t="s">
        <v>7</v>
      </c>
      <c r="NS554" s="27" t="s">
        <v>8</v>
      </c>
      <c r="NT554" s="27" t="s">
        <v>7</v>
      </c>
      <c r="NU554" s="27" t="s">
        <v>8</v>
      </c>
      <c r="NV554" s="27" t="s">
        <v>7</v>
      </c>
      <c r="NW554" s="27" t="s">
        <v>8</v>
      </c>
      <c r="NX554" s="27" t="s">
        <v>7</v>
      </c>
      <c r="NY554" s="27" t="s">
        <v>8</v>
      </c>
      <c r="NZ554" s="27" t="s">
        <v>7</v>
      </c>
      <c r="OA554" s="27" t="s">
        <v>8</v>
      </c>
      <c r="OB554" s="27" t="s">
        <v>7</v>
      </c>
      <c r="OC554" s="27" t="s">
        <v>8</v>
      </c>
      <c r="OD554" s="27" t="s">
        <v>7</v>
      </c>
      <c r="OE554" s="27" t="s">
        <v>8</v>
      </c>
      <c r="OP554" s="27" t="s">
        <v>7</v>
      </c>
      <c r="OQ554" s="27" t="s">
        <v>8</v>
      </c>
      <c r="OR554" s="27" t="s">
        <v>7</v>
      </c>
      <c r="OS554" s="27" t="s">
        <v>8</v>
      </c>
      <c r="OT554" s="27" t="s">
        <v>7</v>
      </c>
      <c r="OW554" s="27" t="s">
        <v>8</v>
      </c>
      <c r="PB554" s="27" t="s">
        <v>7</v>
      </c>
      <c r="PD554" s="27" t="s">
        <v>7</v>
      </c>
      <c r="PE554" s="27" t="s">
        <v>8</v>
      </c>
      <c r="PF554" s="27" t="s">
        <v>7</v>
      </c>
      <c r="RK554" s="27" t="s">
        <v>8</v>
      </c>
      <c r="RL554" s="27" t="s">
        <v>7</v>
      </c>
      <c r="RM554" s="27" t="s">
        <v>8</v>
      </c>
      <c r="RN554" s="27" t="s">
        <v>7</v>
      </c>
      <c r="RO554" s="27" t="s">
        <v>8</v>
      </c>
      <c r="RP554" s="27" t="s">
        <v>7</v>
      </c>
      <c r="RU554" s="27" t="s">
        <v>8</v>
      </c>
      <c r="SD554" s="27" t="s">
        <v>7</v>
      </c>
      <c r="SJ554" s="27" t="s">
        <v>7</v>
      </c>
      <c r="SK554" s="27" t="s">
        <v>8</v>
      </c>
      <c r="SR554" s="27" t="s">
        <v>7</v>
      </c>
      <c r="SV554" s="27" t="s">
        <v>7</v>
      </c>
      <c r="TO554" s="27" t="s">
        <v>8</v>
      </c>
      <c r="TP554" s="27" t="s">
        <v>7</v>
      </c>
    </row>
    <row r="555" spans="1:536" x14ac:dyDescent="0.25">
      <c r="A555" s="7">
        <v>1.8845405921011305</v>
      </c>
      <c r="B555"/>
      <c r="C555"/>
      <c r="D555"/>
      <c r="E555"/>
      <c r="NG555" s="27" t="s">
        <v>8</v>
      </c>
      <c r="NJ555" s="27" t="s">
        <v>7</v>
      </c>
      <c r="NK555" s="27" t="s">
        <v>8</v>
      </c>
      <c r="NO555" s="27" t="s">
        <v>8</v>
      </c>
      <c r="NP555" s="27" t="s">
        <v>7</v>
      </c>
      <c r="NQ555" s="27" t="s">
        <v>8</v>
      </c>
      <c r="NR555" s="27" t="s">
        <v>7</v>
      </c>
      <c r="NS555" s="27" t="s">
        <v>8</v>
      </c>
      <c r="NT555" s="27" t="s">
        <v>7</v>
      </c>
      <c r="NU555" s="27" t="s">
        <v>8</v>
      </c>
      <c r="NV555" s="27" t="s">
        <v>7</v>
      </c>
      <c r="NW555" s="27" t="s">
        <v>8</v>
      </c>
      <c r="NX555" s="27" t="s">
        <v>7</v>
      </c>
      <c r="NY555" s="27" t="s">
        <v>8</v>
      </c>
      <c r="NZ555" s="27" t="s">
        <v>7</v>
      </c>
      <c r="OA555" s="27" t="s">
        <v>8</v>
      </c>
      <c r="OB555" s="27" t="s">
        <v>7</v>
      </c>
      <c r="OC555" s="27" t="s">
        <v>8</v>
      </c>
      <c r="OD555" s="27" t="s">
        <v>7</v>
      </c>
      <c r="OE555" s="27" t="s">
        <v>8</v>
      </c>
      <c r="OP555" s="27" t="s">
        <v>7</v>
      </c>
      <c r="OR555" s="27" t="s">
        <v>7</v>
      </c>
      <c r="OT555" s="27" t="s">
        <v>7</v>
      </c>
      <c r="OU555" s="27" t="s">
        <v>8</v>
      </c>
      <c r="OW555" s="27" t="s">
        <v>8</v>
      </c>
      <c r="PD555" s="27" t="s">
        <v>7</v>
      </c>
      <c r="PE555" s="27" t="s">
        <v>8</v>
      </c>
      <c r="PF555" s="27" t="s">
        <v>7</v>
      </c>
      <c r="RK555" s="27" t="s">
        <v>8</v>
      </c>
      <c r="RL555" s="27" t="s">
        <v>7</v>
      </c>
      <c r="RM555" s="27" t="s">
        <v>8</v>
      </c>
      <c r="RN555" s="27" t="s">
        <v>7</v>
      </c>
      <c r="RO555" s="27" t="s">
        <v>8</v>
      </c>
      <c r="RP555" s="27" t="s">
        <v>7</v>
      </c>
      <c r="RU555" s="27" t="s">
        <v>8</v>
      </c>
      <c r="SJ555" s="27" t="s">
        <v>7</v>
      </c>
      <c r="SK555" s="27" t="s">
        <v>8</v>
      </c>
      <c r="SV555" s="27" t="s">
        <v>7</v>
      </c>
      <c r="TO555" s="27" t="s">
        <v>8</v>
      </c>
      <c r="TP555" s="27" t="s">
        <v>7</v>
      </c>
    </row>
    <row r="556" spans="1:536" x14ac:dyDescent="0.25">
      <c r="A556" s="7">
        <v>1.8475888157854219</v>
      </c>
      <c r="B556"/>
      <c r="C556"/>
      <c r="D556"/>
      <c r="E556"/>
      <c r="NG556" s="27" t="s">
        <v>8</v>
      </c>
      <c r="NJ556" s="27" t="s">
        <v>7</v>
      </c>
      <c r="NK556" s="27" t="s">
        <v>8</v>
      </c>
      <c r="NL556" s="27" t="s">
        <v>7</v>
      </c>
      <c r="NO556" s="27" t="s">
        <v>8</v>
      </c>
      <c r="NP556" s="27" t="s">
        <v>7</v>
      </c>
      <c r="NQ556" s="27" t="s">
        <v>8</v>
      </c>
      <c r="NR556" s="27" t="s">
        <v>7</v>
      </c>
      <c r="NS556" s="27" t="s">
        <v>8</v>
      </c>
      <c r="NT556" s="27" t="s">
        <v>7</v>
      </c>
      <c r="NU556" s="27" t="s">
        <v>8</v>
      </c>
      <c r="NV556" s="27" t="s">
        <v>7</v>
      </c>
      <c r="NW556" s="27" t="s">
        <v>8</v>
      </c>
      <c r="NX556" s="27" t="s">
        <v>7</v>
      </c>
      <c r="NY556" s="27" t="s">
        <v>8</v>
      </c>
      <c r="NZ556" s="27" t="s">
        <v>7</v>
      </c>
      <c r="OB556" s="27" t="s">
        <v>7</v>
      </c>
      <c r="OC556" s="27" t="s">
        <v>8</v>
      </c>
      <c r="OD556" s="27" t="s">
        <v>7</v>
      </c>
      <c r="OE556" s="27" t="s">
        <v>8</v>
      </c>
      <c r="OT556" s="27" t="s">
        <v>7</v>
      </c>
      <c r="OU556" s="27" t="s">
        <v>8</v>
      </c>
      <c r="OV556" s="27" t="s">
        <v>7</v>
      </c>
      <c r="OW556" s="27" t="s">
        <v>8</v>
      </c>
      <c r="PD556" s="27" t="s">
        <v>7</v>
      </c>
      <c r="PE556" s="27" t="s">
        <v>8</v>
      </c>
      <c r="PF556" s="27" t="s">
        <v>7</v>
      </c>
      <c r="RK556" s="27" t="s">
        <v>8</v>
      </c>
      <c r="RL556" s="27" t="s">
        <v>7</v>
      </c>
      <c r="RM556" s="27" t="s">
        <v>8</v>
      </c>
      <c r="RN556" s="27" t="s">
        <v>7</v>
      </c>
      <c r="RP556" s="27" t="s">
        <v>7</v>
      </c>
      <c r="RU556" s="27" t="s">
        <v>8</v>
      </c>
      <c r="SJ556" s="27" t="s">
        <v>7</v>
      </c>
      <c r="SK556" s="27" t="s">
        <v>8</v>
      </c>
      <c r="SV556" s="27" t="s">
        <v>7</v>
      </c>
      <c r="TO556" s="27" t="s">
        <v>8</v>
      </c>
      <c r="TP556" s="27" t="s">
        <v>7</v>
      </c>
    </row>
    <row r="557" spans="1:536" x14ac:dyDescent="0.25">
      <c r="A557" s="7">
        <v>1.8113615841033548</v>
      </c>
      <c r="B557"/>
      <c r="C557"/>
      <c r="D557"/>
      <c r="E557"/>
      <c r="NG557" s="27" t="s">
        <v>8</v>
      </c>
      <c r="NJ557" s="27" t="s">
        <v>7</v>
      </c>
      <c r="NK557" s="27" t="s">
        <v>8</v>
      </c>
      <c r="NL557" s="27" t="s">
        <v>7</v>
      </c>
      <c r="NO557" s="27" t="s">
        <v>8</v>
      </c>
      <c r="NP557" s="27" t="s">
        <v>7</v>
      </c>
      <c r="NQ557" s="27" t="s">
        <v>8</v>
      </c>
      <c r="NR557" s="27" t="s">
        <v>7</v>
      </c>
      <c r="NT557" s="27" t="s">
        <v>7</v>
      </c>
      <c r="NV557" s="27" t="s">
        <v>7</v>
      </c>
      <c r="NW557" s="27" t="s">
        <v>8</v>
      </c>
      <c r="NX557" s="27" t="s">
        <v>7</v>
      </c>
      <c r="OB557" s="27" t="s">
        <v>7</v>
      </c>
      <c r="OC557" s="27" t="s">
        <v>8</v>
      </c>
      <c r="OD557" s="27" t="s">
        <v>7</v>
      </c>
      <c r="OE557" s="27" t="s">
        <v>8</v>
      </c>
      <c r="OT557" s="27" t="s">
        <v>7</v>
      </c>
      <c r="OU557" s="27" t="s">
        <v>8</v>
      </c>
      <c r="OV557" s="27" t="s">
        <v>7</v>
      </c>
      <c r="OW557" s="27" t="s">
        <v>8</v>
      </c>
      <c r="PD557" s="27" t="s">
        <v>7</v>
      </c>
      <c r="PE557" s="27" t="s">
        <v>8</v>
      </c>
      <c r="PF557" s="27" t="s">
        <v>7</v>
      </c>
      <c r="RI557" s="27" t="s">
        <v>8</v>
      </c>
      <c r="RK557" s="27" t="s">
        <v>8</v>
      </c>
      <c r="RL557" s="27" t="s">
        <v>7</v>
      </c>
      <c r="RM557" s="27" t="s">
        <v>8</v>
      </c>
      <c r="RP557" s="27" t="s">
        <v>7</v>
      </c>
      <c r="RU557" s="27" t="s">
        <v>8</v>
      </c>
      <c r="SJ557" s="27" t="s">
        <v>7</v>
      </c>
      <c r="SK557" s="27" t="s">
        <v>8</v>
      </c>
      <c r="SV557" s="27" t="s">
        <v>7</v>
      </c>
      <c r="SW557" s="27" t="s">
        <v>8</v>
      </c>
      <c r="SY557" s="27" t="s">
        <v>8</v>
      </c>
      <c r="TA557" s="27" t="s">
        <v>8</v>
      </c>
      <c r="TO557" s="27" t="s">
        <v>8</v>
      </c>
      <c r="TP557" s="27" t="s">
        <v>7</v>
      </c>
    </row>
    <row r="558" spans="1:536" x14ac:dyDescent="0.25">
      <c r="A558" s="7">
        <v>1.7758446902974065</v>
      </c>
      <c r="B558"/>
      <c r="C558"/>
      <c r="D558"/>
      <c r="E558"/>
      <c r="NG558" s="27" t="s">
        <v>8</v>
      </c>
      <c r="NJ558" s="27" t="s">
        <v>7</v>
      </c>
      <c r="NK558" s="27" t="s">
        <v>8</v>
      </c>
      <c r="NL558" s="27" t="s">
        <v>7</v>
      </c>
      <c r="NO558" s="27" t="s">
        <v>8</v>
      </c>
      <c r="NP558" s="27" t="s">
        <v>7</v>
      </c>
      <c r="NQ558" s="27" t="s">
        <v>8</v>
      </c>
      <c r="NV558" s="27" t="s">
        <v>7</v>
      </c>
      <c r="NW558" s="27" t="s">
        <v>8</v>
      </c>
      <c r="OB558" s="27" t="s">
        <v>7</v>
      </c>
      <c r="OD558" s="27" t="s">
        <v>7</v>
      </c>
      <c r="OE558" s="27" t="s">
        <v>8</v>
      </c>
      <c r="OT558" s="27" t="s">
        <v>7</v>
      </c>
      <c r="OU558" s="27" t="s">
        <v>8</v>
      </c>
      <c r="OV558" s="27" t="s">
        <v>7</v>
      </c>
      <c r="OW558" s="27" t="s">
        <v>8</v>
      </c>
      <c r="PD558" s="27" t="s">
        <v>7</v>
      </c>
      <c r="PF558" s="27" t="s">
        <v>7</v>
      </c>
      <c r="RI558" s="27" t="s">
        <v>8</v>
      </c>
      <c r="RJ558" s="27" t="s">
        <v>7</v>
      </c>
      <c r="RK558" s="27" t="s">
        <v>8</v>
      </c>
      <c r="RL558" s="27" t="s">
        <v>7</v>
      </c>
      <c r="RM558" s="27" t="s">
        <v>8</v>
      </c>
      <c r="RP558" s="27" t="s">
        <v>7</v>
      </c>
      <c r="RU558" s="27" t="s">
        <v>8</v>
      </c>
      <c r="SJ558" s="27" t="s">
        <v>7</v>
      </c>
      <c r="SK558" s="27" t="s">
        <v>8</v>
      </c>
      <c r="SV558" s="27" t="s">
        <v>7</v>
      </c>
      <c r="SW558" s="27" t="s">
        <v>8</v>
      </c>
      <c r="SX558" s="27" t="s">
        <v>7</v>
      </c>
      <c r="SY558" s="27" t="s">
        <v>8</v>
      </c>
      <c r="SZ558" s="27" t="s">
        <v>7</v>
      </c>
      <c r="TA558" s="27" t="s">
        <v>8</v>
      </c>
      <c r="TB558" s="27" t="s">
        <v>7</v>
      </c>
      <c r="TO558" s="27" t="s">
        <v>8</v>
      </c>
      <c r="TP558" s="27" t="s">
        <v>7</v>
      </c>
    </row>
    <row r="559" spans="1:536" x14ac:dyDescent="0.25">
      <c r="A559" s="7">
        <v>1.7410242061739281</v>
      </c>
      <c r="B559"/>
      <c r="C559"/>
      <c r="D559"/>
      <c r="E559"/>
      <c r="NG559" s="27" t="s">
        <v>8</v>
      </c>
      <c r="NJ559" s="27" t="s">
        <v>7</v>
      </c>
      <c r="NK559" s="27" t="s">
        <v>8</v>
      </c>
      <c r="NL559" s="27" t="s">
        <v>7</v>
      </c>
      <c r="NO559" s="27" t="s">
        <v>8</v>
      </c>
      <c r="NP559" s="27" t="s">
        <v>7</v>
      </c>
      <c r="NV559" s="27" t="s">
        <v>7</v>
      </c>
      <c r="NW559" s="27" t="s">
        <v>8</v>
      </c>
      <c r="OD559" s="27" t="s">
        <v>7</v>
      </c>
      <c r="OE559" s="27" t="s">
        <v>8</v>
      </c>
      <c r="OT559" s="27" t="s">
        <v>7</v>
      </c>
      <c r="OU559" s="27" t="s">
        <v>8</v>
      </c>
      <c r="OV559" s="27" t="s">
        <v>7</v>
      </c>
      <c r="OW559" s="27" t="s">
        <v>8</v>
      </c>
      <c r="PF559" s="27" t="s">
        <v>7</v>
      </c>
      <c r="RI559" s="27" t="s">
        <v>8</v>
      </c>
      <c r="RJ559" s="27" t="s">
        <v>7</v>
      </c>
      <c r="RK559" s="27" t="s">
        <v>8</v>
      </c>
      <c r="RL559" s="27" t="s">
        <v>7</v>
      </c>
      <c r="RM559" s="27" t="s">
        <v>8</v>
      </c>
      <c r="RP559" s="27" t="s">
        <v>7</v>
      </c>
      <c r="RQ559" s="27" t="s">
        <v>8</v>
      </c>
      <c r="RU559" s="27" t="s">
        <v>8</v>
      </c>
      <c r="SJ559" s="27" t="s">
        <v>7</v>
      </c>
      <c r="SV559" s="27" t="s">
        <v>7</v>
      </c>
      <c r="SW559" s="27" t="s">
        <v>8</v>
      </c>
      <c r="SX559" s="27" t="s">
        <v>7</v>
      </c>
      <c r="SY559" s="27" t="s">
        <v>8</v>
      </c>
      <c r="SZ559" s="27" t="s">
        <v>7</v>
      </c>
      <c r="TA559" s="27" t="s">
        <v>8</v>
      </c>
      <c r="TB559" s="27" t="s">
        <v>7</v>
      </c>
      <c r="TO559" s="27" t="s">
        <v>8</v>
      </c>
      <c r="TP559" s="27" t="s">
        <v>7</v>
      </c>
    </row>
    <row r="560" spans="1:536" x14ac:dyDescent="0.25">
      <c r="A560" s="7">
        <v>1.7068864766411058</v>
      </c>
      <c r="B560"/>
      <c r="C560"/>
      <c r="D560"/>
      <c r="E560"/>
      <c r="NE560" s="27" t="s">
        <v>8</v>
      </c>
      <c r="NG560" s="27" t="s">
        <v>8</v>
      </c>
      <c r="NJ560" s="27" t="s">
        <v>7</v>
      </c>
      <c r="NK560" s="27" t="s">
        <v>8</v>
      </c>
      <c r="NL560" s="27" t="s">
        <v>7</v>
      </c>
      <c r="NO560" s="27" t="s">
        <v>8</v>
      </c>
      <c r="NV560" s="27" t="s">
        <v>7</v>
      </c>
      <c r="OD560" s="27" t="s">
        <v>7</v>
      </c>
      <c r="OT560" s="27" t="s">
        <v>7</v>
      </c>
      <c r="OU560" s="27" t="s">
        <v>8</v>
      </c>
      <c r="OV560" s="27" t="s">
        <v>7</v>
      </c>
      <c r="OW560" s="27" t="s">
        <v>8</v>
      </c>
      <c r="PF560" s="27" t="s">
        <v>7</v>
      </c>
      <c r="RI560" s="27" t="s">
        <v>8</v>
      </c>
      <c r="RJ560" s="27" t="s">
        <v>7</v>
      </c>
      <c r="RK560" s="27" t="s">
        <v>8</v>
      </c>
      <c r="RL560" s="27" t="s">
        <v>7</v>
      </c>
      <c r="RM560" s="27" t="s">
        <v>8</v>
      </c>
      <c r="RP560" s="27" t="s">
        <v>7</v>
      </c>
      <c r="RQ560" s="27" t="s">
        <v>8</v>
      </c>
      <c r="RR560" s="27" t="s">
        <v>7</v>
      </c>
      <c r="RU560" s="27" t="s">
        <v>8</v>
      </c>
      <c r="SV560" s="27" t="s">
        <v>7</v>
      </c>
      <c r="SW560" s="27" t="s">
        <v>8</v>
      </c>
      <c r="SX560" s="27" t="s">
        <v>7</v>
      </c>
      <c r="SY560" s="27" t="s">
        <v>8</v>
      </c>
      <c r="SZ560" s="27" t="s">
        <v>7</v>
      </c>
      <c r="TB560" s="27" t="s">
        <v>7</v>
      </c>
      <c r="TO560" s="27" t="s">
        <v>8</v>
      </c>
      <c r="TP560" s="27" t="s">
        <v>7</v>
      </c>
    </row>
    <row r="561" spans="1:538" x14ac:dyDescent="0.25">
      <c r="A561" s="7">
        <v>1.6734181143540252</v>
      </c>
      <c r="B561"/>
      <c r="C561"/>
      <c r="D561"/>
      <c r="E561"/>
      <c r="NE561" s="27" t="s">
        <v>8</v>
      </c>
      <c r="NF561" s="27" t="s">
        <v>7</v>
      </c>
      <c r="NG561" s="27" t="s">
        <v>8</v>
      </c>
      <c r="NJ561" s="27" t="s">
        <v>7</v>
      </c>
      <c r="NK561" s="27" t="s">
        <v>8</v>
      </c>
      <c r="NL561" s="27" t="s">
        <v>7</v>
      </c>
      <c r="NO561" s="27" t="s">
        <v>8</v>
      </c>
      <c r="OT561" s="27" t="s">
        <v>7</v>
      </c>
      <c r="OU561" s="27" t="s">
        <v>8</v>
      </c>
      <c r="OV561" s="27" t="s">
        <v>7</v>
      </c>
      <c r="OW561" s="27" t="s">
        <v>8</v>
      </c>
      <c r="PF561" s="27" t="s">
        <v>7</v>
      </c>
      <c r="RI561" s="27" t="s">
        <v>8</v>
      </c>
      <c r="RJ561" s="27" t="s">
        <v>7</v>
      </c>
      <c r="RK561" s="27" t="s">
        <v>8</v>
      </c>
      <c r="RL561" s="27" t="s">
        <v>7</v>
      </c>
      <c r="RM561" s="27" t="s">
        <v>8</v>
      </c>
      <c r="RP561" s="27" t="s">
        <v>7</v>
      </c>
      <c r="RQ561" s="27" t="s">
        <v>8</v>
      </c>
      <c r="RR561" s="27" t="s">
        <v>7</v>
      </c>
      <c r="RU561" s="27" t="s">
        <v>8</v>
      </c>
      <c r="SV561" s="27" t="s">
        <v>7</v>
      </c>
      <c r="SW561" s="27" t="s">
        <v>8</v>
      </c>
      <c r="SX561" s="27" t="s">
        <v>7</v>
      </c>
      <c r="SY561" s="27" t="s">
        <v>8</v>
      </c>
      <c r="TB561" s="27" t="s">
        <v>7</v>
      </c>
      <c r="TO561" s="27" t="s">
        <v>8</v>
      </c>
      <c r="TP561" s="27" t="s">
        <v>7</v>
      </c>
    </row>
    <row r="562" spans="1:538" x14ac:dyDescent="0.25">
      <c r="A562" s="7">
        <v>1.6406059944647307</v>
      </c>
      <c r="B562"/>
      <c r="C562"/>
      <c r="D562"/>
      <c r="E562"/>
      <c r="NE562" s="27" t="s">
        <v>8</v>
      </c>
      <c r="NF562" s="27" t="s">
        <v>7</v>
      </c>
      <c r="NG562" s="27" t="s">
        <v>8</v>
      </c>
      <c r="NJ562" s="27" t="s">
        <v>7</v>
      </c>
      <c r="NK562" s="27" t="s">
        <v>8</v>
      </c>
      <c r="NL562" s="27" t="s">
        <v>7</v>
      </c>
      <c r="NO562" s="27" t="s">
        <v>8</v>
      </c>
      <c r="OT562" s="27" t="s">
        <v>7</v>
      </c>
      <c r="OU562" s="27" t="s">
        <v>8</v>
      </c>
      <c r="OV562" s="27" t="s">
        <v>7</v>
      </c>
      <c r="OW562" s="27" t="s">
        <v>8</v>
      </c>
      <c r="PF562" s="27" t="s">
        <v>7</v>
      </c>
      <c r="RI562" s="27" t="s">
        <v>8</v>
      </c>
      <c r="RJ562" s="27" t="s">
        <v>7</v>
      </c>
      <c r="RK562" s="27" t="s">
        <v>8</v>
      </c>
      <c r="RL562" s="27" t="s">
        <v>7</v>
      </c>
      <c r="RM562" s="27" t="s">
        <v>8</v>
      </c>
      <c r="RP562" s="27" t="s">
        <v>7</v>
      </c>
      <c r="RQ562" s="27" t="s">
        <v>8</v>
      </c>
      <c r="RR562" s="27" t="s">
        <v>7</v>
      </c>
      <c r="RS562" s="27" t="s">
        <v>8</v>
      </c>
      <c r="RU562" s="27" t="s">
        <v>8</v>
      </c>
      <c r="SV562" s="27" t="s">
        <v>7</v>
      </c>
      <c r="SX562" s="27" t="s">
        <v>7</v>
      </c>
      <c r="SY562" s="27" t="s">
        <v>8</v>
      </c>
      <c r="TB562" s="27" t="s">
        <v>7</v>
      </c>
      <c r="TO562" s="27" t="s">
        <v>8</v>
      </c>
      <c r="TP562" s="27" t="s">
        <v>7</v>
      </c>
    </row>
    <row r="563" spans="1:538" x14ac:dyDescent="0.25">
      <c r="A563" s="7">
        <v>1.6084372494752261</v>
      </c>
      <c r="B563"/>
      <c r="C563"/>
      <c r="D563"/>
      <c r="E563"/>
      <c r="NE563" s="27" t="s">
        <v>8</v>
      </c>
      <c r="NF563" s="27" t="s">
        <v>7</v>
      </c>
      <c r="NG563" s="27" t="s">
        <v>8</v>
      </c>
      <c r="NJ563" s="27" t="s">
        <v>7</v>
      </c>
      <c r="NK563" s="27" t="s">
        <v>8</v>
      </c>
      <c r="NL563" s="27" t="s">
        <v>7</v>
      </c>
      <c r="NM563" s="27" t="s">
        <v>8</v>
      </c>
      <c r="NO563" s="27" t="s">
        <v>8</v>
      </c>
      <c r="OT563" s="27" t="s">
        <v>7</v>
      </c>
      <c r="OU563" s="27" t="s">
        <v>8</v>
      </c>
      <c r="OV563" s="27" t="s">
        <v>7</v>
      </c>
      <c r="OW563" s="27" t="s">
        <v>8</v>
      </c>
      <c r="PF563" s="27" t="s">
        <v>7</v>
      </c>
      <c r="RE563" s="27" t="s">
        <v>8</v>
      </c>
      <c r="RI563" s="27" t="s">
        <v>8</v>
      </c>
      <c r="RJ563" s="27" t="s">
        <v>7</v>
      </c>
      <c r="RK563" s="27" t="s">
        <v>8</v>
      </c>
      <c r="RL563" s="27" t="s">
        <v>7</v>
      </c>
      <c r="RM563" s="27" t="s">
        <v>8</v>
      </c>
      <c r="RP563" s="27" t="s">
        <v>7</v>
      </c>
      <c r="RQ563" s="27" t="s">
        <v>8</v>
      </c>
      <c r="RR563" s="27" t="s">
        <v>7</v>
      </c>
      <c r="RS563" s="27" t="s">
        <v>8</v>
      </c>
      <c r="RT563" s="27" t="s">
        <v>7</v>
      </c>
      <c r="RU563" s="27" t="s">
        <v>8</v>
      </c>
      <c r="SX563" s="27" t="s">
        <v>7</v>
      </c>
      <c r="TB563" s="27" t="s">
        <v>7</v>
      </c>
      <c r="TO563" s="27" t="s">
        <v>8</v>
      </c>
      <c r="TP563" s="27" t="s">
        <v>7</v>
      </c>
    </row>
    <row r="564" spans="1:538" x14ac:dyDescent="0.25">
      <c r="A564" s="7">
        <v>1.5768992641913981</v>
      </c>
      <c r="B564"/>
      <c r="C564"/>
      <c r="D564"/>
      <c r="E564"/>
      <c r="NE564" s="27" t="s">
        <v>8</v>
      </c>
      <c r="NF564" s="27" t="s">
        <v>7</v>
      </c>
      <c r="NG564" s="27" t="s">
        <v>8</v>
      </c>
      <c r="NJ564" s="27" t="s">
        <v>7</v>
      </c>
      <c r="NK564" s="27" t="s">
        <v>8</v>
      </c>
      <c r="NL564" s="27" t="s">
        <v>7</v>
      </c>
      <c r="NM564" s="27" t="s">
        <v>8</v>
      </c>
      <c r="NN564" s="27" t="s">
        <v>7</v>
      </c>
      <c r="NO564" s="27" t="s">
        <v>8</v>
      </c>
      <c r="OT564" s="27" t="s">
        <v>7</v>
      </c>
      <c r="OU564" s="27" t="s">
        <v>8</v>
      </c>
      <c r="OV564" s="27" t="s">
        <v>7</v>
      </c>
      <c r="PF564" s="27" t="s">
        <v>7</v>
      </c>
      <c r="RE564" s="27" t="s">
        <v>8</v>
      </c>
      <c r="RF564" s="27" t="s">
        <v>7</v>
      </c>
      <c r="RI564" s="27" t="s">
        <v>8</v>
      </c>
      <c r="RJ564" s="27" t="s">
        <v>7</v>
      </c>
      <c r="RK564" s="27" t="s">
        <v>8</v>
      </c>
      <c r="RL564" s="27" t="s">
        <v>7</v>
      </c>
      <c r="RM564" s="27" t="s">
        <v>8</v>
      </c>
      <c r="RP564" s="27" t="s">
        <v>7</v>
      </c>
      <c r="RQ564" s="27" t="s">
        <v>8</v>
      </c>
      <c r="RR564" s="27" t="s">
        <v>7</v>
      </c>
      <c r="RS564" s="27" t="s">
        <v>8</v>
      </c>
      <c r="RT564" s="27" t="s">
        <v>7</v>
      </c>
      <c r="RU564" s="27" t="s">
        <v>8</v>
      </c>
      <c r="TB564" s="27" t="s">
        <v>7</v>
      </c>
      <c r="TO564" s="27" t="s">
        <v>8</v>
      </c>
      <c r="TP564" s="27" t="s">
        <v>7</v>
      </c>
    </row>
    <row r="565" spans="1:538" x14ac:dyDescent="0.25">
      <c r="A565" s="7">
        <v>1.5459796707758806</v>
      </c>
      <c r="B565"/>
      <c r="C565"/>
      <c r="D565"/>
      <c r="E565"/>
      <c r="NE565" s="27" t="s">
        <v>8</v>
      </c>
      <c r="NF565" s="27" t="s">
        <v>7</v>
      </c>
      <c r="NG565" s="27" t="s">
        <v>8</v>
      </c>
      <c r="NJ565" s="27" t="s">
        <v>7</v>
      </c>
      <c r="NK565" s="27" t="s">
        <v>8</v>
      </c>
      <c r="NL565" s="27" t="s">
        <v>7</v>
      </c>
      <c r="NM565" s="27" t="s">
        <v>8</v>
      </c>
      <c r="NN565" s="27" t="s">
        <v>7</v>
      </c>
      <c r="NO565" s="27" t="s">
        <v>8</v>
      </c>
      <c r="OT565" s="27" t="s">
        <v>7</v>
      </c>
      <c r="PF565" s="27" t="s">
        <v>7</v>
      </c>
      <c r="RE565" s="27" t="s">
        <v>8</v>
      </c>
      <c r="RF565" s="27" t="s">
        <v>7</v>
      </c>
      <c r="RI565" s="27" t="s">
        <v>8</v>
      </c>
      <c r="RJ565" s="27" t="s">
        <v>7</v>
      </c>
      <c r="RK565" s="27" t="s">
        <v>8</v>
      </c>
      <c r="RL565" s="27" t="s">
        <v>7</v>
      </c>
      <c r="RP565" s="27" t="s">
        <v>7</v>
      </c>
      <c r="RQ565" s="27" t="s">
        <v>8</v>
      </c>
      <c r="RR565" s="27" t="s">
        <v>7</v>
      </c>
      <c r="RS565" s="27" t="s">
        <v>8</v>
      </c>
      <c r="RT565" s="27" t="s">
        <v>7</v>
      </c>
      <c r="RU565" s="27" t="s">
        <v>8</v>
      </c>
      <c r="TB565" s="27" t="s">
        <v>7</v>
      </c>
      <c r="TM565" s="27" t="s">
        <v>8</v>
      </c>
      <c r="TO565" s="27" t="s">
        <v>8</v>
      </c>
      <c r="TP565" s="27" t="s">
        <v>7</v>
      </c>
    </row>
    <row r="566" spans="1:538" x14ac:dyDescent="0.25">
      <c r="A566" s="7">
        <v>1.5156663438979221</v>
      </c>
      <c r="B566"/>
      <c r="C566"/>
      <c r="D566"/>
      <c r="E566"/>
      <c r="NC566" s="27" t="s">
        <v>8</v>
      </c>
      <c r="NE566" s="27" t="s">
        <v>8</v>
      </c>
      <c r="NF566" s="27" t="s">
        <v>7</v>
      </c>
      <c r="NG566" s="27" t="s">
        <v>8</v>
      </c>
      <c r="NJ566" s="27" t="s">
        <v>7</v>
      </c>
      <c r="NK566" s="27" t="s">
        <v>8</v>
      </c>
      <c r="NL566" s="27" t="s">
        <v>7</v>
      </c>
      <c r="NM566" s="27" t="s">
        <v>8</v>
      </c>
      <c r="NN566" s="27" t="s">
        <v>7</v>
      </c>
      <c r="NO566" s="27" t="s">
        <v>8</v>
      </c>
      <c r="PF566" s="27" t="s">
        <v>7</v>
      </c>
      <c r="RE566" s="27" t="s">
        <v>8</v>
      </c>
      <c r="RF566" s="27" t="s">
        <v>7</v>
      </c>
      <c r="RI566" s="27" t="s">
        <v>8</v>
      </c>
      <c r="RJ566" s="27" t="s">
        <v>7</v>
      </c>
      <c r="RK566" s="27" t="s">
        <v>8</v>
      </c>
      <c r="RP566" s="27" t="s">
        <v>7</v>
      </c>
      <c r="RQ566" s="27" t="s">
        <v>8</v>
      </c>
      <c r="RR566" s="27" t="s">
        <v>7</v>
      </c>
      <c r="RS566" s="27" t="s">
        <v>8</v>
      </c>
      <c r="RT566" s="27" t="s">
        <v>7</v>
      </c>
      <c r="RU566" s="27" t="s">
        <v>8</v>
      </c>
      <c r="TB566" s="27" t="s">
        <v>7</v>
      </c>
      <c r="TM566" s="27" t="s">
        <v>8</v>
      </c>
      <c r="TN566" s="27" t="s">
        <v>7</v>
      </c>
      <c r="TO566" s="27" t="s">
        <v>8</v>
      </c>
      <c r="TP566" s="27" t="s">
        <v>7</v>
      </c>
    </row>
    <row r="567" spans="1:538" x14ac:dyDescent="0.25">
      <c r="A567" s="7">
        <v>1.4859473959783549</v>
      </c>
      <c r="B567"/>
      <c r="C567"/>
      <c r="D567"/>
      <c r="E567"/>
      <c r="NC567" s="27" t="s">
        <v>8</v>
      </c>
      <c r="ND567" s="27" t="s">
        <v>7</v>
      </c>
      <c r="NE567" s="27" t="s">
        <v>8</v>
      </c>
      <c r="NF567" s="27" t="s">
        <v>7</v>
      </c>
      <c r="NG567" s="27" t="s">
        <v>8</v>
      </c>
      <c r="NJ567" s="27" t="s">
        <v>7</v>
      </c>
      <c r="NK567" s="27" t="s">
        <v>8</v>
      </c>
      <c r="NL567" s="27" t="s">
        <v>7</v>
      </c>
      <c r="NM567" s="27" t="s">
        <v>8</v>
      </c>
      <c r="NN567" s="27" t="s">
        <v>7</v>
      </c>
      <c r="NO567" s="27" t="s">
        <v>8</v>
      </c>
      <c r="PF567" s="27" t="s">
        <v>7</v>
      </c>
      <c r="RC567" s="27" t="s">
        <v>8</v>
      </c>
      <c r="RE567" s="27" t="s">
        <v>8</v>
      </c>
      <c r="RF567" s="27" t="s">
        <v>7</v>
      </c>
      <c r="RI567" s="27" t="s">
        <v>8</v>
      </c>
      <c r="RJ567" s="27" t="s">
        <v>7</v>
      </c>
      <c r="RK567" s="27" t="s">
        <v>8</v>
      </c>
      <c r="RP567" s="27" t="s">
        <v>7</v>
      </c>
      <c r="RQ567" s="27" t="s">
        <v>8</v>
      </c>
      <c r="RR567" s="27" t="s">
        <v>7</v>
      </c>
      <c r="RS567" s="27" t="s">
        <v>8</v>
      </c>
      <c r="RT567" s="27" t="s">
        <v>7</v>
      </c>
      <c r="RU567" s="27" t="s">
        <v>8</v>
      </c>
      <c r="TB567" s="27" t="s">
        <v>7</v>
      </c>
      <c r="TM567" s="27" t="s">
        <v>8</v>
      </c>
      <c r="TN567" s="27" t="s">
        <v>7</v>
      </c>
      <c r="TO567" s="27" t="s">
        <v>8</v>
      </c>
      <c r="TP567" s="27" t="s">
        <v>7</v>
      </c>
    </row>
    <row r="568" spans="1:538" x14ac:dyDescent="0.25">
      <c r="A568" s="7">
        <v>1.4568111725277988</v>
      </c>
      <c r="B568"/>
      <c r="C568"/>
      <c r="D568"/>
      <c r="E568"/>
      <c r="NC568" s="27" t="s">
        <v>8</v>
      </c>
      <c r="ND568" s="27" t="s">
        <v>7</v>
      </c>
      <c r="NE568" s="27" t="s">
        <v>8</v>
      </c>
      <c r="NF568" s="27" t="s">
        <v>7</v>
      </c>
      <c r="NG568" s="27" t="s">
        <v>8</v>
      </c>
      <c r="NJ568" s="27" t="s">
        <v>7</v>
      </c>
      <c r="NK568" s="27" t="s">
        <v>8</v>
      </c>
      <c r="NL568" s="27" t="s">
        <v>7</v>
      </c>
      <c r="NM568" s="27" t="s">
        <v>8</v>
      </c>
      <c r="NN568" s="27" t="s">
        <v>7</v>
      </c>
      <c r="NO568" s="27" t="s">
        <v>8</v>
      </c>
      <c r="PF568" s="27" t="s">
        <v>7</v>
      </c>
      <c r="PG568" s="27" t="s">
        <v>8</v>
      </c>
      <c r="RC568" s="27" t="s">
        <v>8</v>
      </c>
      <c r="RD568" s="27" t="s">
        <v>7</v>
      </c>
      <c r="RE568" s="27" t="s">
        <v>8</v>
      </c>
      <c r="RF568" s="27" t="s">
        <v>7</v>
      </c>
      <c r="RI568" s="27" t="s">
        <v>8</v>
      </c>
      <c r="RJ568" s="27" t="s">
        <v>7</v>
      </c>
      <c r="RK568" s="27" t="s">
        <v>8</v>
      </c>
      <c r="RP568" s="27" t="s">
        <v>7</v>
      </c>
      <c r="RR568" s="27" t="s">
        <v>7</v>
      </c>
      <c r="RT568" s="27" t="s">
        <v>7</v>
      </c>
      <c r="RU568" s="27" t="s">
        <v>8</v>
      </c>
      <c r="TB568" s="27" t="s">
        <v>7</v>
      </c>
      <c r="TM568" s="27" t="s">
        <v>8</v>
      </c>
      <c r="TN568" s="27" t="s">
        <v>7</v>
      </c>
      <c r="TO568" s="27" t="s">
        <v>8</v>
      </c>
      <c r="TP568" s="27" t="s">
        <v>7</v>
      </c>
    </row>
    <row r="569" spans="1:538" x14ac:dyDescent="0.25">
      <c r="A569" s="7">
        <v>1.4282462475762734</v>
      </c>
      <c r="B569"/>
      <c r="C569"/>
      <c r="D569"/>
      <c r="E569"/>
      <c r="NC569" s="27" t="s">
        <v>8</v>
      </c>
      <c r="ND569" s="27" t="s">
        <v>7</v>
      </c>
      <c r="NE569" s="27" t="s">
        <v>8</v>
      </c>
      <c r="NF569" s="27" t="s">
        <v>7</v>
      </c>
      <c r="NG569" s="27" t="s">
        <v>8</v>
      </c>
      <c r="NJ569" s="27" t="s">
        <v>7</v>
      </c>
      <c r="NK569" s="27" t="s">
        <v>8</v>
      </c>
      <c r="NL569" s="27" t="s">
        <v>7</v>
      </c>
      <c r="NN569" s="27" t="s">
        <v>7</v>
      </c>
      <c r="NO569" s="27" t="s">
        <v>8</v>
      </c>
      <c r="PF569" s="27" t="s">
        <v>7</v>
      </c>
      <c r="PG569" s="27" t="s">
        <v>8</v>
      </c>
      <c r="PH569" s="27" t="s">
        <v>7</v>
      </c>
      <c r="RC569" s="27" t="s">
        <v>8</v>
      </c>
      <c r="RD569" s="27" t="s">
        <v>7</v>
      </c>
      <c r="RE569" s="27" t="s">
        <v>8</v>
      </c>
      <c r="RF569" s="27" t="s">
        <v>7</v>
      </c>
      <c r="RI569" s="27" t="s">
        <v>8</v>
      </c>
      <c r="RJ569" s="27" t="s">
        <v>7</v>
      </c>
      <c r="RK569" s="27" t="s">
        <v>8</v>
      </c>
      <c r="RT569" s="27" t="s">
        <v>7</v>
      </c>
      <c r="RU569" s="27" t="s">
        <v>8</v>
      </c>
      <c r="TB569" s="27" t="s">
        <v>7</v>
      </c>
      <c r="TM569" s="27" t="s">
        <v>8</v>
      </c>
      <c r="TN569" s="27" t="s">
        <v>7</v>
      </c>
      <c r="TP569" s="27" t="s">
        <v>7</v>
      </c>
    </row>
    <row r="570" spans="1:538" x14ac:dyDescent="0.25">
      <c r="A570" s="7">
        <v>1.4002414191924248</v>
      </c>
      <c r="B570"/>
      <c r="C570"/>
      <c r="D570"/>
      <c r="E570"/>
      <c r="NC570" s="27" t="s">
        <v>8</v>
      </c>
      <c r="ND570" s="27" t="s">
        <v>7</v>
      </c>
      <c r="NE570" s="27" t="s">
        <v>8</v>
      </c>
      <c r="NF570" s="27" t="s">
        <v>7</v>
      </c>
      <c r="NG570" s="27" t="s">
        <v>8</v>
      </c>
      <c r="NJ570" s="27" t="s">
        <v>7</v>
      </c>
      <c r="NK570" s="27" t="s">
        <v>8</v>
      </c>
      <c r="NN570" s="27" t="s">
        <v>7</v>
      </c>
      <c r="NO570" s="27" t="s">
        <v>8</v>
      </c>
      <c r="PF570" s="27" t="s">
        <v>7</v>
      </c>
      <c r="PG570" s="27" t="s">
        <v>8</v>
      </c>
      <c r="PH570" s="27" t="s">
        <v>7</v>
      </c>
      <c r="RC570" s="27" t="s">
        <v>8</v>
      </c>
      <c r="RD570" s="27" t="s">
        <v>7</v>
      </c>
      <c r="RE570" s="27" t="s">
        <v>8</v>
      </c>
      <c r="RF570" s="27" t="s">
        <v>7</v>
      </c>
      <c r="RG570" s="27" t="s">
        <v>8</v>
      </c>
      <c r="RI570" s="27" t="s">
        <v>8</v>
      </c>
      <c r="RJ570" s="27" t="s">
        <v>7</v>
      </c>
      <c r="RK570" s="27" t="s">
        <v>8</v>
      </c>
      <c r="RT570" s="27" t="s">
        <v>7</v>
      </c>
      <c r="TB570" s="27" t="s">
        <v>7</v>
      </c>
      <c r="TM570" s="27" t="s">
        <v>8</v>
      </c>
      <c r="TP570" s="27" t="s">
        <v>7</v>
      </c>
    </row>
    <row r="571" spans="1:538" x14ac:dyDescent="0.25">
      <c r="A571" s="7">
        <v>1.3727857050906125</v>
      </c>
      <c r="B571"/>
      <c r="C571"/>
      <c r="D571"/>
      <c r="E571"/>
      <c r="NC571" s="27" t="s">
        <v>8</v>
      </c>
      <c r="ND571" s="27" t="s">
        <v>7</v>
      </c>
      <c r="NE571" s="27" t="s">
        <v>8</v>
      </c>
      <c r="NF571" s="27" t="s">
        <v>7</v>
      </c>
      <c r="NG571" s="27" t="s">
        <v>8</v>
      </c>
      <c r="NJ571" s="27" t="s">
        <v>7</v>
      </c>
      <c r="NK571" s="27" t="s">
        <v>8</v>
      </c>
      <c r="NN571" s="27" t="s">
        <v>7</v>
      </c>
      <c r="NO571" s="27" t="s">
        <v>8</v>
      </c>
      <c r="PF571" s="27" t="s">
        <v>7</v>
      </c>
      <c r="PG571" s="27" t="s">
        <v>8</v>
      </c>
      <c r="PH571" s="27" t="s">
        <v>7</v>
      </c>
      <c r="RC571" s="27" t="s">
        <v>8</v>
      </c>
      <c r="RD571" s="27" t="s">
        <v>7</v>
      </c>
      <c r="RF571" s="27" t="s">
        <v>7</v>
      </c>
      <c r="RG571" s="27" t="s">
        <v>8</v>
      </c>
      <c r="RH571" s="27" t="s">
        <v>7</v>
      </c>
      <c r="RI571" s="27" t="s">
        <v>8</v>
      </c>
      <c r="RJ571" s="27" t="s">
        <v>7</v>
      </c>
      <c r="RK571" s="27" t="s">
        <v>8</v>
      </c>
      <c r="TB571" s="27" t="s">
        <v>7</v>
      </c>
      <c r="TE571" s="27" t="s">
        <v>8</v>
      </c>
      <c r="TM571" s="27" t="s">
        <v>8</v>
      </c>
      <c r="TP571" s="27" t="s">
        <v>7</v>
      </c>
    </row>
    <row r="572" spans="1:538" x14ac:dyDescent="0.25">
      <c r="A572" s="7">
        <v>1.3458683383241299</v>
      </c>
      <c r="B572"/>
      <c r="C572"/>
      <c r="D572"/>
      <c r="E572"/>
      <c r="NC572" s="27" t="s">
        <v>8</v>
      </c>
      <c r="ND572" s="27" t="s">
        <v>7</v>
      </c>
      <c r="NE572" s="27" t="s">
        <v>8</v>
      </c>
      <c r="NF572" s="27" t="s">
        <v>7</v>
      </c>
      <c r="NG572" s="27" t="s">
        <v>8</v>
      </c>
      <c r="NJ572" s="27" t="s">
        <v>7</v>
      </c>
      <c r="NK572" s="27" t="s">
        <v>8</v>
      </c>
      <c r="NN572" s="27" t="s">
        <v>7</v>
      </c>
      <c r="NO572" s="27" t="s">
        <v>8</v>
      </c>
      <c r="PF572" s="27" t="s">
        <v>7</v>
      </c>
      <c r="PG572" s="27" t="s">
        <v>8</v>
      </c>
      <c r="PH572" s="27" t="s">
        <v>7</v>
      </c>
      <c r="RA572" s="27" t="s">
        <v>8</v>
      </c>
      <c r="RC572" s="27" t="s">
        <v>8</v>
      </c>
      <c r="RF572" s="27" t="s">
        <v>7</v>
      </c>
      <c r="RG572" s="27" t="s">
        <v>8</v>
      </c>
      <c r="RH572" s="27" t="s">
        <v>7</v>
      </c>
      <c r="RI572" s="27" t="s">
        <v>8</v>
      </c>
      <c r="RJ572" s="27" t="s">
        <v>7</v>
      </c>
      <c r="RK572" s="27" t="s">
        <v>8</v>
      </c>
      <c r="TB572" s="27" t="s">
        <v>7</v>
      </c>
      <c r="TC572" s="27" t="s">
        <v>8</v>
      </c>
      <c r="TE572" s="27" t="s">
        <v>8</v>
      </c>
      <c r="TF572" s="27" t="s">
        <v>7</v>
      </c>
      <c r="TM572" s="27" t="s">
        <v>8</v>
      </c>
      <c r="TP572" s="27" t="s">
        <v>7</v>
      </c>
    </row>
    <row r="573" spans="1:538" x14ac:dyDescent="0.25">
      <c r="A573" s="7">
        <v>1.3194787630628724</v>
      </c>
      <c r="B573"/>
      <c r="C573"/>
      <c r="D573"/>
      <c r="E573"/>
      <c r="NC573" s="27" t="s">
        <v>8</v>
      </c>
      <c r="ND573" s="27" t="s">
        <v>7</v>
      </c>
      <c r="NE573" s="27" t="s">
        <v>8</v>
      </c>
      <c r="NF573" s="27" t="s">
        <v>7</v>
      </c>
      <c r="NG573" s="27" t="s">
        <v>8</v>
      </c>
      <c r="NJ573" s="27" t="s">
        <v>7</v>
      </c>
      <c r="NK573" s="27" t="s">
        <v>8</v>
      </c>
      <c r="NN573" s="27" t="s">
        <v>7</v>
      </c>
      <c r="PF573" s="27" t="s">
        <v>7</v>
      </c>
      <c r="PG573" s="27" t="s">
        <v>8</v>
      </c>
      <c r="PH573" s="27" t="s">
        <v>7</v>
      </c>
      <c r="PK573" s="27" t="s">
        <v>8</v>
      </c>
      <c r="PO573" s="27" t="s">
        <v>8</v>
      </c>
      <c r="RA573" s="27" t="s">
        <v>8</v>
      </c>
      <c r="RB573" s="27" t="s">
        <v>7</v>
      </c>
      <c r="RC573" s="27" t="s">
        <v>8</v>
      </c>
      <c r="RF573" s="27" t="s">
        <v>7</v>
      </c>
      <c r="RG573" s="27" t="s">
        <v>8</v>
      </c>
      <c r="RH573" s="27" t="s">
        <v>7</v>
      </c>
      <c r="RI573" s="27" t="s">
        <v>8</v>
      </c>
      <c r="RJ573" s="27" t="s">
        <v>7</v>
      </c>
      <c r="RK573" s="27" t="s">
        <v>8</v>
      </c>
      <c r="TB573" s="27" t="s">
        <v>7</v>
      </c>
      <c r="TC573" s="27" t="s">
        <v>8</v>
      </c>
      <c r="TD573" s="27" t="s">
        <v>7</v>
      </c>
      <c r="TE573" s="27" t="s">
        <v>8</v>
      </c>
      <c r="TF573" s="27" t="s">
        <v>7</v>
      </c>
      <c r="TM573" s="27" t="s">
        <v>8</v>
      </c>
      <c r="TP573" s="27" t="s">
        <v>7</v>
      </c>
    </row>
    <row r="574" spans="1:538" x14ac:dyDescent="0.25">
      <c r="A574" s="7">
        <v>1.2936066304537963</v>
      </c>
      <c r="B574"/>
      <c r="C574"/>
      <c r="D574"/>
      <c r="E574"/>
      <c r="NC574" s="27" t="s">
        <v>8</v>
      </c>
      <c r="ND574" s="27" t="s">
        <v>7</v>
      </c>
      <c r="NE574" s="27" t="s">
        <v>8</v>
      </c>
      <c r="NF574" s="27" t="s">
        <v>7</v>
      </c>
      <c r="NG574" s="27" t="s">
        <v>8</v>
      </c>
      <c r="NJ574" s="27" t="s">
        <v>7</v>
      </c>
      <c r="NK574" s="27" t="s">
        <v>8</v>
      </c>
      <c r="PF574" s="27" t="s">
        <v>7</v>
      </c>
      <c r="PG574" s="27" t="s">
        <v>8</v>
      </c>
      <c r="PH574" s="27" t="s">
        <v>7</v>
      </c>
      <c r="PK574" s="27" t="s">
        <v>8</v>
      </c>
      <c r="PL574" s="27" t="s">
        <v>7</v>
      </c>
      <c r="PO574" s="27" t="s">
        <v>8</v>
      </c>
      <c r="PP574" s="27" t="s">
        <v>7</v>
      </c>
      <c r="RA574" s="27" t="s">
        <v>8</v>
      </c>
      <c r="RB574" s="27" t="s">
        <v>7</v>
      </c>
      <c r="RC574" s="27" t="s">
        <v>8</v>
      </c>
      <c r="RF574" s="27" t="s">
        <v>7</v>
      </c>
      <c r="RG574" s="27" t="s">
        <v>8</v>
      </c>
      <c r="RH574" s="27" t="s">
        <v>7</v>
      </c>
      <c r="RJ574" s="27" t="s">
        <v>7</v>
      </c>
      <c r="RK574" s="27" t="s">
        <v>8</v>
      </c>
      <c r="TB574" s="27" t="s">
        <v>7</v>
      </c>
      <c r="TC574" s="27" t="s">
        <v>8</v>
      </c>
      <c r="TD574" s="27" t="s">
        <v>7</v>
      </c>
      <c r="TE574" s="27" t="s">
        <v>8</v>
      </c>
      <c r="TF574" s="27" t="s">
        <v>7</v>
      </c>
      <c r="TM574" s="27" t="s">
        <v>8</v>
      </c>
      <c r="TP574" s="27" t="s">
        <v>7</v>
      </c>
    </row>
    <row r="575" spans="1:538" x14ac:dyDescent="0.25">
      <c r="A575" s="7">
        <v>1.2682417945625455</v>
      </c>
      <c r="B575"/>
      <c r="C575"/>
      <c r="D575"/>
      <c r="E575"/>
      <c r="NC575" s="27" t="s">
        <v>8</v>
      </c>
      <c r="ND575" s="27" t="s">
        <v>7</v>
      </c>
      <c r="NE575" s="27" t="s">
        <v>8</v>
      </c>
      <c r="NF575" s="27" t="s">
        <v>7</v>
      </c>
      <c r="NG575" s="27" t="s">
        <v>8</v>
      </c>
      <c r="NJ575" s="27" t="s">
        <v>7</v>
      </c>
      <c r="NK575" s="27" t="s">
        <v>8</v>
      </c>
      <c r="PF575" s="27" t="s">
        <v>7</v>
      </c>
      <c r="PG575" s="27" t="s">
        <v>8</v>
      </c>
      <c r="PH575" s="27" t="s">
        <v>7</v>
      </c>
      <c r="PI575" s="27" t="s">
        <v>8</v>
      </c>
      <c r="PK575" s="27" t="s">
        <v>8</v>
      </c>
      <c r="PL575" s="27" t="s">
        <v>7</v>
      </c>
      <c r="PO575" s="27" t="s">
        <v>8</v>
      </c>
      <c r="PP575" s="27" t="s">
        <v>7</v>
      </c>
      <c r="RA575" s="27" t="s">
        <v>8</v>
      </c>
      <c r="RB575" s="27" t="s">
        <v>7</v>
      </c>
      <c r="RC575" s="27" t="s">
        <v>8</v>
      </c>
      <c r="RF575" s="27" t="s">
        <v>7</v>
      </c>
      <c r="RJ575" s="27" t="s">
        <v>7</v>
      </c>
      <c r="RK575" s="27" t="s">
        <v>8</v>
      </c>
      <c r="TB575" s="27" t="s">
        <v>7</v>
      </c>
      <c r="TC575" s="27" t="s">
        <v>8</v>
      </c>
      <c r="TD575" s="27" t="s">
        <v>7</v>
      </c>
      <c r="TE575" s="27" t="s">
        <v>8</v>
      </c>
      <c r="TF575" s="27" t="s">
        <v>7</v>
      </c>
      <c r="TI575" s="27" t="s">
        <v>8</v>
      </c>
      <c r="TM575" s="27" t="s">
        <v>8</v>
      </c>
      <c r="TP575" s="27" t="s">
        <v>7</v>
      </c>
      <c r="TQ575" s="27" t="s">
        <v>8</v>
      </c>
    </row>
    <row r="576" spans="1:538" x14ac:dyDescent="0.25">
      <c r="A576" s="7">
        <v>1.2433743083946525</v>
      </c>
      <c r="B576"/>
      <c r="C576"/>
      <c r="D576"/>
      <c r="E576"/>
      <c r="NC576" s="27" t="s">
        <v>8</v>
      </c>
      <c r="ND576" s="27" t="s">
        <v>7</v>
      </c>
      <c r="NE576" s="27" t="s">
        <v>8</v>
      </c>
      <c r="NF576" s="27" t="s">
        <v>7</v>
      </c>
      <c r="NG576" s="27" t="s">
        <v>8</v>
      </c>
      <c r="NJ576" s="27" t="s">
        <v>7</v>
      </c>
      <c r="NK576" s="27" t="s">
        <v>8</v>
      </c>
      <c r="PF576" s="27" t="s">
        <v>7</v>
      </c>
      <c r="PG576" s="27" t="s">
        <v>8</v>
      </c>
      <c r="PH576" s="27" t="s">
        <v>7</v>
      </c>
      <c r="PI576" s="27" t="s">
        <v>8</v>
      </c>
      <c r="PJ576" s="27" t="s">
        <v>7</v>
      </c>
      <c r="PK576" s="27" t="s">
        <v>8</v>
      </c>
      <c r="PL576" s="27" t="s">
        <v>7</v>
      </c>
      <c r="PO576" s="27" t="s">
        <v>8</v>
      </c>
      <c r="PP576" s="27" t="s">
        <v>7</v>
      </c>
      <c r="QY576" s="27" t="s">
        <v>8</v>
      </c>
      <c r="RA576" s="27" t="s">
        <v>8</v>
      </c>
      <c r="RB576" s="27" t="s">
        <v>7</v>
      </c>
      <c r="RC576" s="27" t="s">
        <v>8</v>
      </c>
      <c r="RJ576" s="27" t="s">
        <v>7</v>
      </c>
      <c r="RK576" s="27" t="s">
        <v>8</v>
      </c>
      <c r="TB576" s="27" t="s">
        <v>7</v>
      </c>
      <c r="TC576" s="27" t="s">
        <v>8</v>
      </c>
      <c r="TD576" s="27" t="s">
        <v>7</v>
      </c>
      <c r="TE576" s="27" t="s">
        <v>8</v>
      </c>
      <c r="TF576" s="27" t="s">
        <v>7</v>
      </c>
      <c r="TG576" s="27" t="s">
        <v>8</v>
      </c>
      <c r="TI576" s="27" t="s">
        <v>8</v>
      </c>
      <c r="TJ576" s="27" t="s">
        <v>7</v>
      </c>
      <c r="TK576" s="27" t="s">
        <v>8</v>
      </c>
      <c r="TM576" s="27" t="s">
        <v>8</v>
      </c>
      <c r="TP576" s="27" t="s">
        <v>7</v>
      </c>
      <c r="TQ576" s="27" t="s">
        <v>8</v>
      </c>
      <c r="TR576" s="27" t="s">
        <v>7</v>
      </c>
    </row>
    <row r="577" spans="1:544" x14ac:dyDescent="0.25">
      <c r="A577" s="7">
        <v>1.2189944199947573</v>
      </c>
      <c r="B577"/>
      <c r="C577"/>
      <c r="D577"/>
      <c r="E577"/>
      <c r="NC577" s="27" t="s">
        <v>8</v>
      </c>
      <c r="ND577" s="27" t="s">
        <v>7</v>
      </c>
      <c r="NF577" s="27" t="s">
        <v>7</v>
      </c>
      <c r="NG577" s="27" t="s">
        <v>8</v>
      </c>
      <c r="NJ577" s="27" t="s">
        <v>7</v>
      </c>
      <c r="NK577" s="27" t="s">
        <v>8</v>
      </c>
      <c r="PF577" s="27" t="s">
        <v>7</v>
      </c>
      <c r="PG577" s="27" t="s">
        <v>8</v>
      </c>
      <c r="PH577" s="27" t="s">
        <v>7</v>
      </c>
      <c r="PI577" s="27" t="s">
        <v>8</v>
      </c>
      <c r="PJ577" s="27" t="s">
        <v>7</v>
      </c>
      <c r="PK577" s="27" t="s">
        <v>8</v>
      </c>
      <c r="PL577" s="27" t="s">
        <v>7</v>
      </c>
      <c r="PO577" s="27" t="s">
        <v>8</v>
      </c>
      <c r="PP577" s="27" t="s">
        <v>7</v>
      </c>
      <c r="PQ577" s="27" t="s">
        <v>8</v>
      </c>
      <c r="QY577" s="27" t="s">
        <v>8</v>
      </c>
      <c r="QZ577" s="27" t="s">
        <v>7</v>
      </c>
      <c r="RA577" s="27" t="s">
        <v>8</v>
      </c>
      <c r="RB577" s="27" t="s">
        <v>7</v>
      </c>
      <c r="RC577" s="27" t="s">
        <v>8</v>
      </c>
      <c r="RJ577" s="27" t="s">
        <v>7</v>
      </c>
      <c r="RK577" s="27" t="s">
        <v>8</v>
      </c>
      <c r="TB577" s="27" t="s">
        <v>7</v>
      </c>
      <c r="TC577" s="27" t="s">
        <v>8</v>
      </c>
      <c r="TD577" s="27" t="s">
        <v>7</v>
      </c>
      <c r="TE577" s="27" t="s">
        <v>8</v>
      </c>
      <c r="TF577" s="27" t="s">
        <v>7</v>
      </c>
      <c r="TG577" s="27" t="s">
        <v>8</v>
      </c>
      <c r="TH577" s="27" t="s">
        <v>7</v>
      </c>
      <c r="TI577" s="27" t="s">
        <v>8</v>
      </c>
      <c r="TJ577" s="27" t="s">
        <v>7</v>
      </c>
      <c r="TK577" s="27" t="s">
        <v>8</v>
      </c>
      <c r="TL577" s="27" t="s">
        <v>7</v>
      </c>
      <c r="TM577" s="27" t="s">
        <v>8</v>
      </c>
      <c r="TP577" s="27" t="s">
        <v>7</v>
      </c>
      <c r="TQ577" s="27" t="s">
        <v>8</v>
      </c>
      <c r="TR577" s="27" t="s">
        <v>7</v>
      </c>
    </row>
    <row r="578" spans="1:544" x14ac:dyDescent="0.25">
      <c r="A578" s="7">
        <v>1.1950925686223111</v>
      </c>
      <c r="B578"/>
      <c r="C578"/>
      <c r="D578"/>
      <c r="E578"/>
      <c r="NC578" s="27" t="s">
        <v>8</v>
      </c>
      <c r="NF578" s="27" t="s">
        <v>7</v>
      </c>
      <c r="NJ578" s="27" t="s">
        <v>7</v>
      </c>
      <c r="NK578" s="27" t="s">
        <v>8</v>
      </c>
      <c r="PF578" s="27" t="s">
        <v>7</v>
      </c>
      <c r="PG578" s="27" t="s">
        <v>8</v>
      </c>
      <c r="PH578" s="27" t="s">
        <v>7</v>
      </c>
      <c r="PI578" s="27" t="s">
        <v>8</v>
      </c>
      <c r="PJ578" s="27" t="s">
        <v>7</v>
      </c>
      <c r="PK578" s="27" t="s">
        <v>8</v>
      </c>
      <c r="PL578" s="27" t="s">
        <v>7</v>
      </c>
      <c r="PO578" s="27" t="s">
        <v>8</v>
      </c>
      <c r="PP578" s="27" t="s">
        <v>7</v>
      </c>
      <c r="PQ578" s="27" t="s">
        <v>8</v>
      </c>
      <c r="PR578" s="27" t="s">
        <v>7</v>
      </c>
      <c r="QY578" s="27" t="s">
        <v>8</v>
      </c>
      <c r="QZ578" s="27" t="s">
        <v>7</v>
      </c>
      <c r="RA578" s="27" t="s">
        <v>8</v>
      </c>
      <c r="RB578" s="27" t="s">
        <v>7</v>
      </c>
      <c r="RC578" s="27" t="s">
        <v>8</v>
      </c>
      <c r="RJ578" s="27" t="s">
        <v>7</v>
      </c>
      <c r="RK578" s="27" t="s">
        <v>8</v>
      </c>
      <c r="TB578" s="27" t="s">
        <v>7</v>
      </c>
      <c r="TC578" s="27" t="s">
        <v>8</v>
      </c>
      <c r="TD578" s="27" t="s">
        <v>7</v>
      </c>
      <c r="TE578" s="27" t="s">
        <v>8</v>
      </c>
      <c r="TF578" s="27" t="s">
        <v>7</v>
      </c>
      <c r="TG578" s="27" t="s">
        <v>8</v>
      </c>
      <c r="TH578" s="27" t="s">
        <v>7</v>
      </c>
      <c r="TI578" s="27" t="s">
        <v>8</v>
      </c>
      <c r="TJ578" s="27" t="s">
        <v>7</v>
      </c>
      <c r="TK578" s="27" t="s">
        <v>8</v>
      </c>
      <c r="TL578" s="27" t="s">
        <v>7</v>
      </c>
      <c r="TM578" s="27" t="s">
        <v>8</v>
      </c>
      <c r="TP578" s="27" t="s">
        <v>7</v>
      </c>
      <c r="TR578" s="27" t="s">
        <v>7</v>
      </c>
    </row>
    <row r="579" spans="1:544" x14ac:dyDescent="0.25">
      <c r="A579" s="7">
        <v>1.1716593810022657</v>
      </c>
      <c r="B579"/>
      <c r="C579"/>
      <c r="D579"/>
      <c r="E579"/>
      <c r="NC579" s="27" t="s">
        <v>8</v>
      </c>
      <c r="NJ579" s="27" t="s">
        <v>7</v>
      </c>
      <c r="PF579" s="27" t="s">
        <v>7</v>
      </c>
      <c r="PG579" s="27" t="s">
        <v>8</v>
      </c>
      <c r="PH579" s="27" t="s">
        <v>7</v>
      </c>
      <c r="PI579" s="27" t="s">
        <v>8</v>
      </c>
      <c r="PJ579" s="27" t="s">
        <v>7</v>
      </c>
      <c r="PK579" s="27" t="s">
        <v>8</v>
      </c>
      <c r="PL579" s="27" t="s">
        <v>7</v>
      </c>
      <c r="PO579" s="27" t="s">
        <v>8</v>
      </c>
      <c r="PP579" s="27" t="s">
        <v>7</v>
      </c>
      <c r="PQ579" s="27" t="s">
        <v>8</v>
      </c>
      <c r="PR579" s="27" t="s">
        <v>7</v>
      </c>
      <c r="PU579" s="27" t="s">
        <v>8</v>
      </c>
      <c r="QY579" s="27" t="s">
        <v>8</v>
      </c>
      <c r="QZ579" s="27" t="s">
        <v>7</v>
      </c>
      <c r="RA579" s="27" t="s">
        <v>8</v>
      </c>
      <c r="RB579" s="27" t="s">
        <v>7</v>
      </c>
      <c r="RC579" s="27" t="s">
        <v>8</v>
      </c>
      <c r="RJ579" s="27" t="s">
        <v>7</v>
      </c>
      <c r="TB579" s="27" t="s">
        <v>7</v>
      </c>
      <c r="TC579" s="27" t="s">
        <v>8</v>
      </c>
      <c r="TD579" s="27" t="s">
        <v>7</v>
      </c>
      <c r="TE579" s="27" t="s">
        <v>8</v>
      </c>
      <c r="TF579" s="27" t="s">
        <v>7</v>
      </c>
      <c r="TG579" s="27" t="s">
        <v>8</v>
      </c>
      <c r="TH579" s="27" t="s">
        <v>7</v>
      </c>
      <c r="TI579" s="27" t="s">
        <v>8</v>
      </c>
      <c r="TJ579" s="27" t="s">
        <v>7</v>
      </c>
      <c r="TK579" s="27" t="s">
        <v>8</v>
      </c>
      <c r="TL579" s="27" t="s">
        <v>7</v>
      </c>
      <c r="TM579" s="27" t="s">
        <v>8</v>
      </c>
      <c r="TR579" s="27" t="s">
        <v>7</v>
      </c>
    </row>
    <row r="580" spans="1:544" x14ac:dyDescent="0.25">
      <c r="A580" s="7">
        <v>1.14868566764928</v>
      </c>
      <c r="B580"/>
      <c r="C580"/>
      <c r="D580"/>
      <c r="E580"/>
      <c r="NC580" s="27" t="s">
        <v>8</v>
      </c>
      <c r="PF580" s="27" t="s">
        <v>7</v>
      </c>
      <c r="PG580" s="27" t="s">
        <v>8</v>
      </c>
      <c r="PH580" s="27" t="s">
        <v>7</v>
      </c>
      <c r="PI580" s="27" t="s">
        <v>8</v>
      </c>
      <c r="PJ580" s="27" t="s">
        <v>7</v>
      </c>
      <c r="PK580" s="27" t="s">
        <v>8</v>
      </c>
      <c r="PL580" s="27" t="s">
        <v>7</v>
      </c>
      <c r="PM580" s="27" t="s">
        <v>8</v>
      </c>
      <c r="PO580" s="27" t="s">
        <v>8</v>
      </c>
      <c r="PP580" s="27" t="s">
        <v>7</v>
      </c>
      <c r="PQ580" s="27" t="s">
        <v>8</v>
      </c>
      <c r="PR580" s="27" t="s">
        <v>7</v>
      </c>
      <c r="PU580" s="27" t="s">
        <v>8</v>
      </c>
      <c r="PV580" s="27" t="s">
        <v>7</v>
      </c>
      <c r="PW580" s="27" t="s">
        <v>8</v>
      </c>
      <c r="QW580" s="27" t="s">
        <v>8</v>
      </c>
      <c r="QY580" s="27" t="s">
        <v>8</v>
      </c>
      <c r="QZ580" s="27" t="s">
        <v>7</v>
      </c>
      <c r="RA580" s="27" t="s">
        <v>8</v>
      </c>
      <c r="RB580" s="27" t="s">
        <v>7</v>
      </c>
      <c r="RC580" s="27" t="s">
        <v>8</v>
      </c>
      <c r="TB580" s="27" t="s">
        <v>7</v>
      </c>
      <c r="TC580" s="27" t="s">
        <v>8</v>
      </c>
      <c r="TD580" s="27" t="s">
        <v>7</v>
      </c>
      <c r="TE580" s="27" t="s">
        <v>8</v>
      </c>
      <c r="TF580" s="27" t="s">
        <v>7</v>
      </c>
      <c r="TG580" s="27" t="s">
        <v>8</v>
      </c>
      <c r="TH580" s="27" t="s">
        <v>7</v>
      </c>
      <c r="TI580" s="27" t="s">
        <v>8</v>
      </c>
      <c r="TJ580" s="27" t="s">
        <v>7</v>
      </c>
      <c r="TL580" s="27" t="s">
        <v>7</v>
      </c>
      <c r="TR580" s="27" t="s">
        <v>7</v>
      </c>
    </row>
    <row r="581" spans="1:544" x14ac:dyDescent="0.25">
      <c r="A581" s="7">
        <v>1.1261624192640001</v>
      </c>
      <c r="B581"/>
      <c r="C581"/>
      <c r="D581"/>
      <c r="E581"/>
      <c r="NC581" s="27" t="s">
        <v>8</v>
      </c>
      <c r="PF581" s="27" t="s">
        <v>7</v>
      </c>
      <c r="PG581" s="27" t="s">
        <v>8</v>
      </c>
      <c r="PH581" s="27" t="s">
        <v>7</v>
      </c>
      <c r="PI581" s="27" t="s">
        <v>8</v>
      </c>
      <c r="PJ581" s="27" t="s">
        <v>7</v>
      </c>
      <c r="PK581" s="27" t="s">
        <v>8</v>
      </c>
      <c r="PL581" s="27" t="s">
        <v>7</v>
      </c>
      <c r="PM581" s="27" t="s">
        <v>8</v>
      </c>
      <c r="PN581" s="27" t="s">
        <v>7</v>
      </c>
      <c r="PO581" s="27" t="s">
        <v>8</v>
      </c>
      <c r="PP581" s="27" t="s">
        <v>7</v>
      </c>
      <c r="PQ581" s="27" t="s">
        <v>8</v>
      </c>
      <c r="PR581" s="27" t="s">
        <v>7</v>
      </c>
      <c r="PU581" s="27" t="s">
        <v>8</v>
      </c>
      <c r="PV581" s="27" t="s">
        <v>7</v>
      </c>
      <c r="PW581" s="27" t="s">
        <v>8</v>
      </c>
      <c r="PX581" s="27" t="s">
        <v>7</v>
      </c>
      <c r="QU581" s="27" t="s">
        <v>8</v>
      </c>
      <c r="QW581" s="27" t="s">
        <v>8</v>
      </c>
      <c r="QX581" s="27" t="s">
        <v>7</v>
      </c>
      <c r="QY581" s="27" t="s">
        <v>8</v>
      </c>
      <c r="QZ581" s="27" t="s">
        <v>7</v>
      </c>
      <c r="RA581" s="27" t="s">
        <v>8</v>
      </c>
      <c r="RB581" s="27" t="s">
        <v>7</v>
      </c>
      <c r="RC581" s="27" t="s">
        <v>8</v>
      </c>
      <c r="TB581" s="27" t="s">
        <v>7</v>
      </c>
      <c r="TC581" s="27" t="s">
        <v>8</v>
      </c>
      <c r="TD581" s="27" t="s">
        <v>7</v>
      </c>
      <c r="TE581" s="27" t="s">
        <v>8</v>
      </c>
      <c r="TF581" s="27" t="s">
        <v>7</v>
      </c>
      <c r="TH581" s="27" t="s">
        <v>7</v>
      </c>
      <c r="TI581" s="27" t="s">
        <v>8</v>
      </c>
      <c r="TR581" s="27" t="s">
        <v>7</v>
      </c>
      <c r="TS581" s="27" t="s">
        <v>8</v>
      </c>
    </row>
    <row r="582" spans="1:544" x14ac:dyDescent="0.25">
      <c r="A582" s="7">
        <v>1.1040808032</v>
      </c>
      <c r="B582"/>
      <c r="C582"/>
      <c r="D582"/>
      <c r="E582"/>
      <c r="NC582" s="27" t="s">
        <v>8</v>
      </c>
      <c r="PF582" s="27" t="s">
        <v>7</v>
      </c>
      <c r="PG582" s="27" t="s">
        <v>8</v>
      </c>
      <c r="PH582" s="27" t="s">
        <v>7</v>
      </c>
      <c r="PI582" s="27" t="s">
        <v>8</v>
      </c>
      <c r="PJ582" s="27" t="s">
        <v>7</v>
      </c>
      <c r="PK582" s="27" t="s">
        <v>8</v>
      </c>
      <c r="PL582" s="27" t="s">
        <v>7</v>
      </c>
      <c r="PM582" s="27" t="s">
        <v>8</v>
      </c>
      <c r="PN582" s="27" t="s">
        <v>7</v>
      </c>
      <c r="PO582" s="27" t="s">
        <v>8</v>
      </c>
      <c r="PP582" s="27" t="s">
        <v>7</v>
      </c>
      <c r="PQ582" s="27" t="s">
        <v>8</v>
      </c>
      <c r="PR582" s="27" t="s">
        <v>7</v>
      </c>
      <c r="PU582" s="27" t="s">
        <v>8</v>
      </c>
      <c r="PV582" s="27" t="s">
        <v>7</v>
      </c>
      <c r="PW582" s="27" t="s">
        <v>8</v>
      </c>
      <c r="PX582" s="27" t="s">
        <v>7</v>
      </c>
      <c r="QU582" s="27" t="s">
        <v>8</v>
      </c>
      <c r="QV582" s="27" t="s">
        <v>7</v>
      </c>
      <c r="QW582" s="27" t="s">
        <v>8</v>
      </c>
      <c r="QX582" s="27" t="s">
        <v>7</v>
      </c>
      <c r="QY582" s="27" t="s">
        <v>8</v>
      </c>
      <c r="QZ582" s="27" t="s">
        <v>7</v>
      </c>
      <c r="RA582" s="27" t="s">
        <v>8</v>
      </c>
      <c r="RB582" s="27" t="s">
        <v>7</v>
      </c>
      <c r="TB582" s="27" t="s">
        <v>7</v>
      </c>
      <c r="TC582" s="27" t="s">
        <v>8</v>
      </c>
      <c r="TD582" s="27" t="s">
        <v>7</v>
      </c>
      <c r="TE582" s="27" t="s">
        <v>8</v>
      </c>
      <c r="TH582" s="27" t="s">
        <v>7</v>
      </c>
      <c r="TI582" s="27" t="s">
        <v>8</v>
      </c>
      <c r="TR582" s="27" t="s">
        <v>7</v>
      </c>
      <c r="TS582" s="27" t="s">
        <v>8</v>
      </c>
      <c r="TT582" s="27" t="s">
        <v>7</v>
      </c>
      <c r="TW582" s="27" t="s">
        <v>8</v>
      </c>
    </row>
    <row r="583" spans="1:544" x14ac:dyDescent="0.25">
      <c r="A583" s="7">
        <v>1.08243216</v>
      </c>
      <c r="B583"/>
      <c r="C583"/>
      <c r="D583"/>
      <c r="E583"/>
      <c r="NC583" s="27" t="s">
        <v>8</v>
      </c>
      <c r="PF583" s="27" t="s">
        <v>7</v>
      </c>
      <c r="PG583" s="27" t="s">
        <v>8</v>
      </c>
      <c r="PH583" s="27" t="s">
        <v>7</v>
      </c>
      <c r="PJ583" s="27" t="s">
        <v>7</v>
      </c>
      <c r="PK583" s="27" t="s">
        <v>8</v>
      </c>
      <c r="PL583" s="27" t="s">
        <v>7</v>
      </c>
      <c r="PM583" s="27" t="s">
        <v>8</v>
      </c>
      <c r="PN583" s="27" t="s">
        <v>7</v>
      </c>
      <c r="PP583" s="27" t="s">
        <v>7</v>
      </c>
      <c r="PR583" s="27" t="s">
        <v>7</v>
      </c>
      <c r="PU583" s="27" t="s">
        <v>8</v>
      </c>
      <c r="PV583" s="27" t="s">
        <v>7</v>
      </c>
      <c r="PW583" s="27" t="s">
        <v>8</v>
      </c>
      <c r="PX583" s="27" t="s">
        <v>7</v>
      </c>
      <c r="QQ583" s="27" t="s">
        <v>8</v>
      </c>
      <c r="QU583" s="27" t="s">
        <v>8</v>
      </c>
      <c r="QV583" s="27" t="s">
        <v>7</v>
      </c>
      <c r="QW583" s="27" t="s">
        <v>8</v>
      </c>
      <c r="QX583" s="27" t="s">
        <v>7</v>
      </c>
      <c r="QY583" s="27" t="s">
        <v>8</v>
      </c>
      <c r="QZ583" s="27" t="s">
        <v>7</v>
      </c>
      <c r="TB583" s="27" t="s">
        <v>7</v>
      </c>
      <c r="TC583" s="27" t="s">
        <v>8</v>
      </c>
      <c r="TD583" s="27" t="s">
        <v>7</v>
      </c>
      <c r="TH583" s="27" t="s">
        <v>7</v>
      </c>
      <c r="TR583" s="27" t="s">
        <v>7</v>
      </c>
      <c r="TS583" s="27" t="s">
        <v>8</v>
      </c>
      <c r="TT583" s="27" t="s">
        <v>7</v>
      </c>
      <c r="TW583" s="27" t="s">
        <v>8</v>
      </c>
      <c r="TX583" s="27" t="s">
        <v>7</v>
      </c>
    </row>
    <row r="584" spans="1:544" x14ac:dyDescent="0.25">
      <c r="A584" s="7">
        <v>1.0612079999999999</v>
      </c>
      <c r="B584"/>
      <c r="C584"/>
      <c r="D584"/>
      <c r="E584"/>
      <c r="NC584" s="27" t="s">
        <v>8</v>
      </c>
      <c r="PF584" s="27" t="s">
        <v>7</v>
      </c>
      <c r="PG584" s="27" t="s">
        <v>8</v>
      </c>
      <c r="PJ584" s="27" t="s">
        <v>7</v>
      </c>
      <c r="PK584" s="27" t="s">
        <v>8</v>
      </c>
      <c r="PL584" s="27" t="s">
        <v>7</v>
      </c>
      <c r="PM584" s="27" t="s">
        <v>8</v>
      </c>
      <c r="PR584" s="27" t="s">
        <v>7</v>
      </c>
      <c r="PS584" s="27" t="s">
        <v>8</v>
      </c>
      <c r="PU584" s="27" t="s">
        <v>8</v>
      </c>
      <c r="PV584" s="27" t="s">
        <v>7</v>
      </c>
      <c r="PW584" s="27" t="s">
        <v>8</v>
      </c>
      <c r="PX584" s="27" t="s">
        <v>7</v>
      </c>
      <c r="QG584" s="27" t="s">
        <v>8</v>
      </c>
      <c r="QQ584" s="27" t="s">
        <v>8</v>
      </c>
      <c r="QR584" s="27" t="s">
        <v>7</v>
      </c>
      <c r="QS584" s="27" t="s">
        <v>8</v>
      </c>
      <c r="QU584" s="27" t="s">
        <v>8</v>
      </c>
      <c r="QV584" s="27" t="s">
        <v>7</v>
      </c>
      <c r="QW584" s="27" t="s">
        <v>8</v>
      </c>
      <c r="QX584" s="27" t="s">
        <v>7</v>
      </c>
      <c r="QY584" s="27" t="s">
        <v>8</v>
      </c>
      <c r="TB584" s="27" t="s">
        <v>7</v>
      </c>
      <c r="TR584" s="27" t="s">
        <v>7</v>
      </c>
      <c r="TT584" s="27" t="s">
        <v>7</v>
      </c>
      <c r="TW584" s="27" t="s">
        <v>8</v>
      </c>
      <c r="TX584" s="27" t="s">
        <v>7</v>
      </c>
    </row>
    <row r="585" spans="1:544" x14ac:dyDescent="0.25">
      <c r="A585" s="7">
        <v>1.0404</v>
      </c>
      <c r="B585"/>
      <c r="C585"/>
      <c r="D585"/>
      <c r="E585"/>
      <c r="NC585" s="27" t="s">
        <v>8</v>
      </c>
      <c r="PF585" s="27" t="s">
        <v>7</v>
      </c>
      <c r="PG585" s="27" t="s">
        <v>8</v>
      </c>
      <c r="PJ585" s="27" t="s">
        <v>7</v>
      </c>
      <c r="PK585" s="27" t="s">
        <v>8</v>
      </c>
      <c r="PL585" s="27" t="s">
        <v>7</v>
      </c>
      <c r="PM585" s="27" t="s">
        <v>8</v>
      </c>
      <c r="PR585" s="27" t="s">
        <v>7</v>
      </c>
      <c r="PS585" s="27" t="s">
        <v>8</v>
      </c>
      <c r="PT585" s="27" t="s">
        <v>7</v>
      </c>
      <c r="PU585" s="27" t="s">
        <v>8</v>
      </c>
      <c r="PV585" s="27" t="s">
        <v>7</v>
      </c>
      <c r="PW585" s="27" t="s">
        <v>8</v>
      </c>
      <c r="PX585" s="27" t="s">
        <v>7</v>
      </c>
      <c r="QG585" s="27" t="s">
        <v>8</v>
      </c>
      <c r="QH585" s="27" t="s">
        <v>7</v>
      </c>
      <c r="QQ585" s="27" t="s">
        <v>8</v>
      </c>
      <c r="QR585" s="27" t="s">
        <v>7</v>
      </c>
      <c r="QS585" s="27" t="s">
        <v>8</v>
      </c>
      <c r="QT585" s="27" t="s">
        <v>7</v>
      </c>
      <c r="QU585" s="27" t="s">
        <v>8</v>
      </c>
      <c r="QV585" s="27" t="s">
        <v>7</v>
      </c>
      <c r="QX585" s="27" t="s">
        <v>7</v>
      </c>
      <c r="QY585" s="27" t="s">
        <v>8</v>
      </c>
      <c r="TT585" s="27" t="s">
        <v>7</v>
      </c>
      <c r="TU585" s="27" t="s">
        <v>8</v>
      </c>
      <c r="TW585" s="27" t="s">
        <v>8</v>
      </c>
      <c r="TX585" s="27" t="s">
        <v>7</v>
      </c>
    </row>
    <row r="586" spans="1:544" x14ac:dyDescent="0.25">
      <c r="A586" s="7">
        <v>1.02</v>
      </c>
      <c r="B586"/>
      <c r="C586"/>
      <c r="D586"/>
      <c r="E586"/>
      <c r="NC586" s="27" t="s">
        <v>8</v>
      </c>
      <c r="PF586" s="27" t="s">
        <v>7</v>
      </c>
      <c r="PG586" s="27" t="s">
        <v>8</v>
      </c>
      <c r="PJ586" s="27" t="s">
        <v>7</v>
      </c>
      <c r="PK586" s="27" t="s">
        <v>8</v>
      </c>
      <c r="PL586" s="27" t="s">
        <v>7</v>
      </c>
      <c r="PM586" s="27" t="s">
        <v>8</v>
      </c>
      <c r="PR586" s="27" t="s">
        <v>7</v>
      </c>
      <c r="PS586" s="27" t="s">
        <v>8</v>
      </c>
      <c r="PT586" s="27" t="s">
        <v>7</v>
      </c>
      <c r="PU586" s="27" t="s">
        <v>8</v>
      </c>
      <c r="PV586" s="27" t="s">
        <v>7</v>
      </c>
      <c r="PW586" s="27" t="s">
        <v>8</v>
      </c>
      <c r="PX586" s="27" t="s">
        <v>7</v>
      </c>
      <c r="PY586" s="27" t="s">
        <v>8</v>
      </c>
      <c r="QG586" s="27" t="s">
        <v>8</v>
      </c>
      <c r="QH586" s="27" t="s">
        <v>7</v>
      </c>
      <c r="QQ586" s="27" t="s">
        <v>8</v>
      </c>
      <c r="QR586" s="27" t="s">
        <v>7</v>
      </c>
      <c r="QS586" s="27" t="s">
        <v>8</v>
      </c>
      <c r="QT586" s="27" t="s">
        <v>7</v>
      </c>
      <c r="QU586" s="27" t="s">
        <v>8</v>
      </c>
      <c r="QX586" s="27" t="s">
        <v>7</v>
      </c>
      <c r="TT586" s="27" t="s">
        <v>7</v>
      </c>
      <c r="TU586" s="27" t="s">
        <v>8</v>
      </c>
      <c r="TV586" s="27" t="s">
        <v>7</v>
      </c>
      <c r="TW586" s="27" t="s">
        <v>8</v>
      </c>
      <c r="TX586" s="27" t="s">
        <v>7</v>
      </c>
    </row>
    <row r="587" spans="1:544" x14ac:dyDescent="0.25">
      <c r="A587" s="7">
        <v>1</v>
      </c>
      <c r="B587"/>
      <c r="C587"/>
      <c r="D587"/>
      <c r="E587" s="29" t="s">
        <v>8</v>
      </c>
      <c r="NC587" s="27" t="s">
        <v>8</v>
      </c>
      <c r="PF587" s="27" t="s">
        <v>7</v>
      </c>
      <c r="PG587" s="27" t="s">
        <v>8</v>
      </c>
      <c r="PJ587" s="27" t="s">
        <v>7</v>
      </c>
      <c r="PK587" s="27" t="s">
        <v>8</v>
      </c>
      <c r="PL587" s="27" t="s">
        <v>7</v>
      </c>
      <c r="PM587" s="27" t="s">
        <v>8</v>
      </c>
      <c r="PR587" s="27" t="s">
        <v>7</v>
      </c>
      <c r="PS587" s="27" t="s">
        <v>8</v>
      </c>
      <c r="PT587" s="27" t="s">
        <v>7</v>
      </c>
      <c r="PU587" s="27" t="s">
        <v>8</v>
      </c>
      <c r="PV587" s="27" t="s">
        <v>7</v>
      </c>
      <c r="PX587" s="27" t="s">
        <v>7</v>
      </c>
      <c r="PY587" s="27" t="s">
        <v>8</v>
      </c>
      <c r="PZ587" s="27" t="s">
        <v>7</v>
      </c>
      <c r="QG587" s="27" t="s">
        <v>8</v>
      </c>
      <c r="QH587" s="27" t="s">
        <v>7</v>
      </c>
      <c r="QQ587" s="27" t="s">
        <v>8</v>
      </c>
      <c r="QR587" s="27" t="s">
        <v>7</v>
      </c>
      <c r="QS587" s="27" t="s">
        <v>8</v>
      </c>
      <c r="QT587" s="27" t="s">
        <v>7</v>
      </c>
      <c r="QU587" s="27" t="s">
        <v>8</v>
      </c>
      <c r="TT587" s="27" t="s">
        <v>7</v>
      </c>
      <c r="TU587" s="27" t="s">
        <v>8</v>
      </c>
      <c r="TV587" s="27" t="s">
        <v>7</v>
      </c>
      <c r="TW587" s="27" t="s">
        <v>8</v>
      </c>
      <c r="TX587" s="27" t="s">
        <v>7</v>
      </c>
    </row>
    <row r="588" spans="1:544" x14ac:dyDescent="0.25">
      <c r="A588" s="7">
        <v>0.98039215686274506</v>
      </c>
      <c r="B588"/>
      <c r="C588"/>
      <c r="D588"/>
      <c r="E588"/>
      <c r="F588" s="27" t="s">
        <v>7</v>
      </c>
      <c r="NC588" s="27" t="s">
        <v>8</v>
      </c>
      <c r="PF588" s="27" t="s">
        <v>7</v>
      </c>
      <c r="PG588" s="27" t="s">
        <v>8</v>
      </c>
      <c r="PJ588" s="27" t="s">
        <v>7</v>
      </c>
      <c r="PK588" s="27" t="s">
        <v>8</v>
      </c>
      <c r="PL588" s="27" t="s">
        <v>7</v>
      </c>
      <c r="PM588" s="27" t="s">
        <v>8</v>
      </c>
      <c r="PR588" s="27" t="s">
        <v>7</v>
      </c>
      <c r="PS588" s="27" t="s">
        <v>8</v>
      </c>
      <c r="PT588" s="27" t="s">
        <v>7</v>
      </c>
      <c r="PU588" s="27" t="s">
        <v>8</v>
      </c>
      <c r="PX588" s="27" t="s">
        <v>7</v>
      </c>
      <c r="PY588" s="27" t="s">
        <v>8</v>
      </c>
      <c r="PZ588" s="27" t="s">
        <v>7</v>
      </c>
      <c r="QG588" s="27" t="s">
        <v>8</v>
      </c>
      <c r="QH588" s="27" t="s">
        <v>7</v>
      </c>
      <c r="QQ588" s="27" t="s">
        <v>8</v>
      </c>
      <c r="QR588" s="27" t="s">
        <v>7</v>
      </c>
      <c r="QS588" s="27" t="s">
        <v>8</v>
      </c>
      <c r="QT588" s="27" t="s">
        <v>7</v>
      </c>
      <c r="TT588" s="27" t="s">
        <v>7</v>
      </c>
      <c r="TU588" s="27" t="s">
        <v>8</v>
      </c>
      <c r="TV588" s="27" t="s">
        <v>7</v>
      </c>
      <c r="TW588" s="27" t="s">
        <v>8</v>
      </c>
      <c r="TX588" s="27" t="s">
        <v>7</v>
      </c>
    </row>
    <row r="589" spans="1:544" x14ac:dyDescent="0.25">
      <c r="A589" s="7">
        <v>0.96116878123798544</v>
      </c>
      <c r="B589"/>
      <c r="C589"/>
      <c r="D589"/>
      <c r="E589"/>
      <c r="F589" s="27" t="s">
        <v>7</v>
      </c>
      <c r="NC589" s="27" t="s">
        <v>8</v>
      </c>
      <c r="PF589" s="27" t="s">
        <v>7</v>
      </c>
      <c r="PG589" s="27" t="s">
        <v>8</v>
      </c>
      <c r="PJ589" s="27" t="s">
        <v>7</v>
      </c>
      <c r="PK589" s="27" t="s">
        <v>8</v>
      </c>
      <c r="PL589" s="27" t="s">
        <v>7</v>
      </c>
      <c r="PR589" s="27" t="s">
        <v>7</v>
      </c>
      <c r="PS589" s="27" t="s">
        <v>8</v>
      </c>
      <c r="PT589" s="27" t="s">
        <v>7</v>
      </c>
      <c r="PU589" s="27" t="s">
        <v>8</v>
      </c>
      <c r="PX589" s="27" t="s">
        <v>7</v>
      </c>
      <c r="PY589" s="27" t="s">
        <v>8</v>
      </c>
      <c r="PZ589" s="27" t="s">
        <v>7</v>
      </c>
      <c r="QG589" s="27" t="s">
        <v>8</v>
      </c>
      <c r="QH589" s="27" t="s">
        <v>7</v>
      </c>
      <c r="QI589" s="27" t="s">
        <v>8</v>
      </c>
      <c r="QQ589" s="27" t="s">
        <v>8</v>
      </c>
      <c r="QR589" s="27" t="s">
        <v>7</v>
      </c>
      <c r="TT589" s="27" t="s">
        <v>7</v>
      </c>
      <c r="TV589" s="27" t="s">
        <v>7</v>
      </c>
      <c r="TW589" s="27" t="s">
        <v>8</v>
      </c>
      <c r="TX589" s="27" t="s">
        <v>7</v>
      </c>
    </row>
    <row r="590" spans="1:544" x14ac:dyDescent="0.25">
      <c r="A590" s="7">
        <v>0.94232233454704462</v>
      </c>
      <c r="B590"/>
      <c r="C590"/>
      <c r="D590"/>
      <c r="E590"/>
      <c r="F590" s="27" t="s">
        <v>7</v>
      </c>
      <c r="NC590" s="27" t="s">
        <v>8</v>
      </c>
      <c r="PF590" s="27" t="s">
        <v>7</v>
      </c>
      <c r="PG590" s="27" t="s">
        <v>8</v>
      </c>
      <c r="PJ590" s="27" t="s">
        <v>7</v>
      </c>
      <c r="PK590" s="27" t="s">
        <v>8</v>
      </c>
      <c r="PR590" s="27" t="s">
        <v>7</v>
      </c>
      <c r="PS590" s="27" t="s">
        <v>8</v>
      </c>
      <c r="PT590" s="27" t="s">
        <v>7</v>
      </c>
      <c r="PU590" s="27" t="s">
        <v>8</v>
      </c>
      <c r="PX590" s="27" t="s">
        <v>7</v>
      </c>
      <c r="PZ590" s="27" t="s">
        <v>7</v>
      </c>
      <c r="QG590" s="27" t="s">
        <v>8</v>
      </c>
      <c r="QH590" s="27" t="s">
        <v>7</v>
      </c>
      <c r="QI590" s="27" t="s">
        <v>8</v>
      </c>
      <c r="QJ590" s="27" t="s">
        <v>7</v>
      </c>
      <c r="QK590" s="27" t="s">
        <v>8</v>
      </c>
      <c r="QQ590" s="27" t="s">
        <v>8</v>
      </c>
      <c r="TV590" s="27" t="s">
        <v>7</v>
      </c>
      <c r="TW590" s="27" t="s">
        <v>8</v>
      </c>
      <c r="TX590" s="27" t="s">
        <v>7</v>
      </c>
    </row>
    <row r="591" spans="1:544" x14ac:dyDescent="0.25">
      <c r="A591" s="7">
        <v>0.92384542602651432</v>
      </c>
      <c r="B591"/>
      <c r="C591"/>
      <c r="D591"/>
      <c r="E591"/>
      <c r="F591" s="27" t="s">
        <v>7</v>
      </c>
      <c r="MS591" s="27" t="s">
        <v>8</v>
      </c>
      <c r="NC591" s="27" t="s">
        <v>8</v>
      </c>
      <c r="PF591" s="27" t="s">
        <v>7</v>
      </c>
      <c r="PG591" s="27" t="s">
        <v>8</v>
      </c>
      <c r="PJ591" s="27" t="s">
        <v>7</v>
      </c>
      <c r="PK591" s="27" t="s">
        <v>8</v>
      </c>
      <c r="PR591" s="27" t="s">
        <v>7</v>
      </c>
      <c r="PS591" s="27" t="s">
        <v>8</v>
      </c>
      <c r="PT591" s="27" t="s">
        <v>7</v>
      </c>
      <c r="PU591" s="27" t="s">
        <v>8</v>
      </c>
      <c r="PZ591" s="27" t="s">
        <v>7</v>
      </c>
      <c r="QG591" s="27" t="s">
        <v>8</v>
      </c>
      <c r="QH591" s="27" t="s">
        <v>7</v>
      </c>
      <c r="QI591" s="27" t="s">
        <v>8</v>
      </c>
      <c r="QJ591" s="27" t="s">
        <v>7</v>
      </c>
      <c r="QK591" s="27" t="s">
        <v>8</v>
      </c>
      <c r="QL591" s="27" t="s">
        <v>7</v>
      </c>
      <c r="QQ591" s="27" t="s">
        <v>8</v>
      </c>
      <c r="TV591" s="27" t="s">
        <v>7</v>
      </c>
      <c r="TW591" s="27" t="s">
        <v>8</v>
      </c>
      <c r="TX591" s="27" t="s">
        <v>7</v>
      </c>
    </row>
    <row r="592" spans="1:544" x14ac:dyDescent="0.25">
      <c r="A592" s="7">
        <v>0.90573080982991594</v>
      </c>
      <c r="B592"/>
      <c r="C592"/>
      <c r="D592"/>
      <c r="E592"/>
      <c r="F592" s="27" t="s">
        <v>7</v>
      </c>
      <c r="MS592" s="27" t="s">
        <v>8</v>
      </c>
      <c r="MT592" s="27" t="s">
        <v>7</v>
      </c>
      <c r="NA592" s="27" t="s">
        <v>8</v>
      </c>
      <c r="NC592" s="27" t="s">
        <v>8</v>
      </c>
      <c r="PF592" s="27" t="s">
        <v>7</v>
      </c>
      <c r="PG592" s="27" t="s">
        <v>8</v>
      </c>
      <c r="PJ592" s="27" t="s">
        <v>7</v>
      </c>
      <c r="PK592" s="27" t="s">
        <v>8</v>
      </c>
      <c r="PR592" s="27" t="s">
        <v>7</v>
      </c>
      <c r="PS592" s="27" t="s">
        <v>8</v>
      </c>
      <c r="PT592" s="27" t="s">
        <v>7</v>
      </c>
      <c r="PU592" s="27" t="s">
        <v>8</v>
      </c>
      <c r="PZ592" s="27" t="s">
        <v>7</v>
      </c>
      <c r="QG592" s="27" t="s">
        <v>8</v>
      </c>
      <c r="QH592" s="27" t="s">
        <v>7</v>
      </c>
      <c r="QJ592" s="27" t="s">
        <v>7</v>
      </c>
      <c r="QK592" s="27" t="s">
        <v>8</v>
      </c>
      <c r="QL592" s="27" t="s">
        <v>7</v>
      </c>
      <c r="QQ592" s="27" t="s">
        <v>8</v>
      </c>
      <c r="TV592" s="27" t="s">
        <v>7</v>
      </c>
      <c r="TX592" s="27" t="s">
        <v>7</v>
      </c>
    </row>
    <row r="593" spans="1:548" x14ac:dyDescent="0.25">
      <c r="A593" s="7">
        <v>0.8879713821861922</v>
      </c>
      <c r="B593"/>
      <c r="C593"/>
      <c r="D593"/>
      <c r="E593"/>
      <c r="F593" s="27" t="s">
        <v>7</v>
      </c>
      <c r="MQ593" s="27" t="s">
        <v>8</v>
      </c>
      <c r="MS593" s="27" t="s">
        <v>8</v>
      </c>
      <c r="MT593" s="27" t="s">
        <v>7</v>
      </c>
      <c r="NA593" s="27" t="s">
        <v>8</v>
      </c>
      <c r="NB593" s="27" t="s">
        <v>7</v>
      </c>
      <c r="NC593" s="27" t="s">
        <v>8</v>
      </c>
      <c r="PF593" s="27" t="s">
        <v>7</v>
      </c>
      <c r="PG593" s="27" t="s">
        <v>8</v>
      </c>
      <c r="PJ593" s="27" t="s">
        <v>7</v>
      </c>
      <c r="PK593" s="27" t="s">
        <v>8</v>
      </c>
      <c r="PR593" s="27" t="s">
        <v>7</v>
      </c>
      <c r="PT593" s="27" t="s">
        <v>7</v>
      </c>
      <c r="PU593" s="27" t="s">
        <v>8</v>
      </c>
      <c r="PZ593" s="27" t="s">
        <v>7</v>
      </c>
      <c r="QG593" s="27" t="s">
        <v>8</v>
      </c>
      <c r="QJ593" s="27" t="s">
        <v>7</v>
      </c>
      <c r="QL593" s="27" t="s">
        <v>7</v>
      </c>
      <c r="QQ593" s="27" t="s">
        <v>8</v>
      </c>
      <c r="TX593" s="27" t="s">
        <v>7</v>
      </c>
    </row>
    <row r="594" spans="1:548" x14ac:dyDescent="0.25">
      <c r="A594" s="7">
        <v>0.87056017861391399</v>
      </c>
      <c r="B594"/>
      <c r="C594"/>
      <c r="D594"/>
      <c r="E594"/>
      <c r="F594" s="27" t="s">
        <v>7</v>
      </c>
      <c r="MQ594" s="27" t="s">
        <v>8</v>
      </c>
      <c r="MR594" s="27" t="s">
        <v>7</v>
      </c>
      <c r="MS594" s="27" t="s">
        <v>8</v>
      </c>
      <c r="MT594" s="27" t="s">
        <v>7</v>
      </c>
      <c r="NA594" s="27" t="s">
        <v>8</v>
      </c>
      <c r="NB594" s="27" t="s">
        <v>7</v>
      </c>
      <c r="NC594" s="27" t="s">
        <v>8</v>
      </c>
      <c r="PF594" s="27" t="s">
        <v>7</v>
      </c>
      <c r="PG594" s="27" t="s">
        <v>8</v>
      </c>
      <c r="PJ594" s="27" t="s">
        <v>7</v>
      </c>
      <c r="PK594" s="27" t="s">
        <v>8</v>
      </c>
      <c r="PT594" s="27" t="s">
        <v>7</v>
      </c>
      <c r="PU594" s="27" t="s">
        <v>8</v>
      </c>
      <c r="PZ594" s="27" t="s">
        <v>7</v>
      </c>
      <c r="QG594" s="27" t="s">
        <v>8</v>
      </c>
      <c r="QL594" s="27" t="s">
        <v>7</v>
      </c>
      <c r="QO594" s="27" t="s">
        <v>8</v>
      </c>
      <c r="QQ594" s="27" t="s">
        <v>8</v>
      </c>
      <c r="TX594" s="27" t="s">
        <v>7</v>
      </c>
    </row>
    <row r="595" spans="1:548" x14ac:dyDescent="0.25">
      <c r="A595" s="7">
        <v>0.85349037119011173</v>
      </c>
      <c r="B595"/>
      <c r="C595"/>
      <c r="D595"/>
      <c r="E595"/>
      <c r="F595" s="27" t="s">
        <v>7</v>
      </c>
      <c r="MQ595" s="27" t="s">
        <v>8</v>
      </c>
      <c r="MR595" s="27" t="s">
        <v>7</v>
      </c>
      <c r="MS595" s="27" t="s">
        <v>8</v>
      </c>
      <c r="MT595" s="27" t="s">
        <v>7</v>
      </c>
      <c r="MU595" s="27" t="s">
        <v>8</v>
      </c>
      <c r="NA595" s="27" t="s">
        <v>8</v>
      </c>
      <c r="NB595" s="27" t="s">
        <v>7</v>
      </c>
      <c r="NC595" s="27" t="s">
        <v>8</v>
      </c>
      <c r="PF595" s="27" t="s">
        <v>7</v>
      </c>
      <c r="PJ595" s="27" t="s">
        <v>7</v>
      </c>
      <c r="PK595" s="27" t="s">
        <v>8</v>
      </c>
      <c r="PT595" s="27" t="s">
        <v>7</v>
      </c>
      <c r="PZ595" s="27" t="s">
        <v>7</v>
      </c>
      <c r="QG595" s="27" t="s">
        <v>8</v>
      </c>
      <c r="QL595" s="27" t="s">
        <v>7</v>
      </c>
      <c r="QO595" s="27" t="s">
        <v>8</v>
      </c>
      <c r="QP595" s="27" t="s">
        <v>7</v>
      </c>
      <c r="QQ595" s="27" t="s">
        <v>8</v>
      </c>
      <c r="TX595" s="27" t="s">
        <v>7</v>
      </c>
    </row>
    <row r="596" spans="1:548" x14ac:dyDescent="0.25">
      <c r="A596" s="7">
        <v>0.83675526587265858</v>
      </c>
      <c r="B596"/>
      <c r="C596"/>
      <c r="D596"/>
      <c r="E596"/>
      <c r="F596" s="27" t="s">
        <v>7</v>
      </c>
      <c r="MQ596" s="27" t="s">
        <v>8</v>
      </c>
      <c r="MR596" s="27" t="s">
        <v>7</v>
      </c>
      <c r="MS596" s="27" t="s">
        <v>8</v>
      </c>
      <c r="MT596" s="27" t="s">
        <v>7</v>
      </c>
      <c r="MU596" s="27" t="s">
        <v>8</v>
      </c>
      <c r="MV596" s="27" t="s">
        <v>7</v>
      </c>
      <c r="NA596" s="27" t="s">
        <v>8</v>
      </c>
      <c r="NB596" s="27" t="s">
        <v>7</v>
      </c>
      <c r="NC596" s="27" t="s">
        <v>8</v>
      </c>
      <c r="PJ596" s="27" t="s">
        <v>7</v>
      </c>
      <c r="PK596" s="27" t="s">
        <v>8</v>
      </c>
      <c r="PZ596" s="27" t="s">
        <v>7</v>
      </c>
      <c r="QC596" s="27" t="s">
        <v>8</v>
      </c>
      <c r="QE596" s="27" t="s">
        <v>8</v>
      </c>
      <c r="QG596" s="27" t="s">
        <v>8</v>
      </c>
      <c r="QL596" s="27" t="s">
        <v>7</v>
      </c>
      <c r="QO596" s="27" t="s">
        <v>8</v>
      </c>
      <c r="QP596" s="27" t="s">
        <v>7</v>
      </c>
      <c r="QQ596" s="27" t="s">
        <v>8</v>
      </c>
      <c r="TX596" s="27" t="s">
        <v>7</v>
      </c>
    </row>
    <row r="597" spans="1:548" x14ac:dyDescent="0.25">
      <c r="A597" s="7">
        <v>0.82034829987515545</v>
      </c>
      <c r="B597"/>
      <c r="C597"/>
      <c r="D597"/>
      <c r="E597"/>
      <c r="F597" s="27" t="s">
        <v>7</v>
      </c>
      <c r="MQ597" s="27" t="s">
        <v>8</v>
      </c>
      <c r="MR597" s="27" t="s">
        <v>7</v>
      </c>
      <c r="MS597" s="27" t="s">
        <v>8</v>
      </c>
      <c r="MT597" s="27" t="s">
        <v>7</v>
      </c>
      <c r="MU597" s="27" t="s">
        <v>8</v>
      </c>
      <c r="MV597" s="27" t="s">
        <v>7</v>
      </c>
      <c r="MW597" s="27" t="s">
        <v>8</v>
      </c>
      <c r="MY597" s="27" t="s">
        <v>8</v>
      </c>
      <c r="NA597" s="27" t="s">
        <v>8</v>
      </c>
      <c r="NB597" s="27" t="s">
        <v>7</v>
      </c>
      <c r="NC597" s="27" t="s">
        <v>8</v>
      </c>
      <c r="PJ597" s="27" t="s">
        <v>7</v>
      </c>
      <c r="PK597" s="27" t="s">
        <v>8</v>
      </c>
      <c r="PZ597" s="27" t="s">
        <v>7</v>
      </c>
      <c r="QA597" s="27" t="s">
        <v>8</v>
      </c>
      <c r="QC597" s="27" t="s">
        <v>8</v>
      </c>
      <c r="QD597" s="27" t="s">
        <v>7</v>
      </c>
      <c r="QE597" s="27" t="s">
        <v>8</v>
      </c>
      <c r="QF597" s="27" t="s">
        <v>7</v>
      </c>
      <c r="QG597" s="27" t="s">
        <v>8</v>
      </c>
      <c r="QL597" s="27" t="s">
        <v>7</v>
      </c>
      <c r="QO597" s="27" t="s">
        <v>8</v>
      </c>
      <c r="QP597" s="27" t="s">
        <v>7</v>
      </c>
      <c r="TX597" s="27" t="s">
        <v>7</v>
      </c>
    </row>
    <row r="598" spans="1:548" x14ac:dyDescent="0.25">
      <c r="A598" s="7">
        <v>0.80426303909328967</v>
      </c>
      <c r="B598"/>
      <c r="C598"/>
      <c r="D598"/>
      <c r="E598"/>
      <c r="F598" s="27" t="s">
        <v>7</v>
      </c>
      <c r="MQ598" s="27" t="s">
        <v>8</v>
      </c>
      <c r="MR598" s="27" t="s">
        <v>7</v>
      </c>
      <c r="MS598" s="27" t="s">
        <v>8</v>
      </c>
      <c r="MT598" s="27" t="s">
        <v>7</v>
      </c>
      <c r="MU598" s="27" t="s">
        <v>8</v>
      </c>
      <c r="MV598" s="27" t="s">
        <v>7</v>
      </c>
      <c r="MW598" s="27" t="s">
        <v>8</v>
      </c>
      <c r="MX598" s="27" t="s">
        <v>7</v>
      </c>
      <c r="MY598" s="27" t="s">
        <v>8</v>
      </c>
      <c r="MZ598" s="27" t="s">
        <v>7</v>
      </c>
      <c r="NA598" s="27" t="s">
        <v>8</v>
      </c>
      <c r="NB598" s="27" t="s">
        <v>7</v>
      </c>
      <c r="PJ598" s="27" t="s">
        <v>7</v>
      </c>
      <c r="PZ598" s="27" t="s">
        <v>7</v>
      </c>
      <c r="QA598" s="27" t="s">
        <v>8</v>
      </c>
      <c r="QB598" s="27" t="s">
        <v>7</v>
      </c>
      <c r="QC598" s="27" t="s">
        <v>8</v>
      </c>
      <c r="QD598" s="27" t="s">
        <v>7</v>
      </c>
      <c r="QE598" s="27" t="s">
        <v>8</v>
      </c>
      <c r="QF598" s="27" t="s">
        <v>7</v>
      </c>
      <c r="QG598" s="27" t="s">
        <v>8</v>
      </c>
      <c r="QL598" s="27" t="s">
        <v>7</v>
      </c>
      <c r="QM598" s="27" t="s">
        <v>8</v>
      </c>
      <c r="QO598" s="27" t="s">
        <v>8</v>
      </c>
      <c r="TX598" s="27" t="s">
        <v>7</v>
      </c>
    </row>
    <row r="599" spans="1:548" x14ac:dyDescent="0.25">
      <c r="A599" s="7">
        <v>0.78849317558165644</v>
      </c>
      <c r="B599"/>
      <c r="C599"/>
      <c r="D599"/>
      <c r="E599"/>
      <c r="F599" s="27" t="s">
        <v>7</v>
      </c>
      <c r="KA599" s="27" t="s">
        <v>8</v>
      </c>
      <c r="MQ599" s="27" t="s">
        <v>8</v>
      </c>
      <c r="MR599" s="27" t="s">
        <v>7</v>
      </c>
      <c r="MS599" s="27" t="s">
        <v>8</v>
      </c>
      <c r="MT599" s="27" t="s">
        <v>7</v>
      </c>
      <c r="MU599" s="27" t="s">
        <v>8</v>
      </c>
      <c r="MV599" s="27" t="s">
        <v>7</v>
      </c>
      <c r="MW599" s="27" t="s">
        <v>8</v>
      </c>
      <c r="MX599" s="27" t="s">
        <v>7</v>
      </c>
      <c r="MY599" s="27" t="s">
        <v>8</v>
      </c>
      <c r="MZ599" s="27" t="s">
        <v>7</v>
      </c>
      <c r="NA599" s="27" t="s">
        <v>8</v>
      </c>
      <c r="PZ599" s="27" t="s">
        <v>7</v>
      </c>
      <c r="QA599" s="27" t="s">
        <v>8</v>
      </c>
      <c r="QB599" s="27" t="s">
        <v>7</v>
      </c>
      <c r="QC599" s="27" t="s">
        <v>8</v>
      </c>
      <c r="QD599" s="27" t="s">
        <v>7</v>
      </c>
      <c r="QE599" s="27" t="s">
        <v>8</v>
      </c>
      <c r="QF599" s="27" t="s">
        <v>7</v>
      </c>
      <c r="QG599" s="27" t="s">
        <v>8</v>
      </c>
      <c r="QL599" s="27" t="s">
        <v>7</v>
      </c>
      <c r="QM599" s="27" t="s">
        <v>8</v>
      </c>
      <c r="QN599" s="27" t="s">
        <v>7</v>
      </c>
      <c r="QO599" s="27" t="s">
        <v>8</v>
      </c>
      <c r="TX599" s="27" t="s">
        <v>7</v>
      </c>
    </row>
    <row r="600" spans="1:548" x14ac:dyDescent="0.25">
      <c r="A600" s="7">
        <v>0.77303252508005538</v>
      </c>
      <c r="B600"/>
      <c r="C600"/>
      <c r="D600"/>
      <c r="E600"/>
      <c r="F600" s="27" t="s">
        <v>7</v>
      </c>
      <c r="KA600" s="27" t="s">
        <v>8</v>
      </c>
      <c r="KB600" s="27" t="s">
        <v>7</v>
      </c>
      <c r="MO600" s="27" t="s">
        <v>8</v>
      </c>
      <c r="MQ600" s="27" t="s">
        <v>8</v>
      </c>
      <c r="MR600" s="27" t="s">
        <v>7</v>
      </c>
      <c r="MS600" s="27" t="s">
        <v>8</v>
      </c>
      <c r="MT600" s="27" t="s">
        <v>7</v>
      </c>
      <c r="MV600" s="27" t="s">
        <v>7</v>
      </c>
      <c r="MW600" s="27" t="s">
        <v>8</v>
      </c>
      <c r="MX600" s="27" t="s">
        <v>7</v>
      </c>
      <c r="MY600" s="27" t="s">
        <v>8</v>
      </c>
      <c r="MZ600" s="27" t="s">
        <v>7</v>
      </c>
      <c r="NA600" s="27" t="s">
        <v>8</v>
      </c>
      <c r="PZ600" s="27" t="s">
        <v>7</v>
      </c>
      <c r="QA600" s="27" t="s">
        <v>8</v>
      </c>
      <c r="QB600" s="27" t="s">
        <v>7</v>
      </c>
      <c r="QC600" s="27" t="s">
        <v>8</v>
      </c>
      <c r="QD600" s="27" t="s">
        <v>7</v>
      </c>
      <c r="QE600" s="27" t="s">
        <v>8</v>
      </c>
      <c r="QF600" s="27" t="s">
        <v>7</v>
      </c>
      <c r="QG600" s="27" t="s">
        <v>8</v>
      </c>
      <c r="QL600" s="27" t="s">
        <v>7</v>
      </c>
      <c r="QM600" s="27" t="s">
        <v>8</v>
      </c>
      <c r="QN600" s="27" t="s">
        <v>7</v>
      </c>
      <c r="QO600" s="27" t="s">
        <v>8</v>
      </c>
      <c r="TX600" s="27" t="s">
        <v>7</v>
      </c>
    </row>
    <row r="601" spans="1:548" x14ac:dyDescent="0.25">
      <c r="A601" s="7">
        <v>0.75787502458828959</v>
      </c>
      <c r="B601"/>
      <c r="C601"/>
      <c r="D601"/>
      <c r="E601"/>
      <c r="F601" s="27" t="s">
        <v>7</v>
      </c>
      <c r="KA601" s="27" t="s">
        <v>8</v>
      </c>
      <c r="KB601" s="27" t="s">
        <v>7</v>
      </c>
      <c r="MO601" s="27" t="s">
        <v>8</v>
      </c>
      <c r="MP601" s="27" t="s">
        <v>7</v>
      </c>
      <c r="MQ601" s="27" t="s">
        <v>8</v>
      </c>
      <c r="MR601" s="27" t="s">
        <v>7</v>
      </c>
      <c r="MS601" s="27" t="s">
        <v>8</v>
      </c>
      <c r="MV601" s="27" t="s">
        <v>7</v>
      </c>
      <c r="MW601" s="27" t="s">
        <v>8</v>
      </c>
      <c r="MX601" s="27" t="s">
        <v>7</v>
      </c>
      <c r="MY601" s="27" t="s">
        <v>8</v>
      </c>
      <c r="MZ601" s="27" t="s">
        <v>7</v>
      </c>
      <c r="PZ601" s="27" t="s">
        <v>7</v>
      </c>
      <c r="QA601" s="27" t="s">
        <v>8</v>
      </c>
      <c r="QB601" s="27" t="s">
        <v>7</v>
      </c>
      <c r="QC601" s="27" t="s">
        <v>8</v>
      </c>
      <c r="QD601" s="27" t="s">
        <v>7</v>
      </c>
      <c r="QF601" s="27" t="s">
        <v>7</v>
      </c>
      <c r="QL601" s="27" t="s">
        <v>7</v>
      </c>
      <c r="QM601" s="27" t="s">
        <v>8</v>
      </c>
      <c r="QN601" s="27" t="s">
        <v>7</v>
      </c>
      <c r="QO601" s="27" t="s">
        <v>8</v>
      </c>
      <c r="TX601" s="27" t="s">
        <v>7</v>
      </c>
    </row>
    <row r="602" spans="1:548" x14ac:dyDescent="0.25">
      <c r="A602" s="7">
        <v>0.74301472998851925</v>
      </c>
      <c r="B602"/>
      <c r="C602"/>
      <c r="D602"/>
      <c r="E602"/>
      <c r="F602" s="27" t="s">
        <v>7</v>
      </c>
      <c r="KA602" s="27" t="s">
        <v>8</v>
      </c>
      <c r="KB602" s="27" t="s">
        <v>7</v>
      </c>
      <c r="MO602" s="27" t="s">
        <v>8</v>
      </c>
      <c r="MP602" s="27" t="s">
        <v>7</v>
      </c>
      <c r="MQ602" s="27" t="s">
        <v>8</v>
      </c>
      <c r="MR602" s="27" t="s">
        <v>7</v>
      </c>
      <c r="MS602" s="27" t="s">
        <v>8</v>
      </c>
      <c r="MV602" s="27" t="s">
        <v>7</v>
      </c>
      <c r="MW602" s="27" t="s">
        <v>8</v>
      </c>
      <c r="MX602" s="27" t="s">
        <v>7</v>
      </c>
      <c r="PZ602" s="27" t="s">
        <v>7</v>
      </c>
      <c r="QA602" s="27" t="s">
        <v>8</v>
      </c>
      <c r="QB602" s="27" t="s">
        <v>7</v>
      </c>
      <c r="QC602" s="27" t="s">
        <v>8</v>
      </c>
      <c r="QL602" s="27" t="s">
        <v>7</v>
      </c>
      <c r="QM602" s="27" t="s">
        <v>8</v>
      </c>
      <c r="QN602" s="27" t="s">
        <v>7</v>
      </c>
      <c r="QO602" s="27" t="s">
        <v>8</v>
      </c>
      <c r="TX602" s="27" t="s">
        <v>7</v>
      </c>
      <c r="UA602" s="27" t="s">
        <v>8</v>
      </c>
    </row>
    <row r="603" spans="1:548" x14ac:dyDescent="0.25">
      <c r="A603" s="7">
        <v>0.72844581371423456</v>
      </c>
      <c r="B603"/>
      <c r="C603"/>
      <c r="D603"/>
      <c r="E603"/>
      <c r="F603" s="27" t="s">
        <v>7</v>
      </c>
      <c r="KA603" s="27" t="s">
        <v>8</v>
      </c>
      <c r="KB603" s="27" t="s">
        <v>7</v>
      </c>
      <c r="MO603" s="27" t="s">
        <v>8</v>
      </c>
      <c r="MP603" s="27" t="s">
        <v>7</v>
      </c>
      <c r="MQ603" s="27" t="s">
        <v>8</v>
      </c>
      <c r="MR603" s="27" t="s">
        <v>7</v>
      </c>
      <c r="MS603" s="27" t="s">
        <v>8</v>
      </c>
      <c r="MV603" s="27" t="s">
        <v>7</v>
      </c>
      <c r="MW603" s="27" t="s">
        <v>8</v>
      </c>
      <c r="PZ603" s="27" t="s">
        <v>7</v>
      </c>
      <c r="QA603" s="27" t="s">
        <v>8</v>
      </c>
      <c r="QB603" s="27" t="s">
        <v>7</v>
      </c>
      <c r="QC603" s="27" t="s">
        <v>8</v>
      </c>
      <c r="QL603" s="27" t="s">
        <v>7</v>
      </c>
      <c r="QN603" s="18" t="s">
        <v>7</v>
      </c>
      <c r="QO603" s="27" t="s">
        <v>8</v>
      </c>
      <c r="TX603" s="27" t="s">
        <v>7</v>
      </c>
      <c r="TY603" s="27" t="s">
        <v>8</v>
      </c>
      <c r="UA603" s="27" t="s">
        <v>8</v>
      </c>
      <c r="UB603" s="27" t="s">
        <v>7</v>
      </c>
    </row>
    <row r="604" spans="1:548" x14ac:dyDescent="0.25">
      <c r="A604" s="7">
        <v>0.71416256246493581</v>
      </c>
      <c r="B604"/>
      <c r="C604"/>
      <c r="D604"/>
      <c r="E604"/>
      <c r="F604" s="27" t="s">
        <v>7</v>
      </c>
      <c r="KA604" s="27" t="s">
        <v>8</v>
      </c>
      <c r="KB604" s="27" t="s">
        <v>7</v>
      </c>
      <c r="KC604" s="27" t="s">
        <v>8</v>
      </c>
      <c r="MI604" s="27" t="s">
        <v>8</v>
      </c>
      <c r="MM604" s="27" t="s">
        <v>8</v>
      </c>
      <c r="MO604" s="27" t="s">
        <v>8</v>
      </c>
      <c r="MP604" s="27" t="s">
        <v>7</v>
      </c>
      <c r="MQ604" s="27" t="s">
        <v>8</v>
      </c>
      <c r="MR604" s="27" t="s">
        <v>7</v>
      </c>
      <c r="MS604" s="27" t="s">
        <v>8</v>
      </c>
      <c r="MV604" s="27" t="s">
        <v>7</v>
      </c>
      <c r="MW604" s="27" t="s">
        <v>8</v>
      </c>
      <c r="PZ604" s="27" t="s">
        <v>7</v>
      </c>
      <c r="QA604" s="27" t="s">
        <v>8</v>
      </c>
      <c r="QB604" s="27" t="s">
        <v>7</v>
      </c>
      <c r="QC604" s="27" t="s">
        <v>8</v>
      </c>
      <c r="QN604" s="27" t="s">
        <v>7</v>
      </c>
      <c r="QO604" s="27" t="s">
        <v>8</v>
      </c>
      <c r="TX604" s="27" t="s">
        <v>7</v>
      </c>
      <c r="TY604" s="27" t="s">
        <v>8</v>
      </c>
      <c r="TZ604" s="27" t="s">
        <v>7</v>
      </c>
      <c r="UA604" s="27" t="s">
        <v>8</v>
      </c>
      <c r="UB604" s="27" t="s">
        <v>7</v>
      </c>
    </row>
    <row r="605" spans="1:548" x14ac:dyDescent="0.25">
      <c r="A605" s="7">
        <v>0.7001593749656233</v>
      </c>
      <c r="B605"/>
      <c r="C605"/>
      <c r="D605"/>
      <c r="E605"/>
      <c r="F605" s="27" t="s">
        <v>7</v>
      </c>
      <c r="KA605" s="27" t="s">
        <v>8</v>
      </c>
      <c r="KB605" s="27" t="s">
        <v>7</v>
      </c>
      <c r="KC605" s="27" t="s">
        <v>8</v>
      </c>
      <c r="KD605" s="27" t="s">
        <v>7</v>
      </c>
      <c r="MI605" s="27" t="s">
        <v>8</v>
      </c>
      <c r="MJ605" s="27" t="s">
        <v>7</v>
      </c>
      <c r="MM605" s="27" t="s">
        <v>8</v>
      </c>
      <c r="MN605" s="27" t="s">
        <v>7</v>
      </c>
      <c r="MO605" s="27" t="s">
        <v>8</v>
      </c>
      <c r="MP605" s="27" t="s">
        <v>7</v>
      </c>
      <c r="MQ605" s="27" t="s">
        <v>8</v>
      </c>
      <c r="MR605" s="27" t="s">
        <v>7</v>
      </c>
      <c r="MS605" s="27" t="s">
        <v>8</v>
      </c>
      <c r="MV605" s="27" t="s">
        <v>7</v>
      </c>
      <c r="MW605" s="27" t="s">
        <v>8</v>
      </c>
      <c r="PZ605" s="27" t="s">
        <v>7</v>
      </c>
      <c r="QA605" s="27" t="s">
        <v>8</v>
      </c>
      <c r="QB605" s="27" t="s">
        <v>7</v>
      </c>
      <c r="QC605" s="27" t="s">
        <v>8</v>
      </c>
      <c r="QN605" s="27" t="s">
        <v>7</v>
      </c>
      <c r="QO605" s="27" t="s">
        <v>8</v>
      </c>
      <c r="TX605" s="27" t="s">
        <v>7</v>
      </c>
      <c r="TY605" s="27" t="s">
        <v>8</v>
      </c>
      <c r="TZ605" s="27" t="s">
        <v>7</v>
      </c>
      <c r="UA605" s="27" t="s">
        <v>8</v>
      </c>
      <c r="UB605" s="27" t="s">
        <v>7</v>
      </c>
    </row>
    <row r="606" spans="1:548" x14ac:dyDescent="0.25">
      <c r="A606" s="7">
        <v>0.68643075977021883</v>
      </c>
      <c r="B606"/>
      <c r="C606"/>
      <c r="D606"/>
      <c r="E606"/>
      <c r="F606" s="27" t="s">
        <v>7</v>
      </c>
      <c r="KA606" s="27" t="s">
        <v>8</v>
      </c>
      <c r="KB606" s="27" t="s">
        <v>7</v>
      </c>
      <c r="KC606" s="27" t="s">
        <v>8</v>
      </c>
      <c r="KD606" s="27" t="s">
        <v>7</v>
      </c>
      <c r="MI606" s="27" t="s">
        <v>8</v>
      </c>
      <c r="MJ606" s="27" t="s">
        <v>7</v>
      </c>
      <c r="MM606" s="27" t="s">
        <v>8</v>
      </c>
      <c r="MN606" s="27" t="s">
        <v>7</v>
      </c>
      <c r="MO606" s="27" t="s">
        <v>8</v>
      </c>
      <c r="MP606" s="27" t="s">
        <v>7</v>
      </c>
      <c r="MQ606" s="27" t="s">
        <v>8</v>
      </c>
      <c r="MR606" s="27" t="s">
        <v>7</v>
      </c>
      <c r="MS606" s="27" t="s">
        <v>8</v>
      </c>
      <c r="MV606" s="27" t="s">
        <v>7</v>
      </c>
      <c r="PZ606" s="27" t="s">
        <v>7</v>
      </c>
      <c r="QA606" s="27" t="s">
        <v>8</v>
      </c>
      <c r="QB606" s="27" t="s">
        <v>7</v>
      </c>
      <c r="QN606" s="27" t="s">
        <v>7</v>
      </c>
      <c r="QO606" s="27" t="s">
        <v>8</v>
      </c>
      <c r="TX606" s="27" t="s">
        <v>7</v>
      </c>
      <c r="TY606" s="27" t="s">
        <v>8</v>
      </c>
      <c r="TZ606" s="27" t="s">
        <v>7</v>
      </c>
      <c r="UA606" s="27" t="s">
        <v>8</v>
      </c>
      <c r="UB606" s="27" t="s">
        <v>7</v>
      </c>
    </row>
    <row r="607" spans="1:548" x14ac:dyDescent="0.25">
      <c r="A607" s="7">
        <v>0.67297133310805768</v>
      </c>
      <c r="B607"/>
      <c r="C607"/>
      <c r="D607"/>
      <c r="E607"/>
      <c r="F607" s="27" t="s">
        <v>7</v>
      </c>
      <c r="KA607" s="27" t="s">
        <v>8</v>
      </c>
      <c r="KB607" s="27" t="s">
        <v>7</v>
      </c>
      <c r="KC607" s="27" t="s">
        <v>8</v>
      </c>
      <c r="KD607" s="27" t="s">
        <v>7</v>
      </c>
      <c r="MI607" s="27" t="s">
        <v>8</v>
      </c>
      <c r="MJ607" s="27" t="s">
        <v>7</v>
      </c>
      <c r="MM607" s="27" t="s">
        <v>8</v>
      </c>
      <c r="MN607" s="27" t="s">
        <v>7</v>
      </c>
      <c r="MO607" s="27" t="s">
        <v>8</v>
      </c>
      <c r="MP607" s="27" t="s">
        <v>7</v>
      </c>
      <c r="MQ607" s="27" t="s">
        <v>8</v>
      </c>
      <c r="MR607" s="27" t="s">
        <v>7</v>
      </c>
      <c r="MS607" s="27" t="s">
        <v>8</v>
      </c>
      <c r="PZ607" s="27" t="s">
        <v>7</v>
      </c>
      <c r="QA607" s="27" t="s">
        <v>8</v>
      </c>
      <c r="QN607" s="27" t="s">
        <v>7</v>
      </c>
      <c r="QO607" s="27" t="s">
        <v>8</v>
      </c>
      <c r="TX607" s="27" t="s">
        <v>7</v>
      </c>
      <c r="TY607" s="27" t="s">
        <v>8</v>
      </c>
      <c r="TZ607" s="27" t="s">
        <v>7</v>
      </c>
      <c r="UA607" s="27" t="s">
        <v>8</v>
      </c>
      <c r="UB607" s="27" t="s">
        <v>7</v>
      </c>
    </row>
    <row r="608" spans="1:548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KA608" s="27" t="s">
        <v>8</v>
      </c>
      <c r="KB608" s="27" t="s">
        <v>7</v>
      </c>
      <c r="KC608" s="27" t="s">
        <v>8</v>
      </c>
      <c r="KD608" s="27" t="s">
        <v>7</v>
      </c>
      <c r="KE608" s="27" t="s">
        <v>8</v>
      </c>
      <c r="KG608" s="27" t="s">
        <v>8</v>
      </c>
      <c r="MI608" s="27" t="s">
        <v>8</v>
      </c>
      <c r="MJ608" s="27" t="s">
        <v>7</v>
      </c>
      <c r="MM608" s="27" t="s">
        <v>8</v>
      </c>
      <c r="MN608" s="27" t="s">
        <v>7</v>
      </c>
      <c r="MO608" s="27" t="s">
        <v>8</v>
      </c>
      <c r="MP608" s="27" t="s">
        <v>7</v>
      </c>
      <c r="MQ608" s="27" t="s">
        <v>8</v>
      </c>
      <c r="MR608" s="27" t="s">
        <v>7</v>
      </c>
      <c r="MS608" s="27" t="s">
        <v>8</v>
      </c>
      <c r="PZ608" s="27" t="s">
        <v>7</v>
      </c>
      <c r="QA608" s="27" t="s">
        <v>8</v>
      </c>
      <c r="QN608" s="27" t="s">
        <v>7</v>
      </c>
      <c r="TX608" s="27" t="s">
        <v>7</v>
      </c>
      <c r="TY608" s="27" t="s">
        <v>8</v>
      </c>
      <c r="TZ608" s="27" t="s">
        <v>7</v>
      </c>
      <c r="UA608" s="27" t="s">
        <v>8</v>
      </c>
    </row>
    <row r="609" spans="1:547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KA609" s="27" t="s">
        <v>8</v>
      </c>
      <c r="KB609" s="27" t="s">
        <v>7</v>
      </c>
      <c r="KC609" s="27" t="s">
        <v>8</v>
      </c>
      <c r="KD609" s="27" t="s">
        <v>7</v>
      </c>
      <c r="KE609" s="27" t="s">
        <v>8</v>
      </c>
      <c r="KF609" s="27" t="s">
        <v>7</v>
      </c>
      <c r="KG609" s="27" t="s">
        <v>8</v>
      </c>
      <c r="KH609" s="27" t="s">
        <v>7</v>
      </c>
      <c r="MG609" s="27" t="s">
        <v>8</v>
      </c>
      <c r="MI609" s="27" t="s">
        <v>8</v>
      </c>
      <c r="MJ609" s="27" t="s">
        <v>7</v>
      </c>
      <c r="MM609" s="27" t="s">
        <v>8</v>
      </c>
      <c r="MN609" s="27" t="s">
        <v>7</v>
      </c>
      <c r="MO609" s="27" t="s">
        <v>8</v>
      </c>
      <c r="MP609" s="27" t="s">
        <v>7</v>
      </c>
      <c r="MR609" s="27" t="s">
        <v>7</v>
      </c>
      <c r="MS609" s="27" t="s">
        <v>8</v>
      </c>
      <c r="PZ609" s="27" t="s">
        <v>7</v>
      </c>
      <c r="QA609" s="27" t="s">
        <v>8</v>
      </c>
      <c r="TX609" s="27" t="s">
        <v>7</v>
      </c>
      <c r="TY609" s="27" t="s">
        <v>8</v>
      </c>
      <c r="TZ609" s="27" t="s">
        <v>7</v>
      </c>
      <c r="UA609" s="27" t="s">
        <v>8</v>
      </c>
    </row>
    <row r="610" spans="1:547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KA610" s="27" t="s">
        <v>8</v>
      </c>
      <c r="KB610" s="27" t="s">
        <v>7</v>
      </c>
      <c r="KC610" s="27" t="s">
        <v>8</v>
      </c>
      <c r="KD610" s="27" t="s">
        <v>7</v>
      </c>
      <c r="KE610" s="27" t="s">
        <v>8</v>
      </c>
      <c r="KF610" s="27" t="s">
        <v>7</v>
      </c>
      <c r="KG610" s="27" t="s">
        <v>8</v>
      </c>
      <c r="KH610" s="27" t="s">
        <v>7</v>
      </c>
      <c r="MG610" s="27" t="s">
        <v>8</v>
      </c>
      <c r="MH610" s="27" t="s">
        <v>7</v>
      </c>
      <c r="MI610" s="27" t="s">
        <v>8</v>
      </c>
      <c r="MJ610" s="27" t="s">
        <v>7</v>
      </c>
      <c r="MK610" s="27" t="s">
        <v>8</v>
      </c>
      <c r="MM610" s="27" t="s">
        <v>8</v>
      </c>
      <c r="MN610" s="27" t="s">
        <v>7</v>
      </c>
      <c r="MO610" s="27" t="s">
        <v>8</v>
      </c>
      <c r="MR610" s="27" t="s">
        <v>7</v>
      </c>
      <c r="PZ610" s="27" t="s">
        <v>7</v>
      </c>
      <c r="TX610" s="27" t="s">
        <v>7</v>
      </c>
      <c r="TY610" s="27" t="s">
        <v>8</v>
      </c>
      <c r="TZ610" s="27" t="s">
        <v>7</v>
      </c>
      <c r="UA610" s="27" t="s">
        <v>8</v>
      </c>
    </row>
    <row r="611" spans="1:547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KA611" s="27" t="s">
        <v>8</v>
      </c>
      <c r="KB611" s="27" t="s">
        <v>7</v>
      </c>
      <c r="KC611" s="27" t="s">
        <v>8</v>
      </c>
      <c r="KD611" s="27" t="s">
        <v>7</v>
      </c>
      <c r="KE611" s="27" t="s">
        <v>8</v>
      </c>
      <c r="KF611" s="27" t="s">
        <v>7</v>
      </c>
      <c r="KG611" s="27" t="s">
        <v>8</v>
      </c>
      <c r="KH611" s="27" t="s">
        <v>7</v>
      </c>
      <c r="MG611" s="27" t="s">
        <v>8</v>
      </c>
      <c r="MH611" s="27" t="s">
        <v>7</v>
      </c>
      <c r="MI611" s="27" t="s">
        <v>8</v>
      </c>
      <c r="MJ611" s="27" t="s">
        <v>7</v>
      </c>
      <c r="MK611" s="27" t="s">
        <v>8</v>
      </c>
      <c r="ML611" s="27" t="s">
        <v>7</v>
      </c>
      <c r="MM611" s="27" t="s">
        <v>8</v>
      </c>
      <c r="MN611" s="27" t="s">
        <v>7</v>
      </c>
      <c r="TX611" s="27" t="s">
        <v>7</v>
      </c>
      <c r="TZ611" s="27" t="s">
        <v>7</v>
      </c>
      <c r="UA611" s="27" t="s">
        <v>8</v>
      </c>
    </row>
    <row r="612" spans="1:547" x14ac:dyDescent="0.25">
      <c r="A612" s="7">
        <v>0.60953087052827937</v>
      </c>
      <c r="B612"/>
      <c r="C612"/>
      <c r="D612"/>
      <c r="E612"/>
      <c r="F612" s="27" t="s">
        <v>7</v>
      </c>
      <c r="H612" s="27" t="s">
        <v>7</v>
      </c>
      <c r="KA612" s="27" t="s">
        <v>8</v>
      </c>
      <c r="KB612" s="27" t="s">
        <v>7</v>
      </c>
      <c r="KC612" s="27" t="s">
        <v>8</v>
      </c>
      <c r="KD612" s="27" t="s">
        <v>7</v>
      </c>
      <c r="KE612" s="27" t="s">
        <v>8</v>
      </c>
      <c r="KF612" s="27" t="s">
        <v>7</v>
      </c>
      <c r="KG612" s="27" t="s">
        <v>8</v>
      </c>
      <c r="KH612" s="27" t="s">
        <v>7</v>
      </c>
      <c r="MG612" s="27" t="s">
        <v>8</v>
      </c>
      <c r="MH612" s="27" t="s">
        <v>7</v>
      </c>
      <c r="MI612" s="27" t="s">
        <v>8</v>
      </c>
      <c r="MJ612" s="27" t="s">
        <v>7</v>
      </c>
      <c r="MK612" s="27" t="s">
        <v>8</v>
      </c>
      <c r="ML612" s="27" t="s">
        <v>7</v>
      </c>
      <c r="MM612" s="27" t="s">
        <v>8</v>
      </c>
      <c r="TZ612" s="27" t="s">
        <v>7</v>
      </c>
      <c r="UA612" s="27" t="s">
        <v>8</v>
      </c>
    </row>
    <row r="613" spans="1:547" x14ac:dyDescent="0.25">
      <c r="A613" s="7">
        <v>0.59757928483164646</v>
      </c>
      <c r="B613"/>
      <c r="C613"/>
      <c r="D613"/>
      <c r="E613"/>
      <c r="H613" s="27" t="s">
        <v>7</v>
      </c>
      <c r="GM613" s="27" t="s">
        <v>8</v>
      </c>
      <c r="KA613" s="27" t="s">
        <v>8</v>
      </c>
      <c r="KB613" s="27" t="s">
        <v>7</v>
      </c>
      <c r="KD613" s="27" t="s">
        <v>7</v>
      </c>
      <c r="KE613" s="27" t="s">
        <v>8</v>
      </c>
      <c r="KF613" s="27" t="s">
        <v>7</v>
      </c>
      <c r="KG613" s="27" t="s">
        <v>8</v>
      </c>
      <c r="KH613" s="27" t="s">
        <v>7</v>
      </c>
      <c r="MG613" s="27" t="s">
        <v>8</v>
      </c>
      <c r="MH613" s="27" t="s">
        <v>7</v>
      </c>
      <c r="MI613" s="27" t="s">
        <v>8</v>
      </c>
      <c r="MJ613" s="27" t="s">
        <v>7</v>
      </c>
      <c r="MK613" s="27" t="s">
        <v>8</v>
      </c>
      <c r="ML613" s="27" t="s">
        <v>7</v>
      </c>
      <c r="MM613" s="27" t="s">
        <v>8</v>
      </c>
      <c r="TZ613" s="27" t="s">
        <v>7</v>
      </c>
    </row>
    <row r="614" spans="1:547" x14ac:dyDescent="0.25">
      <c r="A614" s="7">
        <v>0.58586204395259456</v>
      </c>
      <c r="B614"/>
      <c r="C614"/>
      <c r="D614"/>
      <c r="E614"/>
      <c r="H614" s="27" t="s">
        <v>7</v>
      </c>
      <c r="GM614" s="27" t="s">
        <v>8</v>
      </c>
      <c r="GN614" s="27" t="s">
        <v>7</v>
      </c>
      <c r="KA614" s="27" t="s">
        <v>8</v>
      </c>
      <c r="KD614" s="27" t="s">
        <v>7</v>
      </c>
      <c r="KE614" s="27" t="s">
        <v>8</v>
      </c>
      <c r="KF614" s="27" t="s">
        <v>7</v>
      </c>
      <c r="KG614" s="27" t="s">
        <v>8</v>
      </c>
      <c r="KH614" s="27" t="s">
        <v>7</v>
      </c>
      <c r="MG614" s="27" t="s">
        <v>8</v>
      </c>
      <c r="MH614" s="27" t="s">
        <v>7</v>
      </c>
      <c r="MI614" s="27" t="s">
        <v>8</v>
      </c>
      <c r="MJ614" s="27" t="s">
        <v>7</v>
      </c>
      <c r="MK614" s="27" t="s">
        <v>8</v>
      </c>
      <c r="ML614" s="27" t="s">
        <v>7</v>
      </c>
      <c r="MM614" s="27" t="s">
        <v>8</v>
      </c>
    </row>
    <row r="615" spans="1:547" x14ac:dyDescent="0.25">
      <c r="A615" s="7">
        <v>0.57437455289470052</v>
      </c>
      <c r="B615"/>
      <c r="C615"/>
      <c r="D615"/>
      <c r="E615"/>
      <c r="H615" s="27" t="s">
        <v>7</v>
      </c>
      <c r="GM615" s="27" t="s">
        <v>8</v>
      </c>
      <c r="GN615" s="27" t="s">
        <v>7</v>
      </c>
      <c r="KA615" s="27" t="s">
        <v>8</v>
      </c>
      <c r="KD615" s="27" t="s">
        <v>7</v>
      </c>
      <c r="KE615" s="27" t="s">
        <v>8</v>
      </c>
      <c r="KF615" s="27" t="s">
        <v>7</v>
      </c>
      <c r="KG615" s="27" t="s">
        <v>8</v>
      </c>
      <c r="KH615" s="27" t="s">
        <v>7</v>
      </c>
      <c r="MG615" s="27" t="s">
        <v>8</v>
      </c>
      <c r="MH615" s="27" t="s">
        <v>7</v>
      </c>
      <c r="MI615" s="27" t="s">
        <v>8</v>
      </c>
      <c r="MJ615" s="27" t="s">
        <v>7</v>
      </c>
      <c r="MK615" s="27" t="s">
        <v>8</v>
      </c>
      <c r="ML615" s="27" t="s">
        <v>7</v>
      </c>
      <c r="MM615" s="27" t="s">
        <v>8</v>
      </c>
    </row>
    <row r="616" spans="1:547" x14ac:dyDescent="0.25">
      <c r="A616" s="7">
        <v>0.56311230675951029</v>
      </c>
      <c r="B616"/>
      <c r="C616"/>
      <c r="D616"/>
      <c r="E616"/>
      <c r="H616" s="27" t="s">
        <v>7</v>
      </c>
      <c r="GM616" s="27" t="s">
        <v>8</v>
      </c>
      <c r="GN616" s="27" t="s">
        <v>7</v>
      </c>
      <c r="KA616" s="27" t="s">
        <v>8</v>
      </c>
      <c r="KD616" s="27" t="s">
        <v>7</v>
      </c>
      <c r="KE616" s="27" t="s">
        <v>8</v>
      </c>
      <c r="KF616" s="27" t="s">
        <v>7</v>
      </c>
      <c r="KH616" s="27" t="s">
        <v>7</v>
      </c>
      <c r="MG616" s="27" t="s">
        <v>8</v>
      </c>
      <c r="MH616" s="27" t="s">
        <v>7</v>
      </c>
      <c r="MI616" s="27" t="s">
        <v>8</v>
      </c>
      <c r="MJ616" s="27" t="s">
        <v>7</v>
      </c>
      <c r="MK616" s="27" t="s">
        <v>8</v>
      </c>
      <c r="ML616" s="27" t="s">
        <v>7</v>
      </c>
      <c r="MM616" s="27" t="s">
        <v>8</v>
      </c>
    </row>
    <row r="617" spans="1:547" x14ac:dyDescent="0.25">
      <c r="A617" s="7">
        <v>0.55207088897991208</v>
      </c>
      <c r="B617"/>
      <c r="C617"/>
      <c r="D617"/>
      <c r="E617"/>
      <c r="H617" s="27" t="s">
        <v>7</v>
      </c>
      <c r="GM617" s="27" t="s">
        <v>8</v>
      </c>
      <c r="GN617" s="27" t="s">
        <v>7</v>
      </c>
      <c r="JU617" s="27" t="s">
        <v>8</v>
      </c>
      <c r="JW617" s="27" t="s">
        <v>8</v>
      </c>
      <c r="KA617" s="27" t="s">
        <v>8</v>
      </c>
      <c r="KD617" s="27" t="s">
        <v>7</v>
      </c>
      <c r="KH617" s="27" t="s">
        <v>7</v>
      </c>
      <c r="MG617" s="27" t="s">
        <v>8</v>
      </c>
      <c r="MH617" s="27" t="s">
        <v>7</v>
      </c>
      <c r="MI617" s="27" t="s">
        <v>8</v>
      </c>
      <c r="MJ617" s="27" t="s">
        <v>7</v>
      </c>
      <c r="MK617" s="27" t="s">
        <v>8</v>
      </c>
      <c r="ML617" s="27" t="s">
        <v>7</v>
      </c>
      <c r="MM617" s="27" t="s">
        <v>8</v>
      </c>
    </row>
    <row r="618" spans="1:547" x14ac:dyDescent="0.25">
      <c r="A618" s="7">
        <v>0.54124596958814908</v>
      </c>
      <c r="B618"/>
      <c r="C618"/>
      <c r="D618"/>
      <c r="E618"/>
      <c r="H618" s="27" t="s">
        <v>7</v>
      </c>
      <c r="GM618" s="27" t="s">
        <v>8</v>
      </c>
      <c r="GN618" s="27" t="s">
        <v>7</v>
      </c>
      <c r="JU618" s="27" t="s">
        <v>8</v>
      </c>
      <c r="JV618" s="27" t="s">
        <v>7</v>
      </c>
      <c r="JW618" s="27" t="s">
        <v>8</v>
      </c>
      <c r="JX618" s="27" t="s">
        <v>7</v>
      </c>
      <c r="KA618" s="27" t="s">
        <v>8</v>
      </c>
      <c r="KH618" s="27" t="s">
        <v>7</v>
      </c>
      <c r="KO618" s="27" t="s">
        <v>8</v>
      </c>
      <c r="LO618" s="27" t="s">
        <v>8</v>
      </c>
      <c r="MG618" s="27" t="s">
        <v>8</v>
      </c>
      <c r="MH618" s="27" t="s">
        <v>7</v>
      </c>
      <c r="MI618" s="27" t="s">
        <v>8</v>
      </c>
      <c r="MJ618" s="27" t="s">
        <v>7</v>
      </c>
      <c r="MK618" s="27" t="s">
        <v>8</v>
      </c>
      <c r="ML618" s="27" t="s">
        <v>7</v>
      </c>
    </row>
    <row r="619" spans="1:547" x14ac:dyDescent="0.25">
      <c r="A619" s="7">
        <v>0.53063330351779314</v>
      </c>
      <c r="B619"/>
      <c r="C619"/>
      <c r="D619"/>
      <c r="E619"/>
      <c r="H619" s="27" t="s">
        <v>7</v>
      </c>
      <c r="GM619" s="27" t="s">
        <v>8</v>
      </c>
      <c r="GN619" s="27" t="s">
        <v>7</v>
      </c>
      <c r="JU619" s="27" t="s">
        <v>8</v>
      </c>
      <c r="JV619" s="27" t="s">
        <v>7</v>
      </c>
      <c r="JW619" s="27" t="s">
        <v>8</v>
      </c>
      <c r="JX619" s="27" t="s">
        <v>7</v>
      </c>
      <c r="KA619" s="27" t="s">
        <v>8</v>
      </c>
      <c r="KH619" s="27" t="s">
        <v>7</v>
      </c>
      <c r="KO619" s="27" t="s">
        <v>8</v>
      </c>
      <c r="KP619" s="27" t="s">
        <v>7</v>
      </c>
      <c r="LO619" s="27" t="s">
        <v>8</v>
      </c>
      <c r="LP619" s="27" t="s">
        <v>7</v>
      </c>
      <c r="MG619" s="27" t="s">
        <v>8</v>
      </c>
      <c r="MH619" s="27" t="s">
        <v>7</v>
      </c>
      <c r="MI619" s="27" t="s">
        <v>8</v>
      </c>
      <c r="MJ619" s="27" t="s">
        <v>7</v>
      </c>
    </row>
    <row r="620" spans="1:547" x14ac:dyDescent="0.25">
      <c r="A620" s="7">
        <v>0.52022872893901284</v>
      </c>
      <c r="B620"/>
      <c r="C620"/>
      <c r="D620"/>
      <c r="E620"/>
      <c r="H620" s="27" t="s">
        <v>7</v>
      </c>
      <c r="GM620" s="27" t="s">
        <v>8</v>
      </c>
      <c r="GN620" s="27" t="s">
        <v>7</v>
      </c>
      <c r="JU620" s="27" t="s">
        <v>8</v>
      </c>
      <c r="JV620" s="27" t="s">
        <v>7</v>
      </c>
      <c r="JW620" s="27" t="s">
        <v>8</v>
      </c>
      <c r="JX620" s="27" t="s">
        <v>7</v>
      </c>
      <c r="JY620" s="27" t="s">
        <v>8</v>
      </c>
      <c r="KA620" s="27" t="s">
        <v>8</v>
      </c>
      <c r="KH620" s="27" t="s">
        <v>7</v>
      </c>
      <c r="KO620" s="27" t="s">
        <v>8</v>
      </c>
      <c r="KP620" s="27" t="s">
        <v>7</v>
      </c>
      <c r="LO620" s="27" t="s">
        <v>8</v>
      </c>
      <c r="LP620" s="27" t="s">
        <v>7</v>
      </c>
      <c r="MG620" s="27" t="s">
        <v>8</v>
      </c>
      <c r="MH620" s="27" t="s">
        <v>7</v>
      </c>
    </row>
    <row r="621" spans="1:547" x14ac:dyDescent="0.25">
      <c r="A621" s="7">
        <v>0.51002816562648323</v>
      </c>
      <c r="B621"/>
      <c r="C621"/>
      <c r="D621"/>
      <c r="E621"/>
      <c r="H621" s="27" t="s">
        <v>7</v>
      </c>
      <c r="GM621" s="27" t="s">
        <v>8</v>
      </c>
      <c r="GN621" s="27" t="s">
        <v>7</v>
      </c>
      <c r="JU621" s="27" t="s">
        <v>8</v>
      </c>
      <c r="JV621" s="27" t="s">
        <v>7</v>
      </c>
      <c r="JW621" s="27" t="s">
        <v>8</v>
      </c>
      <c r="JX621" s="27" t="s">
        <v>7</v>
      </c>
      <c r="JY621" s="27" t="s">
        <v>8</v>
      </c>
      <c r="JZ621" s="27" t="s">
        <v>7</v>
      </c>
      <c r="KA621" s="27" t="s">
        <v>8</v>
      </c>
      <c r="KH621" s="27" t="s">
        <v>7</v>
      </c>
      <c r="KM621" s="27" t="s">
        <v>8</v>
      </c>
      <c r="KO621" s="27" t="s">
        <v>8</v>
      </c>
      <c r="KP621" s="27" t="s">
        <v>7</v>
      </c>
      <c r="LO621" s="27" t="s">
        <v>8</v>
      </c>
      <c r="LP621" s="27" t="s">
        <v>7</v>
      </c>
      <c r="MG621" s="27" t="s">
        <v>8</v>
      </c>
    </row>
    <row r="622" spans="1:547" x14ac:dyDescent="0.25">
      <c r="A622" s="7">
        <v>0.50002761335929735</v>
      </c>
      <c r="B622"/>
      <c r="C622"/>
      <c r="D622"/>
      <c r="E622"/>
      <c r="H622" s="27" t="s">
        <v>7</v>
      </c>
      <c r="GM622" s="27" t="s">
        <v>8</v>
      </c>
      <c r="GN622" s="27" t="s">
        <v>7</v>
      </c>
      <c r="JU622" s="27" t="s">
        <v>8</v>
      </c>
      <c r="JV622" s="27" t="s">
        <v>7</v>
      </c>
      <c r="JX622" s="27" t="s">
        <v>7</v>
      </c>
      <c r="JY622" s="27" t="s">
        <v>8</v>
      </c>
      <c r="JZ622" s="27" t="s">
        <v>7</v>
      </c>
      <c r="KA622" s="27" t="s">
        <v>8</v>
      </c>
      <c r="KH622" s="27" t="s">
        <v>7</v>
      </c>
      <c r="KM622" s="27" t="s">
        <v>8</v>
      </c>
      <c r="KN622" s="27" t="s">
        <v>7</v>
      </c>
      <c r="KO622" s="27" t="s">
        <v>8</v>
      </c>
      <c r="KP622" s="27" t="s">
        <v>7</v>
      </c>
      <c r="KQ622" s="27" t="s">
        <v>8</v>
      </c>
      <c r="LO622" s="27" t="s">
        <v>8</v>
      </c>
      <c r="LP622" s="27" t="s">
        <v>7</v>
      </c>
      <c r="MG622" s="27" t="s">
        <v>8</v>
      </c>
    </row>
    <row r="623" spans="1:547" x14ac:dyDescent="0.25">
      <c r="A623" s="7">
        <v>0.49022315035225228</v>
      </c>
      <c r="B623"/>
      <c r="C623"/>
      <c r="D623"/>
      <c r="E623"/>
      <c r="H623" s="27" t="s">
        <v>7</v>
      </c>
      <c r="GM623" s="27" t="s">
        <v>8</v>
      </c>
      <c r="GN623" s="27" t="s">
        <v>7</v>
      </c>
      <c r="JU623" s="27" t="s">
        <v>8</v>
      </c>
      <c r="JX623" s="27" t="s">
        <v>7</v>
      </c>
      <c r="JY623" s="27" t="s">
        <v>8</v>
      </c>
      <c r="JZ623" s="27" t="s">
        <v>7</v>
      </c>
      <c r="KA623" s="27" t="s">
        <v>8</v>
      </c>
      <c r="KH623" s="27" t="s">
        <v>7</v>
      </c>
      <c r="KM623" s="27" t="s">
        <v>8</v>
      </c>
      <c r="KN623" s="27" t="s">
        <v>7</v>
      </c>
      <c r="KO623" s="27" t="s">
        <v>8</v>
      </c>
      <c r="KP623" s="27" t="s">
        <v>7</v>
      </c>
      <c r="KQ623" s="27" t="s">
        <v>8</v>
      </c>
      <c r="KR623" s="27" t="s">
        <v>7</v>
      </c>
      <c r="LO623" s="27" t="s">
        <v>8</v>
      </c>
      <c r="LP623" s="27" t="s">
        <v>7</v>
      </c>
      <c r="ME623" s="27" t="s">
        <v>8</v>
      </c>
      <c r="MG623" s="27" t="s">
        <v>8</v>
      </c>
    </row>
    <row r="624" spans="1:547" x14ac:dyDescent="0.25">
      <c r="A624" s="7">
        <v>0.48061093171789437</v>
      </c>
      <c r="B624"/>
      <c r="C624"/>
      <c r="D624"/>
      <c r="E624"/>
      <c r="H624" s="27" t="s">
        <v>7</v>
      </c>
      <c r="GM624" s="27" t="s">
        <v>8</v>
      </c>
      <c r="GN624" s="27" t="s">
        <v>7</v>
      </c>
      <c r="GO624" s="27" t="s">
        <v>8</v>
      </c>
      <c r="JU624" s="27" t="s">
        <v>8</v>
      </c>
      <c r="JX624" s="27" t="s">
        <v>7</v>
      </c>
      <c r="JY624" s="27" t="s">
        <v>8</v>
      </c>
      <c r="JZ624" s="27" t="s">
        <v>7</v>
      </c>
      <c r="KA624" s="27" t="s">
        <v>8</v>
      </c>
      <c r="KH624" s="27" t="s">
        <v>7</v>
      </c>
      <c r="KM624" s="27" t="s">
        <v>8</v>
      </c>
      <c r="KN624" s="27" t="s">
        <v>7</v>
      </c>
      <c r="KO624" s="27" t="s">
        <v>8</v>
      </c>
      <c r="KP624" s="27" t="s">
        <v>7</v>
      </c>
      <c r="KQ624" s="27" t="s">
        <v>8</v>
      </c>
      <c r="KR624" s="27" t="s">
        <v>7</v>
      </c>
      <c r="LO624" s="27" t="s">
        <v>8</v>
      </c>
      <c r="LP624" s="27" t="s">
        <v>7</v>
      </c>
      <c r="ME624" s="27" t="s">
        <v>8</v>
      </c>
      <c r="MF624" s="27" t="s">
        <v>7</v>
      </c>
      <c r="MG624" s="27" t="s">
        <v>8</v>
      </c>
    </row>
    <row r="625" spans="1:345" x14ac:dyDescent="0.25">
      <c r="A625" s="7">
        <v>0.47118718795871994</v>
      </c>
      <c r="B625"/>
      <c r="C625"/>
      <c r="D625"/>
      <c r="E625"/>
      <c r="H625" s="27" t="s">
        <v>7</v>
      </c>
      <c r="GM625" s="27" t="s">
        <v>8</v>
      </c>
      <c r="GN625" s="27" t="s">
        <v>7</v>
      </c>
      <c r="GO625" s="27" t="s">
        <v>8</v>
      </c>
      <c r="GP625" s="27" t="s">
        <v>7</v>
      </c>
      <c r="JU625" s="27" t="s">
        <v>8</v>
      </c>
      <c r="JX625" s="27" t="s">
        <v>7</v>
      </c>
      <c r="JZ625" s="27" t="s">
        <v>7</v>
      </c>
      <c r="KA625" s="27" t="s">
        <v>8</v>
      </c>
      <c r="KH625" s="27" t="s">
        <v>7</v>
      </c>
      <c r="KM625" s="27" t="s">
        <v>8</v>
      </c>
      <c r="KN625" s="27" t="s">
        <v>7</v>
      </c>
      <c r="KP625" s="27" t="s">
        <v>7</v>
      </c>
      <c r="KQ625" s="27" t="s">
        <v>8</v>
      </c>
      <c r="KR625" s="27" t="s">
        <v>7</v>
      </c>
      <c r="LO625" s="27" t="s">
        <v>8</v>
      </c>
      <c r="LP625" s="27" t="s">
        <v>7</v>
      </c>
      <c r="LS625" s="27" t="s">
        <v>8</v>
      </c>
      <c r="ME625" s="27" t="s">
        <v>8</v>
      </c>
      <c r="MF625" s="27" t="s">
        <v>7</v>
      </c>
      <c r="MG625" s="27" t="s">
        <v>8</v>
      </c>
    </row>
    <row r="626" spans="1:345" x14ac:dyDescent="0.25">
      <c r="A626" s="7">
        <v>0.46194822348894116</v>
      </c>
      <c r="B626"/>
      <c r="C626"/>
      <c r="D626"/>
      <c r="E626"/>
      <c r="H626" s="27" t="s">
        <v>7</v>
      </c>
      <c r="BW626" s="27" t="s">
        <v>8</v>
      </c>
      <c r="GM626" s="27" t="s">
        <v>8</v>
      </c>
      <c r="GN626" s="27" t="s">
        <v>7</v>
      </c>
      <c r="GO626" s="27" t="s">
        <v>8</v>
      </c>
      <c r="GP626" s="27" t="s">
        <v>7</v>
      </c>
      <c r="JS626" s="27" t="s">
        <v>8</v>
      </c>
      <c r="JU626" s="27" t="s">
        <v>8</v>
      </c>
      <c r="JZ626" s="27" t="s">
        <v>7</v>
      </c>
      <c r="KA626" s="27" t="s">
        <v>8</v>
      </c>
      <c r="KH626" s="27" t="s">
        <v>7</v>
      </c>
      <c r="KM626" s="27" t="s">
        <v>8</v>
      </c>
      <c r="KP626" s="27" t="s">
        <v>7</v>
      </c>
      <c r="KR626" s="27" t="s">
        <v>7</v>
      </c>
      <c r="LO626" s="27" t="s">
        <v>8</v>
      </c>
      <c r="LP626" s="27" t="s">
        <v>7</v>
      </c>
      <c r="LS626" s="27" t="s">
        <v>8</v>
      </c>
      <c r="LT626" s="27" t="s">
        <v>7</v>
      </c>
      <c r="ME626" s="27" t="s">
        <v>8</v>
      </c>
      <c r="MF626" s="27" t="s">
        <v>7</v>
      </c>
      <c r="MG626" s="27" t="s">
        <v>8</v>
      </c>
    </row>
    <row r="627" spans="1:345" x14ac:dyDescent="0.25">
      <c r="A627" s="7">
        <v>0.45289041518523643</v>
      </c>
      <c r="B627"/>
      <c r="C627"/>
      <c r="D627"/>
      <c r="E627"/>
      <c r="H627" s="27" t="s">
        <v>7</v>
      </c>
      <c r="I627" s="27" t="s">
        <v>8</v>
      </c>
      <c r="BW627" s="27" t="s">
        <v>8</v>
      </c>
      <c r="BX627" s="27" t="s">
        <v>7</v>
      </c>
      <c r="CY627" s="27" t="s">
        <v>8</v>
      </c>
      <c r="GM627" s="27" t="s">
        <v>8</v>
      </c>
      <c r="GN627" s="27" t="s">
        <v>7</v>
      </c>
      <c r="GO627" s="27" t="s">
        <v>8</v>
      </c>
      <c r="GP627" s="27" t="s">
        <v>7</v>
      </c>
      <c r="GQ627" s="27" t="s">
        <v>8</v>
      </c>
      <c r="JS627" s="27" t="s">
        <v>8</v>
      </c>
      <c r="JT627" s="27" t="s">
        <v>7</v>
      </c>
      <c r="JU627" s="27" t="s">
        <v>8</v>
      </c>
      <c r="JZ627" s="27" t="s">
        <v>7</v>
      </c>
      <c r="KA627" s="27" t="s">
        <v>8</v>
      </c>
      <c r="KH627" s="27" t="s">
        <v>7</v>
      </c>
      <c r="KM627" s="27" t="s">
        <v>8</v>
      </c>
      <c r="KR627" s="27" t="s">
        <v>7</v>
      </c>
      <c r="LO627" s="27" t="s">
        <v>8</v>
      </c>
      <c r="LP627" s="27" t="s">
        <v>7</v>
      </c>
      <c r="LS627" s="27" t="s">
        <v>8</v>
      </c>
      <c r="LT627" s="27" t="s">
        <v>7</v>
      </c>
      <c r="MA627" s="27" t="s">
        <v>8</v>
      </c>
      <c r="MC627" s="27" t="s">
        <v>8</v>
      </c>
      <c r="ME627" s="27" t="s">
        <v>8</v>
      </c>
      <c r="MF627" s="27" t="s">
        <v>7</v>
      </c>
      <c r="MG627" s="27" t="s">
        <v>8</v>
      </c>
    </row>
    <row r="628" spans="1:345" x14ac:dyDescent="0.25">
      <c r="A628" s="7">
        <v>0.44401021096591808</v>
      </c>
      <c r="B628"/>
      <c r="C628"/>
      <c r="D628"/>
      <c r="E628"/>
      <c r="H628" s="27" t="s">
        <v>7</v>
      </c>
      <c r="I628" s="27" t="s">
        <v>8</v>
      </c>
      <c r="J628" s="27" t="s">
        <v>7</v>
      </c>
      <c r="BW628" s="27" t="s">
        <v>8</v>
      </c>
      <c r="BX628" s="27" t="s">
        <v>7</v>
      </c>
      <c r="CW628" s="27" t="s">
        <v>8</v>
      </c>
      <c r="CY628" s="27" t="s">
        <v>8</v>
      </c>
      <c r="CZ628" s="27" t="s">
        <v>7</v>
      </c>
      <c r="GM628" s="27" t="s">
        <v>8</v>
      </c>
      <c r="GN628" s="27" t="s">
        <v>7</v>
      </c>
      <c r="GO628" s="27" t="s">
        <v>8</v>
      </c>
      <c r="GP628" s="27" t="s">
        <v>7</v>
      </c>
      <c r="GQ628" s="27" t="s">
        <v>8</v>
      </c>
      <c r="GR628" s="27" t="s">
        <v>7</v>
      </c>
      <c r="GS628" s="27" t="s">
        <v>8</v>
      </c>
      <c r="JS628" s="27" t="s">
        <v>8</v>
      </c>
      <c r="JT628" s="27" t="s">
        <v>7</v>
      </c>
      <c r="JU628" s="27" t="s">
        <v>8</v>
      </c>
      <c r="JZ628" s="27" t="s">
        <v>7</v>
      </c>
      <c r="KH628" s="27" t="s">
        <v>7</v>
      </c>
      <c r="KI628" s="27" t="s">
        <v>8</v>
      </c>
      <c r="KM628" s="27" t="s">
        <v>8</v>
      </c>
      <c r="KR628" s="27" t="s">
        <v>7</v>
      </c>
      <c r="KW628" s="27" t="s">
        <v>8</v>
      </c>
      <c r="LO628" s="27" t="s">
        <v>8</v>
      </c>
      <c r="LP628" s="27" t="s">
        <v>7</v>
      </c>
      <c r="LS628" s="27" t="s">
        <v>8</v>
      </c>
      <c r="LT628" s="27" t="s">
        <v>7</v>
      </c>
      <c r="LU628" s="27" t="s">
        <v>8</v>
      </c>
      <c r="MA628" s="27" t="s">
        <v>8</v>
      </c>
      <c r="MB628" s="27" t="s">
        <v>7</v>
      </c>
      <c r="MC628" s="27" t="s">
        <v>8</v>
      </c>
      <c r="MD628" s="27" t="s">
        <v>7</v>
      </c>
      <c r="ME628" s="27" t="s">
        <v>8</v>
      </c>
      <c r="MF628" s="27" t="s">
        <v>7</v>
      </c>
      <c r="MG628" s="27" t="s">
        <v>8</v>
      </c>
    </row>
    <row r="629" spans="1:345" x14ac:dyDescent="0.25">
      <c r="A629" s="7">
        <v>0.4353041283979589</v>
      </c>
      <c r="B629"/>
      <c r="C629"/>
      <c r="D629"/>
      <c r="E629"/>
      <c r="H629" s="27" t="s">
        <v>7</v>
      </c>
      <c r="I629" s="27" t="s">
        <v>8</v>
      </c>
      <c r="J629" s="27" t="s">
        <v>7</v>
      </c>
      <c r="BU629" s="27" t="s">
        <v>8</v>
      </c>
      <c r="BW629" s="27" t="s">
        <v>8</v>
      </c>
      <c r="BX629" s="27" t="s">
        <v>7</v>
      </c>
      <c r="CW629" s="27" t="s">
        <v>8</v>
      </c>
      <c r="CX629" s="27" t="s">
        <v>7</v>
      </c>
      <c r="CY629" s="27" t="s">
        <v>8</v>
      </c>
      <c r="CZ629" s="27" t="s">
        <v>7</v>
      </c>
      <c r="GM629" s="27" t="s">
        <v>8</v>
      </c>
      <c r="GN629" s="27" t="s">
        <v>7</v>
      </c>
      <c r="GO629" s="27" t="s">
        <v>8</v>
      </c>
      <c r="GP629" s="27" t="s">
        <v>7</v>
      </c>
      <c r="GQ629" s="27" t="s">
        <v>8</v>
      </c>
      <c r="GR629" s="27" t="s">
        <v>7</v>
      </c>
      <c r="GS629" s="27" t="s">
        <v>8</v>
      </c>
      <c r="GT629" s="27" t="s">
        <v>7</v>
      </c>
      <c r="GW629" s="27" t="s">
        <v>8</v>
      </c>
      <c r="GY629" s="27" t="s">
        <v>8</v>
      </c>
      <c r="JI629" s="27" t="s">
        <v>8</v>
      </c>
      <c r="JS629" s="27" t="s">
        <v>8</v>
      </c>
      <c r="JT629" s="27" t="s">
        <v>7</v>
      </c>
      <c r="JU629" s="27" t="s">
        <v>8</v>
      </c>
      <c r="KH629" s="27" t="s">
        <v>7</v>
      </c>
      <c r="KI629" s="27" t="s">
        <v>8</v>
      </c>
      <c r="KJ629" s="27" t="s">
        <v>7</v>
      </c>
      <c r="KM629" s="27" t="s">
        <v>8</v>
      </c>
      <c r="KR629" s="27" t="s">
        <v>7</v>
      </c>
      <c r="KW629" s="27" t="s">
        <v>8</v>
      </c>
      <c r="KX629" s="27" t="s">
        <v>7</v>
      </c>
      <c r="LO629" s="27" t="s">
        <v>8</v>
      </c>
      <c r="LP629" s="27" t="s">
        <v>7</v>
      </c>
      <c r="LS629" s="27" t="s">
        <v>8</v>
      </c>
      <c r="LT629" s="27" t="s">
        <v>7</v>
      </c>
      <c r="LU629" s="27" t="s">
        <v>8</v>
      </c>
      <c r="LV629" s="27" t="s">
        <v>7</v>
      </c>
      <c r="MA629" s="27" t="s">
        <v>8</v>
      </c>
      <c r="MB629" s="27" t="s">
        <v>7</v>
      </c>
      <c r="MC629" s="27" t="s">
        <v>8</v>
      </c>
      <c r="MD629" s="27" t="s">
        <v>7</v>
      </c>
      <c r="ME629" s="27" t="s">
        <v>8</v>
      </c>
      <c r="MF629" s="27" t="s">
        <v>7</v>
      </c>
      <c r="MG629" s="27" t="s">
        <v>8</v>
      </c>
    </row>
    <row r="630" spans="1:345" x14ac:dyDescent="0.25">
      <c r="A630" s="7">
        <v>0.4267687533313323</v>
      </c>
      <c r="B630"/>
      <c r="C630"/>
      <c r="D630"/>
      <c r="E630"/>
      <c r="H630" s="27" t="s">
        <v>7</v>
      </c>
      <c r="I630" s="27" t="s">
        <v>8</v>
      </c>
      <c r="J630" s="27" t="s">
        <v>7</v>
      </c>
      <c r="BU630" s="27" t="s">
        <v>8</v>
      </c>
      <c r="BV630" s="27" t="s">
        <v>7</v>
      </c>
      <c r="BW630" s="27" t="s">
        <v>8</v>
      </c>
      <c r="BX630" s="27" t="s">
        <v>7</v>
      </c>
      <c r="CM630" s="27" t="s">
        <v>8</v>
      </c>
      <c r="CQ630" s="27" t="s">
        <v>8</v>
      </c>
      <c r="CW630" s="27" t="s">
        <v>8</v>
      </c>
      <c r="CX630" s="27" t="s">
        <v>7</v>
      </c>
      <c r="CY630" s="27" t="s">
        <v>8</v>
      </c>
      <c r="CZ630" s="27" t="s">
        <v>7</v>
      </c>
      <c r="GM630" s="27" t="s">
        <v>8</v>
      </c>
      <c r="GN630" s="27" t="s">
        <v>7</v>
      </c>
      <c r="GO630" s="27" t="s">
        <v>8</v>
      </c>
      <c r="GP630" s="27" t="s">
        <v>7</v>
      </c>
      <c r="GQ630" s="27" t="s">
        <v>8</v>
      </c>
      <c r="GR630" s="27" t="s">
        <v>7</v>
      </c>
      <c r="GS630" s="27" t="s">
        <v>8</v>
      </c>
      <c r="GT630" s="27" t="s">
        <v>7</v>
      </c>
      <c r="GW630" s="27" t="s">
        <v>8</v>
      </c>
      <c r="GX630" s="27" t="s">
        <v>7</v>
      </c>
      <c r="GY630" s="27" t="s">
        <v>8</v>
      </c>
      <c r="GZ630" s="27" t="s">
        <v>7</v>
      </c>
      <c r="JI630" s="27" t="s">
        <v>8</v>
      </c>
      <c r="JJ630" s="27" t="s">
        <v>7</v>
      </c>
      <c r="JM630" s="27" t="s">
        <v>8</v>
      </c>
      <c r="JO630" s="27" t="s">
        <v>8</v>
      </c>
      <c r="JS630" s="27" t="s">
        <v>8</v>
      </c>
      <c r="JT630" s="27" t="s">
        <v>7</v>
      </c>
      <c r="JU630" s="27" t="s">
        <v>8</v>
      </c>
      <c r="KH630" s="27" t="s">
        <v>7</v>
      </c>
      <c r="KI630" s="27" t="s">
        <v>8</v>
      </c>
      <c r="KJ630" s="27" t="s">
        <v>7</v>
      </c>
      <c r="KK630" s="27" t="s">
        <v>8</v>
      </c>
      <c r="KM630" s="27" t="s">
        <v>8</v>
      </c>
      <c r="KR630" s="27" t="s">
        <v>7</v>
      </c>
      <c r="KS630" s="27" t="s">
        <v>8</v>
      </c>
      <c r="KU630" s="27" t="s">
        <v>8</v>
      </c>
      <c r="KW630" s="27" t="s">
        <v>8</v>
      </c>
      <c r="KX630" s="27" t="s">
        <v>7</v>
      </c>
      <c r="LA630" s="27" t="s">
        <v>8</v>
      </c>
      <c r="LO630" s="27" t="s">
        <v>8</v>
      </c>
      <c r="LP630" s="27" t="s">
        <v>7</v>
      </c>
      <c r="LQ630" s="27" t="s">
        <v>8</v>
      </c>
      <c r="LS630" s="27" t="s">
        <v>8</v>
      </c>
      <c r="LT630" s="27" t="s">
        <v>7</v>
      </c>
      <c r="LU630" s="27" t="s">
        <v>8</v>
      </c>
      <c r="LV630" s="27" t="s">
        <v>7</v>
      </c>
      <c r="LW630" s="27" t="s">
        <v>8</v>
      </c>
      <c r="MA630" s="27" t="s">
        <v>8</v>
      </c>
      <c r="MB630" s="27" t="s">
        <v>7</v>
      </c>
      <c r="MC630" s="27" t="s">
        <v>8</v>
      </c>
      <c r="MD630" s="27" t="s">
        <v>7</v>
      </c>
      <c r="ME630" s="27" t="s">
        <v>8</v>
      </c>
      <c r="MF630" s="27" t="s">
        <v>7</v>
      </c>
    </row>
    <row r="631" spans="1:345" x14ac:dyDescent="0.25">
      <c r="A631" s="7">
        <v>0.41840073856012971</v>
      </c>
      <c r="B631"/>
      <c r="C631"/>
      <c r="D631"/>
      <c r="E631"/>
      <c r="H631" s="27" t="s">
        <v>7</v>
      </c>
      <c r="I631" s="27" t="s">
        <v>8</v>
      </c>
      <c r="J631" s="27" t="s">
        <v>7</v>
      </c>
      <c r="BU631" s="27" t="s">
        <v>8</v>
      </c>
      <c r="BV631" s="27" t="s">
        <v>7</v>
      </c>
      <c r="BW631" s="27" t="s">
        <v>8</v>
      </c>
      <c r="BX631" s="27" t="s">
        <v>7</v>
      </c>
      <c r="CC631" s="27" t="s">
        <v>8</v>
      </c>
      <c r="CM631" s="27" t="s">
        <v>8</v>
      </c>
      <c r="CN631" s="27" t="s">
        <v>7</v>
      </c>
      <c r="CQ631" s="27" t="s">
        <v>8</v>
      </c>
      <c r="CR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GM631" s="27" t="s">
        <v>8</v>
      </c>
      <c r="GN631" s="27" t="s">
        <v>7</v>
      </c>
      <c r="GO631" s="27" t="s">
        <v>8</v>
      </c>
      <c r="GP631" s="27" t="s">
        <v>7</v>
      </c>
      <c r="GQ631" s="27" t="s">
        <v>8</v>
      </c>
      <c r="GR631" s="27" t="s">
        <v>7</v>
      </c>
      <c r="GS631" s="27" t="s">
        <v>8</v>
      </c>
      <c r="GT631" s="27" t="s">
        <v>7</v>
      </c>
      <c r="GU631" s="27" t="s">
        <v>8</v>
      </c>
      <c r="GW631" s="27" t="s">
        <v>8</v>
      </c>
      <c r="GX631" s="27" t="s">
        <v>7</v>
      </c>
      <c r="GY631" s="27" t="s">
        <v>8</v>
      </c>
      <c r="GZ631" s="27" t="s">
        <v>7</v>
      </c>
      <c r="HI631" s="27" t="s">
        <v>8</v>
      </c>
      <c r="JI631" s="27" t="s">
        <v>8</v>
      </c>
      <c r="JJ631" s="27" t="s">
        <v>7</v>
      </c>
      <c r="JK631" s="27" t="s">
        <v>8</v>
      </c>
      <c r="JM631" s="27" t="s">
        <v>8</v>
      </c>
      <c r="JN631" s="27" t="s">
        <v>7</v>
      </c>
      <c r="JO631" s="27" t="s">
        <v>8</v>
      </c>
      <c r="JP631" s="27" t="s">
        <v>7</v>
      </c>
      <c r="JS631" s="27" t="s">
        <v>8</v>
      </c>
      <c r="JT631" s="27" t="s">
        <v>7</v>
      </c>
      <c r="JU631" s="27" t="s">
        <v>8</v>
      </c>
      <c r="KH631" s="27" t="s">
        <v>7</v>
      </c>
      <c r="KI631" s="27" t="s">
        <v>8</v>
      </c>
      <c r="KJ631" s="27" t="s">
        <v>7</v>
      </c>
      <c r="KK631" s="27" t="s">
        <v>8</v>
      </c>
      <c r="KL631" s="27" t="s">
        <v>7</v>
      </c>
      <c r="KM631" s="27" t="s">
        <v>8</v>
      </c>
      <c r="KR631" s="27" t="s">
        <v>7</v>
      </c>
      <c r="KS631" s="27" t="s">
        <v>8</v>
      </c>
      <c r="KT631" s="27" t="s">
        <v>7</v>
      </c>
      <c r="KU631" s="27" t="s">
        <v>8</v>
      </c>
      <c r="KV631" s="27" t="s">
        <v>7</v>
      </c>
      <c r="KW631" s="27" t="s">
        <v>8</v>
      </c>
      <c r="KX631" s="27" t="s">
        <v>7</v>
      </c>
      <c r="LA631" s="27" t="s">
        <v>8</v>
      </c>
      <c r="LB631" s="27" t="s">
        <v>7</v>
      </c>
      <c r="LO631" s="27" t="s">
        <v>8</v>
      </c>
      <c r="LP631" s="27" t="s">
        <v>7</v>
      </c>
      <c r="LQ631" s="27" t="s">
        <v>8</v>
      </c>
      <c r="LR631" s="27" t="s">
        <v>7</v>
      </c>
      <c r="LS631" s="27" t="s">
        <v>8</v>
      </c>
      <c r="LT631" s="27" t="s">
        <v>7</v>
      </c>
      <c r="LU631" s="27" t="s">
        <v>8</v>
      </c>
      <c r="LV631" s="27" t="s">
        <v>7</v>
      </c>
      <c r="LW631" s="27" t="s">
        <v>8</v>
      </c>
      <c r="LX631" s="27" t="s">
        <v>7</v>
      </c>
      <c r="LY631" s="27" t="s">
        <v>8</v>
      </c>
      <c r="MA631" s="27" t="s">
        <v>8</v>
      </c>
      <c r="MB631" s="27" t="s">
        <v>7</v>
      </c>
      <c r="MC631" s="27" t="s">
        <v>8</v>
      </c>
      <c r="MD631" s="27" t="s">
        <v>7</v>
      </c>
      <c r="ME631" s="27" t="s">
        <v>8</v>
      </c>
    </row>
    <row r="632" spans="1:345" x14ac:dyDescent="0.25">
      <c r="A632" s="7">
        <v>0.41019680250993112</v>
      </c>
      <c r="B632"/>
      <c r="C632"/>
      <c r="D632"/>
      <c r="E632"/>
      <c r="H632" s="27" t="s">
        <v>7</v>
      </c>
      <c r="I632" s="27" t="s">
        <v>8</v>
      </c>
      <c r="J632" s="27" t="s">
        <v>7</v>
      </c>
      <c r="BU632" s="27" t="s">
        <v>8</v>
      </c>
      <c r="BV632" s="27" t="s">
        <v>7</v>
      </c>
      <c r="BW632" s="27" t="s">
        <v>8</v>
      </c>
      <c r="BX632" s="27" t="s">
        <v>7</v>
      </c>
      <c r="CC632" s="27" t="s">
        <v>8</v>
      </c>
      <c r="CD632" s="27" t="s">
        <v>7</v>
      </c>
      <c r="CM632" s="27" t="s">
        <v>8</v>
      </c>
      <c r="CN632" s="27" t="s">
        <v>7</v>
      </c>
      <c r="CQ632" s="27" t="s">
        <v>8</v>
      </c>
      <c r="CR632" s="27" t="s">
        <v>7</v>
      </c>
      <c r="CW632" s="27" t="s">
        <v>8</v>
      </c>
      <c r="CX632" s="27" t="s">
        <v>7</v>
      </c>
      <c r="CY632" s="27" t="s">
        <v>8</v>
      </c>
      <c r="CZ632" s="27" t="s">
        <v>7</v>
      </c>
      <c r="GM632" s="27" t="s">
        <v>8</v>
      </c>
      <c r="GN632" s="27" t="s">
        <v>7</v>
      </c>
      <c r="GP632" s="27" t="s">
        <v>7</v>
      </c>
      <c r="GQ632" s="27" t="s">
        <v>8</v>
      </c>
      <c r="GR632" s="27" t="s">
        <v>7</v>
      </c>
      <c r="GS632" s="27" t="s">
        <v>8</v>
      </c>
      <c r="GT632" s="27" t="s">
        <v>7</v>
      </c>
      <c r="GU632" s="27" t="s">
        <v>8</v>
      </c>
      <c r="GV632" s="27" t="s">
        <v>7</v>
      </c>
      <c r="GW632" s="27" t="s">
        <v>8</v>
      </c>
      <c r="GX632" s="27" t="s">
        <v>7</v>
      </c>
      <c r="GY632" s="27" t="s">
        <v>8</v>
      </c>
      <c r="GZ632" s="27" t="s">
        <v>7</v>
      </c>
      <c r="HA632" s="27" t="s">
        <v>8</v>
      </c>
      <c r="HI632" s="27" t="s">
        <v>8</v>
      </c>
      <c r="HJ632" s="27" t="s">
        <v>7</v>
      </c>
      <c r="JG632" s="27" t="s">
        <v>8</v>
      </c>
      <c r="JI632" s="27" t="s">
        <v>8</v>
      </c>
      <c r="JJ632" s="27" t="s">
        <v>7</v>
      </c>
      <c r="JK632" s="27" t="s">
        <v>8</v>
      </c>
      <c r="JL632" s="27" t="s">
        <v>7</v>
      </c>
      <c r="JM632" s="27" t="s">
        <v>8</v>
      </c>
      <c r="JN632" s="27" t="s">
        <v>7</v>
      </c>
      <c r="JO632" s="27" t="s">
        <v>8</v>
      </c>
      <c r="JP632" s="27" t="s">
        <v>7</v>
      </c>
      <c r="JS632" s="27" t="s">
        <v>8</v>
      </c>
      <c r="JT632" s="27" t="s">
        <v>7</v>
      </c>
      <c r="JU632" s="27" t="s">
        <v>8</v>
      </c>
      <c r="KH632" s="27" t="s">
        <v>7</v>
      </c>
      <c r="KI632" s="27" t="s">
        <v>8</v>
      </c>
      <c r="KJ632" s="27" t="s">
        <v>7</v>
      </c>
      <c r="KK632" s="27" t="s">
        <v>8</v>
      </c>
      <c r="KL632" s="27" t="s">
        <v>7</v>
      </c>
      <c r="KM632" s="27" t="s">
        <v>8</v>
      </c>
      <c r="KR632" s="27" t="s">
        <v>7</v>
      </c>
      <c r="KS632" s="27" t="s">
        <v>8</v>
      </c>
      <c r="KT632" s="27" t="s">
        <v>7</v>
      </c>
      <c r="KU632" s="27" t="s">
        <v>8</v>
      </c>
      <c r="KV632" s="27" t="s">
        <v>7</v>
      </c>
      <c r="KW632" s="27" t="s">
        <v>8</v>
      </c>
      <c r="KX632" s="27" t="s">
        <v>7</v>
      </c>
      <c r="LA632" s="27" t="s">
        <v>8</v>
      </c>
      <c r="LB632" s="27" t="s">
        <v>7</v>
      </c>
      <c r="LO632" s="27" t="s">
        <v>8</v>
      </c>
      <c r="LP632" s="27" t="s">
        <v>7</v>
      </c>
      <c r="LQ632" s="27" t="s">
        <v>8</v>
      </c>
      <c r="LR632" s="27" t="s">
        <v>7</v>
      </c>
      <c r="LS632" s="27" t="s">
        <v>8</v>
      </c>
      <c r="LT632" s="27" t="s">
        <v>7</v>
      </c>
      <c r="LV632" s="27" t="s">
        <v>7</v>
      </c>
      <c r="LW632" s="27" t="s">
        <v>8</v>
      </c>
      <c r="LX632" s="27" t="s">
        <v>7</v>
      </c>
      <c r="LY632" s="27" t="s">
        <v>8</v>
      </c>
      <c r="LZ632" s="27" t="s">
        <v>7</v>
      </c>
      <c r="MA632" s="27" t="s">
        <v>8</v>
      </c>
      <c r="MB632" s="27" t="s">
        <v>7</v>
      </c>
      <c r="MC632" s="27" t="s">
        <v>8</v>
      </c>
      <c r="MD632" s="27" t="s">
        <v>7</v>
      </c>
      <c r="ME632" s="27" t="s">
        <v>8</v>
      </c>
    </row>
    <row r="633" spans="1:345" x14ac:dyDescent="0.25">
      <c r="A633" s="7">
        <v>0.40215372795091286</v>
      </c>
      <c r="B633"/>
      <c r="C633"/>
      <c r="D633"/>
      <c r="E633"/>
      <c r="H633" s="27" t="s">
        <v>7</v>
      </c>
      <c r="J633" s="27" t="s">
        <v>7</v>
      </c>
      <c r="BU633" s="27" t="s">
        <v>8</v>
      </c>
      <c r="BV633" s="27" t="s">
        <v>7</v>
      </c>
      <c r="BW633" s="27" t="s">
        <v>8</v>
      </c>
      <c r="BX633" s="27" t="s">
        <v>7</v>
      </c>
      <c r="CC633" s="27" t="s">
        <v>8</v>
      </c>
      <c r="CD633" s="27" t="s">
        <v>7</v>
      </c>
      <c r="CE633" s="27" t="s">
        <v>8</v>
      </c>
      <c r="CM633" s="27" t="s">
        <v>8</v>
      </c>
      <c r="CN633" s="27" t="s">
        <v>7</v>
      </c>
      <c r="CQ633" s="27" t="s">
        <v>8</v>
      </c>
      <c r="CR633" s="27" t="s">
        <v>7</v>
      </c>
      <c r="CU633" s="27" t="s">
        <v>8</v>
      </c>
      <c r="CW633" s="27" t="s">
        <v>8</v>
      </c>
      <c r="CX633" s="27" t="s">
        <v>7</v>
      </c>
      <c r="CY633" s="27" t="s">
        <v>8</v>
      </c>
      <c r="CZ633" s="27" t="s">
        <v>7</v>
      </c>
      <c r="DE633" s="27" t="s">
        <v>8</v>
      </c>
      <c r="GM633" s="27" t="s">
        <v>8</v>
      </c>
      <c r="GP633" s="27" t="s">
        <v>7</v>
      </c>
      <c r="GQ633" s="27" t="s">
        <v>8</v>
      </c>
      <c r="GR633" s="27" t="s">
        <v>7</v>
      </c>
      <c r="GS633" s="27" t="s">
        <v>8</v>
      </c>
      <c r="GT633" s="27" t="s">
        <v>7</v>
      </c>
      <c r="GU633" s="27" t="s">
        <v>8</v>
      </c>
      <c r="GV633" s="27" t="s">
        <v>7</v>
      </c>
      <c r="GW633" s="27" t="s">
        <v>8</v>
      </c>
      <c r="GX633" s="27" t="s">
        <v>7</v>
      </c>
      <c r="GY633" s="27" t="s">
        <v>8</v>
      </c>
      <c r="GZ633" s="27" t="s">
        <v>7</v>
      </c>
      <c r="HA633" s="27" t="s">
        <v>8</v>
      </c>
      <c r="HB633" s="27" t="s">
        <v>7</v>
      </c>
      <c r="HI633" s="27" t="s">
        <v>8</v>
      </c>
      <c r="HJ633" s="27" t="s">
        <v>7</v>
      </c>
      <c r="JG633" s="27" t="s">
        <v>8</v>
      </c>
      <c r="JH633" s="27" t="s">
        <v>7</v>
      </c>
      <c r="JI633" s="27" t="s">
        <v>8</v>
      </c>
      <c r="JJ633" s="27" t="s">
        <v>7</v>
      </c>
      <c r="JK633" s="27" t="s">
        <v>8</v>
      </c>
      <c r="JL633" s="27" t="s">
        <v>7</v>
      </c>
      <c r="JM633" s="27" t="s">
        <v>8</v>
      </c>
      <c r="JN633" s="27" t="s">
        <v>7</v>
      </c>
      <c r="JO633" s="27" t="s">
        <v>8</v>
      </c>
      <c r="JP633" s="27" t="s">
        <v>7</v>
      </c>
      <c r="JQ633" s="27" t="s">
        <v>8</v>
      </c>
      <c r="JS633" s="27" t="s">
        <v>8</v>
      </c>
      <c r="JT633" s="27" t="s">
        <v>7</v>
      </c>
      <c r="KH633" s="27" t="s">
        <v>7</v>
      </c>
      <c r="KI633" s="27" t="s">
        <v>8</v>
      </c>
      <c r="KJ633" s="27" t="s">
        <v>7</v>
      </c>
      <c r="KK633" s="27" t="s">
        <v>8</v>
      </c>
      <c r="KL633" s="27" t="s">
        <v>7</v>
      </c>
      <c r="KR633" s="27" t="s">
        <v>7</v>
      </c>
      <c r="KT633" s="27" t="s">
        <v>7</v>
      </c>
      <c r="KU633" s="27" t="s">
        <v>8</v>
      </c>
      <c r="KV633" s="27" t="s">
        <v>7</v>
      </c>
      <c r="KX633" s="27" t="s">
        <v>7</v>
      </c>
      <c r="KY633" s="27" t="s">
        <v>8</v>
      </c>
      <c r="LA633" s="27" t="s">
        <v>8</v>
      </c>
      <c r="LB633" s="27" t="s">
        <v>7</v>
      </c>
      <c r="LO633" s="27" t="s">
        <v>8</v>
      </c>
      <c r="LP633" s="27" t="s">
        <v>7</v>
      </c>
      <c r="LQ633" s="27" t="s">
        <v>8</v>
      </c>
      <c r="LR633" s="27" t="s">
        <v>7</v>
      </c>
      <c r="LV633" s="27" t="s">
        <v>7</v>
      </c>
      <c r="LW633" s="27" t="s">
        <v>8</v>
      </c>
      <c r="LX633" s="27" t="s">
        <v>7</v>
      </c>
      <c r="LY633" s="27" t="s">
        <v>8</v>
      </c>
      <c r="LZ633" s="27" t="s">
        <v>7</v>
      </c>
      <c r="MA633" s="27" t="s">
        <v>8</v>
      </c>
      <c r="MB633" s="27" t="s">
        <v>7</v>
      </c>
      <c r="MC633" s="27" t="s">
        <v>8</v>
      </c>
      <c r="MD633" s="27" t="s">
        <v>7</v>
      </c>
    </row>
    <row r="634" spans="1:345" x14ac:dyDescent="0.25">
      <c r="A634" s="7">
        <v>0.39426836073618904</v>
      </c>
      <c r="B634"/>
      <c r="C634"/>
      <c r="D634"/>
      <c r="E634"/>
      <c r="J634" s="27" t="s">
        <v>7</v>
      </c>
      <c r="BU634" s="27" t="s">
        <v>8</v>
      </c>
      <c r="BV634" s="27" t="s">
        <v>7</v>
      </c>
      <c r="BW634" s="27" t="s">
        <v>8</v>
      </c>
      <c r="BX634" s="27" t="s">
        <v>7</v>
      </c>
      <c r="CC634" s="27" t="s">
        <v>8</v>
      </c>
      <c r="CD634" s="27" t="s">
        <v>7</v>
      </c>
      <c r="CE634" s="27" t="s">
        <v>8</v>
      </c>
      <c r="CF634" s="27" t="s">
        <v>7</v>
      </c>
      <c r="CM634" s="27" t="s">
        <v>8</v>
      </c>
      <c r="CN634" s="27" t="s">
        <v>7</v>
      </c>
      <c r="CQ634" s="27" t="s">
        <v>8</v>
      </c>
      <c r="CR634" s="27" t="s">
        <v>7</v>
      </c>
      <c r="CS634" s="27" t="s">
        <v>8</v>
      </c>
      <c r="CU634" s="27" t="s">
        <v>8</v>
      </c>
      <c r="CV634" s="27" t="s">
        <v>7</v>
      </c>
      <c r="CW634" s="27" t="s">
        <v>8</v>
      </c>
      <c r="CX634" s="27" t="s">
        <v>7</v>
      </c>
      <c r="CY634" s="27" t="s">
        <v>8</v>
      </c>
      <c r="CZ634" s="27" t="s">
        <v>7</v>
      </c>
      <c r="DE634" s="27" t="s">
        <v>8</v>
      </c>
      <c r="DF634" s="27" t="s">
        <v>7</v>
      </c>
      <c r="GM634" s="27" t="s">
        <v>8</v>
      </c>
      <c r="GP634" s="27" t="s">
        <v>7</v>
      </c>
      <c r="GQ634" s="27" t="s">
        <v>8</v>
      </c>
      <c r="GR634" s="27" t="s">
        <v>7</v>
      </c>
      <c r="GT634" s="27" t="s">
        <v>7</v>
      </c>
      <c r="GU634" s="27" t="s">
        <v>8</v>
      </c>
      <c r="GV634" s="27" t="s">
        <v>7</v>
      </c>
      <c r="GW634" s="27" t="s">
        <v>8</v>
      </c>
      <c r="GX634" s="27" t="s">
        <v>7</v>
      </c>
      <c r="GY634" s="27" t="s">
        <v>8</v>
      </c>
      <c r="GZ634" s="27" t="s">
        <v>7</v>
      </c>
      <c r="HA634" s="27" t="s">
        <v>8</v>
      </c>
      <c r="HB634" s="27" t="s">
        <v>7</v>
      </c>
      <c r="HI634" s="27" t="s">
        <v>8</v>
      </c>
      <c r="HJ634" s="27" t="s">
        <v>7</v>
      </c>
      <c r="JG634" s="27" t="s">
        <v>8</v>
      </c>
      <c r="JH634" s="27" t="s">
        <v>7</v>
      </c>
      <c r="JI634" s="27" t="s">
        <v>8</v>
      </c>
      <c r="JJ634" s="27" t="s">
        <v>7</v>
      </c>
      <c r="JL634" s="27" t="s">
        <v>7</v>
      </c>
      <c r="JM634" s="27" t="s">
        <v>8</v>
      </c>
      <c r="JN634" s="27" t="s">
        <v>7</v>
      </c>
      <c r="JP634" s="27" t="s">
        <v>7</v>
      </c>
      <c r="JQ634" s="27" t="s">
        <v>8</v>
      </c>
      <c r="JR634" s="27" t="s">
        <v>7</v>
      </c>
      <c r="JS634" s="27" t="s">
        <v>8</v>
      </c>
      <c r="KH634" s="27" t="s">
        <v>7</v>
      </c>
      <c r="KI634" s="27" t="s">
        <v>8</v>
      </c>
      <c r="KJ634" s="27" t="s">
        <v>7</v>
      </c>
      <c r="KT634" s="27" t="s">
        <v>7</v>
      </c>
      <c r="KU634" s="27" t="s">
        <v>8</v>
      </c>
      <c r="KX634" s="27" t="s">
        <v>7</v>
      </c>
      <c r="KY634" s="27" t="s">
        <v>8</v>
      </c>
      <c r="KZ634" s="27" t="s">
        <v>7</v>
      </c>
      <c r="LA634" s="27" t="s">
        <v>8</v>
      </c>
      <c r="LB634" s="27" t="s">
        <v>7</v>
      </c>
      <c r="LK634" s="27" t="s">
        <v>8</v>
      </c>
      <c r="LO634" s="27" t="s">
        <v>8</v>
      </c>
      <c r="LP634" s="27" t="s">
        <v>7</v>
      </c>
      <c r="LQ634" s="27" t="s">
        <v>8</v>
      </c>
      <c r="LV634" s="27" t="s">
        <v>7</v>
      </c>
      <c r="LX634" s="27" t="s">
        <v>7</v>
      </c>
      <c r="LY634" s="27" t="s">
        <v>8</v>
      </c>
      <c r="LZ634" s="27" t="s">
        <v>7</v>
      </c>
      <c r="MB634" s="27" t="s">
        <v>7</v>
      </c>
      <c r="MC634" s="27" t="s">
        <v>8</v>
      </c>
    </row>
    <row r="635" spans="1:345" x14ac:dyDescent="0.25">
      <c r="A635" s="7">
        <v>0.38653760856489122</v>
      </c>
      <c r="B635"/>
      <c r="C635"/>
      <c r="D635"/>
      <c r="E635"/>
      <c r="J635" s="27" t="s">
        <v>7</v>
      </c>
      <c r="BK635" s="27" t="s">
        <v>8</v>
      </c>
      <c r="BU635" s="27" t="s">
        <v>8</v>
      </c>
      <c r="BV635" s="27" t="s">
        <v>7</v>
      </c>
      <c r="BX635" s="27" t="s">
        <v>7</v>
      </c>
      <c r="CC635" s="27" t="s">
        <v>8</v>
      </c>
      <c r="CD635" s="27" t="s">
        <v>7</v>
      </c>
      <c r="CE635" s="27" t="s">
        <v>8</v>
      </c>
      <c r="CF635" s="27" t="s">
        <v>7</v>
      </c>
      <c r="CM635" s="27" t="s">
        <v>8</v>
      </c>
      <c r="CN635" s="27" t="s">
        <v>7</v>
      </c>
      <c r="CO635" s="27" t="s">
        <v>8</v>
      </c>
      <c r="CQ635" s="27" t="s">
        <v>8</v>
      </c>
      <c r="CR635" s="27" t="s">
        <v>7</v>
      </c>
      <c r="CS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  <c r="CX635" s="27" t="s">
        <v>7</v>
      </c>
      <c r="CY635" s="27" t="s">
        <v>8</v>
      </c>
      <c r="CZ635" s="27" t="s">
        <v>7</v>
      </c>
      <c r="DC635" s="27" t="s">
        <v>8</v>
      </c>
      <c r="DE635" s="27" t="s">
        <v>8</v>
      </c>
      <c r="DF635" s="27" t="s">
        <v>7</v>
      </c>
      <c r="DK635" s="27" t="s">
        <v>8</v>
      </c>
      <c r="GM635" s="27" t="s">
        <v>8</v>
      </c>
      <c r="GP635" s="27" t="s">
        <v>7</v>
      </c>
      <c r="GT635" s="27" t="s">
        <v>7</v>
      </c>
      <c r="GU635" s="27" t="s">
        <v>8</v>
      </c>
      <c r="GV635" s="27" t="s">
        <v>7</v>
      </c>
      <c r="GW635" s="27" t="s">
        <v>8</v>
      </c>
      <c r="GX635" s="27" t="s">
        <v>7</v>
      </c>
      <c r="GY635" s="27" t="s">
        <v>8</v>
      </c>
      <c r="GZ635" s="27" t="s">
        <v>7</v>
      </c>
      <c r="HB635" s="27" t="s">
        <v>7</v>
      </c>
      <c r="HI635" s="27" t="s">
        <v>8</v>
      </c>
      <c r="HJ635" s="27" t="s">
        <v>7</v>
      </c>
      <c r="JG635" s="27" t="s">
        <v>8</v>
      </c>
      <c r="JH635" s="27" t="s">
        <v>7</v>
      </c>
      <c r="JI635" s="27" t="s">
        <v>8</v>
      </c>
      <c r="JL635" s="27" t="s">
        <v>7</v>
      </c>
      <c r="JM635" s="27" t="s">
        <v>8</v>
      </c>
      <c r="JP635" s="27" t="s">
        <v>7</v>
      </c>
      <c r="JQ635" s="27" t="s">
        <v>8</v>
      </c>
      <c r="JR635" s="27" t="s">
        <v>7</v>
      </c>
      <c r="JS635" s="27" t="s">
        <v>8</v>
      </c>
      <c r="KH635" s="27" t="s">
        <v>7</v>
      </c>
      <c r="KT635" s="27" t="s">
        <v>7</v>
      </c>
      <c r="KU635" s="27" t="s">
        <v>8</v>
      </c>
      <c r="KX635" s="27" t="s">
        <v>7</v>
      </c>
      <c r="KY635" s="27" t="s">
        <v>8</v>
      </c>
      <c r="KZ635" s="27" t="s">
        <v>7</v>
      </c>
      <c r="LA635" s="27" t="s">
        <v>8</v>
      </c>
      <c r="LB635" s="27" t="s">
        <v>7</v>
      </c>
      <c r="LC635" s="27" t="s">
        <v>8</v>
      </c>
      <c r="LE635" s="27" t="s">
        <v>8</v>
      </c>
      <c r="LK635" s="27" t="s">
        <v>8</v>
      </c>
      <c r="LL635" s="27" t="s">
        <v>7</v>
      </c>
      <c r="LO635" s="27" t="s">
        <v>8</v>
      </c>
      <c r="LP635" s="27" t="s">
        <v>7</v>
      </c>
      <c r="LQ635" s="27" t="s">
        <v>8</v>
      </c>
      <c r="LX635" s="27" t="s">
        <v>7</v>
      </c>
      <c r="LY635" s="27" t="s">
        <v>8</v>
      </c>
      <c r="MB635" s="27" t="s">
        <v>7</v>
      </c>
      <c r="MC635" s="27" t="s">
        <v>8</v>
      </c>
    </row>
    <row r="636" spans="1:345" x14ac:dyDescent="0.25">
      <c r="A636" s="7">
        <v>0.37895843976950117</v>
      </c>
      <c r="B636"/>
      <c r="C636"/>
      <c r="D636"/>
      <c r="E636"/>
      <c r="J636" s="27" t="s">
        <v>7</v>
      </c>
      <c r="BK636" s="27" t="s">
        <v>8</v>
      </c>
      <c r="BL636" s="27" t="s">
        <v>7</v>
      </c>
      <c r="BU636" s="27" t="s">
        <v>8</v>
      </c>
      <c r="BX636" s="27" t="s">
        <v>7</v>
      </c>
      <c r="BY636" s="27" t="s">
        <v>8</v>
      </c>
      <c r="CA636" s="27" t="s">
        <v>8</v>
      </c>
      <c r="CC636" s="27" t="s">
        <v>8</v>
      </c>
      <c r="CD636" s="27" t="s">
        <v>7</v>
      </c>
      <c r="CE636" s="27" t="s">
        <v>8</v>
      </c>
      <c r="CF636" s="27" t="s">
        <v>7</v>
      </c>
      <c r="CM636" s="27" t="s">
        <v>8</v>
      </c>
      <c r="CN636" s="27" t="s">
        <v>7</v>
      </c>
      <c r="CO636" s="27" t="s">
        <v>8</v>
      </c>
      <c r="CP636" s="27" t="s">
        <v>7</v>
      </c>
      <c r="CQ636" s="27" t="s">
        <v>8</v>
      </c>
      <c r="CR636" s="27" t="s">
        <v>7</v>
      </c>
      <c r="CS636" s="27" t="s">
        <v>8</v>
      </c>
      <c r="CT636" s="27" t="s">
        <v>7</v>
      </c>
      <c r="CU636" s="27" t="s">
        <v>8</v>
      </c>
      <c r="CV636" s="27" t="s">
        <v>7</v>
      </c>
      <c r="CX636" s="27" t="s">
        <v>7</v>
      </c>
      <c r="CY636" s="27" t="s">
        <v>8</v>
      </c>
      <c r="CZ636" s="27" t="s">
        <v>7</v>
      </c>
      <c r="DC636" s="27" t="s">
        <v>8</v>
      </c>
      <c r="DD636" s="27" t="s">
        <v>7</v>
      </c>
      <c r="DE636" s="27" t="s">
        <v>8</v>
      </c>
      <c r="DF636" s="27" t="s">
        <v>7</v>
      </c>
      <c r="DG636" s="27" t="s">
        <v>8</v>
      </c>
      <c r="DK636" s="27" t="s">
        <v>8</v>
      </c>
      <c r="DL636" s="27" t="s">
        <v>7</v>
      </c>
      <c r="DQ636" s="27" t="s">
        <v>8</v>
      </c>
      <c r="GM636" s="27" t="s">
        <v>8</v>
      </c>
      <c r="GT636" s="27" t="s">
        <v>7</v>
      </c>
      <c r="GV636" s="27" t="s">
        <v>7</v>
      </c>
      <c r="GW636" s="27" t="s">
        <v>8</v>
      </c>
      <c r="GX636" s="27" t="s">
        <v>7</v>
      </c>
      <c r="GY636" s="27" t="s">
        <v>8</v>
      </c>
      <c r="HB636" s="27" t="s">
        <v>7</v>
      </c>
      <c r="HI636" s="27" t="s">
        <v>8</v>
      </c>
      <c r="HJ636" s="27" t="s">
        <v>7</v>
      </c>
      <c r="JG636" s="27" t="s">
        <v>8</v>
      </c>
      <c r="JH636" s="27" t="s">
        <v>7</v>
      </c>
      <c r="JI636" s="27" t="s">
        <v>8</v>
      </c>
      <c r="JL636" s="27" t="s">
        <v>7</v>
      </c>
      <c r="JM636" s="27" t="s">
        <v>8</v>
      </c>
      <c r="JP636" s="27" t="s">
        <v>7</v>
      </c>
      <c r="JQ636" s="27" t="s">
        <v>8</v>
      </c>
      <c r="JR636" s="27" t="s">
        <v>7</v>
      </c>
      <c r="JS636" s="27" t="s">
        <v>8</v>
      </c>
      <c r="KT636" s="27" t="s">
        <v>7</v>
      </c>
      <c r="KU636" s="27" t="s">
        <v>8</v>
      </c>
      <c r="KX636" s="27" t="s">
        <v>7</v>
      </c>
      <c r="KZ636" s="27" t="s">
        <v>7</v>
      </c>
      <c r="LA636" s="27" t="s">
        <v>8</v>
      </c>
      <c r="LB636" s="27" t="s">
        <v>7</v>
      </c>
      <c r="LC636" s="27" t="s">
        <v>8</v>
      </c>
      <c r="LD636" s="27" t="s">
        <v>7</v>
      </c>
      <c r="LE636" s="27" t="s">
        <v>8</v>
      </c>
      <c r="LF636" s="27" t="s">
        <v>7</v>
      </c>
      <c r="LI636" s="27" t="s">
        <v>8</v>
      </c>
      <c r="LK636" s="27" t="s">
        <v>8</v>
      </c>
      <c r="LL636" s="27" t="s">
        <v>7</v>
      </c>
      <c r="LO636" s="27" t="s">
        <v>8</v>
      </c>
      <c r="LP636" s="27" t="s">
        <v>7</v>
      </c>
      <c r="LX636" s="27" t="s">
        <v>7</v>
      </c>
      <c r="LY636" s="27" t="s">
        <v>8</v>
      </c>
      <c r="MB636" s="27" t="s">
        <v>7</v>
      </c>
      <c r="MC636" s="27" t="s">
        <v>8</v>
      </c>
    </row>
    <row r="637" spans="1:345" x14ac:dyDescent="0.25">
      <c r="A637" s="7">
        <v>0.37152788212696197</v>
      </c>
      <c r="B637"/>
      <c r="C637"/>
      <c r="D637"/>
      <c r="E637"/>
      <c r="J637" s="27" t="s">
        <v>7</v>
      </c>
      <c r="BK637" s="27" t="s">
        <v>8</v>
      </c>
      <c r="BL637" s="27" t="s">
        <v>7</v>
      </c>
      <c r="BU637" s="27" t="s">
        <v>8</v>
      </c>
      <c r="BX637" s="27" t="s">
        <v>7</v>
      </c>
      <c r="BY637" s="27" t="s">
        <v>8</v>
      </c>
      <c r="BZ637" s="27" t="s">
        <v>7</v>
      </c>
      <c r="CA637" s="27" t="s">
        <v>8</v>
      </c>
      <c r="CB637" s="27" t="s">
        <v>7</v>
      </c>
      <c r="CC637" s="27" t="s">
        <v>8</v>
      </c>
      <c r="CD637" s="27" t="s">
        <v>7</v>
      </c>
      <c r="CE637" s="27" t="s">
        <v>8</v>
      </c>
      <c r="CF637" s="27" t="s">
        <v>7</v>
      </c>
      <c r="CM637" s="27" t="s">
        <v>8</v>
      </c>
      <c r="CN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  <c r="CS637" s="27" t="s">
        <v>8</v>
      </c>
      <c r="CT637" s="27" t="s">
        <v>7</v>
      </c>
      <c r="CU637" s="27" t="s">
        <v>8</v>
      </c>
      <c r="CX637" s="27" t="s">
        <v>7</v>
      </c>
      <c r="CZ637" s="27" t="s">
        <v>7</v>
      </c>
      <c r="DA637" s="27" t="s">
        <v>8</v>
      </c>
      <c r="DC637" s="27" t="s">
        <v>8</v>
      </c>
      <c r="DD637" s="27" t="s">
        <v>7</v>
      </c>
      <c r="DE637" s="27" t="s">
        <v>8</v>
      </c>
      <c r="DF637" s="27" t="s">
        <v>7</v>
      </c>
      <c r="DG637" s="27" t="s">
        <v>8</v>
      </c>
      <c r="DH637" s="27" t="s">
        <v>7</v>
      </c>
      <c r="DK637" s="27" t="s">
        <v>8</v>
      </c>
      <c r="DL637" s="27" t="s">
        <v>7</v>
      </c>
      <c r="DQ637" s="27" t="s">
        <v>8</v>
      </c>
      <c r="DR637" s="27" t="s">
        <v>7</v>
      </c>
      <c r="GM637" s="27" t="s">
        <v>8</v>
      </c>
      <c r="GV637" s="27" t="s">
        <v>7</v>
      </c>
      <c r="GW637" s="27" t="s">
        <v>8</v>
      </c>
      <c r="GX637" s="27" t="s">
        <v>7</v>
      </c>
      <c r="GY637" s="27" t="s">
        <v>8</v>
      </c>
      <c r="HB637" s="27" t="s">
        <v>7</v>
      </c>
      <c r="HI637" s="27" t="s">
        <v>8</v>
      </c>
      <c r="HJ637" s="27" t="s">
        <v>7</v>
      </c>
      <c r="JG637" s="27" t="s">
        <v>8</v>
      </c>
      <c r="JH637" s="27" t="s">
        <v>7</v>
      </c>
      <c r="JL637" s="27" t="s">
        <v>7</v>
      </c>
      <c r="JM637" s="27" t="s">
        <v>8</v>
      </c>
      <c r="JP637" s="27" t="s">
        <v>7</v>
      </c>
      <c r="JQ637" s="27" t="s">
        <v>8</v>
      </c>
      <c r="JR637" s="27" t="s">
        <v>7</v>
      </c>
      <c r="KT637" s="27" t="s">
        <v>7</v>
      </c>
      <c r="KZ637" s="27" t="s">
        <v>7</v>
      </c>
      <c r="LA637" s="27" t="s">
        <v>8</v>
      </c>
      <c r="LB637" s="27" t="s">
        <v>7</v>
      </c>
      <c r="LC637" s="27" t="s">
        <v>8</v>
      </c>
      <c r="LD637" s="27" t="s">
        <v>7</v>
      </c>
      <c r="LE637" s="27" t="s">
        <v>8</v>
      </c>
      <c r="LF637" s="27" t="s">
        <v>7</v>
      </c>
      <c r="LI637" s="27" t="s">
        <v>8</v>
      </c>
      <c r="LJ637" s="27" t="s">
        <v>7</v>
      </c>
      <c r="LK637" s="27" t="s">
        <v>8</v>
      </c>
      <c r="LL637" s="27" t="s">
        <v>7</v>
      </c>
      <c r="LO637" s="27" t="s">
        <v>8</v>
      </c>
      <c r="LX637" s="27" t="s">
        <v>7</v>
      </c>
      <c r="LY637" s="27" t="s">
        <v>8</v>
      </c>
      <c r="MB637" s="27" t="s">
        <v>7</v>
      </c>
      <c r="MC637" s="27" t="s">
        <v>8</v>
      </c>
    </row>
    <row r="638" spans="1:345" x14ac:dyDescent="0.25">
      <c r="A638" s="7">
        <v>0.36424302169310002</v>
      </c>
      <c r="B638"/>
      <c r="C638"/>
      <c r="D638"/>
      <c r="E638"/>
      <c r="J638" s="27" t="s">
        <v>7</v>
      </c>
      <c r="BK638" s="27" t="s">
        <v>8</v>
      </c>
      <c r="BL638" s="27" t="s">
        <v>7</v>
      </c>
      <c r="BU638" s="27" t="s">
        <v>8</v>
      </c>
      <c r="BX638" s="27" t="s">
        <v>7</v>
      </c>
      <c r="BY638" s="27" t="s">
        <v>8</v>
      </c>
      <c r="BZ638" s="27" t="s">
        <v>7</v>
      </c>
      <c r="CA638" s="27" t="s">
        <v>8</v>
      </c>
      <c r="CB638" s="27" t="s">
        <v>7</v>
      </c>
      <c r="CC638" s="27" t="s">
        <v>8</v>
      </c>
      <c r="CD638" s="27" t="s">
        <v>7</v>
      </c>
      <c r="CE638" s="27" t="s">
        <v>8</v>
      </c>
      <c r="CF638" s="27" t="s">
        <v>7</v>
      </c>
      <c r="CK638" s="27" t="s">
        <v>8</v>
      </c>
      <c r="CM638" s="27" t="s">
        <v>8</v>
      </c>
      <c r="CN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  <c r="CS638" s="27" t="s">
        <v>8</v>
      </c>
      <c r="CT638" s="27" t="s">
        <v>7</v>
      </c>
      <c r="CZ638" s="27" t="s">
        <v>7</v>
      </c>
      <c r="DA638" s="27" t="s">
        <v>8</v>
      </c>
      <c r="DB638" s="27" t="s">
        <v>7</v>
      </c>
      <c r="DC638" s="27" t="s">
        <v>8</v>
      </c>
      <c r="DD638" s="27" t="s">
        <v>7</v>
      </c>
      <c r="DE638" s="27" t="s">
        <v>8</v>
      </c>
      <c r="DF638" s="27" t="s">
        <v>7</v>
      </c>
      <c r="DG638" s="27" t="s">
        <v>8</v>
      </c>
      <c r="DH638" s="27" t="s">
        <v>7</v>
      </c>
      <c r="DK638" s="27" t="s">
        <v>8</v>
      </c>
      <c r="DL638" s="27" t="s">
        <v>7</v>
      </c>
      <c r="DQ638" s="27" t="s">
        <v>8</v>
      </c>
      <c r="DR638" s="27" t="s">
        <v>7</v>
      </c>
      <c r="GM638" s="27" t="s">
        <v>8</v>
      </c>
      <c r="GV638" s="27" t="s">
        <v>7</v>
      </c>
      <c r="GW638" s="27" t="s">
        <v>8</v>
      </c>
      <c r="GX638" s="27" t="s">
        <v>7</v>
      </c>
      <c r="GY638" s="27" t="s">
        <v>8</v>
      </c>
      <c r="HB638" s="27" t="s">
        <v>7</v>
      </c>
      <c r="HI638" s="27" t="s">
        <v>8</v>
      </c>
      <c r="HJ638" s="27" t="s">
        <v>7</v>
      </c>
      <c r="IW638" s="27" t="s">
        <v>8</v>
      </c>
      <c r="JA638" s="27" t="s">
        <v>8</v>
      </c>
      <c r="JG638" s="27" t="s">
        <v>8</v>
      </c>
      <c r="JL638" s="27" t="s">
        <v>7</v>
      </c>
      <c r="JP638" s="27" t="s">
        <v>7</v>
      </c>
      <c r="JQ638" s="27" t="s">
        <v>8</v>
      </c>
      <c r="KZ638" s="27" t="s">
        <v>7</v>
      </c>
      <c r="LA638" s="27" t="s">
        <v>8</v>
      </c>
      <c r="LB638" s="27" t="s">
        <v>7</v>
      </c>
      <c r="LC638" s="27" t="s">
        <v>8</v>
      </c>
      <c r="LD638" s="27" t="s">
        <v>7</v>
      </c>
      <c r="LE638" s="27" t="s">
        <v>8</v>
      </c>
      <c r="LF638" s="27" t="s">
        <v>7</v>
      </c>
      <c r="LI638" s="27" t="s">
        <v>8</v>
      </c>
      <c r="LJ638" s="27" t="s">
        <v>7</v>
      </c>
      <c r="LK638" s="27" t="s">
        <v>8</v>
      </c>
      <c r="LL638" s="27" t="s">
        <v>7</v>
      </c>
      <c r="LM638" s="27" t="s">
        <v>8</v>
      </c>
      <c r="LO638" s="27" t="s">
        <v>8</v>
      </c>
      <c r="LX638" s="27" t="s">
        <v>7</v>
      </c>
      <c r="LY638" s="27" t="s">
        <v>8</v>
      </c>
      <c r="MB638" s="27" t="s">
        <v>7</v>
      </c>
      <c r="MC638" s="27" t="s">
        <v>8</v>
      </c>
    </row>
    <row r="639" spans="1:345" x14ac:dyDescent="0.25">
      <c r="A639" s="7">
        <v>0.35710100165990194</v>
      </c>
      <c r="B639"/>
      <c r="C639"/>
      <c r="D639"/>
      <c r="E639"/>
      <c r="J639" s="27" t="s">
        <v>7</v>
      </c>
      <c r="BK639" s="27" t="s">
        <v>8</v>
      </c>
      <c r="BL639" s="27" t="s">
        <v>7</v>
      </c>
      <c r="BM639" s="27" t="s">
        <v>8</v>
      </c>
      <c r="BS639" s="27" t="s">
        <v>8</v>
      </c>
      <c r="BU639" s="27" t="s">
        <v>8</v>
      </c>
      <c r="BX639" s="27" t="s">
        <v>7</v>
      </c>
      <c r="BY639" s="27" t="s">
        <v>8</v>
      </c>
      <c r="BZ639" s="27" t="s">
        <v>7</v>
      </c>
      <c r="CA639" s="27" t="s">
        <v>8</v>
      </c>
      <c r="CB639" s="27" t="s">
        <v>7</v>
      </c>
      <c r="CC639" s="27" t="s">
        <v>8</v>
      </c>
      <c r="CD639" s="27" t="s">
        <v>7</v>
      </c>
      <c r="CE639" s="27" t="s">
        <v>8</v>
      </c>
      <c r="CF639" s="27" t="s">
        <v>7</v>
      </c>
      <c r="CK639" s="27" t="s">
        <v>8</v>
      </c>
      <c r="CL639" s="27" t="s">
        <v>7</v>
      </c>
      <c r="CM639" s="27" t="s">
        <v>8</v>
      </c>
      <c r="CN639" s="27" t="s">
        <v>7</v>
      </c>
      <c r="CO639" s="27" t="s">
        <v>8</v>
      </c>
      <c r="CP639" s="27" t="s">
        <v>7</v>
      </c>
      <c r="CR639" s="27" t="s">
        <v>7</v>
      </c>
      <c r="CS639" s="27" t="s">
        <v>8</v>
      </c>
      <c r="CZ639" s="27" t="s">
        <v>7</v>
      </c>
      <c r="DA639" s="27" t="s">
        <v>8</v>
      </c>
      <c r="DB639" s="27" t="s">
        <v>7</v>
      </c>
      <c r="DC639" s="27" t="s">
        <v>8</v>
      </c>
      <c r="DD639" s="27" t="s">
        <v>7</v>
      </c>
      <c r="DE639" s="27" t="s">
        <v>8</v>
      </c>
      <c r="DF639" s="27" t="s">
        <v>7</v>
      </c>
      <c r="DH639" s="27" t="s">
        <v>7</v>
      </c>
      <c r="DI639" s="27" t="s">
        <v>8</v>
      </c>
      <c r="DK639" s="27" t="s">
        <v>8</v>
      </c>
      <c r="DL639" s="27" t="s">
        <v>7</v>
      </c>
      <c r="DQ639" s="27" t="s">
        <v>8</v>
      </c>
      <c r="DR639" s="27" t="s">
        <v>7</v>
      </c>
      <c r="GM639" s="27" t="s">
        <v>8</v>
      </c>
      <c r="GV639" s="27" t="s">
        <v>7</v>
      </c>
      <c r="GW639" s="27" t="s">
        <v>8</v>
      </c>
      <c r="GX639" s="27" t="s">
        <v>7</v>
      </c>
      <c r="GY639" s="27" t="s">
        <v>8</v>
      </c>
      <c r="HB639" s="27" t="s">
        <v>7</v>
      </c>
      <c r="HI639" s="27" t="s">
        <v>8</v>
      </c>
      <c r="HJ639" s="27" t="s">
        <v>7</v>
      </c>
      <c r="IQ639" s="27" t="s">
        <v>8</v>
      </c>
      <c r="IU639" s="27" t="s">
        <v>8</v>
      </c>
      <c r="IW639" s="27" t="s">
        <v>8</v>
      </c>
      <c r="IX639" s="27" t="s">
        <v>7</v>
      </c>
      <c r="JA639" s="27" t="s">
        <v>8</v>
      </c>
      <c r="JB639" s="27" t="s">
        <v>7</v>
      </c>
      <c r="JG639" s="27" t="s">
        <v>8</v>
      </c>
      <c r="JP639" s="27" t="s">
        <v>7</v>
      </c>
      <c r="JQ639" s="27" t="s">
        <v>8</v>
      </c>
      <c r="KZ639" s="27" t="s">
        <v>7</v>
      </c>
      <c r="LA639" s="27" t="s">
        <v>8</v>
      </c>
      <c r="LB639" s="27" t="s">
        <v>7</v>
      </c>
      <c r="LD639" s="27" t="s">
        <v>7</v>
      </c>
      <c r="LF639" s="27" t="s">
        <v>7</v>
      </c>
      <c r="LI639" s="27" t="s">
        <v>8</v>
      </c>
      <c r="LJ639" s="27" t="s">
        <v>7</v>
      </c>
      <c r="LK639" s="27" t="s">
        <v>8</v>
      </c>
      <c r="LL639" s="27" t="s">
        <v>7</v>
      </c>
      <c r="LM639" s="27" t="s">
        <v>8</v>
      </c>
      <c r="LN639" s="27" t="s">
        <v>7</v>
      </c>
      <c r="LO639" s="27" t="s">
        <v>8</v>
      </c>
      <c r="LX639" s="27" t="s">
        <v>7</v>
      </c>
      <c r="MB639" s="27" t="s">
        <v>7</v>
      </c>
      <c r="MC639" s="27" t="s">
        <v>8</v>
      </c>
    </row>
    <row r="640" spans="1:345" x14ac:dyDescent="0.25">
      <c r="A640" s="7">
        <v>0.35009902123519804</v>
      </c>
      <c r="B640"/>
      <c r="C640"/>
      <c r="D640"/>
      <c r="E640"/>
      <c r="J640" s="27" t="s">
        <v>7</v>
      </c>
      <c r="BK640" s="27" t="s">
        <v>8</v>
      </c>
      <c r="BL640" s="27" t="s">
        <v>7</v>
      </c>
      <c r="BM640" s="27" t="s">
        <v>8</v>
      </c>
      <c r="BN640" s="27" t="s">
        <v>7</v>
      </c>
      <c r="BS640" s="27" t="s">
        <v>8</v>
      </c>
      <c r="BT640" s="27" t="s">
        <v>7</v>
      </c>
      <c r="BU640" s="27" t="s">
        <v>8</v>
      </c>
      <c r="BX640" s="27" t="s">
        <v>7</v>
      </c>
      <c r="BY640" s="27" t="s">
        <v>8</v>
      </c>
      <c r="BZ640" s="27" t="s">
        <v>7</v>
      </c>
      <c r="CB640" s="27" t="s">
        <v>7</v>
      </c>
      <c r="CC640" s="27" t="s">
        <v>8</v>
      </c>
      <c r="CD640" s="27" t="s">
        <v>7</v>
      </c>
      <c r="CF640" s="27" t="s">
        <v>7</v>
      </c>
      <c r="CG640" s="27" t="s">
        <v>8</v>
      </c>
      <c r="CK640" s="27" t="s">
        <v>8</v>
      </c>
      <c r="CL640" s="27" t="s">
        <v>7</v>
      </c>
      <c r="CM640" s="27" t="s">
        <v>8</v>
      </c>
      <c r="CN640" s="27" t="s">
        <v>7</v>
      </c>
      <c r="CO640" s="27" t="s">
        <v>8</v>
      </c>
      <c r="CR640" s="27" t="s">
        <v>7</v>
      </c>
      <c r="CZ640" s="27" t="s">
        <v>7</v>
      </c>
      <c r="DB640" s="27" t="s">
        <v>7</v>
      </c>
      <c r="DD640" s="27" t="s">
        <v>7</v>
      </c>
      <c r="DH640" s="27" t="s">
        <v>7</v>
      </c>
      <c r="DI640" s="27" t="s">
        <v>8</v>
      </c>
      <c r="DJ640" s="27" t="s">
        <v>7</v>
      </c>
      <c r="DK640" s="27" t="s">
        <v>8</v>
      </c>
      <c r="DL640" s="27" t="s">
        <v>7</v>
      </c>
      <c r="DQ640" s="27" t="s">
        <v>8</v>
      </c>
      <c r="DR640" s="27" t="s">
        <v>7</v>
      </c>
      <c r="GM640" s="27" t="s">
        <v>8</v>
      </c>
      <c r="GV640" s="27" t="s">
        <v>7</v>
      </c>
      <c r="GW640" s="27" t="s">
        <v>8</v>
      </c>
      <c r="GX640" s="27" t="s">
        <v>7</v>
      </c>
      <c r="HB640" s="27" t="s">
        <v>7</v>
      </c>
      <c r="HI640" s="27" t="s">
        <v>8</v>
      </c>
      <c r="HJ640" s="27" t="s">
        <v>7</v>
      </c>
      <c r="IQ640" s="27" t="s">
        <v>8</v>
      </c>
      <c r="IR640" s="27" t="s">
        <v>7</v>
      </c>
      <c r="IU640" s="27" t="s">
        <v>8</v>
      </c>
      <c r="IV640" s="27" t="s">
        <v>7</v>
      </c>
      <c r="IW640" s="27" t="s">
        <v>8</v>
      </c>
      <c r="IX640" s="27" t="s">
        <v>7</v>
      </c>
      <c r="IY640" s="27" t="s">
        <v>8</v>
      </c>
      <c r="JA640" s="27" t="s">
        <v>8</v>
      </c>
      <c r="JB640" s="27" t="s">
        <v>7</v>
      </c>
      <c r="JG640" s="27" t="s">
        <v>8</v>
      </c>
      <c r="JP640" s="27" t="s">
        <v>7</v>
      </c>
      <c r="KZ640" s="27" t="s">
        <v>7</v>
      </c>
      <c r="LF640" s="27" t="s">
        <v>7</v>
      </c>
      <c r="LI640" s="27" t="s">
        <v>8</v>
      </c>
      <c r="LJ640" s="27" t="s">
        <v>7</v>
      </c>
      <c r="LK640" s="27" t="s">
        <v>8</v>
      </c>
      <c r="LL640" s="27" t="s">
        <v>7</v>
      </c>
      <c r="LM640" s="27" t="s">
        <v>8</v>
      </c>
      <c r="LN640" s="27" t="s">
        <v>7</v>
      </c>
      <c r="LO640" s="27" t="s">
        <v>8</v>
      </c>
      <c r="MB640" s="27" t="s">
        <v>7</v>
      </c>
      <c r="MC640" s="27" t="s">
        <v>8</v>
      </c>
    </row>
    <row r="641" spans="1:341" x14ac:dyDescent="0.25">
      <c r="A641" s="7">
        <v>0.34323433454431179</v>
      </c>
      <c r="B641"/>
      <c r="C641"/>
      <c r="D641"/>
      <c r="E641"/>
      <c r="J641" s="27" t="s">
        <v>7</v>
      </c>
      <c r="BK641" s="27" t="s">
        <v>8</v>
      </c>
      <c r="BL641" s="27" t="s">
        <v>7</v>
      </c>
      <c r="BM641" s="27" t="s">
        <v>8</v>
      </c>
      <c r="BN641" s="27" t="s">
        <v>7</v>
      </c>
      <c r="BO641" s="27" t="s">
        <v>8</v>
      </c>
      <c r="BQ641" s="27" t="s">
        <v>8</v>
      </c>
      <c r="BS641" s="27" t="s">
        <v>8</v>
      </c>
      <c r="BT641" s="27" t="s">
        <v>7</v>
      </c>
      <c r="BU641" s="27" t="s">
        <v>8</v>
      </c>
      <c r="BX641" s="27" t="s">
        <v>7</v>
      </c>
      <c r="CB641" s="27" t="s">
        <v>7</v>
      </c>
      <c r="CF641" s="27" t="s">
        <v>7</v>
      </c>
      <c r="CG641" s="27" t="s">
        <v>8</v>
      </c>
      <c r="CH641" s="27" t="s">
        <v>7</v>
      </c>
      <c r="CI641" s="27" t="s">
        <v>8</v>
      </c>
      <c r="CK641" s="27" t="s">
        <v>8</v>
      </c>
      <c r="CL641" s="27" t="s">
        <v>7</v>
      </c>
      <c r="CM641" s="27" t="s">
        <v>8</v>
      </c>
      <c r="CN641" s="27" t="s">
        <v>7</v>
      </c>
      <c r="CO641" s="27" t="s">
        <v>8</v>
      </c>
      <c r="DH641" s="27" t="s">
        <v>7</v>
      </c>
      <c r="DI641" s="27" t="s">
        <v>8</v>
      </c>
      <c r="DJ641" s="27" t="s">
        <v>7</v>
      </c>
      <c r="DK641" s="27" t="s">
        <v>8</v>
      </c>
      <c r="DL641" s="27" t="s">
        <v>7</v>
      </c>
      <c r="DQ641" s="27" t="s">
        <v>8</v>
      </c>
      <c r="DR641" s="27" t="s">
        <v>7</v>
      </c>
      <c r="GM641" s="27" t="s">
        <v>8</v>
      </c>
      <c r="GV641" s="27" t="s">
        <v>7</v>
      </c>
      <c r="GW641" s="27" t="s">
        <v>8</v>
      </c>
      <c r="HB641" s="27" t="s">
        <v>7</v>
      </c>
      <c r="HG641" s="27" t="s">
        <v>8</v>
      </c>
      <c r="HI641" s="27" t="s">
        <v>8</v>
      </c>
      <c r="HJ641" s="27" t="s">
        <v>7</v>
      </c>
      <c r="IQ641" s="27" t="s">
        <v>8</v>
      </c>
      <c r="IR641" s="27" t="s">
        <v>7</v>
      </c>
      <c r="IU641" s="27" t="s">
        <v>8</v>
      </c>
      <c r="IV641" s="27" t="s">
        <v>7</v>
      </c>
      <c r="IW641" s="27" t="s">
        <v>8</v>
      </c>
      <c r="IX641" s="27" t="s">
        <v>7</v>
      </c>
      <c r="IY641" s="27" t="s">
        <v>8</v>
      </c>
      <c r="IZ641" s="27" t="s">
        <v>7</v>
      </c>
      <c r="JA641" s="27" t="s">
        <v>8</v>
      </c>
      <c r="JB641" s="27" t="s">
        <v>7</v>
      </c>
      <c r="JC641" s="27" t="s">
        <v>8</v>
      </c>
      <c r="JE641" s="27" t="s">
        <v>8</v>
      </c>
      <c r="JG641" s="27" t="s">
        <v>8</v>
      </c>
      <c r="LF641" s="27" t="s">
        <v>7</v>
      </c>
      <c r="LI641" s="27" t="s">
        <v>8</v>
      </c>
      <c r="LJ641" s="27" t="s">
        <v>7</v>
      </c>
      <c r="LK641" s="27" t="s">
        <v>8</v>
      </c>
      <c r="LL641" s="27" t="s">
        <v>7</v>
      </c>
      <c r="LM641" s="27" t="s">
        <v>8</v>
      </c>
      <c r="LN641" s="27" t="s">
        <v>7</v>
      </c>
      <c r="LO641" s="27" t="s">
        <v>8</v>
      </c>
      <c r="MB641" s="27" t="s">
        <v>7</v>
      </c>
      <c r="MC641" s="27" t="s">
        <v>8</v>
      </c>
    </row>
    <row r="642" spans="1:341" x14ac:dyDescent="0.25">
      <c r="A642" s="7">
        <v>0.33650424955324681</v>
      </c>
      <c r="B642"/>
      <c r="C642"/>
      <c r="D642"/>
      <c r="E642"/>
      <c r="J642" s="27" t="s">
        <v>7</v>
      </c>
      <c r="BK642" s="27" t="s">
        <v>8</v>
      </c>
      <c r="BL642" s="27" t="s">
        <v>7</v>
      </c>
      <c r="BM642" s="27" t="s">
        <v>8</v>
      </c>
      <c r="BN642" s="27" t="s">
        <v>7</v>
      </c>
      <c r="BO642" s="27" t="s">
        <v>8</v>
      </c>
      <c r="BP642" s="27" t="s">
        <v>7</v>
      </c>
      <c r="BQ642" s="27" t="s">
        <v>8</v>
      </c>
      <c r="BR642" s="27" t="s">
        <v>7</v>
      </c>
      <c r="BS642" s="27" t="s">
        <v>8</v>
      </c>
      <c r="BT642" s="27" t="s">
        <v>7</v>
      </c>
      <c r="BU642" s="27" t="s">
        <v>8</v>
      </c>
      <c r="CF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K642" s="27" t="s">
        <v>8</v>
      </c>
      <c r="CL642" s="27" t="s">
        <v>7</v>
      </c>
      <c r="CM642" s="27" t="s">
        <v>8</v>
      </c>
      <c r="CN642" s="27" t="s">
        <v>7</v>
      </c>
      <c r="DH642" s="27" t="s">
        <v>7</v>
      </c>
      <c r="DI642" s="27" t="s">
        <v>8</v>
      </c>
      <c r="DJ642" s="27" t="s">
        <v>7</v>
      </c>
      <c r="DK642" s="27" t="s">
        <v>8</v>
      </c>
      <c r="DL642" s="27" t="s">
        <v>7</v>
      </c>
      <c r="DQ642" s="27" t="s">
        <v>8</v>
      </c>
      <c r="DR642" s="27" t="s">
        <v>7</v>
      </c>
      <c r="GM642" s="27" t="s">
        <v>8</v>
      </c>
      <c r="GV642" s="27" t="s">
        <v>7</v>
      </c>
      <c r="GW642" s="27" t="s">
        <v>8</v>
      </c>
      <c r="HB642" s="27" t="s">
        <v>7</v>
      </c>
      <c r="HG642" s="27" t="s">
        <v>8</v>
      </c>
      <c r="HH642" s="27" t="s">
        <v>7</v>
      </c>
      <c r="HI642" s="27" t="s">
        <v>8</v>
      </c>
      <c r="HJ642" s="27" t="s">
        <v>7</v>
      </c>
      <c r="IQ642" s="27" t="s">
        <v>8</v>
      </c>
      <c r="IR642" s="27" t="s">
        <v>7</v>
      </c>
      <c r="IU642" s="27" t="s">
        <v>8</v>
      </c>
      <c r="IV642" s="27" t="s">
        <v>7</v>
      </c>
      <c r="IW642" s="27" t="s">
        <v>8</v>
      </c>
      <c r="IX642" s="27" t="s">
        <v>7</v>
      </c>
      <c r="IY642" s="27" t="s">
        <v>8</v>
      </c>
      <c r="IZ642" s="27" t="s">
        <v>7</v>
      </c>
      <c r="JA642" s="27" t="s">
        <v>8</v>
      </c>
      <c r="JB642" s="27" t="s">
        <v>7</v>
      </c>
      <c r="JC642" s="27" t="s">
        <v>8</v>
      </c>
      <c r="JD642" s="27" t="s">
        <v>7</v>
      </c>
      <c r="JE642" s="27" t="s">
        <v>8</v>
      </c>
      <c r="JF642" s="27" t="s">
        <v>7</v>
      </c>
      <c r="JG642" s="27" t="s">
        <v>8</v>
      </c>
      <c r="LF642" s="27" t="s">
        <v>7</v>
      </c>
      <c r="LG642" s="27" t="s">
        <v>8</v>
      </c>
      <c r="LI642" s="27" t="s">
        <v>8</v>
      </c>
      <c r="LJ642" s="27" t="s">
        <v>7</v>
      </c>
      <c r="LL642" s="27" t="s">
        <v>7</v>
      </c>
      <c r="LN642" s="27" t="s">
        <v>7</v>
      </c>
      <c r="MB642" s="27" t="s">
        <v>7</v>
      </c>
      <c r="MC642" s="27" t="s">
        <v>8</v>
      </c>
    </row>
    <row r="643" spans="1:341" x14ac:dyDescent="0.25">
      <c r="A643" s="7">
        <v>0.3299061270129871</v>
      </c>
      <c r="B643"/>
      <c r="C643"/>
      <c r="D643"/>
      <c r="E643"/>
      <c r="J643" s="27" t="s">
        <v>7</v>
      </c>
      <c r="BK643" s="27" t="s">
        <v>8</v>
      </c>
      <c r="BL643" s="27" t="s">
        <v>7</v>
      </c>
      <c r="BM643" s="27" t="s">
        <v>8</v>
      </c>
      <c r="BN643" s="27" t="s">
        <v>7</v>
      </c>
      <c r="BO643" s="27" t="s">
        <v>8</v>
      </c>
      <c r="BP643" s="27" t="s">
        <v>7</v>
      </c>
      <c r="BQ643" s="27" t="s">
        <v>8</v>
      </c>
      <c r="BR643" s="27" t="s">
        <v>7</v>
      </c>
      <c r="BS643" s="27" t="s">
        <v>8</v>
      </c>
      <c r="BT643" s="27" t="s">
        <v>7</v>
      </c>
      <c r="BU643" s="27" t="s">
        <v>8</v>
      </c>
      <c r="CF643" s="27" t="s">
        <v>7</v>
      </c>
      <c r="CG643" s="27" t="s">
        <v>8</v>
      </c>
      <c r="CH643" s="27" t="s">
        <v>7</v>
      </c>
      <c r="CI643" s="27" t="s">
        <v>8</v>
      </c>
      <c r="CJ643" s="27" t="s">
        <v>7</v>
      </c>
      <c r="CK643" s="27" t="s">
        <v>8</v>
      </c>
      <c r="CL643" s="27" t="s">
        <v>7</v>
      </c>
      <c r="CM643" s="27" t="s">
        <v>8</v>
      </c>
      <c r="DH643" s="27" t="s">
        <v>7</v>
      </c>
      <c r="DI643" s="27" t="s">
        <v>8</v>
      </c>
      <c r="DJ643" s="27" t="s">
        <v>7</v>
      </c>
      <c r="DL643" s="27" t="s">
        <v>7</v>
      </c>
      <c r="DM643" s="27" t="s">
        <v>8</v>
      </c>
      <c r="DQ643" s="27" t="s">
        <v>8</v>
      </c>
      <c r="DR643" s="27" t="s">
        <v>7</v>
      </c>
      <c r="GM643" s="27" t="s">
        <v>8</v>
      </c>
      <c r="GV643" s="27" t="s">
        <v>7</v>
      </c>
      <c r="GW643" s="27" t="s">
        <v>8</v>
      </c>
      <c r="HB643" s="27" t="s">
        <v>7</v>
      </c>
      <c r="HC643" s="27" t="s">
        <v>8</v>
      </c>
      <c r="HG643" s="27" t="s">
        <v>8</v>
      </c>
      <c r="HH643" s="27" t="s">
        <v>7</v>
      </c>
      <c r="HI643" s="27" t="s">
        <v>8</v>
      </c>
      <c r="HJ643" s="27" t="s">
        <v>7</v>
      </c>
      <c r="HK643" s="27" t="s">
        <v>8</v>
      </c>
      <c r="IQ643" s="27" t="s">
        <v>8</v>
      </c>
      <c r="IR643" s="27" t="s">
        <v>7</v>
      </c>
      <c r="IS643" s="27" t="s">
        <v>8</v>
      </c>
      <c r="IU643" s="27" t="s">
        <v>8</v>
      </c>
      <c r="IV643" s="27" t="s">
        <v>7</v>
      </c>
      <c r="IW643" s="27" t="s">
        <v>8</v>
      </c>
      <c r="IX643" s="27" t="s">
        <v>7</v>
      </c>
      <c r="IY643" s="27" t="s">
        <v>8</v>
      </c>
      <c r="IZ643" s="27" t="s">
        <v>7</v>
      </c>
      <c r="JA643" s="27" t="s">
        <v>8</v>
      </c>
      <c r="JB643" s="27" t="s">
        <v>7</v>
      </c>
      <c r="JC643" s="27" t="s">
        <v>8</v>
      </c>
      <c r="JD643" s="27" t="s">
        <v>7</v>
      </c>
      <c r="JE643" s="27" t="s">
        <v>8</v>
      </c>
      <c r="JF643" s="27" t="s">
        <v>7</v>
      </c>
      <c r="JG643" s="27" t="s">
        <v>8</v>
      </c>
      <c r="LF643" s="27" t="s">
        <v>7</v>
      </c>
      <c r="LG643" s="27" t="s">
        <v>8</v>
      </c>
      <c r="LH643" s="27" t="s">
        <v>7</v>
      </c>
      <c r="LI643" s="27" t="s">
        <v>8</v>
      </c>
      <c r="MB643" s="27" t="s">
        <v>7</v>
      </c>
      <c r="MC643" s="27" t="s">
        <v>8</v>
      </c>
    </row>
    <row r="644" spans="1:341" x14ac:dyDescent="0.25">
      <c r="A644" s="7">
        <v>0.32343737942449713</v>
      </c>
      <c r="B644"/>
      <c r="C644"/>
      <c r="D644"/>
      <c r="E644"/>
      <c r="J644" s="27" t="s">
        <v>7</v>
      </c>
      <c r="BK644" s="27" t="s">
        <v>8</v>
      </c>
      <c r="BL644" s="27" t="s">
        <v>7</v>
      </c>
      <c r="BM644" s="27" t="s">
        <v>8</v>
      </c>
      <c r="BN644" s="27" t="s">
        <v>7</v>
      </c>
      <c r="BO644" s="27" t="s">
        <v>8</v>
      </c>
      <c r="BP644" s="27" t="s">
        <v>7</v>
      </c>
      <c r="BR644" s="27" t="s">
        <v>7</v>
      </c>
      <c r="BS644" s="27" t="s">
        <v>8</v>
      </c>
      <c r="BT644" s="27" t="s">
        <v>7</v>
      </c>
      <c r="BU644" s="27" t="s">
        <v>8</v>
      </c>
      <c r="CF644" s="27" t="s">
        <v>7</v>
      </c>
      <c r="CG644" s="27" t="s">
        <v>8</v>
      </c>
      <c r="CH644" s="27" t="s">
        <v>7</v>
      </c>
      <c r="CJ644" s="27" t="s">
        <v>7</v>
      </c>
      <c r="CK644" s="27" t="s">
        <v>8</v>
      </c>
      <c r="CL644" s="27" t="s">
        <v>7</v>
      </c>
      <c r="CM644" s="27" t="s">
        <v>8</v>
      </c>
      <c r="DH644" s="27" t="s">
        <v>7</v>
      </c>
      <c r="DL644" s="27" t="s">
        <v>7</v>
      </c>
      <c r="DM644" s="27" t="s">
        <v>8</v>
      </c>
      <c r="DN644" s="27" t="s">
        <v>7</v>
      </c>
      <c r="DQ644" s="27" t="s">
        <v>8</v>
      </c>
      <c r="DR644" s="27" t="s">
        <v>7</v>
      </c>
      <c r="DS644" s="27" t="s">
        <v>8</v>
      </c>
      <c r="GM644" s="27" t="s">
        <v>8</v>
      </c>
      <c r="GV644" s="27" t="s">
        <v>7</v>
      </c>
      <c r="GW644" s="27" t="s">
        <v>8</v>
      </c>
      <c r="HB644" s="27" t="s">
        <v>7</v>
      </c>
      <c r="HC644" s="27" t="s">
        <v>8</v>
      </c>
      <c r="HD644" s="27" t="s">
        <v>7</v>
      </c>
      <c r="HG644" s="27" t="s">
        <v>8</v>
      </c>
      <c r="HH644" s="27" t="s">
        <v>7</v>
      </c>
      <c r="HI644" s="27" t="s">
        <v>8</v>
      </c>
      <c r="HJ644" s="27" t="s">
        <v>7</v>
      </c>
      <c r="HK644" s="27" t="s">
        <v>8</v>
      </c>
      <c r="HL644" s="27" t="s">
        <v>7</v>
      </c>
      <c r="IQ644" s="27" t="s">
        <v>8</v>
      </c>
      <c r="IR644" s="27" t="s">
        <v>7</v>
      </c>
      <c r="IS644" s="27" t="s">
        <v>8</v>
      </c>
      <c r="IT644" s="27" t="s">
        <v>7</v>
      </c>
      <c r="IU644" s="27" t="s">
        <v>8</v>
      </c>
      <c r="IV644" s="27" t="s">
        <v>7</v>
      </c>
      <c r="IX644" s="27" t="s">
        <v>7</v>
      </c>
      <c r="IZ644" s="27" t="s">
        <v>7</v>
      </c>
      <c r="JB644" s="27" t="s">
        <v>7</v>
      </c>
      <c r="JC644" s="27" t="s">
        <v>8</v>
      </c>
      <c r="JD644" s="27" t="s">
        <v>7</v>
      </c>
      <c r="JE644" s="27" t="s">
        <v>8</v>
      </c>
      <c r="JF644" s="27" t="s">
        <v>7</v>
      </c>
      <c r="JG644" s="27" t="s">
        <v>8</v>
      </c>
      <c r="LF644" s="27" t="s">
        <v>7</v>
      </c>
      <c r="LG644" s="27" t="s">
        <v>8</v>
      </c>
      <c r="LH644" s="27" t="s">
        <v>7</v>
      </c>
      <c r="LI644" s="27" t="s">
        <v>8</v>
      </c>
      <c r="MB644" s="27" t="s">
        <v>7</v>
      </c>
    </row>
    <row r="645" spans="1:341" x14ac:dyDescent="0.25">
      <c r="A645" s="7">
        <v>0.31709547002401678</v>
      </c>
      <c r="B645"/>
      <c r="C645"/>
      <c r="D645"/>
      <c r="E645"/>
      <c r="J645" s="27" t="s">
        <v>7</v>
      </c>
      <c r="BK645" s="27" t="s">
        <v>8</v>
      </c>
      <c r="BL645" s="27" t="s">
        <v>7</v>
      </c>
      <c r="BN645" s="27" t="s">
        <v>7</v>
      </c>
      <c r="BR645" s="27" t="s">
        <v>7</v>
      </c>
      <c r="BS645" s="27" t="s">
        <v>8</v>
      </c>
      <c r="BT645" s="27" t="s">
        <v>7</v>
      </c>
      <c r="BU645" s="27" t="s">
        <v>8</v>
      </c>
      <c r="CF645" s="27" t="s">
        <v>7</v>
      </c>
      <c r="CJ645" s="27" t="s">
        <v>7</v>
      </c>
      <c r="CK645" s="27" t="s">
        <v>8</v>
      </c>
      <c r="CL645" s="27" t="s">
        <v>7</v>
      </c>
      <c r="DL645" s="27" t="s">
        <v>7</v>
      </c>
      <c r="DM645" s="27" t="s">
        <v>8</v>
      </c>
      <c r="DN645" s="27" t="s">
        <v>7</v>
      </c>
      <c r="DO645" s="27" t="s">
        <v>8</v>
      </c>
      <c r="DQ645" s="27" t="s">
        <v>8</v>
      </c>
      <c r="DR645" s="27" t="s">
        <v>7</v>
      </c>
      <c r="DS645" s="27" t="s">
        <v>8</v>
      </c>
      <c r="DT645" s="27" t="s">
        <v>7</v>
      </c>
      <c r="GM645" s="27" t="s">
        <v>8</v>
      </c>
      <c r="GV645" s="27" t="s">
        <v>7</v>
      </c>
      <c r="GW645" s="27" t="s">
        <v>8</v>
      </c>
      <c r="HB645" s="27" t="s">
        <v>7</v>
      </c>
      <c r="HC645" s="27" t="s">
        <v>8</v>
      </c>
      <c r="HD645" s="27" t="s">
        <v>7</v>
      </c>
      <c r="HG645" s="27" t="s">
        <v>8</v>
      </c>
      <c r="HH645" s="27" t="s">
        <v>7</v>
      </c>
      <c r="HJ645" s="27" t="s">
        <v>7</v>
      </c>
      <c r="HK645" s="27" t="s">
        <v>8</v>
      </c>
      <c r="HL645" s="27" t="s">
        <v>7</v>
      </c>
      <c r="IO645" s="27" t="s">
        <v>8</v>
      </c>
      <c r="IQ645" s="27" t="s">
        <v>8</v>
      </c>
      <c r="IR645" s="27" t="s">
        <v>7</v>
      </c>
      <c r="IS645" s="27" t="s">
        <v>8</v>
      </c>
      <c r="IT645" s="27" t="s">
        <v>7</v>
      </c>
      <c r="IU645" s="27" t="s">
        <v>8</v>
      </c>
      <c r="JB645" s="27" t="s">
        <v>7</v>
      </c>
      <c r="JD645" s="27" t="s">
        <v>7</v>
      </c>
      <c r="JE645" s="27" t="s">
        <v>8</v>
      </c>
      <c r="JF645" s="27" t="s">
        <v>7</v>
      </c>
      <c r="JG645" s="27" t="s">
        <v>8</v>
      </c>
      <c r="LF645" s="27" t="s">
        <v>7</v>
      </c>
      <c r="LG645" s="27" t="s">
        <v>8</v>
      </c>
      <c r="LH645" s="27" t="s">
        <v>7</v>
      </c>
      <c r="LI645" s="27" t="s">
        <v>8</v>
      </c>
    </row>
    <row r="646" spans="1:341" x14ac:dyDescent="0.25">
      <c r="A646" s="7">
        <v>0.31087791178825175</v>
      </c>
      <c r="B646"/>
      <c r="C646"/>
      <c r="D646"/>
      <c r="E646"/>
      <c r="J646" s="27" t="s">
        <v>7</v>
      </c>
      <c r="K646" s="27" t="s">
        <v>8</v>
      </c>
      <c r="BG646" s="27" t="s">
        <v>8</v>
      </c>
      <c r="BK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CJ646" s="27" t="s">
        <v>7</v>
      </c>
      <c r="CK646" s="27" t="s">
        <v>8</v>
      </c>
      <c r="DL646" s="27" t="s">
        <v>7</v>
      </c>
      <c r="DM646" s="27" t="s">
        <v>8</v>
      </c>
      <c r="DN646" s="27" t="s">
        <v>7</v>
      </c>
      <c r="DO646" s="27" t="s">
        <v>8</v>
      </c>
      <c r="DP646" s="27" t="s">
        <v>7</v>
      </c>
      <c r="DQ646" s="27" t="s">
        <v>8</v>
      </c>
      <c r="DR646" s="27" t="s">
        <v>7</v>
      </c>
      <c r="DS646" s="27" t="s">
        <v>8</v>
      </c>
      <c r="DT646" s="27" t="s">
        <v>7</v>
      </c>
      <c r="GM646" s="27" t="s">
        <v>8</v>
      </c>
      <c r="GV646" s="27" t="s">
        <v>7</v>
      </c>
      <c r="HB646" s="27" t="s">
        <v>7</v>
      </c>
      <c r="HC646" s="27" t="s">
        <v>8</v>
      </c>
      <c r="HD646" s="27" t="s">
        <v>7</v>
      </c>
      <c r="HE646" s="27" t="s">
        <v>8</v>
      </c>
      <c r="HG646" s="27" t="s">
        <v>8</v>
      </c>
      <c r="HJ646" s="27" t="s">
        <v>7</v>
      </c>
      <c r="HK646" s="27" t="s">
        <v>8</v>
      </c>
      <c r="HL646" s="27" t="s">
        <v>7</v>
      </c>
      <c r="II646" s="27" t="s">
        <v>8</v>
      </c>
      <c r="IO646" s="27" t="s">
        <v>8</v>
      </c>
      <c r="IP646" s="27" t="s">
        <v>7</v>
      </c>
      <c r="IQ646" s="27" t="s">
        <v>8</v>
      </c>
      <c r="IR646" s="27" t="s">
        <v>7</v>
      </c>
      <c r="IS646" s="27" t="s">
        <v>8</v>
      </c>
      <c r="IT646" s="27" t="s">
        <v>7</v>
      </c>
      <c r="IU646" s="27" t="s">
        <v>8</v>
      </c>
      <c r="JD646" s="27" t="s">
        <v>7</v>
      </c>
      <c r="JE646" s="27" t="s">
        <v>8</v>
      </c>
      <c r="JF646" s="27" t="s">
        <v>7</v>
      </c>
      <c r="JG646" s="27" t="s">
        <v>8</v>
      </c>
      <c r="LF646" s="27" t="s">
        <v>7</v>
      </c>
      <c r="LH646" s="27" t="s">
        <v>7</v>
      </c>
      <c r="LI646" s="27" t="s">
        <v>8</v>
      </c>
    </row>
    <row r="647" spans="1:341" x14ac:dyDescent="0.25">
      <c r="A647" s="7">
        <v>0.30478226645907036</v>
      </c>
      <c r="B647"/>
      <c r="C647"/>
      <c r="D647"/>
      <c r="E647"/>
      <c r="J647" s="27" t="s">
        <v>7</v>
      </c>
      <c r="K647" s="27" t="s">
        <v>8</v>
      </c>
      <c r="L647" s="27" t="s">
        <v>7</v>
      </c>
      <c r="O647" s="27" t="s">
        <v>8</v>
      </c>
      <c r="BG647" s="27" t="s">
        <v>8</v>
      </c>
      <c r="BH647" s="27" t="s">
        <v>7</v>
      </c>
      <c r="BK647" s="27" t="s">
        <v>8</v>
      </c>
      <c r="BR647" s="27" t="s">
        <v>7</v>
      </c>
      <c r="BS647" s="27" t="s">
        <v>8</v>
      </c>
      <c r="BT647" s="27" t="s">
        <v>7</v>
      </c>
      <c r="CJ647" s="27" t="s">
        <v>7</v>
      </c>
      <c r="CK647" s="27" t="s">
        <v>8</v>
      </c>
      <c r="DL647" s="27" t="s">
        <v>7</v>
      </c>
      <c r="DM647" s="27" t="s">
        <v>8</v>
      </c>
      <c r="DN647" s="27" t="s">
        <v>7</v>
      </c>
      <c r="DO647" s="27" t="s">
        <v>8</v>
      </c>
      <c r="DP647" s="27" t="s">
        <v>7</v>
      </c>
      <c r="DQ647" s="27" t="s">
        <v>8</v>
      </c>
      <c r="DR647" s="27" t="s">
        <v>7</v>
      </c>
      <c r="DS647" s="27" t="s">
        <v>8</v>
      </c>
      <c r="DT647" s="27" t="s">
        <v>7</v>
      </c>
      <c r="GM647" s="27" t="s">
        <v>8</v>
      </c>
      <c r="HB647" s="27" t="s">
        <v>7</v>
      </c>
      <c r="HC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J647" s="27" t="s">
        <v>7</v>
      </c>
      <c r="HK647" s="27" t="s">
        <v>8</v>
      </c>
      <c r="HL647" s="27" t="s">
        <v>7</v>
      </c>
      <c r="II647" s="27" t="s">
        <v>8</v>
      </c>
      <c r="IJ647" s="27" t="s">
        <v>7</v>
      </c>
      <c r="IK647" s="27" t="s">
        <v>8</v>
      </c>
      <c r="IO647" s="27" t="s">
        <v>8</v>
      </c>
      <c r="IP647" s="27" t="s">
        <v>7</v>
      </c>
      <c r="IQ647" s="27" t="s">
        <v>8</v>
      </c>
      <c r="IR647" s="27" t="s">
        <v>7</v>
      </c>
      <c r="IS647" s="27" t="s">
        <v>8</v>
      </c>
      <c r="IT647" s="27" t="s">
        <v>7</v>
      </c>
      <c r="IU647" s="27" t="s">
        <v>8</v>
      </c>
      <c r="JD647" s="27" t="s">
        <v>7</v>
      </c>
      <c r="JE647" s="27" t="s">
        <v>8</v>
      </c>
      <c r="JF647" s="27" t="s">
        <v>7</v>
      </c>
      <c r="JG647" s="27" t="s">
        <v>8</v>
      </c>
      <c r="LH647" s="27" t="s">
        <v>7</v>
      </c>
      <c r="LI647" s="27" t="s">
        <v>8</v>
      </c>
    </row>
    <row r="648" spans="1:341" x14ac:dyDescent="0.25">
      <c r="A648" s="7">
        <v>0.29880614358732388</v>
      </c>
      <c r="B648"/>
      <c r="C648"/>
      <c r="D648"/>
      <c r="E648"/>
      <c r="J648" s="27" t="s">
        <v>7</v>
      </c>
      <c r="K648" s="27" t="s">
        <v>8</v>
      </c>
      <c r="L648" s="27" t="s">
        <v>7</v>
      </c>
      <c r="O648" s="27" t="s">
        <v>8</v>
      </c>
      <c r="P648" s="27" t="s">
        <v>7</v>
      </c>
      <c r="BG648" s="27" t="s">
        <v>8</v>
      </c>
      <c r="BH648" s="27" t="s">
        <v>7</v>
      </c>
      <c r="BK648" s="27" t="s">
        <v>8</v>
      </c>
      <c r="BR648" s="27" t="s">
        <v>7</v>
      </c>
      <c r="BS648" s="27" t="s">
        <v>8</v>
      </c>
      <c r="CJ648" s="27" t="s">
        <v>7</v>
      </c>
      <c r="CK648" s="27" t="s">
        <v>8</v>
      </c>
      <c r="DL648" s="27" t="s">
        <v>7</v>
      </c>
      <c r="DN648" s="27" t="s">
        <v>7</v>
      </c>
      <c r="DO648" s="27" t="s">
        <v>8</v>
      </c>
      <c r="DP648" s="27" t="s">
        <v>7</v>
      </c>
      <c r="DR648" s="27" t="s">
        <v>7</v>
      </c>
      <c r="DS648" s="27" t="s">
        <v>8</v>
      </c>
      <c r="DT648" s="27" t="s">
        <v>7</v>
      </c>
      <c r="GM648" s="27" t="s">
        <v>8</v>
      </c>
      <c r="HB648" s="27" t="s">
        <v>7</v>
      </c>
      <c r="HC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J648" s="27" t="s">
        <v>7</v>
      </c>
      <c r="HK648" s="27" t="s">
        <v>8</v>
      </c>
      <c r="HL648" s="27" t="s">
        <v>7</v>
      </c>
      <c r="II648" s="27" t="s">
        <v>8</v>
      </c>
      <c r="IJ648" s="27" t="s">
        <v>7</v>
      </c>
      <c r="IK648" s="27" t="s">
        <v>8</v>
      </c>
      <c r="IL648" s="27" t="s">
        <v>7</v>
      </c>
      <c r="IO648" s="27" t="s">
        <v>8</v>
      </c>
      <c r="IP648" s="27" t="s">
        <v>7</v>
      </c>
      <c r="IQ648" s="27" t="s">
        <v>8</v>
      </c>
      <c r="IR648" s="27" t="s">
        <v>7</v>
      </c>
      <c r="IS648" s="27" t="s">
        <v>8</v>
      </c>
      <c r="IT648" s="27" t="s">
        <v>7</v>
      </c>
      <c r="JD648" s="27" t="s">
        <v>7</v>
      </c>
      <c r="JE648" s="27" t="s">
        <v>8</v>
      </c>
      <c r="JF648" s="27" t="s">
        <v>7</v>
      </c>
      <c r="JG648" s="27" t="s">
        <v>8</v>
      </c>
      <c r="LH648" s="27" t="s">
        <v>7</v>
      </c>
    </row>
    <row r="649" spans="1:341" x14ac:dyDescent="0.25">
      <c r="A649" s="7">
        <v>0.2929471995954156</v>
      </c>
      <c r="B649"/>
      <c r="C649"/>
      <c r="D649"/>
      <c r="E649"/>
      <c r="J649" s="27" t="s">
        <v>7</v>
      </c>
      <c r="K649" s="27" t="s">
        <v>8</v>
      </c>
      <c r="L649" s="27" t="s">
        <v>7</v>
      </c>
      <c r="O649" s="27" t="s">
        <v>8</v>
      </c>
      <c r="P649" s="27" t="s">
        <v>7</v>
      </c>
      <c r="AK649" s="27" t="s">
        <v>8</v>
      </c>
      <c r="BG649" s="27" t="s">
        <v>8</v>
      </c>
      <c r="BH649" s="27" t="s">
        <v>7</v>
      </c>
      <c r="BI649" s="27" t="s">
        <v>8</v>
      </c>
      <c r="BK649" s="27" t="s">
        <v>8</v>
      </c>
      <c r="BR649" s="27" t="s">
        <v>7</v>
      </c>
      <c r="CJ649" s="27" t="s">
        <v>7</v>
      </c>
      <c r="DN649" s="27" t="s">
        <v>7</v>
      </c>
      <c r="DR649" s="27" t="s">
        <v>7</v>
      </c>
      <c r="DS649" s="27" t="s">
        <v>8</v>
      </c>
      <c r="DT649" s="27" t="s">
        <v>7</v>
      </c>
      <c r="GM649" s="27" t="s">
        <v>8</v>
      </c>
      <c r="HB649" s="27" t="s">
        <v>7</v>
      </c>
      <c r="HC649" s="27" t="s">
        <v>8</v>
      </c>
      <c r="HD649" s="27" t="s">
        <v>7</v>
      </c>
      <c r="HE649" s="27" t="s">
        <v>8</v>
      </c>
      <c r="HF649" s="27" t="s">
        <v>7</v>
      </c>
      <c r="HG649" s="27" t="s">
        <v>8</v>
      </c>
      <c r="HJ649" s="27" t="s">
        <v>7</v>
      </c>
      <c r="HK649" s="27" t="s">
        <v>8</v>
      </c>
      <c r="HL649" s="27" t="s">
        <v>7</v>
      </c>
      <c r="II649" s="27" t="s">
        <v>8</v>
      </c>
      <c r="IJ649" s="27" t="s">
        <v>7</v>
      </c>
      <c r="IK649" s="27" t="s">
        <v>8</v>
      </c>
      <c r="IL649" s="27" t="s">
        <v>7</v>
      </c>
      <c r="IO649" s="27" t="s">
        <v>8</v>
      </c>
      <c r="IP649" s="27" t="s">
        <v>7</v>
      </c>
      <c r="IQ649" s="27" t="s">
        <v>8</v>
      </c>
      <c r="IR649" s="27" t="s">
        <v>7</v>
      </c>
      <c r="JD649" s="27" t="s">
        <v>7</v>
      </c>
      <c r="JF649" s="27" t="s">
        <v>7</v>
      </c>
      <c r="JG649" s="27" t="s">
        <v>8</v>
      </c>
    </row>
    <row r="650" spans="1:341" x14ac:dyDescent="0.25">
      <c r="A650" s="7">
        <v>0.28720313685825055</v>
      </c>
      <c r="B650"/>
      <c r="C650"/>
      <c r="D650"/>
      <c r="E650"/>
      <c r="J650" s="27" t="s">
        <v>7</v>
      </c>
      <c r="K650" s="27" t="s">
        <v>8</v>
      </c>
      <c r="L650" s="27" t="s">
        <v>7</v>
      </c>
      <c r="O650" s="27" t="s">
        <v>8</v>
      </c>
      <c r="P650" s="27" t="s">
        <v>7</v>
      </c>
      <c r="Q650" s="27" t="s">
        <v>8</v>
      </c>
      <c r="AA650" s="27" t="s">
        <v>8</v>
      </c>
      <c r="AI650" s="27" t="s">
        <v>8</v>
      </c>
      <c r="AK650" s="27" t="s">
        <v>8</v>
      </c>
      <c r="AL650" s="27" t="s">
        <v>7</v>
      </c>
      <c r="BC650" s="27" t="s">
        <v>8</v>
      </c>
      <c r="BE650" s="27" t="s">
        <v>8</v>
      </c>
      <c r="BG650" s="27" t="s">
        <v>8</v>
      </c>
      <c r="BH650" s="27" t="s">
        <v>7</v>
      </c>
      <c r="BI650" s="27" t="s">
        <v>8</v>
      </c>
      <c r="BJ650" s="27" t="s">
        <v>7</v>
      </c>
      <c r="BK650" s="27" t="s">
        <v>8</v>
      </c>
      <c r="DR650" s="27" t="s">
        <v>7</v>
      </c>
      <c r="DS650" s="27" t="s">
        <v>8</v>
      </c>
      <c r="DT650" s="27" t="s">
        <v>7</v>
      </c>
      <c r="GM650" s="27" t="s">
        <v>8</v>
      </c>
      <c r="HB650" s="27" t="s">
        <v>7</v>
      </c>
      <c r="HC650" s="27" t="s">
        <v>8</v>
      </c>
      <c r="HD650" s="27" t="s">
        <v>7</v>
      </c>
      <c r="HF650" s="27" t="s">
        <v>7</v>
      </c>
      <c r="HJ650" s="27" t="s">
        <v>7</v>
      </c>
      <c r="HL650" s="27" t="s">
        <v>7</v>
      </c>
      <c r="II650" s="27" t="s">
        <v>8</v>
      </c>
      <c r="IJ650" s="27" t="s">
        <v>7</v>
      </c>
      <c r="IK650" s="27" t="s">
        <v>8</v>
      </c>
      <c r="IL650" s="27" t="s">
        <v>7</v>
      </c>
      <c r="IO650" s="27" t="s">
        <v>8</v>
      </c>
      <c r="IP650" s="27" t="s">
        <v>7</v>
      </c>
      <c r="IQ650" s="27" t="s">
        <v>8</v>
      </c>
      <c r="JF650" s="27" t="s">
        <v>7</v>
      </c>
      <c r="JG650" s="27" t="s">
        <v>8</v>
      </c>
    </row>
    <row r="651" spans="1:341" x14ac:dyDescent="0.25">
      <c r="A651" s="7">
        <v>0.28157170280220645</v>
      </c>
      <c r="B651"/>
      <c r="C651"/>
      <c r="D651"/>
      <c r="E651"/>
      <c r="J651" s="27" t="s">
        <v>7</v>
      </c>
      <c r="K651" s="27" t="s">
        <v>8</v>
      </c>
      <c r="L651" s="27" t="s">
        <v>7</v>
      </c>
      <c r="O651" s="27" t="s">
        <v>8</v>
      </c>
      <c r="P651" s="27" t="s">
        <v>7</v>
      </c>
      <c r="Q651" s="27" t="s">
        <v>8</v>
      </c>
      <c r="R651" s="27" t="s">
        <v>7</v>
      </c>
      <c r="AA651" s="27" t="s">
        <v>8</v>
      </c>
      <c r="AB651" s="27" t="s">
        <v>7</v>
      </c>
      <c r="AG651" s="27" t="s">
        <v>8</v>
      </c>
      <c r="AI651" s="27" t="s">
        <v>8</v>
      </c>
      <c r="AJ651" s="27" t="s">
        <v>7</v>
      </c>
      <c r="AK651" s="27" t="s">
        <v>8</v>
      </c>
      <c r="AL651" s="27" t="s">
        <v>7</v>
      </c>
      <c r="BC651" s="27" t="s">
        <v>8</v>
      </c>
      <c r="BD651" s="27" t="s">
        <v>7</v>
      </c>
      <c r="BE651" s="27" t="s">
        <v>8</v>
      </c>
      <c r="BF651" s="27" t="s">
        <v>7</v>
      </c>
      <c r="BG651" s="27" t="s">
        <v>8</v>
      </c>
      <c r="BH651" s="27" t="s">
        <v>7</v>
      </c>
      <c r="BI651" s="27" t="s">
        <v>8</v>
      </c>
      <c r="BJ651" s="27" t="s">
        <v>7</v>
      </c>
      <c r="BK651" s="27" t="s">
        <v>8</v>
      </c>
      <c r="DR651" s="27" t="s">
        <v>7</v>
      </c>
      <c r="DT651" s="27" t="s">
        <v>7</v>
      </c>
      <c r="EA651" s="27" t="s">
        <v>8</v>
      </c>
      <c r="GM651" s="27" t="s">
        <v>8</v>
      </c>
      <c r="HB651" s="27" t="s">
        <v>7</v>
      </c>
      <c r="HC651" s="27" t="s">
        <v>8</v>
      </c>
      <c r="HL651" s="27" t="s">
        <v>7</v>
      </c>
      <c r="II651" s="27" t="s">
        <v>8</v>
      </c>
      <c r="IJ651" s="27" t="s">
        <v>7</v>
      </c>
      <c r="IK651" s="27" t="s">
        <v>8</v>
      </c>
      <c r="IL651" s="27" t="s">
        <v>7</v>
      </c>
      <c r="IM651" s="27" t="s">
        <v>8</v>
      </c>
      <c r="IO651" s="27" t="s">
        <v>8</v>
      </c>
      <c r="IP651" s="27" t="s">
        <v>7</v>
      </c>
      <c r="IQ651" s="27" t="s">
        <v>8</v>
      </c>
      <c r="JF651" s="27" t="s">
        <v>7</v>
      </c>
    </row>
    <row r="652" spans="1:341" x14ac:dyDescent="0.25">
      <c r="A652" s="7">
        <v>0.27605068902177105</v>
      </c>
      <c r="B652"/>
      <c r="C652"/>
      <c r="D652"/>
      <c r="E652"/>
      <c r="J652" s="27" t="s">
        <v>7</v>
      </c>
      <c r="K652" s="27" t="s">
        <v>8</v>
      </c>
      <c r="L652" s="27" t="s">
        <v>7</v>
      </c>
      <c r="O652" s="27" t="s">
        <v>8</v>
      </c>
      <c r="P652" s="27" t="s">
        <v>7</v>
      </c>
      <c r="Q652" s="27" t="s">
        <v>8</v>
      </c>
      <c r="R652" s="27" t="s">
        <v>7</v>
      </c>
      <c r="AA652" s="27" t="s">
        <v>8</v>
      </c>
      <c r="AB652" s="27" t="s">
        <v>7</v>
      </c>
      <c r="AG652" s="27" t="s">
        <v>8</v>
      </c>
      <c r="AH652" s="27" t="s">
        <v>7</v>
      </c>
      <c r="AI652" s="27" t="s">
        <v>8</v>
      </c>
      <c r="AJ652" s="27" t="s">
        <v>7</v>
      </c>
      <c r="AK652" s="27" t="s">
        <v>8</v>
      </c>
      <c r="AL652" s="27" t="s">
        <v>7</v>
      </c>
      <c r="BC652" s="27" t="s">
        <v>8</v>
      </c>
      <c r="BD652" s="27" t="s">
        <v>7</v>
      </c>
      <c r="BE652" s="27" t="s">
        <v>8</v>
      </c>
      <c r="BF652" s="27" t="s">
        <v>7</v>
      </c>
      <c r="BG652" s="27" t="s">
        <v>8</v>
      </c>
      <c r="BH652" s="27" t="s">
        <v>7</v>
      </c>
      <c r="BJ652" s="27" t="s">
        <v>7</v>
      </c>
      <c r="BK652" s="27" t="s">
        <v>8</v>
      </c>
      <c r="DT652" s="27" t="s">
        <v>7</v>
      </c>
      <c r="DW652" s="27" t="s">
        <v>8</v>
      </c>
      <c r="DY652" s="27" t="s">
        <v>8</v>
      </c>
      <c r="EA652" s="27" t="s">
        <v>8</v>
      </c>
      <c r="EB652" s="27" t="s">
        <v>7</v>
      </c>
      <c r="EM652" s="27" t="s">
        <v>8</v>
      </c>
      <c r="GM652" s="27" t="s">
        <v>8</v>
      </c>
      <c r="HB652" s="27" t="s">
        <v>7</v>
      </c>
      <c r="HC652" s="27" t="s">
        <v>8</v>
      </c>
      <c r="HL652" s="27" t="s">
        <v>7</v>
      </c>
      <c r="II652" s="27" t="s">
        <v>8</v>
      </c>
      <c r="IJ652" s="27" t="s">
        <v>7</v>
      </c>
      <c r="IL652" s="27" t="s">
        <v>7</v>
      </c>
      <c r="IM652" s="27" t="s">
        <v>8</v>
      </c>
      <c r="IN652" s="27" t="s">
        <v>7</v>
      </c>
      <c r="IO652" s="27" t="s">
        <v>8</v>
      </c>
      <c r="IP652" s="27" t="s">
        <v>7</v>
      </c>
      <c r="IQ652" s="27" t="s">
        <v>8</v>
      </c>
    </row>
    <row r="653" spans="1:341" x14ac:dyDescent="0.25">
      <c r="A653" s="7">
        <v>0.27063793041350104</v>
      </c>
      <c r="B653"/>
      <c r="C653"/>
      <c r="D653"/>
      <c r="E653"/>
      <c r="J653" s="27" t="s">
        <v>7</v>
      </c>
      <c r="K653" s="27" t="s">
        <v>8</v>
      </c>
      <c r="L653" s="27" t="s">
        <v>7</v>
      </c>
      <c r="O653" s="27" t="s">
        <v>8</v>
      </c>
      <c r="P653" s="27" t="s">
        <v>7</v>
      </c>
      <c r="Q653" s="27" t="s">
        <v>8</v>
      </c>
      <c r="R653" s="27" t="s">
        <v>7</v>
      </c>
      <c r="AA653" s="27" t="s">
        <v>8</v>
      </c>
      <c r="AB653" s="27" t="s">
        <v>7</v>
      </c>
      <c r="AG653" s="27" t="s">
        <v>8</v>
      </c>
      <c r="AH653" s="27" t="s">
        <v>7</v>
      </c>
      <c r="AI653" s="27" t="s">
        <v>8</v>
      </c>
      <c r="AJ653" s="27" t="s">
        <v>7</v>
      </c>
      <c r="AK653" s="27" t="s">
        <v>8</v>
      </c>
      <c r="AL653" s="27" t="s">
        <v>7</v>
      </c>
      <c r="BC653" s="27" t="s">
        <v>8</v>
      </c>
      <c r="BD653" s="27" t="s">
        <v>7</v>
      </c>
      <c r="BE653" s="27" t="s">
        <v>8</v>
      </c>
      <c r="BF653" s="27" t="s">
        <v>7</v>
      </c>
      <c r="BG653" s="27" t="s">
        <v>8</v>
      </c>
      <c r="BJ653" s="27" t="s">
        <v>7</v>
      </c>
      <c r="BK653" s="27" t="s">
        <v>8</v>
      </c>
      <c r="DT653" s="27" t="s">
        <v>7</v>
      </c>
      <c r="DU653" s="27" t="s">
        <v>8</v>
      </c>
      <c r="DW653" s="27" t="s">
        <v>8</v>
      </c>
      <c r="DX653" s="27" t="s">
        <v>7</v>
      </c>
      <c r="DY653" s="27" t="s">
        <v>8</v>
      </c>
      <c r="DZ653" s="27" t="s">
        <v>7</v>
      </c>
      <c r="EA653" s="27" t="s">
        <v>8</v>
      </c>
      <c r="EB653" s="27" t="s">
        <v>7</v>
      </c>
      <c r="EC653" s="27" t="s">
        <v>8</v>
      </c>
      <c r="EM653" s="27" t="s">
        <v>8</v>
      </c>
      <c r="EN653" s="27" t="s">
        <v>7</v>
      </c>
      <c r="GM653" s="27" t="s">
        <v>8</v>
      </c>
      <c r="HB653" s="27" t="s">
        <v>7</v>
      </c>
      <c r="HL653" s="27" t="s">
        <v>7</v>
      </c>
      <c r="II653" s="27" t="s">
        <v>8</v>
      </c>
      <c r="IL653" s="27" t="s">
        <v>7</v>
      </c>
      <c r="IM653" s="27" t="s">
        <v>8</v>
      </c>
      <c r="IN653" s="27" t="s">
        <v>7</v>
      </c>
      <c r="IO653" s="27" t="s">
        <v>8</v>
      </c>
      <c r="IP653" s="27" t="s">
        <v>7</v>
      </c>
      <c r="IQ653" s="27" t="s">
        <v>8</v>
      </c>
    </row>
    <row r="654" spans="1:341" x14ac:dyDescent="0.25">
      <c r="A654" s="7">
        <v>0.26533130432696184</v>
      </c>
      <c r="B654"/>
      <c r="C654"/>
      <c r="D654"/>
      <c r="E654"/>
      <c r="J654" s="27" t="s">
        <v>7</v>
      </c>
      <c r="K654" s="27" t="s">
        <v>8</v>
      </c>
      <c r="L654" s="27" t="s">
        <v>7</v>
      </c>
      <c r="O654" s="27" t="s">
        <v>8</v>
      </c>
      <c r="P654" s="27" t="s">
        <v>7</v>
      </c>
      <c r="Q654" s="27" t="s">
        <v>8</v>
      </c>
      <c r="R654" s="27" t="s">
        <v>7</v>
      </c>
      <c r="S654" s="27" t="s">
        <v>8</v>
      </c>
      <c r="Y654" s="27" t="s">
        <v>8</v>
      </c>
      <c r="AA654" s="27" t="s">
        <v>8</v>
      </c>
      <c r="AB654" s="27" t="s">
        <v>7</v>
      </c>
      <c r="AG654" s="27" t="s">
        <v>8</v>
      </c>
      <c r="AH654" s="27" t="s">
        <v>7</v>
      </c>
      <c r="AI654" s="27" t="s">
        <v>8</v>
      </c>
      <c r="AJ654" s="27" t="s">
        <v>7</v>
      </c>
      <c r="AL654" s="27" t="s">
        <v>7</v>
      </c>
      <c r="BC654" s="27" t="s">
        <v>8</v>
      </c>
      <c r="BD654" s="27" t="s">
        <v>7</v>
      </c>
      <c r="BE654" s="27" t="s">
        <v>8</v>
      </c>
      <c r="BF654" s="27" t="s">
        <v>7</v>
      </c>
      <c r="BG654" s="27" t="s">
        <v>8</v>
      </c>
      <c r="BJ654" s="27" t="s">
        <v>7</v>
      </c>
      <c r="BK654" s="27" t="s">
        <v>8</v>
      </c>
      <c r="DT654" s="27" t="s">
        <v>7</v>
      </c>
      <c r="DU654" s="27" t="s">
        <v>8</v>
      </c>
      <c r="DV654" s="27" t="s">
        <v>7</v>
      </c>
      <c r="DW654" s="27" t="s">
        <v>8</v>
      </c>
      <c r="DX654" s="27" t="s">
        <v>7</v>
      </c>
      <c r="DY654" s="27" t="s">
        <v>8</v>
      </c>
      <c r="DZ654" s="27" t="s">
        <v>7</v>
      </c>
      <c r="EA654" s="27" t="s">
        <v>8</v>
      </c>
      <c r="EB654" s="27" t="s">
        <v>7</v>
      </c>
      <c r="EC654" s="27" t="s">
        <v>8</v>
      </c>
      <c r="ED654" s="27" t="s">
        <v>7</v>
      </c>
      <c r="EM654" s="27" t="s">
        <v>8</v>
      </c>
      <c r="EN654" s="27" t="s">
        <v>7</v>
      </c>
      <c r="GM654" s="27" t="s">
        <v>8</v>
      </c>
      <c r="HL654" s="27" t="s">
        <v>7</v>
      </c>
      <c r="HW654" s="27" t="s">
        <v>8</v>
      </c>
      <c r="HY654" s="27" t="s">
        <v>8</v>
      </c>
      <c r="II654" s="27" t="s">
        <v>8</v>
      </c>
      <c r="IL654" s="27" t="s">
        <v>7</v>
      </c>
      <c r="IM654" s="27" t="s">
        <v>8</v>
      </c>
      <c r="IN654" s="27" t="s">
        <v>7</v>
      </c>
      <c r="IO654" s="27" t="s">
        <v>8</v>
      </c>
      <c r="IP654" s="27" t="s">
        <v>7</v>
      </c>
      <c r="IQ654" s="27" t="s">
        <v>8</v>
      </c>
    </row>
    <row r="655" spans="1:341" x14ac:dyDescent="0.25">
      <c r="A655" s="7">
        <v>0.26012872973231554</v>
      </c>
      <c r="B655"/>
      <c r="C655"/>
      <c r="D655"/>
      <c r="E655"/>
      <c r="J655" s="27" t="s">
        <v>7</v>
      </c>
      <c r="L655" s="27" t="s">
        <v>7</v>
      </c>
      <c r="O655" s="27" t="s">
        <v>8</v>
      </c>
      <c r="P655" s="27" t="s">
        <v>7</v>
      </c>
      <c r="Q655" s="27" t="s">
        <v>8</v>
      </c>
      <c r="R655" s="27" t="s">
        <v>7</v>
      </c>
      <c r="S655" s="27" t="s">
        <v>8</v>
      </c>
      <c r="T655" s="27" t="s">
        <v>7</v>
      </c>
      <c r="Y655" s="27" t="s">
        <v>8</v>
      </c>
      <c r="Z655" s="27" t="s">
        <v>7</v>
      </c>
      <c r="AA655" s="27" t="s">
        <v>8</v>
      </c>
      <c r="AB655" s="27" t="s">
        <v>7</v>
      </c>
      <c r="AG655" s="27" t="s">
        <v>8</v>
      </c>
      <c r="AH655" s="27" t="s">
        <v>7</v>
      </c>
      <c r="AL655" s="27" t="s">
        <v>7</v>
      </c>
      <c r="BC655" s="27" t="s">
        <v>8</v>
      </c>
      <c r="BD655" s="27" t="s">
        <v>7</v>
      </c>
      <c r="BE655" s="27" t="s">
        <v>8</v>
      </c>
      <c r="BF655" s="27" t="s">
        <v>7</v>
      </c>
      <c r="BJ655" s="27" t="s">
        <v>7</v>
      </c>
      <c r="DT655" s="27" t="s">
        <v>7</v>
      </c>
      <c r="DU655" s="27" t="s">
        <v>8</v>
      </c>
      <c r="DV655" s="27" t="s">
        <v>7</v>
      </c>
      <c r="DW655" s="27" t="s">
        <v>8</v>
      </c>
      <c r="DX655" s="27" t="s">
        <v>7</v>
      </c>
      <c r="DZ655" s="27" t="s">
        <v>7</v>
      </c>
      <c r="EA655" s="27" t="s">
        <v>8</v>
      </c>
      <c r="EB655" s="27" t="s">
        <v>7</v>
      </c>
      <c r="EC655" s="27" t="s">
        <v>8</v>
      </c>
      <c r="ED655" s="27" t="s">
        <v>7</v>
      </c>
      <c r="EK655" s="27" t="s">
        <v>8</v>
      </c>
      <c r="EM655" s="27" t="s">
        <v>8</v>
      </c>
      <c r="EN655" s="27" t="s">
        <v>7</v>
      </c>
      <c r="GM655" s="27" t="s">
        <v>8</v>
      </c>
      <c r="HL655" s="27" t="s">
        <v>7</v>
      </c>
      <c r="HW655" s="27" t="s">
        <v>8</v>
      </c>
      <c r="HX655" s="27" t="s">
        <v>7</v>
      </c>
      <c r="HY655" s="27" t="s">
        <v>8</v>
      </c>
      <c r="HZ655" s="27" t="s">
        <v>7</v>
      </c>
      <c r="IA655" s="27" t="s">
        <v>8</v>
      </c>
      <c r="II655" s="27" t="s">
        <v>8</v>
      </c>
      <c r="IL655" s="27" t="s">
        <v>7</v>
      </c>
      <c r="IN655" s="27" t="s">
        <v>7</v>
      </c>
      <c r="IP655" s="27" t="s">
        <v>7</v>
      </c>
      <c r="IQ655" s="27" t="s">
        <v>8</v>
      </c>
    </row>
    <row r="656" spans="1:341" x14ac:dyDescent="0.25">
      <c r="A656" s="7">
        <v>0.25502816640423093</v>
      </c>
      <c r="B656"/>
      <c r="C656"/>
      <c r="D656"/>
      <c r="E656"/>
      <c r="L656" s="27" t="s">
        <v>7</v>
      </c>
      <c r="M656" s="27" t="s">
        <v>8</v>
      </c>
      <c r="O656" s="27" t="s">
        <v>8</v>
      </c>
      <c r="P656" s="27" t="s">
        <v>7</v>
      </c>
      <c r="Q656" s="27" t="s">
        <v>8</v>
      </c>
      <c r="R656" s="27" t="s">
        <v>7</v>
      </c>
      <c r="S656" s="27" t="s">
        <v>8</v>
      </c>
      <c r="T656" s="27" t="s">
        <v>7</v>
      </c>
      <c r="Y656" s="27" t="s">
        <v>8</v>
      </c>
      <c r="Z656" s="27" t="s">
        <v>7</v>
      </c>
      <c r="AA656" s="27" t="s">
        <v>8</v>
      </c>
      <c r="AB656" s="27" t="s">
        <v>7</v>
      </c>
      <c r="AG656" s="27" t="s">
        <v>8</v>
      </c>
      <c r="AL656" s="27" t="s">
        <v>7</v>
      </c>
      <c r="BC656" s="27" t="s">
        <v>8</v>
      </c>
      <c r="BD656" s="27" t="s">
        <v>7</v>
      </c>
      <c r="BE656" s="27" t="s">
        <v>8</v>
      </c>
      <c r="DT656" s="27" t="s">
        <v>7</v>
      </c>
      <c r="DU656" s="27" t="s">
        <v>8</v>
      </c>
      <c r="DV656" s="27" t="s">
        <v>7</v>
      </c>
      <c r="DZ656" s="27" t="s">
        <v>7</v>
      </c>
      <c r="EB656" s="27" t="s">
        <v>7</v>
      </c>
      <c r="EC656" s="27" t="s">
        <v>8</v>
      </c>
      <c r="ED656" s="27" t="s">
        <v>7</v>
      </c>
      <c r="EK656" s="27" t="s">
        <v>8</v>
      </c>
      <c r="EL656" s="27" t="s">
        <v>7</v>
      </c>
      <c r="EM656" s="27" t="s">
        <v>8</v>
      </c>
      <c r="EN656" s="27" t="s">
        <v>7</v>
      </c>
      <c r="GM656" s="27" t="s">
        <v>8</v>
      </c>
      <c r="HL656" s="27" t="s">
        <v>7</v>
      </c>
      <c r="HW656" s="27" t="s">
        <v>8</v>
      </c>
      <c r="HX656" s="27" t="s">
        <v>7</v>
      </c>
      <c r="HY656" s="27" t="s">
        <v>8</v>
      </c>
      <c r="HZ656" s="27" t="s">
        <v>7</v>
      </c>
      <c r="IA656" s="27" t="s">
        <v>8</v>
      </c>
      <c r="IB656" s="27" t="s">
        <v>7</v>
      </c>
      <c r="II656" s="27" t="s">
        <v>8</v>
      </c>
      <c r="IP656" s="27" t="s">
        <v>7</v>
      </c>
      <c r="IQ656" s="27" t="s">
        <v>8</v>
      </c>
    </row>
    <row r="657" spans="1:251" x14ac:dyDescent="0.25">
      <c r="A657" s="7">
        <v>0.25002761412179503</v>
      </c>
      <c r="B657"/>
      <c r="C657"/>
      <c r="D657"/>
      <c r="E657"/>
      <c r="L657" s="27" t="s">
        <v>7</v>
      </c>
      <c r="M657" s="27" t="s">
        <v>8</v>
      </c>
      <c r="N657" s="27" t="s">
        <v>7</v>
      </c>
      <c r="O657" s="27" t="s">
        <v>8</v>
      </c>
      <c r="P657" s="27" t="s">
        <v>7</v>
      </c>
      <c r="Q657" s="27" t="s">
        <v>8</v>
      </c>
      <c r="R657" s="27" t="s">
        <v>7</v>
      </c>
      <c r="S657" s="27" t="s">
        <v>8</v>
      </c>
      <c r="T657" s="27" t="s">
        <v>7</v>
      </c>
      <c r="Y657" s="27" t="s">
        <v>8</v>
      </c>
      <c r="Z657" s="27" t="s">
        <v>7</v>
      </c>
      <c r="AA657" s="27" t="s">
        <v>8</v>
      </c>
      <c r="AB657" s="27" t="s">
        <v>7</v>
      </c>
      <c r="AC657" s="27" t="s">
        <v>8</v>
      </c>
      <c r="AG657" s="27" t="s">
        <v>8</v>
      </c>
      <c r="AL657" s="27" t="s">
        <v>7</v>
      </c>
      <c r="BC657" s="27" t="s">
        <v>8</v>
      </c>
      <c r="BD657" s="27" t="s">
        <v>7</v>
      </c>
      <c r="BE657" s="27" t="s">
        <v>8</v>
      </c>
      <c r="DT657" s="27" t="s">
        <v>7</v>
      </c>
      <c r="DU657" s="27" t="s">
        <v>8</v>
      </c>
      <c r="EB657" s="27" t="s">
        <v>7</v>
      </c>
      <c r="EC657" s="27" t="s">
        <v>8</v>
      </c>
      <c r="ED657" s="27" t="s">
        <v>7</v>
      </c>
      <c r="EK657" s="27" t="s">
        <v>8</v>
      </c>
      <c r="EL657" s="27" t="s">
        <v>7</v>
      </c>
      <c r="EM657" s="27" t="s">
        <v>8</v>
      </c>
      <c r="EN657" s="27" t="s">
        <v>7</v>
      </c>
      <c r="GM657" s="27" t="s">
        <v>8</v>
      </c>
      <c r="HL657" s="27" t="s">
        <v>7</v>
      </c>
      <c r="HW657" s="27" t="s">
        <v>8</v>
      </c>
      <c r="HX657" s="27" t="s">
        <v>7</v>
      </c>
      <c r="HY657" s="27" t="s">
        <v>8</v>
      </c>
      <c r="HZ657" s="27" t="s">
        <v>7</v>
      </c>
      <c r="IA657" s="27" t="s">
        <v>8</v>
      </c>
      <c r="IB657" s="27" t="s">
        <v>7</v>
      </c>
      <c r="IG657" s="27" t="s">
        <v>8</v>
      </c>
      <c r="II657" s="27" t="s">
        <v>8</v>
      </c>
      <c r="IP657" s="27" t="s">
        <v>7</v>
      </c>
      <c r="IQ657" s="27" t="s">
        <v>8</v>
      </c>
    </row>
    <row r="658" spans="1:251" x14ac:dyDescent="0.25">
      <c r="A658" s="7">
        <v>0.24512511188411276</v>
      </c>
      <c r="B658"/>
      <c r="C658"/>
      <c r="D658"/>
      <c r="E658"/>
      <c r="L658" s="27" t="s">
        <v>7</v>
      </c>
      <c r="M658" s="27" t="s">
        <v>8</v>
      </c>
      <c r="N658" s="27" t="s">
        <v>7</v>
      </c>
      <c r="O658" s="27" t="s">
        <v>8</v>
      </c>
      <c r="P658" s="27" t="s">
        <v>7</v>
      </c>
      <c r="R658" s="27" t="s">
        <v>7</v>
      </c>
      <c r="S658" s="27" t="s">
        <v>8</v>
      </c>
      <c r="T658" s="27" t="s">
        <v>7</v>
      </c>
      <c r="Y658" s="27" t="s">
        <v>8</v>
      </c>
      <c r="Z658" s="27" t="s">
        <v>7</v>
      </c>
      <c r="AA658" s="27" t="s">
        <v>8</v>
      </c>
      <c r="AB658" s="27" t="s">
        <v>7</v>
      </c>
      <c r="AC658" s="27" t="s">
        <v>8</v>
      </c>
      <c r="AD658" s="27" t="s">
        <v>7</v>
      </c>
      <c r="AE658" s="27" t="s">
        <v>8</v>
      </c>
      <c r="AG658" s="27" t="s">
        <v>8</v>
      </c>
      <c r="AL658" s="27" t="s">
        <v>7</v>
      </c>
      <c r="AO658" s="27" t="s">
        <v>8</v>
      </c>
      <c r="BA658" s="27" t="s">
        <v>8</v>
      </c>
      <c r="BC658" s="27" t="s">
        <v>8</v>
      </c>
      <c r="BD658" s="27" t="s">
        <v>7</v>
      </c>
      <c r="BE658" s="27" t="s">
        <v>8</v>
      </c>
      <c r="DT658" s="27" t="s">
        <v>7</v>
      </c>
      <c r="DU658" s="27" t="s">
        <v>8</v>
      </c>
      <c r="EB658" s="27" t="s">
        <v>7</v>
      </c>
      <c r="ED658" s="27" t="s">
        <v>7</v>
      </c>
      <c r="EK658" s="27" t="s">
        <v>8</v>
      </c>
      <c r="EL658" s="27" t="s">
        <v>7</v>
      </c>
      <c r="EM658" s="27" t="s">
        <v>8</v>
      </c>
      <c r="EN658" s="27" t="s">
        <v>7</v>
      </c>
      <c r="GM658" s="27" t="s">
        <v>8</v>
      </c>
      <c r="HL658" s="27" t="s">
        <v>7</v>
      </c>
      <c r="HW658" s="27" t="s">
        <v>8</v>
      </c>
      <c r="HX658" s="27" t="s">
        <v>7</v>
      </c>
      <c r="HY658" s="27" t="s">
        <v>8</v>
      </c>
      <c r="HZ658" s="27" t="s">
        <v>7</v>
      </c>
      <c r="IB658" s="27" t="s">
        <v>7</v>
      </c>
      <c r="IG658" s="27" t="s">
        <v>8</v>
      </c>
      <c r="IH658" s="27" t="s">
        <v>7</v>
      </c>
      <c r="II658" s="27" t="s">
        <v>8</v>
      </c>
      <c r="IP658" s="27" t="s">
        <v>7</v>
      </c>
      <c r="IQ658" s="27" t="s">
        <v>8</v>
      </c>
    </row>
    <row r="659" spans="1:251" x14ac:dyDescent="0.25">
      <c r="A659" s="7">
        <v>0.24031873714128701</v>
      </c>
      <c r="B659"/>
      <c r="C659"/>
      <c r="D659"/>
      <c r="E659"/>
      <c r="L659" s="27" t="s">
        <v>7</v>
      </c>
      <c r="M659" s="27" t="s">
        <v>8</v>
      </c>
      <c r="N659" s="27" t="s">
        <v>7</v>
      </c>
      <c r="O659" s="27" t="s">
        <v>8</v>
      </c>
      <c r="R659" s="27" t="s">
        <v>7</v>
      </c>
      <c r="T659" s="27" t="s">
        <v>7</v>
      </c>
      <c r="Y659" s="27" t="s">
        <v>8</v>
      </c>
      <c r="Z659" s="27" t="s">
        <v>7</v>
      </c>
      <c r="AA659" s="27" t="s">
        <v>8</v>
      </c>
      <c r="AB659" s="27" t="s">
        <v>7</v>
      </c>
      <c r="AC659" s="27" t="s">
        <v>8</v>
      </c>
      <c r="AD659" s="27" t="s">
        <v>7</v>
      </c>
      <c r="AE659" s="27" t="s">
        <v>8</v>
      </c>
      <c r="AF659" s="27" t="s">
        <v>7</v>
      </c>
      <c r="AG659" s="27" t="s">
        <v>8</v>
      </c>
      <c r="AL659" s="27" t="s">
        <v>7</v>
      </c>
      <c r="AM659" s="27" t="s">
        <v>8</v>
      </c>
      <c r="AO659" s="27" t="s">
        <v>8</v>
      </c>
      <c r="AP659" s="27" t="s">
        <v>7</v>
      </c>
      <c r="BA659" s="27" t="s">
        <v>8</v>
      </c>
      <c r="BB659" s="27" t="s">
        <v>7</v>
      </c>
      <c r="BC659" s="27" t="s">
        <v>8</v>
      </c>
      <c r="BD659" s="27" t="s">
        <v>7</v>
      </c>
      <c r="BE659" s="27" t="s">
        <v>8</v>
      </c>
      <c r="DT659" s="27" t="s">
        <v>7</v>
      </c>
      <c r="DU659" s="27" t="s">
        <v>8</v>
      </c>
      <c r="ED659" s="27" t="s">
        <v>7</v>
      </c>
      <c r="EK659" s="27" t="s">
        <v>8</v>
      </c>
      <c r="EL659" s="27" t="s">
        <v>7</v>
      </c>
      <c r="EM659" s="27" t="s">
        <v>8</v>
      </c>
      <c r="EN659" s="27" t="s">
        <v>7</v>
      </c>
      <c r="EO659" s="27" t="s">
        <v>8</v>
      </c>
      <c r="GM659" s="27" t="s">
        <v>8</v>
      </c>
      <c r="HL659" s="27" t="s">
        <v>7</v>
      </c>
      <c r="HW659" s="27" t="s">
        <v>8</v>
      </c>
      <c r="HX659" s="27" t="s">
        <v>7</v>
      </c>
      <c r="HY659" s="27" t="s">
        <v>8</v>
      </c>
      <c r="IB659" s="27" t="s">
        <v>7</v>
      </c>
      <c r="IC659" s="27" t="s">
        <v>8</v>
      </c>
      <c r="IG659" s="27" t="s">
        <v>8</v>
      </c>
      <c r="IH659" s="27" t="s">
        <v>7</v>
      </c>
      <c r="II659" s="27" t="s">
        <v>8</v>
      </c>
      <c r="IP659" s="27" t="s">
        <v>7</v>
      </c>
      <c r="IQ659" s="27" t="s">
        <v>8</v>
      </c>
    </row>
    <row r="660" spans="1:251" x14ac:dyDescent="0.25">
      <c r="A660" s="7">
        <v>0.23560660504047748</v>
      </c>
      <c r="B660"/>
      <c r="C660"/>
      <c r="D660"/>
      <c r="E660"/>
      <c r="L660" s="27" t="s">
        <v>7</v>
      </c>
      <c r="M660" s="27" t="s">
        <v>8</v>
      </c>
      <c r="N660" s="27" t="s">
        <v>7</v>
      </c>
      <c r="O660" s="27" t="s">
        <v>8</v>
      </c>
      <c r="T660" s="27" t="s">
        <v>7</v>
      </c>
      <c r="Y660" s="27" t="s">
        <v>8</v>
      </c>
      <c r="Z660" s="27" t="s">
        <v>7</v>
      </c>
      <c r="AB660" s="27" t="s">
        <v>7</v>
      </c>
      <c r="AD660" s="27" t="s">
        <v>7</v>
      </c>
      <c r="AE660" s="27" t="s">
        <v>8</v>
      </c>
      <c r="AF660" s="27" t="s">
        <v>7</v>
      </c>
      <c r="AG660" s="27" t="s">
        <v>8</v>
      </c>
      <c r="AL660" s="27" t="s">
        <v>7</v>
      </c>
      <c r="AM660" s="27" t="s">
        <v>8</v>
      </c>
      <c r="AN660" s="27" t="s">
        <v>7</v>
      </c>
      <c r="AO660" s="27" t="s">
        <v>8</v>
      </c>
      <c r="AP660" s="27" t="s">
        <v>7</v>
      </c>
      <c r="AQ660" s="27" t="s">
        <v>8</v>
      </c>
      <c r="BA660" s="27" t="s">
        <v>8</v>
      </c>
      <c r="BB660" s="27" t="s">
        <v>7</v>
      </c>
      <c r="BC660" s="27" t="s">
        <v>8</v>
      </c>
      <c r="BD660" s="27" t="s">
        <v>7</v>
      </c>
      <c r="DT660" s="27" t="s">
        <v>7</v>
      </c>
      <c r="DU660" s="27" t="s">
        <v>8</v>
      </c>
      <c r="ED660" s="27" t="s">
        <v>7</v>
      </c>
      <c r="EK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GM660" s="27" t="s">
        <v>8</v>
      </c>
      <c r="HL660" s="27" t="s">
        <v>7</v>
      </c>
      <c r="HQ660" s="27" t="s">
        <v>8</v>
      </c>
      <c r="HW660" s="27" t="s">
        <v>8</v>
      </c>
      <c r="HX660" s="27" t="s">
        <v>7</v>
      </c>
      <c r="HY660" s="27" t="s">
        <v>8</v>
      </c>
      <c r="IB660" s="27" t="s">
        <v>7</v>
      </c>
      <c r="IC660" s="27" t="s">
        <v>8</v>
      </c>
      <c r="ID660" s="27" t="s">
        <v>7</v>
      </c>
      <c r="IE660" s="27" t="s">
        <v>8</v>
      </c>
      <c r="IG660" s="27" t="s">
        <v>8</v>
      </c>
      <c r="IH660" s="27" t="s">
        <v>7</v>
      </c>
      <c r="II660" s="27" t="s">
        <v>8</v>
      </c>
      <c r="IP660" s="27" t="s">
        <v>7</v>
      </c>
    </row>
    <row r="661" spans="1:251" x14ac:dyDescent="0.25">
      <c r="A661" s="7">
        <v>0.23098686768674265</v>
      </c>
      <c r="B661"/>
      <c r="C661"/>
      <c r="D661"/>
      <c r="E661"/>
      <c r="L661" s="27" t="s">
        <v>7</v>
      </c>
      <c r="M661" s="27" t="s">
        <v>8</v>
      </c>
      <c r="N661" s="27" t="s">
        <v>7</v>
      </c>
      <c r="O661" s="27" t="s">
        <v>8</v>
      </c>
      <c r="T661" s="27" t="s">
        <v>7</v>
      </c>
      <c r="Y661" s="27" t="s">
        <v>8</v>
      </c>
      <c r="AD661" s="27" t="s">
        <v>7</v>
      </c>
      <c r="AE661" s="27" t="s">
        <v>8</v>
      </c>
      <c r="AF661" s="27" t="s">
        <v>7</v>
      </c>
      <c r="AL661" s="27" t="s">
        <v>7</v>
      </c>
      <c r="AM661" s="27" t="s">
        <v>8</v>
      </c>
      <c r="AN661" s="27" t="s">
        <v>7</v>
      </c>
      <c r="AO661" s="27" t="s">
        <v>8</v>
      </c>
      <c r="AP661" s="27" t="s">
        <v>7</v>
      </c>
      <c r="AQ661" s="27" t="s">
        <v>8</v>
      </c>
      <c r="AR661" s="27" t="s">
        <v>7</v>
      </c>
      <c r="AW661" s="27" t="s">
        <v>8</v>
      </c>
      <c r="AY661" s="27" t="s">
        <v>8</v>
      </c>
      <c r="BA661" s="27" t="s">
        <v>8</v>
      </c>
      <c r="BB661" s="27" t="s">
        <v>7</v>
      </c>
      <c r="DT661" s="27" t="s">
        <v>7</v>
      </c>
      <c r="ED661" s="27" t="s">
        <v>7</v>
      </c>
      <c r="EK661" s="27" t="s">
        <v>8</v>
      </c>
      <c r="EL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GM661" s="27" t="s">
        <v>8</v>
      </c>
      <c r="HL661" s="27" t="s">
        <v>7</v>
      </c>
      <c r="HQ661" s="27" t="s">
        <v>8</v>
      </c>
      <c r="HR661" s="27" t="s">
        <v>7</v>
      </c>
      <c r="HW661" s="27" t="s">
        <v>8</v>
      </c>
      <c r="HX661" s="27" t="s">
        <v>7</v>
      </c>
      <c r="IB661" s="27" t="s">
        <v>7</v>
      </c>
      <c r="IC661" s="27" t="s">
        <v>8</v>
      </c>
      <c r="ID661" s="27" t="s">
        <v>7</v>
      </c>
      <c r="IE661" s="27" t="s">
        <v>8</v>
      </c>
      <c r="IF661" s="27" t="s">
        <v>7</v>
      </c>
      <c r="IG661" s="27" t="s">
        <v>8</v>
      </c>
      <c r="IH661" s="27" t="s">
        <v>7</v>
      </c>
      <c r="II661" s="27" t="s">
        <v>8</v>
      </c>
    </row>
    <row r="662" spans="1:251" x14ac:dyDescent="0.25">
      <c r="A662" s="7">
        <v>0.22645771341837515</v>
      </c>
      <c r="B662"/>
      <c r="C662"/>
      <c r="D662"/>
      <c r="E662"/>
      <c r="L662" s="27" t="s">
        <v>7</v>
      </c>
      <c r="M662" s="27" t="s">
        <v>8</v>
      </c>
      <c r="N662" s="27" t="s">
        <v>7</v>
      </c>
      <c r="O662" s="27" t="s">
        <v>8</v>
      </c>
      <c r="T662" s="27" t="s">
        <v>7</v>
      </c>
      <c r="U662" s="27" t="s">
        <v>8</v>
      </c>
      <c r="Y662" s="27" t="s">
        <v>8</v>
      </c>
      <c r="AD662" s="27" t="s">
        <v>7</v>
      </c>
      <c r="AE662" s="27" t="s">
        <v>8</v>
      </c>
      <c r="AL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AQ662" s="27" t="s">
        <v>8</v>
      </c>
      <c r="AR662" s="27" t="s">
        <v>7</v>
      </c>
      <c r="AU662" s="27" t="s">
        <v>8</v>
      </c>
      <c r="AW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ED662" s="27" t="s">
        <v>7</v>
      </c>
      <c r="EK662" s="27" t="s">
        <v>8</v>
      </c>
      <c r="EL662" s="27" t="s">
        <v>7</v>
      </c>
      <c r="EM662" s="27" t="s">
        <v>8</v>
      </c>
      <c r="EN662" s="27" t="s">
        <v>7</v>
      </c>
      <c r="EO662" s="27" t="s">
        <v>8</v>
      </c>
      <c r="EP662" s="27" t="s">
        <v>7</v>
      </c>
      <c r="GM662" s="27" t="s">
        <v>8</v>
      </c>
      <c r="HL662" s="27" t="s">
        <v>7</v>
      </c>
      <c r="HQ662" s="27" t="s">
        <v>8</v>
      </c>
      <c r="HR662" s="27" t="s">
        <v>7</v>
      </c>
      <c r="HW662" s="27" t="s">
        <v>8</v>
      </c>
      <c r="IB662" s="27" t="s">
        <v>7</v>
      </c>
      <c r="ID662" s="27" t="s">
        <v>7</v>
      </c>
      <c r="IE662" s="27" t="s">
        <v>8</v>
      </c>
      <c r="IF662" s="27" t="s">
        <v>7</v>
      </c>
      <c r="IG662" s="27" t="s">
        <v>8</v>
      </c>
      <c r="IH662" s="27" t="s">
        <v>7</v>
      </c>
      <c r="II662" s="27" t="s">
        <v>8</v>
      </c>
    </row>
    <row r="663" spans="1:251" x14ac:dyDescent="0.25">
      <c r="A663" s="7">
        <v>0.22201736609644623</v>
      </c>
      <c r="B663"/>
      <c r="C663"/>
      <c r="D663"/>
      <c r="E663"/>
      <c r="L663" s="27" t="s">
        <v>7</v>
      </c>
      <c r="M663" s="27" t="s">
        <v>8</v>
      </c>
      <c r="N663" s="27" t="s">
        <v>7</v>
      </c>
      <c r="O663" s="27" t="s">
        <v>8</v>
      </c>
      <c r="T663" s="27" t="s">
        <v>7</v>
      </c>
      <c r="U663" s="27" t="s">
        <v>8</v>
      </c>
      <c r="V663" s="27" t="s">
        <v>7</v>
      </c>
      <c r="Y663" s="27" t="s">
        <v>8</v>
      </c>
      <c r="AD663" s="27" t="s">
        <v>7</v>
      </c>
      <c r="AE663" s="27" t="s">
        <v>8</v>
      </c>
      <c r="AL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AQ663" s="27" t="s">
        <v>8</v>
      </c>
      <c r="AR663" s="27" t="s">
        <v>7</v>
      </c>
      <c r="AU663" s="27" t="s">
        <v>8</v>
      </c>
      <c r="AV663" s="27" t="s">
        <v>7</v>
      </c>
      <c r="AW663" s="27" t="s">
        <v>8</v>
      </c>
      <c r="AX663" s="27" t="s">
        <v>7</v>
      </c>
      <c r="AY663" s="27" t="s">
        <v>8</v>
      </c>
      <c r="AZ663" s="27" t="s">
        <v>7</v>
      </c>
      <c r="BA663" s="27" t="s">
        <v>8</v>
      </c>
      <c r="ED663" s="27" t="s">
        <v>7</v>
      </c>
      <c r="EK663" s="27" t="s">
        <v>8</v>
      </c>
      <c r="EL663" s="27" t="s">
        <v>7</v>
      </c>
      <c r="EN663" s="27" t="s">
        <v>7</v>
      </c>
      <c r="EP663" s="27" t="s">
        <v>7</v>
      </c>
      <c r="EQ663" s="27" t="s">
        <v>8</v>
      </c>
      <c r="EU663" s="27" t="s">
        <v>8</v>
      </c>
      <c r="GM663" s="27" t="s">
        <v>8</v>
      </c>
      <c r="HL663" s="27" t="s">
        <v>7</v>
      </c>
      <c r="HQ663" s="27" t="s">
        <v>8</v>
      </c>
      <c r="HR663" s="27" t="s">
        <v>7</v>
      </c>
      <c r="HW663" s="27" t="s">
        <v>8</v>
      </c>
      <c r="ID663" s="27" t="s">
        <v>7</v>
      </c>
      <c r="IE663" s="27" t="s">
        <v>8</v>
      </c>
      <c r="IF663" s="27" t="s">
        <v>7</v>
      </c>
      <c r="IG663" s="27" t="s">
        <v>8</v>
      </c>
      <c r="IH663" s="27" t="s">
        <v>7</v>
      </c>
      <c r="II663" s="27" t="s">
        <v>8</v>
      </c>
    </row>
    <row r="664" spans="1:251" x14ac:dyDescent="0.25">
      <c r="A664" s="7">
        <v>0.21766408440828061</v>
      </c>
      <c r="B664"/>
      <c r="C664"/>
      <c r="D664"/>
      <c r="E664"/>
      <c r="L664" s="27" t="s">
        <v>7</v>
      </c>
      <c r="M664" s="27" t="s">
        <v>8</v>
      </c>
      <c r="N664" s="27" t="s">
        <v>7</v>
      </c>
      <c r="T664" s="27" t="s">
        <v>7</v>
      </c>
      <c r="U664" s="27" t="s">
        <v>8</v>
      </c>
      <c r="V664" s="27" t="s">
        <v>7</v>
      </c>
      <c r="Y664" s="27" t="s">
        <v>8</v>
      </c>
      <c r="AD664" s="27" t="s">
        <v>7</v>
      </c>
      <c r="AL664" s="27" t="s">
        <v>7</v>
      </c>
      <c r="AM664" s="27" t="s">
        <v>8</v>
      </c>
      <c r="AN664" s="27" t="s">
        <v>7</v>
      </c>
      <c r="AP664" s="27" t="s">
        <v>7</v>
      </c>
      <c r="AR664" s="27" t="s">
        <v>7</v>
      </c>
      <c r="AU664" s="27" t="s">
        <v>8</v>
      </c>
      <c r="AV664" s="27" t="s">
        <v>7</v>
      </c>
      <c r="AW664" s="27" t="s">
        <v>8</v>
      </c>
      <c r="AX664" s="27" t="s">
        <v>7</v>
      </c>
      <c r="AZ664" s="27" t="s">
        <v>7</v>
      </c>
      <c r="BA664" s="27" t="s">
        <v>8</v>
      </c>
      <c r="ED664" s="27" t="s">
        <v>7</v>
      </c>
      <c r="EK664" s="27" t="s">
        <v>8</v>
      </c>
      <c r="EP664" s="27" t="s">
        <v>7</v>
      </c>
      <c r="EQ664" s="27" t="s">
        <v>8</v>
      </c>
      <c r="ER664" s="27" t="s">
        <v>7</v>
      </c>
      <c r="ES664" s="27" t="s">
        <v>8</v>
      </c>
      <c r="EU664" s="27" t="s">
        <v>8</v>
      </c>
      <c r="EV664" s="27" t="s">
        <v>7</v>
      </c>
      <c r="EW664" s="27" t="s">
        <v>8</v>
      </c>
      <c r="GM664" s="27" t="s">
        <v>8</v>
      </c>
      <c r="HL664" s="27" t="s">
        <v>7</v>
      </c>
      <c r="HQ664" s="27" t="s">
        <v>8</v>
      </c>
      <c r="HR664" s="27" t="s">
        <v>7</v>
      </c>
      <c r="HS664" s="27" t="s">
        <v>8</v>
      </c>
      <c r="HU664" s="27" t="s">
        <v>8</v>
      </c>
      <c r="HW664" s="27" t="s">
        <v>8</v>
      </c>
      <c r="ID664" s="27" t="s">
        <v>7</v>
      </c>
      <c r="IF664" s="27" t="s">
        <v>7</v>
      </c>
      <c r="IG664" s="27" t="s">
        <v>8</v>
      </c>
      <c r="IH664" s="27" t="s">
        <v>7</v>
      </c>
    </row>
    <row r="665" spans="1:251" x14ac:dyDescent="0.25">
      <c r="A665" s="7">
        <v>0.21339616118458882</v>
      </c>
      <c r="B665"/>
      <c r="C665"/>
      <c r="D665"/>
      <c r="E665"/>
      <c r="L665" s="27" t="s">
        <v>7</v>
      </c>
      <c r="M665" s="27" t="s">
        <v>8</v>
      </c>
      <c r="T665" s="27" t="s">
        <v>7</v>
      </c>
      <c r="U665" s="27" t="s">
        <v>8</v>
      </c>
      <c r="V665" s="27" t="s">
        <v>7</v>
      </c>
      <c r="Y665" s="27" t="s">
        <v>8</v>
      </c>
      <c r="AL665" s="27" t="s">
        <v>7</v>
      </c>
      <c r="AM665" s="27" t="s">
        <v>8</v>
      </c>
      <c r="AR665" s="27" t="s">
        <v>7</v>
      </c>
      <c r="AU665" s="27" t="s">
        <v>8</v>
      </c>
      <c r="AV665" s="27" t="s">
        <v>7</v>
      </c>
      <c r="AW665" s="27" t="s">
        <v>8</v>
      </c>
      <c r="AZ665" s="27" t="s">
        <v>7</v>
      </c>
      <c r="ED665" s="27" t="s">
        <v>7</v>
      </c>
      <c r="EK665" s="27" t="s">
        <v>8</v>
      </c>
      <c r="EP665" s="27" t="s">
        <v>7</v>
      </c>
      <c r="EQ665" s="27" t="s">
        <v>8</v>
      </c>
      <c r="ER665" s="27" t="s">
        <v>7</v>
      </c>
      <c r="ES665" s="27" t="s">
        <v>8</v>
      </c>
      <c r="ET665" s="27" t="s">
        <v>7</v>
      </c>
      <c r="EU665" s="27" t="s">
        <v>8</v>
      </c>
      <c r="EV665" s="27" t="s">
        <v>7</v>
      </c>
      <c r="EW665" s="27" t="s">
        <v>8</v>
      </c>
      <c r="EX665" s="27" t="s">
        <v>7</v>
      </c>
      <c r="GM665" s="27" t="s">
        <v>8</v>
      </c>
      <c r="HL665" s="27" t="s">
        <v>7</v>
      </c>
      <c r="HQ665" s="27" t="s">
        <v>8</v>
      </c>
      <c r="HR665" s="27" t="s">
        <v>7</v>
      </c>
      <c r="HS665" s="27" t="s">
        <v>8</v>
      </c>
      <c r="HT665" s="27" t="s">
        <v>7</v>
      </c>
      <c r="HU665" s="27" t="s">
        <v>8</v>
      </c>
      <c r="HV665" s="27" t="s">
        <v>7</v>
      </c>
      <c r="HW665" s="27" t="s">
        <v>8</v>
      </c>
      <c r="IF665" s="27" t="s">
        <v>7</v>
      </c>
    </row>
    <row r="666" spans="1:251" x14ac:dyDescent="0.25">
      <c r="A666" s="7">
        <v>0.20921192272998904</v>
      </c>
      <c r="B666"/>
      <c r="C666"/>
      <c r="D666"/>
      <c r="E666"/>
      <c r="L666" s="27" t="s">
        <v>7</v>
      </c>
      <c r="T666" s="27" t="s">
        <v>7</v>
      </c>
      <c r="U666" s="27" t="s">
        <v>8</v>
      </c>
      <c r="V666" s="27" t="s">
        <v>7</v>
      </c>
      <c r="W666" s="27" t="s">
        <v>8</v>
      </c>
      <c r="Y666" s="27" t="s">
        <v>8</v>
      </c>
      <c r="AL666" s="27" t="s">
        <v>7</v>
      </c>
      <c r="AR666" s="27" t="s">
        <v>7</v>
      </c>
      <c r="AS666" s="27" t="s">
        <v>8</v>
      </c>
      <c r="AU666" s="27" t="s">
        <v>8</v>
      </c>
      <c r="AV666" s="27" t="s">
        <v>7</v>
      </c>
      <c r="AW666" s="27" t="s">
        <v>8</v>
      </c>
      <c r="ED666" s="27" t="s">
        <v>7</v>
      </c>
      <c r="EK666" s="27" t="s">
        <v>8</v>
      </c>
      <c r="EP666" s="27" t="s">
        <v>7</v>
      </c>
      <c r="EQ666" s="27" t="s">
        <v>8</v>
      </c>
      <c r="ER666" s="27" t="s">
        <v>7</v>
      </c>
      <c r="ES666" s="27" t="s">
        <v>8</v>
      </c>
      <c r="ET666" s="27" t="s">
        <v>7</v>
      </c>
      <c r="EU666" s="27" t="s">
        <v>8</v>
      </c>
      <c r="EV666" s="27" t="s">
        <v>7</v>
      </c>
      <c r="EW666" s="27" t="s">
        <v>8</v>
      </c>
      <c r="EX666" s="27" t="s">
        <v>7</v>
      </c>
      <c r="GM666" s="27" t="s">
        <v>8</v>
      </c>
      <c r="HL666" s="27" t="s">
        <v>7</v>
      </c>
      <c r="HQ666" s="27" t="s">
        <v>8</v>
      </c>
      <c r="HR666" s="27" t="s">
        <v>7</v>
      </c>
      <c r="HS666" s="27" t="s">
        <v>8</v>
      </c>
      <c r="HT666" s="27" t="s">
        <v>7</v>
      </c>
      <c r="HU666" s="27" t="s">
        <v>8</v>
      </c>
      <c r="HV666" s="27" t="s">
        <v>7</v>
      </c>
      <c r="HW666" s="27" t="s">
        <v>8</v>
      </c>
    </row>
    <row r="667" spans="1:251" x14ac:dyDescent="0.25">
      <c r="A667" s="7">
        <v>0.20510972816665593</v>
      </c>
      <c r="B667"/>
      <c r="C667"/>
      <c r="D667"/>
      <c r="E667"/>
      <c r="T667" s="27" t="s">
        <v>7</v>
      </c>
      <c r="U667" s="27" t="s">
        <v>8</v>
      </c>
      <c r="V667" s="27" t="s">
        <v>7</v>
      </c>
      <c r="W667" s="27" t="s">
        <v>8</v>
      </c>
      <c r="X667" s="27" t="s">
        <v>7</v>
      </c>
      <c r="Y667" s="27" t="s">
        <v>8</v>
      </c>
      <c r="AR667" s="27" t="s">
        <v>7</v>
      </c>
      <c r="AS667" s="27" t="s">
        <v>8</v>
      </c>
      <c r="AT667" s="27" t="s">
        <v>7</v>
      </c>
      <c r="AU667" s="27" t="s">
        <v>8</v>
      </c>
      <c r="AV667" s="27" t="s">
        <v>7</v>
      </c>
      <c r="ED667" s="27" t="s">
        <v>7</v>
      </c>
      <c r="EE667" s="27" t="s">
        <v>8</v>
      </c>
      <c r="EG667" s="27" t="s">
        <v>8</v>
      </c>
      <c r="EI667" s="27" t="s">
        <v>8</v>
      </c>
      <c r="EK667" s="27" t="s">
        <v>8</v>
      </c>
      <c r="EP667" s="27" t="s">
        <v>7</v>
      </c>
      <c r="ER667" s="27" t="s">
        <v>7</v>
      </c>
      <c r="ES667" s="27" t="s">
        <v>8</v>
      </c>
      <c r="ET667" s="27" t="s">
        <v>7</v>
      </c>
      <c r="EU667" s="27" t="s">
        <v>8</v>
      </c>
      <c r="EV667" s="27" t="s">
        <v>7</v>
      </c>
      <c r="EW667" s="27" t="s">
        <v>8</v>
      </c>
      <c r="EX667" s="27" t="s">
        <v>7</v>
      </c>
      <c r="GM667" s="27" t="s">
        <v>8</v>
      </c>
      <c r="HL667" s="27" t="s">
        <v>7</v>
      </c>
      <c r="HQ667" s="27" t="s">
        <v>8</v>
      </c>
      <c r="HR667" s="27" t="s">
        <v>7</v>
      </c>
      <c r="HS667" s="27" t="s">
        <v>8</v>
      </c>
      <c r="HT667" s="27" t="s">
        <v>7</v>
      </c>
      <c r="HU667" s="27" t="s">
        <v>8</v>
      </c>
      <c r="HV667" s="27" t="s">
        <v>7</v>
      </c>
      <c r="HW667" s="27" t="s">
        <v>8</v>
      </c>
    </row>
    <row r="668" spans="1:251" x14ac:dyDescent="0.25">
      <c r="A668" s="7">
        <v>0.20108796879083912</v>
      </c>
      <c r="B668"/>
      <c r="C668"/>
      <c r="D668"/>
      <c r="E668"/>
      <c r="T668" s="27" t="s">
        <v>7</v>
      </c>
      <c r="U668" s="27" t="s">
        <v>8</v>
      </c>
      <c r="V668" s="27" t="s">
        <v>7</v>
      </c>
      <c r="W668" s="27" t="s">
        <v>8</v>
      </c>
      <c r="X668" s="27" t="s">
        <v>7</v>
      </c>
      <c r="Y668" s="27" t="s">
        <v>8</v>
      </c>
      <c r="AR668" s="27" t="s">
        <v>7</v>
      </c>
      <c r="AS668" s="27" t="s">
        <v>8</v>
      </c>
      <c r="AT668" s="27" t="s">
        <v>7</v>
      </c>
      <c r="AU668" s="27" t="s">
        <v>8</v>
      </c>
      <c r="ED668" s="27" t="s">
        <v>7</v>
      </c>
      <c r="EE668" s="27" t="s">
        <v>8</v>
      </c>
      <c r="EF668" s="27" t="s">
        <v>7</v>
      </c>
      <c r="EG668" s="27" t="s">
        <v>8</v>
      </c>
      <c r="EH668" s="27" t="s">
        <v>7</v>
      </c>
      <c r="EI668" s="27" t="s">
        <v>8</v>
      </c>
      <c r="EJ668" s="27" t="s">
        <v>7</v>
      </c>
      <c r="EK668" s="27" t="s">
        <v>8</v>
      </c>
      <c r="ER668" s="27" t="s">
        <v>7</v>
      </c>
      <c r="ET668" s="27" t="s">
        <v>7</v>
      </c>
      <c r="EU668" s="27" t="s">
        <v>8</v>
      </c>
      <c r="EV668" s="27" t="s">
        <v>7</v>
      </c>
      <c r="EW668" s="27" t="s">
        <v>8</v>
      </c>
      <c r="EX668" s="27" t="s">
        <v>7</v>
      </c>
      <c r="GM668" s="27" t="s">
        <v>8</v>
      </c>
      <c r="HL668" s="27" t="s">
        <v>7</v>
      </c>
      <c r="HM668" s="27" t="s">
        <v>8</v>
      </c>
      <c r="HQ668" s="27" t="s">
        <v>8</v>
      </c>
      <c r="HR668" s="27" t="s">
        <v>7</v>
      </c>
      <c r="HS668" s="27" t="s">
        <v>8</v>
      </c>
      <c r="HT668" s="27" t="s">
        <v>7</v>
      </c>
      <c r="HU668" s="27" t="s">
        <v>8</v>
      </c>
      <c r="HV668" s="27" t="s">
        <v>7</v>
      </c>
    </row>
    <row r="669" spans="1:251" x14ac:dyDescent="0.25">
      <c r="A669" s="7">
        <v>0.19714506744199917</v>
      </c>
      <c r="B669"/>
      <c r="C669"/>
      <c r="D669"/>
      <c r="E669"/>
      <c r="T669" s="27" t="s">
        <v>7</v>
      </c>
      <c r="U669" s="27" t="s">
        <v>8</v>
      </c>
      <c r="V669" s="27" t="s">
        <v>7</v>
      </c>
      <c r="X669" s="27" t="s">
        <v>7</v>
      </c>
      <c r="Y669" s="27" t="s">
        <v>8</v>
      </c>
      <c r="AR669" s="27" t="s">
        <v>7</v>
      </c>
      <c r="AT669" s="27" t="s">
        <v>7</v>
      </c>
      <c r="AU669" s="27" t="s">
        <v>8</v>
      </c>
      <c r="ED669" s="27" t="s">
        <v>7</v>
      </c>
      <c r="EE669" s="27" t="s">
        <v>8</v>
      </c>
      <c r="EF669" s="27" t="s">
        <v>7</v>
      </c>
      <c r="EG669" s="27" t="s">
        <v>8</v>
      </c>
      <c r="EH669" s="27" t="s">
        <v>7</v>
      </c>
      <c r="EI669" s="27" t="s">
        <v>8</v>
      </c>
      <c r="EJ669" s="27" t="s">
        <v>7</v>
      </c>
      <c r="EK669" s="27" t="s">
        <v>8</v>
      </c>
      <c r="ET669" s="27" t="s">
        <v>7</v>
      </c>
      <c r="EU669" s="27" t="s">
        <v>8</v>
      </c>
      <c r="EV669" s="27" t="s">
        <v>7</v>
      </c>
      <c r="EW669" s="27" t="s">
        <v>8</v>
      </c>
      <c r="EX669" s="27" t="s">
        <v>7</v>
      </c>
      <c r="GM669" s="27" t="s">
        <v>8</v>
      </c>
      <c r="HL669" s="27" t="s">
        <v>7</v>
      </c>
      <c r="HM669" s="27" t="s">
        <v>8</v>
      </c>
      <c r="HN669" s="27" t="s">
        <v>7</v>
      </c>
      <c r="HQ669" s="27" t="s">
        <v>8</v>
      </c>
      <c r="HR669" s="27" t="s">
        <v>7</v>
      </c>
      <c r="HS669" s="27" t="s">
        <v>8</v>
      </c>
      <c r="HT669" s="27" t="s">
        <v>7</v>
      </c>
      <c r="HU669" s="27" t="s">
        <v>8</v>
      </c>
    </row>
    <row r="670" spans="1:251" x14ac:dyDescent="0.25">
      <c r="A670" s="7">
        <v>0.19327947788431293</v>
      </c>
      <c r="B670"/>
      <c r="C670"/>
      <c r="D670"/>
      <c r="E670"/>
      <c r="T670" s="27" t="s">
        <v>7</v>
      </c>
      <c r="X670" s="27" t="s">
        <v>7</v>
      </c>
      <c r="Y670" s="27" t="s">
        <v>8</v>
      </c>
      <c r="AT670" s="27" t="s">
        <v>7</v>
      </c>
      <c r="AU670" s="27" t="s">
        <v>8</v>
      </c>
      <c r="ED670" s="27" t="s">
        <v>7</v>
      </c>
      <c r="EF670" s="27" t="s">
        <v>7</v>
      </c>
      <c r="EG670" s="27" t="s">
        <v>8</v>
      </c>
      <c r="EH670" s="27" t="s">
        <v>7</v>
      </c>
      <c r="EJ670" s="27" t="s">
        <v>7</v>
      </c>
      <c r="EK670" s="27" t="s">
        <v>8</v>
      </c>
      <c r="ET670" s="27" t="s">
        <v>7</v>
      </c>
      <c r="EU670" s="27" t="s">
        <v>8</v>
      </c>
      <c r="EV670" s="27" t="s">
        <v>7</v>
      </c>
      <c r="EW670" s="27" t="s">
        <v>8</v>
      </c>
      <c r="EX670" s="27" t="s">
        <v>7</v>
      </c>
      <c r="GK670" s="27" t="s">
        <v>8</v>
      </c>
      <c r="GM670" s="27" t="s">
        <v>8</v>
      </c>
      <c r="HL670" s="27" t="s">
        <v>7</v>
      </c>
      <c r="HM670" s="27" t="s">
        <v>8</v>
      </c>
      <c r="HN670" s="27" t="s">
        <v>7</v>
      </c>
      <c r="HQ670" s="27" t="s">
        <v>8</v>
      </c>
      <c r="HR670" s="27" t="s">
        <v>7</v>
      </c>
      <c r="HS670" s="27" t="s">
        <v>8</v>
      </c>
      <c r="HT670" s="27" t="s">
        <v>7</v>
      </c>
      <c r="HU670" s="27" t="s">
        <v>8</v>
      </c>
    </row>
    <row r="671" spans="1:251" x14ac:dyDescent="0.25">
      <c r="A671" s="7">
        <v>0.18948968420030682</v>
      </c>
      <c r="B671"/>
      <c r="C671"/>
      <c r="D671"/>
      <c r="E671"/>
      <c r="X671" s="27" t="s">
        <v>7</v>
      </c>
      <c r="Y671" s="27" t="s">
        <v>8</v>
      </c>
      <c r="AT671" s="27" t="s">
        <v>7</v>
      </c>
      <c r="AU671" s="27" t="s">
        <v>8</v>
      </c>
      <c r="EF671" s="27" t="s">
        <v>7</v>
      </c>
      <c r="EG671" s="27" t="s">
        <v>8</v>
      </c>
      <c r="EJ671" s="27" t="s">
        <v>7</v>
      </c>
      <c r="EK671" s="27" t="s">
        <v>8</v>
      </c>
      <c r="ET671" s="27" t="s">
        <v>7</v>
      </c>
      <c r="EV671" s="27" t="s">
        <v>7</v>
      </c>
      <c r="EX671" s="27" t="s">
        <v>7</v>
      </c>
      <c r="GK671" s="27" t="s">
        <v>8</v>
      </c>
      <c r="GL671" s="27" t="s">
        <v>7</v>
      </c>
      <c r="GM671" s="27" t="s">
        <v>8</v>
      </c>
      <c r="HL671" s="27" t="s">
        <v>7</v>
      </c>
      <c r="HM671" s="27" t="s">
        <v>8</v>
      </c>
      <c r="HN671" s="27" t="s">
        <v>7</v>
      </c>
      <c r="HQ671" s="27" t="s">
        <v>8</v>
      </c>
      <c r="HR671" s="27" t="s">
        <v>7</v>
      </c>
      <c r="HS671" s="27" t="s">
        <v>8</v>
      </c>
      <c r="HT671" s="27" t="s">
        <v>7</v>
      </c>
      <c r="HU671" s="27" t="s">
        <v>8</v>
      </c>
    </row>
    <row r="672" spans="1:251" x14ac:dyDescent="0.25">
      <c r="A672" s="7">
        <v>0.18577420019637925</v>
      </c>
      <c r="B672"/>
      <c r="C672"/>
      <c r="D672"/>
      <c r="E672"/>
      <c r="X672" s="27" t="s">
        <v>7</v>
      </c>
      <c r="Y672" s="27" t="s">
        <v>8</v>
      </c>
      <c r="AT672" s="27" t="s">
        <v>7</v>
      </c>
      <c r="AU672" s="27" t="s">
        <v>8</v>
      </c>
      <c r="EF672" s="27" t="s">
        <v>7</v>
      </c>
      <c r="EG672" s="27" t="s">
        <v>8</v>
      </c>
      <c r="EJ672" s="27" t="s">
        <v>7</v>
      </c>
      <c r="EK672" s="27" t="s">
        <v>8</v>
      </c>
      <c r="EX672" s="27" t="s">
        <v>7</v>
      </c>
      <c r="FK672" s="27" t="s">
        <v>8</v>
      </c>
      <c r="GK672" s="27" t="s">
        <v>8</v>
      </c>
      <c r="GL672" s="27" t="s">
        <v>7</v>
      </c>
      <c r="GM672" s="27" t="s">
        <v>8</v>
      </c>
      <c r="HL672" s="27" t="s">
        <v>7</v>
      </c>
      <c r="HM672" s="27" t="s">
        <v>8</v>
      </c>
      <c r="HN672" s="27" t="s">
        <v>7</v>
      </c>
      <c r="HO672" s="27" t="s">
        <v>8</v>
      </c>
      <c r="HQ672" s="27" t="s">
        <v>8</v>
      </c>
      <c r="HR672" s="27" t="s">
        <v>7</v>
      </c>
      <c r="HS672" s="27" t="s">
        <v>8</v>
      </c>
      <c r="HT672" s="27" t="s">
        <v>7</v>
      </c>
      <c r="HU672" s="27" t="s">
        <v>8</v>
      </c>
    </row>
    <row r="673" spans="1:229" x14ac:dyDescent="0.25">
      <c r="A673" s="7">
        <v>0.18213156881997963</v>
      </c>
      <c r="B673"/>
      <c r="C673"/>
      <c r="D673"/>
      <c r="E673"/>
      <c r="X673" s="27" t="s">
        <v>7</v>
      </c>
      <c r="AT673" s="27" t="s">
        <v>7</v>
      </c>
      <c r="EF673" s="27" t="s">
        <v>7</v>
      </c>
      <c r="EJ673" s="27" t="s">
        <v>7</v>
      </c>
      <c r="EK673" s="27" t="s">
        <v>8</v>
      </c>
      <c r="EX673" s="27" t="s">
        <v>7</v>
      </c>
      <c r="FC673" s="27" t="s">
        <v>8</v>
      </c>
      <c r="FK673" s="27" t="s">
        <v>8</v>
      </c>
      <c r="FL673" s="27" t="s">
        <v>7</v>
      </c>
      <c r="GK673" s="27" t="s">
        <v>8</v>
      </c>
      <c r="GL673" s="27" t="s">
        <v>7</v>
      </c>
      <c r="GM673" s="27" t="s">
        <v>8</v>
      </c>
      <c r="HL673" s="27" t="s">
        <v>7</v>
      </c>
      <c r="HM673" s="27" t="s">
        <v>8</v>
      </c>
      <c r="HN673" s="27" t="s">
        <v>7</v>
      </c>
      <c r="HO673" s="27" t="s">
        <v>8</v>
      </c>
      <c r="HP673" s="27" t="s">
        <v>7</v>
      </c>
      <c r="HQ673" s="27" t="s">
        <v>8</v>
      </c>
      <c r="HR673" s="27" t="s">
        <v>7</v>
      </c>
      <c r="HS673" s="27" t="s">
        <v>8</v>
      </c>
      <c r="HT673" s="27" t="s">
        <v>7</v>
      </c>
      <c r="HU673" s="27" t="s">
        <v>8</v>
      </c>
    </row>
    <row r="674" spans="1:229" x14ac:dyDescent="0.25">
      <c r="A674" s="7">
        <v>0.17856036158821534</v>
      </c>
      <c r="B674"/>
      <c r="C674"/>
      <c r="D674"/>
      <c r="E674"/>
      <c r="EJ674" s="27" t="s">
        <v>7</v>
      </c>
      <c r="EX674" s="27" t="s">
        <v>7</v>
      </c>
      <c r="FC674" s="27" t="s">
        <v>8</v>
      </c>
      <c r="FD674" s="27" t="s">
        <v>7</v>
      </c>
      <c r="FK674" s="27" t="s">
        <v>8</v>
      </c>
      <c r="FL674" s="27" t="s">
        <v>7</v>
      </c>
      <c r="GK674" s="27" t="s">
        <v>8</v>
      </c>
      <c r="GL674" s="27" t="s">
        <v>7</v>
      </c>
      <c r="HL674" s="27" t="s">
        <v>7</v>
      </c>
      <c r="HM674" s="27" t="s">
        <v>8</v>
      </c>
      <c r="HN674" s="27" t="s">
        <v>7</v>
      </c>
      <c r="HO674" s="27" t="s">
        <v>8</v>
      </c>
      <c r="HP674" s="27" t="s">
        <v>7</v>
      </c>
      <c r="HQ674" s="27" t="s">
        <v>8</v>
      </c>
      <c r="HR674" s="27" t="s">
        <v>7</v>
      </c>
      <c r="HT674" s="27" t="s">
        <v>7</v>
      </c>
    </row>
    <row r="675" spans="1:229" x14ac:dyDescent="0.25">
      <c r="A675" s="7">
        <v>0.17505917802766208</v>
      </c>
      <c r="B675"/>
      <c r="C675"/>
      <c r="D675"/>
      <c r="E675"/>
      <c r="EX675" s="27" t="s">
        <v>7</v>
      </c>
      <c r="FC675" s="27" t="s">
        <v>8</v>
      </c>
      <c r="FD675" s="27" t="s">
        <v>7</v>
      </c>
      <c r="FG675" s="27" t="s">
        <v>8</v>
      </c>
      <c r="FK675" s="27" t="s">
        <v>8</v>
      </c>
      <c r="FL675" s="27" t="s">
        <v>7</v>
      </c>
      <c r="GK675" s="27" t="s">
        <v>8</v>
      </c>
      <c r="HL675" s="27" t="s">
        <v>7</v>
      </c>
      <c r="HM675" s="27" t="s">
        <v>8</v>
      </c>
      <c r="HN675" s="27" t="s">
        <v>7</v>
      </c>
      <c r="HO675" s="27" t="s">
        <v>8</v>
      </c>
      <c r="HP675" s="27" t="s">
        <v>7</v>
      </c>
      <c r="HQ675" s="27" t="s">
        <v>8</v>
      </c>
    </row>
    <row r="676" spans="1:229" x14ac:dyDescent="0.25">
      <c r="A676" s="7">
        <v>0.17162664512515888</v>
      </c>
      <c r="B676"/>
      <c r="C676"/>
      <c r="D676"/>
      <c r="E676"/>
      <c r="EX676" s="27" t="s">
        <v>7</v>
      </c>
      <c r="FC676" s="27" t="s">
        <v>8</v>
      </c>
      <c r="FD676" s="27" t="s">
        <v>7</v>
      </c>
      <c r="FE676" s="27" t="s">
        <v>8</v>
      </c>
      <c r="FG676" s="27" t="s">
        <v>8</v>
      </c>
      <c r="FH676" s="27" t="s">
        <v>7</v>
      </c>
      <c r="FI676" s="27" t="s">
        <v>8</v>
      </c>
      <c r="FK676" s="27" t="s">
        <v>8</v>
      </c>
      <c r="FL676" s="27" t="s">
        <v>7</v>
      </c>
      <c r="FO676" s="27" t="s">
        <v>8</v>
      </c>
      <c r="GK676" s="27" t="s">
        <v>8</v>
      </c>
      <c r="HL676" s="27" t="s">
        <v>7</v>
      </c>
      <c r="HM676" s="27" t="s">
        <v>8</v>
      </c>
      <c r="HN676" s="27" t="s">
        <v>7</v>
      </c>
      <c r="HO676" s="27" t="s">
        <v>8</v>
      </c>
      <c r="HP676" s="27" t="s">
        <v>7</v>
      </c>
      <c r="HQ676" s="27" t="s">
        <v>8</v>
      </c>
    </row>
    <row r="677" spans="1:229" x14ac:dyDescent="0.25">
      <c r="A677" s="7">
        <v>0.16826141678937145</v>
      </c>
      <c r="B677"/>
      <c r="C677"/>
      <c r="D677"/>
      <c r="E677"/>
      <c r="EX677" s="27" t="s">
        <v>7</v>
      </c>
      <c r="EY677" s="27" t="s">
        <v>8</v>
      </c>
      <c r="FA677" s="27" t="s">
        <v>8</v>
      </c>
      <c r="FC677" s="27" t="s">
        <v>8</v>
      </c>
      <c r="FD677" s="27" t="s">
        <v>7</v>
      </c>
      <c r="FE677" s="27" t="s">
        <v>8</v>
      </c>
      <c r="FF677" s="27" t="s">
        <v>7</v>
      </c>
      <c r="FG677" s="27" t="s">
        <v>8</v>
      </c>
      <c r="FH677" s="27" t="s">
        <v>7</v>
      </c>
      <c r="FI677" s="27" t="s">
        <v>8</v>
      </c>
      <c r="FJ677" s="27" t="s">
        <v>7</v>
      </c>
      <c r="FK677" s="27" t="s">
        <v>8</v>
      </c>
      <c r="FL677" s="27" t="s">
        <v>7</v>
      </c>
      <c r="FM677" s="27" t="s">
        <v>8</v>
      </c>
      <c r="FO677" s="27" t="s">
        <v>8</v>
      </c>
      <c r="FP677" s="27" t="s">
        <v>7</v>
      </c>
      <c r="GK677" s="27" t="s">
        <v>8</v>
      </c>
      <c r="HL677" s="27" t="s">
        <v>7</v>
      </c>
      <c r="HM677" s="27" t="s">
        <v>8</v>
      </c>
      <c r="HN677" s="27" t="s">
        <v>7</v>
      </c>
      <c r="HO677" s="27" t="s">
        <v>8</v>
      </c>
      <c r="HP677" s="27" t="s">
        <v>7</v>
      </c>
    </row>
    <row r="678" spans="1:229" x14ac:dyDescent="0.25">
      <c r="A678" s="7">
        <v>0.16496217332291319</v>
      </c>
      <c r="B678"/>
      <c r="C678"/>
      <c r="D678"/>
      <c r="E678"/>
      <c r="EX678" s="27" t="s">
        <v>7</v>
      </c>
      <c r="EY678" s="27" t="s">
        <v>8</v>
      </c>
      <c r="EZ678" s="27" t="s">
        <v>7</v>
      </c>
      <c r="FA678" s="27" t="s">
        <v>8</v>
      </c>
      <c r="FB678" s="27" t="s">
        <v>7</v>
      </c>
      <c r="FC678" s="27" t="s">
        <v>8</v>
      </c>
      <c r="FD678" s="27" t="s">
        <v>7</v>
      </c>
      <c r="FE678" s="27" t="s">
        <v>8</v>
      </c>
      <c r="FF678" s="27" t="s">
        <v>7</v>
      </c>
      <c r="FG678" s="27" t="s">
        <v>8</v>
      </c>
      <c r="FH678" s="27" t="s">
        <v>7</v>
      </c>
      <c r="FI678" s="27" t="s">
        <v>8</v>
      </c>
      <c r="FJ678" s="27" t="s">
        <v>7</v>
      </c>
      <c r="FK678" s="27" t="s">
        <v>8</v>
      </c>
      <c r="FL678" s="27" t="s">
        <v>7</v>
      </c>
      <c r="FM678" s="27" t="s">
        <v>8</v>
      </c>
      <c r="FN678" s="27" t="s">
        <v>7</v>
      </c>
      <c r="FO678" s="27" t="s">
        <v>8</v>
      </c>
      <c r="FP678" s="27" t="s">
        <v>7</v>
      </c>
      <c r="GK678" s="27" t="s">
        <v>8</v>
      </c>
      <c r="HL678" s="27" t="s">
        <v>7</v>
      </c>
      <c r="HM678" s="27" t="s">
        <v>8</v>
      </c>
      <c r="HN678" s="27" t="s">
        <v>7</v>
      </c>
      <c r="HO678" s="27" t="s">
        <v>8</v>
      </c>
    </row>
    <row r="679" spans="1:229" x14ac:dyDescent="0.25">
      <c r="A679" s="7">
        <v>0.16172762090481685</v>
      </c>
      <c r="B679"/>
      <c r="C679"/>
      <c r="D679"/>
      <c r="E679"/>
      <c r="EX679" s="27" t="s">
        <v>7</v>
      </c>
      <c r="EY679" s="27" t="s">
        <v>8</v>
      </c>
      <c r="EZ679" s="27" t="s">
        <v>7</v>
      </c>
      <c r="FA679" s="27" t="s">
        <v>8</v>
      </c>
      <c r="FB679" s="27" t="s">
        <v>7</v>
      </c>
      <c r="FC679" s="27" t="s">
        <v>8</v>
      </c>
      <c r="FD679" s="27" t="s">
        <v>7</v>
      </c>
      <c r="FE679" s="27" t="s">
        <v>8</v>
      </c>
      <c r="FF679" s="27" t="s">
        <v>7</v>
      </c>
      <c r="FG679" s="27" t="s">
        <v>8</v>
      </c>
      <c r="FH679" s="27" t="s">
        <v>7</v>
      </c>
      <c r="FJ679" s="27" t="s">
        <v>7</v>
      </c>
      <c r="FK679" s="27" t="s">
        <v>8</v>
      </c>
      <c r="FL679" s="27" t="s">
        <v>7</v>
      </c>
      <c r="FM679" s="27" t="s">
        <v>8</v>
      </c>
      <c r="FN679" s="27" t="s">
        <v>7</v>
      </c>
      <c r="FO679" s="27" t="s">
        <v>8</v>
      </c>
      <c r="FP679" s="27" t="s">
        <v>7</v>
      </c>
      <c r="GK679" s="27" t="s">
        <v>8</v>
      </c>
      <c r="HL679" s="27" t="s">
        <v>7</v>
      </c>
      <c r="HM679" s="27" t="s">
        <v>8</v>
      </c>
      <c r="HN679" s="27" t="s">
        <v>7</v>
      </c>
      <c r="HO679" s="27" t="s">
        <v>8</v>
      </c>
    </row>
    <row r="680" spans="1:229" x14ac:dyDescent="0.25">
      <c r="A680" s="7">
        <v>0.15855649108315376</v>
      </c>
      <c r="B680"/>
      <c r="C680"/>
      <c r="D680"/>
      <c r="E680"/>
      <c r="EX680" s="27" t="s">
        <v>7</v>
      </c>
      <c r="EY680" s="27" t="s">
        <v>8</v>
      </c>
      <c r="EZ680" s="27" t="s">
        <v>7</v>
      </c>
      <c r="FA680" s="27" t="s">
        <v>8</v>
      </c>
      <c r="FB680" s="27" t="s">
        <v>7</v>
      </c>
      <c r="FC680" s="27" t="s">
        <v>8</v>
      </c>
      <c r="FD680" s="27" t="s">
        <v>7</v>
      </c>
      <c r="FE680" s="27" t="s">
        <v>8</v>
      </c>
      <c r="FF680" s="27" t="s">
        <v>7</v>
      </c>
      <c r="FG680" s="27" t="s">
        <v>8</v>
      </c>
      <c r="FJ680" s="27" t="s">
        <v>7</v>
      </c>
      <c r="FL680" s="27" t="s">
        <v>7</v>
      </c>
      <c r="FM680" s="27" t="s">
        <v>8</v>
      </c>
      <c r="FN680" s="27" t="s">
        <v>7</v>
      </c>
      <c r="FO680" s="27" t="s">
        <v>8</v>
      </c>
      <c r="FP680" s="27" t="s">
        <v>7</v>
      </c>
      <c r="GG680" s="27" t="s">
        <v>8</v>
      </c>
      <c r="GI680" s="27" t="s">
        <v>8</v>
      </c>
      <c r="GK680" s="27" t="s">
        <v>8</v>
      </c>
      <c r="HL680" s="27" t="s">
        <v>7</v>
      </c>
      <c r="HM680" s="27" t="s">
        <v>8</v>
      </c>
      <c r="HN680" s="27" t="s">
        <v>7</v>
      </c>
      <c r="HO680" s="27" t="s">
        <v>8</v>
      </c>
    </row>
    <row r="681" spans="1:229" x14ac:dyDescent="0.25">
      <c r="A681" s="7">
        <v>0.15544754027760171</v>
      </c>
      <c r="B681"/>
      <c r="C681"/>
      <c r="D681"/>
      <c r="E681"/>
      <c r="EX681" s="27" t="s">
        <v>7</v>
      </c>
      <c r="EY681" s="27" t="s">
        <v>8</v>
      </c>
      <c r="EZ681" s="27" t="s">
        <v>7</v>
      </c>
      <c r="FA681" s="27" t="s">
        <v>8</v>
      </c>
      <c r="FB681" s="27" t="s">
        <v>7</v>
      </c>
      <c r="FD681" s="27" t="s">
        <v>7</v>
      </c>
      <c r="FE681" s="27" t="s">
        <v>8</v>
      </c>
      <c r="FF681" s="27" t="s">
        <v>7</v>
      </c>
      <c r="FG681" s="27" t="s">
        <v>8</v>
      </c>
      <c r="FL681" s="27" t="s">
        <v>7</v>
      </c>
      <c r="FN681" s="27" t="s">
        <v>7</v>
      </c>
      <c r="FO681" s="27" t="s">
        <v>8</v>
      </c>
      <c r="FP681" s="27" t="s">
        <v>7</v>
      </c>
      <c r="GG681" s="27" t="s">
        <v>8</v>
      </c>
      <c r="GH681" s="27" t="s">
        <v>7</v>
      </c>
      <c r="GI681" s="27" t="s">
        <v>8</v>
      </c>
      <c r="GJ681" s="27" t="s">
        <v>7</v>
      </c>
      <c r="GK681" s="27" t="s">
        <v>8</v>
      </c>
      <c r="HL681" s="27" t="s">
        <v>7</v>
      </c>
      <c r="HM681" s="27" t="s">
        <v>8</v>
      </c>
      <c r="HN681" s="27" t="s">
        <v>7</v>
      </c>
      <c r="HO681" s="27" t="s">
        <v>8</v>
      </c>
    </row>
    <row r="682" spans="1:229" x14ac:dyDescent="0.25">
      <c r="A682" s="7">
        <v>0.15239954929176638</v>
      </c>
      <c r="B682"/>
      <c r="C682"/>
      <c r="D682"/>
      <c r="E682"/>
      <c r="EX682" s="27" t="s">
        <v>7</v>
      </c>
      <c r="EY682" s="27" t="s">
        <v>8</v>
      </c>
      <c r="EZ682" s="27" t="s">
        <v>7</v>
      </c>
      <c r="FD682" s="27" t="s">
        <v>7</v>
      </c>
      <c r="FE682" s="27" t="s">
        <v>8</v>
      </c>
      <c r="FF682" s="27" t="s">
        <v>7</v>
      </c>
      <c r="FG682" s="27" t="s">
        <v>8</v>
      </c>
      <c r="FN682" s="27" t="s">
        <v>7</v>
      </c>
      <c r="FP682" s="27" t="s">
        <v>7</v>
      </c>
      <c r="GG682" s="27" t="s">
        <v>8</v>
      </c>
      <c r="GH682" s="27" t="s">
        <v>7</v>
      </c>
      <c r="GI682" s="27" t="s">
        <v>8</v>
      </c>
      <c r="GJ682" s="27" t="s">
        <v>7</v>
      </c>
      <c r="GK682" s="27" t="s">
        <v>8</v>
      </c>
      <c r="HL682" s="27" t="s">
        <v>7</v>
      </c>
      <c r="HM682" s="27" t="s">
        <v>8</v>
      </c>
      <c r="HN682" s="27" t="s">
        <v>7</v>
      </c>
      <c r="HO682" s="27" t="s">
        <v>8</v>
      </c>
    </row>
    <row r="683" spans="1:229" x14ac:dyDescent="0.25">
      <c r="A683" s="7">
        <v>0.14941132283506509</v>
      </c>
      <c r="B683"/>
      <c r="C683"/>
      <c r="D683"/>
      <c r="E683"/>
      <c r="EX683" s="27" t="s">
        <v>7</v>
      </c>
      <c r="FD683" s="27" t="s">
        <v>7</v>
      </c>
      <c r="FF683" s="27" t="s">
        <v>7</v>
      </c>
      <c r="FG683" s="27" t="s">
        <v>8</v>
      </c>
      <c r="FP683" s="27" t="s">
        <v>7</v>
      </c>
      <c r="GE683" s="27" t="s">
        <v>8</v>
      </c>
      <c r="GG683" s="27" t="s">
        <v>8</v>
      </c>
      <c r="GH683" s="27" t="s">
        <v>7</v>
      </c>
      <c r="GI683" s="27" t="s">
        <v>8</v>
      </c>
      <c r="GJ683" s="27" t="s">
        <v>7</v>
      </c>
      <c r="GK683" s="27" t="s">
        <v>8</v>
      </c>
      <c r="HL683" s="27" t="s">
        <v>7</v>
      </c>
      <c r="HM683" s="27" t="s">
        <v>8</v>
      </c>
      <c r="HN683" s="27" t="s">
        <v>7</v>
      </c>
    </row>
    <row r="684" spans="1:229" x14ac:dyDescent="0.25">
      <c r="A684" s="7">
        <v>0.14648168905398537</v>
      </c>
      <c r="B684"/>
      <c r="C684"/>
      <c r="D684"/>
      <c r="E684"/>
      <c r="FF684" s="27" t="s">
        <v>7</v>
      </c>
      <c r="FG684" s="27" t="s">
        <v>8</v>
      </c>
      <c r="FP684" s="27" t="s">
        <v>7</v>
      </c>
      <c r="FS684" s="27" t="s">
        <v>8</v>
      </c>
      <c r="GE684" s="27" t="s">
        <v>8</v>
      </c>
      <c r="GF684" s="27" t="s">
        <v>7</v>
      </c>
      <c r="GG684" s="27" t="s">
        <v>8</v>
      </c>
      <c r="GH684" s="27" t="s">
        <v>7</v>
      </c>
      <c r="GI684" s="27" t="s">
        <v>8</v>
      </c>
      <c r="GJ684" s="27" t="s">
        <v>7</v>
      </c>
      <c r="GK684" s="27" t="s">
        <v>8</v>
      </c>
      <c r="HL684" s="27" t="s">
        <v>7</v>
      </c>
      <c r="HM684" s="27" t="s">
        <v>8</v>
      </c>
    </row>
    <row r="685" spans="1:229" x14ac:dyDescent="0.25">
      <c r="A685" s="7">
        <v>0.14360949907253467</v>
      </c>
      <c r="B685"/>
      <c r="C685"/>
      <c r="D685"/>
      <c r="E685"/>
      <c r="FF685" s="27" t="s">
        <v>7</v>
      </c>
      <c r="FG685" s="27" t="s">
        <v>8</v>
      </c>
      <c r="FP685" s="27" t="s">
        <v>7</v>
      </c>
      <c r="FS685" s="27" t="s">
        <v>8</v>
      </c>
      <c r="FT685" s="27" t="s">
        <v>7</v>
      </c>
      <c r="GE685" s="27" t="s">
        <v>8</v>
      </c>
      <c r="GF685" s="27" t="s">
        <v>7</v>
      </c>
      <c r="GG685" s="27" t="s">
        <v>8</v>
      </c>
      <c r="GH685" s="27" t="s">
        <v>7</v>
      </c>
      <c r="GI685" s="27" t="s">
        <v>8</v>
      </c>
      <c r="GJ685" s="27" t="s">
        <v>7</v>
      </c>
      <c r="HL685" s="27" t="s">
        <v>7</v>
      </c>
      <c r="HM685" s="27" t="s">
        <v>8</v>
      </c>
    </row>
    <row r="686" spans="1:229" x14ac:dyDescent="0.25">
      <c r="A686" s="7">
        <v>0.14079362654170066</v>
      </c>
      <c r="B686"/>
      <c r="C686"/>
      <c r="D686"/>
      <c r="E686"/>
      <c r="FF686" s="27" t="s">
        <v>7</v>
      </c>
      <c r="FG686" s="27" t="s">
        <v>8</v>
      </c>
      <c r="FP686" s="27" t="s">
        <v>7</v>
      </c>
      <c r="FS686" s="27" t="s">
        <v>8</v>
      </c>
      <c r="FT686" s="27" t="s">
        <v>7</v>
      </c>
      <c r="GE686" s="27" t="s">
        <v>8</v>
      </c>
      <c r="GF686" s="27" t="s">
        <v>7</v>
      </c>
      <c r="GG686" s="27" t="s">
        <v>8</v>
      </c>
      <c r="GH686" s="27" t="s">
        <v>7</v>
      </c>
      <c r="HL686" s="27" t="s">
        <v>7</v>
      </c>
      <c r="HM686" s="27" t="s">
        <v>8</v>
      </c>
    </row>
    <row r="687" spans="1:229" x14ac:dyDescent="0.25">
      <c r="A687" s="7">
        <v>0.13803296719774574</v>
      </c>
      <c r="B687"/>
      <c r="C687"/>
      <c r="D687"/>
      <c r="E687"/>
      <c r="FF687" s="27" t="s">
        <v>7</v>
      </c>
      <c r="FP687" s="27" t="s">
        <v>7</v>
      </c>
      <c r="FQ687" s="27" t="s">
        <v>8</v>
      </c>
      <c r="FS687" s="27" t="s">
        <v>8</v>
      </c>
      <c r="FT687" s="27" t="s">
        <v>7</v>
      </c>
      <c r="FU687" s="27" t="s">
        <v>8</v>
      </c>
      <c r="GE687" s="27" t="s">
        <v>8</v>
      </c>
      <c r="GF687" s="27" t="s">
        <v>7</v>
      </c>
      <c r="GG687" s="27" t="s">
        <v>8</v>
      </c>
      <c r="HL687" s="27" t="s">
        <v>7</v>
      </c>
      <c r="HM687" s="27" t="s">
        <v>8</v>
      </c>
    </row>
    <row r="688" spans="1:229" x14ac:dyDescent="0.25">
      <c r="A688" s="7">
        <v>0.1353264384291625</v>
      </c>
      <c r="B688"/>
      <c r="C688"/>
      <c r="D688"/>
      <c r="E688"/>
      <c r="FP688" s="27" t="s">
        <v>7</v>
      </c>
      <c r="FQ688" s="27" t="s">
        <v>8</v>
      </c>
      <c r="FR688" s="27" t="s">
        <v>7</v>
      </c>
      <c r="FS688" s="27" t="s">
        <v>8</v>
      </c>
      <c r="FT688" s="27" t="s">
        <v>7</v>
      </c>
      <c r="FU688" s="27" t="s">
        <v>8</v>
      </c>
      <c r="FV688" s="27" t="s">
        <v>7</v>
      </c>
      <c r="FW688" s="27" t="s">
        <v>8</v>
      </c>
      <c r="GC688" s="27" t="s">
        <v>8</v>
      </c>
      <c r="GE688" s="27" t="s">
        <v>8</v>
      </c>
      <c r="GF688" s="27" t="s">
        <v>7</v>
      </c>
      <c r="HL688" s="27" t="s">
        <v>7</v>
      </c>
      <c r="HM688" s="27" t="s">
        <v>8</v>
      </c>
    </row>
    <row r="689" spans="1:221" x14ac:dyDescent="0.25">
      <c r="A689" s="7">
        <v>0.13267297885212009</v>
      </c>
      <c r="B689"/>
      <c r="C689"/>
      <c r="D689"/>
      <c r="E689"/>
      <c r="FP689" s="27" t="s">
        <v>7</v>
      </c>
      <c r="FQ689" s="27" t="s">
        <v>8</v>
      </c>
      <c r="FR689" s="27" t="s">
        <v>7</v>
      </c>
      <c r="FS689" s="27" t="s">
        <v>8</v>
      </c>
      <c r="FT689" s="27" t="s">
        <v>7</v>
      </c>
      <c r="FU689" s="27" t="s">
        <v>8</v>
      </c>
      <c r="FV689" s="27" t="s">
        <v>7</v>
      </c>
      <c r="FW689" s="27" t="s">
        <v>8</v>
      </c>
      <c r="FX689" s="27" t="s">
        <v>7</v>
      </c>
      <c r="GC689" s="27" t="s">
        <v>8</v>
      </c>
      <c r="GD689" s="27" t="s">
        <v>7</v>
      </c>
      <c r="GE689" s="27" t="s">
        <v>8</v>
      </c>
      <c r="HL689" s="27" t="s">
        <v>7</v>
      </c>
      <c r="HM689" s="27" t="s">
        <v>8</v>
      </c>
    </row>
    <row r="690" spans="1:221" x14ac:dyDescent="0.25">
      <c r="A690" s="7">
        <v>0.13007154789423539</v>
      </c>
      <c r="B690"/>
      <c r="C690"/>
      <c r="D690"/>
      <c r="E690"/>
      <c r="FP690" s="27" t="s">
        <v>7</v>
      </c>
      <c r="FQ690" s="27" t="s">
        <v>8</v>
      </c>
      <c r="FR690" s="27" t="s">
        <v>7</v>
      </c>
      <c r="FS690" s="27" t="s">
        <v>8</v>
      </c>
      <c r="FT690" s="27" t="s">
        <v>7</v>
      </c>
      <c r="FU690" s="27" t="s">
        <v>8</v>
      </c>
      <c r="FV690" s="27" t="s">
        <v>7</v>
      </c>
      <c r="FW690" s="27" t="s">
        <v>8</v>
      </c>
      <c r="FX690" s="27" t="s">
        <v>7</v>
      </c>
      <c r="FY690" s="27" t="s">
        <v>8</v>
      </c>
      <c r="GC690" s="27" t="s">
        <v>8</v>
      </c>
      <c r="GD690" s="27" t="s">
        <v>7</v>
      </c>
      <c r="GE690" s="27" t="s">
        <v>8</v>
      </c>
      <c r="HL690" s="27" t="s">
        <v>7</v>
      </c>
      <c r="HM690" s="27" t="s">
        <v>8</v>
      </c>
    </row>
    <row r="691" spans="1:221" x14ac:dyDescent="0.25">
      <c r="A691" s="7">
        <v>0.12752112538650529</v>
      </c>
      <c r="B691"/>
      <c r="C691"/>
      <c r="D691"/>
      <c r="E691"/>
      <c r="FP691" s="27" t="s">
        <v>7</v>
      </c>
      <c r="FQ691" s="27" t="s">
        <v>8</v>
      </c>
      <c r="FR691" s="27" t="s">
        <v>7</v>
      </c>
      <c r="FS691" s="27" t="s">
        <v>8</v>
      </c>
      <c r="FT691" s="27" t="s">
        <v>7</v>
      </c>
      <c r="FV691" s="27" t="s">
        <v>7</v>
      </c>
      <c r="FW691" s="27" t="s">
        <v>8</v>
      </c>
      <c r="FX691" s="27" t="s">
        <v>7</v>
      </c>
      <c r="FY691" s="27" t="s">
        <v>8</v>
      </c>
      <c r="FZ691" s="27" t="s">
        <v>7</v>
      </c>
      <c r="GC691" s="27" t="s">
        <v>8</v>
      </c>
      <c r="GD691" s="27" t="s">
        <v>7</v>
      </c>
      <c r="GE691" s="27" t="s">
        <v>8</v>
      </c>
      <c r="HL691" s="27" t="s">
        <v>7</v>
      </c>
      <c r="HM691" s="27" t="s">
        <v>8</v>
      </c>
    </row>
    <row r="692" spans="1:221" x14ac:dyDescent="0.25">
      <c r="A692" s="7">
        <v>0.12502071116324048</v>
      </c>
      <c r="B692"/>
      <c r="C692"/>
      <c r="D692"/>
      <c r="E692"/>
      <c r="FP692" s="27" t="s">
        <v>7</v>
      </c>
      <c r="FQ692" s="27" t="s">
        <v>8</v>
      </c>
      <c r="FR692" s="27" t="s">
        <v>7</v>
      </c>
      <c r="FS692" s="27" t="s">
        <v>8</v>
      </c>
      <c r="FV692" s="27" t="s">
        <v>7</v>
      </c>
      <c r="FX692" s="27" t="s">
        <v>7</v>
      </c>
      <c r="FY692" s="27" t="s">
        <v>8</v>
      </c>
      <c r="FZ692" s="27" t="s">
        <v>7</v>
      </c>
      <c r="GC692" s="27" t="s">
        <v>8</v>
      </c>
      <c r="GD692" s="27" t="s">
        <v>7</v>
      </c>
      <c r="GE692" s="27" t="s">
        <v>8</v>
      </c>
      <c r="HL692" s="27" t="s">
        <v>7</v>
      </c>
      <c r="HM692" s="27" t="s">
        <v>8</v>
      </c>
    </row>
    <row r="693" spans="1:221" x14ac:dyDescent="0.25">
      <c r="A693" s="7">
        <v>0.1225693246698436</v>
      </c>
      <c r="B693"/>
      <c r="C693"/>
      <c r="D693"/>
      <c r="E693"/>
      <c r="FP693" s="27" t="s">
        <v>7</v>
      </c>
      <c r="FQ693" s="27" t="s">
        <v>8</v>
      </c>
      <c r="FR693" s="27" t="s">
        <v>7</v>
      </c>
      <c r="FS693" s="27" t="s">
        <v>8</v>
      </c>
      <c r="FX693" s="27" t="s">
        <v>7</v>
      </c>
      <c r="FY693" s="27" t="s">
        <v>8</v>
      </c>
      <c r="FZ693" s="27" t="s">
        <v>7</v>
      </c>
      <c r="GA693" s="27" t="s">
        <v>8</v>
      </c>
      <c r="GC693" s="27" t="s">
        <v>8</v>
      </c>
      <c r="GD693" s="27" t="s">
        <v>7</v>
      </c>
      <c r="GE693" s="27" t="s">
        <v>8</v>
      </c>
      <c r="HL693" s="27" t="s">
        <v>7</v>
      </c>
    </row>
    <row r="694" spans="1:221" x14ac:dyDescent="0.25">
      <c r="A694" s="7">
        <v>0.12016600457827803</v>
      </c>
      <c r="B694"/>
      <c r="C694"/>
      <c r="D694"/>
      <c r="E694"/>
      <c r="FP694" s="27" t="s">
        <v>7</v>
      </c>
      <c r="FR694" s="27" t="s">
        <v>7</v>
      </c>
      <c r="FS694" s="27" t="s">
        <v>8</v>
      </c>
      <c r="FX694" s="27" t="s">
        <v>7</v>
      </c>
      <c r="FY694" s="27" t="s">
        <v>8</v>
      </c>
      <c r="FZ694" s="27" t="s">
        <v>7</v>
      </c>
      <c r="GA694" s="27" t="s">
        <v>8</v>
      </c>
      <c r="GB694" s="27" t="s">
        <v>7</v>
      </c>
      <c r="GC694" s="27" t="s">
        <v>8</v>
      </c>
      <c r="GD694" s="27" t="s">
        <v>7</v>
      </c>
      <c r="GE694" s="27" t="s">
        <v>8</v>
      </c>
    </row>
    <row r="695" spans="1:221" x14ac:dyDescent="0.25">
      <c r="A695" s="7">
        <v>0.1178098084100765</v>
      </c>
      <c r="B695"/>
      <c r="C695"/>
      <c r="D695"/>
      <c r="E695"/>
      <c r="FR695" s="27" t="s">
        <v>7</v>
      </c>
      <c r="FS695" s="27" t="s">
        <v>8</v>
      </c>
      <c r="FX695" s="27" t="s">
        <v>7</v>
      </c>
      <c r="FY695" s="27" t="s">
        <v>8</v>
      </c>
      <c r="FZ695" s="27" t="s">
        <v>7</v>
      </c>
      <c r="GA695" s="27" t="s">
        <v>8</v>
      </c>
      <c r="GB695" s="27" t="s">
        <v>7</v>
      </c>
      <c r="GC695" s="27" t="s">
        <v>8</v>
      </c>
      <c r="GD695" s="27" t="s">
        <v>7</v>
      </c>
      <c r="GE695" s="27" t="s">
        <v>8</v>
      </c>
    </row>
    <row r="696" spans="1:221" x14ac:dyDescent="0.25">
      <c r="A696" s="7">
        <v>0.11549981216674166</v>
      </c>
      <c r="B696"/>
      <c r="C696"/>
      <c r="D696"/>
      <c r="E696"/>
      <c r="FR696" s="27" t="s">
        <v>7</v>
      </c>
      <c r="FX696" s="27" t="s">
        <v>7</v>
      </c>
      <c r="FY696" s="27" t="s">
        <v>8</v>
      </c>
      <c r="FZ696" s="27" t="s">
        <v>7</v>
      </c>
      <c r="GB696" s="27" t="s">
        <v>7</v>
      </c>
      <c r="GC696" s="27" t="s">
        <v>8</v>
      </c>
      <c r="GD696" s="27" t="s">
        <v>7</v>
      </c>
    </row>
    <row r="697" spans="1:221" x14ac:dyDescent="0.25">
      <c r="A697" s="7">
        <v>0.11323510996739378</v>
      </c>
      <c r="B697"/>
      <c r="C697"/>
      <c r="D697"/>
      <c r="E697"/>
      <c r="FX697" s="27" t="s">
        <v>7</v>
      </c>
      <c r="FY697" s="27" t="s">
        <v>8</v>
      </c>
      <c r="GB697" s="27" t="s">
        <v>7</v>
      </c>
      <c r="GC697" s="27" t="s">
        <v>8</v>
      </c>
    </row>
    <row r="698" spans="1:221" x14ac:dyDescent="0.25">
      <c r="A698" s="7">
        <v>0.11101481369352331</v>
      </c>
      <c r="B698"/>
      <c r="C698"/>
      <c r="D698"/>
      <c r="E698"/>
      <c r="FX698" s="27" t="s">
        <v>7</v>
      </c>
      <c r="FY698" s="27" t="s">
        <v>8</v>
      </c>
      <c r="GB698" s="27" t="s">
        <v>7</v>
      </c>
      <c r="GC698" s="27" t="s">
        <v>8</v>
      </c>
    </row>
    <row r="699" spans="1:221" x14ac:dyDescent="0.25">
      <c r="A699" s="7">
        <v>0.10883805264070913</v>
      </c>
      <c r="B699"/>
      <c r="C699"/>
      <c r="D699"/>
      <c r="E699"/>
      <c r="FX699" s="27" t="s">
        <v>7</v>
      </c>
      <c r="GB699" s="27" t="s">
        <v>7</v>
      </c>
      <c r="GC699" s="27" t="s">
        <v>8</v>
      </c>
    </row>
    <row r="700" spans="1:221" x14ac:dyDescent="0.25">
      <c r="A700" s="7">
        <v>0.10670397317716582</v>
      </c>
      <c r="B700"/>
      <c r="C700"/>
      <c r="D700"/>
      <c r="E700"/>
      <c r="GB700" s="27" t="s">
        <v>7</v>
      </c>
    </row>
    <row r="701" spans="1:221" x14ac:dyDescent="0.25">
      <c r="A701" s="7">
        <v>0.1046117384089861</v>
      </c>
      <c r="B701"/>
      <c r="C701"/>
      <c r="D701"/>
      <c r="E701"/>
    </row>
    <row r="702" spans="1:221" x14ac:dyDescent="0.25">
      <c r="A702" s="7">
        <v>0.10256052785194716</v>
      </c>
      <c r="B702"/>
      <c r="C702"/>
      <c r="D702"/>
      <c r="E702"/>
    </row>
    <row r="703" spans="1:221" x14ac:dyDescent="0.25">
      <c r="A703" s="7">
        <v>0.10054953710975212</v>
      </c>
      <c r="B703"/>
      <c r="C703"/>
      <c r="D703"/>
      <c r="E703"/>
    </row>
    <row r="704" spans="1:221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7" zoomScale="90" zoomScaleNormal="90" workbookViewId="0">
      <pane xSplit="4" topLeftCell="FH1" activePane="topRight" state="frozen"/>
      <selection activeCell="A109" sqref="A109"/>
      <selection pane="topRight" activeCell="HG246" sqref="HG24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$A$245</v>
      </c>
      <c r="D111" s="1" t="str">
        <f>ADDRESS(C121-1,D121,1,1)</f>
        <v>$HG$245</v>
      </c>
      <c r="E111"/>
    </row>
    <row r="112" spans="1:5" x14ac:dyDescent="0.25">
      <c r="A112" s="30">
        <v>515.50191262726139</v>
      </c>
      <c r="C112" s="1" t="str">
        <f>ADDRESS(C121,1,1,1)</f>
        <v>$A$246</v>
      </c>
      <c r="D112" s="1" t="str">
        <f>ADDRESS(C121,D121-1,1,1)</f>
        <v>$HF$246</v>
      </c>
      <c r="E112"/>
    </row>
    <row r="113" spans="1:5" x14ac:dyDescent="0.25">
      <c r="A113" s="30">
        <v>490.95420250215363</v>
      </c>
      <c r="C113" s="1" t="str">
        <f>ADDRESS(C121+1,1,1,1)</f>
        <v>$A$247</v>
      </c>
      <c r="D113" s="1" t="str">
        <f>ADDRESS(C121-1,D121+1,1,1)</f>
        <v>$HH$245</v>
      </c>
    </row>
    <row r="114" spans="1:5" x14ac:dyDescent="0.25">
      <c r="A114" s="30">
        <v>467.57543095443202</v>
      </c>
      <c r="C114" s="1" t="str">
        <f>ADDRESS(C121,D121,1,1)</f>
        <v>$HG$246</v>
      </c>
      <c r="D114" s="1" t="str">
        <f>ADDRESS(C121+1,D121+1,1,1)</f>
        <v>$HH$247</v>
      </c>
    </row>
    <row r="115" spans="1:5" x14ac:dyDescent="0.25">
      <c r="A115" s="30">
        <v>445.30993424231622</v>
      </c>
      <c r="C115" s="1" t="str">
        <f>ADDRESS(C121+1,D121,1,1)</f>
        <v>$HG$247</v>
      </c>
    </row>
    <row r="116" spans="1:5" x14ac:dyDescent="0.25">
      <c r="A116" s="30">
        <v>424.10469927839637</v>
      </c>
      <c r="C116" s="1">
        <f>C117-1</f>
        <v>245</v>
      </c>
    </row>
    <row r="117" spans="1:5" x14ac:dyDescent="0.25">
      <c r="A117" s="30">
        <v>403.9092374079965</v>
      </c>
      <c r="C117" s="1">
        <f>C121</f>
        <v>246</v>
      </c>
      <c r="D117" s="1">
        <f>D121</f>
        <v>215</v>
      </c>
    </row>
    <row r="118" spans="1:5" x14ac:dyDescent="0.25">
      <c r="A118" s="30">
        <v>384.6754641980919</v>
      </c>
      <c r="C118" s="1">
        <f>C117+1</f>
        <v>247</v>
      </c>
      <c r="D118" s="1">
        <f>D117+1</f>
        <v>216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246</v>
      </c>
      <c r="D121" s="19">
        <v>215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R246</v>
      </c>
      <c r="D123" s="1" t="str">
        <f>"C"&amp;D121</f>
        <v>C215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0.74621539663662584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206" x14ac:dyDescent="0.25">
      <c r="A209" s="30">
        <v>4.5380394939082018</v>
      </c>
      <c r="E209"/>
    </row>
    <row r="210" spans="1:206" x14ac:dyDescent="0.25">
      <c r="A210" s="30">
        <v>4.3219423751506678</v>
      </c>
      <c r="C210"/>
      <c r="E210"/>
    </row>
    <row r="211" spans="1:206" x14ac:dyDescent="0.25">
      <c r="A211" s="30">
        <v>4.1161355953815884</v>
      </c>
      <c r="E211"/>
    </row>
    <row r="212" spans="1:206" x14ac:dyDescent="0.25">
      <c r="A212" s="30">
        <v>3.9201291384586554</v>
      </c>
      <c r="E212"/>
    </row>
    <row r="213" spans="1:206" x14ac:dyDescent="0.25">
      <c r="A213" s="30">
        <v>3.7334563223415764</v>
      </c>
      <c r="E213"/>
    </row>
    <row r="214" spans="1:206" x14ac:dyDescent="0.25">
      <c r="A214" s="30">
        <v>3.5556726879443583</v>
      </c>
      <c r="E214"/>
    </row>
    <row r="215" spans="1:206" x14ac:dyDescent="0.25">
      <c r="A215" s="30">
        <v>3.3863549408993889</v>
      </c>
      <c r="E215"/>
    </row>
    <row r="216" spans="1:206" x14ac:dyDescent="0.25">
      <c r="A216" s="30">
        <v>3.2250999437137038</v>
      </c>
      <c r="E216"/>
    </row>
    <row r="217" spans="1:206" x14ac:dyDescent="0.25">
      <c r="A217" s="30">
        <v>3.0715237559178128</v>
      </c>
      <c r="E217"/>
      <c r="EU217" s="27" t="s">
        <v>8</v>
      </c>
      <c r="FI217" s="31" t="s">
        <v>8</v>
      </c>
    </row>
    <row r="218" spans="1:206" x14ac:dyDescent="0.25">
      <c r="A218" s="30">
        <v>2.9252607199217264</v>
      </c>
      <c r="E218"/>
      <c r="EU218" s="27" t="s">
        <v>8</v>
      </c>
      <c r="EV218" s="27" t="s">
        <v>7</v>
      </c>
      <c r="EY218" s="27" t="s">
        <v>8</v>
      </c>
      <c r="FI218" s="27" t="s">
        <v>8</v>
      </c>
      <c r="FJ218" s="31" t="s">
        <v>7</v>
      </c>
    </row>
    <row r="219" spans="1:206" x14ac:dyDescent="0.25">
      <c r="A219" s="30">
        <v>2.7859625904016441</v>
      </c>
      <c r="E219"/>
      <c r="EU219" s="27" t="s">
        <v>8</v>
      </c>
      <c r="EV219" s="27" t="s">
        <v>7</v>
      </c>
      <c r="EW219" s="27" t="s">
        <v>8</v>
      </c>
      <c r="EY219" s="27" t="s">
        <v>8</v>
      </c>
      <c r="EZ219" s="27" t="s">
        <v>7</v>
      </c>
      <c r="FG219" s="27" t="s">
        <v>8</v>
      </c>
      <c r="FI219" s="27" t="s">
        <v>8</v>
      </c>
      <c r="FJ219" s="27" t="s">
        <v>7</v>
      </c>
      <c r="FK219" s="31"/>
    </row>
    <row r="220" spans="1:206" x14ac:dyDescent="0.25">
      <c r="A220" s="30">
        <v>2.6532977051444226</v>
      </c>
      <c r="E220"/>
      <c r="ES220" s="27" t="s">
        <v>8</v>
      </c>
      <c r="EU220" s="27" t="s">
        <v>8</v>
      </c>
      <c r="EV220" s="27" t="s">
        <v>7</v>
      </c>
      <c r="EW220" s="27" t="s">
        <v>8</v>
      </c>
      <c r="EX220" s="27" t="s">
        <v>7</v>
      </c>
      <c r="EY220" s="27" t="s">
        <v>8</v>
      </c>
      <c r="EZ220" s="27" t="s">
        <v>7</v>
      </c>
      <c r="FG220" s="27" t="s">
        <v>8</v>
      </c>
      <c r="FH220" s="27" t="s">
        <v>7</v>
      </c>
      <c r="FI220" s="27" t="s">
        <v>8</v>
      </c>
      <c r="FJ220" s="27" t="s">
        <v>7</v>
      </c>
      <c r="FL220" s="31"/>
      <c r="GU220" s="27" t="s">
        <v>8</v>
      </c>
    </row>
    <row r="221" spans="1:206" x14ac:dyDescent="0.25">
      <c r="A221" s="30">
        <v>2.5269501953756404</v>
      </c>
      <c r="E221"/>
      <c r="ES221" s="27" t="s">
        <v>8</v>
      </c>
      <c r="ET221" s="27" t="s">
        <v>7</v>
      </c>
      <c r="EU221" s="27" t="s">
        <v>8</v>
      </c>
      <c r="EV221" s="27" t="s">
        <v>7</v>
      </c>
      <c r="EW221" s="27" t="s">
        <v>8</v>
      </c>
      <c r="EX221" s="27" t="s">
        <v>7</v>
      </c>
      <c r="EY221" s="27" t="s">
        <v>8</v>
      </c>
      <c r="EZ221" s="27" t="s">
        <v>7</v>
      </c>
      <c r="FG221" s="27" t="s">
        <v>8</v>
      </c>
      <c r="FH221" s="27" t="s">
        <v>7</v>
      </c>
      <c r="FI221" s="27" t="s">
        <v>8</v>
      </c>
      <c r="FJ221" s="27" t="s">
        <v>7</v>
      </c>
      <c r="FK221" s="27" t="s">
        <v>8</v>
      </c>
      <c r="FM221" s="31"/>
      <c r="GQ221" s="27" t="s">
        <v>8</v>
      </c>
      <c r="GU221" s="27" t="s">
        <v>8</v>
      </c>
      <c r="GV221" s="27" t="s">
        <v>7</v>
      </c>
      <c r="GW221" s="27" t="s">
        <v>8</v>
      </c>
    </row>
    <row r="222" spans="1:206" x14ac:dyDescent="0.25">
      <c r="A222" s="30">
        <v>2.4066192336910861</v>
      </c>
      <c r="E222"/>
      <c r="EE222" s="27" t="s">
        <v>8</v>
      </c>
      <c r="ES222" s="27" t="s">
        <v>8</v>
      </c>
      <c r="ET222" s="27" t="s">
        <v>7</v>
      </c>
      <c r="EU222" s="27" t="s">
        <v>8</v>
      </c>
      <c r="EV222" s="27" t="s">
        <v>7</v>
      </c>
      <c r="EW222" s="27" t="s">
        <v>8</v>
      </c>
      <c r="EX222" s="27" t="s">
        <v>7</v>
      </c>
      <c r="EZ222" s="27" t="s">
        <v>7</v>
      </c>
      <c r="FA222" s="27" t="s">
        <v>8</v>
      </c>
      <c r="FG222" s="27" t="s">
        <v>8</v>
      </c>
      <c r="FH222" s="27" t="s">
        <v>7</v>
      </c>
      <c r="FI222" s="27" t="s">
        <v>8</v>
      </c>
      <c r="FJ222" s="27" t="s">
        <v>7</v>
      </c>
      <c r="FK222" s="27" t="s">
        <v>8</v>
      </c>
      <c r="FL222" s="27" t="s">
        <v>7</v>
      </c>
      <c r="FN222" s="31"/>
      <c r="GQ222" s="27" t="s">
        <v>8</v>
      </c>
      <c r="GR222" s="27" t="s">
        <v>7</v>
      </c>
      <c r="GS222" s="27" t="s">
        <v>8</v>
      </c>
      <c r="GU222" s="27" t="s">
        <v>8</v>
      </c>
      <c r="GV222" s="27" t="s">
        <v>7</v>
      </c>
      <c r="GW222" s="27" t="s">
        <v>8</v>
      </c>
      <c r="GX222" s="27" t="s">
        <v>7</v>
      </c>
    </row>
    <row r="223" spans="1:206" x14ac:dyDescent="0.25">
      <c r="A223" s="30">
        <v>2.2920183178010345</v>
      </c>
      <c r="E223"/>
      <c r="EE223" s="27" t="s">
        <v>8</v>
      </c>
      <c r="EF223" s="27" t="s">
        <v>7</v>
      </c>
      <c r="EK223" s="27" t="s">
        <v>8</v>
      </c>
      <c r="ES223" s="27" t="s">
        <v>8</v>
      </c>
      <c r="ET223" s="32" t="s">
        <v>7</v>
      </c>
      <c r="EV223" s="32" t="s">
        <v>7</v>
      </c>
      <c r="EZ223" s="34" t="s">
        <v>7</v>
      </c>
      <c r="FA223" s="27" t="s">
        <v>8</v>
      </c>
      <c r="FB223" s="27" t="s">
        <v>7</v>
      </c>
      <c r="FC223" s="27" t="s">
        <v>8</v>
      </c>
      <c r="FG223" s="27" t="s">
        <v>8</v>
      </c>
      <c r="FH223" s="27" t="s">
        <v>7</v>
      </c>
      <c r="FI223" s="27" t="s">
        <v>8</v>
      </c>
      <c r="FJ223" s="27" t="s">
        <v>7</v>
      </c>
      <c r="FK223" s="27" t="s">
        <v>8</v>
      </c>
      <c r="FL223" s="27" t="s">
        <v>7</v>
      </c>
      <c r="FO223" s="31"/>
      <c r="GQ223" s="27" t="s">
        <v>8</v>
      </c>
      <c r="GR223" s="27" t="s">
        <v>7</v>
      </c>
      <c r="GS223" s="27" t="s">
        <v>8</v>
      </c>
      <c r="GT223" s="27" t="s">
        <v>7</v>
      </c>
      <c r="GU223" s="27" t="s">
        <v>8</v>
      </c>
      <c r="GV223" s="27" t="s">
        <v>7</v>
      </c>
      <c r="GW223" s="27" t="s">
        <v>8</v>
      </c>
      <c r="GX223" s="27" t="s">
        <v>7</v>
      </c>
    </row>
    <row r="224" spans="1:206" x14ac:dyDescent="0.25">
      <c r="A224" s="30">
        <v>2.1828745883819374</v>
      </c>
      <c r="E224"/>
      <c r="EE224" s="27" t="s">
        <v>8</v>
      </c>
      <c r="EF224" s="27" t="s">
        <v>7</v>
      </c>
      <c r="EK224" s="27" t="s">
        <v>8</v>
      </c>
      <c r="EL224" s="27" t="s">
        <v>7</v>
      </c>
      <c r="ES224" s="27" t="s">
        <v>8</v>
      </c>
      <c r="EZ224" s="27" t="s">
        <v>7</v>
      </c>
      <c r="FA224" s="27" t="s">
        <v>8</v>
      </c>
      <c r="FB224" s="27" t="s">
        <v>7</v>
      </c>
      <c r="FC224" s="27" t="s">
        <v>8</v>
      </c>
      <c r="FD224" s="27" t="s">
        <v>7</v>
      </c>
      <c r="FG224" s="27" t="s">
        <v>8</v>
      </c>
      <c r="FH224" s="32" t="s">
        <v>7</v>
      </c>
      <c r="FJ224" s="32" t="s">
        <v>7</v>
      </c>
      <c r="FL224" s="27" t="s">
        <v>7</v>
      </c>
      <c r="FP224" s="31"/>
      <c r="GK224" s="27" t="s">
        <v>8</v>
      </c>
      <c r="GM224" s="27" t="s">
        <v>8</v>
      </c>
      <c r="GQ224" s="27" t="s">
        <v>8</v>
      </c>
      <c r="GR224" s="27" t="s">
        <v>7</v>
      </c>
      <c r="GS224" s="27" t="s">
        <v>8</v>
      </c>
      <c r="GT224" s="27" t="s">
        <v>7</v>
      </c>
      <c r="GU224" s="27" t="s">
        <v>8</v>
      </c>
      <c r="GV224" s="27" t="s">
        <v>7</v>
      </c>
      <c r="GW224" s="27" t="s">
        <v>8</v>
      </c>
      <c r="GX224" s="27" t="s">
        <v>7</v>
      </c>
    </row>
    <row r="225" spans="1:214" x14ac:dyDescent="0.25">
      <c r="A225" s="30">
        <v>2.0789281794113688</v>
      </c>
      <c r="E225"/>
      <c r="EE225" s="27" t="s">
        <v>8</v>
      </c>
      <c r="EF225" s="27" t="s">
        <v>7</v>
      </c>
      <c r="EK225" s="27" t="s">
        <v>8</v>
      </c>
      <c r="EL225" s="27" t="s">
        <v>7</v>
      </c>
      <c r="EM225" s="27" t="s">
        <v>8</v>
      </c>
      <c r="EO225" s="27" t="s">
        <v>8</v>
      </c>
      <c r="EQ225" s="27" t="s">
        <v>8</v>
      </c>
      <c r="ES225" s="27" t="s">
        <v>8</v>
      </c>
      <c r="EZ225" s="27" t="s">
        <v>7</v>
      </c>
      <c r="FA225" s="27" t="s">
        <v>8</v>
      </c>
      <c r="FB225" s="27" t="s">
        <v>7</v>
      </c>
      <c r="FC225" s="27" t="s">
        <v>8</v>
      </c>
      <c r="FD225" s="27" t="s">
        <v>7</v>
      </c>
      <c r="FG225" s="27" t="s">
        <v>8</v>
      </c>
      <c r="FL225" s="34" t="s">
        <v>7</v>
      </c>
      <c r="FQ225" s="31"/>
      <c r="GK225" s="27" t="s">
        <v>8</v>
      </c>
      <c r="GL225" s="27" t="s">
        <v>7</v>
      </c>
      <c r="GM225" s="27" t="s">
        <v>8</v>
      </c>
      <c r="GN225" s="27" t="s">
        <v>7</v>
      </c>
      <c r="GQ225" s="27" t="s">
        <v>8</v>
      </c>
      <c r="GR225" s="27" t="s">
        <v>7</v>
      </c>
      <c r="GS225" s="27" t="s">
        <v>8</v>
      </c>
      <c r="GT225" s="27" t="s">
        <v>7</v>
      </c>
      <c r="GU225" s="27" t="s">
        <v>8</v>
      </c>
      <c r="GV225" s="27" t="s">
        <v>7</v>
      </c>
      <c r="GX225" s="27" t="s">
        <v>7</v>
      </c>
    </row>
    <row r="226" spans="1:214" x14ac:dyDescent="0.25">
      <c r="A226" s="30">
        <v>1.9799315994393987</v>
      </c>
      <c r="E226"/>
      <c r="EE226" s="27" t="s">
        <v>8</v>
      </c>
      <c r="EF226" s="27" t="s">
        <v>7</v>
      </c>
      <c r="EK226" s="27" t="s">
        <v>8</v>
      </c>
      <c r="EL226" s="27" t="s">
        <v>7</v>
      </c>
      <c r="EM226" s="27" t="s">
        <v>8</v>
      </c>
      <c r="EN226" s="27" t="s">
        <v>7</v>
      </c>
      <c r="EO226" s="27" t="s">
        <v>8</v>
      </c>
      <c r="EP226" s="27" t="s">
        <v>7</v>
      </c>
      <c r="EQ226" s="27" t="s">
        <v>8</v>
      </c>
      <c r="ER226" s="27" t="s">
        <v>7</v>
      </c>
      <c r="ES226" s="27" t="s">
        <v>8</v>
      </c>
      <c r="EZ226" s="27" t="s">
        <v>7</v>
      </c>
      <c r="FA226" s="27" t="s">
        <v>8</v>
      </c>
      <c r="FB226" s="27" t="s">
        <v>7</v>
      </c>
      <c r="FC226" s="27" t="s">
        <v>8</v>
      </c>
      <c r="FD226" s="27" t="s">
        <v>7</v>
      </c>
      <c r="FG226" s="33" t="s">
        <v>8</v>
      </c>
      <c r="FL226" s="27" t="s">
        <v>7</v>
      </c>
      <c r="FR226" s="31"/>
      <c r="GK226" s="27" t="s">
        <v>8</v>
      </c>
      <c r="GL226" s="27" t="s">
        <v>7</v>
      </c>
      <c r="GM226" s="27" t="s">
        <v>8</v>
      </c>
      <c r="GN226" s="27" t="s">
        <v>7</v>
      </c>
      <c r="GQ226" s="27" t="s">
        <v>8</v>
      </c>
      <c r="GR226" s="27" t="s">
        <v>7</v>
      </c>
      <c r="GS226" s="27" t="s">
        <v>8</v>
      </c>
      <c r="GT226" s="27" t="s">
        <v>7</v>
      </c>
      <c r="GX226" s="27" t="s">
        <v>7</v>
      </c>
    </row>
    <row r="227" spans="1:214" x14ac:dyDescent="0.25">
      <c r="A227" s="30">
        <v>1.8856491423232367</v>
      </c>
      <c r="E227"/>
      <c r="EE227" s="27" t="s">
        <v>8</v>
      </c>
      <c r="EF227" s="27" t="s">
        <v>7</v>
      </c>
      <c r="EG227" s="27" t="s">
        <v>8</v>
      </c>
      <c r="EK227" s="27" t="s">
        <v>8</v>
      </c>
      <c r="EL227" s="27" t="s">
        <v>7</v>
      </c>
      <c r="EM227" s="27" t="s">
        <v>8</v>
      </c>
      <c r="EN227" s="27" t="s">
        <v>7</v>
      </c>
      <c r="EO227" s="27" t="s">
        <v>8</v>
      </c>
      <c r="EP227" s="27" t="s">
        <v>7</v>
      </c>
      <c r="EQ227" s="27" t="s">
        <v>8</v>
      </c>
      <c r="ER227" s="27" t="s">
        <v>7</v>
      </c>
      <c r="ES227" s="27" t="s">
        <v>8</v>
      </c>
      <c r="EZ227" s="32" t="s">
        <v>7</v>
      </c>
      <c r="FB227" s="32" t="s">
        <v>7</v>
      </c>
      <c r="FD227" s="27" t="s">
        <v>7</v>
      </c>
      <c r="FE227" s="27" t="s">
        <v>8</v>
      </c>
      <c r="FG227" s="27" t="s">
        <v>8</v>
      </c>
      <c r="FL227" s="27" t="s">
        <v>7</v>
      </c>
      <c r="FS227" s="31"/>
      <c r="GK227" s="27" t="s">
        <v>8</v>
      </c>
      <c r="GL227" s="27" t="s">
        <v>7</v>
      </c>
      <c r="GM227" s="27" t="s">
        <v>8</v>
      </c>
      <c r="GN227" s="27" t="s">
        <v>7</v>
      </c>
      <c r="GQ227" s="27" t="s">
        <v>8</v>
      </c>
      <c r="GR227" s="27" t="s">
        <v>7</v>
      </c>
      <c r="GS227" s="27" t="s">
        <v>8</v>
      </c>
      <c r="GX227" s="27" t="s">
        <v>7</v>
      </c>
      <c r="HC227" s="27" t="s">
        <v>8</v>
      </c>
    </row>
    <row r="228" spans="1:214" x14ac:dyDescent="0.25">
      <c r="A228" s="30">
        <v>1.7958563260221301</v>
      </c>
      <c r="C228" s="7"/>
      <c r="D228"/>
      <c r="E228"/>
      <c r="EE228" s="27" t="s">
        <v>8</v>
      </c>
      <c r="EF228" s="27" t="s">
        <v>7</v>
      </c>
      <c r="EG228" s="27" t="s">
        <v>8</v>
      </c>
      <c r="EH228" s="27" t="s">
        <v>7</v>
      </c>
      <c r="EK228" s="27" t="s">
        <v>8</v>
      </c>
      <c r="EL228" s="27" t="s">
        <v>7</v>
      </c>
      <c r="EN228" s="27" t="s">
        <v>7</v>
      </c>
      <c r="EO228" s="27" t="s">
        <v>8</v>
      </c>
      <c r="EP228" s="27" t="s">
        <v>7</v>
      </c>
      <c r="ER228" s="27" t="s">
        <v>7</v>
      </c>
      <c r="ES228" s="27" t="s">
        <v>8</v>
      </c>
      <c r="FD228" s="27" t="s">
        <v>7</v>
      </c>
      <c r="FE228" s="27" t="s">
        <v>8</v>
      </c>
      <c r="FF228" s="27" t="s">
        <v>7</v>
      </c>
      <c r="FG228" s="27" t="s">
        <v>8</v>
      </c>
      <c r="FL228" s="27" t="s">
        <v>7</v>
      </c>
      <c r="FT228" s="31"/>
      <c r="GI228" s="27" t="s">
        <v>8</v>
      </c>
      <c r="GK228" s="27" t="s">
        <v>8</v>
      </c>
      <c r="GL228" s="27" t="s">
        <v>7</v>
      </c>
      <c r="GM228" s="27" t="s">
        <v>8</v>
      </c>
      <c r="GN228" s="27" t="s">
        <v>7</v>
      </c>
      <c r="GQ228" s="27" t="s">
        <v>8</v>
      </c>
      <c r="GR228" s="27" t="s">
        <v>7</v>
      </c>
      <c r="GX228" s="27" t="s">
        <v>7</v>
      </c>
      <c r="HC228" s="27" t="s">
        <v>8</v>
      </c>
      <c r="HD228" s="27" t="s">
        <v>7</v>
      </c>
    </row>
    <row r="229" spans="1:214" x14ac:dyDescent="0.25">
      <c r="A229" s="30">
        <v>1.7103393581163142</v>
      </c>
      <c r="E229"/>
      <c r="EE229" s="27" t="s">
        <v>8</v>
      </c>
      <c r="EF229" s="27" t="s">
        <v>7</v>
      </c>
      <c r="EG229" s="27" t="s">
        <v>8</v>
      </c>
      <c r="EH229" s="27" t="s">
        <v>7</v>
      </c>
      <c r="EK229" s="27" t="s">
        <v>8</v>
      </c>
      <c r="EN229" s="27" t="s">
        <v>7</v>
      </c>
      <c r="EO229" s="27" t="s">
        <v>8</v>
      </c>
      <c r="ER229" s="27" t="s">
        <v>7</v>
      </c>
      <c r="FD229" s="27" t="s">
        <v>7</v>
      </c>
      <c r="FE229" s="27" t="s">
        <v>8</v>
      </c>
      <c r="FF229" s="27" t="s">
        <v>7</v>
      </c>
      <c r="FG229" s="27" t="s">
        <v>8</v>
      </c>
      <c r="FL229" s="27" t="s">
        <v>7</v>
      </c>
      <c r="FU229" s="31"/>
      <c r="GI229" s="27" t="s">
        <v>8</v>
      </c>
      <c r="GJ229" s="27" t="s">
        <v>7</v>
      </c>
      <c r="GK229" s="27" t="s">
        <v>8</v>
      </c>
      <c r="GL229" s="27" t="s">
        <v>7</v>
      </c>
      <c r="GM229" s="27" t="s">
        <v>8</v>
      </c>
      <c r="GN229" s="27" t="s">
        <v>7</v>
      </c>
      <c r="GO229" s="27" t="s">
        <v>8</v>
      </c>
      <c r="GQ229" s="27" t="s">
        <v>8</v>
      </c>
      <c r="GX229" s="27" t="s">
        <v>7</v>
      </c>
      <c r="HC229" s="27" t="s">
        <v>8</v>
      </c>
      <c r="HD229" s="27" t="s">
        <v>7</v>
      </c>
    </row>
    <row r="230" spans="1:214" x14ac:dyDescent="0.25">
      <c r="A230" s="30">
        <v>1.628894626777442</v>
      </c>
      <c r="E230"/>
      <c r="EC230" s="27" t="s">
        <v>8</v>
      </c>
      <c r="EE230" s="27" t="s">
        <v>8</v>
      </c>
      <c r="EF230" s="27" t="s">
        <v>7</v>
      </c>
      <c r="EG230" s="27" t="s">
        <v>8</v>
      </c>
      <c r="EH230" s="27" t="s">
        <v>7</v>
      </c>
      <c r="EI230" s="27" t="s">
        <v>8</v>
      </c>
      <c r="EK230" s="27" t="s">
        <v>8</v>
      </c>
      <c r="EN230" s="27" t="s">
        <v>7</v>
      </c>
      <c r="FD230" s="27" t="s">
        <v>7</v>
      </c>
      <c r="FE230" s="27" t="s">
        <v>8</v>
      </c>
      <c r="FF230" s="27" t="s">
        <v>7</v>
      </c>
      <c r="FL230" s="27" t="s">
        <v>7</v>
      </c>
      <c r="FV230" s="31"/>
      <c r="GI230" s="27" t="s">
        <v>8</v>
      </c>
      <c r="GJ230" s="27" t="s">
        <v>7</v>
      </c>
      <c r="GK230" s="27" t="s">
        <v>8</v>
      </c>
      <c r="GL230" s="27" t="s">
        <v>7</v>
      </c>
      <c r="GM230" s="27" t="s">
        <v>8</v>
      </c>
      <c r="GN230" s="27" t="s">
        <v>7</v>
      </c>
      <c r="GO230" s="27" t="s">
        <v>8</v>
      </c>
      <c r="GP230" s="27" t="s">
        <v>7</v>
      </c>
      <c r="GQ230" s="27" t="s">
        <v>8</v>
      </c>
      <c r="GX230" s="27" t="s">
        <v>7</v>
      </c>
      <c r="HC230" s="27" t="s">
        <v>8</v>
      </c>
      <c r="HD230" s="27" t="s">
        <v>7</v>
      </c>
    </row>
    <row r="231" spans="1:214" x14ac:dyDescent="0.25">
      <c r="A231" s="30">
        <v>1.5513282159785162</v>
      </c>
      <c r="C231"/>
      <c r="D231"/>
      <c r="E231"/>
      <c r="EC231" s="27" t="s">
        <v>8</v>
      </c>
      <c r="ED231" s="27" t="s">
        <v>7</v>
      </c>
      <c r="EE231" s="27" t="s">
        <v>8</v>
      </c>
      <c r="EF231" s="27" t="s">
        <v>7</v>
      </c>
      <c r="EG231" s="27" t="s">
        <v>8</v>
      </c>
      <c r="EH231" s="27" t="s">
        <v>7</v>
      </c>
      <c r="EI231" s="27" t="s">
        <v>8</v>
      </c>
      <c r="EJ231" s="27" t="s">
        <v>7</v>
      </c>
      <c r="EK231" s="27" t="s">
        <v>8</v>
      </c>
      <c r="FD231" s="27" t="s">
        <v>7</v>
      </c>
      <c r="FL231" s="27" t="s">
        <v>7</v>
      </c>
      <c r="FW231" s="31"/>
      <c r="GG231" s="27" t="s">
        <v>8</v>
      </c>
      <c r="GI231" s="27" t="s">
        <v>8</v>
      </c>
      <c r="GJ231" s="27" t="s">
        <v>7</v>
      </c>
      <c r="GK231" s="27" t="s">
        <v>8</v>
      </c>
      <c r="GL231" s="27" t="s">
        <v>7</v>
      </c>
      <c r="GN231" s="27" t="s">
        <v>7</v>
      </c>
      <c r="GO231" s="27" t="s">
        <v>8</v>
      </c>
      <c r="GP231" s="27" t="s">
        <v>7</v>
      </c>
      <c r="GQ231" s="27" t="s">
        <v>8</v>
      </c>
      <c r="GX231" s="27" t="s">
        <v>7</v>
      </c>
      <c r="HC231" s="27" t="s">
        <v>8</v>
      </c>
      <c r="HD231" s="27" t="s">
        <v>7</v>
      </c>
    </row>
    <row r="232" spans="1:214" x14ac:dyDescent="0.25">
      <c r="A232" s="30">
        <v>1.477455443789063</v>
      </c>
      <c r="E232"/>
      <c r="EA232" s="27" t="s">
        <v>8</v>
      </c>
      <c r="EC232" s="27" t="s">
        <v>8</v>
      </c>
      <c r="ED232" s="27" t="s">
        <v>7</v>
      </c>
      <c r="EE232" s="27" t="s">
        <v>8</v>
      </c>
      <c r="EF232" s="27" t="s">
        <v>7</v>
      </c>
      <c r="EG232" s="27" t="s">
        <v>8</v>
      </c>
      <c r="EH232" s="27" t="s">
        <v>7</v>
      </c>
      <c r="EI232" s="27" t="s">
        <v>8</v>
      </c>
      <c r="EJ232" s="27" t="s">
        <v>7</v>
      </c>
      <c r="EK232" s="27" t="s">
        <v>8</v>
      </c>
      <c r="FL232" s="27" t="s">
        <v>7</v>
      </c>
      <c r="FM232" s="27" t="s">
        <v>8</v>
      </c>
      <c r="FX232" s="31"/>
      <c r="GG232" s="27" t="s">
        <v>8</v>
      </c>
      <c r="GH232" s="27" t="s">
        <v>7</v>
      </c>
      <c r="GI232" s="27" t="s">
        <v>8</v>
      </c>
      <c r="GJ232" s="27" t="s">
        <v>7</v>
      </c>
      <c r="GK232" s="27" t="s">
        <v>8</v>
      </c>
      <c r="GN232" s="27" t="s">
        <v>7</v>
      </c>
      <c r="GP232" s="27" t="s">
        <v>7</v>
      </c>
      <c r="GQ232" s="27" t="s">
        <v>8</v>
      </c>
      <c r="GX232" s="27" t="s">
        <v>7</v>
      </c>
      <c r="HC232" s="27" t="s">
        <v>8</v>
      </c>
      <c r="HD232" s="27" t="s">
        <v>7</v>
      </c>
    </row>
    <row r="233" spans="1:214" x14ac:dyDescent="0.25">
      <c r="A233" s="30">
        <v>1.4071004226562505</v>
      </c>
      <c r="E233"/>
      <c r="EA233" s="27" t="s">
        <v>8</v>
      </c>
      <c r="EB233" s="27" t="s">
        <v>7</v>
      </c>
      <c r="EC233" s="27" t="s">
        <v>8</v>
      </c>
      <c r="ED233" s="27" t="s">
        <v>7</v>
      </c>
      <c r="EE233" s="27" t="s">
        <v>8</v>
      </c>
      <c r="EF233" s="27" t="s">
        <v>7</v>
      </c>
      <c r="EG233" s="27" t="s">
        <v>8</v>
      </c>
      <c r="EH233" s="27" t="s">
        <v>7</v>
      </c>
      <c r="EJ233" s="27" t="s">
        <v>7</v>
      </c>
      <c r="EK233" s="27" t="s">
        <v>8</v>
      </c>
      <c r="FL233" s="27" t="s">
        <v>7</v>
      </c>
      <c r="FM233" s="27" t="s">
        <v>8</v>
      </c>
      <c r="FN233" s="27" t="s">
        <v>7</v>
      </c>
      <c r="FY233" s="31"/>
      <c r="GG233" s="27" t="s">
        <v>8</v>
      </c>
      <c r="GH233" s="27" t="s">
        <v>7</v>
      </c>
      <c r="GI233" s="27" t="s">
        <v>8</v>
      </c>
      <c r="GJ233" s="27" t="s">
        <v>7</v>
      </c>
      <c r="GK233" s="27" t="s">
        <v>8</v>
      </c>
      <c r="GP233" s="27" t="s">
        <v>7</v>
      </c>
      <c r="GX233" s="27" t="s">
        <v>7</v>
      </c>
      <c r="HC233" s="27" t="s">
        <v>8</v>
      </c>
      <c r="HD233" s="27" t="s">
        <v>7</v>
      </c>
    </row>
    <row r="234" spans="1:214" x14ac:dyDescent="0.25">
      <c r="A234" s="30">
        <v>1.3400956406250004</v>
      </c>
      <c r="E234"/>
      <c r="EA234" s="27" t="s">
        <v>8</v>
      </c>
      <c r="EB234" s="27" t="s">
        <v>7</v>
      </c>
      <c r="EC234" s="27" t="s">
        <v>8</v>
      </c>
      <c r="ED234" s="27" t="s">
        <v>7</v>
      </c>
      <c r="EE234" s="27" t="s">
        <v>8</v>
      </c>
      <c r="EF234" s="27" t="s">
        <v>7</v>
      </c>
      <c r="EG234" s="27" t="s">
        <v>8</v>
      </c>
      <c r="EJ234" s="27" t="s">
        <v>7</v>
      </c>
      <c r="FL234" s="27" t="s">
        <v>7</v>
      </c>
      <c r="FM234" s="27" t="s">
        <v>8</v>
      </c>
      <c r="FN234" s="27" t="s">
        <v>7</v>
      </c>
      <c r="FQ234" s="33" t="s">
        <v>8</v>
      </c>
      <c r="FS234" s="32" t="s">
        <v>8</v>
      </c>
      <c r="FZ234" s="31"/>
      <c r="GE234" s="27" t="s">
        <v>8</v>
      </c>
      <c r="GG234" s="27" t="s">
        <v>8</v>
      </c>
      <c r="GH234" s="27" t="s">
        <v>7</v>
      </c>
      <c r="GI234" s="27" t="s">
        <v>8</v>
      </c>
      <c r="GJ234" s="27" t="s">
        <v>7</v>
      </c>
      <c r="GK234" s="27" t="s">
        <v>8</v>
      </c>
      <c r="GR234" s="31"/>
      <c r="GX234" s="27" t="s">
        <v>7</v>
      </c>
      <c r="GY234" s="27" t="s">
        <v>8</v>
      </c>
      <c r="HA234" s="27" t="s">
        <v>8</v>
      </c>
      <c r="HC234" s="27" t="s">
        <v>8</v>
      </c>
      <c r="HD234" s="27" t="s">
        <v>7</v>
      </c>
    </row>
    <row r="235" spans="1:214" x14ac:dyDescent="0.25">
      <c r="A235" s="30">
        <v>1.2762815625000004</v>
      </c>
      <c r="C235"/>
      <c r="E235"/>
      <c r="EA235" s="27" t="s">
        <v>8</v>
      </c>
      <c r="EB235" s="27" t="s">
        <v>7</v>
      </c>
      <c r="EC235" s="27" t="s">
        <v>8</v>
      </c>
      <c r="ED235" s="27" t="s">
        <v>7</v>
      </c>
      <c r="EE235" s="27" t="s">
        <v>8</v>
      </c>
      <c r="EF235" s="27" t="s">
        <v>7</v>
      </c>
      <c r="EG235" s="27" t="s">
        <v>8</v>
      </c>
      <c r="FL235" s="27" t="s">
        <v>7</v>
      </c>
      <c r="FM235" s="27" t="s">
        <v>8</v>
      </c>
      <c r="FN235" s="27" t="s">
        <v>7</v>
      </c>
      <c r="FO235" s="27" t="s">
        <v>8</v>
      </c>
      <c r="FQ235" s="27" t="s">
        <v>8</v>
      </c>
      <c r="FR235" s="27" t="s">
        <v>7</v>
      </c>
      <c r="FS235" s="27" t="s">
        <v>8</v>
      </c>
      <c r="FT235" s="27" t="s">
        <v>7</v>
      </c>
      <c r="GA235" s="31"/>
      <c r="GE235" s="27" t="s">
        <v>8</v>
      </c>
      <c r="GF235" s="27" t="s">
        <v>7</v>
      </c>
      <c r="GG235" s="27" t="s">
        <v>8</v>
      </c>
      <c r="GH235" s="27" t="s">
        <v>7</v>
      </c>
      <c r="GJ235" s="27" t="s">
        <v>7</v>
      </c>
      <c r="GK235" s="27" t="s">
        <v>8</v>
      </c>
      <c r="GQ235" s="31"/>
      <c r="GX235" s="27" t="s">
        <v>7</v>
      </c>
      <c r="GY235" s="27" t="s">
        <v>8</v>
      </c>
      <c r="GZ235" s="27" t="s">
        <v>7</v>
      </c>
      <c r="HA235" s="27" t="s">
        <v>8</v>
      </c>
      <c r="HB235" s="27" t="s">
        <v>7</v>
      </c>
      <c r="HC235" s="27" t="s">
        <v>8</v>
      </c>
      <c r="HD235" s="27" t="s">
        <v>7</v>
      </c>
    </row>
    <row r="236" spans="1:214" x14ac:dyDescent="0.25">
      <c r="A236" s="30">
        <v>1.2155062500000002</v>
      </c>
      <c r="E236"/>
      <c r="EA236" s="27" t="s">
        <v>8</v>
      </c>
      <c r="EB236" s="27" t="s">
        <v>7</v>
      </c>
      <c r="ED236" s="27" t="s">
        <v>7</v>
      </c>
      <c r="EF236" s="27" t="s">
        <v>7</v>
      </c>
      <c r="EG236" s="27" t="s">
        <v>8</v>
      </c>
      <c r="FL236" s="27" t="s">
        <v>7</v>
      </c>
      <c r="FM236" s="27" t="s">
        <v>8</v>
      </c>
      <c r="FN236" s="27" t="s">
        <v>7</v>
      </c>
      <c r="FO236" s="27" t="s">
        <v>8</v>
      </c>
      <c r="FP236" s="27" t="s">
        <v>7</v>
      </c>
      <c r="FQ236" s="27" t="s">
        <v>8</v>
      </c>
      <c r="FR236" s="27" t="s">
        <v>7</v>
      </c>
      <c r="FS236" s="27" t="s">
        <v>8</v>
      </c>
      <c r="FT236" s="27" t="s">
        <v>7</v>
      </c>
      <c r="GB236" s="31"/>
      <c r="GE236" s="27" t="s">
        <v>8</v>
      </c>
      <c r="GF236" s="27" t="s">
        <v>7</v>
      </c>
      <c r="GG236" s="27" t="s">
        <v>8</v>
      </c>
      <c r="GJ236" s="27" t="s">
        <v>7</v>
      </c>
      <c r="GP236" s="31"/>
      <c r="GX236" s="27" t="s">
        <v>7</v>
      </c>
      <c r="GY236" s="27" t="s">
        <v>8</v>
      </c>
      <c r="GZ236" s="27" t="s">
        <v>7</v>
      </c>
      <c r="HA236" s="27" t="s">
        <v>8</v>
      </c>
      <c r="HB236" s="27" t="s">
        <v>7</v>
      </c>
      <c r="HC236" s="27" t="s">
        <v>8</v>
      </c>
      <c r="HD236" s="27" t="s">
        <v>7</v>
      </c>
    </row>
    <row r="237" spans="1:21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EA237" s="27" t="s">
        <v>8</v>
      </c>
      <c r="EF237" s="27" t="s">
        <v>7</v>
      </c>
      <c r="FL237" s="27" t="s">
        <v>7</v>
      </c>
      <c r="FM237" s="27" t="s">
        <v>8</v>
      </c>
      <c r="FN237" s="27" t="s">
        <v>7</v>
      </c>
      <c r="FO237" s="27" t="s">
        <v>8</v>
      </c>
      <c r="FP237" s="27" t="s">
        <v>7</v>
      </c>
      <c r="FQ237" s="27" t="s">
        <v>8</v>
      </c>
      <c r="FR237" s="27" t="s">
        <v>7</v>
      </c>
      <c r="FS237" s="27" t="s">
        <v>8</v>
      </c>
      <c r="FT237" s="27" t="s">
        <v>7</v>
      </c>
      <c r="FW237" s="32" t="s">
        <v>8</v>
      </c>
      <c r="FY237" s="32" t="s">
        <v>8</v>
      </c>
      <c r="GC237" s="31"/>
      <c r="GE237" s="27" t="s">
        <v>8</v>
      </c>
      <c r="GF237" s="27" t="s">
        <v>7</v>
      </c>
      <c r="GG237" s="27" t="s">
        <v>8</v>
      </c>
      <c r="GO237" s="31"/>
      <c r="GX237" s="27" t="s">
        <v>7</v>
      </c>
      <c r="GY237" s="27" t="s">
        <v>8</v>
      </c>
      <c r="GZ237" s="27" t="s">
        <v>7</v>
      </c>
      <c r="HA237" s="27" t="s">
        <v>8</v>
      </c>
      <c r="HB237" s="27" t="s">
        <v>7</v>
      </c>
      <c r="HC237" s="27" t="s">
        <v>8</v>
      </c>
      <c r="HD237" s="27" t="s">
        <v>7</v>
      </c>
    </row>
    <row r="238" spans="1:214" x14ac:dyDescent="0.25">
      <c r="A238" s="30">
        <v>1.1025</v>
      </c>
      <c r="E238"/>
      <c r="EA238" s="27" t="s">
        <v>8</v>
      </c>
      <c r="FL238" s="27" t="s">
        <v>7</v>
      </c>
      <c r="FM238" s="27" t="s">
        <v>8</v>
      </c>
      <c r="FN238" s="27" t="s">
        <v>7</v>
      </c>
      <c r="FP238" s="27" t="s">
        <v>7</v>
      </c>
      <c r="FQ238" s="27" t="s">
        <v>8</v>
      </c>
      <c r="FR238" s="27" t="s">
        <v>7</v>
      </c>
      <c r="FS238" s="27" t="s">
        <v>8</v>
      </c>
      <c r="FT238" s="27" t="s">
        <v>7</v>
      </c>
      <c r="FW238" s="33" t="s">
        <v>8</v>
      </c>
      <c r="FX238" s="27" t="s">
        <v>7</v>
      </c>
      <c r="FY238" s="27" t="s">
        <v>8</v>
      </c>
      <c r="FZ238" s="27" t="s">
        <v>7</v>
      </c>
      <c r="GD238" s="31"/>
      <c r="GE238" s="27" t="s">
        <v>8</v>
      </c>
      <c r="GF238" s="27" t="s">
        <v>7</v>
      </c>
      <c r="GN238" s="31"/>
      <c r="GX238" s="27" t="s">
        <v>7</v>
      </c>
      <c r="GZ238" s="27" t="s">
        <v>7</v>
      </c>
      <c r="HB238" s="27" t="s">
        <v>7</v>
      </c>
      <c r="HD238" s="27" t="s">
        <v>7</v>
      </c>
      <c r="HE238" s="27" t="s">
        <v>8</v>
      </c>
    </row>
    <row r="239" spans="1:214" x14ac:dyDescent="0.25">
      <c r="A239" s="30">
        <v>1.05</v>
      </c>
      <c r="E239"/>
      <c r="EA239" s="27" t="s">
        <v>8</v>
      </c>
      <c r="FL239" s="27" t="s">
        <v>7</v>
      </c>
      <c r="FM239" s="27" t="s">
        <v>8</v>
      </c>
      <c r="FP239" s="27" t="s">
        <v>7</v>
      </c>
      <c r="FQ239" s="27" t="s">
        <v>8</v>
      </c>
      <c r="FR239" s="27" t="s">
        <v>7</v>
      </c>
      <c r="FS239" s="27" t="s">
        <v>8</v>
      </c>
      <c r="FT239" s="27" t="s">
        <v>7</v>
      </c>
      <c r="FU239" s="27" t="s">
        <v>8</v>
      </c>
      <c r="FW239" s="27" t="s">
        <v>8</v>
      </c>
      <c r="FX239" s="27" t="s">
        <v>7</v>
      </c>
      <c r="FY239" s="27" t="s">
        <v>8</v>
      </c>
      <c r="FZ239" s="27" t="s">
        <v>7</v>
      </c>
      <c r="GC239" s="27" t="s">
        <v>8</v>
      </c>
      <c r="GE239" s="31" t="s">
        <v>8</v>
      </c>
      <c r="GM239" s="31"/>
      <c r="HD239" s="27" t="s">
        <v>7</v>
      </c>
      <c r="HE239" s="27" t="s">
        <v>8</v>
      </c>
      <c r="HF239" s="27" t="s">
        <v>7</v>
      </c>
    </row>
    <row r="240" spans="1:214" x14ac:dyDescent="0.25">
      <c r="A240" s="30">
        <v>1</v>
      </c>
      <c r="E240" s="29" t="s">
        <v>8</v>
      </c>
      <c r="EA240" s="27" t="s">
        <v>8</v>
      </c>
      <c r="FL240" s="27" t="s">
        <v>7</v>
      </c>
      <c r="FM240" s="27" t="s">
        <v>8</v>
      </c>
      <c r="FP240" s="27" t="s">
        <v>7</v>
      </c>
      <c r="FQ240" s="27" t="s">
        <v>8</v>
      </c>
      <c r="FR240" s="27" t="s">
        <v>7</v>
      </c>
      <c r="FS240" s="27" t="s">
        <v>8</v>
      </c>
      <c r="FT240" s="27" t="s">
        <v>7</v>
      </c>
      <c r="FU240" s="27" t="s">
        <v>8</v>
      </c>
      <c r="FV240" s="27" t="s">
        <v>7</v>
      </c>
      <c r="FW240" s="27" t="s">
        <v>8</v>
      </c>
      <c r="FX240" s="27" t="s">
        <v>7</v>
      </c>
      <c r="FZ240" s="27" t="s">
        <v>7</v>
      </c>
      <c r="GC240" s="27" t="s">
        <v>8</v>
      </c>
      <c r="GD240" s="27" t="s">
        <v>7</v>
      </c>
      <c r="GE240" s="27" t="s">
        <v>8</v>
      </c>
      <c r="GF240" s="19"/>
      <c r="GL240" s="31"/>
      <c r="HD240" s="27" t="s">
        <v>7</v>
      </c>
      <c r="HE240" s="27" t="s">
        <v>8</v>
      </c>
      <c r="HF240" s="27" t="s">
        <v>7</v>
      </c>
    </row>
    <row r="241" spans="1:215" x14ac:dyDescent="0.25">
      <c r="A241" s="30">
        <v>0.952380952380952</v>
      </c>
      <c r="B241"/>
      <c r="C241"/>
      <c r="D241"/>
      <c r="E241"/>
      <c r="F241" s="27" t="s">
        <v>7</v>
      </c>
      <c r="EA241" s="27" t="s">
        <v>8</v>
      </c>
      <c r="FL241" s="27" t="s">
        <v>7</v>
      </c>
      <c r="FM241" s="27" t="s">
        <v>8</v>
      </c>
      <c r="FP241" s="27" t="s">
        <v>7</v>
      </c>
      <c r="FQ241" s="27" t="s">
        <v>8</v>
      </c>
      <c r="FR241" s="27" t="s">
        <v>7</v>
      </c>
      <c r="FT241" s="27" t="s">
        <v>7</v>
      </c>
      <c r="FU241" s="27" t="s">
        <v>8</v>
      </c>
      <c r="FV241" s="27" t="s">
        <v>7</v>
      </c>
      <c r="FW241" s="27" t="s">
        <v>8</v>
      </c>
      <c r="FZ241" s="34" t="s">
        <v>7</v>
      </c>
      <c r="GC241" s="27" t="s">
        <v>8</v>
      </c>
      <c r="GD241" s="27" t="s">
        <v>7</v>
      </c>
      <c r="GE241" s="27" t="s">
        <v>8</v>
      </c>
      <c r="GG241" s="19"/>
      <c r="GK241" s="31"/>
      <c r="HD241" s="27" t="s">
        <v>7</v>
      </c>
      <c r="HE241" s="27" t="s">
        <v>8</v>
      </c>
      <c r="HF241" s="27" t="s">
        <v>7</v>
      </c>
    </row>
    <row r="242" spans="1:215" x14ac:dyDescent="0.25">
      <c r="A242" s="30">
        <v>0.90702947845804915</v>
      </c>
      <c r="B242"/>
      <c r="C242"/>
      <c r="D242"/>
      <c r="E242"/>
      <c r="F242" s="27" t="s">
        <v>7</v>
      </c>
      <c r="DY242" s="27" t="s">
        <v>8</v>
      </c>
      <c r="EA242" s="27" t="s">
        <v>8</v>
      </c>
      <c r="FL242" s="27" t="s">
        <v>7</v>
      </c>
      <c r="FM242" s="27" t="s">
        <v>8</v>
      </c>
      <c r="FP242" s="27" t="s">
        <v>7</v>
      </c>
      <c r="FQ242" s="27" t="s">
        <v>8</v>
      </c>
      <c r="FT242" s="34" t="s">
        <v>7</v>
      </c>
      <c r="FV242" s="27" t="s">
        <v>7</v>
      </c>
      <c r="FW242" s="27" t="s">
        <v>8</v>
      </c>
      <c r="FZ242" s="27" t="s">
        <v>7</v>
      </c>
      <c r="GC242" s="27" t="s">
        <v>8</v>
      </c>
      <c r="GD242" s="27" t="s">
        <v>7</v>
      </c>
      <c r="GE242" s="27" t="s">
        <v>8</v>
      </c>
      <c r="GH242" s="19"/>
      <c r="GJ242" s="31"/>
      <c r="HD242" s="27" t="s">
        <v>7</v>
      </c>
      <c r="HF242" s="27" t="s">
        <v>7</v>
      </c>
    </row>
    <row r="243" spans="1:215" x14ac:dyDescent="0.25">
      <c r="A243" s="30">
        <v>0.86383759853147501</v>
      </c>
      <c r="B243"/>
      <c r="C243"/>
      <c r="D243"/>
      <c r="E243"/>
      <c r="F243" s="27" t="s">
        <v>7</v>
      </c>
      <c r="DW243" s="27" t="s">
        <v>8</v>
      </c>
      <c r="DY243" s="27" t="s">
        <v>8</v>
      </c>
      <c r="DZ243" s="27" t="s">
        <v>7</v>
      </c>
      <c r="EA243" s="27" t="s">
        <v>8</v>
      </c>
      <c r="FL243" s="27" t="s">
        <v>7</v>
      </c>
      <c r="FP243" s="27" t="s">
        <v>7</v>
      </c>
      <c r="FQ243" s="27" t="s">
        <v>8</v>
      </c>
      <c r="FV243" s="27" t="s">
        <v>7</v>
      </c>
      <c r="FZ243" s="27" t="s">
        <v>7</v>
      </c>
      <c r="GC243" s="33" t="s">
        <v>8</v>
      </c>
      <c r="GD243" s="27" t="s">
        <v>7</v>
      </c>
      <c r="GE243" s="27" t="s">
        <v>8</v>
      </c>
      <c r="GI243" s="31"/>
      <c r="HF243" s="27" t="s">
        <v>7</v>
      </c>
    </row>
    <row r="244" spans="1:215" x14ac:dyDescent="0.25">
      <c r="A244" s="30">
        <v>0.82270247479188063</v>
      </c>
      <c r="B244"/>
      <c r="C244"/>
      <c r="D244"/>
      <c r="E244"/>
      <c r="F244" s="27" t="s">
        <v>7</v>
      </c>
      <c r="DW244" s="27" t="s">
        <v>8</v>
      </c>
      <c r="DX244" s="27" t="s">
        <v>7</v>
      </c>
      <c r="DY244" s="27" t="s">
        <v>8</v>
      </c>
      <c r="DZ244" s="27" t="s">
        <v>7</v>
      </c>
      <c r="EA244" s="27" t="s">
        <v>8</v>
      </c>
      <c r="FP244" s="27" t="s">
        <v>7</v>
      </c>
      <c r="FZ244" s="27" t="s">
        <v>7</v>
      </c>
      <c r="GA244" s="27" t="s">
        <v>8</v>
      </c>
      <c r="GC244" s="27" t="s">
        <v>8</v>
      </c>
      <c r="GD244" s="27" t="s">
        <v>7</v>
      </c>
      <c r="GE244" s="27" t="s">
        <v>8</v>
      </c>
      <c r="GH244" s="31"/>
      <c r="GJ244" s="19"/>
      <c r="HF244" s="27" t="s">
        <v>7</v>
      </c>
    </row>
    <row r="245" spans="1:215" x14ac:dyDescent="0.25">
      <c r="A245" s="30">
        <v>0.78352616646845741</v>
      </c>
      <c r="B245"/>
      <c r="C245"/>
      <c r="D245"/>
      <c r="E245"/>
      <c r="F245" s="27" t="s">
        <v>7</v>
      </c>
      <c r="CU245" s="27" t="s">
        <v>8</v>
      </c>
      <c r="DW245" s="27" t="s">
        <v>8</v>
      </c>
      <c r="DX245" s="27" t="s">
        <v>7</v>
      </c>
      <c r="DY245" s="27" t="s">
        <v>8</v>
      </c>
      <c r="DZ245" s="27" t="s">
        <v>7</v>
      </c>
      <c r="EA245" s="27" t="s">
        <v>8</v>
      </c>
      <c r="FZ245" s="27" t="s">
        <v>7</v>
      </c>
      <c r="GA245" s="27" t="s">
        <v>8</v>
      </c>
      <c r="GB245" s="27" t="s">
        <v>7</v>
      </c>
      <c r="GC245" s="27" t="s">
        <v>8</v>
      </c>
      <c r="GD245" s="27" t="s">
        <v>7</v>
      </c>
      <c r="GE245" s="27" t="s">
        <v>8</v>
      </c>
      <c r="GG245" s="31"/>
      <c r="HF245" s="27" t="s">
        <v>7</v>
      </c>
    </row>
    <row r="246" spans="1:215" x14ac:dyDescent="0.25">
      <c r="A246" s="30">
        <v>0.74621539663662584</v>
      </c>
      <c r="B246"/>
      <c r="C246"/>
      <c r="D246"/>
      <c r="E246"/>
      <c r="F246" s="27" t="s">
        <v>7</v>
      </c>
      <c r="CU246" s="27" t="s">
        <v>8</v>
      </c>
      <c r="CV246" s="27" t="s">
        <v>7</v>
      </c>
      <c r="DW246" s="27" t="s">
        <v>8</v>
      </c>
      <c r="DX246" s="27" t="s">
        <v>7</v>
      </c>
      <c r="DY246" s="27" t="s">
        <v>8</v>
      </c>
      <c r="DZ246" s="27" t="s">
        <v>7</v>
      </c>
      <c r="EA246" s="27" t="s">
        <v>8</v>
      </c>
      <c r="FZ246" s="27" t="s">
        <v>7</v>
      </c>
      <c r="GA246" s="27" t="s">
        <v>8</v>
      </c>
      <c r="GB246" s="27" t="s">
        <v>7</v>
      </c>
      <c r="GC246" s="27" t="s">
        <v>8</v>
      </c>
      <c r="GD246" s="18" t="s">
        <v>7</v>
      </c>
      <c r="GE246" s="27" t="s">
        <v>8</v>
      </c>
      <c r="GF246" s="31"/>
      <c r="HF246" s="27" t="s">
        <v>7</v>
      </c>
      <c r="HG246" s="27" t="s">
        <v>8</v>
      </c>
    </row>
    <row r="247" spans="1:215" x14ac:dyDescent="0.25">
      <c r="A247" s="30">
        <v>0.71068133013011958</v>
      </c>
      <c r="B247"/>
      <c r="C247"/>
      <c r="D247"/>
      <c r="E247"/>
      <c r="F247" s="27" t="s">
        <v>7</v>
      </c>
      <c r="CU247" s="27" t="s">
        <v>8</v>
      </c>
      <c r="CV247" s="27" t="s">
        <v>7</v>
      </c>
      <c r="CW247" s="27" t="s">
        <v>8</v>
      </c>
      <c r="DS247" s="27" t="s">
        <v>8</v>
      </c>
      <c r="DU247" s="27" t="s">
        <v>8</v>
      </c>
      <c r="DW247" s="27" t="s">
        <v>8</v>
      </c>
      <c r="DX247" s="27" t="s">
        <v>7</v>
      </c>
      <c r="DY247" s="27" t="s">
        <v>8</v>
      </c>
      <c r="DZ247" s="27" t="s">
        <v>7</v>
      </c>
      <c r="FZ247" s="27" t="s">
        <v>7</v>
      </c>
      <c r="GA247" s="27" t="s">
        <v>8</v>
      </c>
      <c r="GB247" s="27" t="s">
        <v>7</v>
      </c>
      <c r="GC247" s="27" t="s">
        <v>8</v>
      </c>
      <c r="GD247" s="27" t="s">
        <v>7</v>
      </c>
      <c r="GE247" s="31" t="s">
        <v>8</v>
      </c>
      <c r="HF247" s="27" t="s">
        <v>7</v>
      </c>
      <c r="HG247" s="27" t="s">
        <v>8</v>
      </c>
    </row>
    <row r="248" spans="1:215" x14ac:dyDescent="0.25">
      <c r="A248" s="30">
        <v>0.676839362028685</v>
      </c>
      <c r="B248"/>
      <c r="C248"/>
      <c r="D248"/>
      <c r="E248"/>
      <c r="F248" s="27" t="s">
        <v>7</v>
      </c>
      <c r="CU248" s="27" t="s">
        <v>8</v>
      </c>
      <c r="CV248" s="27" t="s">
        <v>7</v>
      </c>
      <c r="CW248" s="27" t="s">
        <v>8</v>
      </c>
      <c r="CX248" s="27" t="s">
        <v>7</v>
      </c>
      <c r="DS248" s="27" t="s">
        <v>8</v>
      </c>
      <c r="DT248" s="27" t="s">
        <v>7</v>
      </c>
      <c r="DU248" s="27" t="s">
        <v>8</v>
      </c>
      <c r="DV248" s="27" t="s">
        <v>7</v>
      </c>
      <c r="DW248" s="27" t="s">
        <v>8</v>
      </c>
      <c r="DX248" s="27" t="s">
        <v>7</v>
      </c>
      <c r="DY248" s="27" t="s">
        <v>8</v>
      </c>
      <c r="FZ248" s="27" t="s">
        <v>7</v>
      </c>
      <c r="GA248" s="27" t="s">
        <v>8</v>
      </c>
      <c r="GB248" s="32" t="s">
        <v>7</v>
      </c>
      <c r="GD248" s="32" t="s">
        <v>7</v>
      </c>
      <c r="HF248" s="27" t="s">
        <v>7</v>
      </c>
      <c r="HG248" s="27" t="s">
        <v>8</v>
      </c>
    </row>
    <row r="249" spans="1:215" x14ac:dyDescent="0.25">
      <c r="A249" s="30">
        <v>0.64460891621779492</v>
      </c>
      <c r="B249"/>
      <c r="C249"/>
      <c r="D249"/>
      <c r="E249"/>
      <c r="F249" s="27" t="s">
        <v>7</v>
      </c>
      <c r="CU249" s="27" t="s">
        <v>8</v>
      </c>
      <c r="CV249" s="27" t="s">
        <v>7</v>
      </c>
      <c r="CW249" s="27" t="s">
        <v>8</v>
      </c>
      <c r="CX249" s="27" t="s">
        <v>7</v>
      </c>
      <c r="CY249" s="27" t="s">
        <v>8</v>
      </c>
      <c r="DA249" s="27" t="s">
        <v>8</v>
      </c>
      <c r="DQ249" s="27" t="s">
        <v>8</v>
      </c>
      <c r="DS249" s="27" t="s">
        <v>8</v>
      </c>
      <c r="DT249" s="27" t="s">
        <v>7</v>
      </c>
      <c r="DU249" s="27" t="s">
        <v>8</v>
      </c>
      <c r="DV249" s="27" t="s">
        <v>7</v>
      </c>
      <c r="DW249" s="27" t="s">
        <v>8</v>
      </c>
      <c r="DX249" s="27" t="s">
        <v>7</v>
      </c>
      <c r="FZ249" s="27" t="s">
        <v>7</v>
      </c>
      <c r="HF249" s="27" t="s">
        <v>7</v>
      </c>
      <c r="HG249" s="27" t="s">
        <v>8</v>
      </c>
    </row>
    <row r="250" spans="1:215" x14ac:dyDescent="0.25">
      <c r="A250" s="30">
        <v>0.61391325354075688</v>
      </c>
      <c r="B250"/>
      <c r="C250"/>
      <c r="D250"/>
      <c r="E250"/>
      <c r="F250" s="27" t="s">
        <v>7</v>
      </c>
      <c r="CU250" s="27" t="s">
        <v>8</v>
      </c>
      <c r="CV250" s="27" t="s">
        <v>7</v>
      </c>
      <c r="CX250" s="27" t="s">
        <v>7</v>
      </c>
      <c r="CY250" s="27" t="s">
        <v>8</v>
      </c>
      <c r="CZ250" s="27" t="s">
        <v>7</v>
      </c>
      <c r="DA250" s="27" t="s">
        <v>8</v>
      </c>
      <c r="DB250" s="27" t="s">
        <v>7</v>
      </c>
      <c r="DQ250" s="27" t="s">
        <v>8</v>
      </c>
      <c r="DR250" s="27" t="s">
        <v>7</v>
      </c>
      <c r="DS250" s="27" t="s">
        <v>8</v>
      </c>
      <c r="DT250" s="27" t="s">
        <v>7</v>
      </c>
      <c r="DU250" s="27" t="s">
        <v>8</v>
      </c>
      <c r="DV250" s="27" t="s">
        <v>7</v>
      </c>
      <c r="HF250" s="27" t="s">
        <v>7</v>
      </c>
    </row>
    <row r="251" spans="1:215" x14ac:dyDescent="0.25">
      <c r="A251" s="30">
        <v>0.58467928908643485</v>
      </c>
      <c r="B251"/>
      <c r="C251"/>
      <c r="D251"/>
      <c r="E251"/>
      <c r="F251" s="27" t="s">
        <v>7</v>
      </c>
      <c r="BM251" s="27" t="s">
        <v>8</v>
      </c>
      <c r="CU251" s="27" t="s">
        <v>8</v>
      </c>
      <c r="CX251" s="27" t="s">
        <v>7</v>
      </c>
      <c r="CY251" s="27" t="s">
        <v>8</v>
      </c>
      <c r="CZ251" s="27" t="s">
        <v>7</v>
      </c>
      <c r="DA251" s="27" t="s">
        <v>8</v>
      </c>
      <c r="DB251" s="27" t="s">
        <v>7</v>
      </c>
      <c r="DQ251" s="27" t="s">
        <v>8</v>
      </c>
      <c r="DR251" s="27" t="s">
        <v>7</v>
      </c>
      <c r="DS251" s="27" t="s">
        <v>8</v>
      </c>
      <c r="DT251" s="27" t="s">
        <v>7</v>
      </c>
      <c r="DU251" s="27" t="s">
        <v>8</v>
      </c>
    </row>
    <row r="252" spans="1:215" x14ac:dyDescent="0.25">
      <c r="A252" s="30">
        <v>0.55683741817755672</v>
      </c>
      <c r="B252"/>
      <c r="C252"/>
      <c r="D252"/>
      <c r="E252"/>
      <c r="F252" s="27" t="s">
        <v>7</v>
      </c>
      <c r="BM252" s="27" t="s">
        <v>8</v>
      </c>
      <c r="BN252" s="27" t="s">
        <v>7</v>
      </c>
      <c r="CS252" s="27" t="s">
        <v>8</v>
      </c>
      <c r="CU252" s="27" t="s">
        <v>8</v>
      </c>
      <c r="CX252" s="27" t="s">
        <v>7</v>
      </c>
      <c r="CZ252" s="27" t="s">
        <v>7</v>
      </c>
      <c r="DB252" s="27" t="s">
        <v>7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</row>
    <row r="253" spans="1:215" x14ac:dyDescent="0.25">
      <c r="A253" s="30">
        <v>0.53032135064529184</v>
      </c>
      <c r="B253"/>
      <c r="C253"/>
      <c r="D253"/>
      <c r="E253"/>
      <c r="F253" s="27" t="s">
        <v>7</v>
      </c>
      <c r="BM253" s="27" t="s">
        <v>8</v>
      </c>
      <c r="BN253" s="27" t="s">
        <v>7</v>
      </c>
      <c r="CS253" s="27" t="s">
        <v>8</v>
      </c>
      <c r="CT253" s="27" t="s">
        <v>7</v>
      </c>
      <c r="CU253" s="27" t="s">
        <v>8</v>
      </c>
      <c r="DB253" s="27" t="s">
        <v>7</v>
      </c>
      <c r="DC253" s="27" t="s">
        <v>8</v>
      </c>
      <c r="DK253" s="27" t="s">
        <v>8</v>
      </c>
      <c r="DQ253" s="27" t="s">
        <v>8</v>
      </c>
      <c r="DR253" s="27" t="s">
        <v>7</v>
      </c>
      <c r="DT253" s="27" t="s">
        <v>7</v>
      </c>
    </row>
    <row r="254" spans="1:215" x14ac:dyDescent="0.25">
      <c r="A254" s="30">
        <v>0.50506795299551588</v>
      </c>
      <c r="B254"/>
      <c r="C254"/>
      <c r="D254"/>
      <c r="E254"/>
      <c r="F254" s="27" t="s">
        <v>7</v>
      </c>
      <c r="BM254" s="27" t="s">
        <v>8</v>
      </c>
      <c r="BN254" s="27" t="s">
        <v>7</v>
      </c>
      <c r="CS254" s="27" t="s">
        <v>8</v>
      </c>
      <c r="CT254" s="27" t="s">
        <v>7</v>
      </c>
      <c r="CU254" s="27" t="s">
        <v>8</v>
      </c>
      <c r="DB254" s="27" t="s">
        <v>7</v>
      </c>
      <c r="DC254" s="27" t="s">
        <v>8</v>
      </c>
      <c r="DD254" s="27" t="s">
        <v>7</v>
      </c>
      <c r="DK254" s="27" t="s">
        <v>8</v>
      </c>
      <c r="DL254" s="27" t="s">
        <v>7</v>
      </c>
      <c r="DQ254" s="27" t="s">
        <v>8</v>
      </c>
    </row>
    <row r="255" spans="1:215" x14ac:dyDescent="0.25">
      <c r="A255" s="30">
        <v>0.48101709809096732</v>
      </c>
      <c r="E255"/>
      <c r="F255" s="27" t="s">
        <v>7</v>
      </c>
      <c r="BM255" s="27" t="s">
        <v>8</v>
      </c>
      <c r="BN255" s="27" t="s">
        <v>7</v>
      </c>
      <c r="BO255" s="27" t="s">
        <v>8</v>
      </c>
      <c r="CS255" s="27" t="s">
        <v>8</v>
      </c>
      <c r="CT255" s="27" t="s">
        <v>7</v>
      </c>
      <c r="CU255" s="27" t="s">
        <v>8</v>
      </c>
      <c r="DB255" s="27" t="s">
        <v>7</v>
      </c>
      <c r="DC255" s="27" t="s">
        <v>8</v>
      </c>
      <c r="DD255" s="27" t="s">
        <v>7</v>
      </c>
      <c r="DK255" s="27" t="s">
        <v>8</v>
      </c>
      <c r="DL255" s="27" t="s">
        <v>7</v>
      </c>
      <c r="DQ255" s="27" t="s">
        <v>8</v>
      </c>
    </row>
    <row r="256" spans="1:215" x14ac:dyDescent="0.25">
      <c r="A256" s="30">
        <v>0.45811152199139726</v>
      </c>
      <c r="E256"/>
      <c r="F256" s="27" t="s">
        <v>7</v>
      </c>
      <c r="AC256" s="27" t="s">
        <v>8</v>
      </c>
      <c r="BM256" s="27" t="s">
        <v>8</v>
      </c>
      <c r="BN256" s="27" t="s">
        <v>7</v>
      </c>
      <c r="BO256" s="27" t="s">
        <v>8</v>
      </c>
      <c r="BP256" s="27" t="s">
        <v>7</v>
      </c>
      <c r="BQ256" s="27" t="s">
        <v>8</v>
      </c>
      <c r="CS256" s="27" t="s">
        <v>8</v>
      </c>
      <c r="CT256" s="27" t="s">
        <v>7</v>
      </c>
      <c r="DB256" s="27" t="s">
        <v>7</v>
      </c>
      <c r="DC256" s="27" t="s">
        <v>8</v>
      </c>
      <c r="DD256" s="27" t="s">
        <v>7</v>
      </c>
      <c r="DK256" s="27" t="s">
        <v>8</v>
      </c>
      <c r="DL256" s="27" t="s">
        <v>7</v>
      </c>
      <c r="DM256" s="27" t="s">
        <v>8</v>
      </c>
      <c r="DQ256" s="27" t="s">
        <v>8</v>
      </c>
    </row>
    <row r="257" spans="1:121" x14ac:dyDescent="0.25">
      <c r="A257" s="30">
        <v>0.43629668761085438</v>
      </c>
      <c r="B257"/>
      <c r="C257"/>
      <c r="D257"/>
      <c r="E257"/>
      <c r="F257" s="27" t="s">
        <v>7</v>
      </c>
      <c r="AC257" s="27" t="s">
        <v>8</v>
      </c>
      <c r="AD257" s="27" t="s">
        <v>7</v>
      </c>
      <c r="AK257" s="27" t="s">
        <v>8</v>
      </c>
      <c r="AM257" s="27" t="s">
        <v>8</v>
      </c>
      <c r="BM257" s="27" t="s">
        <v>8</v>
      </c>
      <c r="BN257" s="27" t="s">
        <v>7</v>
      </c>
      <c r="BO257" s="27" t="s">
        <v>8</v>
      </c>
      <c r="BP257" s="27" t="s">
        <v>7</v>
      </c>
      <c r="BQ257" s="27" t="s">
        <v>8</v>
      </c>
      <c r="BR257" s="27" t="s">
        <v>7</v>
      </c>
      <c r="BS257" s="27" t="s">
        <v>8</v>
      </c>
      <c r="BU257" s="27" t="s">
        <v>8</v>
      </c>
      <c r="CS257" s="27" t="s">
        <v>8</v>
      </c>
      <c r="DB257" s="27" t="s">
        <v>7</v>
      </c>
      <c r="DC257" s="27" t="s">
        <v>8</v>
      </c>
      <c r="DD257" s="27" t="s">
        <v>7</v>
      </c>
      <c r="DE257" s="27" t="s">
        <v>8</v>
      </c>
      <c r="DK257" s="27" t="s">
        <v>8</v>
      </c>
      <c r="DL257" s="27" t="s">
        <v>7</v>
      </c>
      <c r="DM257" s="27" t="s">
        <v>8</v>
      </c>
      <c r="DN257" s="27" t="s">
        <v>7</v>
      </c>
      <c r="DO257" s="27" t="s">
        <v>8</v>
      </c>
      <c r="DQ257" s="27" t="s">
        <v>8</v>
      </c>
    </row>
    <row r="258" spans="1:121" x14ac:dyDescent="0.25">
      <c r="A258" s="30">
        <v>0.41552065486748019</v>
      </c>
      <c r="B258"/>
      <c r="C258"/>
      <c r="D258"/>
      <c r="E258"/>
      <c r="F258" s="27" t="s">
        <v>7</v>
      </c>
      <c r="AC258" s="27" t="s">
        <v>8</v>
      </c>
      <c r="AD258" s="27" t="s">
        <v>7</v>
      </c>
      <c r="AE258" s="27" t="s">
        <v>8</v>
      </c>
      <c r="AG258" s="27" t="s">
        <v>8</v>
      </c>
      <c r="AI258" s="27" t="s">
        <v>8</v>
      </c>
      <c r="AK258" s="27" t="s">
        <v>8</v>
      </c>
      <c r="AL258" s="27" t="s">
        <v>7</v>
      </c>
      <c r="AM258" s="27" t="s">
        <v>8</v>
      </c>
      <c r="AN258" s="27" t="s">
        <v>7</v>
      </c>
      <c r="BM258" s="27" t="s">
        <v>8</v>
      </c>
      <c r="BN258" s="27" t="s">
        <v>7</v>
      </c>
      <c r="BP258" s="27" t="s">
        <v>7</v>
      </c>
      <c r="BQ258" s="27" t="s">
        <v>8</v>
      </c>
      <c r="BR258" s="27" t="s">
        <v>7</v>
      </c>
      <c r="BS258" s="27" t="s">
        <v>8</v>
      </c>
      <c r="BT258" s="27" t="s">
        <v>7</v>
      </c>
      <c r="BU258" s="27" t="s">
        <v>8</v>
      </c>
      <c r="BV258" s="27" t="s">
        <v>7</v>
      </c>
      <c r="BW258" s="27" t="s">
        <v>8</v>
      </c>
      <c r="CQ258" s="27" t="s">
        <v>8</v>
      </c>
      <c r="CS258" s="27" t="s">
        <v>8</v>
      </c>
      <c r="DB258" s="27" t="s">
        <v>7</v>
      </c>
      <c r="DC258" s="27" t="s">
        <v>8</v>
      </c>
      <c r="DD258" s="27" t="s">
        <v>7</v>
      </c>
      <c r="DE258" s="27" t="s">
        <v>8</v>
      </c>
      <c r="DF258" s="27" t="s">
        <v>7</v>
      </c>
      <c r="DG258" s="27" t="s">
        <v>8</v>
      </c>
      <c r="DK258" s="27" t="s">
        <v>8</v>
      </c>
      <c r="DL258" s="27" t="s">
        <v>7</v>
      </c>
      <c r="DM258" s="27" t="s">
        <v>8</v>
      </c>
      <c r="DN258" s="27" t="s">
        <v>7</v>
      </c>
      <c r="DO258" s="27" t="s">
        <v>8</v>
      </c>
      <c r="DP258" s="27" t="s">
        <v>7</v>
      </c>
      <c r="DQ258" s="27" t="s">
        <v>8</v>
      </c>
    </row>
    <row r="259" spans="1:121" x14ac:dyDescent="0.25">
      <c r="A259" s="30">
        <v>0.39573395701664765</v>
      </c>
      <c r="B259"/>
      <c r="C259"/>
      <c r="D259"/>
      <c r="E259"/>
      <c r="F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AG259" s="27" t="s">
        <v>8</v>
      </c>
      <c r="AH259" s="27" t="s">
        <v>7</v>
      </c>
      <c r="AI259" s="27" t="s">
        <v>8</v>
      </c>
      <c r="AJ259" s="27" t="s">
        <v>7</v>
      </c>
      <c r="AK259" s="27" t="s">
        <v>8</v>
      </c>
      <c r="AL259" s="27" t="s">
        <v>7</v>
      </c>
      <c r="AM259" s="27" t="s">
        <v>8</v>
      </c>
      <c r="AN259" s="27" t="s">
        <v>7</v>
      </c>
      <c r="BM259" s="27" t="s">
        <v>8</v>
      </c>
      <c r="BP259" s="27" t="s">
        <v>7</v>
      </c>
      <c r="BR259" s="27" t="s">
        <v>7</v>
      </c>
      <c r="BS259" s="27" t="s">
        <v>8</v>
      </c>
      <c r="BT259" s="27" t="s">
        <v>7</v>
      </c>
      <c r="BU259" s="27" t="s">
        <v>8</v>
      </c>
      <c r="BV259" s="27" t="s">
        <v>7</v>
      </c>
      <c r="BW259" s="27" t="s">
        <v>8</v>
      </c>
      <c r="BX259" s="27" t="s">
        <v>7</v>
      </c>
      <c r="CQ259" s="27" t="s">
        <v>8</v>
      </c>
      <c r="CR259" s="27" t="s">
        <v>7</v>
      </c>
      <c r="CS259" s="27" t="s">
        <v>8</v>
      </c>
      <c r="DB259" s="27" t="s">
        <v>7</v>
      </c>
      <c r="DD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  <c r="DI259" s="27" t="s">
        <v>8</v>
      </c>
      <c r="DK259" s="27" t="s">
        <v>8</v>
      </c>
      <c r="DL259" s="27" t="s">
        <v>7</v>
      </c>
      <c r="DM259" s="27" t="s">
        <v>8</v>
      </c>
      <c r="DN259" s="27" t="s">
        <v>7</v>
      </c>
      <c r="DO259" s="27" t="s">
        <v>8</v>
      </c>
      <c r="DP259" s="27" t="s">
        <v>7</v>
      </c>
      <c r="DQ259" s="27" t="s">
        <v>8</v>
      </c>
    </row>
    <row r="260" spans="1:121" x14ac:dyDescent="0.25">
      <c r="A260" s="30">
        <v>0.37688948287299762</v>
      </c>
      <c r="B260"/>
      <c r="C260"/>
      <c r="D260"/>
      <c r="E260"/>
      <c r="F260" s="27" t="s">
        <v>7</v>
      </c>
      <c r="AA260" s="27" t="s">
        <v>8</v>
      </c>
      <c r="AC260" s="27" t="s">
        <v>8</v>
      </c>
      <c r="AD260" s="27" t="s">
        <v>7</v>
      </c>
      <c r="AE260" s="27" t="s">
        <v>8</v>
      </c>
      <c r="AF260" s="27" t="s">
        <v>7</v>
      </c>
      <c r="AG260" s="27" t="s">
        <v>8</v>
      </c>
      <c r="AH260" s="27" t="s">
        <v>7</v>
      </c>
      <c r="AI260" s="27" t="s">
        <v>8</v>
      </c>
      <c r="AJ260" s="27" t="s">
        <v>7</v>
      </c>
      <c r="AK260" s="27" t="s">
        <v>8</v>
      </c>
      <c r="AL260" s="27" t="s">
        <v>7</v>
      </c>
      <c r="AN260" s="27" t="s">
        <v>7</v>
      </c>
      <c r="AO260" s="32" t="s">
        <v>8</v>
      </c>
      <c r="AQ260" s="32" t="s">
        <v>8</v>
      </c>
      <c r="BM260" s="27" t="s">
        <v>8</v>
      </c>
      <c r="BR260" s="27" t="s">
        <v>7</v>
      </c>
      <c r="BS260" s="27" t="s">
        <v>8</v>
      </c>
      <c r="BT260" s="27" t="s">
        <v>7</v>
      </c>
      <c r="BU260" s="27" t="s">
        <v>8</v>
      </c>
      <c r="BV260" s="27" t="s">
        <v>7</v>
      </c>
      <c r="BW260" s="27" t="s">
        <v>8</v>
      </c>
      <c r="BX260" s="27" t="s">
        <v>7</v>
      </c>
      <c r="CQ260" s="27" t="s">
        <v>8</v>
      </c>
      <c r="CR260" s="27" t="s">
        <v>7</v>
      </c>
      <c r="CS260" s="27" t="s">
        <v>8</v>
      </c>
      <c r="DD260" s="27" t="s">
        <v>7</v>
      </c>
      <c r="DF260" s="27" t="s">
        <v>7</v>
      </c>
      <c r="DG260" s="27" t="s">
        <v>8</v>
      </c>
      <c r="DH260" s="27" t="s">
        <v>7</v>
      </c>
      <c r="DI260" s="27" t="s">
        <v>8</v>
      </c>
      <c r="DJ260" s="27" t="s">
        <v>7</v>
      </c>
      <c r="DK260" s="27" t="s">
        <v>8</v>
      </c>
      <c r="DL260" s="27" t="s">
        <v>7</v>
      </c>
      <c r="DN260" s="27" t="s">
        <v>7</v>
      </c>
      <c r="DO260" s="27" t="s">
        <v>8</v>
      </c>
      <c r="DP260" s="27" t="s">
        <v>7</v>
      </c>
      <c r="DQ260" s="27" t="s">
        <v>8</v>
      </c>
    </row>
    <row r="261" spans="1:121" x14ac:dyDescent="0.25">
      <c r="A261" s="30">
        <v>0.35894236464094997</v>
      </c>
      <c r="B261"/>
      <c r="C261"/>
      <c r="D261"/>
      <c r="E261"/>
      <c r="F261" s="27" t="s">
        <v>7</v>
      </c>
      <c r="AA261" s="27" t="s">
        <v>8</v>
      </c>
      <c r="AB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  <c r="AG261" s="27" t="s">
        <v>8</v>
      </c>
      <c r="AH261" s="27" t="s">
        <v>7</v>
      </c>
      <c r="AI261" s="27" t="s">
        <v>8</v>
      </c>
      <c r="AJ261" s="27" t="s">
        <v>7</v>
      </c>
      <c r="AN261" s="34" t="s">
        <v>7</v>
      </c>
      <c r="AO261" s="27" t="s">
        <v>8</v>
      </c>
      <c r="AP261" s="27" t="s">
        <v>7</v>
      </c>
      <c r="AQ261" s="27" t="s">
        <v>8</v>
      </c>
      <c r="AR261" s="31" t="s">
        <v>7</v>
      </c>
      <c r="BM261" s="27" t="s">
        <v>8</v>
      </c>
      <c r="BR261" s="27" t="s">
        <v>7</v>
      </c>
      <c r="BS261" s="27" t="s">
        <v>8</v>
      </c>
      <c r="BT261" s="27" t="s">
        <v>7</v>
      </c>
      <c r="BV261" s="27" t="s">
        <v>7</v>
      </c>
      <c r="BW261" s="27" t="s">
        <v>8</v>
      </c>
      <c r="BX261" s="27" t="s">
        <v>7</v>
      </c>
      <c r="CM261" s="27" t="s">
        <v>8</v>
      </c>
      <c r="CQ261" s="27" t="s">
        <v>8</v>
      </c>
      <c r="CR261" s="27" t="s">
        <v>7</v>
      </c>
      <c r="DF261" s="27" t="s">
        <v>7</v>
      </c>
      <c r="DH261" s="27" t="s">
        <v>7</v>
      </c>
      <c r="DI261" s="27" t="s">
        <v>8</v>
      </c>
      <c r="DJ261" s="27" t="s">
        <v>7</v>
      </c>
      <c r="DK261" s="27" t="s">
        <v>8</v>
      </c>
      <c r="DN261" s="27" t="s">
        <v>7</v>
      </c>
      <c r="DP261" s="27" t="s">
        <v>7</v>
      </c>
      <c r="DQ261" s="27" t="s">
        <v>8</v>
      </c>
    </row>
    <row r="262" spans="1:121" x14ac:dyDescent="0.25">
      <c r="A262" s="30">
        <v>0.34184987108661891</v>
      </c>
      <c r="B262"/>
      <c r="C262"/>
      <c r="D262"/>
      <c r="E262"/>
      <c r="F262" s="27" t="s">
        <v>7</v>
      </c>
      <c r="AA262" s="27" t="s">
        <v>8</v>
      </c>
      <c r="AB262" s="27" t="s">
        <v>7</v>
      </c>
      <c r="AC262" s="27" t="s">
        <v>8</v>
      </c>
      <c r="AD262" s="27" t="s">
        <v>7</v>
      </c>
      <c r="AF262" s="27" t="s">
        <v>7</v>
      </c>
      <c r="AG262" s="27" t="s">
        <v>8</v>
      </c>
      <c r="AH262" s="27" t="s">
        <v>7</v>
      </c>
      <c r="AN262" s="27" t="s">
        <v>7</v>
      </c>
      <c r="AO262" s="27" t="s">
        <v>8</v>
      </c>
      <c r="AP262" s="27" t="s">
        <v>7</v>
      </c>
      <c r="AQ262" s="27" t="s">
        <v>8</v>
      </c>
      <c r="AR262" s="27" t="s">
        <v>7</v>
      </c>
      <c r="AS262" s="31"/>
      <c r="BM262" s="27" t="s">
        <v>8</v>
      </c>
      <c r="BR262" s="27" t="s">
        <v>7</v>
      </c>
      <c r="BS262" s="27" t="s">
        <v>8</v>
      </c>
      <c r="BV262" s="27" t="s">
        <v>7</v>
      </c>
      <c r="BW262" s="27" t="s">
        <v>8</v>
      </c>
      <c r="BX262" s="27" t="s">
        <v>7</v>
      </c>
      <c r="CK262" s="27" t="s">
        <v>8</v>
      </c>
      <c r="CM262" s="27" t="s">
        <v>8</v>
      </c>
      <c r="CN262" s="27" t="s">
        <v>7</v>
      </c>
      <c r="CO262" s="27" t="s">
        <v>8</v>
      </c>
      <c r="CQ262" s="27" t="s">
        <v>8</v>
      </c>
      <c r="DH262" s="27" t="s">
        <v>7</v>
      </c>
      <c r="DI262" s="27" t="s">
        <v>8</v>
      </c>
      <c r="DJ262" s="27" t="s">
        <v>7</v>
      </c>
      <c r="DP262" s="27" t="s">
        <v>7</v>
      </c>
      <c r="DQ262" s="27" t="s">
        <v>8</v>
      </c>
    </row>
    <row r="263" spans="1:121" x14ac:dyDescent="0.25">
      <c r="A263" s="30">
        <v>0.32557130579677979</v>
      </c>
      <c r="B263"/>
      <c r="C263"/>
      <c r="D263"/>
      <c r="E263"/>
      <c r="F263" s="27" t="s">
        <v>7</v>
      </c>
      <c r="AA263" s="27" t="s">
        <v>8</v>
      </c>
      <c r="AB263" s="27" t="s">
        <v>7</v>
      </c>
      <c r="AC263" s="27" t="s">
        <v>8</v>
      </c>
      <c r="AF263" s="27" t="s">
        <v>7</v>
      </c>
      <c r="AG263" s="27" t="s">
        <v>8</v>
      </c>
      <c r="AN263" s="27" t="s">
        <v>7</v>
      </c>
      <c r="AP263" s="27" t="s">
        <v>7</v>
      </c>
      <c r="AQ263" s="27" t="s">
        <v>8</v>
      </c>
      <c r="AR263" s="27" t="s">
        <v>7</v>
      </c>
      <c r="AS263" s="27" t="s">
        <v>8</v>
      </c>
      <c r="AT263" s="31"/>
      <c r="BM263" s="27" t="s">
        <v>8</v>
      </c>
      <c r="BR263" s="27" t="s">
        <v>7</v>
      </c>
      <c r="BS263" s="27" t="s">
        <v>8</v>
      </c>
      <c r="BV263" s="27" t="s">
        <v>7</v>
      </c>
      <c r="BW263" s="27" t="s">
        <v>8</v>
      </c>
      <c r="BX263" s="27" t="s">
        <v>7</v>
      </c>
      <c r="CK263" s="27" t="s">
        <v>8</v>
      </c>
      <c r="CL263" s="27" t="s">
        <v>7</v>
      </c>
      <c r="CM263" s="27" t="s">
        <v>8</v>
      </c>
      <c r="CN263" s="27" t="s">
        <v>7</v>
      </c>
      <c r="CO263" s="27" t="s">
        <v>8</v>
      </c>
      <c r="CP263" s="27" t="s">
        <v>7</v>
      </c>
      <c r="CQ263" s="27" t="s">
        <v>8</v>
      </c>
      <c r="DH263" s="27" t="s">
        <v>7</v>
      </c>
      <c r="DI263" s="27" t="s">
        <v>8</v>
      </c>
      <c r="DP263" s="27" t="s">
        <v>7</v>
      </c>
    </row>
    <row r="264" spans="1:121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Y264" s="27" t="s">
        <v>8</v>
      </c>
      <c r="AA264" s="27" t="s">
        <v>8</v>
      </c>
      <c r="AB264" s="27" t="s">
        <v>7</v>
      </c>
      <c r="AC264" s="27" t="s">
        <v>8</v>
      </c>
      <c r="AF264" s="27" t="s">
        <v>7</v>
      </c>
      <c r="AG264" s="27" t="s">
        <v>8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U264" s="31"/>
      <c r="BM264" s="27" t="s">
        <v>8</v>
      </c>
      <c r="BR264" s="27" t="s">
        <v>7</v>
      </c>
      <c r="BV264" s="27" t="s">
        <v>7</v>
      </c>
      <c r="BW264" s="27" t="s">
        <v>8</v>
      </c>
      <c r="BX264" s="27" t="s">
        <v>7</v>
      </c>
      <c r="CG264" s="27" t="s">
        <v>8</v>
      </c>
      <c r="CI264" s="27" t="s">
        <v>8</v>
      </c>
      <c r="CK264" s="27" t="s">
        <v>8</v>
      </c>
      <c r="CL264" s="27" t="s">
        <v>7</v>
      </c>
      <c r="C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  <c r="DH264" s="27" t="s">
        <v>7</v>
      </c>
      <c r="DI264" s="27" t="s">
        <v>8</v>
      </c>
    </row>
    <row r="265" spans="1:121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K265" s="27" t="s">
        <v>8</v>
      </c>
      <c r="S265" s="27" t="s">
        <v>8</v>
      </c>
      <c r="Y265" s="27" t="s">
        <v>8</v>
      </c>
      <c r="Z265" s="27" t="s">
        <v>7</v>
      </c>
      <c r="AA265" s="27" t="s">
        <v>8</v>
      </c>
      <c r="AB265" s="27" t="s">
        <v>7</v>
      </c>
      <c r="AF265" s="27" t="s">
        <v>7</v>
      </c>
      <c r="AP265" s="27" t="s">
        <v>7</v>
      </c>
      <c r="AR265" s="27" t="s">
        <v>7</v>
      </c>
      <c r="AS265" s="27" t="s">
        <v>8</v>
      </c>
      <c r="AT265" s="27" t="s">
        <v>7</v>
      </c>
      <c r="AV265" s="31"/>
      <c r="BM265" s="27" t="s">
        <v>8</v>
      </c>
      <c r="BV265" s="27" t="s">
        <v>7</v>
      </c>
      <c r="BW265" s="27" t="s">
        <v>8</v>
      </c>
      <c r="BX265" s="27" t="s">
        <v>7</v>
      </c>
      <c r="CG265" s="27" t="s">
        <v>8</v>
      </c>
      <c r="CH265" s="27" t="s">
        <v>7</v>
      </c>
      <c r="CI265" s="27" t="s">
        <v>8</v>
      </c>
      <c r="CJ265" s="27" t="s">
        <v>7</v>
      </c>
      <c r="CK265" s="27" t="s">
        <v>8</v>
      </c>
      <c r="CL265" s="27" t="s">
        <v>7</v>
      </c>
      <c r="CN265" s="27" t="s">
        <v>7</v>
      </c>
      <c r="CP265" s="27" t="s">
        <v>7</v>
      </c>
      <c r="CQ265" s="27" t="s">
        <v>8</v>
      </c>
      <c r="DH265" s="27" t="s">
        <v>7</v>
      </c>
    </row>
    <row r="266" spans="1:121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K266" s="27" t="s">
        <v>8</v>
      </c>
      <c r="L266" s="27" t="s">
        <v>7</v>
      </c>
      <c r="M266" s="27" t="s">
        <v>8</v>
      </c>
      <c r="Q266" s="27" t="s">
        <v>8</v>
      </c>
      <c r="S266" s="27" t="s">
        <v>8</v>
      </c>
      <c r="T266" s="27" t="s">
        <v>7</v>
      </c>
      <c r="W266" s="27" t="s">
        <v>8</v>
      </c>
      <c r="Y266" s="27" t="s">
        <v>8</v>
      </c>
      <c r="Z266" s="27" t="s">
        <v>7</v>
      </c>
      <c r="AA266" s="27" t="s">
        <v>8</v>
      </c>
      <c r="AR266" s="27" t="s">
        <v>7</v>
      </c>
      <c r="AT266" s="27" t="s">
        <v>7</v>
      </c>
      <c r="AU266" s="27" t="s">
        <v>8</v>
      </c>
      <c r="AW266" s="31"/>
      <c r="BM266" s="27" t="s">
        <v>8</v>
      </c>
      <c r="BV266" s="27" t="s">
        <v>7</v>
      </c>
      <c r="BW266" s="27" t="s">
        <v>8</v>
      </c>
      <c r="BX266" s="27" t="s">
        <v>7</v>
      </c>
      <c r="CG266" s="27" t="s">
        <v>8</v>
      </c>
      <c r="CH266" s="27" t="s">
        <v>7</v>
      </c>
      <c r="CI266" s="27" t="s">
        <v>8</v>
      </c>
      <c r="CJ266" s="27" t="s">
        <v>7</v>
      </c>
      <c r="CK266" s="27" t="s">
        <v>8</v>
      </c>
      <c r="CP266" s="27" t="s">
        <v>7</v>
      </c>
    </row>
    <row r="267" spans="1:121" x14ac:dyDescent="0.25">
      <c r="A267" s="30">
        <v>0.26784831900023492</v>
      </c>
      <c r="B267"/>
      <c r="C267"/>
      <c r="D267"/>
      <c r="E267"/>
      <c r="F267" s="27" t="s">
        <v>7</v>
      </c>
      <c r="H267" s="27" t="s">
        <v>7</v>
      </c>
      <c r="K267" s="27" t="s">
        <v>8</v>
      </c>
      <c r="L267" s="27" t="s">
        <v>7</v>
      </c>
      <c r="M267" s="27" t="s">
        <v>8</v>
      </c>
      <c r="N267" s="27" t="s">
        <v>7</v>
      </c>
      <c r="Q267" s="27" t="s">
        <v>8</v>
      </c>
      <c r="R267" s="27" t="s">
        <v>7</v>
      </c>
      <c r="S267" s="27" t="s">
        <v>8</v>
      </c>
      <c r="T267" s="27" t="s">
        <v>7</v>
      </c>
      <c r="W267" s="27" t="s">
        <v>8</v>
      </c>
      <c r="X267" s="27" t="s">
        <v>7</v>
      </c>
      <c r="Y267" s="27" t="s">
        <v>8</v>
      </c>
      <c r="Z267" s="27" t="s">
        <v>7</v>
      </c>
      <c r="AT267" s="27" t="s">
        <v>7</v>
      </c>
      <c r="AU267" s="27" t="s">
        <v>8</v>
      </c>
      <c r="AV267" s="27" t="s">
        <v>7</v>
      </c>
      <c r="AW267" s="27" t="s">
        <v>8</v>
      </c>
      <c r="AX267" s="31"/>
      <c r="BM267" s="27" t="s">
        <v>8</v>
      </c>
      <c r="BV267" s="27" t="s">
        <v>7</v>
      </c>
      <c r="BX267" s="27" t="s">
        <v>7</v>
      </c>
      <c r="CE267" s="27" t="s">
        <v>8</v>
      </c>
      <c r="CG267" s="27" t="s">
        <v>8</v>
      </c>
      <c r="CH267" s="27" t="s">
        <v>7</v>
      </c>
      <c r="CJ267" s="27" t="s">
        <v>7</v>
      </c>
      <c r="CK267" s="27" t="s">
        <v>8</v>
      </c>
    </row>
    <row r="268" spans="1:121" x14ac:dyDescent="0.25">
      <c r="A268" s="30">
        <v>0.25509363714308075</v>
      </c>
      <c r="B268"/>
      <c r="C268"/>
      <c r="D268"/>
      <c r="E268"/>
      <c r="H268" s="27" t="s">
        <v>7</v>
      </c>
      <c r="I268" s="27" t="s">
        <v>8</v>
      </c>
      <c r="K268" s="27" t="s">
        <v>8</v>
      </c>
      <c r="L268" s="27" t="s">
        <v>7</v>
      </c>
      <c r="M268" s="27" t="s">
        <v>8</v>
      </c>
      <c r="N268" s="27" t="s">
        <v>7</v>
      </c>
      <c r="Q268" s="27" t="s">
        <v>8</v>
      </c>
      <c r="R268" s="27" t="s">
        <v>7</v>
      </c>
      <c r="S268" s="27" t="s">
        <v>8</v>
      </c>
      <c r="T268" s="27" t="s">
        <v>7</v>
      </c>
      <c r="W268" s="27" t="s">
        <v>8</v>
      </c>
      <c r="X268" s="27" t="s">
        <v>7</v>
      </c>
      <c r="Y268" s="27" t="s">
        <v>8</v>
      </c>
      <c r="AT268" s="27" t="s">
        <v>7</v>
      </c>
      <c r="AU268" s="27" t="s">
        <v>8</v>
      </c>
      <c r="AV268" s="27" t="s">
        <v>7</v>
      </c>
      <c r="AW268" s="27" t="s">
        <v>8</v>
      </c>
      <c r="AX268" s="27" t="s">
        <v>7</v>
      </c>
      <c r="AY268" s="31"/>
      <c r="BM268" s="27" t="s">
        <v>8</v>
      </c>
      <c r="BX268" s="27" t="s">
        <v>7</v>
      </c>
      <c r="CE268" s="27" t="s">
        <v>8</v>
      </c>
      <c r="CF268" s="27" t="s">
        <v>7</v>
      </c>
      <c r="CG268" s="27" t="s">
        <v>8</v>
      </c>
      <c r="CJ268" s="27" t="s">
        <v>7</v>
      </c>
      <c r="CK268" s="27" t="s">
        <v>8</v>
      </c>
    </row>
    <row r="269" spans="1:121" x14ac:dyDescent="0.25">
      <c r="A269" s="30">
        <v>0.24294632108864825</v>
      </c>
      <c r="B269"/>
      <c r="C269"/>
      <c r="D269"/>
      <c r="E269"/>
      <c r="H269" s="27" t="s">
        <v>7</v>
      </c>
      <c r="I269" s="27" t="s">
        <v>8</v>
      </c>
      <c r="J269" s="27" t="s">
        <v>7</v>
      </c>
      <c r="K269" s="27" t="s">
        <v>8</v>
      </c>
      <c r="L269" s="27" t="s">
        <v>7</v>
      </c>
      <c r="N269" s="27" t="s">
        <v>7</v>
      </c>
      <c r="Q269" s="27" t="s">
        <v>8</v>
      </c>
      <c r="R269" s="27" t="s">
        <v>7</v>
      </c>
      <c r="S269" s="27" t="s">
        <v>8</v>
      </c>
      <c r="T269" s="27" t="s">
        <v>7</v>
      </c>
      <c r="U269" s="27" t="s">
        <v>8</v>
      </c>
      <c r="W269" s="27" t="s">
        <v>8</v>
      </c>
      <c r="X269" s="27" t="s">
        <v>7</v>
      </c>
      <c r="AT269" s="27" t="s">
        <v>7</v>
      </c>
      <c r="AU269" s="27" t="s">
        <v>8</v>
      </c>
      <c r="AV269" s="27" t="s">
        <v>7</v>
      </c>
      <c r="AW269" s="27" t="s">
        <v>8</v>
      </c>
      <c r="AX269" s="27" t="s">
        <v>7</v>
      </c>
      <c r="AZ269" s="31"/>
      <c r="BM269" s="27" t="s">
        <v>8</v>
      </c>
      <c r="BX269" s="27" t="s">
        <v>7</v>
      </c>
      <c r="CE269" s="27" t="s">
        <v>8</v>
      </c>
      <c r="CF269" s="27" t="s">
        <v>7</v>
      </c>
      <c r="CG269" s="27" t="s">
        <v>8</v>
      </c>
      <c r="CJ269" s="27" t="s">
        <v>7</v>
      </c>
    </row>
    <row r="270" spans="1:121" x14ac:dyDescent="0.25">
      <c r="A270" s="30">
        <v>0.23137744865585538</v>
      </c>
      <c r="B270"/>
      <c r="C270"/>
      <c r="D270"/>
      <c r="E270"/>
      <c r="H270" s="27" t="s">
        <v>7</v>
      </c>
      <c r="I270" s="27" t="s">
        <v>8</v>
      </c>
      <c r="J270" s="27" t="s">
        <v>7</v>
      </c>
      <c r="K270" s="27" t="s">
        <v>8</v>
      </c>
      <c r="N270" s="27" t="s">
        <v>7</v>
      </c>
      <c r="Q270" s="27" t="s">
        <v>8</v>
      </c>
      <c r="R270" s="27" t="s">
        <v>7</v>
      </c>
      <c r="S270" s="27" t="s">
        <v>8</v>
      </c>
      <c r="T270" s="27" t="s">
        <v>7</v>
      </c>
      <c r="U270" s="27" t="s">
        <v>8</v>
      </c>
      <c r="V270" s="27" t="s">
        <v>7</v>
      </c>
      <c r="W270" s="27" t="s">
        <v>8</v>
      </c>
      <c r="AT270" s="27" t="s">
        <v>7</v>
      </c>
      <c r="AV270" s="27" t="s">
        <v>7</v>
      </c>
      <c r="AW270" s="27" t="s">
        <v>8</v>
      </c>
      <c r="AX270" s="27" t="s">
        <v>7</v>
      </c>
      <c r="BA270" s="31"/>
      <c r="BM270" s="27" t="s">
        <v>8</v>
      </c>
      <c r="BX270" s="27" t="s">
        <v>7</v>
      </c>
      <c r="CA270" s="27" t="s">
        <v>8</v>
      </c>
      <c r="CE270" s="27" t="s">
        <v>8</v>
      </c>
      <c r="CF270" s="27" t="s">
        <v>7</v>
      </c>
      <c r="CG270" s="27" t="s">
        <v>8</v>
      </c>
    </row>
    <row r="271" spans="1:121" x14ac:dyDescent="0.25">
      <c r="A271" s="30">
        <v>0.22035947491033836</v>
      </c>
      <c r="B271"/>
      <c r="C271"/>
      <c r="D271"/>
      <c r="E271"/>
      <c r="H271" s="27" t="s">
        <v>7</v>
      </c>
      <c r="I271" s="27" t="s">
        <v>8</v>
      </c>
      <c r="J271" s="27" t="s">
        <v>7</v>
      </c>
      <c r="N271" s="27" t="s">
        <v>7</v>
      </c>
      <c r="O271" s="27" t="s">
        <v>8</v>
      </c>
      <c r="Q271" s="27" t="s">
        <v>8</v>
      </c>
      <c r="R271" s="27" t="s">
        <v>7</v>
      </c>
      <c r="T271" s="27" t="s">
        <v>7</v>
      </c>
      <c r="U271" s="27" t="s">
        <v>8</v>
      </c>
      <c r="V271" s="27" t="s">
        <v>7</v>
      </c>
      <c r="W271" s="27" t="s">
        <v>8</v>
      </c>
      <c r="AV271" s="27" t="s">
        <v>7</v>
      </c>
      <c r="AW271" s="27" t="s">
        <v>8</v>
      </c>
      <c r="AX271" s="27" t="s">
        <v>7</v>
      </c>
      <c r="AY271" s="27" t="s">
        <v>8</v>
      </c>
      <c r="BB271" s="31"/>
      <c r="BM271" s="27" t="s">
        <v>8</v>
      </c>
      <c r="BX271" s="27" t="s">
        <v>7</v>
      </c>
      <c r="CA271" s="27" t="s">
        <v>8</v>
      </c>
      <c r="CB271" s="27" t="s">
        <v>7</v>
      </c>
      <c r="CE271" s="27" t="s">
        <v>8</v>
      </c>
      <c r="CF271" s="27" t="s">
        <v>7</v>
      </c>
    </row>
    <row r="272" spans="1:121" x14ac:dyDescent="0.25">
      <c r="A272" s="30">
        <v>0.20986616658127455</v>
      </c>
      <c r="B272"/>
      <c r="C272"/>
      <c r="D272"/>
      <c r="E272"/>
      <c r="H272" s="27" t="s">
        <v>7</v>
      </c>
      <c r="N272" s="27" t="s">
        <v>7</v>
      </c>
      <c r="O272" s="27" t="s">
        <v>8</v>
      </c>
      <c r="P272" s="27" t="s">
        <v>7</v>
      </c>
      <c r="Q272" s="27" t="s">
        <v>8</v>
      </c>
      <c r="T272" s="27" t="s">
        <v>7</v>
      </c>
      <c r="V272" s="27" t="s">
        <v>7</v>
      </c>
      <c r="W272" s="27" t="s">
        <v>8</v>
      </c>
      <c r="AV272" s="27" t="s">
        <v>7</v>
      </c>
      <c r="AW272" s="27" t="s">
        <v>8</v>
      </c>
      <c r="AX272" s="27" t="s">
        <v>7</v>
      </c>
      <c r="AY272" s="27" t="s">
        <v>8</v>
      </c>
      <c r="AZ272" s="27" t="s">
        <v>7</v>
      </c>
      <c r="BC272" s="31"/>
      <c r="BM272" s="27" t="s">
        <v>8</v>
      </c>
      <c r="BX272" s="27" t="s">
        <v>7</v>
      </c>
      <c r="CA272" s="27" t="s">
        <v>8</v>
      </c>
      <c r="CB272" s="27" t="s">
        <v>7</v>
      </c>
      <c r="CC272" s="27" t="s">
        <v>8</v>
      </c>
      <c r="CE272" s="27" t="s">
        <v>8</v>
      </c>
    </row>
    <row r="273" spans="1:83" x14ac:dyDescent="0.25">
      <c r="A273" s="30">
        <v>0.19987253960121379</v>
      </c>
      <c r="B273"/>
      <c r="C273"/>
      <c r="D273"/>
      <c r="E273"/>
      <c r="N273" s="27" t="s">
        <v>7</v>
      </c>
      <c r="O273" s="27" t="s">
        <v>8</v>
      </c>
      <c r="P273" s="27" t="s">
        <v>7</v>
      </c>
      <c r="Q273" s="27" t="s">
        <v>8</v>
      </c>
      <c r="V273" s="27" t="s">
        <v>7</v>
      </c>
      <c r="W273" s="27" t="s">
        <v>8</v>
      </c>
      <c r="AV273" s="27" t="s">
        <v>7</v>
      </c>
      <c r="AW273" s="27" t="s">
        <v>8</v>
      </c>
      <c r="AX273" s="27" t="s">
        <v>7</v>
      </c>
      <c r="AY273" s="27" t="s">
        <v>8</v>
      </c>
      <c r="AZ273" s="27" t="s">
        <v>7</v>
      </c>
      <c r="BD273" s="31"/>
      <c r="BM273" s="27" t="s">
        <v>8</v>
      </c>
      <c r="BX273" s="27" t="s">
        <v>7</v>
      </c>
      <c r="BY273" s="27" t="s">
        <v>8</v>
      </c>
      <c r="CA273" s="27" t="s">
        <v>8</v>
      </c>
      <c r="CB273" s="27" t="s">
        <v>7</v>
      </c>
      <c r="CC273" s="27" t="s">
        <v>8</v>
      </c>
      <c r="CD273" s="27" t="s">
        <v>7</v>
      </c>
      <c r="CE273" s="27" t="s">
        <v>8</v>
      </c>
    </row>
    <row r="274" spans="1:83" x14ac:dyDescent="0.25">
      <c r="A274" s="30">
        <v>0.19035479962020352</v>
      </c>
      <c r="B274"/>
      <c r="C274"/>
      <c r="D274"/>
      <c r="E274"/>
      <c r="N274" s="27" t="s">
        <v>7</v>
      </c>
      <c r="P274" s="27" t="s">
        <v>7</v>
      </c>
      <c r="Q274" s="27" t="s">
        <v>8</v>
      </c>
      <c r="V274" s="27" t="s">
        <v>7</v>
      </c>
      <c r="W274" s="27" t="s">
        <v>8</v>
      </c>
      <c r="AV274" s="27" t="s">
        <v>7</v>
      </c>
      <c r="AW274" s="27" t="s">
        <v>8</v>
      </c>
      <c r="AX274" s="27" t="s">
        <v>7</v>
      </c>
      <c r="AZ274" s="27" t="s">
        <v>7</v>
      </c>
      <c r="BE274" s="31"/>
      <c r="BM274" s="27" t="s">
        <v>8</v>
      </c>
      <c r="BX274" s="27" t="s">
        <v>7</v>
      </c>
      <c r="BY274" s="27" t="s">
        <v>8</v>
      </c>
      <c r="BZ274" s="27" t="s">
        <v>7</v>
      </c>
      <c r="CA274" s="27" t="s">
        <v>8</v>
      </c>
      <c r="CB274" s="27" t="s">
        <v>7</v>
      </c>
      <c r="CC274" s="27" t="s">
        <v>8</v>
      </c>
      <c r="CD274" s="27" t="s">
        <v>7</v>
      </c>
      <c r="CE274" s="27" t="s">
        <v>8</v>
      </c>
    </row>
    <row r="275" spans="1:83" x14ac:dyDescent="0.25">
      <c r="A275" s="30">
        <v>0.18129028535257471</v>
      </c>
      <c r="B275"/>
      <c r="C275"/>
      <c r="D275"/>
      <c r="E275"/>
      <c r="P275" s="27" t="s">
        <v>7</v>
      </c>
      <c r="V275" s="27" t="s">
        <v>7</v>
      </c>
      <c r="AV275" s="27" t="s">
        <v>7</v>
      </c>
      <c r="AZ275" s="27" t="s">
        <v>7</v>
      </c>
      <c r="BA275" s="27" t="s">
        <v>8</v>
      </c>
      <c r="BE275" s="33" t="s">
        <v>8</v>
      </c>
      <c r="BF275" s="31"/>
      <c r="BM275" s="27" t="s">
        <v>8</v>
      </c>
      <c r="BX275" s="27" t="s">
        <v>7</v>
      </c>
      <c r="BY275" s="27" t="s">
        <v>8</v>
      </c>
      <c r="BZ275" s="27" t="s">
        <v>7</v>
      </c>
      <c r="CA275" s="27" t="s">
        <v>8</v>
      </c>
      <c r="CB275" s="27" t="s">
        <v>7</v>
      </c>
      <c r="CD275" s="27" t="s">
        <v>7</v>
      </c>
    </row>
    <row r="276" spans="1:83" x14ac:dyDescent="0.25">
      <c r="A276" s="30">
        <v>0.17265741462149967</v>
      </c>
      <c r="B276"/>
      <c r="C276"/>
      <c r="D276"/>
      <c r="E276"/>
      <c r="AZ276" s="27" t="s">
        <v>7</v>
      </c>
      <c r="BA276" s="27" t="s">
        <v>8</v>
      </c>
      <c r="BB276" s="27" t="s">
        <v>7</v>
      </c>
      <c r="BC276" s="27" t="s">
        <v>8</v>
      </c>
      <c r="BE276" s="27" t="s">
        <v>8</v>
      </c>
      <c r="BF276" s="27" t="s">
        <v>7</v>
      </c>
      <c r="BG276" s="31"/>
      <c r="BM276" s="27" t="s">
        <v>8</v>
      </c>
      <c r="BX276" s="27" t="s">
        <v>7</v>
      </c>
      <c r="BY276" s="27" t="s">
        <v>8</v>
      </c>
      <c r="BZ276" s="27" t="s">
        <v>7</v>
      </c>
      <c r="CA276" s="27" t="s">
        <v>8</v>
      </c>
    </row>
    <row r="277" spans="1:83" x14ac:dyDescent="0.25">
      <c r="A277" s="30">
        <v>0.16443563297285677</v>
      </c>
      <c r="B277"/>
      <c r="C277"/>
      <c r="D277"/>
      <c r="E277"/>
      <c r="AZ277" s="27" t="s">
        <v>7</v>
      </c>
      <c r="BA277" s="27" t="s">
        <v>8</v>
      </c>
      <c r="BB277" s="27" t="s">
        <v>7</v>
      </c>
      <c r="BC277" s="27" t="s">
        <v>8</v>
      </c>
      <c r="BD277" s="27" t="s">
        <v>7</v>
      </c>
      <c r="BE277" s="27" t="s">
        <v>8</v>
      </c>
      <c r="BF277" s="27" t="s">
        <v>7</v>
      </c>
      <c r="BH277" s="31"/>
      <c r="BM277" s="27" t="s">
        <v>8</v>
      </c>
      <c r="BX277" s="27" t="s">
        <v>7</v>
      </c>
      <c r="BY277" s="27" t="s">
        <v>8</v>
      </c>
      <c r="BZ277" s="27" t="s">
        <v>7</v>
      </c>
      <c r="CA277" s="27" t="s">
        <v>8</v>
      </c>
    </row>
    <row r="278" spans="1:83" x14ac:dyDescent="0.25">
      <c r="A278" s="30">
        <v>0.15660536473605399</v>
      </c>
      <c r="B278"/>
      <c r="C278"/>
      <c r="D278"/>
      <c r="E278"/>
      <c r="AZ278" s="27" t="s">
        <v>7</v>
      </c>
      <c r="BA278" s="27" t="s">
        <v>8</v>
      </c>
      <c r="BB278" s="27" t="s">
        <v>7</v>
      </c>
      <c r="BC278" s="27" t="s">
        <v>8</v>
      </c>
      <c r="BD278" s="27" t="s">
        <v>7</v>
      </c>
      <c r="BE278" s="27" t="s">
        <v>8</v>
      </c>
      <c r="BF278" s="27" t="s">
        <v>7</v>
      </c>
      <c r="BI278" s="31"/>
      <c r="BM278" s="27" t="s">
        <v>8</v>
      </c>
      <c r="BX278" s="27" t="s">
        <v>7</v>
      </c>
      <c r="BY278" s="27" t="s">
        <v>8</v>
      </c>
      <c r="BZ278" s="27" t="s">
        <v>7</v>
      </c>
      <c r="CA278" s="27" t="s">
        <v>8</v>
      </c>
    </row>
    <row r="279" spans="1:83" x14ac:dyDescent="0.25">
      <c r="A279" s="30">
        <v>0.14914796641528946</v>
      </c>
      <c r="B279"/>
      <c r="C279"/>
      <c r="D279"/>
      <c r="E279"/>
      <c r="AZ279" s="27" t="s">
        <v>7</v>
      </c>
      <c r="BB279" s="27" t="s">
        <v>7</v>
      </c>
      <c r="BD279" s="27" t="s">
        <v>7</v>
      </c>
      <c r="BE279" s="27" t="s">
        <v>8</v>
      </c>
      <c r="BF279" s="27" t="s">
        <v>7</v>
      </c>
      <c r="BJ279" s="31"/>
      <c r="BM279" s="27" t="s">
        <v>8</v>
      </c>
      <c r="BX279" s="27" t="s">
        <v>7</v>
      </c>
      <c r="BY279" s="27" t="s">
        <v>8</v>
      </c>
      <c r="BZ279" s="27" t="s">
        <v>7</v>
      </c>
    </row>
    <row r="280" spans="1:83" x14ac:dyDescent="0.25">
      <c r="A280" s="30">
        <v>0.14204568230027562</v>
      </c>
      <c r="B280"/>
      <c r="C280"/>
      <c r="D280"/>
      <c r="E280"/>
      <c r="BD280" s="27" t="s">
        <v>7</v>
      </c>
      <c r="BF280" s="27" t="s">
        <v>7</v>
      </c>
      <c r="BG280" s="27" t="s">
        <v>8</v>
      </c>
      <c r="BK280" s="31"/>
      <c r="BM280" s="27" t="s">
        <v>8</v>
      </c>
      <c r="BX280" s="27" t="s">
        <v>7</v>
      </c>
      <c r="BY280" s="27" t="s">
        <v>8</v>
      </c>
    </row>
    <row r="281" spans="1:83" x14ac:dyDescent="0.25">
      <c r="A281" s="30">
        <v>0.13528160219073862</v>
      </c>
      <c r="B281"/>
      <c r="C281"/>
      <c r="D281"/>
      <c r="E281"/>
      <c r="BF281" s="34" t="s">
        <v>7</v>
      </c>
      <c r="BG281" s="27" t="s">
        <v>8</v>
      </c>
      <c r="BH281" s="27" t="s">
        <v>7</v>
      </c>
      <c r="BK281" s="33" t="s">
        <v>8</v>
      </c>
      <c r="BL281" s="31"/>
      <c r="BM281" s="27" t="s">
        <v>8</v>
      </c>
      <c r="BX281" s="27" t="s">
        <v>7</v>
      </c>
      <c r="BY281" s="27" t="s">
        <v>8</v>
      </c>
    </row>
    <row r="282" spans="1:83" x14ac:dyDescent="0.25">
      <c r="A282" s="30">
        <v>0.12883962113403674</v>
      </c>
      <c r="B282"/>
      <c r="C282"/>
      <c r="D282"/>
      <c r="E282"/>
      <c r="BF282" s="27" t="s">
        <v>7</v>
      </c>
      <c r="BG282" s="27" t="s">
        <v>8</v>
      </c>
      <c r="BH282" s="27" t="s">
        <v>7</v>
      </c>
      <c r="BI282" s="27" t="s">
        <v>8</v>
      </c>
      <c r="BK282" s="27" t="s">
        <v>8</v>
      </c>
      <c r="BL282" s="27" t="s">
        <v>7</v>
      </c>
      <c r="BM282" s="31" t="s">
        <v>8</v>
      </c>
      <c r="BX282" s="27" t="s">
        <v>7</v>
      </c>
      <c r="BY282" s="27" t="s">
        <v>8</v>
      </c>
    </row>
    <row r="283" spans="1:83" x14ac:dyDescent="0.25">
      <c r="A283" s="30">
        <v>0.12270440108003494</v>
      </c>
      <c r="B283"/>
      <c r="C283"/>
      <c r="D283"/>
      <c r="E283"/>
      <c r="BF283" s="27" t="s">
        <v>7</v>
      </c>
      <c r="BG283" s="27" t="s">
        <v>8</v>
      </c>
      <c r="BH283" s="27" t="s">
        <v>7</v>
      </c>
      <c r="BI283" s="27" t="s">
        <v>8</v>
      </c>
      <c r="BJ283" s="27" t="s">
        <v>7</v>
      </c>
      <c r="BK283" s="27" t="s">
        <v>8</v>
      </c>
      <c r="BL283" s="27" t="s">
        <v>7</v>
      </c>
      <c r="BM283" s="27" t="s">
        <v>8</v>
      </c>
      <c r="BX283" s="27" t="s">
        <v>7</v>
      </c>
    </row>
    <row r="284" spans="1:83" x14ac:dyDescent="0.25">
      <c r="A284" s="30">
        <v>0.11686133436193799</v>
      </c>
      <c r="B284"/>
      <c r="C284"/>
      <c r="D284"/>
      <c r="E284"/>
      <c r="BF284" s="27" t="s">
        <v>7</v>
      </c>
      <c r="BH284" s="27" t="s">
        <v>7</v>
      </c>
      <c r="BI284" s="27" t="s">
        <v>8</v>
      </c>
      <c r="BJ284" s="27" t="s">
        <v>7</v>
      </c>
      <c r="BK284" s="27" t="s">
        <v>8</v>
      </c>
      <c r="BL284" s="27" t="s">
        <v>7</v>
      </c>
    </row>
    <row r="285" spans="1:83" x14ac:dyDescent="0.25">
      <c r="A285" s="30">
        <v>0.11129650891613138</v>
      </c>
      <c r="B285"/>
      <c r="C285"/>
      <c r="D285"/>
      <c r="E285"/>
      <c r="BH285" s="32" t="s">
        <v>7</v>
      </c>
      <c r="BJ285" s="32" t="s">
        <v>7</v>
      </c>
    </row>
    <row r="286" spans="1:83" x14ac:dyDescent="0.25">
      <c r="A286" s="30">
        <v>0.10599667515822032</v>
      </c>
      <c r="B286"/>
      <c r="C286"/>
      <c r="D286"/>
      <c r="E286"/>
    </row>
    <row r="287" spans="1:83" x14ac:dyDescent="0.25">
      <c r="A287" s="30">
        <v>0.10094921443640027</v>
      </c>
      <c r="B287"/>
      <c r="C287"/>
      <c r="D287"/>
      <c r="E287"/>
    </row>
    <row r="288" spans="1:83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4" zoomScale="90" zoomScaleNormal="90" workbookViewId="0">
      <pane xSplit="4" topLeftCell="G1" activePane="topRight" state="frozen"/>
      <selection activeCell="A109" sqref="A109"/>
      <selection pane="topRight" activeCell="BL126" sqref="BL12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2" x14ac:dyDescent="0.25">
      <c r="A97" s="30">
        <v>9.849732675807628</v>
      </c>
      <c r="E97"/>
    </row>
    <row r="98" spans="1:62" x14ac:dyDescent="0.25">
      <c r="A98" s="30">
        <v>8.9543024325523888</v>
      </c>
      <c r="C98" s="1" t="s">
        <v>13</v>
      </c>
      <c r="E98"/>
    </row>
    <row r="99" spans="1:62" x14ac:dyDescent="0.25">
      <c r="A99" s="30">
        <v>8.140274938683989</v>
      </c>
      <c r="C99" s="1">
        <f>C88</f>
        <v>0</v>
      </c>
      <c r="E99"/>
    </row>
    <row r="100" spans="1:62" x14ac:dyDescent="0.25">
      <c r="A100" s="30">
        <v>7.4002499442581717</v>
      </c>
      <c r="C100"/>
      <c r="D100"/>
      <c r="E100"/>
    </row>
    <row r="101" spans="1:62" x14ac:dyDescent="0.25">
      <c r="A101" s="30">
        <v>6.72749994932561</v>
      </c>
      <c r="C101" s="1" t="s">
        <v>14</v>
      </c>
      <c r="E101"/>
    </row>
    <row r="102" spans="1:6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62" x14ac:dyDescent="0.25">
      <c r="A103" s="30">
        <v>5.5599173134922388</v>
      </c>
      <c r="E103"/>
    </row>
    <row r="104" spans="1:62" x14ac:dyDescent="0.25">
      <c r="A104" s="30">
        <v>5.0544702849929442</v>
      </c>
      <c r="E104"/>
    </row>
    <row r="105" spans="1:62" x14ac:dyDescent="0.25">
      <c r="A105" s="30">
        <v>4.594972986357222</v>
      </c>
      <c r="E105"/>
    </row>
    <row r="106" spans="1:62" x14ac:dyDescent="0.25">
      <c r="A106" s="30">
        <v>4.1772481694156562</v>
      </c>
      <c r="E106"/>
    </row>
    <row r="107" spans="1:62" x14ac:dyDescent="0.25">
      <c r="A107" s="30">
        <v>3.7974983358324148</v>
      </c>
      <c r="E107"/>
    </row>
    <row r="108" spans="1:62" x14ac:dyDescent="0.25">
      <c r="A108" s="30">
        <v>3.4522712143931042</v>
      </c>
      <c r="E108"/>
    </row>
    <row r="109" spans="1:62" x14ac:dyDescent="0.25">
      <c r="A109" s="30">
        <v>3.1384283767210035</v>
      </c>
      <c r="E109"/>
      <c r="AO109" s="27" t="s">
        <v>8</v>
      </c>
    </row>
    <row r="110" spans="1:62" x14ac:dyDescent="0.25">
      <c r="A110" s="30">
        <v>2.8531167061100029</v>
      </c>
      <c r="E110"/>
      <c r="AO110" s="27" t="s">
        <v>8</v>
      </c>
      <c r="AP110" s="27" t="s">
        <v>7</v>
      </c>
      <c r="AQ110" s="31" t="s">
        <v>8</v>
      </c>
    </row>
    <row r="111" spans="1:62" x14ac:dyDescent="0.25">
      <c r="A111" s="30">
        <v>2.5937424601000023</v>
      </c>
      <c r="C111" s="1" t="str">
        <f>ADDRESS(C121-1,1,1,1)</f>
        <v>$A$125</v>
      </c>
      <c r="D111" s="1" t="str">
        <f>ADDRESS(C121-1,D121,1,1)</f>
        <v>$BL$125</v>
      </c>
      <c r="E111"/>
      <c r="AO111" s="27" t="s">
        <v>8</v>
      </c>
      <c r="AP111" s="27" t="s">
        <v>7</v>
      </c>
      <c r="AQ111" s="27" t="s">
        <v>8</v>
      </c>
      <c r="AR111" s="31" t="s">
        <v>7</v>
      </c>
      <c r="BI111" s="27" t="s">
        <v>8</v>
      </c>
    </row>
    <row r="112" spans="1:62" x14ac:dyDescent="0.25">
      <c r="A112" s="30">
        <v>2.3579476910000019</v>
      </c>
      <c r="C112" s="1" t="str">
        <f>ADDRESS(C121,1,1,1)</f>
        <v>$A$126</v>
      </c>
      <c r="D112" s="1" t="str">
        <f>ADDRESS(C121,D121-1,1,1)</f>
        <v>$BK$126</v>
      </c>
      <c r="E112"/>
      <c r="AI112" s="27" t="s">
        <v>8</v>
      </c>
      <c r="AO112" s="27" t="s">
        <v>8</v>
      </c>
      <c r="AP112" s="27" t="s">
        <v>7</v>
      </c>
      <c r="AQ112" s="27" t="s">
        <v>8</v>
      </c>
      <c r="AR112" s="27" t="s">
        <v>7</v>
      </c>
      <c r="AS112" s="31"/>
      <c r="BG112" s="27" t="s">
        <v>8</v>
      </c>
      <c r="BI112" s="27" t="s">
        <v>8</v>
      </c>
      <c r="BJ112" s="27" t="s">
        <v>7</v>
      </c>
    </row>
    <row r="113" spans="1:64" x14ac:dyDescent="0.25">
      <c r="A113" s="30">
        <v>2.1435888100000016</v>
      </c>
      <c r="C113" s="1" t="str">
        <f>ADDRESS(C121+1,1,1,1)</f>
        <v>$A$127</v>
      </c>
      <c r="D113" s="1" t="str">
        <f>ADDRESS(C121-1,D121+1,1,1)</f>
        <v>$BM$125</v>
      </c>
      <c r="AI113" s="27" t="s">
        <v>8</v>
      </c>
      <c r="AJ113" s="27" t="s">
        <v>7</v>
      </c>
      <c r="AM113" s="27" t="s">
        <v>8</v>
      </c>
      <c r="AO113" s="27" t="s">
        <v>8</v>
      </c>
      <c r="AP113" s="27" t="s">
        <v>7</v>
      </c>
      <c r="AQ113" s="27" t="s">
        <v>8</v>
      </c>
      <c r="AR113" s="27" t="s">
        <v>7</v>
      </c>
      <c r="AT113" s="31"/>
      <c r="BC113" s="27" t="s">
        <v>8</v>
      </c>
      <c r="BE113" s="27" t="s">
        <v>8</v>
      </c>
      <c r="BG113" s="27" t="s">
        <v>8</v>
      </c>
      <c r="BH113" s="27" t="s">
        <v>7</v>
      </c>
      <c r="BI113" s="27" t="s">
        <v>8</v>
      </c>
      <c r="BJ113" s="27" t="s">
        <v>7</v>
      </c>
    </row>
    <row r="114" spans="1:64" x14ac:dyDescent="0.25">
      <c r="A114" s="30">
        <v>1.9487171000000014</v>
      </c>
      <c r="C114" s="1" t="str">
        <f>ADDRESS(C121,D121,1,1)</f>
        <v>$BL$126</v>
      </c>
      <c r="D114" s="1" t="str">
        <f>ADDRESS(C121+1,D121+1,1,1)</f>
        <v>$BM$127</v>
      </c>
      <c r="AI114" s="27" t="s">
        <v>8</v>
      </c>
      <c r="AJ114" s="27" t="s">
        <v>7</v>
      </c>
      <c r="AM114" s="27" t="s">
        <v>8</v>
      </c>
      <c r="AN114" s="27" t="s">
        <v>7</v>
      </c>
      <c r="AO114" s="27" t="s">
        <v>8</v>
      </c>
      <c r="AP114" s="27" t="s">
        <v>7</v>
      </c>
      <c r="AQ114" s="27" t="s">
        <v>8</v>
      </c>
      <c r="AR114" s="27" t="s">
        <v>7</v>
      </c>
      <c r="AU114" s="31"/>
      <c r="BC114" s="27" t="s">
        <v>8</v>
      </c>
      <c r="BD114" s="27" t="s">
        <v>7</v>
      </c>
      <c r="BE114" s="27" t="s">
        <v>8</v>
      </c>
      <c r="BF114" s="27" t="s">
        <v>7</v>
      </c>
      <c r="BG114" s="27" t="s">
        <v>8</v>
      </c>
      <c r="BH114" s="27" t="s">
        <v>7</v>
      </c>
      <c r="BI114" s="27" t="s">
        <v>8</v>
      </c>
      <c r="BJ114" s="27" t="s">
        <v>7</v>
      </c>
      <c r="BK114" s="27" t="s">
        <v>8</v>
      </c>
    </row>
    <row r="115" spans="1:64" x14ac:dyDescent="0.25">
      <c r="A115" s="30">
        <v>1.7715610000000011</v>
      </c>
      <c r="C115" s="1" t="str">
        <f>ADDRESS(C121+1,D121,1,1)</f>
        <v>$BL$127</v>
      </c>
      <c r="AI115" s="27" t="s">
        <v>8</v>
      </c>
      <c r="AJ115" s="27" t="s">
        <v>7</v>
      </c>
      <c r="AK115" s="27" t="s">
        <v>8</v>
      </c>
      <c r="AM115" s="27" t="s">
        <v>8</v>
      </c>
      <c r="AN115" s="27" t="s">
        <v>7</v>
      </c>
      <c r="AO115" s="27" t="s">
        <v>8</v>
      </c>
      <c r="AP115" s="27" t="s">
        <v>7</v>
      </c>
      <c r="AQ115" s="27" t="s">
        <v>8</v>
      </c>
      <c r="AR115" s="27" t="s">
        <v>7</v>
      </c>
      <c r="AV115" s="31"/>
      <c r="BA115" s="27" t="s">
        <v>8</v>
      </c>
      <c r="BC115" s="27" t="s">
        <v>8</v>
      </c>
      <c r="BD115" s="27" t="s">
        <v>7</v>
      </c>
      <c r="BE115" s="27" t="s">
        <v>8</v>
      </c>
      <c r="BF115" s="27" t="s">
        <v>7</v>
      </c>
      <c r="BG115" s="27" t="s">
        <v>8</v>
      </c>
      <c r="BH115" s="27" t="s">
        <v>7</v>
      </c>
      <c r="BJ115" s="27" t="s">
        <v>7</v>
      </c>
      <c r="BK115" s="27" t="s">
        <v>8</v>
      </c>
      <c r="BL115" s="27" t="s">
        <v>7</v>
      </c>
    </row>
    <row r="116" spans="1:64" x14ac:dyDescent="0.25">
      <c r="A116" s="30">
        <v>1.6105100000000008</v>
      </c>
      <c r="C116" s="1">
        <f>C117-1</f>
        <v>125</v>
      </c>
      <c r="AI116" s="27" t="s">
        <v>8</v>
      </c>
      <c r="AJ116" s="27" t="s">
        <v>7</v>
      </c>
      <c r="AK116" s="27" t="s">
        <v>8</v>
      </c>
      <c r="AL116" s="27" t="s">
        <v>7</v>
      </c>
      <c r="AM116" s="27" t="s">
        <v>8</v>
      </c>
      <c r="AN116" s="32" t="s">
        <v>7</v>
      </c>
      <c r="AP116" s="32" t="s">
        <v>7</v>
      </c>
      <c r="AR116" s="27" t="s">
        <v>7</v>
      </c>
      <c r="AW116" s="31"/>
      <c r="BA116" s="27" t="s">
        <v>8</v>
      </c>
      <c r="BB116" s="27" t="s">
        <v>7</v>
      </c>
      <c r="BC116" s="27" t="s">
        <v>8</v>
      </c>
      <c r="BD116" s="27" t="s">
        <v>7</v>
      </c>
      <c r="BF116" s="27" t="s">
        <v>7</v>
      </c>
      <c r="BG116" s="27" t="s">
        <v>8</v>
      </c>
      <c r="BJ116" s="27" t="s">
        <v>7</v>
      </c>
      <c r="BK116" s="27" t="s">
        <v>8</v>
      </c>
      <c r="BL116" s="27" t="s">
        <v>7</v>
      </c>
    </row>
    <row r="117" spans="1:64" x14ac:dyDescent="0.25">
      <c r="A117" s="30">
        <v>1.4641000000000006</v>
      </c>
      <c r="C117" s="1">
        <f>C121</f>
        <v>126</v>
      </c>
      <c r="D117" s="1">
        <f>D121</f>
        <v>64</v>
      </c>
      <c r="AI117" s="27" t="s">
        <v>8</v>
      </c>
      <c r="AJ117" s="27" t="s">
        <v>7</v>
      </c>
      <c r="AK117" s="27" t="s">
        <v>8</v>
      </c>
      <c r="AL117" s="27" t="s">
        <v>7</v>
      </c>
      <c r="AM117" s="27" t="s">
        <v>8</v>
      </c>
      <c r="AR117" s="34" t="s">
        <v>7</v>
      </c>
      <c r="AS117" s="27" t="s">
        <v>8</v>
      </c>
      <c r="AX117" s="31"/>
      <c r="BA117" s="27" t="s">
        <v>8</v>
      </c>
      <c r="BB117" s="27" t="s">
        <v>7</v>
      </c>
      <c r="BC117" s="27" t="s">
        <v>8</v>
      </c>
      <c r="BF117" s="27" t="s">
        <v>7</v>
      </c>
      <c r="BJ117" s="27" t="s">
        <v>7</v>
      </c>
      <c r="BK117" s="27" t="s">
        <v>8</v>
      </c>
      <c r="BL117" s="27" t="s">
        <v>7</v>
      </c>
    </row>
    <row r="118" spans="1:64" x14ac:dyDescent="0.25">
      <c r="A118" s="30">
        <v>1.3310000000000004</v>
      </c>
      <c r="C118" s="1">
        <f>C117+1</f>
        <v>127</v>
      </c>
      <c r="D118" s="1">
        <f>D117+1</f>
        <v>65</v>
      </c>
      <c r="AI118" s="27" t="s">
        <v>8</v>
      </c>
      <c r="AJ118" s="27" t="s">
        <v>7</v>
      </c>
      <c r="AK118" s="27" t="s">
        <v>8</v>
      </c>
      <c r="AL118" s="27" t="s">
        <v>7</v>
      </c>
      <c r="AR118" s="27" t="s">
        <v>7</v>
      </c>
      <c r="AS118" s="27" t="s">
        <v>8</v>
      </c>
      <c r="AT118" s="27" t="s">
        <v>7</v>
      </c>
      <c r="AU118" s="32" t="s">
        <v>8</v>
      </c>
      <c r="AW118" s="32" t="s">
        <v>8</v>
      </c>
      <c r="AY118" s="31"/>
      <c r="BA118" s="27" t="s">
        <v>8</v>
      </c>
      <c r="BB118" s="27" t="s">
        <v>7</v>
      </c>
      <c r="BC118" s="27" t="s">
        <v>8</v>
      </c>
      <c r="BJ118" s="27" t="s">
        <v>7</v>
      </c>
      <c r="BK118" s="27" t="s">
        <v>8</v>
      </c>
      <c r="BL118" s="27" t="s">
        <v>7</v>
      </c>
    </row>
    <row r="119" spans="1:64" x14ac:dyDescent="0.25">
      <c r="A119" s="30">
        <v>1.2100000000000002</v>
      </c>
      <c r="AI119" s="27" t="s">
        <v>8</v>
      </c>
      <c r="AJ119" s="27" t="s">
        <v>7</v>
      </c>
      <c r="AR119" s="27" t="s">
        <v>7</v>
      </c>
      <c r="AS119" s="27" t="s">
        <v>8</v>
      </c>
      <c r="AT119" s="27" t="s">
        <v>7</v>
      </c>
      <c r="AU119" s="27" t="s">
        <v>8</v>
      </c>
      <c r="AV119" s="27" t="s">
        <v>7</v>
      </c>
      <c r="AW119" s="27" t="s">
        <v>8</v>
      </c>
      <c r="AX119" s="27" t="s">
        <v>7</v>
      </c>
      <c r="AZ119" s="31"/>
      <c r="BA119" s="27" t="s">
        <v>8</v>
      </c>
      <c r="BB119" s="27" t="s">
        <v>7</v>
      </c>
      <c r="BJ119" s="27" t="s">
        <v>7</v>
      </c>
      <c r="BK119" s="27" t="s">
        <v>8</v>
      </c>
      <c r="BL119" s="27" t="s">
        <v>7</v>
      </c>
    </row>
    <row r="120" spans="1:64" x14ac:dyDescent="0.25">
      <c r="A120" s="30">
        <v>1.1000000000000001</v>
      </c>
      <c r="C120" s="1" t="s">
        <v>9</v>
      </c>
      <c r="AI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  <c r="AV120" s="27" t="s">
        <v>7</v>
      </c>
      <c r="AW120" s="27" t="s">
        <v>8</v>
      </c>
      <c r="AX120" s="27" t="s">
        <v>7</v>
      </c>
      <c r="BA120" s="31" t="s">
        <v>8</v>
      </c>
      <c r="BJ120" s="27" t="s">
        <v>7</v>
      </c>
      <c r="BL120" s="27" t="s">
        <v>7</v>
      </c>
    </row>
    <row r="121" spans="1:64" x14ac:dyDescent="0.25">
      <c r="A121" s="30">
        <v>1</v>
      </c>
      <c r="C121" s="18">
        <v>126</v>
      </c>
      <c r="D121" s="19">
        <v>64</v>
      </c>
      <c r="E121" s="18" t="s">
        <v>8</v>
      </c>
      <c r="AI121" s="27" t="s">
        <v>8</v>
      </c>
      <c r="AR121" s="27" t="s">
        <v>7</v>
      </c>
      <c r="AS121" s="27" t="s">
        <v>8</v>
      </c>
      <c r="AT121" s="31" t="s">
        <v>7</v>
      </c>
      <c r="AU121" s="27" t="s">
        <v>8</v>
      </c>
      <c r="AV121" s="27" t="s">
        <v>7</v>
      </c>
      <c r="AX121" s="27" t="s">
        <v>7</v>
      </c>
      <c r="AY121" s="27" t="s">
        <v>8</v>
      </c>
      <c r="BA121" s="27" t="s">
        <v>8</v>
      </c>
      <c r="BB121" s="31"/>
      <c r="BL121" s="27" t="s">
        <v>7</v>
      </c>
    </row>
    <row r="122" spans="1:64" x14ac:dyDescent="0.25">
      <c r="A122" s="30">
        <v>0.90909090909090895</v>
      </c>
      <c r="C122" s="1" t="str">
        <f>INDEX(1:1048576,C117,D117)</f>
        <v>O</v>
      </c>
      <c r="F122" s="27" t="s">
        <v>7</v>
      </c>
      <c r="AI122" s="27" t="s">
        <v>8</v>
      </c>
      <c r="AR122" s="27" t="s">
        <v>7</v>
      </c>
      <c r="AS122" s="31"/>
      <c r="AT122" s="27" t="s">
        <v>7</v>
      </c>
      <c r="AU122" s="27" t="s">
        <v>8</v>
      </c>
      <c r="AX122" s="27" t="s">
        <v>7</v>
      </c>
      <c r="AY122" s="27" t="s">
        <v>8</v>
      </c>
      <c r="AZ122" s="27" t="s">
        <v>7</v>
      </c>
      <c r="BA122" s="27" t="s">
        <v>8</v>
      </c>
      <c r="BC122" s="31"/>
      <c r="BL122" s="27" t="s">
        <v>7</v>
      </c>
    </row>
    <row r="123" spans="1:64" x14ac:dyDescent="0.25">
      <c r="A123" s="30">
        <v>0.82644628099173523</v>
      </c>
      <c r="C123" s="1" t="str">
        <f>"R"&amp;C121</f>
        <v>R126</v>
      </c>
      <c r="D123" s="1" t="str">
        <f>"C"&amp;D121</f>
        <v>C64</v>
      </c>
      <c r="F123" s="27" t="s">
        <v>7</v>
      </c>
      <c r="AI123" s="27" t="s">
        <v>8</v>
      </c>
      <c r="AR123" s="31"/>
      <c r="AT123" s="27" t="s">
        <v>7</v>
      </c>
      <c r="AX123" s="27" t="s">
        <v>7</v>
      </c>
      <c r="AY123" s="27" t="s">
        <v>8</v>
      </c>
      <c r="AZ123" s="27" t="s">
        <v>7</v>
      </c>
      <c r="BA123" s="27" t="s">
        <v>8</v>
      </c>
      <c r="BL123" s="27" t="s">
        <v>7</v>
      </c>
    </row>
    <row r="124" spans="1:6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C124" s="27" t="s">
        <v>8</v>
      </c>
      <c r="AI124" s="27" t="s">
        <v>8</v>
      </c>
      <c r="AQ124" s="31"/>
      <c r="AX124" s="27" t="s">
        <v>7</v>
      </c>
      <c r="AY124" s="27" t="s">
        <v>8</v>
      </c>
      <c r="AZ124" s="18" t="s">
        <v>7</v>
      </c>
      <c r="BA124" s="27" t="s">
        <v>8</v>
      </c>
      <c r="BL124" s="27" t="s">
        <v>7</v>
      </c>
    </row>
    <row r="125" spans="1:64" x14ac:dyDescent="0.25">
      <c r="A125" s="30">
        <v>0.68301345536507019</v>
      </c>
      <c r="F125" s="27" t="s">
        <v>7</v>
      </c>
      <c r="AC125" s="27" t="s">
        <v>8</v>
      </c>
      <c r="AD125" s="27" t="s">
        <v>7</v>
      </c>
      <c r="AI125" s="27" t="s">
        <v>8</v>
      </c>
      <c r="AP125" s="31"/>
      <c r="AX125" s="32" t="s">
        <v>7</v>
      </c>
      <c r="AZ125" s="32" t="s">
        <v>7</v>
      </c>
      <c r="BL125" s="27" t="s">
        <v>7</v>
      </c>
    </row>
    <row r="126" spans="1:64" x14ac:dyDescent="0.25">
      <c r="A126" s="30">
        <v>0.6209213230591546</v>
      </c>
      <c r="C126" s="1" t="s">
        <v>10</v>
      </c>
      <c r="F126" s="27" t="s">
        <v>7</v>
      </c>
      <c r="AC126" s="27" t="s">
        <v>8</v>
      </c>
      <c r="AD126" s="27" t="s">
        <v>7</v>
      </c>
      <c r="AI126" s="27" t="s">
        <v>8</v>
      </c>
      <c r="AO126" s="31"/>
      <c r="BL126" s="27" t="s">
        <v>7</v>
      </c>
    </row>
    <row r="127" spans="1:64" x14ac:dyDescent="0.25">
      <c r="A127" s="30">
        <v>0.56447393005377677</v>
      </c>
      <c r="C127" s="30">
        <v>0.6209213230591546</v>
      </c>
      <c r="D127"/>
      <c r="F127" s="27" t="s">
        <v>7</v>
      </c>
      <c r="S127" s="27" t="s">
        <v>8</v>
      </c>
      <c r="AC127" s="27" t="s">
        <v>8</v>
      </c>
      <c r="AD127" s="27" t="s">
        <v>7</v>
      </c>
      <c r="AI127" s="27" t="s">
        <v>8</v>
      </c>
      <c r="AN127" s="31"/>
    </row>
    <row r="128" spans="1:64" x14ac:dyDescent="0.25">
      <c r="A128" s="30">
        <v>0.51315811823070612</v>
      </c>
      <c r="F128" s="27" t="s">
        <v>7</v>
      </c>
      <c r="S128" s="27" t="s">
        <v>8</v>
      </c>
      <c r="T128" s="27" t="s">
        <v>7</v>
      </c>
      <c r="AC128" s="27" t="s">
        <v>8</v>
      </c>
      <c r="AD128" s="27" t="s">
        <v>7</v>
      </c>
      <c r="AE128" s="32" t="s">
        <v>8</v>
      </c>
      <c r="AG128" s="32" t="s">
        <v>8</v>
      </c>
      <c r="AI128" s="27" t="s">
        <v>8</v>
      </c>
      <c r="AM128" s="31"/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S129" s="27" t="s">
        <v>8</v>
      </c>
      <c r="T129" s="27" t="s">
        <v>7</v>
      </c>
      <c r="AC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  <c r="AH129" s="27" t="s">
        <v>7</v>
      </c>
      <c r="AI129" s="27" t="s">
        <v>8</v>
      </c>
      <c r="AL129" s="31"/>
    </row>
    <row r="130" spans="1:38" x14ac:dyDescent="0.25">
      <c r="A130" s="30">
        <v>0.42409761837248428</v>
      </c>
      <c r="C130" s="6"/>
      <c r="D130" s="6"/>
      <c r="E130"/>
      <c r="F130" s="27" t="s">
        <v>7</v>
      </c>
      <c r="M130" s="32" t="s">
        <v>8</v>
      </c>
      <c r="O130" s="32" t="s">
        <v>8</v>
      </c>
      <c r="S130" s="27" t="s">
        <v>8</v>
      </c>
      <c r="T130" s="27" t="s">
        <v>7</v>
      </c>
      <c r="U130" s="27" t="s">
        <v>8</v>
      </c>
      <c r="AC130" s="27" t="s">
        <v>8</v>
      </c>
      <c r="AD130" s="27" t="s">
        <v>7</v>
      </c>
      <c r="AE130" s="27" t="s">
        <v>8</v>
      </c>
      <c r="AF130" s="27" t="s">
        <v>7</v>
      </c>
      <c r="AG130" s="27" t="s">
        <v>8</v>
      </c>
      <c r="AH130" s="27" t="s">
        <v>7</v>
      </c>
      <c r="AI130" s="27" t="s">
        <v>8</v>
      </c>
      <c r="AK130" s="31"/>
    </row>
    <row r="131" spans="1:38" x14ac:dyDescent="0.25">
      <c r="A131" s="30">
        <v>0.38554328942953109</v>
      </c>
      <c r="E131"/>
      <c r="F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AC131" s="27" t="s">
        <v>8</v>
      </c>
      <c r="AD131" s="27" t="s">
        <v>7</v>
      </c>
      <c r="AF131" s="27" t="s">
        <v>7</v>
      </c>
      <c r="AG131" s="27" t="s">
        <v>8</v>
      </c>
      <c r="AH131" s="27" t="s">
        <v>7</v>
      </c>
      <c r="AI131" s="27" t="s">
        <v>8</v>
      </c>
      <c r="AJ131" s="31"/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W132" s="27" t="s">
        <v>8</v>
      </c>
      <c r="X132" s="27" t="s">
        <v>7</v>
      </c>
      <c r="AC132" s="27" t="s">
        <v>8</v>
      </c>
      <c r="AF132" s="27" t="s">
        <v>7</v>
      </c>
      <c r="AG132" s="27" t="s">
        <v>8</v>
      </c>
      <c r="AH132" s="27" t="s">
        <v>7</v>
      </c>
      <c r="AI132" s="31"/>
    </row>
    <row r="133" spans="1:38" x14ac:dyDescent="0.25">
      <c r="A133" s="30">
        <v>0.31863081771035617</v>
      </c>
      <c r="C133" s="1" t="str">
        <f>C122</f>
        <v>O</v>
      </c>
      <c r="E133"/>
      <c r="F133" s="27" t="s">
        <v>7</v>
      </c>
      <c r="M133" s="27" t="s">
        <v>8</v>
      </c>
      <c r="N133" s="27" t="s">
        <v>7</v>
      </c>
      <c r="P133" s="27" t="s">
        <v>7</v>
      </c>
      <c r="S133" s="27" t="s">
        <v>8</v>
      </c>
      <c r="T133" s="27" t="s">
        <v>7</v>
      </c>
      <c r="V133" s="27" t="s">
        <v>7</v>
      </c>
      <c r="W133" s="27" t="s">
        <v>8</v>
      </c>
      <c r="X133" s="27" t="s">
        <v>7</v>
      </c>
      <c r="AA133" s="27" t="s">
        <v>8</v>
      </c>
      <c r="AC133" s="27" t="s">
        <v>8</v>
      </c>
      <c r="AF133" s="27" t="s">
        <v>7</v>
      </c>
      <c r="AH133" s="31"/>
    </row>
    <row r="134" spans="1:38" x14ac:dyDescent="0.25">
      <c r="A134" s="30">
        <v>0.28966437973668741</v>
      </c>
      <c r="C134"/>
      <c r="D134"/>
      <c r="E134"/>
      <c r="F134" s="27" t="s">
        <v>7</v>
      </c>
      <c r="G134" s="32" t="s">
        <v>8</v>
      </c>
      <c r="I134" s="32" t="s">
        <v>8</v>
      </c>
      <c r="K134" s="32" t="s">
        <v>8</v>
      </c>
      <c r="M134" s="27" t="s">
        <v>8</v>
      </c>
      <c r="P134" s="27" t="s">
        <v>7</v>
      </c>
      <c r="S134" s="27" t="s">
        <v>8</v>
      </c>
      <c r="V134" s="27" t="s">
        <v>7</v>
      </c>
      <c r="X134" s="27" t="s">
        <v>7</v>
      </c>
      <c r="AA134" s="27" t="s">
        <v>8</v>
      </c>
      <c r="AB134" s="27" t="s">
        <v>7</v>
      </c>
      <c r="AC134" s="27" t="s">
        <v>8</v>
      </c>
      <c r="AG134" s="31"/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I135" s="27" t="s">
        <v>8</v>
      </c>
      <c r="J135" s="27" t="s">
        <v>7</v>
      </c>
      <c r="K135" s="27" t="s">
        <v>8</v>
      </c>
      <c r="L135" s="27" t="s">
        <v>7</v>
      </c>
      <c r="M135" s="27" t="s">
        <v>8</v>
      </c>
      <c r="P135" s="27" t="s">
        <v>7</v>
      </c>
      <c r="Q135" s="27" t="s">
        <v>8</v>
      </c>
      <c r="S135" s="27" t="s">
        <v>8</v>
      </c>
      <c r="X135" s="27" t="s">
        <v>7</v>
      </c>
      <c r="AA135" s="27" t="s">
        <v>8</v>
      </c>
      <c r="AB135" s="27" t="s">
        <v>7</v>
      </c>
      <c r="AC135" s="27" t="s">
        <v>8</v>
      </c>
      <c r="AF135" s="31"/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I136" s="27" t="s">
        <v>8</v>
      </c>
      <c r="J136" s="27" t="s">
        <v>7</v>
      </c>
      <c r="K136" s="27" t="s">
        <v>8</v>
      </c>
      <c r="L136" s="27" t="s">
        <v>7</v>
      </c>
      <c r="M136" s="27" t="s">
        <v>8</v>
      </c>
      <c r="P136" s="27" t="s">
        <v>7</v>
      </c>
      <c r="Q136" s="27" t="s">
        <v>8</v>
      </c>
      <c r="R136" s="27" t="s">
        <v>7</v>
      </c>
      <c r="S136" s="27" t="s">
        <v>8</v>
      </c>
      <c r="X136" s="27" t="s">
        <v>7</v>
      </c>
      <c r="AA136" s="27" t="s">
        <v>8</v>
      </c>
      <c r="AB136" s="27" t="s">
        <v>7</v>
      </c>
      <c r="AE136" s="31"/>
    </row>
    <row r="137" spans="1:38" x14ac:dyDescent="0.25">
      <c r="A137" s="30">
        <v>0.2176291357901482</v>
      </c>
      <c r="E137"/>
      <c r="F137" s="27" t="s">
        <v>7</v>
      </c>
      <c r="H137" s="27" t="s">
        <v>7</v>
      </c>
      <c r="I137" s="27" t="s">
        <v>8</v>
      </c>
      <c r="J137" s="27" t="s">
        <v>7</v>
      </c>
      <c r="L137" s="27" t="s">
        <v>7</v>
      </c>
      <c r="M137" s="27" t="s">
        <v>8</v>
      </c>
      <c r="P137" s="27" t="s">
        <v>7</v>
      </c>
      <c r="Q137" s="27" t="s">
        <v>8</v>
      </c>
      <c r="R137" s="27" t="s">
        <v>7</v>
      </c>
      <c r="S137" s="27" t="s">
        <v>8</v>
      </c>
      <c r="X137" s="27" t="s">
        <v>7</v>
      </c>
      <c r="AA137" s="27" t="s">
        <v>8</v>
      </c>
      <c r="AD137" s="31"/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H138" s="27" t="s">
        <v>7</v>
      </c>
      <c r="L138" s="27" t="s">
        <v>7</v>
      </c>
      <c r="P138" s="27" t="s">
        <v>7</v>
      </c>
      <c r="Q138" s="27" t="s">
        <v>8</v>
      </c>
      <c r="R138" s="27" t="s">
        <v>7</v>
      </c>
      <c r="S138" s="27" t="s">
        <v>8</v>
      </c>
      <c r="X138" s="27" t="s">
        <v>7</v>
      </c>
      <c r="Y138" s="27" t="s">
        <v>8</v>
      </c>
      <c r="AA138" s="27" t="s">
        <v>8</v>
      </c>
      <c r="AC138" s="31"/>
    </row>
    <row r="139" spans="1:38" x14ac:dyDescent="0.25">
      <c r="A139" s="30">
        <v>0.17985878990921333</v>
      </c>
      <c r="E139"/>
      <c r="P139" s="27" t="s">
        <v>7</v>
      </c>
      <c r="R139" s="27" t="s">
        <v>7</v>
      </c>
      <c r="S139" s="27" t="s">
        <v>8</v>
      </c>
      <c r="X139" s="27" t="s">
        <v>7</v>
      </c>
      <c r="Y139" s="27" t="s">
        <v>8</v>
      </c>
      <c r="Z139" s="27" t="s">
        <v>7</v>
      </c>
      <c r="AA139" s="27" t="s">
        <v>8</v>
      </c>
      <c r="AB139" s="31"/>
    </row>
    <row r="140" spans="1:38" x14ac:dyDescent="0.25">
      <c r="A140" s="30">
        <v>0.16350799082655756</v>
      </c>
      <c r="C140" s="1">
        <v>0</v>
      </c>
      <c r="E140"/>
      <c r="R140" s="27" t="s">
        <v>7</v>
      </c>
      <c r="S140" s="27" t="s">
        <v>8</v>
      </c>
      <c r="X140" s="27" t="s">
        <v>7</v>
      </c>
      <c r="Y140" s="27" t="s">
        <v>8</v>
      </c>
      <c r="Z140" s="27" t="s">
        <v>7</v>
      </c>
      <c r="AA140" s="31" t="s">
        <v>8</v>
      </c>
    </row>
    <row r="141" spans="1:38" x14ac:dyDescent="0.25">
      <c r="A141" s="30">
        <v>0.14864362802414322</v>
      </c>
      <c r="C141" s="1">
        <v>1</v>
      </c>
      <c r="E141"/>
      <c r="R141" s="27" t="s">
        <v>7</v>
      </c>
      <c r="S141" s="27" t="s">
        <v>8</v>
      </c>
      <c r="X141" s="27" t="s">
        <v>7</v>
      </c>
      <c r="Y141" s="27" t="s">
        <v>8</v>
      </c>
      <c r="Z141" s="31" t="s">
        <v>7</v>
      </c>
    </row>
    <row r="142" spans="1:38" x14ac:dyDescent="0.25">
      <c r="A142" s="30">
        <v>0.13513057093103928</v>
      </c>
      <c r="C142" s="1">
        <v>2</v>
      </c>
      <c r="E142"/>
      <c r="R142" s="27" t="s">
        <v>7</v>
      </c>
      <c r="S142" s="27" t="s">
        <v>8</v>
      </c>
      <c r="X142" s="27" t="s">
        <v>7</v>
      </c>
      <c r="Y142" s="31" t="s">
        <v>8</v>
      </c>
    </row>
    <row r="143" spans="1:38" x14ac:dyDescent="0.25">
      <c r="A143" s="30">
        <v>0.12284597357367205</v>
      </c>
      <c r="C143" s="1">
        <v>3</v>
      </c>
      <c r="E143"/>
      <c r="R143" s="27" t="s">
        <v>7</v>
      </c>
      <c r="S143" s="27" t="s">
        <v>8</v>
      </c>
      <c r="X143" s="31" t="s">
        <v>7</v>
      </c>
    </row>
    <row r="144" spans="1:38" x14ac:dyDescent="0.25">
      <c r="A144" s="30">
        <v>0.11167815779424731</v>
      </c>
      <c r="C144" s="1">
        <v>4</v>
      </c>
      <c r="E144"/>
      <c r="R144" s="27" t="s">
        <v>7</v>
      </c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0.64460891621779492</v>
      </c>
      <c r="F3" s="30">
        <v>0.71068133013011958</v>
      </c>
      <c r="G3" s="30">
        <v>1.05</v>
      </c>
      <c r="H3" s="25">
        <f>IF(G3="","",(3*(G3-F3))+E3)</f>
        <v>1.6625649258274362</v>
      </c>
      <c r="I3" s="7"/>
      <c r="J3" s="7">
        <f>(E3+G3)/2</f>
        <v>0.84730445810889754</v>
      </c>
      <c r="K3" s="7">
        <f>H3/2</f>
        <v>0.8312824629137181</v>
      </c>
      <c r="M3" s="26">
        <f>IF(OR(J3="",H3=""),"",H3/J3)</f>
        <v>1.9621812560010861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2022-01-28T01:17:35Z</dcterms:modified>
</cp:coreProperties>
</file>