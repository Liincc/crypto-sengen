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A421CC0-1BC4-4186-A81B-15D35E65332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18" i="5"/>
  <c r="C122" i="4"/>
  <c r="C133" i="4" s="1"/>
  <c r="D136" i="4" s="1"/>
  <c r="C118" i="4"/>
  <c r="R765" i="1"/>
  <c r="S765" i="1" s="1"/>
  <c r="T765" i="1" s="1"/>
  <c r="D136" i="5"/>
  <c r="C136" i="5"/>
  <c r="C118" i="3"/>
  <c r="C122" i="3"/>
  <c r="C133" i="3" s="1"/>
  <c r="C136" i="3" s="1"/>
  <c r="C138" i="5" l="1"/>
  <c r="R764" i="1"/>
  <c r="R763" i="1" s="1"/>
  <c r="C136" i="4"/>
  <c r="C138" i="4" s="1"/>
  <c r="D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<sst xmlns="http://schemas.openxmlformats.org/spreadsheetml/2006/main" count="6025" uniqueCount="34">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</sst>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0.55379999999999996</c:v>
                </c:pt>
                <c:pt idx="1">
                  <c:v>0.57599999999999996</c:v>
                </c:pt>
                <c:pt idx="2">
                  <c:v>0.41420000000000001</c:v>
                </c:pt>
                <c:pt idx="3">
                  <c:v>0.41320000000000001</c:v>
                </c:pt>
                <c:pt idx="4">
                  <c:v>0.43409999999999999</c:v>
                </c:pt>
                <c:pt idx="5">
                  <c:v>0.42370000000000002</c:v>
                </c:pt>
                <c:pt idx="6">
                  <c:v>0.46160000000000001</c:v>
                </c:pt>
                <c:pt idx="7">
                  <c:v>0.54959999999999998</c:v>
                </c:pt>
                <c:pt idx="8">
                  <c:v>0.58240000000000003</c:v>
                </c:pt>
                <c:pt idx="9">
                  <c:v>0.58879999999999999</c:v>
                </c:pt>
                <c:pt idx="10">
                  <c:v>0.59799999999999998</c:v>
                </c:pt>
                <c:pt idx="11">
                  <c:v>0.628</c:v>
                </c:pt>
                <c:pt idx="12">
                  <c:v>0.63800000000000001</c:v>
                </c:pt>
                <c:pt idx="13">
                  <c:v>0.63839999999999997</c:v>
                </c:pt>
                <c:pt idx="14">
                  <c:v>0.62050000000000005</c:v>
                </c:pt>
                <c:pt idx="15">
                  <c:v>0.6371</c:v>
                </c:pt>
                <c:pt idx="16">
                  <c:v>0.60129999999999995</c:v>
                </c:pt>
                <c:pt idx="17">
                  <c:v>0.57530000000000003</c:v>
                </c:pt>
                <c:pt idx="18">
                  <c:v>0.60450000000000004</c:v>
                </c:pt>
                <c:pt idx="19">
                  <c:v>0.60099999999999998</c:v>
                </c:pt>
                <c:pt idx="20">
                  <c:v>0.61140000000000005</c:v>
                </c:pt>
                <c:pt idx="21">
                  <c:v>0.64500000000000002</c:v>
                </c:pt>
                <c:pt idx="22">
                  <c:v>0.65610000000000002</c:v>
                </c:pt>
                <c:pt idx="23">
                  <c:v>0.70179999999999998</c:v>
                </c:pt>
                <c:pt idx="24">
                  <c:v>0.69420000000000004</c:v>
                </c:pt>
                <c:pt idx="25">
                  <c:v>0.70320000000000005</c:v>
                </c:pt>
                <c:pt idx="26">
                  <c:v>0.7157</c:v>
                </c:pt>
                <c:pt idx="27">
                  <c:v>0.68879999999999997</c:v>
                </c:pt>
                <c:pt idx="28">
                  <c:v>0.70050000000000001</c:v>
                </c:pt>
                <c:pt idx="29">
                  <c:v>0.70760000000000001</c:v>
                </c:pt>
                <c:pt idx="30">
                  <c:v>0.75129999999999997</c:v>
                </c:pt>
                <c:pt idx="31">
                  <c:v>0.82979999999999998</c:v>
                </c:pt>
                <c:pt idx="32">
                  <c:v>0.77029999999999998</c:v>
                </c:pt>
                <c:pt idx="33">
                  <c:v>0.77229999999999999</c:v>
                </c:pt>
                <c:pt idx="34">
                  <c:v>0.78559999999999997</c:v>
                </c:pt>
                <c:pt idx="35">
                  <c:v>0.73750000000000004</c:v>
                </c:pt>
                <c:pt idx="36">
                  <c:v>0.71540000000000004</c:v>
                </c:pt>
                <c:pt idx="37">
                  <c:v>0.69810000000000005</c:v>
                </c:pt>
                <c:pt idx="38">
                  <c:v>0.6714</c:v>
                </c:pt>
                <c:pt idx="39">
                  <c:v>0.72889999999999999</c:v>
                </c:pt>
                <c:pt idx="40">
                  <c:v>0.67569999999999997</c:v>
                </c:pt>
                <c:pt idx="41">
                  <c:v>0.63219999999999998</c:v>
                </c:pt>
                <c:pt idx="42">
                  <c:v>0.65590000000000004</c:v>
                </c:pt>
                <c:pt idx="43">
                  <c:v>0.65790000000000004</c:v>
                </c:pt>
                <c:pt idx="44">
                  <c:v>0.64759999999999995</c:v>
                </c:pt>
                <c:pt idx="45">
                  <c:v>0.64890000000000003</c:v>
                </c:pt>
                <c:pt idx="46">
                  <c:v>0.71020000000000005</c:v>
                </c:pt>
                <c:pt idx="47">
                  <c:v>0.68669999999999998</c:v>
                </c:pt>
                <c:pt idx="48">
                  <c:v>0.6794</c:v>
                </c:pt>
                <c:pt idx="49">
                  <c:v>0.72560000000000002</c:v>
                </c:pt>
                <c:pt idx="50">
                  <c:v>0.79679999999999995</c:v>
                </c:pt>
                <c:pt idx="51">
                  <c:v>0.76180000000000003</c:v>
                </c:pt>
                <c:pt idx="52">
                  <c:v>0.79390000000000005</c:v>
                </c:pt>
                <c:pt idx="53">
                  <c:v>0.78590000000000004</c:v>
                </c:pt>
                <c:pt idx="54">
                  <c:v>0.80769999999999997</c:v>
                </c:pt>
                <c:pt idx="55">
                  <c:v>0.97060000000000002</c:v>
                </c:pt>
                <c:pt idx="56">
                  <c:v>0.98939999999999995</c:v>
                </c:pt>
                <c:pt idx="57">
                  <c:v>0.99950000000000006</c:v>
                </c:pt>
                <c:pt idx="58">
                  <c:v>1.04</c:v>
                </c:pt>
                <c:pt idx="59">
                  <c:v>1.0761000000000001</c:v>
                </c:pt>
                <c:pt idx="60">
                  <c:v>0.9405</c:v>
                </c:pt>
                <c:pt idx="61">
                  <c:v>0.99339999999999995</c:v>
                </c:pt>
                <c:pt idx="62">
                  <c:v>0.90749999999999997</c:v>
                </c:pt>
                <c:pt idx="63">
                  <c:v>1.0052000000000001</c:v>
                </c:pt>
                <c:pt idx="64">
                  <c:v>1.0164</c:v>
                </c:pt>
                <c:pt idx="65">
                  <c:v>1.0607</c:v>
                </c:pt>
                <c:pt idx="66">
                  <c:v>1.0855999999999999</c:v>
                </c:pt>
                <c:pt idx="67">
                  <c:v>1.1244000000000001</c:v>
                </c:pt>
                <c:pt idx="68">
                  <c:v>0.97650000000000003</c:v>
                </c:pt>
                <c:pt idx="69">
                  <c:v>0.9264</c:v>
                </c:pt>
                <c:pt idx="70">
                  <c:v>0.87080000000000002</c:v>
                </c:pt>
                <c:pt idx="71">
                  <c:v>0.96740000000000004</c:v>
                </c:pt>
                <c:pt idx="72">
                  <c:v>0.97160000000000002</c:v>
                </c:pt>
                <c:pt idx="73">
                  <c:v>1.0899000000000001</c:v>
                </c:pt>
                <c:pt idx="74">
                  <c:v>1.0794999999999999</c:v>
                </c:pt>
                <c:pt idx="75">
                  <c:v>1.0896999999999999</c:v>
                </c:pt>
                <c:pt idx="76">
                  <c:v>1.0610999999999999</c:v>
                </c:pt>
                <c:pt idx="77">
                  <c:v>1.099</c:v>
                </c:pt>
                <c:pt idx="78">
                  <c:v>1.0746</c:v>
                </c:pt>
                <c:pt idx="79">
                  <c:v>1.1644000000000001</c:v>
                </c:pt>
                <c:pt idx="80">
                  <c:v>1.2503</c:v>
                </c:pt>
                <c:pt idx="81">
                  <c:v>1.1237999999999999</c:v>
                </c:pt>
                <c:pt idx="82">
                  <c:v>1.1046</c:v>
                </c:pt>
                <c:pt idx="83">
                  <c:v>1.131</c:v>
                </c:pt>
                <c:pt idx="84">
                  <c:v>1.1537999999999999</c:v>
                </c:pt>
                <c:pt idx="85">
                  <c:v>1.1297999999999999</c:v>
                </c:pt>
                <c:pt idx="86">
                  <c:v>1.1359999999999999</c:v>
                </c:pt>
                <c:pt idx="87">
                  <c:v>1.1259999999999999</c:v>
                </c:pt>
                <c:pt idx="88">
                  <c:v>1.1439999999999999</c:v>
                </c:pt>
                <c:pt idx="89">
                  <c:v>1.1027</c:v>
                </c:pt>
                <c:pt idx="90">
                  <c:v>1.1552</c:v>
                </c:pt>
                <c:pt idx="91">
                  <c:v>1.1417999999999999</c:v>
                </c:pt>
                <c:pt idx="92">
                  <c:v>1.0407</c:v>
                </c:pt>
                <c:pt idx="93">
                  <c:v>1.2372000000000001</c:v>
                </c:pt>
                <c:pt idx="94">
                  <c:v>1.2677</c:v>
                </c:pt>
                <c:pt idx="95">
                  <c:v>1.2393000000000001</c:v>
                </c:pt>
                <c:pt idx="96">
                  <c:v>1.2675000000000001</c:v>
                </c:pt>
                <c:pt idx="97">
                  <c:v>1.2819</c:v>
                </c:pt>
                <c:pt idx="98">
                  <c:v>1.2616000000000001</c:v>
                </c:pt>
                <c:pt idx="99">
                  <c:v>1.2966</c:v>
                </c:pt>
                <c:pt idx="100">
                  <c:v>1.2582</c:v>
                </c:pt>
                <c:pt idx="101">
                  <c:v>1.2961</c:v>
                </c:pt>
                <c:pt idx="102">
                  <c:v>1.2285999999999999</c:v>
                </c:pt>
                <c:pt idx="103">
                  <c:v>1.2718</c:v>
                </c:pt>
                <c:pt idx="104">
                  <c:v>1.2624</c:v>
                </c:pt>
                <c:pt idx="105">
                  <c:v>1.2332000000000001</c:v>
                </c:pt>
                <c:pt idx="106">
                  <c:v>1.2151000000000001</c:v>
                </c:pt>
                <c:pt idx="107">
                  <c:v>1.2055</c:v>
                </c:pt>
                <c:pt idx="108">
                  <c:v>1.1971000000000001</c:v>
                </c:pt>
                <c:pt idx="109">
                  <c:v>1.2174</c:v>
                </c:pt>
                <c:pt idx="110">
                  <c:v>1.2624</c:v>
                </c:pt>
                <c:pt idx="111">
                  <c:v>1.2749999999999999</c:v>
                </c:pt>
                <c:pt idx="112">
                  <c:v>1.2733000000000001</c:v>
                </c:pt>
                <c:pt idx="113">
                  <c:v>1.24</c:v>
                </c:pt>
                <c:pt idx="114">
                  <c:v>1.3069999999999999</c:v>
                </c:pt>
                <c:pt idx="115">
                  <c:v>1.3205</c:v>
                </c:pt>
                <c:pt idx="116">
                  <c:v>1.2007000000000001</c:v>
                </c:pt>
                <c:pt idx="117">
                  <c:v>1.1984999999999999</c:v>
                </c:pt>
                <c:pt idx="118">
                  <c:v>1.2105999999999999</c:v>
                </c:pt>
                <c:pt idx="119">
                  <c:v>1.1237999999999999</c:v>
                </c:pt>
                <c:pt idx="120">
                  <c:v>1.1167</c:v>
                </c:pt>
                <c:pt idx="121">
                  <c:v>1.0763</c:v>
                </c:pt>
                <c:pt idx="122">
                  <c:v>1.1298999999999999</c:v>
                </c:pt>
                <c:pt idx="123">
                  <c:v>1.1895</c:v>
                </c:pt>
                <c:pt idx="124">
                  <c:v>1.1543000000000001</c:v>
                </c:pt>
                <c:pt idx="125">
                  <c:v>1.2037</c:v>
                </c:pt>
                <c:pt idx="126">
                  <c:v>1.304</c:v>
                </c:pt>
                <c:pt idx="127">
                  <c:v>1.2926</c:v>
                </c:pt>
                <c:pt idx="128">
                  <c:v>1.1378999999999999</c:v>
                </c:pt>
                <c:pt idx="129">
                  <c:v>1.3652</c:v>
                </c:pt>
                <c:pt idx="130">
                  <c:v>1.4903</c:v>
                </c:pt>
                <c:pt idx="131">
                  <c:v>1.5536000000000001</c:v>
                </c:pt>
                <c:pt idx="132">
                  <c:v>1.5203</c:v>
                </c:pt>
                <c:pt idx="133">
                  <c:v>1.6311</c:v>
                </c:pt>
                <c:pt idx="134">
                  <c:v>1.7278</c:v>
                </c:pt>
                <c:pt idx="135">
                  <c:v>1.4652000000000001</c:v>
                </c:pt>
                <c:pt idx="136">
                  <c:v>1.3455999999999999</c:v>
                </c:pt>
                <c:pt idx="137">
                  <c:v>1.4837</c:v>
                </c:pt>
                <c:pt idx="138">
                  <c:v>1.6308</c:v>
                </c:pt>
                <c:pt idx="139">
                  <c:v>1.5905</c:v>
                </c:pt>
                <c:pt idx="140">
                  <c:v>1.9238</c:v>
                </c:pt>
                <c:pt idx="141">
                  <c:v>1.4857</c:v>
                </c:pt>
                <c:pt idx="142">
                  <c:v>1.71</c:v>
                </c:pt>
                <c:pt idx="143">
                  <c:v>1.5617000000000001</c:v>
                </c:pt>
                <c:pt idx="144">
                  <c:v>1.3136000000000001</c:v>
                </c:pt>
                <c:pt idx="145">
                  <c:v>1.3105</c:v>
                </c:pt>
                <c:pt idx="146">
                  <c:v>1.3386</c:v>
                </c:pt>
                <c:pt idx="147">
                  <c:v>1.2795000000000001</c:v>
                </c:pt>
                <c:pt idx="148">
                  <c:v>1.3057000000000001</c:v>
                </c:pt>
                <c:pt idx="149">
                  <c:v>1.1514</c:v>
                </c:pt>
                <c:pt idx="150">
                  <c:v>1.1356999999999999</c:v>
                </c:pt>
                <c:pt idx="151">
                  <c:v>1.2027000000000001</c:v>
                </c:pt>
                <c:pt idx="152">
                  <c:v>1.2405999999999999</c:v>
                </c:pt>
                <c:pt idx="153">
                  <c:v>1.244</c:v>
                </c:pt>
                <c:pt idx="154">
                  <c:v>1.1873</c:v>
                </c:pt>
                <c:pt idx="155">
                  <c:v>1.302</c:v>
                </c:pt>
                <c:pt idx="156">
                  <c:v>1.2635000000000001</c:v>
                </c:pt>
                <c:pt idx="157">
                  <c:v>1.4205000000000001</c:v>
                </c:pt>
                <c:pt idx="158">
                  <c:v>1.4017999999999999</c:v>
                </c:pt>
                <c:pt idx="159">
                  <c:v>1.4155</c:v>
                </c:pt>
                <c:pt idx="160">
                  <c:v>1.4271</c:v>
                </c:pt>
                <c:pt idx="161">
                  <c:v>1.3945000000000001</c:v>
                </c:pt>
                <c:pt idx="162">
                  <c:v>1.3028999999999999</c:v>
                </c:pt>
                <c:pt idx="163">
                  <c:v>1.2637</c:v>
                </c:pt>
                <c:pt idx="164">
                  <c:v>1.3501000000000001</c:v>
                </c:pt>
                <c:pt idx="165">
                  <c:v>1.224</c:v>
                </c:pt>
                <c:pt idx="166">
                  <c:v>1.2095</c:v>
                </c:pt>
                <c:pt idx="167">
                  <c:v>1.2407999999999999</c:v>
                </c:pt>
                <c:pt idx="168">
                  <c:v>1.1856</c:v>
                </c:pt>
                <c:pt idx="169">
                  <c:v>1.0027999999999999</c:v>
                </c:pt>
                <c:pt idx="170">
                  <c:v>1.0065999999999999</c:v>
                </c:pt>
                <c:pt idx="171">
                  <c:v>1.0004</c:v>
                </c:pt>
                <c:pt idx="172">
                  <c:v>0.96309999999999996</c:v>
                </c:pt>
                <c:pt idx="173">
                  <c:v>1.0667</c:v>
                </c:pt>
                <c:pt idx="174">
                  <c:v>0.98780000000000001</c:v>
                </c:pt>
                <c:pt idx="175">
                  <c:v>0.85029999999999994</c:v>
                </c:pt>
                <c:pt idx="176">
                  <c:v>0.73050000000000004</c:v>
                </c:pt>
                <c:pt idx="177">
                  <c:v>0.71179999999999999</c:v>
                </c:pt>
                <c:pt idx="178">
                  <c:v>0.72230000000000005</c:v>
                </c:pt>
                <c:pt idx="179">
                  <c:v>0.70640000000000003</c:v>
                </c:pt>
                <c:pt idx="180">
                  <c:v>0.7208</c:v>
                </c:pt>
                <c:pt idx="181">
                  <c:v>0.71579999999999999</c:v>
                </c:pt>
                <c:pt idx="182">
                  <c:v>0.69920000000000004</c:v>
                </c:pt>
                <c:pt idx="183">
                  <c:v>0.69450000000000001</c:v>
                </c:pt>
                <c:pt idx="184">
                  <c:v>0.69820000000000004</c:v>
                </c:pt>
                <c:pt idx="185">
                  <c:v>0.69359999999999999</c:v>
                </c:pt>
                <c:pt idx="186">
                  <c:v>0.74960000000000004</c:v>
                </c:pt>
                <c:pt idx="187">
                  <c:v>0.59819999999999995</c:v>
                </c:pt>
                <c:pt idx="188">
                  <c:v>0.59519999999999995</c:v>
                </c:pt>
                <c:pt idx="189">
                  <c:v>0.53510000000000002</c:v>
                </c:pt>
                <c:pt idx="190">
                  <c:v>0.52790000000000004</c:v>
                </c:pt>
                <c:pt idx="191">
                  <c:v>0.50780000000000003</c:v>
                </c:pt>
                <c:pt idx="192">
                  <c:v>0.5111</c:v>
                </c:pt>
                <c:pt idx="193">
                  <c:v>0.5655</c:v>
                </c:pt>
                <c:pt idx="194">
                  <c:v>0.57199999999999995</c:v>
                </c:pt>
                <c:pt idx="195">
                  <c:v>0.56030000000000002</c:v>
                </c:pt>
                <c:pt idx="196">
                  <c:v>0.622</c:v>
                </c:pt>
                <c:pt idx="197">
                  <c:v>0.66820000000000002</c:v>
                </c:pt>
                <c:pt idx="198">
                  <c:v>0.72009999999999996</c:v>
                </c:pt>
                <c:pt idx="199">
                  <c:v>0.72119999999999995</c:v>
                </c:pt>
                <c:pt idx="200">
                  <c:v>0.74870000000000003</c:v>
                </c:pt>
                <c:pt idx="201">
                  <c:v>0.62</c:v>
                </c:pt>
                <c:pt idx="202">
                  <c:v>0.63759999999999994</c:v>
                </c:pt>
                <c:pt idx="203">
                  <c:v>0.5998</c:v>
                </c:pt>
                <c:pt idx="204">
                  <c:v>0.64739999999999998</c:v>
                </c:pt>
                <c:pt idx="205">
                  <c:v>0.60750000000000004</c:v>
                </c:pt>
                <c:pt idx="206">
                  <c:v>0.55769999999999997</c:v>
                </c:pt>
                <c:pt idx="207">
                  <c:v>0.58350000000000002</c:v>
                </c:pt>
                <c:pt idx="208">
                  <c:v>0.58399999999999996</c:v>
                </c:pt>
                <c:pt idx="209">
                  <c:v>0.54259999999999997</c:v>
                </c:pt>
                <c:pt idx="210">
                  <c:v>0.53180000000000005</c:v>
                </c:pt>
                <c:pt idx="211">
                  <c:v>0.55300000000000005</c:v>
                </c:pt>
                <c:pt idx="212">
                  <c:v>0.56699999999999995</c:v>
                </c:pt>
                <c:pt idx="213">
                  <c:v>0.54569999999999996</c:v>
                </c:pt>
                <c:pt idx="214">
                  <c:v>0.54490000000000005</c:v>
                </c:pt>
                <c:pt idx="215">
                  <c:v>0.48530000000000001</c:v>
                </c:pt>
                <c:pt idx="216">
                  <c:v>0.49790000000000001</c:v>
                </c:pt>
                <c:pt idx="217">
                  <c:v>0.56069999999999998</c:v>
                </c:pt>
                <c:pt idx="218">
                  <c:v>0.55779999999999996</c:v>
                </c:pt>
                <c:pt idx="219">
                  <c:v>0.49759999999999999</c:v>
                </c:pt>
                <c:pt idx="220">
                  <c:v>0.54979999999999996</c:v>
                </c:pt>
                <c:pt idx="221">
                  <c:v>0.72450000000000003</c:v>
                </c:pt>
                <c:pt idx="222">
                  <c:v>0.70320000000000005</c:v>
                </c:pt>
                <c:pt idx="223">
                  <c:v>0.69889999999999997</c:v>
                </c:pt>
                <c:pt idx="224">
                  <c:v>0.75390000000000001</c:v>
                </c:pt>
                <c:pt idx="225">
                  <c:v>0.78090000000000004</c:v>
                </c:pt>
                <c:pt idx="226">
                  <c:v>0.81069999999999998</c:v>
                </c:pt>
                <c:pt idx="227">
                  <c:v>0.90910000000000002</c:v>
                </c:pt>
                <c:pt idx="228">
                  <c:v>0.7742</c:v>
                </c:pt>
                <c:pt idx="229">
                  <c:v>0.75329999999999997</c:v>
                </c:pt>
                <c:pt idx="230">
                  <c:v>0.81599999999999995</c:v>
                </c:pt>
                <c:pt idx="231">
                  <c:v>0.83240000000000003</c:v>
                </c:pt>
                <c:pt idx="232">
                  <c:v>0.89970000000000006</c:v>
                </c:pt>
                <c:pt idx="233">
                  <c:v>0.89890000000000003</c:v>
                </c:pt>
                <c:pt idx="234">
                  <c:v>0.95730000000000004</c:v>
                </c:pt>
                <c:pt idx="235">
                  <c:v>1.0834999999999999</c:v>
                </c:pt>
                <c:pt idx="236">
                  <c:v>1.0461</c:v>
                </c:pt>
                <c:pt idx="237">
                  <c:v>1.1061000000000001</c:v>
                </c:pt>
                <c:pt idx="238">
                  <c:v>1.2577</c:v>
                </c:pt>
                <c:pt idx="239">
                  <c:v>1.1944999999999999</c:v>
                </c:pt>
                <c:pt idx="240">
                  <c:v>1.2404999999999999</c:v>
                </c:pt>
                <c:pt idx="241">
                  <c:v>1.1472</c:v>
                </c:pt>
                <c:pt idx="242">
                  <c:v>1.0943000000000001</c:v>
                </c:pt>
                <c:pt idx="243">
                  <c:v>1.0294000000000001</c:v>
                </c:pt>
                <c:pt idx="244">
                  <c:v>1.1392</c:v>
                </c:pt>
                <c:pt idx="245">
                  <c:v>1.2605999999999999</c:v>
                </c:pt>
                <c:pt idx="246">
                  <c:v>1.3207</c:v>
                </c:pt>
                <c:pt idx="247">
                  <c:v>1.1173999999999999</c:v>
                </c:pt>
                <c:pt idx="248">
                  <c:v>1.1782999999999999</c:v>
                </c:pt>
                <c:pt idx="249">
                  <c:v>0.91549999999999998</c:v>
                </c:pt>
                <c:pt idx="250">
                  <c:v>1.1355</c:v>
                </c:pt>
                <c:pt idx="251">
                  <c:v>1.2052</c:v>
                </c:pt>
                <c:pt idx="252">
                  <c:v>1.4890000000000001</c:v>
                </c:pt>
                <c:pt idx="253">
                  <c:v>1.3403</c:v>
                </c:pt>
                <c:pt idx="254">
                  <c:v>2.1139999999999999</c:v>
                </c:pt>
                <c:pt idx="255">
                  <c:v>1.8339000000000001</c:v>
                </c:pt>
                <c:pt idx="256">
                  <c:v>1.8642000000000001</c:v>
                </c:pt>
                <c:pt idx="257">
                  <c:v>1.9097999999999999</c:v>
                </c:pt>
                <c:pt idx="258">
                  <c:v>2.0947</c:v>
                </c:pt>
                <c:pt idx="259">
                  <c:v>1.9120999999999999</c:v>
                </c:pt>
                <c:pt idx="260">
                  <c:v>1.9393</c:v>
                </c:pt>
                <c:pt idx="261">
                  <c:v>2.2843</c:v>
                </c:pt>
                <c:pt idx="262">
                  <c:v>2.1507000000000001</c:v>
                </c:pt>
                <c:pt idx="263">
                  <c:v>2.4706999999999999</c:v>
                </c:pt>
                <c:pt idx="264">
                  <c:v>2.6208999999999998</c:v>
                </c:pt>
                <c:pt idx="265">
                  <c:v>2.3845999999999998</c:v>
                </c:pt>
                <c:pt idx="266">
                  <c:v>2.4218000000000002</c:v>
                </c:pt>
                <c:pt idx="267">
                  <c:v>2.6334</c:v>
                </c:pt>
                <c:pt idx="268">
                  <c:v>2.6027</c:v>
                </c:pt>
                <c:pt idx="269">
                  <c:v>3.0253000000000001</c:v>
                </c:pt>
                <c:pt idx="270">
                  <c:v>2.8262</c:v>
                </c:pt>
                <c:pt idx="271">
                  <c:v>2.7265999999999999</c:v>
                </c:pt>
                <c:pt idx="272">
                  <c:v>2.7814999999999999</c:v>
                </c:pt>
                <c:pt idx="273">
                  <c:v>3.0428000000000002</c:v>
                </c:pt>
                <c:pt idx="274">
                  <c:v>2.1</c:v>
                </c:pt>
                <c:pt idx="275">
                  <c:v>2.2149000000000001</c:v>
                </c:pt>
                <c:pt idx="276">
                  <c:v>2.0226000000000002</c:v>
                </c:pt>
                <c:pt idx="277">
                  <c:v>1.6772</c:v>
                </c:pt>
                <c:pt idx="278">
                  <c:v>1.65</c:v>
                </c:pt>
                <c:pt idx="279">
                  <c:v>1.8069999999999999</c:v>
                </c:pt>
                <c:pt idx="280">
                  <c:v>1.9514</c:v>
                </c:pt>
                <c:pt idx="281">
                  <c:v>2.1766000000000001</c:v>
                </c:pt>
                <c:pt idx="282">
                  <c:v>2.19</c:v>
                </c:pt>
                <c:pt idx="283">
                  <c:v>2.2363</c:v>
                </c:pt>
                <c:pt idx="284">
                  <c:v>2.3654000000000002</c:v>
                </c:pt>
                <c:pt idx="285">
                  <c:v>2.9064999999999999</c:v>
                </c:pt>
                <c:pt idx="286">
                  <c:v>2.9</c:v>
                </c:pt>
                <c:pt idx="287">
                  <c:v>3.0305</c:v>
                </c:pt>
                <c:pt idx="288">
                  <c:v>2.9977999999999998</c:v>
                </c:pt>
                <c:pt idx="289">
                  <c:v>3.0514999999999999</c:v>
                </c:pt>
                <c:pt idx="290">
                  <c:v>3.4634</c:v>
                </c:pt>
                <c:pt idx="291">
                  <c:v>3.4098000000000002</c:v>
                </c:pt>
                <c:pt idx="292">
                  <c:v>3.3372000000000002</c:v>
                </c:pt>
                <c:pt idx="293">
                  <c:v>3.5</c:v>
                </c:pt>
                <c:pt idx="294">
                  <c:v>3.2023000000000001</c:v>
                </c:pt>
                <c:pt idx="295">
                  <c:v>3.1076000000000001</c:v>
                </c:pt>
                <c:pt idx="296">
                  <c:v>2.8965999999999998</c:v>
                </c:pt>
                <c:pt idx="297">
                  <c:v>2.7860999999999998</c:v>
                </c:pt>
                <c:pt idx="298">
                  <c:v>2.7547000000000001</c:v>
                </c:pt>
                <c:pt idx="299">
                  <c:v>2.4489999999999998</c:v>
                </c:pt>
                <c:pt idx="300">
                  <c:v>2.6442999999999999</c:v>
                </c:pt>
                <c:pt idx="301">
                  <c:v>2.7814000000000001</c:v>
                </c:pt>
                <c:pt idx="302">
                  <c:v>2.9382000000000001</c:v>
                </c:pt>
                <c:pt idx="303">
                  <c:v>3.2553999999999998</c:v>
                </c:pt>
                <c:pt idx="304">
                  <c:v>2.9016999999999999</c:v>
                </c:pt>
                <c:pt idx="305">
                  <c:v>2.9996</c:v>
                </c:pt>
                <c:pt idx="306">
                  <c:v>2.8513000000000002</c:v>
                </c:pt>
                <c:pt idx="307">
                  <c:v>2.7972999999999999</c:v>
                </c:pt>
                <c:pt idx="308">
                  <c:v>2.3199999999999998</c:v>
                </c:pt>
                <c:pt idx="309">
                  <c:v>2.4188999999999998</c:v>
                </c:pt>
                <c:pt idx="310">
                  <c:v>2.3252999999999999</c:v>
                </c:pt>
                <c:pt idx="311">
                  <c:v>2.3611</c:v>
                </c:pt>
                <c:pt idx="312">
                  <c:v>2.5499999999999998</c:v>
                </c:pt>
                <c:pt idx="313">
                  <c:v>2.7351000000000001</c:v>
                </c:pt>
                <c:pt idx="314">
                  <c:v>2.8416000000000001</c:v>
                </c:pt>
                <c:pt idx="315">
                  <c:v>2.8298999999999999</c:v>
                </c:pt>
                <c:pt idx="316">
                  <c:v>2.5808</c:v>
                </c:pt>
                <c:pt idx="317">
                  <c:v>2.3506</c:v>
                </c:pt>
                <c:pt idx="318">
                  <c:v>2.6665999999999999</c:v>
                </c:pt>
                <c:pt idx="319">
                  <c:v>3.09</c:v>
                </c:pt>
                <c:pt idx="320">
                  <c:v>2.6301000000000001</c:v>
                </c:pt>
                <c:pt idx="321">
                  <c:v>2.0160999999999998</c:v>
                </c:pt>
                <c:pt idx="322">
                  <c:v>2.1379999999999999</c:v>
                </c:pt>
                <c:pt idx="323">
                  <c:v>2.2010999999999998</c:v>
                </c:pt>
                <c:pt idx="324">
                  <c:v>2.4352999999999998</c:v>
                </c:pt>
                <c:pt idx="325">
                  <c:v>2.2570999999999999</c:v>
                </c:pt>
                <c:pt idx="326">
                  <c:v>2.2294</c:v>
                </c:pt>
                <c:pt idx="327">
                  <c:v>2.3058999999999998</c:v>
                </c:pt>
                <c:pt idx="328">
                  <c:v>2.4365999999999999</c:v>
                </c:pt>
                <c:pt idx="329">
                  <c:v>2.5821999999999998</c:v>
                </c:pt>
                <c:pt idx="330">
                  <c:v>2.8571</c:v>
                </c:pt>
                <c:pt idx="331">
                  <c:v>2.9226999999999999</c:v>
                </c:pt>
                <c:pt idx="332">
                  <c:v>3.1398999999999999</c:v>
                </c:pt>
                <c:pt idx="333">
                  <c:v>2.548</c:v>
                </c:pt>
                <c:pt idx="334">
                  <c:v>2.6535000000000002</c:v>
                </c:pt>
                <c:pt idx="335">
                  <c:v>2.5527000000000002</c:v>
                </c:pt>
                <c:pt idx="336">
                  <c:v>2.8355999999999999</c:v>
                </c:pt>
                <c:pt idx="337">
                  <c:v>3.1190000000000002</c:v>
                </c:pt>
                <c:pt idx="338">
                  <c:v>2.9632000000000001</c:v>
                </c:pt>
                <c:pt idx="339">
                  <c:v>3.4641000000000002</c:v>
                </c:pt>
                <c:pt idx="340">
                  <c:v>3.8172999999999999</c:v>
                </c:pt>
                <c:pt idx="341">
                  <c:v>3.3384999999999998</c:v>
                </c:pt>
                <c:pt idx="342">
                  <c:v>3.8353000000000002</c:v>
                </c:pt>
                <c:pt idx="343">
                  <c:v>3.6442999999999999</c:v>
                </c:pt>
                <c:pt idx="344">
                  <c:v>4.1597</c:v>
                </c:pt>
                <c:pt idx="345">
                  <c:v>2.42</c:v>
                </c:pt>
                <c:pt idx="346">
                  <c:v>1.1928000000000001</c:v>
                </c:pt>
                <c:pt idx="347">
                  <c:v>1.3191999999999999</c:v>
                </c:pt>
                <c:pt idx="348">
                  <c:v>1.2918000000000001</c:v>
                </c:pt>
                <c:pt idx="349">
                  <c:v>1.1865000000000001</c:v>
                </c:pt>
                <c:pt idx="350">
                  <c:v>1.024</c:v>
                </c:pt>
                <c:pt idx="351">
                  <c:v>1.0051000000000001</c:v>
                </c:pt>
                <c:pt idx="352">
                  <c:v>1.0958000000000001</c:v>
                </c:pt>
                <c:pt idx="353">
                  <c:v>0.85440000000000005</c:v>
                </c:pt>
                <c:pt idx="354">
                  <c:v>0.76249999999999996</c:v>
                </c:pt>
                <c:pt idx="355">
                  <c:v>0.81659999999999999</c:v>
                </c:pt>
                <c:pt idx="356">
                  <c:v>0.81610000000000005</c:v>
                </c:pt>
                <c:pt idx="357">
                  <c:v>0.69089999999999996</c:v>
                </c:pt>
                <c:pt idx="358">
                  <c:v>0.73829999999999996</c:v>
                </c:pt>
                <c:pt idx="359">
                  <c:v>0.71319999999999995</c:v>
                </c:pt>
                <c:pt idx="360">
                  <c:v>0.69520000000000004</c:v>
                </c:pt>
                <c:pt idx="361">
                  <c:v>0.71099999999999997</c:v>
                </c:pt>
                <c:pt idx="362">
                  <c:v>0.6804</c:v>
                </c:pt>
                <c:pt idx="363">
                  <c:v>0.69830000000000003</c:v>
                </c:pt>
                <c:pt idx="364">
                  <c:v>0.71030000000000004</c:v>
                </c:pt>
                <c:pt idx="365">
                  <c:v>0.59379999999999999</c:v>
                </c:pt>
                <c:pt idx="366">
                  <c:v>0.61719999999999997</c:v>
                </c:pt>
                <c:pt idx="367">
                  <c:v>0.69430000000000003</c:v>
                </c:pt>
                <c:pt idx="368">
                  <c:v>0.77080000000000004</c:v>
                </c:pt>
                <c:pt idx="369">
                  <c:v>0.65749999999999997</c:v>
                </c:pt>
                <c:pt idx="370">
                  <c:v>0.64570000000000005</c:v>
                </c:pt>
                <c:pt idx="371">
                  <c:v>0.67869999999999997</c:v>
                </c:pt>
                <c:pt idx="372">
                  <c:v>0.63439999999999996</c:v>
                </c:pt>
                <c:pt idx="373">
                  <c:v>0.66469999999999996</c:v>
                </c:pt>
                <c:pt idx="374">
                  <c:v>0.62739999999999996</c:v>
                </c:pt>
                <c:pt idx="375">
                  <c:v>0.51400000000000001</c:v>
                </c:pt>
                <c:pt idx="376">
                  <c:v>0.51</c:v>
                </c:pt>
                <c:pt idx="377">
                  <c:v>0.50309999999999999</c:v>
                </c:pt>
                <c:pt idx="378">
                  <c:v>0.497</c:v>
                </c:pt>
                <c:pt idx="379">
                  <c:v>0.48599999999999999</c:v>
                </c:pt>
                <c:pt idx="380">
                  <c:v>0.4143</c:v>
                </c:pt>
                <c:pt idx="381">
                  <c:v>0.31569999999999998</c:v>
                </c:pt>
                <c:pt idx="382">
                  <c:v>0.34820000000000001</c:v>
                </c:pt>
                <c:pt idx="383">
                  <c:v>0.36480000000000001</c:v>
                </c:pt>
                <c:pt idx="384">
                  <c:v>0.36520000000000002</c:v>
                </c:pt>
                <c:pt idx="385">
                  <c:v>0.33210000000000001</c:v>
                </c:pt>
                <c:pt idx="386">
                  <c:v>0.32300000000000001</c:v>
                </c:pt>
                <c:pt idx="387">
                  <c:v>0.34499999999999997</c:v>
                </c:pt>
                <c:pt idx="388">
                  <c:v>0.35160000000000002</c:v>
                </c:pt>
                <c:pt idx="389">
                  <c:v>0.32319999999999999</c:v>
                </c:pt>
                <c:pt idx="390">
                  <c:v>0.28170000000000001</c:v>
                </c:pt>
                <c:pt idx="391">
                  <c:v>0.27900000000000003</c:v>
                </c:pt>
                <c:pt idx="392">
                  <c:v>0.25659999999999999</c:v>
                </c:pt>
                <c:pt idx="393">
                  <c:v>0.25600000000000001</c:v>
                </c:pt>
                <c:pt idx="394">
                  <c:v>0.26250000000000001</c:v>
                </c:pt>
                <c:pt idx="395">
                  <c:v>0.29060000000000002</c:v>
                </c:pt>
                <c:pt idx="396">
                  <c:v>0.27029999999999998</c:v>
                </c:pt>
                <c:pt idx="397">
                  <c:v>0.27379999999999999</c:v>
                </c:pt>
                <c:pt idx="398">
                  <c:v>0.27339999999999998</c:v>
                </c:pt>
                <c:pt idx="399">
                  <c:v>0.28260000000000002</c:v>
                </c:pt>
                <c:pt idx="400">
                  <c:v>0.27339999999999998</c:v>
                </c:pt>
                <c:pt idx="401">
                  <c:v>0.31259999999999999</c:v>
                </c:pt>
                <c:pt idx="402">
                  <c:v>0.33200000000000002</c:v>
                </c:pt>
                <c:pt idx="403">
                  <c:v>0.30520000000000003</c:v>
                </c:pt>
                <c:pt idx="404">
                  <c:v>0.3286</c:v>
                </c:pt>
                <c:pt idx="405">
                  <c:v>0.32950000000000002</c:v>
                </c:pt>
                <c:pt idx="406">
                  <c:v>0.33350000000000002</c:v>
                </c:pt>
                <c:pt idx="407">
                  <c:v>0.35310000000000002</c:v>
                </c:pt>
                <c:pt idx="408">
                  <c:v>0.33850000000000002</c:v>
                </c:pt>
                <c:pt idx="409">
                  <c:v>0.36849999999999999</c:v>
                </c:pt>
                <c:pt idx="410">
                  <c:v>0.41089999999999999</c:v>
                </c:pt>
                <c:pt idx="411">
                  <c:v>0.35970000000000002</c:v>
                </c:pt>
                <c:pt idx="412">
                  <c:v>0.3493</c:v>
                </c:pt>
                <c:pt idx="413">
                  <c:v>0.4158</c:v>
                </c:pt>
                <c:pt idx="414">
                  <c:v>0.46889999999999998</c:v>
                </c:pt>
                <c:pt idx="415">
                  <c:v>0.40450000000000003</c:v>
                </c:pt>
                <c:pt idx="416">
                  <c:v>0.38890000000000002</c:v>
                </c:pt>
                <c:pt idx="417">
                  <c:v>0.38319999999999999</c:v>
                </c:pt>
                <c:pt idx="418">
                  <c:v>0.36130000000000001</c:v>
                </c:pt>
                <c:pt idx="419">
                  <c:v>0.33950000000000002</c:v>
                </c:pt>
                <c:pt idx="420">
                  <c:v>0.35189999999999999</c:v>
                </c:pt>
                <c:pt idx="421">
                  <c:v>0.3286</c:v>
                </c:pt>
                <c:pt idx="422">
                  <c:v>0.30840000000000001</c:v>
                </c:pt>
                <c:pt idx="423">
                  <c:v>0.31859999999999999</c:v>
                </c:pt>
                <c:pt idx="424">
                  <c:v>0.34939999999999999</c:v>
                </c:pt>
                <c:pt idx="425">
                  <c:v>0.38300000000000001</c:v>
                </c:pt>
                <c:pt idx="426">
                  <c:v>0.29859999999999998</c:v>
                </c:pt>
                <c:pt idx="427">
                  <c:v>0.2838</c:v>
                </c:pt>
                <c:pt idx="428">
                  <c:v>0.3145</c:v>
                </c:pt>
                <c:pt idx="429">
                  <c:v>0.35560000000000003</c:v>
                </c:pt>
                <c:pt idx="430">
                  <c:v>0.39879999999999999</c:v>
                </c:pt>
                <c:pt idx="431">
                  <c:v>0.41</c:v>
                </c:pt>
                <c:pt idx="432">
                  <c:v>0.33360000000000001</c:v>
                </c:pt>
                <c:pt idx="433">
                  <c:v>0.27710000000000001</c:v>
                </c:pt>
                <c:pt idx="434">
                  <c:v>0.27779999999999999</c:v>
                </c:pt>
                <c:pt idx="435">
                  <c:v>0.26790000000000003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8-4D6B-8D98-BE1C77331FC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-3.3606489066571341</c:v>
                </c:pt>
                <c:pt idx="1">
                  <c:v>-3.3302119357074131</c:v>
                </c:pt>
                <c:pt idx="2">
                  <c:v>-3.1961926723807594</c:v>
                </c:pt>
                <c:pt idx="3">
                  <c:v>-3.1895956166800472</c:v>
                </c:pt>
                <c:pt idx="4">
                  <c:v>-3.1982536831620414</c:v>
                </c:pt>
                <c:pt idx="5">
                  <c:v>-3.1777280932196788</c:v>
                </c:pt>
                <c:pt idx="6">
                  <c:v>-3.1730576350883655</c:v>
                </c:pt>
                <c:pt idx="7">
                  <c:v>-3.1560744374413061</c:v>
                </c:pt>
                <c:pt idx="8">
                  <c:v>-3.1456023908638682</c:v>
                </c:pt>
                <c:pt idx="9">
                  <c:v>-3.143228705149582</c:v>
                </c:pt>
                <c:pt idx="10">
                  <c:v>-3.1420491613412285</c:v>
                </c:pt>
                <c:pt idx="11">
                  <c:v>-3.1363877468523396</c:v>
                </c:pt>
                <c:pt idx="12">
                  <c:v>-3.1352465743298166</c:v>
                </c:pt>
                <c:pt idx="13">
                  <c:v>-3.1376009915336085</c:v>
                </c:pt>
                <c:pt idx="14">
                  <c:v>-3.1457843744932497</c:v>
                </c:pt>
                <c:pt idx="15">
                  <c:v>-3.0992497940665831</c:v>
                </c:pt>
                <c:pt idx="16">
                  <c:v>-3.1096679284751847</c:v>
                </c:pt>
                <c:pt idx="17">
                  <c:v>-3.1149017453343077</c:v>
                </c:pt>
                <c:pt idx="18">
                  <c:v>-3.1101154762634029</c:v>
                </c:pt>
                <c:pt idx="19">
                  <c:v>-3.0942562599120516</c:v>
                </c:pt>
                <c:pt idx="20">
                  <c:v>-3.088641573310873</c:v>
                </c:pt>
                <c:pt idx="21">
                  <c:v>-3.0825016460906562</c:v>
                </c:pt>
                <c:pt idx="22">
                  <c:v>-3.0903018930741273</c:v>
                </c:pt>
                <c:pt idx="23">
                  <c:v>-3.0763404662505978</c:v>
                </c:pt>
                <c:pt idx="24">
                  <c:v>-2.9627177686966406</c:v>
                </c:pt>
                <c:pt idx="25">
                  <c:v>-2.9568700614352297</c:v>
                </c:pt>
                <c:pt idx="26">
                  <c:v>-2.9510843128638014</c:v>
                </c:pt>
                <c:pt idx="27">
                  <c:v>-2.9663213234867523</c:v>
                </c:pt>
                <c:pt idx="28">
                  <c:v>-2.9586014559918437</c:v>
                </c:pt>
                <c:pt idx="29">
                  <c:v>-2.9498317883209575</c:v>
                </c:pt>
                <c:pt idx="30">
                  <c:v>-2.9341883601741037</c:v>
                </c:pt>
                <c:pt idx="31">
                  <c:v>-2.8922452646591537</c:v>
                </c:pt>
                <c:pt idx="32">
                  <c:v>-2.7746704231890496</c:v>
                </c:pt>
                <c:pt idx="33">
                  <c:v>-2.7770357036459021</c:v>
                </c:pt>
                <c:pt idx="34">
                  <c:v>-2.7556478473778609</c:v>
                </c:pt>
                <c:pt idx="35">
                  <c:v>-2.7694707357308026</c:v>
                </c:pt>
                <c:pt idx="36">
                  <c:v>-2.7945352420465923</c:v>
                </c:pt>
                <c:pt idx="37">
                  <c:v>-2.7797885395383419</c:v>
                </c:pt>
                <c:pt idx="38">
                  <c:v>-2.7868265413246012</c:v>
                </c:pt>
                <c:pt idx="39">
                  <c:v>-2.7298293182952853</c:v>
                </c:pt>
                <c:pt idx="40">
                  <c:v>-2.6884742055228883</c:v>
                </c:pt>
                <c:pt idx="41">
                  <c:v>-2.6649149172479212</c:v>
                </c:pt>
                <c:pt idx="42">
                  <c:v>-2.637680919555613</c:v>
                </c:pt>
                <c:pt idx="43">
                  <c:v>-2.618354540925476</c:v>
                </c:pt>
                <c:pt idx="44">
                  <c:v>-2.6478240519144869</c:v>
                </c:pt>
                <c:pt idx="45">
                  <c:v>-2.6704964990456346</c:v>
                </c:pt>
                <c:pt idx="46">
                  <c:v>-2.65571519790026</c:v>
                </c:pt>
                <c:pt idx="47">
                  <c:v>-2.6650785169700275</c:v>
                </c:pt>
                <c:pt idx="48">
                  <c:v>-2.6673708732490971</c:v>
                </c:pt>
                <c:pt idx="49">
                  <c:v>-2.6279379814280777</c:v>
                </c:pt>
                <c:pt idx="50">
                  <c:v>-2.5645410035220113</c:v>
                </c:pt>
                <c:pt idx="51">
                  <c:v>-2.5689169416111084</c:v>
                </c:pt>
                <c:pt idx="52">
                  <c:v>-2.5475248024806736</c:v>
                </c:pt>
                <c:pt idx="53">
                  <c:v>-2.5715254484651009</c:v>
                </c:pt>
                <c:pt idx="54">
                  <c:v>-2.5566982746346918</c:v>
                </c:pt>
                <c:pt idx="55">
                  <c:v>-2.5568446315393802</c:v>
                </c:pt>
                <c:pt idx="56">
                  <c:v>-2.5332131590937843</c:v>
                </c:pt>
                <c:pt idx="57">
                  <c:v>-2.5437629768507937</c:v>
                </c:pt>
                <c:pt idx="58">
                  <c:v>-2.5374159970244907</c:v>
                </c:pt>
                <c:pt idx="59">
                  <c:v>-2.4511956679477391</c:v>
                </c:pt>
                <c:pt idx="60">
                  <c:v>-2.4299127458009608</c:v>
                </c:pt>
                <c:pt idx="61">
                  <c:v>-2.4337309021336258</c:v>
                </c:pt>
                <c:pt idx="62">
                  <c:v>-2.4448358112772728</c:v>
                </c:pt>
                <c:pt idx="63">
                  <c:v>-2.4342238634428779</c:v>
                </c:pt>
                <c:pt idx="64">
                  <c:v>-2.4296736759960691</c:v>
                </c:pt>
                <c:pt idx="65">
                  <c:v>-2.4205564221773472</c:v>
                </c:pt>
                <c:pt idx="66">
                  <c:v>-2.3912180346163714</c:v>
                </c:pt>
                <c:pt idx="67">
                  <c:v>-2.1795937530942426</c:v>
                </c:pt>
                <c:pt idx="68">
                  <c:v>-2.070966072108702</c:v>
                </c:pt>
                <c:pt idx="69">
                  <c:v>-2.082639238339639</c:v>
                </c:pt>
                <c:pt idx="70">
                  <c:v>-2.0920303689970785</c:v>
                </c:pt>
                <c:pt idx="71">
                  <c:v>-2.0811747728455408</c:v>
                </c:pt>
                <c:pt idx="72">
                  <c:v>-2.0843150754381332</c:v>
                </c:pt>
                <c:pt idx="73">
                  <c:v>-2.0719040082381328</c:v>
                </c:pt>
                <c:pt idx="74">
                  <c:v>-2.0555051476690274</c:v>
                </c:pt>
                <c:pt idx="75">
                  <c:v>-2.0457663110113455</c:v>
                </c:pt>
                <c:pt idx="76">
                  <c:v>-2.0465111527707953</c:v>
                </c:pt>
                <c:pt idx="77">
                  <c:v>-2.0384100133408665</c:v>
                </c:pt>
                <c:pt idx="78">
                  <c:v>-2.0428953713851468</c:v>
                </c:pt>
                <c:pt idx="79">
                  <c:v>-2.0350458896296613</c:v>
                </c:pt>
                <c:pt idx="80">
                  <c:v>-2.026660822302075</c:v>
                </c:pt>
                <c:pt idx="81">
                  <c:v>-2.0443976555566907</c:v>
                </c:pt>
                <c:pt idx="82">
                  <c:v>-2.0432271295451296</c:v>
                </c:pt>
                <c:pt idx="83">
                  <c:v>-2.0408048068424272</c:v>
                </c:pt>
                <c:pt idx="84">
                  <c:v>-2.0395441671475121</c:v>
                </c:pt>
                <c:pt idx="85">
                  <c:v>-2.0530290473401047</c:v>
                </c:pt>
                <c:pt idx="86">
                  <c:v>-2.050615275832858</c:v>
                </c:pt>
                <c:pt idx="87">
                  <c:v>-2.0444155344698172</c:v>
                </c:pt>
                <c:pt idx="88">
                  <c:v>-2.0286066579480782</c:v>
                </c:pt>
                <c:pt idx="89">
                  <c:v>-2.0359527013475818</c:v>
                </c:pt>
                <c:pt idx="90">
                  <c:v>-2.0298112963768218</c:v>
                </c:pt>
                <c:pt idx="91">
                  <c:v>-2.0335003089673509</c:v>
                </c:pt>
                <c:pt idx="92">
                  <c:v>-2.0283897610343207</c:v>
                </c:pt>
                <c:pt idx="93">
                  <c:v>-2.0227348167062753</c:v>
                </c:pt>
                <c:pt idx="94">
                  <c:v>-2.0169244684084031</c:v>
                </c:pt>
                <c:pt idx="95">
                  <c:v>-2.0168424894355188</c:v>
                </c:pt>
                <c:pt idx="96">
                  <c:v>-2.0105555306882188</c:v>
                </c:pt>
                <c:pt idx="97">
                  <c:v>-2.0069563769775267</c:v>
                </c:pt>
                <c:pt idx="98">
                  <c:v>-2.0001256598839308</c:v>
                </c:pt>
                <c:pt idx="99">
                  <c:v>-1.9884082178349733</c:v>
                </c:pt>
                <c:pt idx="100">
                  <c:v>-1.9975911783918177</c:v>
                </c:pt>
                <c:pt idx="101">
                  <c:v>-1.9921064960445123</c:v>
                </c:pt>
                <c:pt idx="102">
                  <c:v>-1.9946037721669614</c:v>
                </c:pt>
                <c:pt idx="103">
                  <c:v>-1.9831959671536281</c:v>
                </c:pt>
                <c:pt idx="104">
                  <c:v>-1.9565482810919224</c:v>
                </c:pt>
                <c:pt idx="105">
                  <c:v>-1.9598923965757931</c:v>
                </c:pt>
                <c:pt idx="106">
                  <c:v>-1.9564961057225938</c:v>
                </c:pt>
                <c:pt idx="107">
                  <c:v>-1.9499276856491992</c:v>
                </c:pt>
                <c:pt idx="108">
                  <c:v>-1.9387884506491992</c:v>
                </c:pt>
                <c:pt idx="109">
                  <c:v>-1.9357992976441059</c:v>
                </c:pt>
                <c:pt idx="110">
                  <c:v>-1.9299177699604901</c:v>
                </c:pt>
                <c:pt idx="111">
                  <c:v>-1.9259807096156627</c:v>
                </c:pt>
                <c:pt idx="112">
                  <c:v>-1.9200689803848934</c:v>
                </c:pt>
                <c:pt idx="113">
                  <c:v>-1.9228435273856828</c:v>
                </c:pt>
                <c:pt idx="114">
                  <c:v>-1.9185102303655486</c:v>
                </c:pt>
                <c:pt idx="115">
                  <c:v>-1.9124200014062425</c:v>
                </c:pt>
                <c:pt idx="116">
                  <c:v>-1.8842605556370116</c:v>
                </c:pt>
                <c:pt idx="117">
                  <c:v>-1.8786251984941547</c:v>
                </c:pt>
                <c:pt idx="118">
                  <c:v>-1.8566386254293559</c:v>
                </c:pt>
                <c:pt idx="119">
                  <c:v>-1.8815861760924859</c:v>
                </c:pt>
                <c:pt idx="120">
                  <c:v>-1.8908995585808217</c:v>
                </c:pt>
                <c:pt idx="121">
                  <c:v>-1.8749834154570124</c:v>
                </c:pt>
                <c:pt idx="122">
                  <c:v>-1.8463215094978289</c:v>
                </c:pt>
                <c:pt idx="123">
                  <c:v>-1.8011669255566523</c:v>
                </c:pt>
                <c:pt idx="124">
                  <c:v>-1.8354603053134591</c:v>
                </c:pt>
                <c:pt idx="125">
                  <c:v>-1.8247436602830331</c:v>
                </c:pt>
                <c:pt idx="126">
                  <c:v>-1.8014799786514901</c:v>
                </c:pt>
                <c:pt idx="127">
                  <c:v>-1.8153822266175919</c:v>
                </c:pt>
                <c:pt idx="128">
                  <c:v>-1.8521115346557391</c:v>
                </c:pt>
                <c:pt idx="129">
                  <c:v>-1.7625325967102732</c:v>
                </c:pt>
                <c:pt idx="130">
                  <c:v>-1.7501340360439894</c:v>
                </c:pt>
                <c:pt idx="131">
                  <c:v>-1.7389923437482024</c:v>
                </c:pt>
                <c:pt idx="132">
                  <c:v>-1.7008371646521576</c:v>
                </c:pt>
                <c:pt idx="133">
                  <c:v>-1.6978704618873599</c:v>
                </c:pt>
                <c:pt idx="134">
                  <c:v>-1.655549735890655</c:v>
                </c:pt>
                <c:pt idx="135">
                  <c:v>-1.5965228417582418</c:v>
                </c:pt>
                <c:pt idx="136">
                  <c:v>-1.5745587401723533</c:v>
                </c:pt>
                <c:pt idx="137">
                  <c:v>-1.5582396083887624</c:v>
                </c:pt>
                <c:pt idx="138">
                  <c:v>-1.5390596625266937</c:v>
                </c:pt>
                <c:pt idx="139">
                  <c:v>-1.5041204450347323</c:v>
                </c:pt>
                <c:pt idx="140">
                  <c:v>-1.3819261617450738</c:v>
                </c:pt>
                <c:pt idx="141">
                  <c:v>-1.4459999786201485</c:v>
                </c:pt>
                <c:pt idx="142">
                  <c:v>-1.3393079564202541</c:v>
                </c:pt>
                <c:pt idx="143">
                  <c:v>-1.3634398845241726</c:v>
                </c:pt>
                <c:pt idx="144">
                  <c:v>-1.4053979994200569</c:v>
                </c:pt>
                <c:pt idx="145">
                  <c:v>-1.4032781121520832</c:v>
                </c:pt>
                <c:pt idx="146">
                  <c:v>-1.4028355378852402</c:v>
                </c:pt>
                <c:pt idx="147">
                  <c:v>-1.4028675437930753</c:v>
                </c:pt>
                <c:pt idx="148">
                  <c:v>-1.3904962272500891</c:v>
                </c:pt>
                <c:pt idx="149">
                  <c:v>-1.4255926949924795</c:v>
                </c:pt>
                <c:pt idx="150">
                  <c:v>-1.4133318556019494</c:v>
                </c:pt>
                <c:pt idx="151">
                  <c:v>-1.3961171982537688</c:v>
                </c:pt>
                <c:pt idx="152">
                  <c:v>-1.3881008647495972</c:v>
                </c:pt>
                <c:pt idx="153">
                  <c:v>-1.3830509950499674</c:v>
                </c:pt>
                <c:pt idx="154">
                  <c:v>-1.3951176160030925</c:v>
                </c:pt>
                <c:pt idx="155">
                  <c:v>-1.3766237359271902</c:v>
                </c:pt>
                <c:pt idx="156">
                  <c:v>-1.4095296225271903</c:v>
                </c:pt>
                <c:pt idx="157">
                  <c:v>-1.3941770619714313</c:v>
                </c:pt>
                <c:pt idx="158">
                  <c:v>-1.4011112443514315</c:v>
                </c:pt>
                <c:pt idx="159">
                  <c:v>-1.3994118825008981</c:v>
                </c:pt>
                <c:pt idx="160">
                  <c:v>-1.3892351626387396</c:v>
                </c:pt>
                <c:pt idx="161">
                  <c:v>-1.4001159579292635</c:v>
                </c:pt>
                <c:pt idx="162">
                  <c:v>-1.4352149521292634</c:v>
                </c:pt>
                <c:pt idx="163">
                  <c:v>-1.4179483539343221</c:v>
                </c:pt>
                <c:pt idx="164">
                  <c:v>-1.3033517855923284</c:v>
                </c:pt>
                <c:pt idx="165">
                  <c:v>-1.2926222160563654</c:v>
                </c:pt>
                <c:pt idx="166">
                  <c:v>-1.2903605435644581</c:v>
                </c:pt>
                <c:pt idx="167">
                  <c:v>-1.2955945222163736</c:v>
                </c:pt>
                <c:pt idx="168">
                  <c:v>-1.274263276902166</c:v>
                </c:pt>
                <c:pt idx="169">
                  <c:v>-1.3370084221728424</c:v>
                </c:pt>
                <c:pt idx="170">
                  <c:v>-1.2995655778604085</c:v>
                </c:pt>
                <c:pt idx="171">
                  <c:v>-1.2984337093521732</c:v>
                </c:pt>
                <c:pt idx="172">
                  <c:v>-1.3045559855296522</c:v>
                </c:pt>
                <c:pt idx="173">
                  <c:v>-1.2582917622211165</c:v>
                </c:pt>
                <c:pt idx="174">
                  <c:v>-1.0876590289992469</c:v>
                </c:pt>
                <c:pt idx="175">
                  <c:v>-1.0671929259254236</c:v>
                </c:pt>
                <c:pt idx="176">
                  <c:v>-1.1978334072313059</c:v>
                </c:pt>
                <c:pt idx="177">
                  <c:v>-1.1951342310563062</c:v>
                </c:pt>
                <c:pt idx="178">
                  <c:v>-1.1959468781138223</c:v>
                </c:pt>
                <c:pt idx="179">
                  <c:v>-1.1633210471099913</c:v>
                </c:pt>
                <c:pt idx="180">
                  <c:v>-1.1390008281401423</c:v>
                </c:pt>
                <c:pt idx="181">
                  <c:v>-1.1488850106510766</c:v>
                </c:pt>
                <c:pt idx="182">
                  <c:v>-1.1676744666500238</c:v>
                </c:pt>
                <c:pt idx="183">
                  <c:v>-1.1766319850995843</c:v>
                </c:pt>
                <c:pt idx="184">
                  <c:v>-1.1569628132066268</c:v>
                </c:pt>
                <c:pt idx="185">
                  <c:v>-1.1792094621062967</c:v>
                </c:pt>
                <c:pt idx="186">
                  <c:v>-1.0836159893928543</c:v>
                </c:pt>
                <c:pt idx="187">
                  <c:v>-1.1438517509404735</c:v>
                </c:pt>
                <c:pt idx="188">
                  <c:v>-1.1340887578946903</c:v>
                </c:pt>
                <c:pt idx="189">
                  <c:v>-1.1851627896729811</c:v>
                </c:pt>
                <c:pt idx="190">
                  <c:v>-1.1950682952425784</c:v>
                </c:pt>
                <c:pt idx="191">
                  <c:v>-1.1986268709086993</c:v>
                </c:pt>
                <c:pt idx="192">
                  <c:v>-1.2103419729731486</c:v>
                </c:pt>
                <c:pt idx="193">
                  <c:v>-1.1826803903193108</c:v>
                </c:pt>
                <c:pt idx="194">
                  <c:v>-1.1776583997134284</c:v>
                </c:pt>
                <c:pt idx="195">
                  <c:v>-1.1860658037134284</c:v>
                </c:pt>
                <c:pt idx="196">
                  <c:v>-1.1629225580852369</c:v>
                </c:pt>
                <c:pt idx="197">
                  <c:v>-1.1386950800993227</c:v>
                </c:pt>
                <c:pt idx="198">
                  <c:v>-1.1183844823681399</c:v>
                </c:pt>
                <c:pt idx="199">
                  <c:v>-1.0903157109559347</c:v>
                </c:pt>
                <c:pt idx="200">
                  <c:v>-1.0536505548312287</c:v>
                </c:pt>
                <c:pt idx="201">
                  <c:v>-1.1136224580875997</c:v>
                </c:pt>
                <c:pt idx="202">
                  <c:v>-1.0999739207499057</c:v>
                </c:pt>
                <c:pt idx="203">
                  <c:v>-1.1303928693856546</c:v>
                </c:pt>
                <c:pt idx="204">
                  <c:v>-0.98452131895208839</c:v>
                </c:pt>
                <c:pt idx="205">
                  <c:v>-0.93123296892918961</c:v>
                </c:pt>
                <c:pt idx="206">
                  <c:v>-0.95227149311879256</c:v>
                </c:pt>
                <c:pt idx="207">
                  <c:v>-0.94563080680381462</c:v>
                </c:pt>
                <c:pt idx="208">
                  <c:v>-0.95815482256966833</c:v>
                </c:pt>
                <c:pt idx="209">
                  <c:v>-0.97292795903350826</c:v>
                </c:pt>
                <c:pt idx="210">
                  <c:v>-0.97962885915255593</c:v>
                </c:pt>
                <c:pt idx="211">
                  <c:v>-0.97478850641661396</c:v>
                </c:pt>
                <c:pt idx="212">
                  <c:v>-0.99139312281583114</c:v>
                </c:pt>
                <c:pt idx="213">
                  <c:v>-0.99052570617297397</c:v>
                </c:pt>
                <c:pt idx="214">
                  <c:v>-1.0088688703022046</c:v>
                </c:pt>
                <c:pt idx="215">
                  <c:v>-1.0181135829167207</c:v>
                </c:pt>
                <c:pt idx="216">
                  <c:v>-1.0157659469167206</c:v>
                </c:pt>
                <c:pt idx="217">
                  <c:v>-0.98795109517345037</c:v>
                </c:pt>
                <c:pt idx="218">
                  <c:v>-0.9918601852822222</c:v>
                </c:pt>
                <c:pt idx="219">
                  <c:v>-1.0054103891112292</c:v>
                </c:pt>
                <c:pt idx="220">
                  <c:v>-0.98579281879113934</c:v>
                </c:pt>
                <c:pt idx="221">
                  <c:v>-0.87950559508857151</c:v>
                </c:pt>
                <c:pt idx="222">
                  <c:v>-0.89780786430816084</c:v>
                </c:pt>
                <c:pt idx="223">
                  <c:v>-0.89608098021652904</c:v>
                </c:pt>
                <c:pt idx="224">
                  <c:v>-0.87752204797728173</c:v>
                </c:pt>
                <c:pt idx="225">
                  <c:v>-0.86096182952578315</c:v>
                </c:pt>
                <c:pt idx="226">
                  <c:v>-0.84761848645349414</c:v>
                </c:pt>
                <c:pt idx="227">
                  <c:v>-0.781914759193862</c:v>
                </c:pt>
                <c:pt idx="228">
                  <c:v>-0.70377943804169962</c:v>
                </c:pt>
                <c:pt idx="229">
                  <c:v>-0.72011524629286738</c:v>
                </c:pt>
                <c:pt idx="230">
                  <c:v>-0.71391299408081788</c:v>
                </c:pt>
                <c:pt idx="231">
                  <c:v>-0.69838937595642758</c:v>
                </c:pt>
                <c:pt idx="232">
                  <c:v>-0.68577082135188216</c:v>
                </c:pt>
                <c:pt idx="233">
                  <c:v>-0.69194865423168772</c:v>
                </c:pt>
                <c:pt idx="234">
                  <c:v>-0.68991467318332944</c:v>
                </c:pt>
                <c:pt idx="235">
                  <c:v>-0.66588777513113795</c:v>
                </c:pt>
                <c:pt idx="236">
                  <c:v>-0.68026370448692741</c:v>
                </c:pt>
                <c:pt idx="237">
                  <c:v>-0.67006844006750477</c:v>
                </c:pt>
                <c:pt idx="238">
                  <c:v>-0.6575210331266107</c:v>
                </c:pt>
                <c:pt idx="239">
                  <c:v>-0.66545515840149783</c:v>
                </c:pt>
                <c:pt idx="240">
                  <c:v>-0.66570747565791721</c:v>
                </c:pt>
                <c:pt idx="241">
                  <c:v>-0.67620377512462038</c:v>
                </c:pt>
                <c:pt idx="242">
                  <c:v>-0.69368626075826523</c:v>
                </c:pt>
                <c:pt idx="243">
                  <c:v>-0.70434336911138551</c:v>
                </c:pt>
                <c:pt idx="244">
                  <c:v>-0.68607961861205125</c:v>
                </c:pt>
                <c:pt idx="245">
                  <c:v>-0.67953872305174978</c:v>
                </c:pt>
                <c:pt idx="246">
                  <c:v>-0.66825773029249935</c:v>
                </c:pt>
                <c:pt idx="247">
                  <c:v>-0.70253671099589587</c:v>
                </c:pt>
                <c:pt idx="248">
                  <c:v>-0.69779001354329995</c:v>
                </c:pt>
                <c:pt idx="249">
                  <c:v>-0.73658235661980531</c:v>
                </c:pt>
                <c:pt idx="250">
                  <c:v>-0.72135100950468889</c:v>
                </c:pt>
                <c:pt idx="251">
                  <c:v>-0.70853227742700986</c:v>
                </c:pt>
                <c:pt idx="252">
                  <c:v>-0.68928701223486732</c:v>
                </c:pt>
                <c:pt idx="253">
                  <c:v>-0.71799854580462119</c:v>
                </c:pt>
                <c:pt idx="254">
                  <c:v>-0.67332919986802897</c:v>
                </c:pt>
                <c:pt idx="255">
                  <c:v>-0.69963075524475316</c:v>
                </c:pt>
                <c:pt idx="256">
                  <c:v>-0.69014373649263783</c:v>
                </c:pt>
                <c:pt idx="257">
                  <c:v>-0.68093389847817998</c:v>
                </c:pt>
                <c:pt idx="258">
                  <c:v>-0.6651201364726107</c:v>
                </c:pt>
                <c:pt idx="259">
                  <c:v>-0.6718703654137872</c:v>
                </c:pt>
                <c:pt idx="260">
                  <c:v>-0.67064287972120762</c:v>
                </c:pt>
                <c:pt idx="261">
                  <c:v>-0.64982780165364684</c:v>
                </c:pt>
                <c:pt idx="262">
                  <c:v>-0.67028895731468785</c:v>
                </c:pt>
                <c:pt idx="263">
                  <c:v>-0.65471425215508794</c:v>
                </c:pt>
                <c:pt idx="264">
                  <c:v>-0.63635442074671722</c:v>
                </c:pt>
                <c:pt idx="265">
                  <c:v>-0.64657244829442995</c:v>
                </c:pt>
                <c:pt idx="266">
                  <c:v>-0.63073717762002568</c:v>
                </c:pt>
                <c:pt idx="267">
                  <c:v>-0.61229978151739417</c:v>
                </c:pt>
                <c:pt idx="268">
                  <c:v>-0.61397094056130774</c:v>
                </c:pt>
                <c:pt idx="269">
                  <c:v>-0.58663553731557261</c:v>
                </c:pt>
                <c:pt idx="270">
                  <c:v>-0.58790618966344255</c:v>
                </c:pt>
                <c:pt idx="271">
                  <c:v>-0.60300926516595099</c:v>
                </c:pt>
                <c:pt idx="272">
                  <c:v>-0.61509097919905442</c:v>
                </c:pt>
                <c:pt idx="273">
                  <c:v>-0.60546136809490347</c:v>
                </c:pt>
                <c:pt idx="274">
                  <c:v>-0.67122230288568785</c:v>
                </c:pt>
                <c:pt idx="275">
                  <c:v>-0.66366397750246209</c:v>
                </c:pt>
                <c:pt idx="276">
                  <c:v>-0.67095235166708278</c:v>
                </c:pt>
                <c:pt idx="277">
                  <c:v>-0.68474811615951658</c:v>
                </c:pt>
                <c:pt idx="278">
                  <c:v>-0.68101638563481537</c:v>
                </c:pt>
                <c:pt idx="279">
                  <c:v>-0.67108492762413574</c:v>
                </c:pt>
                <c:pt idx="280">
                  <c:v>-0.67505563502388644</c:v>
                </c:pt>
                <c:pt idx="281">
                  <c:v>-0.65774412717005226</c:v>
                </c:pt>
                <c:pt idx="282">
                  <c:v>-0.6329183164808827</c:v>
                </c:pt>
                <c:pt idx="283">
                  <c:v>-0.6418968302931275</c:v>
                </c:pt>
                <c:pt idx="284">
                  <c:v>-0.62256290350811183</c:v>
                </c:pt>
                <c:pt idx="285">
                  <c:v>-0.60685392986106523</c:v>
                </c:pt>
                <c:pt idx="286">
                  <c:v>-0.60559028267118931</c:v>
                </c:pt>
                <c:pt idx="287">
                  <c:v>-0.60430495329922884</c:v>
                </c:pt>
                <c:pt idx="288">
                  <c:v>-0.60259209593586149</c:v>
                </c:pt>
                <c:pt idx="289">
                  <c:v>-0.59492661477003872</c:v>
                </c:pt>
                <c:pt idx="290">
                  <c:v>-0.56805754517618123</c:v>
                </c:pt>
                <c:pt idx="291">
                  <c:v>-0.561977080335336</c:v>
                </c:pt>
                <c:pt idx="292">
                  <c:v>-0.58072708206691814</c:v>
                </c:pt>
                <c:pt idx="293">
                  <c:v>-0.56543054537572446</c:v>
                </c:pt>
                <c:pt idx="294">
                  <c:v>-0.59344893268987087</c:v>
                </c:pt>
                <c:pt idx="295">
                  <c:v>-0.5419559933863688</c:v>
                </c:pt>
                <c:pt idx="296">
                  <c:v>-0.55681749877340514</c:v>
                </c:pt>
                <c:pt idx="297">
                  <c:v>-0.55776066758725129</c:v>
                </c:pt>
                <c:pt idx="298">
                  <c:v>-0.55414674445358136</c:v>
                </c:pt>
                <c:pt idx="299">
                  <c:v>-0.5644517811644959</c:v>
                </c:pt>
                <c:pt idx="300">
                  <c:v>-0.55209554195715405</c:v>
                </c:pt>
                <c:pt idx="301">
                  <c:v>-0.54083513583350062</c:v>
                </c:pt>
                <c:pt idx="302">
                  <c:v>-0.53697551241055907</c:v>
                </c:pt>
                <c:pt idx="303">
                  <c:v>-0.52547947307029874</c:v>
                </c:pt>
                <c:pt idx="304">
                  <c:v>-0.53197039825643799</c:v>
                </c:pt>
                <c:pt idx="305">
                  <c:v>-0.52351677986401846</c:v>
                </c:pt>
                <c:pt idx="306">
                  <c:v>-0.53619552991405495</c:v>
                </c:pt>
                <c:pt idx="307">
                  <c:v>-0.5533643524803622</c:v>
                </c:pt>
                <c:pt idx="308">
                  <c:v>-0.56824320483704072</c:v>
                </c:pt>
                <c:pt idx="309">
                  <c:v>-0.56713302602184268</c:v>
                </c:pt>
                <c:pt idx="310">
                  <c:v>-0.55014417353800982</c:v>
                </c:pt>
                <c:pt idx="311">
                  <c:v>-0.54805513170029574</c:v>
                </c:pt>
                <c:pt idx="312">
                  <c:v>-0.5307451004487963</c:v>
                </c:pt>
                <c:pt idx="313">
                  <c:v>-0.51899133334723846</c:v>
                </c:pt>
                <c:pt idx="314">
                  <c:v>-0.49932687494723837</c:v>
                </c:pt>
                <c:pt idx="315">
                  <c:v>-0.4881193881685873</c:v>
                </c:pt>
                <c:pt idx="316">
                  <c:v>-0.4757290087918804</c:v>
                </c:pt>
                <c:pt idx="317">
                  <c:v>-0.48800210035209934</c:v>
                </c:pt>
                <c:pt idx="318">
                  <c:v>-0.46754998280223653</c:v>
                </c:pt>
                <c:pt idx="319">
                  <c:v>-0.42305473833313179</c:v>
                </c:pt>
                <c:pt idx="320">
                  <c:v>-0.3355354646566362</c:v>
                </c:pt>
                <c:pt idx="321">
                  <c:v>-0.34665093307435674</c:v>
                </c:pt>
                <c:pt idx="322">
                  <c:v>-0.32596008018865857</c:v>
                </c:pt>
                <c:pt idx="323">
                  <c:v>-0.32685543721753357</c:v>
                </c:pt>
                <c:pt idx="324">
                  <c:v>-0.31313848773653741</c:v>
                </c:pt>
                <c:pt idx="325">
                  <c:v>-0.32199879871001802</c:v>
                </c:pt>
                <c:pt idx="326">
                  <c:v>-0.33267847607464085</c:v>
                </c:pt>
                <c:pt idx="327">
                  <c:v>-0.32538033215730749</c:v>
                </c:pt>
                <c:pt idx="328">
                  <c:v>-0.31386423927272677</c:v>
                </c:pt>
                <c:pt idx="329">
                  <c:v>-0.31093802713593849</c:v>
                </c:pt>
                <c:pt idx="330">
                  <c:v>-0.3030621723160874</c:v>
                </c:pt>
                <c:pt idx="331">
                  <c:v>-0.29780534631300232</c:v>
                </c:pt>
                <c:pt idx="332">
                  <c:v>-0.29631602446517452</c:v>
                </c:pt>
                <c:pt idx="333">
                  <c:v>-0.30403767672430043</c:v>
                </c:pt>
                <c:pt idx="334">
                  <c:v>-0.30376577743690619</c:v>
                </c:pt>
                <c:pt idx="335">
                  <c:v>-0.30718970141648783</c:v>
                </c:pt>
                <c:pt idx="336">
                  <c:v>-0.29722029870502231</c:v>
                </c:pt>
                <c:pt idx="337">
                  <c:v>-0.28477332867862226</c:v>
                </c:pt>
                <c:pt idx="338">
                  <c:v>-0.28306919717133178</c:v>
                </c:pt>
                <c:pt idx="339">
                  <c:v>-0.28933923427516361</c:v>
                </c:pt>
                <c:pt idx="340">
                  <c:v>-0.29089962980083672</c:v>
                </c:pt>
                <c:pt idx="341">
                  <c:v>-0.30473543869088776</c:v>
                </c:pt>
                <c:pt idx="342">
                  <c:v>-0.29344152133398416</c:v>
                </c:pt>
                <c:pt idx="343">
                  <c:v>-0.28999858168548148</c:v>
                </c:pt>
                <c:pt idx="344">
                  <c:v>-0.1823301280984882</c:v>
                </c:pt>
                <c:pt idx="345">
                  <c:v>-6.8480795837304931E-2</c:v>
                </c:pt>
                <c:pt idx="346">
                  <c:v>-9.6068777632992805E-2</c:v>
                </c:pt>
                <c:pt idx="347">
                  <c:v>-9.2872078688204823E-2</c:v>
                </c:pt>
                <c:pt idx="348">
                  <c:v>-9.3048452801161627E-2</c:v>
                </c:pt>
                <c:pt idx="349">
                  <c:v>-9.2457980075809534E-2</c:v>
                </c:pt>
                <c:pt idx="350">
                  <c:v>-9.9161320511727907E-2</c:v>
                </c:pt>
                <c:pt idx="351">
                  <c:v>-9.3614212406727917E-2</c:v>
                </c:pt>
                <c:pt idx="352">
                  <c:v>-8.2543694982689667E-2</c:v>
                </c:pt>
                <c:pt idx="353">
                  <c:v>-8.8125421241361274E-2</c:v>
                </c:pt>
                <c:pt idx="354">
                  <c:v>-9.4429526781805731E-2</c:v>
                </c:pt>
                <c:pt idx="355">
                  <c:v>-9.140421367906601E-2</c:v>
                </c:pt>
                <c:pt idx="356">
                  <c:v>-8.5713822246735183E-2</c:v>
                </c:pt>
                <c:pt idx="357">
                  <c:v>-9.3937883346804862E-2</c:v>
                </c:pt>
                <c:pt idx="358">
                  <c:v>-8.0284552883200924E-2</c:v>
                </c:pt>
                <c:pt idx="359">
                  <c:v>-8.3454849113186361E-2</c:v>
                </c:pt>
                <c:pt idx="360">
                  <c:v>-7.9878312410990165E-2</c:v>
                </c:pt>
                <c:pt idx="361">
                  <c:v>-7.4202242345532146E-2</c:v>
                </c:pt>
                <c:pt idx="362">
                  <c:v>-7.5309694558280016E-2</c:v>
                </c:pt>
                <c:pt idx="363">
                  <c:v>-7.0336730329229755E-2</c:v>
                </c:pt>
                <c:pt idx="364">
                  <c:v>-7.4772729817922851E-2</c:v>
                </c:pt>
                <c:pt idx="365">
                  <c:v>-8.1325900429735504E-2</c:v>
                </c:pt>
                <c:pt idx="366">
                  <c:v>-7.9883338172682852E-2</c:v>
                </c:pt>
                <c:pt idx="367">
                  <c:v>-7.3815663851618543E-2</c:v>
                </c:pt>
                <c:pt idx="368">
                  <c:v>-6.7230365815374726E-2</c:v>
                </c:pt>
                <c:pt idx="369">
                  <c:v>-7.6356749567864077E-2</c:v>
                </c:pt>
                <c:pt idx="370">
                  <c:v>-7.7405896389117462E-2</c:v>
                </c:pt>
                <c:pt idx="371">
                  <c:v>-8.0711387670252849E-2</c:v>
                </c:pt>
                <c:pt idx="372">
                  <c:v>-8.584935511615005E-2</c:v>
                </c:pt>
                <c:pt idx="373">
                  <c:v>-8.7299393541762887E-2</c:v>
                </c:pt>
                <c:pt idx="374">
                  <c:v>-9.5501782666711318E-2</c:v>
                </c:pt>
                <c:pt idx="375">
                  <c:v>-0.10806377252223207</c:v>
                </c:pt>
                <c:pt idx="376">
                  <c:v>-0.10857433362482274</c:v>
                </c:pt>
                <c:pt idx="377">
                  <c:v>-0.10853007674629925</c:v>
                </c:pt>
                <c:pt idx="378">
                  <c:v>-0.11157376176473385</c:v>
                </c:pt>
                <c:pt idx="379">
                  <c:v>-0.11865435457734332</c:v>
                </c:pt>
                <c:pt idx="380">
                  <c:v>-0.13743219769011794</c:v>
                </c:pt>
                <c:pt idx="381">
                  <c:v>-0.14398211168763625</c:v>
                </c:pt>
                <c:pt idx="382">
                  <c:v>-0.14338402004439302</c:v>
                </c:pt>
                <c:pt idx="383">
                  <c:v>-0.13967820739928025</c:v>
                </c:pt>
                <c:pt idx="384">
                  <c:v>-0.13932804633733334</c:v>
                </c:pt>
                <c:pt idx="385">
                  <c:v>-0.13954229726063253</c:v>
                </c:pt>
                <c:pt idx="386">
                  <c:v>-0.14123615909992723</c:v>
                </c:pt>
                <c:pt idx="387">
                  <c:v>-0.1344844378935052</c:v>
                </c:pt>
                <c:pt idx="388">
                  <c:v>-0.13573992633769782</c:v>
                </c:pt>
                <c:pt idx="389">
                  <c:v>-0.14558313591748123</c:v>
                </c:pt>
                <c:pt idx="390">
                  <c:v>-0.15901138614646673</c:v>
                </c:pt>
                <c:pt idx="391">
                  <c:v>-0.15273115005586271</c:v>
                </c:pt>
                <c:pt idx="392">
                  <c:v>-0.15833763632790576</c:v>
                </c:pt>
                <c:pt idx="393">
                  <c:v>-0.16022378409378812</c:v>
                </c:pt>
                <c:pt idx="394">
                  <c:v>-0.15776009983664524</c:v>
                </c:pt>
                <c:pt idx="395">
                  <c:v>-0.15228414220761299</c:v>
                </c:pt>
                <c:pt idx="396">
                  <c:v>-0.1510680898022439</c:v>
                </c:pt>
                <c:pt idx="397">
                  <c:v>-0.15007491818781601</c:v>
                </c:pt>
                <c:pt idx="398">
                  <c:v>-0.14798340751878947</c:v>
                </c:pt>
                <c:pt idx="399">
                  <c:v>-0.14198686240714703</c:v>
                </c:pt>
                <c:pt idx="400">
                  <c:v>-0.14544229832922498</c:v>
                </c:pt>
                <c:pt idx="401">
                  <c:v>-0.13472173064371032</c:v>
                </c:pt>
                <c:pt idx="402">
                  <c:v>-0.12891917589712992</c:v>
                </c:pt>
                <c:pt idx="403">
                  <c:v>-0.13619461946587996</c:v>
                </c:pt>
                <c:pt idx="404">
                  <c:v>-0.12345857074587997</c:v>
                </c:pt>
                <c:pt idx="405">
                  <c:v>-0.12413242504810715</c:v>
                </c:pt>
                <c:pt idx="406">
                  <c:v>-0.13058149901940053</c:v>
                </c:pt>
                <c:pt idx="407">
                  <c:v>-0.11956354526108852</c:v>
                </c:pt>
                <c:pt idx="408">
                  <c:v>-0.1132316542564786</c:v>
                </c:pt>
                <c:pt idx="409">
                  <c:v>-0.10274924845647859</c:v>
                </c:pt>
                <c:pt idx="410">
                  <c:v>-9.1955515474305902E-2</c:v>
                </c:pt>
                <c:pt idx="411">
                  <c:v>-9.9519154960512793E-2</c:v>
                </c:pt>
                <c:pt idx="412">
                  <c:v>-8.7133677885730204E-2</c:v>
                </c:pt>
                <c:pt idx="413">
                  <c:v>-7.513798661773019E-2</c:v>
                </c:pt>
                <c:pt idx="414">
                  <c:v>-6.3924859232997372E-2</c:v>
                </c:pt>
                <c:pt idx="415">
                  <c:v>-7.8634032197288359E-2</c:v>
                </c:pt>
                <c:pt idx="416">
                  <c:v>-5.5615342164488379E-2</c:v>
                </c:pt>
                <c:pt idx="417">
                  <c:v>-5.3157220664696289E-2</c:v>
                </c:pt>
                <c:pt idx="418">
                  <c:v>-5.2455461745777365E-2</c:v>
                </c:pt>
                <c:pt idx="419">
                  <c:v>-5.2778010965777361E-2</c:v>
                </c:pt>
                <c:pt idx="420">
                  <c:v>-4.6474509775189132E-2</c:v>
                </c:pt>
                <c:pt idx="421">
                  <c:v>-4.5522735376884046E-2</c:v>
                </c:pt>
                <c:pt idx="422">
                  <c:v>-4.63773185690846E-2</c:v>
                </c:pt>
                <c:pt idx="423">
                  <c:v>-4.1500693292591338E-2</c:v>
                </c:pt>
                <c:pt idx="424">
                  <c:v>-3.7144849710156559E-2</c:v>
                </c:pt>
                <c:pt idx="425">
                  <c:v>-3.0548395637850955E-2</c:v>
                </c:pt>
                <c:pt idx="426">
                  <c:v>-4.420757427152236E-2</c:v>
                </c:pt>
                <c:pt idx="427">
                  <c:v>-4.8143538392640371E-2</c:v>
                </c:pt>
                <c:pt idx="428">
                  <c:v>-4.2179477412081577E-2</c:v>
                </c:pt>
                <c:pt idx="429">
                  <c:v>-3.0043707169976307E-2</c:v>
                </c:pt>
                <c:pt idx="430">
                  <c:v>-3.2873722566093833E-2</c:v>
                </c:pt>
                <c:pt idx="431">
                  <c:v>-3.0378408413915294E-2</c:v>
                </c:pt>
                <c:pt idx="432">
                  <c:v>-7.9312859287301064E-3</c:v>
                </c:pt>
                <c:pt idx="433">
                  <c:v>-1.610922538075963E-2</c:v>
                </c:pt>
                <c:pt idx="434">
                  <c:v>-1.7345905415542234E-2</c:v>
                </c:pt>
                <c:pt idx="435">
                  <c:v>-1.5527815137923865E-2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8-4D6B-8D98-BE1C77331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604960"/>
        <c:axId val="462605792"/>
      </c:lineChart>
      <c:dateAx>
        <c:axId val="462604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05792"/>
        <c:crosses val="autoZero"/>
        <c:auto val="1"/>
        <c:lblOffset val="100"/>
        <c:baseTimeUnit val="days"/>
      </c:dateAx>
      <c:valAx>
        <c:axId val="4626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585ECB-F5F8-4043-86A7-C7ABFC68C829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877CBE-9EC8-4113-85E6-8744E5D011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7.82</v>
      </c>
      <c r="D2" s="4">
        <f>MIN(D3:D1912)</f>
        <v>0.2336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0.57730000000000004</v>
      </c>
      <c r="C5">
        <v>0.62360000000000004</v>
      </c>
      <c r="D5">
        <v>0.55200000000000005</v>
      </c>
      <c r="E5">
        <v>0.55379999999999996</v>
      </c>
      <c r="F5">
        <v>3204834</v>
      </c>
      <c r="G5">
        <v>0.55379999999999996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-0.94972067039106389</v>
      </c>
      <c r="Q5">
        <f t="shared" ref="Q5" si="1">F5*P5</f>
        <v>-3043697.094972075</v>
      </c>
      <c r="R5">
        <f t="shared" ref="R5" si="2">R6+Q5</f>
        <v>-336064890.66571337</v>
      </c>
      <c r="S5">
        <f t="shared" ref="S5" si="3">R5/100000</f>
        <v>-3360.6489066571339</v>
      </c>
      <c r="T5">
        <f t="shared" ref="T5" si="4">S5/1000</f>
        <v>-3.3606489066571341</v>
      </c>
    </row>
    <row r="6" spans="1:20" x14ac:dyDescent="0.25">
      <c r="A6" s="5">
        <v>44587</v>
      </c>
      <c r="B6">
        <v>0.41420000000000001</v>
      </c>
      <c r="C6">
        <v>0.81</v>
      </c>
      <c r="D6">
        <v>0.4108</v>
      </c>
      <c r="E6">
        <v>0.57599999999999996</v>
      </c>
      <c r="F6">
        <v>77762340</v>
      </c>
      <c r="G6">
        <v>0.57599999999999996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-0.17234468937875783</v>
      </c>
      <c r="Q6">
        <f t="shared" ref="Q6" si="6">F6*P6</f>
        <v>-13401926.332665354</v>
      </c>
      <c r="R6">
        <f t="shared" ref="R6" si="7">R7+Q6</f>
        <v>-333021193.5707413</v>
      </c>
      <c r="S6">
        <f t="shared" ref="S6" si="8">R6/100000</f>
        <v>-3330.211935707413</v>
      </c>
      <c r="T6">
        <f t="shared" ref="T6" si="9">S6/1000</f>
        <v>-3.3302119357074131</v>
      </c>
    </row>
    <row r="7" spans="1:20" x14ac:dyDescent="0.25">
      <c r="A7" s="5">
        <v>44586</v>
      </c>
      <c r="B7">
        <v>0.4128</v>
      </c>
      <c r="C7">
        <v>0.4425</v>
      </c>
      <c r="D7">
        <v>0.40039999999999998</v>
      </c>
      <c r="E7">
        <v>0.41420000000000001</v>
      </c>
      <c r="F7">
        <v>1915421</v>
      </c>
      <c r="G7">
        <v>0.41420000000000001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-0.34441805225653083</v>
      </c>
      <c r="Q7">
        <f t="shared" ref="Q7" si="11">F7*P7</f>
        <v>-659705.57007125649</v>
      </c>
      <c r="R7">
        <f t="shared" ref="R7" si="12">R8+Q7</f>
        <v>-319619267.23807597</v>
      </c>
      <c r="S7">
        <f t="shared" ref="S7" si="13">R7/100000</f>
        <v>-3196.1926723807596</v>
      </c>
      <c r="T7">
        <f t="shared" ref="T7" si="14">S7/1000</f>
        <v>-3.1961926723807594</v>
      </c>
    </row>
    <row r="8" spans="1:20" x14ac:dyDescent="0.25">
      <c r="A8" s="5">
        <v>44585</v>
      </c>
      <c r="B8">
        <v>0.43480000000000002</v>
      </c>
      <c r="C8">
        <v>0.44219999999999998</v>
      </c>
      <c r="D8">
        <v>0.37</v>
      </c>
      <c r="E8">
        <v>0.41320000000000001</v>
      </c>
      <c r="F8">
        <v>4402200</v>
      </c>
      <c r="G8">
        <v>0.41320000000000001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0.19667590027700899</v>
      </c>
      <c r="Q8">
        <f t="shared" ref="Q8" si="16">F8*P8</f>
        <v>865806.64819944894</v>
      </c>
      <c r="R8">
        <f t="shared" ref="R8" si="17">R9+Q8</f>
        <v>-318959561.66800469</v>
      </c>
      <c r="S8">
        <f t="shared" ref="S8" si="18">R8/100000</f>
        <v>-3189.595616680047</v>
      </c>
      <c r="T8">
        <f t="shared" ref="T8" si="19">S8/1000</f>
        <v>-3.1895956166800472</v>
      </c>
    </row>
    <row r="9" spans="1:20" x14ac:dyDescent="0.25">
      <c r="A9" s="5">
        <v>44584</v>
      </c>
      <c r="B9">
        <v>0.42470000000000002</v>
      </c>
      <c r="C9">
        <v>0.48149999999999998</v>
      </c>
      <c r="D9">
        <v>0.41210000000000002</v>
      </c>
      <c r="E9">
        <v>0.43409999999999999</v>
      </c>
      <c r="F9">
        <v>5608173</v>
      </c>
      <c r="G9">
        <v>0.43409999999999999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-0.3659942363112399</v>
      </c>
      <c r="Q9">
        <f t="shared" ref="Q9" si="21">F9*P9</f>
        <v>-2052558.9942363151</v>
      </c>
      <c r="R9">
        <f t="shared" ref="R9" si="22">R10+Q9</f>
        <v>-319825368.31620413</v>
      </c>
      <c r="S9">
        <f t="shared" ref="S9" si="23">R9/100000</f>
        <v>-3198.2536831620414</v>
      </c>
      <c r="T9">
        <f t="shared" ref="T9" si="24">S9/1000</f>
        <v>-3.1982536831620414</v>
      </c>
    </row>
    <row r="10" spans="1:20" x14ac:dyDescent="0.25">
      <c r="A10" s="5">
        <v>44583</v>
      </c>
      <c r="B10">
        <v>0.46189999999999998</v>
      </c>
      <c r="C10">
        <v>0.46589999999999998</v>
      </c>
      <c r="D10">
        <v>0.38669999999999999</v>
      </c>
      <c r="E10">
        <v>0.42370000000000002</v>
      </c>
      <c r="F10">
        <v>7113467</v>
      </c>
      <c r="G10">
        <v>0.42370000000000002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-6.5656565656564733E-2</v>
      </c>
      <c r="Q10">
        <f t="shared" ref="Q10" si="26">F10*P10</f>
        <v>-467045.81313130655</v>
      </c>
      <c r="R10">
        <f t="shared" ref="R10" si="27">R11+Q10</f>
        <v>-317772809.32196784</v>
      </c>
      <c r="S10">
        <f t="shared" ref="S10" si="28">R10/100000</f>
        <v>-3177.7280932196786</v>
      </c>
      <c r="T10">
        <f t="shared" ref="T10" si="29">S10/1000</f>
        <v>-3.1777280932196788</v>
      </c>
    </row>
    <row r="11" spans="1:20" x14ac:dyDescent="0.25">
      <c r="A11" s="5">
        <v>44582</v>
      </c>
      <c r="B11">
        <v>0.55069999999999997</v>
      </c>
      <c r="C11">
        <v>0.56240000000000001</v>
      </c>
      <c r="D11">
        <v>0.44</v>
      </c>
      <c r="E11">
        <v>0.46160000000000001</v>
      </c>
      <c r="F11">
        <v>2624676</v>
      </c>
      <c r="G11">
        <v>0.46160000000000001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-0.64705882352941169</v>
      </c>
      <c r="Q11">
        <f t="shared" ref="Q11" si="31">F11*P11</f>
        <v>-1698319.7647058822</v>
      </c>
      <c r="R11">
        <f t="shared" ref="R11" si="32">R12+Q11</f>
        <v>-317305763.50883651</v>
      </c>
      <c r="S11">
        <f t="shared" ref="S11" si="33">R11/100000</f>
        <v>-3173.0576350883653</v>
      </c>
      <c r="T11">
        <f t="shared" ref="T11" si="34">S11/1000</f>
        <v>-3.1730576350883655</v>
      </c>
    </row>
    <row r="12" spans="1:20" x14ac:dyDescent="0.25">
      <c r="A12" s="5">
        <v>44581</v>
      </c>
      <c r="B12">
        <v>0.58330000000000004</v>
      </c>
      <c r="C12">
        <v>0.60060000000000002</v>
      </c>
      <c r="D12">
        <v>0.54830000000000001</v>
      </c>
      <c r="E12">
        <v>0.54959999999999998</v>
      </c>
      <c r="F12">
        <v>1101988</v>
      </c>
      <c r="G12">
        <v>0.54959999999999998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-0.95028680688336642</v>
      </c>
      <c r="Q12">
        <f t="shared" ref="Q12" si="36">F12*P12</f>
        <v>-1047204.6577437872</v>
      </c>
      <c r="R12">
        <f t="shared" ref="R12" si="37">R13+Q12</f>
        <v>-315607443.74413061</v>
      </c>
      <c r="S12">
        <f t="shared" ref="S12" si="38">R12/100000</f>
        <v>-3156.0744374413061</v>
      </c>
      <c r="T12">
        <f t="shared" ref="T12" si="39">S12/1000</f>
        <v>-3.1560744374413061</v>
      </c>
    </row>
    <row r="13" spans="1:20" x14ac:dyDescent="0.25">
      <c r="A13" s="5">
        <v>44580</v>
      </c>
      <c r="B13">
        <v>0.58740000000000003</v>
      </c>
      <c r="C13">
        <v>0.6048</v>
      </c>
      <c r="D13">
        <v>0.57050000000000001</v>
      </c>
      <c r="E13">
        <v>0.58240000000000003</v>
      </c>
      <c r="F13">
        <v>775404</v>
      </c>
      <c r="G13">
        <v>0.58240000000000003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-0.30612244897959051</v>
      </c>
      <c r="Q13">
        <f t="shared" ref="Q13" si="41">F13*P13</f>
        <v>-237368.5714285704</v>
      </c>
      <c r="R13">
        <f t="shared" ref="R13" si="42">R14+Q13</f>
        <v>-314560239.0863868</v>
      </c>
      <c r="S13">
        <f t="shared" ref="S13" si="43">R13/100000</f>
        <v>-3145.6023908638681</v>
      </c>
      <c r="T13">
        <f t="shared" ref="T13" si="44">S13/1000</f>
        <v>-3.1456023908638682</v>
      </c>
    </row>
    <row r="14" spans="1:20" x14ac:dyDescent="0.25">
      <c r="A14" s="5">
        <v>44579</v>
      </c>
      <c r="B14">
        <v>0.59719999999999995</v>
      </c>
      <c r="C14">
        <v>0.61119999999999997</v>
      </c>
      <c r="D14">
        <v>0.57050000000000001</v>
      </c>
      <c r="E14">
        <v>0.58879999999999999</v>
      </c>
      <c r="F14">
        <v>1170913</v>
      </c>
      <c r="G14">
        <v>0.58879999999999999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-0.10073710073710065</v>
      </c>
      <c r="Q14">
        <f t="shared" ref="Q14" si="46">F14*P14</f>
        <v>-117954.38083538074</v>
      </c>
      <c r="R14">
        <f t="shared" ref="R14" si="47">R15+Q14</f>
        <v>-314322870.5149582</v>
      </c>
      <c r="S14">
        <f t="shared" ref="S14" si="48">R14/100000</f>
        <v>-3143.2287051495819</v>
      </c>
      <c r="T14">
        <f t="shared" ref="T14" si="49">S14/1000</f>
        <v>-3.143228705149582</v>
      </c>
    </row>
    <row r="15" spans="1:20" x14ac:dyDescent="0.25">
      <c r="A15" s="5">
        <v>44578</v>
      </c>
      <c r="B15">
        <v>0.627</v>
      </c>
      <c r="C15">
        <v>0.63229999999999997</v>
      </c>
      <c r="D15">
        <v>0.58730000000000004</v>
      </c>
      <c r="E15">
        <v>0.59799999999999998</v>
      </c>
      <c r="F15">
        <v>1079507</v>
      </c>
      <c r="G15">
        <v>0.59799999999999998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-0.52444444444444671</v>
      </c>
      <c r="Q15">
        <f t="shared" ref="Q15" si="51">F15*P15</f>
        <v>-566141.44888889138</v>
      </c>
      <c r="R15">
        <f t="shared" ref="R15" si="52">R16+Q15</f>
        <v>-314204916.13412285</v>
      </c>
      <c r="S15">
        <f t="shared" ref="S15" si="53">R15/100000</f>
        <v>-3142.0491613412287</v>
      </c>
      <c r="T15">
        <f t="shared" ref="T15" si="54">S15/1000</f>
        <v>-3.1420491613412285</v>
      </c>
    </row>
    <row r="16" spans="1:20" x14ac:dyDescent="0.25">
      <c r="A16" s="5">
        <v>44577</v>
      </c>
      <c r="B16">
        <v>0.6381</v>
      </c>
      <c r="C16">
        <v>0.64100000000000001</v>
      </c>
      <c r="D16">
        <v>0.61880000000000002</v>
      </c>
      <c r="E16">
        <v>0.628</v>
      </c>
      <c r="F16">
        <v>666685</v>
      </c>
      <c r="G16">
        <v>0.628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-0.17117117117117234</v>
      </c>
      <c r="Q16">
        <f t="shared" ref="Q16" si="56">F16*P16</f>
        <v>-114117.25225225303</v>
      </c>
      <c r="R16">
        <f t="shared" ref="R16" si="57">R17+Q16</f>
        <v>-313638774.68523395</v>
      </c>
      <c r="S16">
        <f t="shared" ref="S16" si="58">R16/100000</f>
        <v>-3136.3877468523397</v>
      </c>
      <c r="T16">
        <f t="shared" ref="T16" si="59">S16/1000</f>
        <v>-3.1363877468523396</v>
      </c>
    </row>
    <row r="17" spans="1:20" x14ac:dyDescent="0.25">
      <c r="A17" s="5">
        <v>44576</v>
      </c>
      <c r="B17">
        <v>0.63839999999999997</v>
      </c>
      <c r="C17">
        <v>0.64500000000000002</v>
      </c>
      <c r="D17">
        <v>0.62390000000000001</v>
      </c>
      <c r="E17">
        <v>0.63800000000000001</v>
      </c>
      <c r="F17">
        <v>699693</v>
      </c>
      <c r="G17">
        <v>0.63800000000000001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0.33649289099526031</v>
      </c>
      <c r="Q17">
        <f t="shared" ref="Q17" si="61">F17*P17</f>
        <v>235441.72037914666</v>
      </c>
      <c r="R17">
        <f t="shared" ref="R17" si="62">R18+Q17</f>
        <v>-313524657.43298167</v>
      </c>
      <c r="S17">
        <f t="shared" ref="S17" si="63">R17/100000</f>
        <v>-3135.2465743298167</v>
      </c>
      <c r="T17">
        <f t="shared" ref="T17" si="64">S17/1000</f>
        <v>-3.1352465743298166</v>
      </c>
    </row>
    <row r="18" spans="1:20" x14ac:dyDescent="0.25">
      <c r="A18" s="5">
        <v>44575</v>
      </c>
      <c r="B18">
        <v>0.62050000000000005</v>
      </c>
      <c r="C18">
        <v>0.64470000000000005</v>
      </c>
      <c r="D18">
        <v>0.60009999999999997</v>
      </c>
      <c r="E18">
        <v>0.63839999999999997</v>
      </c>
      <c r="F18">
        <v>1140559</v>
      </c>
      <c r="G18">
        <v>0.63839999999999997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0.7174887892376649</v>
      </c>
      <c r="Q18">
        <f t="shared" ref="Q18" si="66">F18*P18</f>
        <v>818338.29596412182</v>
      </c>
      <c r="R18">
        <f t="shared" ref="R18" si="67">R19+Q18</f>
        <v>-313760099.15336084</v>
      </c>
      <c r="S18">
        <f t="shared" ref="S18" si="68">R18/100000</f>
        <v>-3137.6009915336085</v>
      </c>
      <c r="T18">
        <f t="shared" ref="T18" si="69">S18/1000</f>
        <v>-3.1376009915336085</v>
      </c>
    </row>
    <row r="19" spans="1:20" x14ac:dyDescent="0.25">
      <c r="A19" s="5">
        <v>44574</v>
      </c>
      <c r="B19">
        <v>0.63700000000000001</v>
      </c>
      <c r="C19">
        <v>0.69289999999999996</v>
      </c>
      <c r="D19">
        <v>0.6179</v>
      </c>
      <c r="E19">
        <v>0.62050000000000005</v>
      </c>
      <c r="F19">
        <v>5000134</v>
      </c>
      <c r="G19">
        <v>0.62050000000000005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-0.93066666666666542</v>
      </c>
      <c r="Q19">
        <f t="shared" ref="Q19" si="71">F19*P19</f>
        <v>-4653458.0426666606</v>
      </c>
      <c r="R19">
        <f t="shared" ref="R19" si="72">R20+Q19</f>
        <v>-314578437.44932497</v>
      </c>
      <c r="S19">
        <f t="shared" ref="S19" si="73">R19/100000</f>
        <v>-3145.7843744932497</v>
      </c>
      <c r="T19">
        <f t="shared" ref="T19" si="74">S19/1000</f>
        <v>-3.1457843744932497</v>
      </c>
    </row>
    <row r="20" spans="1:20" x14ac:dyDescent="0.25">
      <c r="A20" s="5">
        <v>44573</v>
      </c>
      <c r="B20">
        <v>0.60199999999999998</v>
      </c>
      <c r="C20">
        <v>0.63839999999999997</v>
      </c>
      <c r="D20">
        <v>0.60119999999999996</v>
      </c>
      <c r="E20">
        <v>0.6371</v>
      </c>
      <c r="F20">
        <v>1120100</v>
      </c>
      <c r="G20">
        <v>0.6371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0.93010752688172216</v>
      </c>
      <c r="Q20">
        <f t="shared" ref="Q20" si="76">F20*P20</f>
        <v>1041813.440860217</v>
      </c>
      <c r="R20">
        <f t="shared" ref="R20" si="77">R21+Q20</f>
        <v>-309924979.40665829</v>
      </c>
      <c r="S20">
        <f t="shared" ref="S20" si="78">R20/100000</f>
        <v>-3099.249794066583</v>
      </c>
      <c r="T20">
        <f t="shared" ref="T20" si="79">S20/1000</f>
        <v>-3.0992497940665831</v>
      </c>
    </row>
    <row r="21" spans="1:20" x14ac:dyDescent="0.25">
      <c r="A21" s="5">
        <v>44572</v>
      </c>
      <c r="B21">
        <v>0.57650000000000001</v>
      </c>
      <c r="C21">
        <v>0.61570000000000003</v>
      </c>
      <c r="D21">
        <v>0.57240000000000002</v>
      </c>
      <c r="E21">
        <v>0.60129999999999995</v>
      </c>
      <c r="F21">
        <v>1562926</v>
      </c>
      <c r="G21">
        <v>0.60129999999999995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0.33487297921477699</v>
      </c>
      <c r="Q21">
        <f t="shared" ref="Q21" si="81">F21*P21</f>
        <v>523381.68591223453</v>
      </c>
      <c r="R21">
        <f t="shared" ref="R21" si="82">R22+Q21</f>
        <v>-310966792.8475185</v>
      </c>
      <c r="S21">
        <f t="shared" ref="S21" si="83">R21/100000</f>
        <v>-3109.6679284751849</v>
      </c>
      <c r="T21">
        <f t="shared" ref="T21" si="84">S21/1000</f>
        <v>-3.1096679284751847</v>
      </c>
    </row>
    <row r="22" spans="1:20" x14ac:dyDescent="0.25">
      <c r="A22" s="5">
        <v>44571</v>
      </c>
      <c r="B22">
        <v>0.60560000000000003</v>
      </c>
      <c r="C22">
        <v>0.62450000000000006</v>
      </c>
      <c r="D22">
        <v>0.54269999999999996</v>
      </c>
      <c r="E22">
        <v>0.57530000000000003</v>
      </c>
      <c r="F22">
        <v>2358535</v>
      </c>
      <c r="G22">
        <v>0.57530000000000003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-0.20293398533007248</v>
      </c>
      <c r="Q22">
        <f t="shared" ref="Q22" si="86">F22*P22</f>
        <v>-478626.90709046251</v>
      </c>
      <c r="R22">
        <f t="shared" ref="R22" si="87">R23+Q22</f>
        <v>-311490174.53343076</v>
      </c>
      <c r="S22">
        <f t="shared" ref="S22" si="88">R22/100000</f>
        <v>-3114.9017453343076</v>
      </c>
      <c r="T22">
        <f t="shared" ref="T22" si="89">S22/1000</f>
        <v>-3.1149017453343077</v>
      </c>
    </row>
    <row r="23" spans="1:20" x14ac:dyDescent="0.25">
      <c r="A23" s="5">
        <v>44570</v>
      </c>
      <c r="B23">
        <v>0.60070000000000001</v>
      </c>
      <c r="C23">
        <v>0.66500000000000004</v>
      </c>
      <c r="D23">
        <v>0.59099999999999997</v>
      </c>
      <c r="E23">
        <v>0.60450000000000004</v>
      </c>
      <c r="F23">
        <v>2496983</v>
      </c>
      <c r="G23">
        <v>0.60450000000000004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-0.63513513513513364</v>
      </c>
      <c r="Q23">
        <f t="shared" ref="Q23" si="91">F23*P23</f>
        <v>-1585921.6351351314</v>
      </c>
      <c r="R23">
        <f t="shared" ref="R23" si="92">R24+Q23</f>
        <v>-311011547.62634027</v>
      </c>
      <c r="S23">
        <f t="shared" ref="S23" si="93">R23/100000</f>
        <v>-3110.1154762634028</v>
      </c>
      <c r="T23">
        <f t="shared" ref="T23" si="94">S23/1000</f>
        <v>-3.1101154762634029</v>
      </c>
    </row>
    <row r="24" spans="1:20" x14ac:dyDescent="0.25">
      <c r="A24" s="5">
        <v>44569</v>
      </c>
      <c r="B24">
        <v>0.6109</v>
      </c>
      <c r="C24">
        <v>0.66420000000000001</v>
      </c>
      <c r="D24">
        <v>0.56240000000000001</v>
      </c>
      <c r="E24">
        <v>0.60099999999999998</v>
      </c>
      <c r="F24">
        <v>2323476</v>
      </c>
      <c r="G24">
        <v>0.60099999999999998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-0.24165029469548199</v>
      </c>
      <c r="Q24">
        <f t="shared" ref="Q24" si="96">F24*P24</f>
        <v>-561468.66011787974</v>
      </c>
      <c r="R24">
        <f t="shared" ref="R24" si="97">R25+Q24</f>
        <v>-309425625.99120516</v>
      </c>
      <c r="S24">
        <f t="shared" ref="S24" si="98">R24/100000</f>
        <v>-3094.2562599120515</v>
      </c>
      <c r="T24">
        <f t="shared" ref="T24" si="99">S24/1000</f>
        <v>-3.0942562599120516</v>
      </c>
    </row>
    <row r="25" spans="1:20" x14ac:dyDescent="0.25">
      <c r="A25" s="5">
        <v>44568</v>
      </c>
      <c r="B25">
        <v>0.64359999999999995</v>
      </c>
      <c r="C25">
        <v>0.64829999999999999</v>
      </c>
      <c r="D25">
        <v>0.59289999999999998</v>
      </c>
      <c r="E25">
        <v>0.61140000000000005</v>
      </c>
      <c r="F25">
        <v>1848652</v>
      </c>
      <c r="G25">
        <v>0.61140000000000005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-0.33212996389891442</v>
      </c>
      <c r="Q25">
        <f t="shared" ref="Q25" si="101">F25*P25</f>
        <v>-613992.72202165588</v>
      </c>
      <c r="R25">
        <f t="shared" ref="R25" si="102">R26+Q25</f>
        <v>-308864157.33108729</v>
      </c>
      <c r="S25">
        <f t="shared" ref="S25" si="103">R25/100000</f>
        <v>-3088.6415733108729</v>
      </c>
      <c r="T25">
        <f t="shared" ref="T25" si="104">S25/1000</f>
        <v>-3.088641573310873</v>
      </c>
    </row>
    <row r="26" spans="1:20" x14ac:dyDescent="0.25">
      <c r="A26" s="5">
        <v>44567</v>
      </c>
      <c r="B26">
        <v>0.65390000000000004</v>
      </c>
      <c r="C26">
        <v>0.65949999999999998</v>
      </c>
      <c r="D26">
        <v>0.61109999999999998</v>
      </c>
      <c r="E26">
        <v>0.64500000000000002</v>
      </c>
      <c r="F26">
        <v>1946041</v>
      </c>
      <c r="G26">
        <v>0.64500000000000002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0.40082644628099345</v>
      </c>
      <c r="Q26">
        <f t="shared" ref="Q26" si="106">F26*P26</f>
        <v>780024.69834711077</v>
      </c>
      <c r="R26">
        <f t="shared" ref="R26" si="107">R27+Q26</f>
        <v>-308250164.60906565</v>
      </c>
      <c r="S26">
        <f t="shared" ref="S26" si="108">R26/100000</f>
        <v>-3082.5016460906563</v>
      </c>
      <c r="T26">
        <f t="shared" ref="T26" si="109">S26/1000</f>
        <v>-3.0825016460906562</v>
      </c>
    </row>
    <row r="27" spans="1:20" x14ac:dyDescent="0.25">
      <c r="A27" s="5">
        <v>44566</v>
      </c>
      <c r="B27">
        <v>0.70179999999999998</v>
      </c>
      <c r="C27">
        <v>0.71799999999999997</v>
      </c>
      <c r="D27">
        <v>0.63300000000000001</v>
      </c>
      <c r="E27">
        <v>0.65610000000000002</v>
      </c>
      <c r="F27">
        <v>3058560</v>
      </c>
      <c r="G27">
        <v>0.65610000000000002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-0.45647058823529368</v>
      </c>
      <c r="Q27">
        <f t="shared" ref="Q27" si="111">F27*P27</f>
        <v>-1396142.6823529399</v>
      </c>
      <c r="R27">
        <f t="shared" ref="R27" si="112">R28+Q27</f>
        <v>-309030189.30741274</v>
      </c>
      <c r="S27">
        <f t="shared" ref="S27" si="113">R27/100000</f>
        <v>-3090.3018930741273</v>
      </c>
      <c r="T27">
        <f t="shared" ref="T27" si="114">S27/1000</f>
        <v>-3.0903018930741273</v>
      </c>
    </row>
    <row r="28" spans="1:20" x14ac:dyDescent="0.25">
      <c r="A28" s="5">
        <v>44565</v>
      </c>
      <c r="B28">
        <v>0.69469999999999998</v>
      </c>
      <c r="C28">
        <v>0.85</v>
      </c>
      <c r="D28">
        <v>0.68320000000000003</v>
      </c>
      <c r="E28">
        <v>0.70179999999999998</v>
      </c>
      <c r="F28">
        <v>14623662</v>
      </c>
      <c r="G28">
        <v>0.70179999999999998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-0.77697841726618755</v>
      </c>
      <c r="Q28">
        <f t="shared" ref="Q28" si="116">F28*P28</f>
        <v>-11362269.75539569</v>
      </c>
      <c r="R28">
        <f t="shared" ref="R28" si="117">R29+Q28</f>
        <v>-307634046.62505978</v>
      </c>
      <c r="S28">
        <f t="shared" ref="S28" si="118">R28/100000</f>
        <v>-3076.3404662505977</v>
      </c>
      <c r="T28">
        <f t="shared" ref="T28" si="119">S28/1000</f>
        <v>-3.0763404662505978</v>
      </c>
    </row>
    <row r="29" spans="1:20" x14ac:dyDescent="0.25">
      <c r="A29" s="5">
        <v>44564</v>
      </c>
      <c r="B29">
        <v>0.70169999999999999</v>
      </c>
      <c r="C29">
        <v>0.7278</v>
      </c>
      <c r="D29">
        <v>0.67959999999999998</v>
      </c>
      <c r="E29">
        <v>0.69420000000000004</v>
      </c>
      <c r="F29">
        <v>1483471</v>
      </c>
      <c r="G29">
        <v>0.69420000000000004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-0.39419087136929248</v>
      </c>
      <c r="Q29">
        <f t="shared" ref="Q29" si="121">F29*P29</f>
        <v>-584770.72614107572</v>
      </c>
      <c r="R29">
        <f t="shared" ref="R29" si="122">R30+Q29</f>
        <v>-296271776.86966407</v>
      </c>
      <c r="S29">
        <f t="shared" ref="S29" si="123">R29/100000</f>
        <v>-2962.7177686966406</v>
      </c>
      <c r="T29">
        <f t="shared" ref="T29" si="124">S29/1000</f>
        <v>-2.9627177686966406</v>
      </c>
    </row>
    <row r="30" spans="1:20" x14ac:dyDescent="0.25">
      <c r="A30" s="5">
        <v>44563</v>
      </c>
      <c r="B30">
        <v>0.71450000000000002</v>
      </c>
      <c r="C30">
        <v>0.7218</v>
      </c>
      <c r="D30">
        <v>0.69450000000000001</v>
      </c>
      <c r="E30">
        <v>0.70320000000000005</v>
      </c>
      <c r="F30">
        <v>1595464</v>
      </c>
      <c r="G30">
        <v>0.70320000000000005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-0.36263736263735941</v>
      </c>
      <c r="Q30">
        <f t="shared" ref="Q30" si="126">F30*P30</f>
        <v>-578574.85714285204</v>
      </c>
      <c r="R30">
        <f t="shared" ref="R30" si="127">R31+Q30</f>
        <v>-295687006.14352298</v>
      </c>
      <c r="S30">
        <f t="shared" ref="S30" si="128">R30/100000</f>
        <v>-2956.8700614352297</v>
      </c>
      <c r="T30">
        <f t="shared" ref="T30" si="129">S30/1000</f>
        <v>-2.9568700614352297</v>
      </c>
    </row>
    <row r="31" spans="1:20" x14ac:dyDescent="0.25">
      <c r="A31" s="5">
        <v>44562</v>
      </c>
      <c r="B31">
        <v>0.68889999999999996</v>
      </c>
      <c r="C31">
        <v>0.72099999999999997</v>
      </c>
      <c r="D31">
        <v>0.66</v>
      </c>
      <c r="E31">
        <v>0.7157</v>
      </c>
      <c r="F31">
        <v>1844162</v>
      </c>
      <c r="G31">
        <v>0.7157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0.82622950819672214</v>
      </c>
      <c r="Q31">
        <f t="shared" ref="Q31" si="131">F31*P31</f>
        <v>1523701.0622950834</v>
      </c>
      <c r="R31">
        <f t="shared" ref="R31" si="132">R32+Q31</f>
        <v>-295108431.28638011</v>
      </c>
      <c r="S31">
        <f t="shared" ref="S31" si="133">R31/100000</f>
        <v>-2951.0843128638012</v>
      </c>
      <c r="T31">
        <f t="shared" ref="T31" si="134">S31/1000</f>
        <v>-2.9510843128638014</v>
      </c>
    </row>
    <row r="32" spans="1:20" x14ac:dyDescent="0.25">
      <c r="A32" s="5">
        <v>44561</v>
      </c>
      <c r="B32">
        <v>0.7006</v>
      </c>
      <c r="C32">
        <v>0.72240000000000004</v>
      </c>
      <c r="D32">
        <v>0.67330000000000001</v>
      </c>
      <c r="E32">
        <v>0.68879999999999997</v>
      </c>
      <c r="F32">
        <v>2094174</v>
      </c>
      <c r="G32">
        <v>0.68879999999999997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-0.36863543788187586</v>
      </c>
      <c r="Q32">
        <f t="shared" ref="Q32" si="136">F32*P32</f>
        <v>-771986.74949083955</v>
      </c>
      <c r="R32">
        <f t="shared" ref="R32" si="137">R33+Q32</f>
        <v>-296632132.34867519</v>
      </c>
      <c r="S32">
        <f t="shared" ref="S32" si="138">R32/100000</f>
        <v>-2966.3213234867521</v>
      </c>
      <c r="T32">
        <f t="shared" ref="T32" si="139">S32/1000</f>
        <v>-2.9663213234867523</v>
      </c>
    </row>
    <row r="33" spans="1:20" x14ac:dyDescent="0.25">
      <c r="A33" s="5">
        <v>44560</v>
      </c>
      <c r="B33">
        <v>0.70760000000000001</v>
      </c>
      <c r="C33">
        <v>0.73060000000000003</v>
      </c>
      <c r="D33">
        <v>0.69110000000000005</v>
      </c>
      <c r="E33">
        <v>0.70050000000000001</v>
      </c>
      <c r="F33">
        <v>1673439</v>
      </c>
      <c r="G33">
        <v>0.70050000000000001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-0.52405063291139398</v>
      </c>
      <c r="Q33">
        <f t="shared" ref="Q33" si="141">F33*P33</f>
        <v>-876966.76708861021</v>
      </c>
      <c r="R33">
        <f t="shared" ref="R33" si="142">R34+Q33</f>
        <v>-295860145.59918433</v>
      </c>
      <c r="S33">
        <f t="shared" ref="S33" si="143">R33/100000</f>
        <v>-2958.6014559918435</v>
      </c>
      <c r="T33">
        <f t="shared" ref="T33" si="144">S33/1000</f>
        <v>-2.9586014559918437</v>
      </c>
    </row>
    <row r="34" spans="1:20" x14ac:dyDescent="0.25">
      <c r="A34" s="5">
        <v>44559</v>
      </c>
      <c r="B34">
        <v>0.75119999999999998</v>
      </c>
      <c r="C34">
        <v>0.75670000000000004</v>
      </c>
      <c r="D34">
        <v>0.69950000000000001</v>
      </c>
      <c r="E34">
        <v>0.70760000000000001</v>
      </c>
      <c r="F34">
        <v>2182449</v>
      </c>
      <c r="G34">
        <v>0.70760000000000001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-0.7167832167832171</v>
      </c>
      <c r="Q34">
        <f t="shared" ref="Q34" si="146">F34*P34</f>
        <v>-1564342.8146853154</v>
      </c>
      <c r="R34">
        <f t="shared" ref="R34" si="147">R35+Q34</f>
        <v>-294983178.83209574</v>
      </c>
      <c r="S34">
        <f t="shared" ref="S34" si="148">R34/100000</f>
        <v>-2949.8317883209575</v>
      </c>
      <c r="T34">
        <f t="shared" ref="T34" si="149">S34/1000</f>
        <v>-2.9498317883209575</v>
      </c>
    </row>
    <row r="35" spans="1:20" x14ac:dyDescent="0.25">
      <c r="A35" s="5">
        <v>44558</v>
      </c>
      <c r="B35">
        <v>0.83099999999999996</v>
      </c>
      <c r="C35">
        <v>0.85540000000000005</v>
      </c>
      <c r="D35">
        <v>0.73499999999999999</v>
      </c>
      <c r="E35">
        <v>0.75129999999999997</v>
      </c>
      <c r="F35">
        <v>5751650</v>
      </c>
      <c r="G35">
        <v>0.75129999999999997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-0.7292358803986716</v>
      </c>
      <c r="Q35">
        <f t="shared" ref="Q35" si="151">F35*P35</f>
        <v>-4194309.5514950193</v>
      </c>
      <c r="R35">
        <f t="shared" ref="R35" si="152">R36+Q35</f>
        <v>-293418836.0174104</v>
      </c>
      <c r="S35">
        <f t="shared" ref="S35" si="153">R35/100000</f>
        <v>-2934.1883601741038</v>
      </c>
      <c r="T35">
        <f t="shared" ref="T35" si="154">S35/1000</f>
        <v>-2.9341883601741037</v>
      </c>
    </row>
    <row r="36" spans="1:20" x14ac:dyDescent="0.25">
      <c r="A36" s="5">
        <v>44557</v>
      </c>
      <c r="B36">
        <v>0.77280000000000004</v>
      </c>
      <c r="C36">
        <v>1.1346000000000001</v>
      </c>
      <c r="D36">
        <v>0.77</v>
      </c>
      <c r="E36">
        <v>0.82979999999999998</v>
      </c>
      <c r="F36">
        <v>17497056</v>
      </c>
      <c r="G36">
        <v>0.82979999999999998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-0.67196928140427892</v>
      </c>
      <c r="Q36">
        <f t="shared" ref="Q36" si="156">F36*P36</f>
        <v>-11757484.147010427</v>
      </c>
      <c r="R36">
        <f t="shared" ref="R36" si="157">R37+Q36</f>
        <v>-289224526.46591538</v>
      </c>
      <c r="S36">
        <f t="shared" ref="S36" si="158">R36/100000</f>
        <v>-2892.2452646591537</v>
      </c>
      <c r="T36">
        <f t="shared" ref="T36" si="159">S36/1000</f>
        <v>-2.8922452646591537</v>
      </c>
    </row>
    <row r="37" spans="1:20" x14ac:dyDescent="0.25">
      <c r="A37" s="5">
        <v>44556</v>
      </c>
      <c r="B37">
        <v>0.77400000000000002</v>
      </c>
      <c r="C37">
        <v>0.78649999999999998</v>
      </c>
      <c r="D37">
        <v>0.74709999999999999</v>
      </c>
      <c r="E37">
        <v>0.77029999999999998</v>
      </c>
      <c r="F37">
        <v>1331315</v>
      </c>
      <c r="G37">
        <v>0.77029999999999998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0.17766497461928954</v>
      </c>
      <c r="Q37">
        <f t="shared" ref="Q37" si="161">F37*P37</f>
        <v>236528.04568527945</v>
      </c>
      <c r="R37">
        <f t="shared" ref="R37" si="162">R38+Q37</f>
        <v>-277467042.31890494</v>
      </c>
      <c r="S37">
        <f t="shared" ref="S37" si="163">R37/100000</f>
        <v>-2774.6704231890494</v>
      </c>
      <c r="T37">
        <f t="shared" ref="T37" si="164">S37/1000</f>
        <v>-2.7746704231890496</v>
      </c>
    </row>
    <row r="38" spans="1:20" x14ac:dyDescent="0.25">
      <c r="A38" s="5">
        <v>44555</v>
      </c>
      <c r="B38">
        <v>0.78610000000000002</v>
      </c>
      <c r="C38">
        <v>0.81499999999999995</v>
      </c>
      <c r="D38">
        <v>0.76649999999999996</v>
      </c>
      <c r="E38">
        <v>0.77229999999999999</v>
      </c>
      <c r="F38">
        <v>2811141</v>
      </c>
      <c r="G38">
        <v>0.77229999999999999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-0.76082474226804009</v>
      </c>
      <c r="Q38">
        <f t="shared" ref="Q38" si="166">F38*P38</f>
        <v>-2138785.6268041204</v>
      </c>
      <c r="R38">
        <f t="shared" ref="R38" si="167">R39+Q38</f>
        <v>-277703570.36459023</v>
      </c>
      <c r="S38">
        <f t="shared" ref="S38" si="168">R38/100000</f>
        <v>-2777.0357036459022</v>
      </c>
      <c r="T38">
        <f t="shared" ref="T38" si="169">S38/1000</f>
        <v>-2.7770357036459021</v>
      </c>
    </row>
    <row r="39" spans="1:20" x14ac:dyDescent="0.25">
      <c r="A39" s="5">
        <v>44554</v>
      </c>
      <c r="B39">
        <v>0.73770000000000002</v>
      </c>
      <c r="C39">
        <v>0.82</v>
      </c>
      <c r="D39">
        <v>0.71799999999999997</v>
      </c>
      <c r="E39">
        <v>0.78559999999999997</v>
      </c>
      <c r="F39">
        <v>4246791</v>
      </c>
      <c r="G39">
        <v>0.78559999999999997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0.32549019607843149</v>
      </c>
      <c r="Q39">
        <f t="shared" ref="Q39" si="171">F39*P39</f>
        <v>1382288.8352941182</v>
      </c>
      <c r="R39">
        <f t="shared" ref="R39" si="172">R40+Q39</f>
        <v>-275564784.73778611</v>
      </c>
      <c r="S39">
        <f t="shared" ref="S39" si="173">R39/100000</f>
        <v>-2755.6478473778611</v>
      </c>
      <c r="T39">
        <f t="shared" ref="T39" si="174">S39/1000</f>
        <v>-2.7556478473778609</v>
      </c>
    </row>
    <row r="40" spans="1:20" x14ac:dyDescent="0.25">
      <c r="A40" s="5">
        <v>44553</v>
      </c>
      <c r="B40">
        <v>0.7157</v>
      </c>
      <c r="C40">
        <v>0.745</v>
      </c>
      <c r="D40">
        <v>0.69750000000000001</v>
      </c>
      <c r="E40">
        <v>0.73750000000000004</v>
      </c>
      <c r="F40">
        <v>3663274</v>
      </c>
      <c r="G40">
        <v>0.73750000000000004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0.68421052631579149</v>
      </c>
      <c r="Q40">
        <f t="shared" ref="Q40" si="176">F40*P40</f>
        <v>2506450.6315789549</v>
      </c>
      <c r="R40">
        <f t="shared" ref="R40" si="177">R41+Q40</f>
        <v>-276947073.57308024</v>
      </c>
      <c r="S40">
        <f t="shared" ref="S40" si="178">R40/100000</f>
        <v>-2769.4707357308025</v>
      </c>
      <c r="T40">
        <f t="shared" ref="T40" si="179">S40/1000</f>
        <v>-2.7694707357308026</v>
      </c>
    </row>
    <row r="41" spans="1:20" x14ac:dyDescent="0.25">
      <c r="A41" s="5">
        <v>44552</v>
      </c>
      <c r="B41">
        <v>0.69650000000000001</v>
      </c>
      <c r="C41">
        <v>0.751</v>
      </c>
      <c r="D41">
        <v>0.69040000000000001</v>
      </c>
      <c r="E41">
        <v>0.71540000000000004</v>
      </c>
      <c r="F41">
        <v>8430662</v>
      </c>
      <c r="G41">
        <v>0.71540000000000004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-0.17491749174917401</v>
      </c>
      <c r="Q41">
        <f t="shared" ref="Q41" si="181">F41*P41</f>
        <v>-1474670.2508250747</v>
      </c>
      <c r="R41">
        <f t="shared" ref="R41" si="182">R42+Q41</f>
        <v>-279453524.20465922</v>
      </c>
      <c r="S41">
        <f t="shared" ref="S41" si="183">R41/100000</f>
        <v>-2794.5352420465924</v>
      </c>
      <c r="T41">
        <f t="shared" ref="T41" si="184">S41/1000</f>
        <v>-2.7945352420465923</v>
      </c>
    </row>
    <row r="42" spans="1:20" x14ac:dyDescent="0.25">
      <c r="A42" s="5">
        <v>44551</v>
      </c>
      <c r="B42">
        <v>0.67179999999999995</v>
      </c>
      <c r="C42">
        <v>0.72640000000000005</v>
      </c>
      <c r="D42">
        <v>0.66090000000000004</v>
      </c>
      <c r="E42">
        <v>0.69810000000000005</v>
      </c>
      <c r="F42">
        <v>5179653</v>
      </c>
      <c r="G42">
        <v>0.69810000000000005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0.13587786259542015</v>
      </c>
      <c r="Q42">
        <f t="shared" ref="Q42" si="186">F42*P42</f>
        <v>703800.17862595571</v>
      </c>
      <c r="R42">
        <f t="shared" ref="R42" si="187">R43+Q42</f>
        <v>-277978853.95383418</v>
      </c>
      <c r="S42">
        <f t="shared" ref="S42" si="188">R42/100000</f>
        <v>-2779.7885395383419</v>
      </c>
      <c r="T42">
        <f t="shared" ref="T42" si="189">S42/1000</f>
        <v>-2.7797885395383419</v>
      </c>
    </row>
    <row r="43" spans="1:20" x14ac:dyDescent="0.25">
      <c r="A43" s="5">
        <v>44550</v>
      </c>
      <c r="B43">
        <v>0.72840000000000005</v>
      </c>
      <c r="C43">
        <v>0.74690000000000001</v>
      </c>
      <c r="D43">
        <v>0.65480000000000005</v>
      </c>
      <c r="E43">
        <v>0.6714</v>
      </c>
      <c r="F43">
        <v>8912469</v>
      </c>
      <c r="G43">
        <v>0.6714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-0.63952225841476751</v>
      </c>
      <c r="Q43">
        <f t="shared" ref="Q43" si="191">F43*P43</f>
        <v>-5699722.3029316049</v>
      </c>
      <c r="R43">
        <f t="shared" ref="R43" si="192">R44+Q43</f>
        <v>-278682654.13246012</v>
      </c>
      <c r="S43">
        <f t="shared" ref="S43" si="193">R43/100000</f>
        <v>-2786.8265413246013</v>
      </c>
      <c r="T43">
        <f t="shared" ref="T43" si="194">S43/1000</f>
        <v>-2.7868265413246012</v>
      </c>
    </row>
    <row r="44" spans="1:20" x14ac:dyDescent="0.25">
      <c r="A44" s="5">
        <v>44549</v>
      </c>
      <c r="B44">
        <v>0.67649999999999999</v>
      </c>
      <c r="C44">
        <v>0.83</v>
      </c>
      <c r="D44">
        <v>0.66479999999999995</v>
      </c>
      <c r="E44">
        <v>0.72889999999999999</v>
      </c>
      <c r="F44">
        <v>18464499</v>
      </c>
      <c r="G44">
        <v>0.72889999999999999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-0.22397094430992687</v>
      </c>
      <c r="Q44">
        <f t="shared" ref="Q44" si="196">F44*P44</f>
        <v>-4135511.2772397003</v>
      </c>
      <c r="R44">
        <f t="shared" ref="R44" si="197">R45+Q44</f>
        <v>-272982931.82952851</v>
      </c>
      <c r="S44">
        <f t="shared" ref="S44" si="198">R44/100000</f>
        <v>-2729.8293182952852</v>
      </c>
      <c r="T44">
        <f t="shared" ref="T44" si="199">S44/1000</f>
        <v>-2.7298293182952853</v>
      </c>
    </row>
    <row r="45" spans="1:20" x14ac:dyDescent="0.25">
      <c r="A45" s="5">
        <v>44548</v>
      </c>
      <c r="B45">
        <v>0.63080000000000003</v>
      </c>
      <c r="C45">
        <v>0.77459999999999996</v>
      </c>
      <c r="D45">
        <v>0.62039999999999995</v>
      </c>
      <c r="E45">
        <v>0.67569999999999997</v>
      </c>
      <c r="F45">
        <v>8332207</v>
      </c>
      <c r="G45">
        <v>0.67569999999999997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-0.28274967574578452</v>
      </c>
      <c r="Q45">
        <f t="shared" ref="Q45" si="201">F45*P45</f>
        <v>-2355928.8274967559</v>
      </c>
      <c r="R45">
        <f t="shared" ref="R45" si="202">R46+Q45</f>
        <v>-268847420.55228883</v>
      </c>
      <c r="S45">
        <f t="shared" ref="S45" si="203">R45/100000</f>
        <v>-2688.4742055228885</v>
      </c>
      <c r="T45">
        <f t="shared" ref="T45" si="204">S45/1000</f>
        <v>-2.6884742055228883</v>
      </c>
    </row>
    <row r="46" spans="1:20" x14ac:dyDescent="0.25">
      <c r="A46" s="5">
        <v>44547</v>
      </c>
      <c r="B46">
        <v>0.65449999999999997</v>
      </c>
      <c r="C46">
        <v>0.68920000000000003</v>
      </c>
      <c r="D46">
        <v>0.61899999999999999</v>
      </c>
      <c r="E46">
        <v>0.63219999999999998</v>
      </c>
      <c r="F46">
        <v>4364901</v>
      </c>
      <c r="G46">
        <v>0.63219999999999998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-0.62393162393162449</v>
      </c>
      <c r="Q46">
        <f t="shared" ref="Q46" si="206">F46*P46</f>
        <v>-2723399.7692307718</v>
      </c>
      <c r="R46">
        <f t="shared" ref="R46" si="207">R47+Q46</f>
        <v>-266491491.72479209</v>
      </c>
      <c r="S46">
        <f t="shared" ref="S46" si="208">R46/100000</f>
        <v>-2664.914917247921</v>
      </c>
      <c r="T46">
        <f t="shared" ref="T46" si="209">S46/1000</f>
        <v>-2.6649149172479212</v>
      </c>
    </row>
    <row r="47" spans="1:20" x14ac:dyDescent="0.25">
      <c r="A47" s="5">
        <v>44546</v>
      </c>
      <c r="B47">
        <v>0.65790000000000004</v>
      </c>
      <c r="C47">
        <v>0.71199999999999997</v>
      </c>
      <c r="D47">
        <v>0.63900000000000001</v>
      </c>
      <c r="E47">
        <v>0.65590000000000004</v>
      </c>
      <c r="F47">
        <v>3599045</v>
      </c>
      <c r="G47">
        <v>0.65590000000000004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-0.53698630136986203</v>
      </c>
      <c r="Q47">
        <f t="shared" ref="Q47" si="211">F47*P47</f>
        <v>-1932637.863013695</v>
      </c>
      <c r="R47">
        <f t="shared" ref="R47" si="212">R48+Q47</f>
        <v>-263768091.95556131</v>
      </c>
      <c r="S47">
        <f t="shared" ref="S47" si="213">R47/100000</f>
        <v>-2637.6809195556129</v>
      </c>
      <c r="T47">
        <f t="shared" ref="T47" si="214">S47/1000</f>
        <v>-2.637680919555613</v>
      </c>
    </row>
    <row r="48" spans="1:20" x14ac:dyDescent="0.25">
      <c r="A48" s="5">
        <v>44545</v>
      </c>
      <c r="B48">
        <v>0.64910000000000001</v>
      </c>
      <c r="C48">
        <v>0.67430000000000001</v>
      </c>
      <c r="D48">
        <v>0.60150000000000003</v>
      </c>
      <c r="E48">
        <v>0.65790000000000004</v>
      </c>
      <c r="F48">
        <v>5363451</v>
      </c>
      <c r="G48">
        <v>0.65790000000000004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0.54945054945055016</v>
      </c>
      <c r="Q48">
        <f t="shared" ref="Q48" si="216">F48*P48</f>
        <v>2946951.0989011028</v>
      </c>
      <c r="R48">
        <f t="shared" ref="R48" si="217">R49+Q48</f>
        <v>-261835454.09254763</v>
      </c>
      <c r="S48">
        <f t="shared" ref="S48" si="218">R48/100000</f>
        <v>-2618.3545409254762</v>
      </c>
      <c r="T48">
        <f t="shared" ref="T48" si="219">S48/1000</f>
        <v>-2.618354540925476</v>
      </c>
    </row>
    <row r="49" spans="1:20" x14ac:dyDescent="0.25">
      <c r="A49" s="5">
        <v>44544</v>
      </c>
      <c r="B49">
        <v>0.64900000000000002</v>
      </c>
      <c r="C49">
        <v>0.65339999999999998</v>
      </c>
      <c r="D49">
        <v>0.60460000000000003</v>
      </c>
      <c r="E49">
        <v>0.64759999999999995</v>
      </c>
      <c r="F49">
        <v>2974235</v>
      </c>
      <c r="G49">
        <v>0.64759999999999995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0.76229508196721174</v>
      </c>
      <c r="Q49">
        <f t="shared" ref="Q49" si="221">F49*P49</f>
        <v>2267244.7131147501</v>
      </c>
      <c r="R49">
        <f t="shared" ref="R49" si="222">R50+Q49</f>
        <v>-264782405.19144872</v>
      </c>
      <c r="S49">
        <f t="shared" ref="S49" si="223">R49/100000</f>
        <v>-2647.824051914487</v>
      </c>
      <c r="T49">
        <f t="shared" ref="T49" si="224">S49/1000</f>
        <v>-2.6478240519144869</v>
      </c>
    </row>
    <row r="50" spans="1:20" x14ac:dyDescent="0.25">
      <c r="A50" s="5">
        <v>44543</v>
      </c>
      <c r="B50">
        <v>0.71020000000000005</v>
      </c>
      <c r="C50">
        <v>0.71150000000000002</v>
      </c>
      <c r="D50">
        <v>0.62070000000000003</v>
      </c>
      <c r="E50">
        <v>0.64890000000000003</v>
      </c>
      <c r="F50">
        <v>3901576</v>
      </c>
      <c r="G50">
        <v>0.64890000000000003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-0.37885462555066068</v>
      </c>
      <c r="Q50">
        <f t="shared" ref="Q50" si="226">F50*P50</f>
        <v>-1478130.1145374444</v>
      </c>
      <c r="R50">
        <f t="shared" ref="R50" si="227">R51+Q50</f>
        <v>-267049649.90456346</v>
      </c>
      <c r="S50">
        <f t="shared" ref="S50" si="228">R50/100000</f>
        <v>-2670.4964990456347</v>
      </c>
      <c r="T50">
        <f t="shared" ref="T50" si="229">S50/1000</f>
        <v>-2.6704964990456346</v>
      </c>
    </row>
    <row r="51" spans="1:20" x14ac:dyDescent="0.25">
      <c r="A51" s="5">
        <v>44542</v>
      </c>
      <c r="B51">
        <v>0.71479999999999999</v>
      </c>
      <c r="C51">
        <v>0.72370000000000001</v>
      </c>
      <c r="D51">
        <v>0.68069999999999997</v>
      </c>
      <c r="E51">
        <v>0.71020000000000005</v>
      </c>
      <c r="F51">
        <v>2516392</v>
      </c>
      <c r="G51">
        <v>0.71020000000000005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0.37209302325581656</v>
      </c>
      <c r="Q51">
        <f t="shared" ref="Q51" si="231">F51*P51</f>
        <v>936331.9069767507</v>
      </c>
      <c r="R51">
        <f t="shared" ref="R51" si="232">R52+Q51</f>
        <v>-265571519.79002601</v>
      </c>
      <c r="S51">
        <f t="shared" ref="S51" si="233">R51/100000</f>
        <v>-2655.7151979002601</v>
      </c>
      <c r="T51">
        <f t="shared" ref="T51" si="234">S51/1000</f>
        <v>-2.65571519790026</v>
      </c>
    </row>
    <row r="52" spans="1:20" x14ac:dyDescent="0.25">
      <c r="A52" s="5">
        <v>44541</v>
      </c>
      <c r="B52">
        <v>0.68079999999999996</v>
      </c>
      <c r="C52">
        <v>0.68969999999999998</v>
      </c>
      <c r="D52">
        <v>0.66820000000000002</v>
      </c>
      <c r="E52">
        <v>0.68669999999999998</v>
      </c>
      <c r="F52">
        <v>317972</v>
      </c>
      <c r="G52">
        <v>0.68669999999999998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0.72093023255813882</v>
      </c>
      <c r="Q52">
        <f t="shared" ref="Q52" si="236">F52*P52</f>
        <v>229235.62790697653</v>
      </c>
      <c r="R52">
        <f t="shared" ref="R52" si="237">R53+Q52</f>
        <v>-266507851.69700277</v>
      </c>
      <c r="S52">
        <f t="shared" ref="S52" si="238">R52/100000</f>
        <v>-2665.0785169700275</v>
      </c>
      <c r="T52">
        <f t="shared" ref="T52" si="239">S52/1000</f>
        <v>-2.6650785169700275</v>
      </c>
    </row>
    <row r="53" spans="1:20" x14ac:dyDescent="0.25">
      <c r="A53" s="5">
        <v>44540</v>
      </c>
      <c r="B53">
        <v>0.72460000000000002</v>
      </c>
      <c r="C53">
        <v>0.76829999999999998</v>
      </c>
      <c r="D53">
        <v>0.67220000000000002</v>
      </c>
      <c r="E53">
        <v>0.6794</v>
      </c>
      <c r="F53">
        <v>4638312</v>
      </c>
      <c r="G53">
        <v>0.6794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-0.85015608740894932</v>
      </c>
      <c r="Q53">
        <f t="shared" ref="Q53" si="241">F53*P53</f>
        <v>-3943289.1821019785</v>
      </c>
      <c r="R53">
        <f t="shared" ref="R53" si="242">R54+Q53</f>
        <v>-266737087.32490975</v>
      </c>
      <c r="S53">
        <f t="shared" ref="S53" si="243">R53/100000</f>
        <v>-2667.3708732490973</v>
      </c>
      <c r="T53">
        <f t="shared" ref="T53" si="244">S53/1000</f>
        <v>-2.6673708732490971</v>
      </c>
    </row>
    <row r="54" spans="1:20" x14ac:dyDescent="0.25">
      <c r="A54" s="5">
        <v>44539</v>
      </c>
      <c r="B54">
        <v>0.79690000000000005</v>
      </c>
      <c r="C54">
        <v>0.82379999999999998</v>
      </c>
      <c r="D54">
        <v>0.72160000000000002</v>
      </c>
      <c r="E54">
        <v>0.72560000000000002</v>
      </c>
      <c r="F54">
        <v>6878101</v>
      </c>
      <c r="G54">
        <v>0.72560000000000002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-0.92172211350293531</v>
      </c>
      <c r="Q54">
        <f t="shared" ref="Q54" si="246">F54*P54</f>
        <v>-6339697.7906066533</v>
      </c>
      <c r="R54">
        <f t="shared" ref="R54" si="247">R55+Q54</f>
        <v>-262793798.14280778</v>
      </c>
      <c r="S54">
        <f t="shared" ref="S54" si="248">R54/100000</f>
        <v>-2627.9379814280778</v>
      </c>
      <c r="T54">
        <f t="shared" ref="T54" si="249">S54/1000</f>
        <v>-2.6279379814280777</v>
      </c>
    </row>
    <row r="55" spans="1:20" x14ac:dyDescent="0.25">
      <c r="A55" s="5">
        <v>44538</v>
      </c>
      <c r="B55">
        <v>0.76139999999999997</v>
      </c>
      <c r="C55">
        <v>0.83609999999999995</v>
      </c>
      <c r="D55">
        <v>0.75080000000000002</v>
      </c>
      <c r="E55">
        <v>0.79679999999999995</v>
      </c>
      <c r="F55">
        <v>5571157</v>
      </c>
      <c r="G55">
        <v>0.79679999999999995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7.8546307151230177E-2</v>
      </c>
      <c r="Q55">
        <f t="shared" ref="Q55" si="251">F55*P55</f>
        <v>437593.80890972604</v>
      </c>
      <c r="R55">
        <f t="shared" ref="R55" si="252">R56+Q55</f>
        <v>-256454100.35220113</v>
      </c>
      <c r="S55">
        <f t="shared" ref="S55" si="253">R55/100000</f>
        <v>-2564.5410035220111</v>
      </c>
      <c r="T55">
        <f t="shared" ref="T55" si="254">S55/1000</f>
        <v>-2.5645410035220113</v>
      </c>
    </row>
    <row r="56" spans="1:20" x14ac:dyDescent="0.25">
      <c r="A56" s="5">
        <v>44537</v>
      </c>
      <c r="B56">
        <v>0.79359999999999997</v>
      </c>
      <c r="C56">
        <v>0.83199999999999996</v>
      </c>
      <c r="D56">
        <v>0.74919999999999998</v>
      </c>
      <c r="E56">
        <v>0.76180000000000003</v>
      </c>
      <c r="F56">
        <v>3075120</v>
      </c>
      <c r="G56">
        <v>0.76180000000000003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-0.69565217391304213</v>
      </c>
      <c r="Q56">
        <f t="shared" ref="Q56" si="256">F56*P56</f>
        <v>-2139213.9130434743</v>
      </c>
      <c r="R56">
        <f t="shared" ref="R56" si="257">R57+Q56</f>
        <v>-256891694.16111085</v>
      </c>
      <c r="S56">
        <f t="shared" ref="S56" si="258">R56/100000</f>
        <v>-2568.9169416111085</v>
      </c>
      <c r="T56">
        <f t="shared" ref="T56" si="259">S56/1000</f>
        <v>-2.5689169416111084</v>
      </c>
    </row>
    <row r="57" spans="1:20" x14ac:dyDescent="0.25">
      <c r="A57" s="5">
        <v>44536</v>
      </c>
      <c r="B57">
        <v>0.78580000000000005</v>
      </c>
      <c r="C57">
        <v>0.79430000000000001</v>
      </c>
      <c r="D57">
        <v>0.70440000000000003</v>
      </c>
      <c r="E57">
        <v>0.79390000000000005</v>
      </c>
      <c r="F57">
        <v>2421614</v>
      </c>
      <c r="G57">
        <v>0.79390000000000005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0.99110122358175845</v>
      </c>
      <c r="Q57">
        <f t="shared" ref="Q57" si="261">F57*P57</f>
        <v>2400064.5984427165</v>
      </c>
      <c r="R57">
        <f t="shared" ref="R57" si="262">R58+Q57</f>
        <v>-254752480.24806738</v>
      </c>
      <c r="S57">
        <f t="shared" ref="S57" si="263">R57/100000</f>
        <v>-2547.5248024806738</v>
      </c>
      <c r="T57">
        <f t="shared" ref="T57" si="264">S57/1000</f>
        <v>-2.5475248024806736</v>
      </c>
    </row>
    <row r="58" spans="1:20" x14ac:dyDescent="0.25">
      <c r="A58" s="5">
        <v>44535</v>
      </c>
      <c r="B58">
        <v>0.80789999999999995</v>
      </c>
      <c r="C58">
        <v>0.87780000000000002</v>
      </c>
      <c r="D58">
        <v>0.74099999999999999</v>
      </c>
      <c r="E58">
        <v>0.78590000000000004</v>
      </c>
      <c r="F58">
        <v>4315654</v>
      </c>
      <c r="G58">
        <v>0.78590000000000004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-0.34356725146198769</v>
      </c>
      <c r="Q58">
        <f t="shared" ref="Q58" si="266">F58*P58</f>
        <v>-1482717.3830409329</v>
      </c>
      <c r="R58">
        <f t="shared" ref="R58" si="267">R59+Q58</f>
        <v>-257152544.84651008</v>
      </c>
      <c r="S58">
        <f t="shared" ref="S58" si="268">R58/100000</f>
        <v>-2571.5254484651009</v>
      </c>
      <c r="T58">
        <f t="shared" ref="T58" si="269">S58/1000</f>
        <v>-2.5715254484651009</v>
      </c>
    </row>
    <row r="59" spans="1:20" x14ac:dyDescent="0.25">
      <c r="A59" s="5">
        <v>44534</v>
      </c>
      <c r="B59">
        <v>0.97030000000000005</v>
      </c>
      <c r="C59">
        <v>0.97030000000000005</v>
      </c>
      <c r="D59">
        <v>0.64400000000000002</v>
      </c>
      <c r="E59">
        <v>0.80769999999999997</v>
      </c>
      <c r="F59">
        <v>4341478</v>
      </c>
      <c r="G59">
        <v>0.80769999999999997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3.3711308611703303E-3</v>
      </c>
      <c r="Q59">
        <f t="shared" ref="Q59" si="271">F59*P59</f>
        <v>14635.690468892044</v>
      </c>
      <c r="R59">
        <f t="shared" ref="R59" si="272">R60+Q59</f>
        <v>-255669827.46346915</v>
      </c>
      <c r="S59">
        <f t="shared" ref="S59" si="273">R59/100000</f>
        <v>-2556.6982746346916</v>
      </c>
      <c r="T59">
        <f t="shared" ref="T59" si="274">S59/1000</f>
        <v>-2.5566982746346918</v>
      </c>
    </row>
    <row r="60" spans="1:20" x14ac:dyDescent="0.25">
      <c r="A60" s="5">
        <v>44533</v>
      </c>
      <c r="B60">
        <v>0.99039999999999995</v>
      </c>
      <c r="C60">
        <v>1.0427999999999999</v>
      </c>
      <c r="D60">
        <v>0.94630000000000003</v>
      </c>
      <c r="E60">
        <v>0.97060000000000002</v>
      </c>
      <c r="F60">
        <v>4760829</v>
      </c>
      <c r="G60">
        <v>0.97060000000000002</v>
      </c>
      <c r="L60" t="s">
        <v>8</v>
      </c>
      <c r="M60" t="s">
        <v>7</v>
      </c>
      <c r="N60" t="s">
        <v>8</v>
      </c>
      <c r="P60">
        <f t="shared" ref="P60" si="275">IF(C60=D60,0,((E60-D60)-(C60-E60))/(C60-D60))</f>
        <v>-0.49637305699481848</v>
      </c>
      <c r="Q60">
        <f t="shared" ref="Q60" si="276">F60*P60</f>
        <v>-2363147.2445595847</v>
      </c>
      <c r="R60">
        <f t="shared" ref="R60" si="277">R61+Q60</f>
        <v>-255684463.15393803</v>
      </c>
      <c r="S60">
        <f t="shared" ref="S60" si="278">R60/100000</f>
        <v>-2556.8446315393803</v>
      </c>
      <c r="T60">
        <f t="shared" ref="T60" si="279">S60/1000</f>
        <v>-2.5568446315393802</v>
      </c>
    </row>
    <row r="61" spans="1:20" x14ac:dyDescent="0.25">
      <c r="A61" s="5">
        <v>44532</v>
      </c>
      <c r="B61">
        <v>0.99939999999999996</v>
      </c>
      <c r="C61">
        <v>1.0254000000000001</v>
      </c>
      <c r="D61">
        <v>0.91839999999999999</v>
      </c>
      <c r="E61">
        <v>0.98939999999999995</v>
      </c>
      <c r="F61">
        <v>3225230</v>
      </c>
      <c r="G61">
        <v>0.98939999999999995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0.32710280373831568</v>
      </c>
      <c r="Q61">
        <f t="shared" ref="Q61" si="281">F61*P61</f>
        <v>1054981.7757009279</v>
      </c>
      <c r="R61">
        <f t="shared" ref="R61" si="282">R62+Q61</f>
        <v>-253321315.90937844</v>
      </c>
      <c r="S61">
        <f t="shared" ref="S61" si="283">R61/100000</f>
        <v>-2533.2131590937843</v>
      </c>
      <c r="T61">
        <f t="shared" ref="T61" si="284">S61/1000</f>
        <v>-2.5332131590937843</v>
      </c>
    </row>
    <row r="62" spans="1:20" x14ac:dyDescent="0.25">
      <c r="A62" s="5">
        <v>44531</v>
      </c>
      <c r="B62">
        <v>1.04</v>
      </c>
      <c r="C62">
        <v>1.07</v>
      </c>
      <c r="D62">
        <v>0.94910000000000005</v>
      </c>
      <c r="E62">
        <v>0.99950000000000006</v>
      </c>
      <c r="F62">
        <v>3817661</v>
      </c>
      <c r="G62">
        <v>0.99950000000000006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-0.16625310173697275</v>
      </c>
      <c r="Q62">
        <f t="shared" ref="Q62" si="286">F62*P62</f>
        <v>-634697.98263027309</v>
      </c>
      <c r="R62">
        <f t="shared" ref="R62" si="287">R63+Q62</f>
        <v>-254376297.68507937</v>
      </c>
      <c r="S62">
        <f t="shared" ref="S62" si="288">R62/100000</f>
        <v>-2543.7629768507936</v>
      </c>
      <c r="T62">
        <f t="shared" ref="T62" si="289">S62/1000</f>
        <v>-2.5437629768507937</v>
      </c>
    </row>
    <row r="63" spans="1:20" x14ac:dyDescent="0.25">
      <c r="A63" s="5">
        <v>44530</v>
      </c>
      <c r="B63">
        <v>1.0761000000000001</v>
      </c>
      <c r="C63">
        <v>1.19</v>
      </c>
      <c r="D63">
        <v>1.0102</v>
      </c>
      <c r="E63">
        <v>1.04</v>
      </c>
      <c r="F63">
        <v>12897184</v>
      </c>
      <c r="G63">
        <v>1.04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-0.66852057842046653</v>
      </c>
      <c r="Q63">
        <f t="shared" ref="Q63" si="291">F63*P63</f>
        <v>-8622032.9076751862</v>
      </c>
      <c r="R63">
        <f t="shared" ref="R63" si="292">R64+Q63</f>
        <v>-253741599.70244908</v>
      </c>
      <c r="S63">
        <f t="shared" ref="S63" si="293">R63/100000</f>
        <v>-2537.4159970244909</v>
      </c>
      <c r="T63">
        <f t="shared" ref="T63" si="294">S63/1000</f>
        <v>-2.5374159970244907</v>
      </c>
    </row>
    <row r="64" spans="1:20" x14ac:dyDescent="0.25">
      <c r="A64" s="5">
        <v>44529</v>
      </c>
      <c r="B64">
        <v>0.94479999999999997</v>
      </c>
      <c r="C64">
        <v>1.27</v>
      </c>
      <c r="D64">
        <v>0.92390000000000005</v>
      </c>
      <c r="E64">
        <v>1.0761000000000001</v>
      </c>
      <c r="F64">
        <v>17664315</v>
      </c>
      <c r="G64">
        <v>1.0761000000000001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-0.12048540884137522</v>
      </c>
      <c r="Q64">
        <f t="shared" ref="Q64" si="296">F64*P64</f>
        <v>-2128292.2146778367</v>
      </c>
      <c r="R64">
        <f t="shared" ref="R64" si="297">R65+Q64</f>
        <v>-245119566.79477391</v>
      </c>
      <c r="S64">
        <f t="shared" ref="S64" si="298">R64/100000</f>
        <v>-2451.1956679477389</v>
      </c>
      <c r="T64">
        <f t="shared" ref="T64" si="299">S64/1000</f>
        <v>-2.4511956679477391</v>
      </c>
    </row>
    <row r="65" spans="1:20" x14ac:dyDescent="0.25">
      <c r="A65" s="5">
        <v>44528</v>
      </c>
      <c r="B65">
        <v>0.99539999999999995</v>
      </c>
      <c r="C65">
        <v>0.99990000000000001</v>
      </c>
      <c r="D65">
        <v>0.85019999999999996</v>
      </c>
      <c r="E65">
        <v>0.9405</v>
      </c>
      <c r="F65">
        <v>1849767</v>
      </c>
      <c r="G65">
        <v>0.9405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0.20641282565130278</v>
      </c>
      <c r="Q65">
        <f t="shared" ref="Q65" si="301">F65*P65</f>
        <v>381815.63326653338</v>
      </c>
      <c r="R65">
        <f t="shared" ref="R65" si="302">R66+Q65</f>
        <v>-242991274.58009607</v>
      </c>
      <c r="S65">
        <f t="shared" ref="S65" si="303">R65/100000</f>
        <v>-2429.9127458009607</v>
      </c>
      <c r="T65">
        <f t="shared" ref="T65" si="304">S65/1000</f>
        <v>-2.4299127458009608</v>
      </c>
    </row>
    <row r="66" spans="1:20" x14ac:dyDescent="0.25">
      <c r="A66" s="5">
        <v>44527</v>
      </c>
      <c r="B66">
        <v>0.90510000000000002</v>
      </c>
      <c r="C66">
        <v>1.0459000000000001</v>
      </c>
      <c r="D66">
        <v>0.90110000000000001</v>
      </c>
      <c r="E66">
        <v>0.99339999999999995</v>
      </c>
      <c r="F66">
        <v>4040178</v>
      </c>
      <c r="G66">
        <v>0.99339999999999995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0.27486187845303744</v>
      </c>
      <c r="Q66">
        <f t="shared" ref="Q66" si="306">F66*P66</f>
        <v>1110490.9143646359</v>
      </c>
      <c r="R66">
        <f t="shared" ref="R66" si="307">R67+Q66</f>
        <v>-243373090.2133626</v>
      </c>
      <c r="S66">
        <f t="shared" ref="S66" si="308">R66/100000</f>
        <v>-2433.7309021336259</v>
      </c>
      <c r="T66">
        <f t="shared" ref="T66" si="309">S66/1000</f>
        <v>-2.4337309021336258</v>
      </c>
    </row>
    <row r="67" spans="1:20" x14ac:dyDescent="0.25">
      <c r="A67" s="5">
        <v>44526</v>
      </c>
      <c r="B67">
        <v>1.0008999999999999</v>
      </c>
      <c r="C67">
        <v>1.0085</v>
      </c>
      <c r="D67">
        <v>0.88290000000000002</v>
      </c>
      <c r="E67">
        <v>0.90749999999999997</v>
      </c>
      <c r="F67">
        <v>1744582</v>
      </c>
      <c r="G67">
        <v>0.90749999999999997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-0.60828025477707059</v>
      </c>
      <c r="Q67">
        <f t="shared" ref="Q67" si="311">F67*P67</f>
        <v>-1061194.7834394914</v>
      </c>
      <c r="R67">
        <f t="shared" ref="R67" si="312">R68+Q67</f>
        <v>-244483581.12772724</v>
      </c>
      <c r="S67">
        <f t="shared" ref="S67" si="313">R67/100000</f>
        <v>-2444.8358112772726</v>
      </c>
      <c r="T67">
        <f t="shared" ref="T67" si="314">S67/1000</f>
        <v>-2.4448358112772728</v>
      </c>
    </row>
    <row r="68" spans="1:20" x14ac:dyDescent="0.25">
      <c r="A68" s="5">
        <v>44525</v>
      </c>
      <c r="B68">
        <v>0.98799999999999999</v>
      </c>
      <c r="C68">
        <v>1.0458000000000001</v>
      </c>
      <c r="D68">
        <v>0.98</v>
      </c>
      <c r="E68">
        <v>1.0052000000000001</v>
      </c>
      <c r="F68">
        <v>1944171</v>
      </c>
      <c r="G68">
        <v>1.0052000000000001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-0.23404255319148692</v>
      </c>
      <c r="Q68">
        <f t="shared" ref="Q68" si="316">F68*P68</f>
        <v>-455018.74468084634</v>
      </c>
      <c r="R68">
        <f t="shared" ref="R68" si="317">R69+Q68</f>
        <v>-243422386.34428775</v>
      </c>
      <c r="S68">
        <f t="shared" ref="S68" si="318">R68/100000</f>
        <v>-2434.2238634428777</v>
      </c>
      <c r="T68">
        <f t="shared" ref="T68" si="319">S68/1000</f>
        <v>-2.4342238634428779</v>
      </c>
    </row>
    <row r="69" spans="1:20" x14ac:dyDescent="0.25">
      <c r="A69" s="5">
        <v>44524</v>
      </c>
      <c r="B69">
        <v>1.0607</v>
      </c>
      <c r="C69">
        <v>1.1458999999999999</v>
      </c>
      <c r="D69">
        <v>1.0113000000000001</v>
      </c>
      <c r="E69">
        <v>1.0164</v>
      </c>
      <c r="F69">
        <v>986481</v>
      </c>
      <c r="G69">
        <v>1.0164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-0.92421991084695554</v>
      </c>
      <c r="Q69">
        <f t="shared" ref="Q69" si="321">F69*P69</f>
        <v>-911725.38187221554</v>
      </c>
      <c r="R69">
        <f t="shared" ref="R69" si="322">R70+Q69</f>
        <v>-242967367.5996069</v>
      </c>
      <c r="S69">
        <f t="shared" ref="S69" si="323">R69/100000</f>
        <v>-2429.6736759960691</v>
      </c>
      <c r="T69">
        <f t="shared" ref="T69" si="324">S69/1000</f>
        <v>-2.4296736759960691</v>
      </c>
    </row>
    <row r="70" spans="1:20" x14ac:dyDescent="0.25">
      <c r="A70" s="5">
        <v>44523</v>
      </c>
      <c r="B70">
        <v>1.0848</v>
      </c>
      <c r="C70">
        <v>1.1516999999999999</v>
      </c>
      <c r="D70">
        <v>1.0450999999999999</v>
      </c>
      <c r="E70">
        <v>1.0607</v>
      </c>
      <c r="F70">
        <v>4147841</v>
      </c>
      <c r="G70">
        <v>1.0607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-0.70731707317073067</v>
      </c>
      <c r="Q70">
        <f t="shared" ref="Q70" si="326">F70*P70</f>
        <v>-2933838.7560975566</v>
      </c>
      <c r="R70">
        <f t="shared" ref="R70" si="327">R71+Q70</f>
        <v>-242055642.21773469</v>
      </c>
      <c r="S70">
        <f t="shared" ref="S70" si="328">R70/100000</f>
        <v>-2420.556422177347</v>
      </c>
      <c r="T70">
        <f t="shared" ref="T70" si="329">S70/1000</f>
        <v>-2.4205564221773472</v>
      </c>
    </row>
    <row r="71" spans="1:20" x14ac:dyDescent="0.25">
      <c r="A71" s="5">
        <v>44522</v>
      </c>
      <c r="B71">
        <v>1.1244000000000001</v>
      </c>
      <c r="C71">
        <v>1.4109</v>
      </c>
      <c r="D71">
        <v>1.02</v>
      </c>
      <c r="E71">
        <v>1.0855999999999999</v>
      </c>
      <c r="F71">
        <v>31853651</v>
      </c>
      <c r="G71">
        <v>1.0855999999999999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-0.6643642875415714</v>
      </c>
      <c r="Q71">
        <f t="shared" ref="Q71" si="331">F71*P71</f>
        <v>-21162428.152212862</v>
      </c>
      <c r="R71">
        <f t="shared" ref="R71" si="332">R72+Q71</f>
        <v>-239121803.46163714</v>
      </c>
      <c r="S71">
        <f t="shared" ref="S71" si="333">R71/100000</f>
        <v>-2391.2180346163714</v>
      </c>
      <c r="T71">
        <f t="shared" ref="T71" si="334">S71/1000</f>
        <v>-2.3912180346163714</v>
      </c>
    </row>
    <row r="72" spans="1:20" x14ac:dyDescent="0.25">
      <c r="A72" s="5">
        <v>44521</v>
      </c>
      <c r="B72">
        <v>0.97829999999999995</v>
      </c>
      <c r="C72">
        <v>1.5471999999999999</v>
      </c>
      <c r="D72">
        <v>0.94550000000000001</v>
      </c>
      <c r="E72">
        <v>1.1244000000000001</v>
      </c>
      <c r="F72">
        <v>26798391</v>
      </c>
      <c r="G72">
        <v>1.1244000000000001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-0.40535150407179626</v>
      </c>
      <c r="Q72">
        <f t="shared" ref="Q72" si="336">F72*P72</f>
        <v>-10862768.098554088</v>
      </c>
      <c r="R72">
        <f t="shared" ref="R72" si="337">R73+Q72</f>
        <v>-217959375.30942428</v>
      </c>
      <c r="S72">
        <f t="shared" ref="S72" si="338">R72/100000</f>
        <v>-2179.5937530942429</v>
      </c>
      <c r="T72">
        <f t="shared" ref="T72" si="339">S72/1000</f>
        <v>-2.1795937530942426</v>
      </c>
    </row>
    <row r="73" spans="1:20" x14ac:dyDescent="0.25">
      <c r="A73" s="5">
        <v>44520</v>
      </c>
      <c r="B73">
        <v>0.92769999999999997</v>
      </c>
      <c r="C73">
        <v>0.9889</v>
      </c>
      <c r="D73">
        <v>0.89710000000000001</v>
      </c>
      <c r="E73">
        <v>0.97650000000000003</v>
      </c>
      <c r="F73">
        <v>1599398</v>
      </c>
      <c r="G73">
        <v>0.97650000000000003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0.72984749455337761</v>
      </c>
      <c r="Q73">
        <f t="shared" ref="Q73" si="341">F73*P73</f>
        <v>1167316.623093683</v>
      </c>
      <c r="R73">
        <f t="shared" ref="R73" si="342">R74+Q73</f>
        <v>-207096607.21087021</v>
      </c>
      <c r="S73">
        <f t="shared" ref="S73" si="343">R73/100000</f>
        <v>-2070.9660721087021</v>
      </c>
      <c r="T73">
        <f t="shared" ref="T73" si="344">S73/1000</f>
        <v>-2.070966072108702</v>
      </c>
    </row>
    <row r="74" spans="1:20" x14ac:dyDescent="0.25">
      <c r="A74" s="5">
        <v>44519</v>
      </c>
      <c r="B74">
        <v>0.87060000000000004</v>
      </c>
      <c r="C74">
        <v>0.95</v>
      </c>
      <c r="D74">
        <v>0.83440000000000003</v>
      </c>
      <c r="E74">
        <v>0.9264</v>
      </c>
      <c r="F74">
        <v>1587156</v>
      </c>
      <c r="G74">
        <v>0.9264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0.59169550173010432</v>
      </c>
      <c r="Q74">
        <f t="shared" ref="Q74" si="346">F74*P74</f>
        <v>939113.06574394542</v>
      </c>
      <c r="R74">
        <f t="shared" ref="R74" si="347">R75+Q74</f>
        <v>-208263923.8339639</v>
      </c>
      <c r="S74">
        <f t="shared" ref="S74" si="348">R74/100000</f>
        <v>-2082.6392383396392</v>
      </c>
      <c r="T74">
        <f t="shared" ref="T74" si="349">S74/1000</f>
        <v>-2.082639238339639</v>
      </c>
    </row>
    <row r="75" spans="1:20" x14ac:dyDescent="0.25">
      <c r="A75" s="5">
        <v>44518</v>
      </c>
      <c r="B75">
        <v>0.96719999999999995</v>
      </c>
      <c r="C75">
        <v>0.98340000000000005</v>
      </c>
      <c r="D75">
        <v>0.85009999999999997</v>
      </c>
      <c r="E75">
        <v>0.87080000000000002</v>
      </c>
      <c r="F75">
        <v>1574593</v>
      </c>
      <c r="G75">
        <v>0.87080000000000002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-0.68942235558889664</v>
      </c>
      <c r="Q75">
        <f t="shared" ref="Q75" si="351">F75*P75</f>
        <v>-1085559.6151537874</v>
      </c>
      <c r="R75">
        <f t="shared" ref="R75" si="352">R76+Q75</f>
        <v>-209203036.89970785</v>
      </c>
      <c r="S75">
        <f t="shared" ref="S75" si="353">R75/100000</f>
        <v>-2092.0303689970783</v>
      </c>
      <c r="T75">
        <f t="shared" ref="T75" si="354">S75/1000</f>
        <v>-2.0920303689970785</v>
      </c>
    </row>
    <row r="76" spans="1:20" x14ac:dyDescent="0.25">
      <c r="A76" s="5">
        <v>44517</v>
      </c>
      <c r="B76">
        <v>0.97070000000000001</v>
      </c>
      <c r="C76">
        <v>0.98319999999999996</v>
      </c>
      <c r="D76">
        <v>0.94</v>
      </c>
      <c r="E76">
        <v>0.96740000000000004</v>
      </c>
      <c r="F76">
        <v>1169492</v>
      </c>
      <c r="G76">
        <v>0.96740000000000004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0.26851851851852226</v>
      </c>
      <c r="Q76">
        <f t="shared" ref="Q76" si="356">F76*P76</f>
        <v>314030.25925926364</v>
      </c>
      <c r="R76">
        <f t="shared" ref="R76" si="357">R77+Q76</f>
        <v>-208117477.28455406</v>
      </c>
      <c r="S76">
        <f t="shared" ref="S76" si="358">R76/100000</f>
        <v>-2081.1747728455407</v>
      </c>
      <c r="T76">
        <f t="shared" ref="T76" si="359">S76/1000</f>
        <v>-2.0811747728455408</v>
      </c>
    </row>
    <row r="77" spans="1:20" x14ac:dyDescent="0.25">
      <c r="A77" s="5">
        <v>44516</v>
      </c>
      <c r="B77">
        <v>1.0896999999999999</v>
      </c>
      <c r="C77">
        <v>1.0900000000000001</v>
      </c>
      <c r="D77">
        <v>0.93</v>
      </c>
      <c r="E77">
        <v>0.97160000000000002</v>
      </c>
      <c r="F77">
        <v>2585639</v>
      </c>
      <c r="G77">
        <v>0.97160000000000002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-0.48000000000000048</v>
      </c>
      <c r="Q77">
        <f t="shared" ref="Q77" si="361">F77*P77</f>
        <v>-1241106.7200000011</v>
      </c>
      <c r="R77">
        <f t="shared" ref="R77" si="362">R78+Q77</f>
        <v>-208431507.54381332</v>
      </c>
      <c r="S77">
        <f t="shared" ref="S77" si="363">R77/100000</f>
        <v>-2084.3150754381331</v>
      </c>
      <c r="T77">
        <f t="shared" ref="T77" si="364">S77/1000</f>
        <v>-2.0843150754381332</v>
      </c>
    </row>
    <row r="78" spans="1:20" x14ac:dyDescent="0.25">
      <c r="A78" s="5">
        <v>44515</v>
      </c>
      <c r="B78">
        <v>1.0801000000000001</v>
      </c>
      <c r="C78">
        <v>1.1651</v>
      </c>
      <c r="D78">
        <v>1.0667</v>
      </c>
      <c r="E78">
        <v>1.0899000000000001</v>
      </c>
      <c r="F78">
        <v>3103169</v>
      </c>
      <c r="G78">
        <v>1.0899000000000001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-0.52845528455284352</v>
      </c>
      <c r="Q78">
        <f t="shared" ref="Q78" si="366">F78*P78</f>
        <v>-1639886.0569105628</v>
      </c>
      <c r="R78">
        <f t="shared" ref="R78" si="367">R79+Q78</f>
        <v>-207190400.82381332</v>
      </c>
      <c r="S78">
        <f t="shared" ref="S78" si="368">R78/100000</f>
        <v>-2071.904008238133</v>
      </c>
      <c r="T78">
        <f t="shared" ref="T78" si="369">S78/1000</f>
        <v>-2.0719040082381328</v>
      </c>
    </row>
    <row r="79" spans="1:20" x14ac:dyDescent="0.25">
      <c r="A79" s="5">
        <v>44514</v>
      </c>
      <c r="B79">
        <v>1.0894999999999999</v>
      </c>
      <c r="C79">
        <v>1.1355999999999999</v>
      </c>
      <c r="D79">
        <v>1.0613999999999999</v>
      </c>
      <c r="E79">
        <v>1.0794999999999999</v>
      </c>
      <c r="F79">
        <v>1901636</v>
      </c>
      <c r="G79">
        <v>1.0794999999999999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-0.51212938005390851</v>
      </c>
      <c r="Q79">
        <f t="shared" ref="Q79" si="371">F79*P79</f>
        <v>-973883.66576819436</v>
      </c>
      <c r="R79">
        <f t="shared" ref="R79" si="372">R80+Q79</f>
        <v>-205550514.76690274</v>
      </c>
      <c r="S79">
        <f t="shared" ref="S79" si="373">R79/100000</f>
        <v>-2055.5051476690273</v>
      </c>
      <c r="T79">
        <f t="shared" ref="T79" si="374">S79/1000</f>
        <v>-2.0555051476690274</v>
      </c>
    </row>
    <row r="80" spans="1:20" x14ac:dyDescent="0.25">
      <c r="A80" s="5">
        <v>44513</v>
      </c>
      <c r="B80">
        <v>1.0621</v>
      </c>
      <c r="C80">
        <v>1.1599999999999999</v>
      </c>
      <c r="D80">
        <v>1.0145</v>
      </c>
      <c r="E80">
        <v>1.0896999999999999</v>
      </c>
      <c r="F80">
        <v>2211724</v>
      </c>
      <c r="G80">
        <v>1.0896999999999999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3.3676975945016535E-2</v>
      </c>
      <c r="Q80">
        <f t="shared" ref="Q80" si="376">F80*P80</f>
        <v>74484.175945015755</v>
      </c>
      <c r="R80">
        <f t="shared" ref="R80" si="377">R81+Q80</f>
        <v>-204576631.10113454</v>
      </c>
      <c r="S80">
        <f t="shared" ref="S80" si="378">R80/100000</f>
        <v>-2045.7663110113454</v>
      </c>
      <c r="T80">
        <f t="shared" ref="T80" si="379">S80/1000</f>
        <v>-2.0457663110113455</v>
      </c>
    </row>
    <row r="81" spans="1:20" x14ac:dyDescent="0.25">
      <c r="A81" s="5">
        <v>44512</v>
      </c>
      <c r="B81">
        <v>1.0983000000000001</v>
      </c>
      <c r="C81">
        <v>1.1142000000000001</v>
      </c>
      <c r="D81">
        <v>1.03</v>
      </c>
      <c r="E81">
        <v>1.0610999999999999</v>
      </c>
      <c r="F81">
        <v>3100527</v>
      </c>
      <c r="G81">
        <v>1.0610999999999999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-0.26128266033254427</v>
      </c>
      <c r="Q81">
        <f t="shared" ref="Q81" si="381">F81*P81</f>
        <v>-810113.94299288245</v>
      </c>
      <c r="R81">
        <f t="shared" ref="R81" si="382">R82+Q81</f>
        <v>-204651115.27707955</v>
      </c>
      <c r="S81">
        <f t="shared" ref="S81" si="383">R81/100000</f>
        <v>-2046.5111527707954</v>
      </c>
      <c r="T81">
        <f t="shared" ref="T81" si="384">S81/1000</f>
        <v>-2.0465111527707953</v>
      </c>
    </row>
    <row r="82" spans="1:20" x14ac:dyDescent="0.25">
      <c r="A82" s="5">
        <v>44511</v>
      </c>
      <c r="B82">
        <v>1.0742</v>
      </c>
      <c r="C82">
        <v>1.1152</v>
      </c>
      <c r="D82">
        <v>1.0609999999999999</v>
      </c>
      <c r="E82">
        <v>1.099</v>
      </c>
      <c r="F82">
        <v>1115167</v>
      </c>
      <c r="G82">
        <v>1.099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0.40221402214022195</v>
      </c>
      <c r="Q82">
        <f t="shared" ref="Q82" si="386">F82*P82</f>
        <v>448535.80442804488</v>
      </c>
      <c r="R82">
        <f t="shared" ref="R82" si="387">R83+Q82</f>
        <v>-203841001.33408666</v>
      </c>
      <c r="S82">
        <f t="shared" ref="S82" si="388">R82/100000</f>
        <v>-2038.4100133408665</v>
      </c>
      <c r="T82">
        <f t="shared" ref="T82" si="389">S82/1000</f>
        <v>-2.0384100133408665</v>
      </c>
    </row>
    <row r="83" spans="1:20" x14ac:dyDescent="0.25">
      <c r="A83" s="5">
        <v>44510</v>
      </c>
      <c r="B83">
        <v>1.1644000000000001</v>
      </c>
      <c r="C83">
        <v>1.1676</v>
      </c>
      <c r="D83">
        <v>1.04</v>
      </c>
      <c r="E83">
        <v>1.0746</v>
      </c>
      <c r="F83">
        <v>1715058</v>
      </c>
      <c r="G83">
        <v>1.0746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-0.45768025078369934</v>
      </c>
      <c r="Q83">
        <f t="shared" ref="Q83" si="391">F83*P83</f>
        <v>-784948.17554858979</v>
      </c>
      <c r="R83">
        <f t="shared" ref="R83" si="392">R84+Q83</f>
        <v>-204289537.1385147</v>
      </c>
      <c r="S83">
        <f t="shared" ref="S83" si="393">R83/100000</f>
        <v>-2042.895371385147</v>
      </c>
      <c r="T83">
        <f t="shared" ref="T83" si="394">S83/1000</f>
        <v>-2.0428953713851468</v>
      </c>
    </row>
    <row r="84" spans="1:20" x14ac:dyDescent="0.25">
      <c r="A84" s="5">
        <v>44509</v>
      </c>
      <c r="B84">
        <v>1.2464999999999999</v>
      </c>
      <c r="C84">
        <v>1.2559</v>
      </c>
      <c r="D84">
        <v>1.1398999999999999</v>
      </c>
      <c r="E84">
        <v>1.1644000000000001</v>
      </c>
      <c r="F84">
        <v>1451743</v>
      </c>
      <c r="G84">
        <v>1.1644000000000001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-0.57758620689654883</v>
      </c>
      <c r="Q84">
        <f t="shared" ref="Q84" si="396">F84*P84</f>
        <v>-838506.73275861645</v>
      </c>
      <c r="R84">
        <f t="shared" ref="R84" si="397">R85+Q84</f>
        <v>-203504588.96296611</v>
      </c>
      <c r="S84">
        <f t="shared" ref="S84" si="398">R84/100000</f>
        <v>-2035.0458896296611</v>
      </c>
      <c r="T84">
        <f t="shared" ref="T84" si="399">S84/1000</f>
        <v>-2.0350458896296613</v>
      </c>
    </row>
    <row r="85" spans="1:20" x14ac:dyDescent="0.25">
      <c r="A85" s="5">
        <v>44508</v>
      </c>
      <c r="B85">
        <v>1.1237999999999999</v>
      </c>
      <c r="C85">
        <v>1.3278000000000001</v>
      </c>
      <c r="D85">
        <v>1.0949</v>
      </c>
      <c r="E85">
        <v>1.2503</v>
      </c>
      <c r="F85">
        <v>5302835</v>
      </c>
      <c r="G85">
        <v>1.2503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0.33447831687419416</v>
      </c>
      <c r="Q85">
        <f t="shared" ref="Q85" si="401">F85*P85</f>
        <v>1773683.3254615674</v>
      </c>
      <c r="R85">
        <f t="shared" ref="R85" si="402">R86+Q85</f>
        <v>-202666082.2302075</v>
      </c>
      <c r="S85">
        <f t="shared" ref="S85" si="403">R85/100000</f>
        <v>-2026.6608223020751</v>
      </c>
      <c r="T85">
        <f t="shared" ref="T85" si="404">S85/1000</f>
        <v>-2.026660822302075</v>
      </c>
    </row>
    <row r="86" spans="1:20" x14ac:dyDescent="0.25">
      <c r="A86" s="5">
        <v>44507</v>
      </c>
      <c r="B86">
        <v>1.1046</v>
      </c>
      <c r="C86">
        <v>1.153</v>
      </c>
      <c r="D86">
        <v>1.1011</v>
      </c>
      <c r="E86">
        <v>1.1237999999999999</v>
      </c>
      <c r="F86">
        <v>934620</v>
      </c>
      <c r="G86">
        <v>1.1237999999999999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-0.12524084778420358</v>
      </c>
      <c r="Q86">
        <f t="shared" ref="Q86" si="406">F86*P86</f>
        <v>-117052.60115607236</v>
      </c>
      <c r="R86">
        <f t="shared" ref="R86" si="407">R87+Q86</f>
        <v>-204439765.55566907</v>
      </c>
      <c r="S86">
        <f t="shared" ref="S86" si="408">R86/100000</f>
        <v>-2044.3976555566908</v>
      </c>
      <c r="T86">
        <f t="shared" ref="T86" si="409">S86/1000</f>
        <v>-2.0443976555566907</v>
      </c>
    </row>
    <row r="87" spans="1:20" x14ac:dyDescent="0.25">
      <c r="A87" s="5">
        <v>44506</v>
      </c>
      <c r="B87">
        <v>1.131</v>
      </c>
      <c r="C87">
        <v>1.1434</v>
      </c>
      <c r="D87">
        <v>1.0842000000000001</v>
      </c>
      <c r="E87">
        <v>1.1046</v>
      </c>
      <c r="F87">
        <v>779356</v>
      </c>
      <c r="G87">
        <v>1.1046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-0.31081081081081074</v>
      </c>
      <c r="Q87">
        <f t="shared" ref="Q87" si="411">F87*P87</f>
        <v>-242232.27027027021</v>
      </c>
      <c r="R87">
        <f t="shared" ref="R87" si="412">R88+Q87</f>
        <v>-204322712.95451298</v>
      </c>
      <c r="S87">
        <f t="shared" ref="S87" si="413">R87/100000</f>
        <v>-2043.2271295451299</v>
      </c>
      <c r="T87">
        <f t="shared" ref="T87" si="414">S87/1000</f>
        <v>-2.0432271295451296</v>
      </c>
    </row>
    <row r="88" spans="1:20" x14ac:dyDescent="0.25">
      <c r="A88" s="5">
        <v>44505</v>
      </c>
      <c r="B88">
        <v>1.1559999999999999</v>
      </c>
      <c r="C88">
        <v>1.1636</v>
      </c>
      <c r="D88">
        <v>1.1046</v>
      </c>
      <c r="E88">
        <v>1.131</v>
      </c>
      <c r="F88">
        <v>1199641</v>
      </c>
      <c r="G88">
        <v>1.131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-0.10508474576271169</v>
      </c>
      <c r="Q88">
        <f t="shared" ref="Q88" si="416">F88*P88</f>
        <v>-126063.96949152522</v>
      </c>
      <c r="R88">
        <f t="shared" ref="R88" si="417">R89+Q88</f>
        <v>-204080480.68424273</v>
      </c>
      <c r="S88">
        <f t="shared" ref="S88" si="418">R88/100000</f>
        <v>-2040.8048068424273</v>
      </c>
      <c r="T88">
        <f t="shared" ref="T88" si="419">S88/1000</f>
        <v>-2.0408048068424272</v>
      </c>
    </row>
    <row r="89" spans="1:20" x14ac:dyDescent="0.25">
      <c r="A89" s="5">
        <v>44504</v>
      </c>
      <c r="B89">
        <v>1.1297999999999999</v>
      </c>
      <c r="C89">
        <v>1.1651</v>
      </c>
      <c r="D89">
        <v>1.0975999999999999</v>
      </c>
      <c r="E89">
        <v>1.1537999999999999</v>
      </c>
      <c r="F89">
        <v>2027237</v>
      </c>
      <c r="G89">
        <v>1.1537999999999999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0.6651851851851831</v>
      </c>
      <c r="Q89">
        <f t="shared" ref="Q89" si="421">F89*P89</f>
        <v>1348488.0192592551</v>
      </c>
      <c r="R89">
        <f t="shared" ref="R89" si="422">R90+Q89</f>
        <v>-203954416.71475121</v>
      </c>
      <c r="S89">
        <f t="shared" ref="S89" si="423">R89/100000</f>
        <v>-2039.5441671475121</v>
      </c>
      <c r="T89">
        <f t="shared" ref="T89" si="424">S89/1000</f>
        <v>-2.0395441671475121</v>
      </c>
    </row>
    <row r="90" spans="1:20" x14ac:dyDescent="0.25">
      <c r="A90" s="5">
        <v>44503</v>
      </c>
      <c r="B90">
        <v>1.1395999999999999</v>
      </c>
      <c r="C90">
        <v>1.169</v>
      </c>
      <c r="D90">
        <v>1.1000000000000001</v>
      </c>
      <c r="E90">
        <v>1.1297999999999999</v>
      </c>
      <c r="F90">
        <v>1771811</v>
      </c>
      <c r="G90">
        <v>1.1297999999999999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-0.13623188405797543</v>
      </c>
      <c r="Q90">
        <f t="shared" ref="Q90" si="426">F90*P90</f>
        <v>-241377.1507246455</v>
      </c>
      <c r="R90">
        <f t="shared" ref="R90" si="427">R91+Q90</f>
        <v>-205302904.73401046</v>
      </c>
      <c r="S90">
        <f t="shared" ref="S90" si="428">R90/100000</f>
        <v>-2053.0290473401046</v>
      </c>
      <c r="T90">
        <f t="shared" ref="T90" si="429">S90/1000</f>
        <v>-2.0530290473401047</v>
      </c>
    </row>
    <row r="91" spans="1:20" x14ac:dyDescent="0.25">
      <c r="A91" s="5">
        <v>44502</v>
      </c>
      <c r="B91">
        <v>1.1259999999999999</v>
      </c>
      <c r="C91">
        <v>1.1876</v>
      </c>
      <c r="D91">
        <v>1.1113</v>
      </c>
      <c r="E91">
        <v>1.1359999999999999</v>
      </c>
      <c r="F91">
        <v>1758514</v>
      </c>
      <c r="G91">
        <v>1.1359999999999999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-0.35255570117955615</v>
      </c>
      <c r="Q91">
        <f t="shared" ref="Q91" si="431">F91*P91</f>
        <v>-619974.13630406605</v>
      </c>
      <c r="R91">
        <f t="shared" ref="R91" si="432">R92+Q91</f>
        <v>-205061527.58328581</v>
      </c>
      <c r="S91">
        <f t="shared" ref="S91" si="433">R91/100000</f>
        <v>-2050.6152758328581</v>
      </c>
      <c r="T91">
        <f t="shared" ref="T91" si="434">S91/1000</f>
        <v>-2.050615275832858</v>
      </c>
    </row>
    <row r="92" spans="1:20" x14ac:dyDescent="0.25">
      <c r="A92" s="5">
        <v>44501</v>
      </c>
      <c r="B92">
        <v>1.1478999999999999</v>
      </c>
      <c r="C92">
        <v>1.24</v>
      </c>
      <c r="D92">
        <v>1.1089</v>
      </c>
      <c r="E92">
        <v>1.1259999999999999</v>
      </c>
      <c r="F92">
        <v>2138848</v>
      </c>
      <c r="G92">
        <v>1.1259999999999999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-0.73913043478261031</v>
      </c>
      <c r="Q92">
        <f t="shared" ref="Q92" si="436">F92*P92</f>
        <v>-1580887.6521739166</v>
      </c>
      <c r="R92">
        <f t="shared" ref="R92" si="437">R93+Q92</f>
        <v>-204441553.44698173</v>
      </c>
      <c r="S92">
        <f t="shared" ref="S92" si="438">R92/100000</f>
        <v>-2044.4155344698172</v>
      </c>
      <c r="T92">
        <f t="shared" ref="T92" si="439">S92/1000</f>
        <v>-2.0444155344698172</v>
      </c>
    </row>
    <row r="93" spans="1:20" x14ac:dyDescent="0.25">
      <c r="A93" s="5">
        <v>44500</v>
      </c>
      <c r="B93">
        <v>1.1027</v>
      </c>
      <c r="C93">
        <v>1.1909000000000001</v>
      </c>
      <c r="D93">
        <v>1.07</v>
      </c>
      <c r="E93">
        <v>1.1439999999999999</v>
      </c>
      <c r="F93">
        <v>3277257</v>
      </c>
      <c r="G93">
        <v>1.1439999999999999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0.22415219189412472</v>
      </c>
      <c r="Q93">
        <f t="shared" ref="Q93" si="441">F93*P93</f>
        <v>734604.3399503635</v>
      </c>
      <c r="R93">
        <f t="shared" ref="R93" si="442">R94+Q93</f>
        <v>-202860665.79480782</v>
      </c>
      <c r="S93">
        <f t="shared" ref="S93" si="443">R93/100000</f>
        <v>-2028.6066579480782</v>
      </c>
      <c r="T93">
        <f t="shared" ref="T93" si="444">S93/1000</f>
        <v>-2.0286066579480782</v>
      </c>
    </row>
    <row r="94" spans="1:20" x14ac:dyDescent="0.25">
      <c r="A94" s="5">
        <v>44499</v>
      </c>
      <c r="B94">
        <v>1.1567000000000001</v>
      </c>
      <c r="C94">
        <v>1.1615</v>
      </c>
      <c r="D94">
        <v>1.0589</v>
      </c>
      <c r="E94">
        <v>1.1027</v>
      </c>
      <c r="F94">
        <v>4200721</v>
      </c>
      <c r="G94">
        <v>1.1027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-0.14619883040935575</v>
      </c>
      <c r="Q94">
        <f t="shared" ref="Q94" si="446">F94*P94</f>
        <v>-614140.4970760193</v>
      </c>
      <c r="R94">
        <f t="shared" ref="R94" si="447">R95+Q94</f>
        <v>-203595270.13475817</v>
      </c>
      <c r="S94">
        <f t="shared" ref="S94" si="448">R94/100000</f>
        <v>-2035.9527013475818</v>
      </c>
      <c r="T94">
        <f t="shared" ref="T94" si="449">S94/1000</f>
        <v>-2.0359527013475818</v>
      </c>
    </row>
    <row r="95" spans="1:20" x14ac:dyDescent="0.25">
      <c r="A95" s="5">
        <v>44498</v>
      </c>
      <c r="B95">
        <v>1.1454</v>
      </c>
      <c r="C95">
        <v>1.1805000000000001</v>
      </c>
      <c r="D95">
        <v>1.1087</v>
      </c>
      <c r="E95">
        <v>1.1552</v>
      </c>
      <c r="F95">
        <v>1249392</v>
      </c>
      <c r="G95">
        <v>1.1552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0.29526462395542979</v>
      </c>
      <c r="Q95">
        <f t="shared" ref="Q95" si="451">F95*P95</f>
        <v>368901.25905292237</v>
      </c>
      <c r="R95">
        <f t="shared" ref="R95" si="452">R96+Q95</f>
        <v>-202981129.63768217</v>
      </c>
      <c r="S95">
        <f t="shared" ref="S95" si="453">R95/100000</f>
        <v>-2029.8112963768217</v>
      </c>
      <c r="T95">
        <f t="shared" ref="T95" si="454">S95/1000</f>
        <v>-2.0298112963768218</v>
      </c>
    </row>
    <row r="96" spans="1:20" x14ac:dyDescent="0.25">
      <c r="A96" s="5">
        <v>44497</v>
      </c>
      <c r="B96">
        <v>1.0435000000000001</v>
      </c>
      <c r="C96">
        <v>1.2743</v>
      </c>
      <c r="D96">
        <v>1.0324</v>
      </c>
      <c r="E96">
        <v>1.1417999999999999</v>
      </c>
      <c r="F96">
        <v>5351695</v>
      </c>
      <c r="G96">
        <v>1.1417999999999999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-9.5494005787516004E-2</v>
      </c>
      <c r="Q96">
        <f t="shared" ref="Q96" si="456">F96*P96</f>
        <v>-511054.79330302047</v>
      </c>
      <c r="R96">
        <f t="shared" ref="R96" si="457">R97+Q96</f>
        <v>-203350030.8967351</v>
      </c>
      <c r="S96">
        <f t="shared" ref="S96" si="458">R96/100000</f>
        <v>-2033.500308967351</v>
      </c>
      <c r="T96">
        <f t="shared" ref="T96" si="459">S96/1000</f>
        <v>-2.0335003089673509</v>
      </c>
    </row>
    <row r="97" spans="1:20" x14ac:dyDescent="0.25">
      <c r="A97" s="5">
        <v>44496</v>
      </c>
      <c r="B97">
        <v>1.2372000000000001</v>
      </c>
      <c r="C97">
        <v>1.2589999999999999</v>
      </c>
      <c r="D97">
        <v>0.92490000000000006</v>
      </c>
      <c r="E97">
        <v>1.0407</v>
      </c>
      <c r="F97">
        <v>1843236</v>
      </c>
      <c r="G97">
        <v>1.0407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-0.30679437294223311</v>
      </c>
      <c r="Q97">
        <f t="shared" ref="Q97" si="461">F97*P97</f>
        <v>-565494.43280454993</v>
      </c>
      <c r="R97">
        <f t="shared" ref="R97" si="462">R98+Q97</f>
        <v>-202838976.10343209</v>
      </c>
      <c r="S97">
        <f t="shared" ref="S97" si="463">R97/100000</f>
        <v>-2028.3897610343208</v>
      </c>
      <c r="T97">
        <f t="shared" ref="T97" si="464">S97/1000</f>
        <v>-2.0283897610343207</v>
      </c>
    </row>
    <row r="98" spans="1:20" x14ac:dyDescent="0.25">
      <c r="A98" s="5">
        <v>44495</v>
      </c>
      <c r="B98">
        <v>1.2737000000000001</v>
      </c>
      <c r="C98">
        <v>1.2742</v>
      </c>
      <c r="D98">
        <v>1.2272000000000001</v>
      </c>
      <c r="E98">
        <v>1.2372000000000001</v>
      </c>
      <c r="F98">
        <v>1011431</v>
      </c>
      <c r="G98">
        <v>1.2372000000000001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-0.57446808510638192</v>
      </c>
      <c r="Q98">
        <f t="shared" ref="Q98" si="466">F98*P98</f>
        <v>-581034.82978723303</v>
      </c>
      <c r="R98">
        <f t="shared" ref="R98" si="467">R99+Q98</f>
        <v>-202273481.67062753</v>
      </c>
      <c r="S98">
        <f t="shared" ref="S98" si="468">R98/100000</f>
        <v>-2022.7348167062753</v>
      </c>
      <c r="T98">
        <f t="shared" ref="T98" si="469">S98/1000</f>
        <v>-2.0227348167062753</v>
      </c>
    </row>
    <row r="99" spans="1:20" x14ac:dyDescent="0.25">
      <c r="A99" s="5">
        <v>44494</v>
      </c>
      <c r="B99">
        <v>1.2331000000000001</v>
      </c>
      <c r="C99">
        <v>1.3289</v>
      </c>
      <c r="D99">
        <v>1.2072000000000001</v>
      </c>
      <c r="E99">
        <v>1.2677</v>
      </c>
      <c r="F99">
        <v>1425263</v>
      </c>
      <c r="G99">
        <v>1.2677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-5.7518488085449744E-3</v>
      </c>
      <c r="Q99">
        <f t="shared" ref="Q99" si="471">F99*P99</f>
        <v>-8197.8972884132363</v>
      </c>
      <c r="R99">
        <f t="shared" ref="R99" si="472">R100+Q99</f>
        <v>-201692446.84084031</v>
      </c>
      <c r="S99">
        <f t="shared" ref="S99" si="473">R99/100000</f>
        <v>-2016.9244684084031</v>
      </c>
      <c r="T99">
        <f t="shared" ref="T99" si="474">S99/1000</f>
        <v>-2.0169244684084031</v>
      </c>
    </row>
    <row r="100" spans="1:20" x14ac:dyDescent="0.25">
      <c r="A100" s="5">
        <v>44493</v>
      </c>
      <c r="B100">
        <v>1.2710999999999999</v>
      </c>
      <c r="C100">
        <v>1.2791999999999999</v>
      </c>
      <c r="D100">
        <v>1.2329000000000001</v>
      </c>
      <c r="E100">
        <v>1.2393000000000001</v>
      </c>
      <c r="F100">
        <v>868914</v>
      </c>
      <c r="G100">
        <v>1.2393000000000001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-0.72354211663066992</v>
      </c>
      <c r="Q100">
        <f t="shared" ref="Q100" si="476">F100*P100</f>
        <v>-628695.87473002193</v>
      </c>
      <c r="R100">
        <f t="shared" ref="R100" si="477">R101+Q100</f>
        <v>-201684248.9435519</v>
      </c>
      <c r="S100">
        <f t="shared" ref="S100" si="478">R100/100000</f>
        <v>-2016.8424894355189</v>
      </c>
      <c r="T100">
        <f t="shared" ref="T100" si="479">S100/1000</f>
        <v>-2.0168424894355188</v>
      </c>
    </row>
    <row r="101" spans="1:20" x14ac:dyDescent="0.25">
      <c r="A101" s="5">
        <v>44492</v>
      </c>
      <c r="B101">
        <v>1.2819</v>
      </c>
      <c r="C101">
        <v>1.3129999999999999</v>
      </c>
      <c r="D101">
        <v>1.2494000000000001</v>
      </c>
      <c r="E101">
        <v>1.2675000000000001</v>
      </c>
      <c r="F101">
        <v>835424</v>
      </c>
      <c r="G101">
        <v>1.2675000000000001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-0.43081761006289182</v>
      </c>
      <c r="Q101">
        <f t="shared" ref="Q101" si="481">F101*P101</f>
        <v>-359915.37106918136</v>
      </c>
      <c r="R101">
        <f t="shared" ref="R101" si="482">R102+Q101</f>
        <v>-201055553.06882188</v>
      </c>
      <c r="S101">
        <f t="shared" ref="S101" si="483">R101/100000</f>
        <v>-2010.5555306882188</v>
      </c>
      <c r="T101">
        <f t="shared" ref="T101" si="484">S101/1000</f>
        <v>-2.0105555306882188</v>
      </c>
    </row>
    <row r="102" spans="1:20" x14ac:dyDescent="0.25">
      <c r="A102" s="5">
        <v>44491</v>
      </c>
      <c r="B102">
        <v>1.2646999999999999</v>
      </c>
      <c r="C102">
        <v>1.3406</v>
      </c>
      <c r="D102">
        <v>1.2594000000000001</v>
      </c>
      <c r="E102">
        <v>1.2819</v>
      </c>
      <c r="F102">
        <v>1532194</v>
      </c>
      <c r="G102">
        <v>1.2819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-0.44581280788177385</v>
      </c>
      <c r="Q102">
        <f t="shared" ref="Q102" si="486">F102*P102</f>
        <v>-683071.70935960661</v>
      </c>
      <c r="R102">
        <f t="shared" ref="R102" si="487">R103+Q102</f>
        <v>-200695637.69775268</v>
      </c>
      <c r="S102">
        <f t="shared" ref="S102" si="488">R102/100000</f>
        <v>-2006.9563769775268</v>
      </c>
      <c r="T102">
        <f t="shared" ref="T102" si="489">S102/1000</f>
        <v>-2.0069563769775267</v>
      </c>
    </row>
    <row r="103" spans="1:20" x14ac:dyDescent="0.25">
      <c r="A103" s="5">
        <v>44490</v>
      </c>
      <c r="B103">
        <v>1.2916000000000001</v>
      </c>
      <c r="C103">
        <v>1.3489</v>
      </c>
      <c r="D103">
        <v>1.2385999999999999</v>
      </c>
      <c r="E103">
        <v>1.2616000000000001</v>
      </c>
      <c r="F103">
        <v>2010006</v>
      </c>
      <c r="G103">
        <v>1.2616000000000001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-0.58295557570262702</v>
      </c>
      <c r="Q103">
        <f t="shared" ref="Q103" si="491">F103*P103</f>
        <v>-1171744.2048957346</v>
      </c>
      <c r="R103">
        <f t="shared" ref="R103" si="492">R104+Q103</f>
        <v>-200012565.98839307</v>
      </c>
      <c r="S103">
        <f t="shared" ref="S103" si="493">R103/100000</f>
        <v>-2000.1256598839307</v>
      </c>
      <c r="T103">
        <f t="shared" ref="T103" si="494">S103/1000</f>
        <v>-2.0001256598839308</v>
      </c>
    </row>
    <row r="104" spans="1:20" x14ac:dyDescent="0.25">
      <c r="A104" s="5">
        <v>44489</v>
      </c>
      <c r="B104">
        <v>1.2582</v>
      </c>
      <c r="C104">
        <v>1.2997000000000001</v>
      </c>
      <c r="D104">
        <v>1.2135</v>
      </c>
      <c r="E104">
        <v>1.2966</v>
      </c>
      <c r="F104">
        <v>989464</v>
      </c>
      <c r="G104">
        <v>1.2966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0.9280742459396728</v>
      </c>
      <c r="Q104">
        <f t="shared" ref="Q104" si="496">F104*P104</f>
        <v>918296.05568445241</v>
      </c>
      <c r="R104">
        <f t="shared" ref="R104" si="497">R105+Q104</f>
        <v>-198840821.78349733</v>
      </c>
      <c r="S104">
        <f t="shared" ref="S104" si="498">R104/100000</f>
        <v>-1988.4082178349734</v>
      </c>
      <c r="T104">
        <f t="shared" ref="T104" si="499">S104/1000</f>
        <v>-1.9884082178349733</v>
      </c>
    </row>
    <row r="105" spans="1:20" x14ac:dyDescent="0.25">
      <c r="A105" s="5">
        <v>44488</v>
      </c>
      <c r="B105">
        <v>1.296</v>
      </c>
      <c r="C105">
        <v>1.37</v>
      </c>
      <c r="D105">
        <v>1.2030000000000001</v>
      </c>
      <c r="E105">
        <v>1.2582</v>
      </c>
      <c r="F105">
        <v>1618272</v>
      </c>
      <c r="G105">
        <v>1.2582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-0.33892215568862388</v>
      </c>
      <c r="Q105">
        <f t="shared" ref="Q105" si="501">F105*P105</f>
        <v>-548468.23473054077</v>
      </c>
      <c r="R105">
        <f t="shared" ref="R105" si="502">R106+Q105</f>
        <v>-199759117.83918178</v>
      </c>
      <c r="S105">
        <f t="shared" ref="S105" si="503">R105/100000</f>
        <v>-1997.5911783918177</v>
      </c>
      <c r="T105">
        <f t="shared" ref="T105" si="504">S105/1000</f>
        <v>-1.9975911783918177</v>
      </c>
    </row>
    <row r="106" spans="1:20" x14ac:dyDescent="0.25">
      <c r="A106" s="5">
        <v>44487</v>
      </c>
      <c r="B106">
        <v>1.2301</v>
      </c>
      <c r="C106">
        <v>1.3765000000000001</v>
      </c>
      <c r="D106">
        <v>1.2000999999999999</v>
      </c>
      <c r="E106">
        <v>1.2961</v>
      </c>
      <c r="F106">
        <v>2823843</v>
      </c>
      <c r="G106">
        <v>1.2961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8.8435374149660143E-2</v>
      </c>
      <c r="Q106">
        <f t="shared" ref="Q106" si="506">F106*P106</f>
        <v>249727.61224489874</v>
      </c>
      <c r="R106">
        <f t="shared" ref="R106" si="507">R107+Q106</f>
        <v>-199210649.60445124</v>
      </c>
      <c r="S106">
        <f t="shared" ref="S106" si="508">R106/100000</f>
        <v>-1992.1064960445124</v>
      </c>
      <c r="T106">
        <f t="shared" ref="T106" si="509">S106/1000</f>
        <v>-1.9921064960445123</v>
      </c>
    </row>
    <row r="107" spans="1:20" x14ac:dyDescent="0.25">
      <c r="A107" s="5">
        <v>44486</v>
      </c>
      <c r="B107">
        <v>1.2715000000000001</v>
      </c>
      <c r="C107">
        <v>1.35</v>
      </c>
      <c r="D107">
        <v>1.2</v>
      </c>
      <c r="E107">
        <v>1.2285999999999999</v>
      </c>
      <c r="F107">
        <v>1843934</v>
      </c>
      <c r="G107">
        <v>1.2285999999999999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-0.61866666666666759</v>
      </c>
      <c r="Q107">
        <f t="shared" ref="Q107" si="511">F107*P107</f>
        <v>-1140780.5013333349</v>
      </c>
      <c r="R107">
        <f t="shared" ref="R107" si="512">R108+Q107</f>
        <v>-199460377.21669614</v>
      </c>
      <c r="S107">
        <f t="shared" ref="S107" si="513">R107/100000</f>
        <v>-1994.6037721669613</v>
      </c>
      <c r="T107">
        <f t="shared" ref="T107" si="514">S107/1000</f>
        <v>-1.9946037721669614</v>
      </c>
    </row>
    <row r="108" spans="1:20" x14ac:dyDescent="0.25">
      <c r="A108" s="5">
        <v>44485</v>
      </c>
      <c r="B108">
        <v>1.264</v>
      </c>
      <c r="C108">
        <v>1.4598</v>
      </c>
      <c r="D108">
        <v>1.2394000000000001</v>
      </c>
      <c r="E108">
        <v>1.2718</v>
      </c>
      <c r="F108">
        <v>3774518</v>
      </c>
      <c r="G108">
        <v>1.2718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-0.70598911070780401</v>
      </c>
      <c r="Q108">
        <f t="shared" ref="Q108" si="516">F108*P108</f>
        <v>-2664768.6061705989</v>
      </c>
      <c r="R108">
        <f t="shared" ref="R108" si="517">R109+Q108</f>
        <v>-198319596.71536282</v>
      </c>
      <c r="S108">
        <f t="shared" ref="S108" si="518">R108/100000</f>
        <v>-1983.1959671536281</v>
      </c>
      <c r="T108">
        <f t="shared" ref="T108" si="519">S108/1000</f>
        <v>-1.9831959671536281</v>
      </c>
    </row>
    <row r="109" spans="1:20" x14ac:dyDescent="0.25">
      <c r="A109" s="5">
        <v>44484</v>
      </c>
      <c r="B109">
        <v>1.2265999999999999</v>
      </c>
      <c r="C109">
        <v>1.32</v>
      </c>
      <c r="D109">
        <v>1.1805000000000001</v>
      </c>
      <c r="E109">
        <v>1.2624</v>
      </c>
      <c r="F109">
        <v>1919770</v>
      </c>
      <c r="G109">
        <v>1.2624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0.17419354838709517</v>
      </c>
      <c r="Q109">
        <f t="shared" ref="Q109" si="521">F109*P109</f>
        <v>334411.5483870937</v>
      </c>
      <c r="R109">
        <f t="shared" ref="R109" si="522">R110+Q109</f>
        <v>-195654828.10919222</v>
      </c>
      <c r="S109">
        <f t="shared" ref="S109" si="523">R109/100000</f>
        <v>-1956.5482810919223</v>
      </c>
      <c r="T109">
        <f t="shared" ref="T109" si="524">S109/1000</f>
        <v>-1.9565482810919224</v>
      </c>
    </row>
    <row r="110" spans="1:20" x14ac:dyDescent="0.25">
      <c r="A110" s="5">
        <v>44483</v>
      </c>
      <c r="B110">
        <v>1.2202</v>
      </c>
      <c r="C110">
        <v>1.29</v>
      </c>
      <c r="D110">
        <v>1.2102999999999999</v>
      </c>
      <c r="E110">
        <v>1.2332000000000001</v>
      </c>
      <c r="F110">
        <v>798479</v>
      </c>
      <c r="G110">
        <v>1.2332000000000001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-0.4253450439146772</v>
      </c>
      <c r="Q110">
        <f t="shared" ref="Q110" si="526">F110*P110</f>
        <v>-339629.08531994751</v>
      </c>
      <c r="R110">
        <f t="shared" ref="R110" si="527">R111+Q110</f>
        <v>-195989239.6575793</v>
      </c>
      <c r="S110">
        <f t="shared" ref="S110" si="528">R110/100000</f>
        <v>-1959.8923965757931</v>
      </c>
      <c r="T110">
        <f t="shared" ref="T110" si="529">S110/1000</f>
        <v>-1.9598923965757931</v>
      </c>
    </row>
    <row r="111" spans="1:20" x14ac:dyDescent="0.25">
      <c r="A111" s="5">
        <v>44482</v>
      </c>
      <c r="B111">
        <v>1.2051000000000001</v>
      </c>
      <c r="C111">
        <v>1.33</v>
      </c>
      <c r="D111">
        <v>1.1665000000000001</v>
      </c>
      <c r="E111">
        <v>1.2151000000000001</v>
      </c>
      <c r="F111">
        <v>1619814</v>
      </c>
      <c r="G111">
        <v>1.2151000000000001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-0.40550458715596349</v>
      </c>
      <c r="Q111">
        <f t="shared" ref="Q111" si="531">F111*P111</f>
        <v>-656842.00733944983</v>
      </c>
      <c r="R111">
        <f t="shared" ref="R111" si="532">R112+Q111</f>
        <v>-195649610.57225937</v>
      </c>
      <c r="S111">
        <f t="shared" ref="S111" si="533">R111/100000</f>
        <v>-1956.4961057225937</v>
      </c>
      <c r="T111">
        <f t="shared" ref="T111" si="534">S111/1000</f>
        <v>-1.9564961057225938</v>
      </c>
    </row>
    <row r="112" spans="1:20" x14ac:dyDescent="0.25">
      <c r="A112" s="5">
        <v>44481</v>
      </c>
      <c r="B112">
        <v>1.1956</v>
      </c>
      <c r="C112">
        <v>1.35</v>
      </c>
      <c r="D112">
        <v>1.1496</v>
      </c>
      <c r="E112">
        <v>1.2055</v>
      </c>
      <c r="F112">
        <v>2519529</v>
      </c>
      <c r="G112">
        <v>1.2055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-0.4421157684630736</v>
      </c>
      <c r="Q112">
        <f t="shared" ref="Q112" si="536">F112*P112</f>
        <v>-1113923.4999999993</v>
      </c>
      <c r="R112">
        <f t="shared" ref="R112" si="537">R113+Q112</f>
        <v>-194992768.56491992</v>
      </c>
      <c r="S112">
        <f t="shared" ref="S112" si="538">R112/100000</f>
        <v>-1949.9276856491992</v>
      </c>
      <c r="T112">
        <f t="shared" ref="T112" si="539">S112/1000</f>
        <v>-1.9499276856491992</v>
      </c>
    </row>
    <row r="113" spans="1:20" x14ac:dyDescent="0.25">
      <c r="A113" s="5">
        <v>44480</v>
      </c>
      <c r="B113">
        <v>1.2117</v>
      </c>
      <c r="C113">
        <v>1.2410000000000001</v>
      </c>
      <c r="D113">
        <v>1.1820999999999999</v>
      </c>
      <c r="E113">
        <v>1.1971000000000001</v>
      </c>
      <c r="F113">
        <v>609208</v>
      </c>
      <c r="G113">
        <v>1.1971000000000001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-0.49066213921901258</v>
      </c>
      <c r="Q113">
        <f t="shared" ref="Q113" si="541">F113*P113</f>
        <v>-298915.30050933623</v>
      </c>
      <c r="R113">
        <f t="shared" ref="R113" si="542">R114+Q113</f>
        <v>-193878845.06491992</v>
      </c>
      <c r="S113">
        <f t="shared" ref="S113" si="543">R113/100000</f>
        <v>-1938.7884506491991</v>
      </c>
      <c r="T113">
        <f t="shared" ref="T113" si="544">S113/1000</f>
        <v>-1.9387884506491992</v>
      </c>
    </row>
    <row r="114" spans="1:20" x14ac:dyDescent="0.25">
      <c r="A114" s="5">
        <v>44479</v>
      </c>
      <c r="B114">
        <v>1.2675000000000001</v>
      </c>
      <c r="C114">
        <v>1.276</v>
      </c>
      <c r="D114">
        <v>1.2052</v>
      </c>
      <c r="E114">
        <v>1.2174</v>
      </c>
      <c r="F114">
        <v>897440</v>
      </c>
      <c r="G114">
        <v>1.2174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-0.65536723163841826</v>
      </c>
      <c r="Q114">
        <f t="shared" ref="Q114" si="546">F114*P114</f>
        <v>-588152.76836158207</v>
      </c>
      <c r="R114">
        <f t="shared" ref="R114" si="547">R115+Q114</f>
        <v>-193579929.76441059</v>
      </c>
      <c r="S114">
        <f t="shared" ref="S114" si="548">R114/100000</f>
        <v>-1935.7992976441058</v>
      </c>
      <c r="T114">
        <f t="shared" ref="T114" si="549">S114/1000</f>
        <v>-1.9357992976441059</v>
      </c>
    </row>
    <row r="115" spans="1:20" x14ac:dyDescent="0.25">
      <c r="A115" s="5">
        <v>44478</v>
      </c>
      <c r="B115">
        <v>1.2723</v>
      </c>
      <c r="C115">
        <v>1.2979000000000001</v>
      </c>
      <c r="D115">
        <v>1.2515000000000001</v>
      </c>
      <c r="E115">
        <v>1.2624</v>
      </c>
      <c r="F115">
        <v>742600</v>
      </c>
      <c r="G115">
        <v>1.2624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-0.53017241379310731</v>
      </c>
      <c r="Q115">
        <f t="shared" ref="Q115" si="551">F115*P115</f>
        <v>-393706.03448276146</v>
      </c>
      <c r="R115">
        <f t="shared" ref="R115" si="552">R116+Q115</f>
        <v>-192991776.99604902</v>
      </c>
      <c r="S115">
        <f t="shared" ref="S115" si="553">R115/100000</f>
        <v>-1929.9177699604902</v>
      </c>
      <c r="T115">
        <f t="shared" ref="T115" si="554">S115/1000</f>
        <v>-1.9299177699604901</v>
      </c>
    </row>
    <row r="116" spans="1:20" x14ac:dyDescent="0.25">
      <c r="A116" s="5">
        <v>44477</v>
      </c>
      <c r="B116">
        <v>1.2726999999999999</v>
      </c>
      <c r="C116">
        <v>1.33</v>
      </c>
      <c r="D116">
        <v>1.252</v>
      </c>
      <c r="E116">
        <v>1.2749999999999999</v>
      </c>
      <c r="F116">
        <v>1440984</v>
      </c>
      <c r="G116">
        <v>1.2749999999999999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-0.41025641025641313</v>
      </c>
      <c r="Q116">
        <f t="shared" ref="Q116" si="556">F116*P116</f>
        <v>-591172.9230769272</v>
      </c>
      <c r="R116">
        <f t="shared" ref="R116" si="557">R117+Q116</f>
        <v>-192598070.96156627</v>
      </c>
      <c r="S116">
        <f t="shared" ref="S116" si="558">R116/100000</f>
        <v>-1925.9807096156626</v>
      </c>
      <c r="T116">
        <f t="shared" ref="T116" si="559">S116/1000</f>
        <v>-1.9259807096156627</v>
      </c>
    </row>
    <row r="117" spans="1:20" x14ac:dyDescent="0.25">
      <c r="A117" s="5">
        <v>44476</v>
      </c>
      <c r="B117">
        <v>1.2350000000000001</v>
      </c>
      <c r="C117">
        <v>1.3259000000000001</v>
      </c>
      <c r="D117">
        <v>1.1992</v>
      </c>
      <c r="E117">
        <v>1.2733000000000001</v>
      </c>
      <c r="F117">
        <v>1635047</v>
      </c>
      <c r="G117">
        <v>1.2733000000000001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0.16969218626677243</v>
      </c>
      <c r="Q117">
        <f t="shared" ref="Q117" si="561">F117*P117</f>
        <v>277454.70007892745</v>
      </c>
      <c r="R117">
        <f t="shared" ref="R117" si="562">R118+Q117</f>
        <v>-192006898.03848934</v>
      </c>
      <c r="S117">
        <f t="shared" ref="S117" si="563">R117/100000</f>
        <v>-1920.0689803848934</v>
      </c>
      <c r="T117">
        <f t="shared" ref="T117" si="564">S117/1000</f>
        <v>-1.9200689803848934</v>
      </c>
    </row>
    <row r="118" spans="1:20" x14ac:dyDescent="0.25">
      <c r="A118" s="5">
        <v>44475</v>
      </c>
      <c r="B118">
        <v>1.3108</v>
      </c>
      <c r="C118">
        <v>1.3308</v>
      </c>
      <c r="D118">
        <v>1.1818</v>
      </c>
      <c r="E118">
        <v>1.24</v>
      </c>
      <c r="F118">
        <v>1980556</v>
      </c>
      <c r="G118">
        <v>1.24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-0.21879194630872456</v>
      </c>
      <c r="Q118">
        <f t="shared" ref="Q118" si="566">F118*P118</f>
        <v>-433329.70201342227</v>
      </c>
      <c r="R118">
        <f t="shared" ref="R118" si="567">R119+Q118</f>
        <v>-192284352.73856828</v>
      </c>
      <c r="S118">
        <f t="shared" ref="S118" si="568">R118/100000</f>
        <v>-1922.8435273856828</v>
      </c>
      <c r="T118">
        <f t="shared" ref="T118" si="569">S118/1000</f>
        <v>-1.9228435273856828</v>
      </c>
    </row>
    <row r="119" spans="1:20" x14ac:dyDescent="0.25">
      <c r="A119" s="5">
        <v>44474</v>
      </c>
      <c r="B119">
        <v>1.3117000000000001</v>
      </c>
      <c r="C119">
        <v>1.3984000000000001</v>
      </c>
      <c r="D119">
        <v>1.2484999999999999</v>
      </c>
      <c r="E119">
        <v>1.3069999999999999</v>
      </c>
      <c r="F119">
        <v>2774849</v>
      </c>
      <c r="G119">
        <v>1.3069999999999999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-0.21947965310206885</v>
      </c>
      <c r="Q119">
        <f t="shared" ref="Q119" si="571">F119*P119</f>
        <v>-609022.8959306227</v>
      </c>
      <c r="R119">
        <f t="shared" ref="R119" si="572">R120+Q119</f>
        <v>-191851023.03655484</v>
      </c>
      <c r="S119">
        <f t="shared" ref="S119" si="573">R119/100000</f>
        <v>-1918.5102303655485</v>
      </c>
      <c r="T119">
        <f t="shared" ref="T119" si="574">S119/1000</f>
        <v>-1.9185102303655486</v>
      </c>
    </row>
    <row r="120" spans="1:20" x14ac:dyDescent="0.25">
      <c r="A120" s="5">
        <v>44473</v>
      </c>
      <c r="B120">
        <v>1.2824</v>
      </c>
      <c r="C120">
        <v>1.55</v>
      </c>
      <c r="D120">
        <v>1.2692000000000001</v>
      </c>
      <c r="E120">
        <v>1.3205</v>
      </c>
      <c r="F120">
        <v>4437246</v>
      </c>
      <c r="G120">
        <v>1.3205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-0.63461538461538525</v>
      </c>
      <c r="Q120">
        <f t="shared" ref="Q120" si="576">F120*P120</f>
        <v>-2815944.5769230798</v>
      </c>
      <c r="R120">
        <f t="shared" ref="R120" si="577">R121+Q120</f>
        <v>-191242000.14062423</v>
      </c>
      <c r="S120">
        <f t="shared" ref="S120" si="578">R120/100000</f>
        <v>-1912.4200014062424</v>
      </c>
      <c r="T120">
        <f t="shared" ref="T120" si="579">S120/1000</f>
        <v>-1.9124200014062425</v>
      </c>
    </row>
    <row r="121" spans="1:20" x14ac:dyDescent="0.25">
      <c r="A121" s="5">
        <v>44472</v>
      </c>
      <c r="B121">
        <v>1.1984999999999999</v>
      </c>
      <c r="C121">
        <v>1.2423</v>
      </c>
      <c r="D121">
        <v>1.1716</v>
      </c>
      <c r="E121">
        <v>1.2007000000000001</v>
      </c>
      <c r="F121">
        <v>3187358</v>
      </c>
      <c r="G121">
        <v>1.2007000000000001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-0.17680339462517308</v>
      </c>
      <c r="Q121">
        <f t="shared" ref="Q121" si="581">F121*P121</f>
        <v>-563535.71428570244</v>
      </c>
      <c r="R121">
        <f t="shared" ref="R121" si="582">R122+Q121</f>
        <v>-188426055.56370115</v>
      </c>
      <c r="S121">
        <f t="shared" ref="S121" si="583">R121/100000</f>
        <v>-1884.2605556370115</v>
      </c>
      <c r="T121">
        <f t="shared" ref="T121" si="584">S121/1000</f>
        <v>-1.8842605556370116</v>
      </c>
    </row>
    <row r="122" spans="1:20" x14ac:dyDescent="0.25">
      <c r="A122" s="5">
        <v>44471</v>
      </c>
      <c r="B122">
        <v>1.2105999999999999</v>
      </c>
      <c r="C122">
        <v>1.2803</v>
      </c>
      <c r="D122">
        <v>1.1660999999999999</v>
      </c>
      <c r="E122">
        <v>1.1984999999999999</v>
      </c>
      <c r="F122">
        <v>5082726</v>
      </c>
      <c r="G122">
        <v>1.1984999999999999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-0.43257443082311803</v>
      </c>
      <c r="Q122">
        <f t="shared" ref="Q122" si="586">F122*P122</f>
        <v>-2198657.3064798634</v>
      </c>
      <c r="R122">
        <f t="shared" ref="R122" si="587">R123+Q122</f>
        <v>-187862519.84941545</v>
      </c>
      <c r="S122">
        <f t="shared" ref="S122" si="588">R122/100000</f>
        <v>-1878.6251984941546</v>
      </c>
      <c r="T122">
        <f t="shared" ref="T122" si="589">S122/1000</f>
        <v>-1.8786251984941547</v>
      </c>
    </row>
    <row r="123" spans="1:20" x14ac:dyDescent="0.25">
      <c r="A123" s="5">
        <v>44470</v>
      </c>
      <c r="B123">
        <v>1.1237999999999999</v>
      </c>
      <c r="C123">
        <v>1.2475000000000001</v>
      </c>
      <c r="D123">
        <v>1.0967</v>
      </c>
      <c r="E123">
        <v>1.2105999999999999</v>
      </c>
      <c r="F123">
        <v>4885832</v>
      </c>
      <c r="G123">
        <v>1.2105999999999999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0.5106100795755949</v>
      </c>
      <c r="Q123">
        <f t="shared" ref="Q123" si="591">F123*P123</f>
        <v>2494755.0663129878</v>
      </c>
      <c r="R123">
        <f t="shared" ref="R123" si="592">R124+Q123</f>
        <v>-185663862.54293558</v>
      </c>
      <c r="S123">
        <f t="shared" ref="S123" si="593">R123/100000</f>
        <v>-1856.6386254293559</v>
      </c>
      <c r="T123">
        <f t="shared" ref="T123" si="594">S123/1000</f>
        <v>-1.8566386254293559</v>
      </c>
    </row>
    <row r="124" spans="1:20" x14ac:dyDescent="0.25">
      <c r="A124" s="5">
        <v>44469</v>
      </c>
      <c r="B124">
        <v>1.1140000000000001</v>
      </c>
      <c r="C124">
        <v>1.1454</v>
      </c>
      <c r="D124">
        <v>1.0810999999999999</v>
      </c>
      <c r="E124">
        <v>1.1237999999999999</v>
      </c>
      <c r="F124">
        <v>2838154</v>
      </c>
      <c r="G124">
        <v>1.1237999999999999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0.32814930015551924</v>
      </c>
      <c r="Q124">
        <f t="shared" ref="Q124" si="596">F124*P124</f>
        <v>931338.24883358751</v>
      </c>
      <c r="R124">
        <f t="shared" ref="R124" si="597">R125+Q124</f>
        <v>-188158617.60924858</v>
      </c>
      <c r="S124">
        <f t="shared" ref="S124" si="598">R124/100000</f>
        <v>-1881.5861760924859</v>
      </c>
      <c r="T124">
        <f t="shared" ref="T124" si="599">S124/1000</f>
        <v>-1.8815861760924859</v>
      </c>
    </row>
    <row r="125" spans="1:20" x14ac:dyDescent="0.25">
      <c r="A125" s="5">
        <v>44468</v>
      </c>
      <c r="B125">
        <v>1.0757000000000001</v>
      </c>
      <c r="C125">
        <v>1.2128000000000001</v>
      </c>
      <c r="D125">
        <v>1.0552999999999999</v>
      </c>
      <c r="E125">
        <v>1.1167</v>
      </c>
      <c r="F125">
        <v>7224186</v>
      </c>
      <c r="G125">
        <v>1.1167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-0.22031746031745975</v>
      </c>
      <c r="Q125">
        <f t="shared" ref="Q125" si="601">F125*P125</f>
        <v>-1591614.3123809483</v>
      </c>
      <c r="R125">
        <f t="shared" ref="R125" si="602">R126+Q125</f>
        <v>-189089955.85808218</v>
      </c>
      <c r="S125">
        <f t="shared" ref="S125" si="603">R125/100000</f>
        <v>-1890.8995585808218</v>
      </c>
      <c r="T125">
        <f t="shared" ref="T125" si="604">S125/1000</f>
        <v>-1.8908995585808217</v>
      </c>
    </row>
    <row r="126" spans="1:20" x14ac:dyDescent="0.25">
      <c r="A126" s="5">
        <v>44467</v>
      </c>
      <c r="B126">
        <v>1.1294</v>
      </c>
      <c r="C126">
        <v>1.145</v>
      </c>
      <c r="D126">
        <v>1.0714999999999999</v>
      </c>
      <c r="E126">
        <v>1.0763</v>
      </c>
      <c r="F126">
        <v>3296792</v>
      </c>
      <c r="G126">
        <v>1.0763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-0.86938775510203725</v>
      </c>
      <c r="Q126">
        <f t="shared" ref="Q126" si="606">F126*P126</f>
        <v>-2866190.5959183555</v>
      </c>
      <c r="R126">
        <f t="shared" ref="R126" si="607">R127+Q126</f>
        <v>-187498341.54570124</v>
      </c>
      <c r="S126">
        <f t="shared" ref="S126" si="608">R126/100000</f>
        <v>-1874.9834154570124</v>
      </c>
      <c r="T126">
        <f t="shared" ref="T126" si="609">S126/1000</f>
        <v>-1.8749834154570124</v>
      </c>
    </row>
    <row r="127" spans="1:20" x14ac:dyDescent="0.25">
      <c r="A127" s="5">
        <v>44466</v>
      </c>
      <c r="B127">
        <v>1.1872</v>
      </c>
      <c r="C127">
        <v>1.23</v>
      </c>
      <c r="D127">
        <v>1.1279999999999999</v>
      </c>
      <c r="E127">
        <v>1.1298999999999999</v>
      </c>
      <c r="F127">
        <v>4690191</v>
      </c>
      <c r="G127">
        <v>1.1298999999999999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-0.96274509803921549</v>
      </c>
      <c r="Q127">
        <f t="shared" ref="Q127" si="611">F127*P127</f>
        <v>-4515458.3941176459</v>
      </c>
      <c r="R127">
        <f t="shared" ref="R127" si="612">R128+Q127</f>
        <v>-184632150.94978288</v>
      </c>
      <c r="S127">
        <f t="shared" ref="S127" si="613">R127/100000</f>
        <v>-1846.3215094978289</v>
      </c>
      <c r="T127">
        <f t="shared" ref="T127" si="614">S127/1000</f>
        <v>-1.8463215094978289</v>
      </c>
    </row>
    <row r="128" spans="1:20" x14ac:dyDescent="0.25">
      <c r="A128" s="5">
        <v>44465</v>
      </c>
      <c r="B128">
        <v>1.1523000000000001</v>
      </c>
      <c r="C128">
        <v>1.2806</v>
      </c>
      <c r="D128">
        <v>1</v>
      </c>
      <c r="E128">
        <v>1.1895</v>
      </c>
      <c r="F128">
        <v>9779189.3900000006</v>
      </c>
      <c r="G128">
        <v>1.1895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0.35067712045616556</v>
      </c>
      <c r="Q128">
        <f t="shared" ref="Q128" si="616">F128*P128</f>
        <v>3429337.9756806865</v>
      </c>
      <c r="R128">
        <f t="shared" ref="R128" si="617">R129+Q128</f>
        <v>-180116692.55566522</v>
      </c>
      <c r="S128">
        <f t="shared" ref="S128" si="618">R128/100000</f>
        <v>-1801.1669255566524</v>
      </c>
      <c r="T128">
        <f t="shared" ref="T128" si="619">S128/1000</f>
        <v>-1.8011669255566523</v>
      </c>
    </row>
    <row r="129" spans="1:20" x14ac:dyDescent="0.25">
      <c r="A129" s="5">
        <v>44464</v>
      </c>
      <c r="B129">
        <v>1.2035</v>
      </c>
      <c r="C129">
        <v>1.2185999999999999</v>
      </c>
      <c r="D129">
        <v>1.1200000000000001</v>
      </c>
      <c r="E129">
        <v>1.1543000000000001</v>
      </c>
      <c r="F129">
        <v>3522204</v>
      </c>
      <c r="G129">
        <v>1.1543000000000001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-0.30425963488843677</v>
      </c>
      <c r="Q129">
        <f t="shared" ref="Q129" si="621">F129*P129</f>
        <v>-1071664.5030425915</v>
      </c>
      <c r="R129">
        <f t="shared" ref="R129" si="622">R130+Q129</f>
        <v>-183546030.5313459</v>
      </c>
      <c r="S129">
        <f t="shared" ref="S129" si="623">R129/100000</f>
        <v>-1835.460305313459</v>
      </c>
      <c r="T129">
        <f t="shared" ref="T129" si="624">S129/1000</f>
        <v>-1.8354603053134591</v>
      </c>
    </row>
    <row r="130" spans="1:20" x14ac:dyDescent="0.25">
      <c r="A130" s="5">
        <v>44463</v>
      </c>
      <c r="B130">
        <v>1.3019000000000001</v>
      </c>
      <c r="C130">
        <v>1.3875999999999999</v>
      </c>
      <c r="D130">
        <v>1.0933999999999999</v>
      </c>
      <c r="E130">
        <v>1.2037</v>
      </c>
      <c r="F130">
        <v>9299151</v>
      </c>
      <c r="G130">
        <v>1.2037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-0.25016995241332385</v>
      </c>
      <c r="Q130">
        <f t="shared" ref="Q130" si="626">F130*P130</f>
        <v>-2326368.1631543129</v>
      </c>
      <c r="R130">
        <f t="shared" ref="R130" si="627">R131+Q130</f>
        <v>-182474366.02830333</v>
      </c>
      <c r="S130">
        <f t="shared" ref="S130" si="628">R130/100000</f>
        <v>-1824.7436602830333</v>
      </c>
      <c r="T130">
        <f t="shared" ref="T130" si="629">S130/1000</f>
        <v>-1.8247436602830331</v>
      </c>
    </row>
    <row r="131" spans="1:20" x14ac:dyDescent="0.25">
      <c r="A131" s="5">
        <v>44462</v>
      </c>
      <c r="B131">
        <v>1.2930999999999999</v>
      </c>
      <c r="C131">
        <v>1.3378000000000001</v>
      </c>
      <c r="D131">
        <v>1.2316</v>
      </c>
      <c r="E131">
        <v>1.304</v>
      </c>
      <c r="F131">
        <v>3824919</v>
      </c>
      <c r="G131">
        <v>1.304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0.36346516007532903</v>
      </c>
      <c r="Q131">
        <f t="shared" ref="Q131" si="631">F131*P131</f>
        <v>1390224.7966101675</v>
      </c>
      <c r="R131">
        <f t="shared" ref="R131" si="632">R132+Q131</f>
        <v>-180147997.86514902</v>
      </c>
      <c r="S131">
        <f t="shared" ref="S131" si="633">R131/100000</f>
        <v>-1801.4799786514902</v>
      </c>
      <c r="T131">
        <f t="shared" ref="T131" si="634">S131/1000</f>
        <v>-1.8014799786514901</v>
      </c>
    </row>
    <row r="132" spans="1:20" x14ac:dyDescent="0.25">
      <c r="A132" s="5">
        <v>44461</v>
      </c>
      <c r="B132">
        <v>1.1395999999999999</v>
      </c>
      <c r="C132">
        <v>1.3153999999999999</v>
      </c>
      <c r="D132">
        <v>1.1318999999999999</v>
      </c>
      <c r="E132">
        <v>1.2926</v>
      </c>
      <c r="F132">
        <v>4887475</v>
      </c>
      <c r="G132">
        <v>1.2926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0.75149863760218061</v>
      </c>
      <c r="Q132">
        <f t="shared" ref="Q132" si="636">F132*P132</f>
        <v>3672930.8038147176</v>
      </c>
      <c r="R132">
        <f t="shared" ref="R132" si="637">R133+Q132</f>
        <v>-181538222.6617592</v>
      </c>
      <c r="S132">
        <f t="shared" ref="S132" si="638">R132/100000</f>
        <v>-1815.3822266175919</v>
      </c>
      <c r="T132">
        <f t="shared" ref="T132" si="639">S132/1000</f>
        <v>-1.8153822266175919</v>
      </c>
    </row>
    <row r="133" spans="1:20" x14ac:dyDescent="0.25">
      <c r="A133" s="5">
        <v>44460</v>
      </c>
      <c r="B133">
        <v>1.1887000000000001</v>
      </c>
      <c r="C133">
        <v>1.4201999999999999</v>
      </c>
      <c r="D133">
        <v>1.1048</v>
      </c>
      <c r="E133">
        <v>1.1378999999999999</v>
      </c>
      <c r="F133">
        <v>11337559</v>
      </c>
      <c r="G133">
        <v>1.1378999999999999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-0.79010779961953126</v>
      </c>
      <c r="Q133">
        <f t="shared" ref="Q133" si="641">F133*P133</f>
        <v>-8957893.7945466135</v>
      </c>
      <c r="R133">
        <f t="shared" ref="R133" si="642">R134+Q133</f>
        <v>-185211153.46557391</v>
      </c>
      <c r="S133">
        <f t="shared" ref="S133" si="643">R133/100000</f>
        <v>-1852.111534655739</v>
      </c>
      <c r="T133">
        <f t="shared" ref="T133" si="644">S133/1000</f>
        <v>-1.8521115346557391</v>
      </c>
    </row>
    <row r="134" spans="1:20" x14ac:dyDescent="0.25">
      <c r="A134" s="5">
        <v>44459</v>
      </c>
      <c r="B134">
        <v>1.4886999999999999</v>
      </c>
      <c r="C134">
        <v>1.4886999999999999</v>
      </c>
      <c r="D134">
        <v>1.3146</v>
      </c>
      <c r="E134">
        <v>1.3652</v>
      </c>
      <c r="F134">
        <v>2961028</v>
      </c>
      <c r="G134">
        <v>1.3652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-0.41872487076392878</v>
      </c>
      <c r="Q134">
        <f t="shared" ref="Q134" si="646">F134*P134</f>
        <v>-1239856.0666283746</v>
      </c>
      <c r="R134">
        <f t="shared" ref="R134" si="647">R135+Q134</f>
        <v>-176253259.6710273</v>
      </c>
      <c r="S134">
        <f t="shared" ref="S134" si="648">R134/100000</f>
        <v>-1762.5325967102731</v>
      </c>
      <c r="T134">
        <f t="shared" ref="T134" si="649">S134/1000</f>
        <v>-1.7625325967102732</v>
      </c>
    </row>
    <row r="135" spans="1:20" x14ac:dyDescent="0.25">
      <c r="A135" s="5">
        <v>44458</v>
      </c>
      <c r="B135">
        <v>1.5529999999999999</v>
      </c>
      <c r="C135">
        <v>1.5743</v>
      </c>
      <c r="D135">
        <v>1.458</v>
      </c>
      <c r="E135">
        <v>1.4903</v>
      </c>
      <c r="F135">
        <v>2506342</v>
      </c>
      <c r="G135">
        <v>1.4903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-0.44453998280309587</v>
      </c>
      <c r="Q135">
        <f t="shared" ref="Q135" si="651">F135*P135</f>
        <v>-1114169.2295786769</v>
      </c>
      <c r="R135">
        <f t="shared" ref="R135" si="652">R136+Q135</f>
        <v>-175013403.60439894</v>
      </c>
      <c r="S135">
        <f t="shared" ref="S135" si="653">R135/100000</f>
        <v>-1750.1340360439895</v>
      </c>
      <c r="T135">
        <f t="shared" ref="T135" si="654">S135/1000</f>
        <v>-1.7501340360439894</v>
      </c>
    </row>
    <row r="136" spans="1:20" x14ac:dyDescent="0.25">
      <c r="A136" s="5">
        <v>44457</v>
      </c>
      <c r="B136">
        <v>1.5230999999999999</v>
      </c>
      <c r="C136">
        <v>1.78</v>
      </c>
      <c r="D136">
        <v>1.4967999999999999</v>
      </c>
      <c r="E136">
        <v>1.5536000000000001</v>
      </c>
      <c r="F136">
        <v>6371195</v>
      </c>
      <c r="G136">
        <v>1.5536000000000001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-0.59887005649717406</v>
      </c>
      <c r="Q136">
        <f t="shared" ref="Q136" si="656">F136*P136</f>
        <v>-3815517.9096045131</v>
      </c>
      <c r="R136">
        <f t="shared" ref="R136" si="657">R137+Q136</f>
        <v>-173899234.37482026</v>
      </c>
      <c r="S136">
        <f t="shared" ref="S136" si="658">R136/100000</f>
        <v>-1738.9923437482025</v>
      </c>
      <c r="T136">
        <f t="shared" ref="T136" si="659">S136/1000</f>
        <v>-1.7389923437482024</v>
      </c>
    </row>
    <row r="137" spans="1:20" x14ac:dyDescent="0.25">
      <c r="A137" s="5">
        <v>44456</v>
      </c>
      <c r="B137">
        <v>1.6274</v>
      </c>
      <c r="C137">
        <v>1.6577999999999999</v>
      </c>
      <c r="D137">
        <v>1.401</v>
      </c>
      <c r="E137">
        <v>1.5203</v>
      </c>
      <c r="F137">
        <v>4185985</v>
      </c>
      <c r="G137">
        <v>1.5203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-7.0872274143302175E-2</v>
      </c>
      <c r="Q137">
        <f t="shared" ref="Q137" si="661">F137*P137</f>
        <v>-296670.27647975076</v>
      </c>
      <c r="R137">
        <f t="shared" ref="R137" si="662">R138+Q137</f>
        <v>-170083716.46521574</v>
      </c>
      <c r="S137">
        <f t="shared" ref="S137" si="663">R137/100000</f>
        <v>-1700.8371646521575</v>
      </c>
      <c r="T137">
        <f t="shared" ref="T137" si="664">S137/1000</f>
        <v>-1.7008371646521576</v>
      </c>
    </row>
    <row r="138" spans="1:20" x14ac:dyDescent="0.25">
      <c r="A138" s="5">
        <v>44455</v>
      </c>
      <c r="B138">
        <v>1.7291000000000001</v>
      </c>
      <c r="C138">
        <v>1.8575999999999999</v>
      </c>
      <c r="D138">
        <v>1.5541</v>
      </c>
      <c r="E138">
        <v>1.6311</v>
      </c>
      <c r="F138">
        <v>8591532</v>
      </c>
      <c r="G138">
        <v>1.6311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-0.49258649093904455</v>
      </c>
      <c r="Q138">
        <f t="shared" ref="Q138" si="666">F138*P138</f>
        <v>-4232072.5996705117</v>
      </c>
      <c r="R138">
        <f t="shared" ref="R138" si="667">R139+Q138</f>
        <v>-169787046.18873599</v>
      </c>
      <c r="S138">
        <f t="shared" ref="S138" si="668">R138/100000</f>
        <v>-1697.8704618873599</v>
      </c>
      <c r="T138">
        <f t="shared" ref="T138" si="669">S138/1000</f>
        <v>-1.6978704618873599</v>
      </c>
    </row>
    <row r="139" spans="1:20" x14ac:dyDescent="0.25">
      <c r="A139" s="5">
        <v>44454</v>
      </c>
      <c r="B139">
        <v>1.4625999999999999</v>
      </c>
      <c r="C139">
        <v>2.1</v>
      </c>
      <c r="D139">
        <v>1.4625999999999999</v>
      </c>
      <c r="E139">
        <v>1.7278</v>
      </c>
      <c r="F139">
        <v>35162376</v>
      </c>
      <c r="G139">
        <v>1.7278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-0.16786946972074043</v>
      </c>
      <c r="Q139">
        <f t="shared" ref="Q139" si="671">F139*P139</f>
        <v>-5902689.4132412905</v>
      </c>
      <c r="R139">
        <f t="shared" ref="R139" si="672">R140+Q139</f>
        <v>-165554973.58906549</v>
      </c>
      <c r="S139">
        <f t="shared" ref="S139" si="673">R139/100000</f>
        <v>-1655.549735890655</v>
      </c>
      <c r="T139">
        <f t="shared" ref="T139" si="674">S139/1000</f>
        <v>-1.655549735890655</v>
      </c>
    </row>
    <row r="140" spans="1:20" x14ac:dyDescent="0.25">
      <c r="A140" s="5">
        <v>44453</v>
      </c>
      <c r="B140">
        <v>1.3439000000000001</v>
      </c>
      <c r="C140">
        <v>1.6468</v>
      </c>
      <c r="D140">
        <v>1.3434999999999999</v>
      </c>
      <c r="E140">
        <v>1.4652000000000001</v>
      </c>
      <c r="F140">
        <v>11121389</v>
      </c>
      <c r="G140">
        <v>1.4652000000000001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-0.19749423013517908</v>
      </c>
      <c r="Q140">
        <f t="shared" ref="Q140" si="676">F140*P140</f>
        <v>-2196410.158588849</v>
      </c>
      <c r="R140">
        <f t="shared" ref="R140" si="677">R141+Q140</f>
        <v>-159652284.1758242</v>
      </c>
      <c r="S140">
        <f t="shared" ref="S140" si="678">R140/100000</f>
        <v>-1596.5228417582418</v>
      </c>
      <c r="T140">
        <f t="shared" ref="T140" si="679">S140/1000</f>
        <v>-1.5965228417582418</v>
      </c>
    </row>
    <row r="141" spans="1:20" x14ac:dyDescent="0.25">
      <c r="A141" s="5">
        <v>44452</v>
      </c>
      <c r="B141">
        <v>1.4834000000000001</v>
      </c>
      <c r="C141">
        <v>1.5017</v>
      </c>
      <c r="D141">
        <v>1.2494000000000001</v>
      </c>
      <c r="E141">
        <v>1.3455999999999999</v>
      </c>
      <c r="F141">
        <v>6873651</v>
      </c>
      <c r="G141">
        <v>1.3455999999999999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-0.23741577487118626</v>
      </c>
      <c r="Q141">
        <f t="shared" ref="Q141" si="681">F141*P141</f>
        <v>-1631913.1783591043</v>
      </c>
      <c r="R141">
        <f t="shared" ref="R141" si="682">R142+Q141</f>
        <v>-157455874.01723534</v>
      </c>
      <c r="S141">
        <f t="shared" ref="S141" si="683">R141/100000</f>
        <v>-1574.5587401723533</v>
      </c>
      <c r="T141">
        <f t="shared" ref="T141" si="684">S141/1000</f>
        <v>-1.5745587401723533</v>
      </c>
    </row>
    <row r="142" spans="1:20" x14ac:dyDescent="0.25">
      <c r="A142" s="5">
        <v>44451</v>
      </c>
      <c r="B142">
        <v>1.6305000000000001</v>
      </c>
      <c r="C142">
        <v>1.6338999999999999</v>
      </c>
      <c r="D142">
        <v>1.4048</v>
      </c>
      <c r="E142">
        <v>1.4837</v>
      </c>
      <c r="F142">
        <v>6162869</v>
      </c>
      <c r="G142">
        <v>1.4837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-0.31121780881711025</v>
      </c>
      <c r="Q142">
        <f t="shared" ref="Q142" si="686">F142*P142</f>
        <v>-1917994.5862068955</v>
      </c>
      <c r="R142">
        <f t="shared" ref="R142" si="687">R143+Q142</f>
        <v>-155823960.83887625</v>
      </c>
      <c r="S142">
        <f t="shared" ref="S142" si="688">R142/100000</f>
        <v>-1558.2396083887625</v>
      </c>
      <c r="T142">
        <f t="shared" ref="T142" si="689">S142/1000</f>
        <v>-1.5582396083887624</v>
      </c>
    </row>
    <row r="143" spans="1:20" x14ac:dyDescent="0.25">
      <c r="A143" s="5">
        <v>44450</v>
      </c>
      <c r="B143">
        <v>1.5919000000000001</v>
      </c>
      <c r="C143">
        <v>1.8</v>
      </c>
      <c r="D143">
        <v>1.5511999999999999</v>
      </c>
      <c r="E143">
        <v>1.6308</v>
      </c>
      <c r="F143">
        <v>9701872</v>
      </c>
      <c r="G143">
        <v>1.6308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-0.36012861736334345</v>
      </c>
      <c r="Q143">
        <f t="shared" ref="Q143" si="691">F143*P143</f>
        <v>-3493921.7491961354</v>
      </c>
      <c r="R143">
        <f t="shared" ref="R143" si="692">R144+Q143</f>
        <v>-153905966.25266936</v>
      </c>
      <c r="S143">
        <f t="shared" ref="S143" si="693">R143/100000</f>
        <v>-1539.0596625266937</v>
      </c>
      <c r="T143">
        <f t="shared" ref="T143" si="694">S143/1000</f>
        <v>-1.5390596625266937</v>
      </c>
    </row>
    <row r="144" spans="1:20" x14ac:dyDescent="0.25">
      <c r="A144" s="5">
        <v>44449</v>
      </c>
      <c r="B144">
        <v>1.9252</v>
      </c>
      <c r="C144">
        <v>2.1311</v>
      </c>
      <c r="D144">
        <v>1.49</v>
      </c>
      <c r="E144">
        <v>1.5905</v>
      </c>
      <c r="F144">
        <v>17800217</v>
      </c>
      <c r="G144">
        <v>1.5905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-0.68647636874122586</v>
      </c>
      <c r="Q144">
        <f t="shared" ref="Q144" si="696">F144*P144</f>
        <v>-12219428.328965837</v>
      </c>
      <c r="R144">
        <f t="shared" ref="R144" si="697">R145+Q144</f>
        <v>-150412044.50347322</v>
      </c>
      <c r="S144">
        <f t="shared" ref="S144" si="698">R144/100000</f>
        <v>-1504.1204450347323</v>
      </c>
      <c r="T144">
        <f t="shared" ref="T144" si="699">S144/1000</f>
        <v>-1.5041204450347323</v>
      </c>
    </row>
    <row r="145" spans="1:20" x14ac:dyDescent="0.25">
      <c r="A145" s="5">
        <v>44448</v>
      </c>
      <c r="B145">
        <v>1.4844999999999999</v>
      </c>
      <c r="C145">
        <v>2.2688000000000001</v>
      </c>
      <c r="D145">
        <v>1.4355</v>
      </c>
      <c r="E145">
        <v>1.9238</v>
      </c>
      <c r="F145">
        <v>37259394</v>
      </c>
      <c r="G145">
        <v>1.9238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0.17196687867514668</v>
      </c>
      <c r="Q145">
        <f t="shared" ref="Q145" si="701">F145*P145</f>
        <v>6407381.6875074878</v>
      </c>
      <c r="R145">
        <f t="shared" ref="R145" si="702">R146+Q145</f>
        <v>-138192616.17450738</v>
      </c>
      <c r="S145">
        <f t="shared" ref="S145" si="703">R145/100000</f>
        <v>-1381.9261617450738</v>
      </c>
      <c r="T145">
        <f t="shared" ref="T145" si="704">S145/1000</f>
        <v>-1.3819261617450738</v>
      </c>
    </row>
    <row r="146" spans="1:20" x14ac:dyDescent="0.25">
      <c r="A146" s="5">
        <v>44447</v>
      </c>
      <c r="B146">
        <v>1.71</v>
      </c>
      <c r="C146">
        <v>1.9630000000000001</v>
      </c>
      <c r="D146">
        <v>1.3956999999999999</v>
      </c>
      <c r="E146">
        <v>1.4857</v>
      </c>
      <c r="F146">
        <v>15627778</v>
      </c>
      <c r="G146">
        <v>1.4857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-0.68270756213643558</v>
      </c>
      <c r="Q146">
        <f t="shared" ref="Q146" si="706">F146*P146</f>
        <v>-10669202.219989421</v>
      </c>
      <c r="R146">
        <f t="shared" ref="R146" si="707">R147+Q146</f>
        <v>-144599997.86201486</v>
      </c>
      <c r="S146">
        <f t="shared" ref="S146" si="708">R146/100000</f>
        <v>-1445.9999786201486</v>
      </c>
      <c r="T146">
        <f t="shared" ref="T146" si="709">S146/1000</f>
        <v>-1.4459999786201485</v>
      </c>
    </row>
    <row r="147" spans="1:20" x14ac:dyDescent="0.25">
      <c r="A147" s="5">
        <v>44446</v>
      </c>
      <c r="B147">
        <v>1.5622</v>
      </c>
      <c r="C147">
        <v>2.2738999999999998</v>
      </c>
      <c r="D147">
        <v>1.105</v>
      </c>
      <c r="E147">
        <v>1.71</v>
      </c>
      <c r="F147">
        <v>68632142.969999999</v>
      </c>
      <c r="G147">
        <v>1.71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3.516126272563961E-2</v>
      </c>
      <c r="Q147">
        <f t="shared" ref="Q147" si="711">F147*P147</f>
        <v>2413192.8103918293</v>
      </c>
      <c r="R147">
        <f t="shared" ref="R147" si="712">R148+Q147</f>
        <v>-133930795.64202543</v>
      </c>
      <c r="S147">
        <f t="shared" ref="S147" si="713">R147/100000</f>
        <v>-1339.3079564202542</v>
      </c>
      <c r="T147">
        <f t="shared" ref="T147" si="714">S147/1000</f>
        <v>-1.3393079564202541</v>
      </c>
    </row>
    <row r="148" spans="1:20" x14ac:dyDescent="0.25">
      <c r="A148" s="5">
        <v>44445</v>
      </c>
      <c r="B148">
        <v>1.3122</v>
      </c>
      <c r="C148">
        <v>1.61</v>
      </c>
      <c r="D148">
        <v>1.2844</v>
      </c>
      <c r="E148">
        <v>1.5617000000000001</v>
      </c>
      <c r="F148">
        <v>5965747.6900000004</v>
      </c>
      <c r="G148">
        <v>1.5617000000000001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0.70331695331695332</v>
      </c>
      <c r="Q148">
        <f t="shared" ref="Q148" si="716">F148*P148</f>
        <v>4195811.4895884525</v>
      </c>
      <c r="R148">
        <f t="shared" ref="R148" si="717">R149+Q148</f>
        <v>-136343988.45241725</v>
      </c>
      <c r="S148">
        <f t="shared" ref="S148" si="718">R148/100000</f>
        <v>-1363.4398845241726</v>
      </c>
      <c r="T148">
        <f t="shared" ref="T148" si="719">S148/1000</f>
        <v>-1.3634398845241726</v>
      </c>
    </row>
    <row r="149" spans="1:20" x14ac:dyDescent="0.25">
      <c r="A149" s="5">
        <v>44444</v>
      </c>
      <c r="B149">
        <v>1.3105</v>
      </c>
      <c r="C149">
        <v>1.3560000000000001</v>
      </c>
      <c r="D149">
        <v>1.2795000000000001</v>
      </c>
      <c r="E149">
        <v>1.3136000000000001</v>
      </c>
      <c r="F149">
        <v>1953872</v>
      </c>
      <c r="G149">
        <v>1.3136000000000001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-0.10849673202614343</v>
      </c>
      <c r="Q149">
        <f t="shared" ref="Q149" si="721">F149*P149</f>
        <v>-211988.72679738491</v>
      </c>
      <c r="R149">
        <f t="shared" ref="R149" si="722">R150+Q149</f>
        <v>-140539799.94200569</v>
      </c>
      <c r="S149">
        <f t="shared" ref="S149" si="723">R149/100000</f>
        <v>-1405.397999420057</v>
      </c>
      <c r="T149">
        <f t="shared" ref="T149" si="724">S149/1000</f>
        <v>-1.4053979994200569</v>
      </c>
    </row>
    <row r="150" spans="1:20" x14ac:dyDescent="0.25">
      <c r="A150" s="5">
        <v>44443</v>
      </c>
      <c r="B150">
        <v>1.3386</v>
      </c>
      <c r="C150">
        <v>1.349</v>
      </c>
      <c r="D150">
        <v>1.2733000000000001</v>
      </c>
      <c r="E150">
        <v>1.3105</v>
      </c>
      <c r="F150">
        <v>2577144</v>
      </c>
      <c r="G150">
        <v>1.3105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-1.7173051519155626E-2</v>
      </c>
      <c r="Q150">
        <f t="shared" ref="Q150" si="726">F150*P150</f>
        <v>-44257.426684282807</v>
      </c>
      <c r="R150">
        <f t="shared" ref="R150" si="727">R151+Q150</f>
        <v>-140327811.21520832</v>
      </c>
      <c r="S150">
        <f t="shared" ref="S150" si="728">R150/100000</f>
        <v>-1403.2781121520832</v>
      </c>
      <c r="T150">
        <f t="shared" ref="T150" si="729">S150/1000</f>
        <v>-1.4032781121520832</v>
      </c>
    </row>
    <row r="151" spans="1:20" x14ac:dyDescent="0.25">
      <c r="A151" s="5">
        <v>44442</v>
      </c>
      <c r="B151">
        <v>1.2791999999999999</v>
      </c>
      <c r="C151">
        <v>1.3978999999999999</v>
      </c>
      <c r="D151">
        <v>1.2791999999999999</v>
      </c>
      <c r="E151">
        <v>1.3386</v>
      </c>
      <c r="F151">
        <v>3799101.26</v>
      </c>
      <c r="G151">
        <v>1.3386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8.4245998315257795E-4</v>
      </c>
      <c r="Q151">
        <f t="shared" ref="Q151" si="731">F151*P151</f>
        <v>3200.5907834945374</v>
      </c>
      <c r="R151">
        <f t="shared" ref="R151" si="732">R152+Q151</f>
        <v>-140283553.78852403</v>
      </c>
      <c r="S151">
        <f t="shared" ref="S151" si="733">R151/100000</f>
        <v>-1402.8355378852402</v>
      </c>
      <c r="T151">
        <f t="shared" ref="T151" si="734">S151/1000</f>
        <v>-1.4028355378852402</v>
      </c>
    </row>
    <row r="152" spans="1:20" x14ac:dyDescent="0.25">
      <c r="A152" s="5">
        <v>44441</v>
      </c>
      <c r="B152">
        <v>1.3055000000000001</v>
      </c>
      <c r="C152">
        <v>1.3507</v>
      </c>
      <c r="D152">
        <v>1.2402</v>
      </c>
      <c r="E152">
        <v>1.2795000000000001</v>
      </c>
      <c r="F152">
        <v>4285362</v>
      </c>
      <c r="G152">
        <v>1.2795000000000001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-0.28868778280542812</v>
      </c>
      <c r="Q152">
        <f t="shared" ref="Q152" si="736">F152*P152</f>
        <v>-1237131.654298635</v>
      </c>
      <c r="R152">
        <f t="shared" ref="R152" si="737">R153+Q152</f>
        <v>-140286754.37930754</v>
      </c>
      <c r="S152">
        <f t="shared" ref="S152" si="738">R152/100000</f>
        <v>-1402.8675437930754</v>
      </c>
      <c r="T152">
        <f t="shared" ref="T152" si="739">S152/1000</f>
        <v>-1.4028675437930753</v>
      </c>
    </row>
    <row r="153" spans="1:20" x14ac:dyDescent="0.25">
      <c r="A153" s="5">
        <v>44440</v>
      </c>
      <c r="B153">
        <v>1.1514</v>
      </c>
      <c r="C153">
        <v>1.3777999999999999</v>
      </c>
      <c r="D153">
        <v>1.1452</v>
      </c>
      <c r="E153">
        <v>1.3057000000000001</v>
      </c>
      <c r="F153">
        <v>9234658.8200000003</v>
      </c>
      <c r="G153">
        <v>1.3057000000000001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0.38005159071367278</v>
      </c>
      <c r="Q153">
        <f t="shared" ref="Q153" si="741">F153*P153</f>
        <v>3509646.7742390484</v>
      </c>
      <c r="R153">
        <f t="shared" ref="R153" si="742">R154+Q153</f>
        <v>-139049622.7250089</v>
      </c>
      <c r="S153">
        <f t="shared" ref="S153" si="743">R153/100000</f>
        <v>-1390.4962272500891</v>
      </c>
      <c r="T153">
        <f t="shared" ref="T153" si="744">S153/1000</f>
        <v>-1.3904962272500891</v>
      </c>
    </row>
    <row r="154" spans="1:20" x14ac:dyDescent="0.25">
      <c r="A154" s="5">
        <v>44439</v>
      </c>
      <c r="B154">
        <v>1.1356999999999999</v>
      </c>
      <c r="C154">
        <v>1.2331000000000001</v>
      </c>
      <c r="D154">
        <v>1.1180000000000001</v>
      </c>
      <c r="E154">
        <v>1.1514</v>
      </c>
      <c r="F154">
        <v>2921785.95</v>
      </c>
      <c r="G154">
        <v>1.1514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-0.41963509991312109</v>
      </c>
      <c r="Q154">
        <f t="shared" ref="Q154" si="746">F154*P154</f>
        <v>-1226083.9390530034</v>
      </c>
      <c r="R154">
        <f t="shared" ref="R154" si="747">R155+Q154</f>
        <v>-142559269.49924794</v>
      </c>
      <c r="S154">
        <f t="shared" ref="S154" si="748">R154/100000</f>
        <v>-1425.5926949924794</v>
      </c>
      <c r="T154">
        <f t="shared" ref="T154" si="749">S154/1000</f>
        <v>-1.4255926949924795</v>
      </c>
    </row>
    <row r="155" spans="1:20" x14ac:dyDescent="0.25">
      <c r="A155" s="5">
        <v>44438</v>
      </c>
      <c r="B155">
        <v>1.2032</v>
      </c>
      <c r="C155">
        <v>1.2033</v>
      </c>
      <c r="D155">
        <v>1.1235999999999999</v>
      </c>
      <c r="E155">
        <v>1.1356999999999999</v>
      </c>
      <c r="F155">
        <v>2472086.83</v>
      </c>
      <c r="G155">
        <v>1.1356999999999999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-0.69636135508155628</v>
      </c>
      <c r="Q155">
        <f t="shared" ref="Q155" si="751">F155*P155</f>
        <v>-1721465.7348180688</v>
      </c>
      <c r="R155">
        <f t="shared" ref="R155" si="752">R156+Q155</f>
        <v>-141333185.56019494</v>
      </c>
      <c r="S155">
        <f t="shared" ref="S155" si="753">R155/100000</f>
        <v>-1413.3318556019494</v>
      </c>
      <c r="T155">
        <f t="shared" ref="T155" si="754">S155/1000</f>
        <v>-1.4133318556019494</v>
      </c>
    </row>
    <row r="156" spans="1:20" x14ac:dyDescent="0.25">
      <c r="A156" s="5">
        <v>44437</v>
      </c>
      <c r="B156">
        <v>1.2407999999999999</v>
      </c>
      <c r="C156">
        <v>1.26</v>
      </c>
      <c r="D156">
        <v>1.1760999999999999</v>
      </c>
      <c r="E156">
        <v>1.2027000000000001</v>
      </c>
      <c r="F156">
        <v>2190783</v>
      </c>
      <c r="G156">
        <v>1.2027000000000001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-0.36591179976161736</v>
      </c>
      <c r="Q156">
        <f t="shared" ref="Q156" si="756">F156*P156</f>
        <v>-801633.35041715542</v>
      </c>
      <c r="R156">
        <f t="shared" ref="R156" si="757">R157+Q156</f>
        <v>-139611719.82537687</v>
      </c>
      <c r="S156">
        <f t="shared" ref="S156" si="758">R156/100000</f>
        <v>-1396.1171982537687</v>
      </c>
      <c r="T156">
        <f t="shared" ref="T156" si="759">S156/1000</f>
        <v>-1.3961171982537688</v>
      </c>
    </row>
    <row r="157" spans="1:20" x14ac:dyDescent="0.25">
      <c r="A157" s="5">
        <v>44436</v>
      </c>
      <c r="B157">
        <v>1.2436</v>
      </c>
      <c r="C157">
        <v>1.3051999999999999</v>
      </c>
      <c r="D157">
        <v>1.1972</v>
      </c>
      <c r="E157">
        <v>1.2405999999999999</v>
      </c>
      <c r="F157">
        <v>2572575.13</v>
      </c>
      <c r="G157">
        <v>1.2405999999999999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-0.19629629629629752</v>
      </c>
      <c r="Q157">
        <f t="shared" ref="Q157" si="761">F157*P157</f>
        <v>-504986.9699629661</v>
      </c>
      <c r="R157">
        <f t="shared" ref="R157" si="762">R158+Q157</f>
        <v>-138810086.4749597</v>
      </c>
      <c r="S157">
        <f t="shared" ref="S157" si="763">R157/100000</f>
        <v>-1388.1008647495971</v>
      </c>
      <c r="T157">
        <f t="shared" ref="T157" si="764">S157/1000</f>
        <v>-1.3881008647495972</v>
      </c>
    </row>
    <row r="158" spans="1:20" x14ac:dyDescent="0.25">
      <c r="A158" s="5">
        <v>44435</v>
      </c>
      <c r="B158">
        <v>1.1871</v>
      </c>
      <c r="C158">
        <v>1.2582</v>
      </c>
      <c r="D158">
        <v>1.1557999999999999</v>
      </c>
      <c r="E158">
        <v>1.244</v>
      </c>
      <c r="F158">
        <v>1669759.44</v>
      </c>
      <c r="G158">
        <v>1.244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0.72265625000000033</v>
      </c>
      <c r="Q158">
        <f t="shared" ref="Q158" si="766">F158*P158</f>
        <v>1206662.0953125006</v>
      </c>
      <c r="R158">
        <f t="shared" ref="R158" si="767">R159+Q158</f>
        <v>-138305099.50499675</v>
      </c>
      <c r="S158">
        <f t="shared" ref="S158" si="768">R158/100000</f>
        <v>-1383.0509950499675</v>
      </c>
      <c r="T158">
        <f t="shared" ref="T158" si="769">S158/1000</f>
        <v>-1.3830509950499674</v>
      </c>
    </row>
    <row r="159" spans="1:20" x14ac:dyDescent="0.25">
      <c r="A159" s="5">
        <v>44434</v>
      </c>
      <c r="B159">
        <v>1.2995000000000001</v>
      </c>
      <c r="C159">
        <v>1.35</v>
      </c>
      <c r="D159">
        <v>1.1616</v>
      </c>
      <c r="E159">
        <v>1.1873</v>
      </c>
      <c r="F159">
        <v>2543245.9900000002</v>
      </c>
      <c r="G159">
        <v>1.1873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-0.72717622080679367</v>
      </c>
      <c r="Q159">
        <f t="shared" ref="Q159" si="771">F159*P159</f>
        <v>-1849388.0075902326</v>
      </c>
      <c r="R159">
        <f t="shared" ref="R159" si="772">R160+Q159</f>
        <v>-139511761.60030925</v>
      </c>
      <c r="S159">
        <f t="shared" ref="S159" si="773">R159/100000</f>
        <v>-1395.1176160030925</v>
      </c>
      <c r="T159">
        <f t="shared" ref="T159" si="774">S159/1000</f>
        <v>-1.3951176160030925</v>
      </c>
    </row>
    <row r="160" spans="1:20" x14ac:dyDescent="0.25">
      <c r="A160" s="5">
        <v>44433</v>
      </c>
      <c r="B160">
        <v>1.2635000000000001</v>
      </c>
      <c r="C160">
        <v>1.302</v>
      </c>
      <c r="D160">
        <v>1.1798</v>
      </c>
      <c r="E160">
        <v>1.302</v>
      </c>
      <c r="F160">
        <v>3290588.66</v>
      </c>
      <c r="G160">
        <v>1.302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1</v>
      </c>
      <c r="Q160">
        <f t="shared" ref="Q160" si="776">F160*P160</f>
        <v>3290588.66</v>
      </c>
      <c r="R160">
        <f t="shared" ref="R160" si="777">R161+Q160</f>
        <v>-137662373.59271902</v>
      </c>
      <c r="S160">
        <f t="shared" ref="S160" si="778">R160/100000</f>
        <v>-1376.6237359271902</v>
      </c>
      <c r="T160">
        <f t="shared" ref="T160" si="779">S160/1000</f>
        <v>-1.3766237359271902</v>
      </c>
    </row>
    <row r="161" spans="1:20" x14ac:dyDescent="0.25">
      <c r="A161" s="5">
        <v>44432</v>
      </c>
      <c r="B161">
        <v>1.4201999999999999</v>
      </c>
      <c r="C161">
        <v>1.4369000000000001</v>
      </c>
      <c r="D161">
        <v>1.2181</v>
      </c>
      <c r="E161">
        <v>1.2635000000000001</v>
      </c>
      <c r="F161">
        <v>2624328.3199999998</v>
      </c>
      <c r="G161">
        <v>1.2635000000000001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-0.58500914076782373</v>
      </c>
      <c r="Q161">
        <f t="shared" ref="Q161" si="781">F161*P161</f>
        <v>-1535256.0555758663</v>
      </c>
      <c r="R161">
        <f t="shared" ref="R161" si="782">R162+Q161</f>
        <v>-140952962.25271901</v>
      </c>
      <c r="S161">
        <f t="shared" ref="S161" si="783">R161/100000</f>
        <v>-1409.5296225271902</v>
      </c>
      <c r="T161">
        <f t="shared" ref="T161" si="784">S161/1000</f>
        <v>-1.4095296225271903</v>
      </c>
    </row>
    <row r="162" spans="1:20" x14ac:dyDescent="0.25">
      <c r="A162" s="5">
        <v>44431</v>
      </c>
      <c r="B162">
        <v>1.4114</v>
      </c>
      <c r="C162">
        <v>1.4675</v>
      </c>
      <c r="D162">
        <v>1.35</v>
      </c>
      <c r="E162">
        <v>1.4205000000000001</v>
      </c>
      <c r="F162">
        <v>3467091.19</v>
      </c>
      <c r="G162">
        <v>1.4205000000000001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0.20000000000000076</v>
      </c>
      <c r="Q162">
        <f t="shared" ref="Q162" si="786">F162*P162</f>
        <v>693418.23800000257</v>
      </c>
      <c r="R162">
        <f t="shared" ref="R162" si="787">R163+Q162</f>
        <v>-139417706.19714314</v>
      </c>
      <c r="S162">
        <f t="shared" ref="S162" si="788">R162/100000</f>
        <v>-1394.1770619714314</v>
      </c>
      <c r="T162">
        <f t="shared" ref="T162" si="789">S162/1000</f>
        <v>-1.3941770619714313</v>
      </c>
    </row>
    <row r="163" spans="1:20" x14ac:dyDescent="0.25">
      <c r="A163" s="5">
        <v>44430</v>
      </c>
      <c r="B163">
        <v>1.4154</v>
      </c>
      <c r="C163">
        <v>1.4307000000000001</v>
      </c>
      <c r="D163">
        <v>1.3837999999999999</v>
      </c>
      <c r="E163">
        <v>1.4017999999999999</v>
      </c>
      <c r="F163">
        <v>731193.31</v>
      </c>
      <c r="G163">
        <v>1.4017999999999999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-0.23240938166311501</v>
      </c>
      <c r="Q163">
        <f t="shared" ref="Q163" si="791">F163*P163</f>
        <v>-169936.18505330637</v>
      </c>
      <c r="R163">
        <f t="shared" ref="R163" si="792">R164+Q163</f>
        <v>-140111124.43514314</v>
      </c>
      <c r="S163">
        <f t="shared" ref="S163" si="793">R163/100000</f>
        <v>-1401.1112443514314</v>
      </c>
      <c r="T163">
        <f t="shared" ref="T163" si="794">S163/1000</f>
        <v>-1.4011112443514315</v>
      </c>
    </row>
    <row r="164" spans="1:20" x14ac:dyDescent="0.25">
      <c r="A164" s="5">
        <v>44429</v>
      </c>
      <c r="B164">
        <v>1.4271</v>
      </c>
      <c r="C164">
        <v>1.5139</v>
      </c>
      <c r="D164">
        <v>1.3601000000000001</v>
      </c>
      <c r="E164">
        <v>1.4155</v>
      </c>
      <c r="F164">
        <v>3639952.36</v>
      </c>
      <c r="G164">
        <v>1.4155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-0.27958387516254984</v>
      </c>
      <c r="Q164">
        <f t="shared" ref="Q164" si="796">F164*P164</f>
        <v>-1017671.9862158686</v>
      </c>
      <c r="R164">
        <f t="shared" ref="R164" si="797">R165+Q164</f>
        <v>-139941188.25008982</v>
      </c>
      <c r="S164">
        <f t="shared" ref="S164" si="798">R164/100000</f>
        <v>-1399.4118825008982</v>
      </c>
      <c r="T164">
        <f t="shared" ref="T164" si="799">S164/1000</f>
        <v>-1.3994118825008981</v>
      </c>
    </row>
    <row r="165" spans="1:20" x14ac:dyDescent="0.25">
      <c r="A165" s="5">
        <v>44428</v>
      </c>
      <c r="B165">
        <v>1.3912</v>
      </c>
      <c r="C165">
        <v>1.47</v>
      </c>
      <c r="D165">
        <v>1.3496999999999999</v>
      </c>
      <c r="E165">
        <v>1.4271</v>
      </c>
      <c r="F165">
        <v>3794086.01</v>
      </c>
      <c r="G165">
        <v>1.4271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0.28678304239401642</v>
      </c>
      <c r="Q165">
        <f t="shared" ref="Q165" si="801">F165*P165</f>
        <v>1088079.5290523747</v>
      </c>
      <c r="R165">
        <f t="shared" ref="R165" si="802">R166+Q165</f>
        <v>-138923516.26387396</v>
      </c>
      <c r="S165">
        <f t="shared" ref="S165" si="803">R165/100000</f>
        <v>-1389.2351626387397</v>
      </c>
      <c r="T165">
        <f t="shared" ref="T165" si="804">S165/1000</f>
        <v>-1.3892351626387396</v>
      </c>
    </row>
    <row r="166" spans="1:20" x14ac:dyDescent="0.25">
      <c r="A166" s="5">
        <v>44427</v>
      </c>
      <c r="B166">
        <v>1.3024</v>
      </c>
      <c r="C166">
        <v>1.3945000000000001</v>
      </c>
      <c r="D166">
        <v>1.2549999999999999</v>
      </c>
      <c r="E166">
        <v>1.3945000000000001</v>
      </c>
      <c r="F166">
        <v>3509899.42</v>
      </c>
      <c r="G166">
        <v>1.3945000000000001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1</v>
      </c>
      <c r="Q166">
        <f t="shared" ref="Q166" si="806">F166*P166</f>
        <v>3509899.42</v>
      </c>
      <c r="R166">
        <f t="shared" ref="R166" si="807">R167+Q166</f>
        <v>-140011595.79292634</v>
      </c>
      <c r="S166">
        <f t="shared" ref="S166" si="808">R166/100000</f>
        <v>-1400.1159579292635</v>
      </c>
      <c r="T166">
        <f t="shared" ref="T166" si="809">S166/1000</f>
        <v>-1.4001159579292635</v>
      </c>
    </row>
    <row r="167" spans="1:20" x14ac:dyDescent="0.25">
      <c r="A167" s="5">
        <v>44426</v>
      </c>
      <c r="B167">
        <v>1.2613000000000001</v>
      </c>
      <c r="C167">
        <v>1.42</v>
      </c>
      <c r="D167">
        <v>1.25</v>
      </c>
      <c r="E167">
        <v>1.3028999999999999</v>
      </c>
      <c r="F167">
        <v>4572152.17</v>
      </c>
      <c r="G167">
        <v>1.3028999999999999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-0.37764705882352978</v>
      </c>
      <c r="Q167">
        <f t="shared" ref="Q167" si="811">F167*P167</f>
        <v>-1726659.8194941194</v>
      </c>
      <c r="R167">
        <f t="shared" ref="R167" si="812">R168+Q167</f>
        <v>-143521495.21292633</v>
      </c>
      <c r="S167">
        <f t="shared" ref="S167" si="813">R167/100000</f>
        <v>-1435.2149521292633</v>
      </c>
      <c r="T167">
        <f t="shared" ref="T167" si="814">S167/1000</f>
        <v>-1.4352149521292634</v>
      </c>
    </row>
    <row r="168" spans="1:20" x14ac:dyDescent="0.25">
      <c r="A168" s="5">
        <v>44425</v>
      </c>
      <c r="B168">
        <v>1.3509</v>
      </c>
      <c r="C168">
        <v>1.6803999999999999</v>
      </c>
      <c r="D168">
        <v>1.2569999999999999</v>
      </c>
      <c r="E168">
        <v>1.2637</v>
      </c>
      <c r="F168">
        <v>11834191.960000001</v>
      </c>
      <c r="G168">
        <v>1.2637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-0.9683514407179965</v>
      </c>
      <c r="Q168">
        <f t="shared" ref="Q168" si="816">F168*P168</f>
        <v>-11459656.834199332</v>
      </c>
      <c r="R168">
        <f t="shared" ref="R168" si="817">R169+Q168</f>
        <v>-141794835.3934322</v>
      </c>
      <c r="S168">
        <f t="shared" ref="S168" si="818">R168/100000</f>
        <v>-1417.9483539343221</v>
      </c>
      <c r="T168">
        <f t="shared" ref="T168" si="819">S168/1000</f>
        <v>-1.4179483539343221</v>
      </c>
    </row>
    <row r="169" spans="1:20" x14ac:dyDescent="0.25">
      <c r="A169" s="5">
        <v>44424</v>
      </c>
      <c r="B169">
        <v>1.224</v>
      </c>
      <c r="C169">
        <v>1.52</v>
      </c>
      <c r="D169">
        <v>1.2158</v>
      </c>
      <c r="E169">
        <v>1.3501000000000001</v>
      </c>
      <c r="F169">
        <v>9168356.8900000006</v>
      </c>
      <c r="G169">
        <v>1.3501000000000001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-0.11702827087442423</v>
      </c>
      <c r="Q169">
        <f t="shared" ref="Q169" si="821">F169*P169</f>
        <v>-1072956.9535963137</v>
      </c>
      <c r="R169">
        <f t="shared" ref="R169" si="822">R170+Q169</f>
        <v>-130335178.55923286</v>
      </c>
      <c r="S169">
        <f t="shared" ref="S169" si="823">R169/100000</f>
        <v>-1303.3517855923285</v>
      </c>
      <c r="T169">
        <f t="shared" ref="T169" si="824">S169/1000</f>
        <v>-1.3033517855923284</v>
      </c>
    </row>
    <row r="170" spans="1:20" x14ac:dyDescent="0.25">
      <c r="A170" s="5">
        <v>44423</v>
      </c>
      <c r="B170">
        <v>1.2091000000000001</v>
      </c>
      <c r="C170">
        <v>1.3068</v>
      </c>
      <c r="D170">
        <v>1.1511</v>
      </c>
      <c r="E170">
        <v>1.224</v>
      </c>
      <c r="F170">
        <v>3556994.01</v>
      </c>
      <c r="G170">
        <v>1.224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-6.3583815028901883E-2</v>
      </c>
      <c r="Q170">
        <f t="shared" ref="Q170" si="826">F170*P170</f>
        <v>-226167.24919075196</v>
      </c>
      <c r="R170">
        <f t="shared" ref="R170" si="827">R171+Q170</f>
        <v>-129262221.60563655</v>
      </c>
      <c r="S170">
        <f t="shared" ref="S170" si="828">R170/100000</f>
        <v>-1292.6222160563655</v>
      </c>
      <c r="T170">
        <f t="shared" ref="T170" si="829">S170/1000</f>
        <v>-1.2926222160563654</v>
      </c>
    </row>
    <row r="171" spans="1:20" x14ac:dyDescent="0.25">
      <c r="A171" s="5">
        <v>44422</v>
      </c>
      <c r="B171">
        <v>1.2423999999999999</v>
      </c>
      <c r="C171">
        <v>1.2649999999999999</v>
      </c>
      <c r="D171">
        <v>1.1371</v>
      </c>
      <c r="E171">
        <v>1.2095</v>
      </c>
      <c r="F171">
        <v>3961099.82</v>
      </c>
      <c r="G171">
        <v>1.2095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0.13213448006255005</v>
      </c>
      <c r="Q171">
        <f t="shared" ref="Q171" si="831">F171*P171</f>
        <v>523397.86519156053</v>
      </c>
      <c r="R171">
        <f t="shared" ref="R171" si="832">R172+Q171</f>
        <v>-129036054.3564458</v>
      </c>
      <c r="S171">
        <f t="shared" ref="S171" si="833">R171/100000</f>
        <v>-1290.3605435644581</v>
      </c>
      <c r="T171">
        <f t="shared" ref="T171" si="834">S171/1000</f>
        <v>-1.2903605435644581</v>
      </c>
    </row>
    <row r="172" spans="1:20" x14ac:dyDescent="0.25">
      <c r="A172" s="5">
        <v>44421</v>
      </c>
      <c r="B172">
        <v>1.1858</v>
      </c>
      <c r="C172">
        <v>1.3640000000000001</v>
      </c>
      <c r="D172">
        <v>1.1627000000000001</v>
      </c>
      <c r="E172">
        <v>1.2407999999999999</v>
      </c>
      <c r="F172">
        <v>9521019.25</v>
      </c>
      <c r="G172">
        <v>1.2407999999999999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-0.22404371584699628</v>
      </c>
      <c r="Q172">
        <f t="shared" ref="Q172" si="836">F172*P172</f>
        <v>-2133124.5314207817</v>
      </c>
      <c r="R172">
        <f t="shared" ref="R172" si="837">R173+Q172</f>
        <v>-129559452.22163737</v>
      </c>
      <c r="S172">
        <f t="shared" ref="S172" si="838">R172/100000</f>
        <v>-1295.5945222163737</v>
      </c>
      <c r="T172">
        <f t="shared" ref="T172" si="839">S172/1000</f>
        <v>-1.2955945222163736</v>
      </c>
    </row>
    <row r="173" spans="1:20" x14ac:dyDescent="0.25">
      <c r="A173" s="5">
        <v>44420</v>
      </c>
      <c r="B173">
        <v>1.0014000000000001</v>
      </c>
      <c r="C173">
        <v>1.2725</v>
      </c>
      <c r="D173">
        <v>0.95330000000000004</v>
      </c>
      <c r="E173">
        <v>1.1856</v>
      </c>
      <c r="F173">
        <v>13774587.6</v>
      </c>
      <c r="G173">
        <v>1.1856</v>
      </c>
      <c r="L173" t="s">
        <v>8</v>
      </c>
      <c r="M173" t="s">
        <v>8</v>
      </c>
      <c r="N173" t="s">
        <v>7</v>
      </c>
      <c r="P173">
        <f t="shared" ref="P173" si="840">IF(C173=D173,0,((E173-D173)-(C173-E173))/(C173-D173))</f>
        <v>0.45551378446115293</v>
      </c>
      <c r="Q173">
        <f t="shared" ref="Q173" si="841">F173*P173</f>
        <v>6274514.5270676697</v>
      </c>
      <c r="R173">
        <f t="shared" ref="R173" si="842">R174+Q173</f>
        <v>-127426327.69021659</v>
      </c>
      <c r="S173">
        <f t="shared" ref="S173" si="843">R173/100000</f>
        <v>-1274.2632769021659</v>
      </c>
      <c r="T173">
        <f t="shared" ref="T173" si="844">S173/1000</f>
        <v>-1.274263276902166</v>
      </c>
    </row>
    <row r="174" spans="1:20" x14ac:dyDescent="0.25">
      <c r="A174" s="5">
        <v>44419</v>
      </c>
      <c r="B174">
        <v>1.0065999999999999</v>
      </c>
      <c r="C174">
        <v>1.0920000000000001</v>
      </c>
      <c r="D174">
        <v>0.99709999999999999</v>
      </c>
      <c r="E174">
        <v>1.0027999999999999</v>
      </c>
      <c r="F174">
        <v>4255480.1500000004</v>
      </c>
      <c r="G174">
        <v>1.0027999999999999</v>
      </c>
      <c r="L174" t="s">
        <v>8</v>
      </c>
      <c r="M174" t="s">
        <v>7</v>
      </c>
      <c r="N174" t="s">
        <v>7</v>
      </c>
      <c r="P174">
        <f t="shared" ref="P174" si="845">IF(C174=D174,0,((E174-D174)-(C174-E174))/(C174-D174))</f>
        <v>-0.87987355110642951</v>
      </c>
      <c r="Q174">
        <f t="shared" ref="Q174" si="846">F174*P174</f>
        <v>-3744284.4312434215</v>
      </c>
      <c r="R174">
        <f t="shared" ref="R174" si="847">R175+Q174</f>
        <v>-133700842.21728426</v>
      </c>
      <c r="S174">
        <f t="shared" ref="S174" si="848">R174/100000</f>
        <v>-1337.0084221728425</v>
      </c>
      <c r="T174">
        <f t="shared" ref="T174" si="849">S174/1000</f>
        <v>-1.3370084221728424</v>
      </c>
    </row>
    <row r="175" spans="1:20" x14ac:dyDescent="0.25">
      <c r="A175" s="5">
        <v>44418</v>
      </c>
      <c r="B175">
        <v>0.99939999999999996</v>
      </c>
      <c r="C175">
        <v>1.0589999999999999</v>
      </c>
      <c r="D175">
        <v>0.95699999999999996</v>
      </c>
      <c r="E175">
        <v>1.0065999999999999</v>
      </c>
      <c r="F175">
        <v>4123235.28</v>
      </c>
      <c r="G175">
        <v>1.0065999999999999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-2.7450980392157109E-2</v>
      </c>
      <c r="Q175">
        <f t="shared" ref="Q175" si="851">F175*P175</f>
        <v>-113186.85082353042</v>
      </c>
      <c r="R175">
        <f t="shared" ref="R175" si="852">R176+Q175</f>
        <v>-129956557.78604084</v>
      </c>
      <c r="S175">
        <f t="shared" ref="S175" si="853">R175/100000</f>
        <v>-1299.5655778604084</v>
      </c>
      <c r="T175">
        <f t="shared" ref="T175" si="854">S175/1000</f>
        <v>-1.2995655778604085</v>
      </c>
    </row>
    <row r="176" spans="1:20" x14ac:dyDescent="0.25">
      <c r="A176" s="5">
        <v>44417</v>
      </c>
      <c r="B176">
        <v>0.96330000000000005</v>
      </c>
      <c r="C176">
        <v>1.0717000000000001</v>
      </c>
      <c r="D176">
        <v>0.91539999999999999</v>
      </c>
      <c r="E176">
        <v>1.0004</v>
      </c>
      <c r="F176">
        <v>6984757.4199999999</v>
      </c>
      <c r="G176">
        <v>1.0004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8.7651951375558632E-2</v>
      </c>
      <c r="Q176">
        <f t="shared" ref="Q176" si="856">F176*P176</f>
        <v>612227.6177479123</v>
      </c>
      <c r="R176">
        <f t="shared" ref="R176" si="857">R177+Q176</f>
        <v>-129843370.93521731</v>
      </c>
      <c r="S176">
        <f t="shared" ref="S176" si="858">R176/100000</f>
        <v>-1298.4337093521731</v>
      </c>
      <c r="T176">
        <f t="shared" ref="T176" si="859">S176/1000</f>
        <v>-1.2984337093521732</v>
      </c>
    </row>
    <row r="177" spans="1:20" x14ac:dyDescent="0.25">
      <c r="A177" s="5">
        <v>44416</v>
      </c>
      <c r="B177">
        <v>1.0667</v>
      </c>
      <c r="C177">
        <v>1.1154999999999999</v>
      </c>
      <c r="D177">
        <v>0.94679999999999997</v>
      </c>
      <c r="E177">
        <v>0.96309999999999996</v>
      </c>
      <c r="F177">
        <v>5734588.1500000004</v>
      </c>
      <c r="G177">
        <v>0.96309999999999996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-0.80675755779490232</v>
      </c>
      <c r="Q177">
        <f t="shared" ref="Q177" si="861">F177*P177</f>
        <v>-4626422.330853587</v>
      </c>
      <c r="R177">
        <f t="shared" ref="R177" si="862">R178+Q177</f>
        <v>-130455598.55296522</v>
      </c>
      <c r="S177">
        <f t="shared" ref="S177" si="863">R177/100000</f>
        <v>-1304.5559855296522</v>
      </c>
      <c r="T177">
        <f t="shared" ref="T177" si="864">S177/1000</f>
        <v>-1.3045559855296522</v>
      </c>
    </row>
    <row r="178" spans="1:20" x14ac:dyDescent="0.25">
      <c r="A178" s="5">
        <v>44415</v>
      </c>
      <c r="B178">
        <v>0.98929999999999996</v>
      </c>
      <c r="C178">
        <v>1.3977999999999999</v>
      </c>
      <c r="D178">
        <v>0.98809999999999998</v>
      </c>
      <c r="E178">
        <v>1.0667</v>
      </c>
      <c r="F178">
        <v>27686428.039999999</v>
      </c>
      <c r="G178">
        <v>1.0667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-0.6163046131315596</v>
      </c>
      <c r="Q178">
        <f t="shared" ref="Q178" si="866">F178*P178</f>
        <v>-17063273.322186962</v>
      </c>
      <c r="R178">
        <f t="shared" ref="R178" si="867">R179+Q178</f>
        <v>-125829176.22211164</v>
      </c>
      <c r="S178">
        <f t="shared" ref="S178" si="868">R178/100000</f>
        <v>-1258.2917622211164</v>
      </c>
      <c r="T178">
        <f t="shared" ref="T178" si="869">S178/1000</f>
        <v>-1.2582917622211165</v>
      </c>
    </row>
    <row r="179" spans="1:20" x14ac:dyDescent="0.25">
      <c r="A179" s="5">
        <v>44414</v>
      </c>
      <c r="B179">
        <v>0.85189999999999999</v>
      </c>
      <c r="C179">
        <v>1.198</v>
      </c>
      <c r="D179">
        <v>0.80069999999999997</v>
      </c>
      <c r="E179">
        <v>0.98780000000000001</v>
      </c>
      <c r="F179">
        <v>35199925.329999998</v>
      </c>
      <c r="G179">
        <v>0.98780000000000001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-5.8142461615907123E-2</v>
      </c>
      <c r="Q179">
        <f t="shared" ref="Q179" si="871">F179*P179</f>
        <v>-2046610.3073823217</v>
      </c>
      <c r="R179">
        <f t="shared" ref="R179" si="872">R180+Q179</f>
        <v>-108765902.89992468</v>
      </c>
      <c r="S179">
        <f t="shared" ref="S179" si="873">R179/100000</f>
        <v>-1087.6590289992469</v>
      </c>
      <c r="T179">
        <f t="shared" ref="T179" si="874">S179/1000</f>
        <v>-1.0876590289992469</v>
      </c>
    </row>
    <row r="180" spans="1:20" x14ac:dyDescent="0.25">
      <c r="A180" s="5">
        <v>44413</v>
      </c>
      <c r="B180">
        <v>0.73170000000000002</v>
      </c>
      <c r="C180">
        <v>0.85399999999999998</v>
      </c>
      <c r="D180">
        <v>0.72140000000000004</v>
      </c>
      <c r="E180">
        <v>0.85029999999999994</v>
      </c>
      <c r="F180">
        <v>13836204.33</v>
      </c>
      <c r="G180">
        <v>0.85029999999999994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0.94419306184012008</v>
      </c>
      <c r="Q180">
        <f t="shared" ref="Q180" si="876">F180*P180</f>
        <v>13064048.130588228</v>
      </c>
      <c r="R180">
        <f t="shared" ref="R180" si="877">R181+Q180</f>
        <v>-106719292.59254237</v>
      </c>
      <c r="S180">
        <f t="shared" ref="S180" si="878">R180/100000</f>
        <v>-1067.1929259254237</v>
      </c>
      <c r="T180">
        <f t="shared" ref="T180" si="879">S180/1000</f>
        <v>-1.0671929259254236</v>
      </c>
    </row>
    <row r="181" spans="1:20" x14ac:dyDescent="0.25">
      <c r="A181" s="5">
        <v>44412</v>
      </c>
      <c r="B181">
        <v>0.7117</v>
      </c>
      <c r="C181">
        <v>0.7591</v>
      </c>
      <c r="D181">
        <v>0.70630000000000004</v>
      </c>
      <c r="E181">
        <v>0.73050000000000004</v>
      </c>
      <c r="F181">
        <v>3239011.41</v>
      </c>
      <c r="G181">
        <v>0.73050000000000004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-8.3333333333332635E-2</v>
      </c>
      <c r="Q181">
        <f t="shared" ref="Q181" si="881">F181*P181</f>
        <v>-269917.61749999772</v>
      </c>
      <c r="R181">
        <f t="shared" ref="R181" si="882">R182+Q181</f>
        <v>-119783340.7231306</v>
      </c>
      <c r="S181">
        <f t="shared" ref="S181" si="883">R181/100000</f>
        <v>-1197.833407231306</v>
      </c>
      <c r="T181">
        <f t="shared" ref="T181" si="884">S181/1000</f>
        <v>-1.1978334072313059</v>
      </c>
    </row>
    <row r="182" spans="1:20" x14ac:dyDescent="0.25">
      <c r="A182" s="5">
        <v>44411</v>
      </c>
      <c r="B182">
        <v>0.72250000000000003</v>
      </c>
      <c r="C182">
        <v>0.73419999999999996</v>
      </c>
      <c r="D182">
        <v>0.68830000000000002</v>
      </c>
      <c r="E182">
        <v>0.71179999999999999</v>
      </c>
      <c r="F182">
        <v>3390954.54</v>
      </c>
      <c r="G182">
        <v>0.71179999999999999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2.3965141612200248E-2</v>
      </c>
      <c r="Q182">
        <f t="shared" ref="Q182" si="886">F182*P182</f>
        <v>81264.705751633344</v>
      </c>
      <c r="R182">
        <f t="shared" ref="R182" si="887">R183+Q182</f>
        <v>-119513423.10563061</v>
      </c>
      <c r="S182">
        <f t="shared" ref="S182" si="888">R182/100000</f>
        <v>-1195.1342310563061</v>
      </c>
      <c r="T182">
        <f t="shared" ref="T182" si="889">S182/1000</f>
        <v>-1.1951342310563062</v>
      </c>
    </row>
    <row r="183" spans="1:20" x14ac:dyDescent="0.25">
      <c r="A183" s="5">
        <v>44410</v>
      </c>
      <c r="B183">
        <v>0.70589999999999997</v>
      </c>
      <c r="C183">
        <v>0.81389999999999996</v>
      </c>
      <c r="D183">
        <v>0.68600000000000005</v>
      </c>
      <c r="E183">
        <v>0.72230000000000005</v>
      </c>
      <c r="F183">
        <v>7545829.6299999999</v>
      </c>
      <c r="G183">
        <v>0.72230000000000005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-0.43236903831118018</v>
      </c>
      <c r="Q183">
        <f t="shared" ref="Q183" si="891">F183*P183</f>
        <v>-3262583.1003831085</v>
      </c>
      <c r="R183">
        <f t="shared" ref="R183" si="892">R184+Q183</f>
        <v>-119594687.81138223</v>
      </c>
      <c r="S183">
        <f t="shared" ref="S183" si="893">R183/100000</f>
        <v>-1195.9468781138223</v>
      </c>
      <c r="T183">
        <f t="shared" ref="T183" si="894">S183/1000</f>
        <v>-1.1959468781138223</v>
      </c>
    </row>
    <row r="184" spans="1:20" x14ac:dyDescent="0.25">
      <c r="A184" s="5">
        <v>44409</v>
      </c>
      <c r="B184">
        <v>0.72040000000000004</v>
      </c>
      <c r="C184">
        <v>0.73880000000000001</v>
      </c>
      <c r="D184">
        <v>0.69899999999999995</v>
      </c>
      <c r="E184">
        <v>0.70640000000000003</v>
      </c>
      <c r="F184">
        <v>3871778.86</v>
      </c>
      <c r="G184">
        <v>0.70640000000000003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-0.62814070351758478</v>
      </c>
      <c r="Q184">
        <f t="shared" ref="Q184" si="896">F184*P184</f>
        <v>-2432021.8969849125</v>
      </c>
      <c r="R184">
        <f t="shared" ref="R184" si="897">R185+Q184</f>
        <v>-116332104.71099913</v>
      </c>
      <c r="S184">
        <f t="shared" ref="S184" si="898">R184/100000</f>
        <v>-1163.3210471099912</v>
      </c>
      <c r="T184">
        <f t="shared" ref="T184" si="899">S184/1000</f>
        <v>-1.1633210471099913</v>
      </c>
    </row>
    <row r="185" spans="1:20" x14ac:dyDescent="0.25">
      <c r="A185" s="5">
        <v>44408</v>
      </c>
      <c r="B185">
        <v>0.71740000000000004</v>
      </c>
      <c r="C185">
        <v>0.73960000000000004</v>
      </c>
      <c r="D185">
        <v>0.68930000000000002</v>
      </c>
      <c r="E185">
        <v>0.7208</v>
      </c>
      <c r="F185">
        <v>3914758.9</v>
      </c>
      <c r="G185">
        <v>0.7208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0.25248508946321929</v>
      </c>
      <c r="Q185">
        <f t="shared" ref="Q185" si="901">F185*P185</f>
        <v>988418.25109343394</v>
      </c>
      <c r="R185">
        <f t="shared" ref="R185" si="902">R186+Q185</f>
        <v>-113900082.81401421</v>
      </c>
      <c r="S185">
        <f t="shared" ref="S185" si="903">R185/100000</f>
        <v>-1139.0008281401422</v>
      </c>
      <c r="T185">
        <f t="shared" ref="T185" si="904">S185/1000</f>
        <v>-1.1390008281401423</v>
      </c>
    </row>
    <row r="186" spans="1:20" x14ac:dyDescent="0.25">
      <c r="A186" s="5">
        <v>44407</v>
      </c>
      <c r="B186">
        <v>0.69979999999999998</v>
      </c>
      <c r="C186">
        <v>0.73009999999999997</v>
      </c>
      <c r="D186">
        <v>0.66359999999999997</v>
      </c>
      <c r="E186">
        <v>0.71579999999999999</v>
      </c>
      <c r="F186">
        <v>3296830.67</v>
      </c>
      <c r="G186">
        <v>0.71579999999999999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0.56992481203007583</v>
      </c>
      <c r="Q186">
        <f t="shared" ref="Q186" si="906">F186*P186</f>
        <v>1878945.599894739</v>
      </c>
      <c r="R186">
        <f t="shared" ref="R186" si="907">R187+Q186</f>
        <v>-114888501.06510764</v>
      </c>
      <c r="S186">
        <f t="shared" ref="S186" si="908">R186/100000</f>
        <v>-1148.8850106510765</v>
      </c>
      <c r="T186">
        <f t="shared" ref="T186" si="909">S186/1000</f>
        <v>-1.1488850106510766</v>
      </c>
    </row>
    <row r="187" spans="1:20" x14ac:dyDescent="0.25">
      <c r="A187" s="5">
        <v>44406</v>
      </c>
      <c r="B187">
        <v>0.6946</v>
      </c>
      <c r="C187">
        <v>0.72009999999999996</v>
      </c>
      <c r="D187">
        <v>0.66320000000000001</v>
      </c>
      <c r="E187">
        <v>0.69920000000000004</v>
      </c>
      <c r="F187">
        <v>3375382.78</v>
      </c>
      <c r="G187">
        <v>0.69920000000000004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0.26537785588752422</v>
      </c>
      <c r="Q187">
        <f t="shared" ref="Q187" si="911">F187*P187</f>
        <v>895751.84495607077</v>
      </c>
      <c r="R187">
        <f t="shared" ref="R187" si="912">R188+Q187</f>
        <v>-116767446.66500238</v>
      </c>
      <c r="S187">
        <f t="shared" ref="S187" si="913">R187/100000</f>
        <v>-1167.6744666500238</v>
      </c>
      <c r="T187">
        <f t="shared" ref="T187" si="914">S187/1000</f>
        <v>-1.1676744666500238</v>
      </c>
    </row>
    <row r="188" spans="1:20" x14ac:dyDescent="0.25">
      <c r="A188" s="5">
        <v>44405</v>
      </c>
      <c r="B188">
        <v>0.69750000000000001</v>
      </c>
      <c r="C188">
        <v>0.73299999999999998</v>
      </c>
      <c r="D188">
        <v>0.68330000000000002</v>
      </c>
      <c r="E188">
        <v>0.69450000000000001</v>
      </c>
      <c r="F188">
        <v>3580797.96</v>
      </c>
      <c r="G188">
        <v>0.69450000000000001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-0.54929577464788748</v>
      </c>
      <c r="Q188">
        <f t="shared" ref="Q188" si="916">F188*P188</f>
        <v>-1966917.1892957753</v>
      </c>
      <c r="R188">
        <f t="shared" ref="R188" si="917">R189+Q188</f>
        <v>-117663198.50995845</v>
      </c>
      <c r="S188">
        <f t="shared" ref="S188" si="918">R188/100000</f>
        <v>-1176.6319850995844</v>
      </c>
      <c r="T188">
        <f t="shared" ref="T188" si="919">S188/1000</f>
        <v>-1.1766319850995843</v>
      </c>
    </row>
    <row r="189" spans="1:20" x14ac:dyDescent="0.25">
      <c r="A189" s="5">
        <v>44404</v>
      </c>
      <c r="B189">
        <v>0.69220000000000004</v>
      </c>
      <c r="C189">
        <v>0.71340000000000003</v>
      </c>
      <c r="D189">
        <v>0.65280000000000005</v>
      </c>
      <c r="E189">
        <v>0.69820000000000004</v>
      </c>
      <c r="F189">
        <v>4464062.66</v>
      </c>
      <c r="G189">
        <v>0.69820000000000004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0.49834983498349855</v>
      </c>
      <c r="Q189">
        <f t="shared" ref="Q189" si="921">F189*P189</f>
        <v>2224664.8899669978</v>
      </c>
      <c r="R189">
        <f t="shared" ref="R189" si="922">R190+Q189</f>
        <v>-115696281.32066268</v>
      </c>
      <c r="S189">
        <f t="shared" ref="S189" si="923">R189/100000</f>
        <v>-1156.9628132066268</v>
      </c>
      <c r="T189">
        <f t="shared" ref="T189" si="924">S189/1000</f>
        <v>-1.1569628132066268</v>
      </c>
    </row>
    <row r="190" spans="1:20" x14ac:dyDescent="0.25">
      <c r="A190" s="5">
        <v>44403</v>
      </c>
      <c r="B190">
        <v>0.74990000000000001</v>
      </c>
      <c r="C190">
        <v>0.85</v>
      </c>
      <c r="D190">
        <v>0.67889999999999995</v>
      </c>
      <c r="E190">
        <v>0.69359999999999999</v>
      </c>
      <c r="F190">
        <v>11542726.310000001</v>
      </c>
      <c r="G190">
        <v>0.69359999999999999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-0.8281706604324951</v>
      </c>
      <c r="Q190">
        <f t="shared" ref="Q190" si="926">F190*P190</f>
        <v>-9559347.271344237</v>
      </c>
      <c r="R190">
        <f t="shared" ref="R190" si="927">R191+Q190</f>
        <v>-117920946.21062967</v>
      </c>
      <c r="S190">
        <f t="shared" ref="S190" si="928">R190/100000</f>
        <v>-1179.2094621062968</v>
      </c>
      <c r="T190">
        <f t="shared" ref="T190" si="929">S190/1000</f>
        <v>-1.1792094621062967</v>
      </c>
    </row>
    <row r="191" spans="1:20" x14ac:dyDescent="0.25">
      <c r="A191" s="5">
        <v>44402</v>
      </c>
      <c r="B191">
        <v>0.59730000000000005</v>
      </c>
      <c r="C191">
        <v>0.86070000000000002</v>
      </c>
      <c r="D191">
        <v>0.58350000000000002</v>
      </c>
      <c r="E191">
        <v>0.74960000000000004</v>
      </c>
      <c r="F191">
        <v>30358823.82</v>
      </c>
      <c r="G191">
        <v>0.74960000000000004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0.1984126984126986</v>
      </c>
      <c r="Q191">
        <f t="shared" ref="Q191" si="931">F191*P191</f>
        <v>6023576.1547619104</v>
      </c>
      <c r="R191">
        <f t="shared" ref="R191" si="932">R192+Q191</f>
        <v>-108361598.93928544</v>
      </c>
      <c r="S191">
        <f t="shared" ref="S191" si="933">R191/100000</f>
        <v>-1083.6159893928543</v>
      </c>
      <c r="T191">
        <f t="shared" ref="T191:T197" si="934">S191/1000</f>
        <v>-1.0836159893928543</v>
      </c>
    </row>
    <row r="192" spans="1:20" x14ac:dyDescent="0.25">
      <c r="A192" s="5">
        <v>44401</v>
      </c>
      <c r="B192">
        <v>0.59640000000000004</v>
      </c>
      <c r="C192">
        <v>0.62829999999999997</v>
      </c>
      <c r="D192">
        <v>0.57850000000000001</v>
      </c>
      <c r="E192">
        <v>0.59819999999999995</v>
      </c>
      <c r="F192">
        <v>4674971.67</v>
      </c>
      <c r="G192">
        <v>0.59819999999999995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-0.20883534136546356</v>
      </c>
      <c r="Q192">
        <f t="shared" ref="Q192" si="936">F192*P192</f>
        <v>-976299.30457832117</v>
      </c>
      <c r="R192">
        <f t="shared" ref="R192" si="937">R193+Q192</f>
        <v>-114385175.09404735</v>
      </c>
      <c r="S192">
        <f t="shared" ref="S192" si="938">R192/100000</f>
        <v>-1143.8517509404735</v>
      </c>
      <c r="T192">
        <f t="shared" si="934"/>
        <v>-1.1438517509404735</v>
      </c>
    </row>
    <row r="193" spans="1:20" x14ac:dyDescent="0.25">
      <c r="A193" s="5">
        <v>44400</v>
      </c>
      <c r="B193">
        <v>0.53510000000000002</v>
      </c>
      <c r="C193">
        <v>0.61850000000000005</v>
      </c>
      <c r="D193">
        <v>0.53190000000000004</v>
      </c>
      <c r="E193">
        <v>0.59519999999999995</v>
      </c>
      <c r="F193">
        <v>11057527.880000001</v>
      </c>
      <c r="G193">
        <v>0.59519999999999995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0.46189376443417796</v>
      </c>
      <c r="Q193">
        <f t="shared" ref="Q193" si="940">F193*P193</f>
        <v>5107403.1778290756</v>
      </c>
      <c r="R193">
        <f t="shared" ref="R193" si="941">R194+Q193</f>
        <v>-113408875.78946903</v>
      </c>
      <c r="S193">
        <f t="shared" ref="S193" si="942">R193/100000</f>
        <v>-1134.0887578946904</v>
      </c>
      <c r="T193">
        <f t="shared" si="934"/>
        <v>-1.1340887578946903</v>
      </c>
    </row>
    <row r="194" spans="1:20" x14ac:dyDescent="0.25">
      <c r="A194" s="5">
        <v>44399</v>
      </c>
      <c r="B194">
        <v>0.52859999999999996</v>
      </c>
      <c r="C194">
        <v>0.54579999999999995</v>
      </c>
      <c r="D194">
        <v>0.51849999999999996</v>
      </c>
      <c r="E194">
        <v>0.53510000000000002</v>
      </c>
      <c r="F194">
        <v>4583394.95</v>
      </c>
      <c r="G194">
        <v>0.53510000000000002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0.21611721611722085</v>
      </c>
      <c r="Q194">
        <f t="shared" ref="Q194" si="944">F194*P194</f>
        <v>990550.55695972871</v>
      </c>
      <c r="R194">
        <f t="shared" ref="R194" si="945">R195+Q194</f>
        <v>-118516278.96729811</v>
      </c>
      <c r="S194">
        <f t="shared" ref="S194" si="946">R194/100000</f>
        <v>-1185.162789672981</v>
      </c>
      <c r="T194">
        <f t="shared" si="934"/>
        <v>-1.1851627896729811</v>
      </c>
    </row>
    <row r="195" spans="1:20" x14ac:dyDescent="0.25">
      <c r="A195" s="5">
        <v>44398</v>
      </c>
      <c r="B195">
        <v>0.50760000000000005</v>
      </c>
      <c r="C195">
        <v>0.55620000000000003</v>
      </c>
      <c r="D195">
        <v>0.49509999999999998</v>
      </c>
      <c r="E195">
        <v>0.52790000000000004</v>
      </c>
      <c r="F195">
        <v>4831754.96</v>
      </c>
      <c r="G195">
        <v>0.52790000000000004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7.3649754500819259E-2</v>
      </c>
      <c r="Q195">
        <f t="shared" ref="Q195" si="948">F195*P195</f>
        <v>355857.56661211577</v>
      </c>
      <c r="R195">
        <f t="shared" ref="R195" si="949">R196+Q195</f>
        <v>-119506829.52425784</v>
      </c>
      <c r="S195">
        <f t="shared" ref="S195" si="950">R195/100000</f>
        <v>-1195.0682952425784</v>
      </c>
      <c r="T195">
        <f t="shared" si="934"/>
        <v>-1.1950682952425784</v>
      </c>
    </row>
    <row r="196" spans="1:20" x14ac:dyDescent="0.25">
      <c r="A196" s="5">
        <v>44397</v>
      </c>
      <c r="B196">
        <v>0.51170000000000004</v>
      </c>
      <c r="C196">
        <v>0.52429999999999999</v>
      </c>
      <c r="D196">
        <v>0.47620000000000001</v>
      </c>
      <c r="E196">
        <v>0.50780000000000003</v>
      </c>
      <c r="F196">
        <v>3731764.3</v>
      </c>
      <c r="G196">
        <v>0.50780000000000003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0.31392931392931528</v>
      </c>
      <c r="Q196">
        <f t="shared" ref="Q196" si="952">F196*P196</f>
        <v>1171510.2064449114</v>
      </c>
      <c r="R196">
        <f t="shared" ref="R196" si="953">R197+Q196</f>
        <v>-119862687.09086995</v>
      </c>
      <c r="S196">
        <f t="shared" ref="S196" si="954">R196/100000</f>
        <v>-1198.6268709086994</v>
      </c>
      <c r="T196">
        <f t="shared" si="934"/>
        <v>-1.1986268709086993</v>
      </c>
    </row>
    <row r="197" spans="1:20" x14ac:dyDescent="0.25">
      <c r="A197" s="5">
        <v>44396</v>
      </c>
      <c r="B197">
        <v>0.5655</v>
      </c>
      <c r="C197">
        <v>0.6</v>
      </c>
      <c r="D197">
        <v>0.5101</v>
      </c>
      <c r="E197">
        <v>0.5111</v>
      </c>
      <c r="F197">
        <v>2829097.02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-0.97775305895439379</v>
      </c>
      <c r="Q197">
        <f t="shared" ref="Q197" si="956">F197*P197</f>
        <v>-2766158.26538376</v>
      </c>
      <c r="R197">
        <f t="shared" ref="R197" si="957">R198+Q197</f>
        <v>-121034197.29731485</v>
      </c>
      <c r="S197">
        <f t="shared" ref="S197" si="958">R197/100000</f>
        <v>-1210.3419729731486</v>
      </c>
      <c r="T197">
        <f t="shared" si="934"/>
        <v>-1.2103419729731486</v>
      </c>
    </row>
    <row r="198" spans="1:20" x14ac:dyDescent="0.25">
      <c r="A198" s="5">
        <v>44395</v>
      </c>
      <c r="B198">
        <v>0.57199999999999995</v>
      </c>
      <c r="C198">
        <v>0.59309999999999996</v>
      </c>
      <c r="D198">
        <v>0.55400000000000005</v>
      </c>
      <c r="E198">
        <v>0.5655</v>
      </c>
      <c r="F198">
        <v>1219626.29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-0.41176470588235392</v>
      </c>
      <c r="Q198">
        <f t="shared" ref="Q198:Q261" si="960">F198*P198</f>
        <v>-502199.06058823649</v>
      </c>
      <c r="R198">
        <f t="shared" ref="R198:R261" si="961">R199+Q198</f>
        <v>-118268039.03193109</v>
      </c>
      <c r="S198">
        <f t="shared" ref="S198:S261" si="962">R198/100000</f>
        <v>-1182.6803903193108</v>
      </c>
      <c r="T198">
        <f t="shared" ref="T198:T261" si="963">S198/1000</f>
        <v>-1.1826803903193108</v>
      </c>
    </row>
    <row r="199" spans="1:20" x14ac:dyDescent="0.25">
      <c r="A199" s="5">
        <v>44394</v>
      </c>
      <c r="B199">
        <v>0.56040000000000001</v>
      </c>
      <c r="C199">
        <v>0.58150000000000002</v>
      </c>
      <c r="D199">
        <v>0.54449999999999998</v>
      </c>
      <c r="E199">
        <v>0.57199999999999995</v>
      </c>
      <c r="F199">
        <v>1728188.6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0.48648648648648346</v>
      </c>
      <c r="Q199">
        <f t="shared" si="960"/>
        <v>840740.39999999478</v>
      </c>
      <c r="R199">
        <f t="shared" si="961"/>
        <v>-117765839.97134285</v>
      </c>
      <c r="S199">
        <f t="shared" si="962"/>
        <v>-1177.6583997134285</v>
      </c>
      <c r="T199">
        <f t="shared" si="963"/>
        <v>-1.1776583997134284</v>
      </c>
    </row>
    <row r="200" spans="1:20" x14ac:dyDescent="0.25">
      <c r="A200" s="5">
        <v>44393</v>
      </c>
      <c r="B200">
        <v>0.622</v>
      </c>
      <c r="C200">
        <v>0.63529999999999998</v>
      </c>
      <c r="D200">
        <v>0.56010000000000004</v>
      </c>
      <c r="E200">
        <v>0.56030000000000002</v>
      </c>
      <c r="F200">
        <v>2326700.63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-0.99468085106383042</v>
      </c>
      <c r="Q200">
        <f t="shared" si="960"/>
        <v>-2314324.5628191503</v>
      </c>
      <c r="R200">
        <f t="shared" si="961"/>
        <v>-118606580.37134284</v>
      </c>
      <c r="S200">
        <f t="shared" si="962"/>
        <v>-1186.0658037134283</v>
      </c>
      <c r="T200">
        <f t="shared" si="963"/>
        <v>-1.1860658037134284</v>
      </c>
    </row>
    <row r="201" spans="1:20" x14ac:dyDescent="0.25">
      <c r="A201" s="5">
        <v>44392</v>
      </c>
      <c r="B201">
        <v>0.66820000000000002</v>
      </c>
      <c r="C201">
        <v>0.71060000000000001</v>
      </c>
      <c r="D201">
        <v>0.61050000000000004</v>
      </c>
      <c r="E201">
        <v>0.622</v>
      </c>
      <c r="F201">
        <v>3145487.09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-0.77022977022977102</v>
      </c>
      <c r="Q201">
        <f t="shared" si="960"/>
        <v>-2422747.7985914107</v>
      </c>
      <c r="R201">
        <f t="shared" si="961"/>
        <v>-116292255.80852368</v>
      </c>
      <c r="S201">
        <f t="shared" si="962"/>
        <v>-1162.9225580852369</v>
      </c>
      <c r="T201">
        <f t="shared" si="963"/>
        <v>-1.1629225580852369</v>
      </c>
    </row>
    <row r="202" spans="1:20" x14ac:dyDescent="0.25">
      <c r="A202" s="5">
        <v>44391</v>
      </c>
      <c r="B202">
        <v>0.72089999999999999</v>
      </c>
      <c r="C202">
        <v>0.72440000000000004</v>
      </c>
      <c r="D202">
        <v>0.65</v>
      </c>
      <c r="E202">
        <v>0.66820000000000002</v>
      </c>
      <c r="F202">
        <v>3976601.24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-0.51075268817204333</v>
      </c>
      <c r="Q202">
        <f t="shared" si="960"/>
        <v>-2031059.773118281</v>
      </c>
      <c r="R202">
        <f t="shared" si="961"/>
        <v>-113869508.00993228</v>
      </c>
      <c r="S202">
        <f t="shared" si="962"/>
        <v>-1138.6950800993227</v>
      </c>
      <c r="T202">
        <f t="shared" si="963"/>
        <v>-1.1386950800993227</v>
      </c>
    </row>
    <row r="203" spans="1:20" x14ac:dyDescent="0.25">
      <c r="A203" s="5">
        <v>44390</v>
      </c>
      <c r="B203">
        <v>0.72230000000000005</v>
      </c>
      <c r="C203">
        <v>0.79769999999999996</v>
      </c>
      <c r="D203">
        <v>0.70020000000000004</v>
      </c>
      <c r="E203">
        <v>0.72009999999999996</v>
      </c>
      <c r="F203">
        <v>4742989.97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-0.59179487179487311</v>
      </c>
      <c r="Q203">
        <f t="shared" si="960"/>
        <v>-2806877.1412205189</v>
      </c>
      <c r="R203">
        <f t="shared" si="961"/>
        <v>-111838448.23681399</v>
      </c>
      <c r="S203">
        <f t="shared" si="962"/>
        <v>-1118.38448236814</v>
      </c>
      <c r="T203">
        <f t="shared" si="963"/>
        <v>-1.1183844823681399</v>
      </c>
    </row>
    <row r="204" spans="1:20" x14ac:dyDescent="0.25">
      <c r="A204" s="5">
        <v>44389</v>
      </c>
      <c r="B204">
        <v>0.74880000000000002</v>
      </c>
      <c r="C204">
        <v>0.83</v>
      </c>
      <c r="D204">
        <v>0.6855</v>
      </c>
      <c r="E204">
        <v>0.72119999999999995</v>
      </c>
      <c r="F204">
        <v>7247763.4199999999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-0.505882352941177</v>
      </c>
      <c r="Q204">
        <f t="shared" si="960"/>
        <v>-3666515.6124705919</v>
      </c>
      <c r="R204">
        <f t="shared" si="961"/>
        <v>-109031571.09559347</v>
      </c>
      <c r="S204">
        <f t="shared" si="962"/>
        <v>-1090.3157109559347</v>
      </c>
      <c r="T204">
        <f t="shared" si="963"/>
        <v>-1.0903157109559347</v>
      </c>
    </row>
    <row r="205" spans="1:20" x14ac:dyDescent="0.25">
      <c r="A205" s="5">
        <v>44388</v>
      </c>
      <c r="B205">
        <v>0.62</v>
      </c>
      <c r="C205">
        <v>0.79</v>
      </c>
      <c r="D205">
        <v>0.61970000000000003</v>
      </c>
      <c r="E205">
        <v>0.74870000000000003</v>
      </c>
      <c r="F205">
        <v>11645627.279999999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0.51497357604227834</v>
      </c>
      <c r="Q205">
        <f t="shared" si="960"/>
        <v>5997190.3256371105</v>
      </c>
      <c r="R205">
        <f t="shared" si="961"/>
        <v>-105365055.48312287</v>
      </c>
      <c r="S205">
        <f t="shared" si="962"/>
        <v>-1053.6505548312286</v>
      </c>
      <c r="T205">
        <f t="shared" si="963"/>
        <v>-1.0536505548312287</v>
      </c>
    </row>
    <row r="206" spans="1:20" x14ac:dyDescent="0.25">
      <c r="A206" s="5">
        <v>44387</v>
      </c>
      <c r="B206">
        <v>0.63770000000000004</v>
      </c>
      <c r="C206">
        <v>0.65</v>
      </c>
      <c r="D206">
        <v>0.60489999999999999</v>
      </c>
      <c r="E206">
        <v>0.62</v>
      </c>
      <c r="F206">
        <v>4131201.57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-0.33037694013303803</v>
      </c>
      <c r="Q206">
        <f t="shared" si="960"/>
        <v>-1364853.7337694026</v>
      </c>
      <c r="R206">
        <f t="shared" si="961"/>
        <v>-111362245.80875999</v>
      </c>
      <c r="S206">
        <f t="shared" si="962"/>
        <v>-1113.6224580875999</v>
      </c>
      <c r="T206">
        <f t="shared" si="963"/>
        <v>-1.1136224580875997</v>
      </c>
    </row>
    <row r="207" spans="1:20" x14ac:dyDescent="0.25">
      <c r="A207" s="5">
        <v>44386</v>
      </c>
      <c r="B207">
        <v>0.5998</v>
      </c>
      <c r="C207">
        <v>0.66379999999999995</v>
      </c>
      <c r="D207">
        <v>0.58099999999999996</v>
      </c>
      <c r="E207">
        <v>0.63759999999999994</v>
      </c>
      <c r="F207">
        <v>8285161.0099999998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0.36714975845410613</v>
      </c>
      <c r="Q207">
        <f t="shared" si="960"/>
        <v>3041894.8635748778</v>
      </c>
      <c r="R207">
        <f t="shared" si="961"/>
        <v>-109997392.07499059</v>
      </c>
      <c r="S207">
        <f t="shared" si="962"/>
        <v>-1099.9739207499058</v>
      </c>
      <c r="T207">
        <f t="shared" si="963"/>
        <v>-1.0999739207499057</v>
      </c>
    </row>
    <row r="208" spans="1:20" x14ac:dyDescent="0.25">
      <c r="A208" s="5">
        <v>44385</v>
      </c>
      <c r="B208">
        <v>0.6472</v>
      </c>
      <c r="C208">
        <v>0.6502</v>
      </c>
      <c r="D208">
        <v>0.59299999999999997</v>
      </c>
      <c r="E208">
        <v>0.5998</v>
      </c>
      <c r="F208">
        <v>19137276.800000001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-0.76223776223776141</v>
      </c>
      <c r="Q208">
        <f t="shared" si="960"/>
        <v>-14587155.043356627</v>
      </c>
      <c r="R208">
        <f t="shared" si="961"/>
        <v>-113039286.93856546</v>
      </c>
      <c r="S208">
        <f t="shared" si="962"/>
        <v>-1130.3928693856546</v>
      </c>
      <c r="T208">
        <f t="shared" si="963"/>
        <v>-1.1303928693856546</v>
      </c>
    </row>
    <row r="209" spans="1:20" x14ac:dyDescent="0.25">
      <c r="A209" s="5">
        <v>44384</v>
      </c>
      <c r="B209">
        <v>0.60799999999999998</v>
      </c>
      <c r="C209">
        <v>0.8</v>
      </c>
      <c r="D209">
        <v>0.60129999999999995</v>
      </c>
      <c r="E209">
        <v>0.64739999999999998</v>
      </c>
      <c r="F209">
        <v>9942155.0700000003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-0.53598389531957713</v>
      </c>
      <c r="Q209">
        <f t="shared" si="960"/>
        <v>-5328835.0022898829</v>
      </c>
      <c r="R209">
        <f t="shared" si="961"/>
        <v>-98452131.895208836</v>
      </c>
      <c r="S209">
        <f t="shared" si="962"/>
        <v>-984.52131895208834</v>
      </c>
      <c r="T209">
        <f t="shared" si="963"/>
        <v>-0.98452131895208839</v>
      </c>
    </row>
    <row r="210" spans="1:20" x14ac:dyDescent="0.25">
      <c r="A210" s="5">
        <v>44383</v>
      </c>
      <c r="B210">
        <v>0.55720000000000003</v>
      </c>
      <c r="C210">
        <v>0.60960000000000003</v>
      </c>
      <c r="D210">
        <v>0.55669999999999997</v>
      </c>
      <c r="E210">
        <v>0.60750000000000004</v>
      </c>
      <c r="F210">
        <v>2285293.4900000002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0.92060491493383789</v>
      </c>
      <c r="Q210">
        <f t="shared" si="960"/>
        <v>2103852.4189603035</v>
      </c>
      <c r="R210">
        <f t="shared" si="961"/>
        <v>-93123296.892918959</v>
      </c>
      <c r="S210">
        <f t="shared" si="962"/>
        <v>-931.23296892918961</v>
      </c>
      <c r="T210">
        <f t="shared" si="963"/>
        <v>-0.93123296892918961</v>
      </c>
    </row>
    <row r="211" spans="1:20" x14ac:dyDescent="0.25">
      <c r="A211" s="5">
        <v>44382</v>
      </c>
      <c r="B211">
        <v>0.58350000000000002</v>
      </c>
      <c r="C211">
        <v>0.58950000000000002</v>
      </c>
      <c r="D211">
        <v>0.54410000000000003</v>
      </c>
      <c r="E211">
        <v>0.55769999999999997</v>
      </c>
      <c r="F211">
        <v>1656522.85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-0.40088105726872481</v>
      </c>
      <c r="Q211">
        <f t="shared" si="960"/>
        <v>-664068.63149780128</v>
      </c>
      <c r="R211">
        <f t="shared" si="961"/>
        <v>-95227149.311879262</v>
      </c>
      <c r="S211">
        <f t="shared" si="962"/>
        <v>-952.27149311879259</v>
      </c>
      <c r="T211">
        <f t="shared" si="963"/>
        <v>-0.95227149311879256</v>
      </c>
    </row>
    <row r="212" spans="1:20" x14ac:dyDescent="0.25">
      <c r="A212" s="5">
        <v>44381</v>
      </c>
      <c r="B212">
        <v>0.58409999999999995</v>
      </c>
      <c r="C212">
        <v>0.58860000000000001</v>
      </c>
      <c r="D212">
        <v>0.56399999999999995</v>
      </c>
      <c r="E212">
        <v>0.58350000000000002</v>
      </c>
      <c r="F212">
        <v>2139519.36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0.58536585365853822</v>
      </c>
      <c r="Q212">
        <f t="shared" si="960"/>
        <v>1252401.5765853692</v>
      </c>
      <c r="R212">
        <f t="shared" si="961"/>
        <v>-94563080.680381462</v>
      </c>
      <c r="S212">
        <f t="shared" si="962"/>
        <v>-945.63080680381461</v>
      </c>
      <c r="T212">
        <f t="shared" si="963"/>
        <v>-0.94563080680381462</v>
      </c>
    </row>
    <row r="213" spans="1:20" x14ac:dyDescent="0.25">
      <c r="A213" s="5">
        <v>44380</v>
      </c>
      <c r="B213">
        <v>0.54259999999999997</v>
      </c>
      <c r="C213">
        <v>0.5958</v>
      </c>
      <c r="D213">
        <v>0.5333</v>
      </c>
      <c r="E213">
        <v>0.58399999999999996</v>
      </c>
      <c r="F213">
        <v>2373575.91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0.62239999999999895</v>
      </c>
      <c r="Q213">
        <f t="shared" si="960"/>
        <v>1477313.6463839975</v>
      </c>
      <c r="R213">
        <f t="shared" si="961"/>
        <v>-95815482.256966829</v>
      </c>
      <c r="S213">
        <f t="shared" si="962"/>
        <v>-958.15482256966834</v>
      </c>
      <c r="T213">
        <f t="shared" si="963"/>
        <v>-0.95815482256966833</v>
      </c>
    </row>
    <row r="214" spans="1:20" x14ac:dyDescent="0.25">
      <c r="A214" s="5">
        <v>44379</v>
      </c>
      <c r="B214">
        <v>0.53169999999999995</v>
      </c>
      <c r="C214">
        <v>0.55720000000000003</v>
      </c>
      <c r="D214">
        <v>0.51100000000000001</v>
      </c>
      <c r="E214">
        <v>0.54259999999999997</v>
      </c>
      <c r="F214">
        <v>1821068.15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0.36796536796536572</v>
      </c>
      <c r="Q214">
        <f t="shared" si="960"/>
        <v>670090.01190475782</v>
      </c>
      <c r="R214">
        <f t="shared" si="961"/>
        <v>-97292795.90335083</v>
      </c>
      <c r="S214">
        <f t="shared" si="962"/>
        <v>-972.92795903350827</v>
      </c>
      <c r="T214">
        <f t="shared" si="963"/>
        <v>-0.97292795903350826</v>
      </c>
    </row>
    <row r="215" spans="1:20" x14ac:dyDescent="0.25">
      <c r="A215" s="5">
        <v>44378</v>
      </c>
      <c r="B215">
        <v>0.55300000000000005</v>
      </c>
      <c r="C215">
        <v>0.55349999999999999</v>
      </c>
      <c r="D215">
        <v>0.51900000000000002</v>
      </c>
      <c r="E215">
        <v>0.53180000000000005</v>
      </c>
      <c r="F215">
        <v>1876316.51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-0.25797101449275112</v>
      </c>
      <c r="Q215">
        <f t="shared" si="960"/>
        <v>-484035.27359419822</v>
      </c>
      <c r="R215">
        <f t="shared" si="961"/>
        <v>-97962885.915255591</v>
      </c>
      <c r="S215">
        <f t="shared" si="962"/>
        <v>-979.62885915255595</v>
      </c>
      <c r="T215">
        <f t="shared" si="963"/>
        <v>-0.97962885915255593</v>
      </c>
    </row>
    <row r="216" spans="1:20" x14ac:dyDescent="0.25">
      <c r="A216" s="5">
        <v>44377</v>
      </c>
      <c r="B216">
        <v>0.56730000000000003</v>
      </c>
      <c r="C216">
        <v>0.56730000000000003</v>
      </c>
      <c r="D216">
        <v>0.51619999999999999</v>
      </c>
      <c r="E216">
        <v>0.55300000000000005</v>
      </c>
      <c r="F216">
        <v>3771092.88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0.44031311154598946</v>
      </c>
      <c r="Q216">
        <f t="shared" si="960"/>
        <v>1660461.6399217267</v>
      </c>
      <c r="R216">
        <f t="shared" si="961"/>
        <v>-97478850.641661391</v>
      </c>
      <c r="S216">
        <f t="shared" si="962"/>
        <v>-974.78850641661393</v>
      </c>
      <c r="T216">
        <f t="shared" si="963"/>
        <v>-0.97478850641661396</v>
      </c>
    </row>
    <row r="217" spans="1:20" x14ac:dyDescent="0.25">
      <c r="A217" s="5">
        <v>44376</v>
      </c>
      <c r="B217">
        <v>0.54610000000000003</v>
      </c>
      <c r="C217">
        <v>0.59109999999999996</v>
      </c>
      <c r="D217">
        <v>0.54420000000000002</v>
      </c>
      <c r="E217">
        <v>0.56699999999999995</v>
      </c>
      <c r="F217">
        <v>3129372.35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-2.7718550106611523E-2</v>
      </c>
      <c r="Q217">
        <f t="shared" si="960"/>
        <v>-86741.664285719657</v>
      </c>
      <c r="R217">
        <f t="shared" si="961"/>
        <v>-99139312.281583115</v>
      </c>
      <c r="S217">
        <f t="shared" si="962"/>
        <v>-991.39312281583113</v>
      </c>
      <c r="T217">
        <f t="shared" si="963"/>
        <v>-0.99139312281583114</v>
      </c>
    </row>
    <row r="218" spans="1:20" x14ac:dyDescent="0.25">
      <c r="A218" s="5">
        <v>44375</v>
      </c>
      <c r="B218">
        <v>0.54479999999999995</v>
      </c>
      <c r="C218">
        <v>0.55100000000000005</v>
      </c>
      <c r="D218">
        <v>0.52500000000000002</v>
      </c>
      <c r="E218">
        <v>0.54569999999999996</v>
      </c>
      <c r="F218">
        <v>3096897.84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0.59230769230768632</v>
      </c>
      <c r="Q218">
        <f t="shared" si="960"/>
        <v>1834316.4129230583</v>
      </c>
      <c r="R218">
        <f t="shared" si="961"/>
        <v>-99052570.617297396</v>
      </c>
      <c r="S218">
        <f t="shared" si="962"/>
        <v>-990.52570617297397</v>
      </c>
      <c r="T218">
        <f t="shared" si="963"/>
        <v>-0.99052570617297397</v>
      </c>
    </row>
    <row r="219" spans="1:20" x14ac:dyDescent="0.25">
      <c r="A219" s="5">
        <v>44374</v>
      </c>
      <c r="B219">
        <v>0.48549999999999999</v>
      </c>
      <c r="C219">
        <v>0.59440000000000004</v>
      </c>
      <c r="D219">
        <v>0.48280000000000001</v>
      </c>
      <c r="E219">
        <v>0.54490000000000005</v>
      </c>
      <c r="F219">
        <v>8188174.0300000003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0.11290322580645208</v>
      </c>
      <c r="Q219">
        <f t="shared" si="960"/>
        <v>924471.26145161677</v>
      </c>
      <c r="R219">
        <f t="shared" si="961"/>
        <v>-100886887.03022045</v>
      </c>
      <c r="S219">
        <f t="shared" si="962"/>
        <v>-1008.8688703022045</v>
      </c>
      <c r="T219">
        <f t="shared" si="963"/>
        <v>-1.0088688703022046</v>
      </c>
    </row>
    <row r="220" spans="1:20" x14ac:dyDescent="0.25">
      <c r="A220" s="5">
        <v>44373</v>
      </c>
      <c r="B220">
        <v>0.49840000000000001</v>
      </c>
      <c r="C220">
        <v>0.50960000000000005</v>
      </c>
      <c r="D220">
        <v>0.46400000000000002</v>
      </c>
      <c r="E220">
        <v>0.48530000000000001</v>
      </c>
      <c r="F220">
        <v>3568406.72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-6.5789473684211758E-2</v>
      </c>
      <c r="Q220">
        <f t="shared" si="960"/>
        <v>-234763.6000000044</v>
      </c>
      <c r="R220">
        <f t="shared" si="961"/>
        <v>-101811358.29167207</v>
      </c>
      <c r="S220">
        <f t="shared" si="962"/>
        <v>-1018.1135829167207</v>
      </c>
      <c r="T220">
        <f t="shared" si="963"/>
        <v>-1.0181135829167207</v>
      </c>
    </row>
    <row r="221" spans="1:20" x14ac:dyDescent="0.25">
      <c r="A221" s="5">
        <v>44372</v>
      </c>
      <c r="B221">
        <v>0.5615</v>
      </c>
      <c r="C221">
        <v>0.57220000000000004</v>
      </c>
      <c r="D221">
        <v>0.48230000000000001</v>
      </c>
      <c r="E221">
        <v>0.49790000000000001</v>
      </c>
      <c r="F221">
        <v>4259889.5599999996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-0.65294771968854293</v>
      </c>
      <c r="Q221">
        <f t="shared" si="960"/>
        <v>-2781485.1743270303</v>
      </c>
      <c r="R221">
        <f t="shared" si="961"/>
        <v>-101576594.69167206</v>
      </c>
      <c r="S221">
        <f t="shared" si="962"/>
        <v>-1015.7659469167206</v>
      </c>
      <c r="T221">
        <f t="shared" si="963"/>
        <v>-1.0157659469167206</v>
      </c>
    </row>
    <row r="222" spans="1:20" x14ac:dyDescent="0.25">
      <c r="A222" s="5">
        <v>44371</v>
      </c>
      <c r="B222">
        <v>0.55820000000000003</v>
      </c>
      <c r="C222">
        <v>0.57679999999999998</v>
      </c>
      <c r="D222">
        <v>0.53690000000000004</v>
      </c>
      <c r="E222">
        <v>0.56069999999999998</v>
      </c>
      <c r="F222">
        <v>2025619.42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0.19298245614034942</v>
      </c>
      <c r="Q222">
        <f t="shared" si="960"/>
        <v>390909.01087719004</v>
      </c>
      <c r="R222">
        <f t="shared" si="961"/>
        <v>-98795109.517345026</v>
      </c>
      <c r="S222">
        <f t="shared" si="962"/>
        <v>-987.95109517345031</v>
      </c>
      <c r="T222">
        <f t="shared" si="963"/>
        <v>-0.98795109517345037</v>
      </c>
    </row>
    <row r="223" spans="1:20" x14ac:dyDescent="0.25">
      <c r="A223" s="5">
        <v>44370</v>
      </c>
      <c r="B223">
        <v>0.498</v>
      </c>
      <c r="C223">
        <v>0.60289999999999999</v>
      </c>
      <c r="D223">
        <v>0.47499999999999998</v>
      </c>
      <c r="E223">
        <v>0.55779999999999996</v>
      </c>
      <c r="F223">
        <v>4597005.49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0.29476153244722403</v>
      </c>
      <c r="Q223">
        <f t="shared" si="960"/>
        <v>1355020.3829007021</v>
      </c>
      <c r="R223">
        <f t="shared" si="961"/>
        <v>-99186018.528222218</v>
      </c>
      <c r="S223">
        <f t="shared" si="962"/>
        <v>-991.86018528222223</v>
      </c>
      <c r="T223">
        <f t="shared" si="963"/>
        <v>-0.9918601852822222</v>
      </c>
    </row>
    <row r="224" spans="1:20" x14ac:dyDescent="0.25">
      <c r="A224" s="5">
        <v>44369</v>
      </c>
      <c r="B224">
        <v>0.55269999999999997</v>
      </c>
      <c r="C224">
        <v>0.58879999999999999</v>
      </c>
      <c r="D224">
        <v>0.45540000000000003</v>
      </c>
      <c r="E224">
        <v>0.49759999999999999</v>
      </c>
      <c r="F224">
        <v>5340783.43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-0.3673163418290859</v>
      </c>
      <c r="Q224">
        <f t="shared" si="960"/>
        <v>-1961757.0320089979</v>
      </c>
      <c r="R224">
        <f t="shared" si="961"/>
        <v>-100541038.91112292</v>
      </c>
      <c r="S224">
        <f t="shared" si="962"/>
        <v>-1005.4103891112292</v>
      </c>
      <c r="T224">
        <f t="shared" si="963"/>
        <v>-1.0054103891112292</v>
      </c>
    </row>
    <row r="225" spans="1:20" x14ac:dyDescent="0.25">
      <c r="A225" s="5">
        <v>44368</v>
      </c>
      <c r="B225">
        <v>0.7248</v>
      </c>
      <c r="C225">
        <v>0.83919999999999995</v>
      </c>
      <c r="D225">
        <v>0.54710000000000003</v>
      </c>
      <c r="E225">
        <v>0.54979999999999996</v>
      </c>
      <c r="F225">
        <v>10828914.560000001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-0.98151318041766566</v>
      </c>
      <c r="Q225">
        <f t="shared" si="960"/>
        <v>-10628722.370256767</v>
      </c>
      <c r="R225">
        <f t="shared" si="961"/>
        <v>-98579281.879113927</v>
      </c>
      <c r="S225">
        <f t="shared" si="962"/>
        <v>-985.79281879113933</v>
      </c>
      <c r="T225">
        <f t="shared" si="963"/>
        <v>-0.98579281879113934</v>
      </c>
    </row>
    <row r="226" spans="1:20" x14ac:dyDescent="0.25">
      <c r="A226" s="5">
        <v>44367</v>
      </c>
      <c r="B226">
        <v>0.7046</v>
      </c>
      <c r="C226">
        <v>0.76</v>
      </c>
      <c r="D226">
        <v>0.63339999999999996</v>
      </c>
      <c r="E226">
        <v>0.72450000000000003</v>
      </c>
      <c r="F226">
        <v>4167387.2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0.43917851500789945</v>
      </c>
      <c r="Q226">
        <f t="shared" si="960"/>
        <v>1830226.9219589282</v>
      </c>
      <c r="R226">
        <f t="shared" si="961"/>
        <v>-87950559.508857161</v>
      </c>
      <c r="S226">
        <f t="shared" si="962"/>
        <v>-879.50559508857157</v>
      </c>
      <c r="T226">
        <f t="shared" si="963"/>
        <v>-0.87950559508857151</v>
      </c>
    </row>
    <row r="227" spans="1:20" x14ac:dyDescent="0.25">
      <c r="A227" s="5">
        <v>44366</v>
      </c>
      <c r="B227">
        <v>0.69920000000000004</v>
      </c>
      <c r="C227">
        <v>0.74160000000000004</v>
      </c>
      <c r="D227">
        <v>0.66990000000000005</v>
      </c>
      <c r="E227">
        <v>0.70320000000000005</v>
      </c>
      <c r="F227">
        <v>2427795.87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-7.1129707112970633E-2</v>
      </c>
      <c r="Q227">
        <f t="shared" si="960"/>
        <v>-172688.40916317975</v>
      </c>
      <c r="R227">
        <f t="shared" si="961"/>
        <v>-89780786.430816084</v>
      </c>
      <c r="S227">
        <f t="shared" si="962"/>
        <v>-897.80786430816079</v>
      </c>
      <c r="T227">
        <f t="shared" si="963"/>
        <v>-0.89780786430816084</v>
      </c>
    </row>
    <row r="228" spans="1:20" x14ac:dyDescent="0.25">
      <c r="A228" s="5">
        <v>44365</v>
      </c>
      <c r="B228">
        <v>0.75390000000000001</v>
      </c>
      <c r="C228">
        <v>0.8</v>
      </c>
      <c r="D228">
        <v>0.68840000000000001</v>
      </c>
      <c r="E228">
        <v>0.69889999999999997</v>
      </c>
      <c r="F228">
        <v>2286067.15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-0.81182795698924815</v>
      </c>
      <c r="Q228">
        <f t="shared" si="960"/>
        <v>-1855893.223924733</v>
      </c>
      <c r="R228">
        <f t="shared" si="961"/>
        <v>-89608098.021652907</v>
      </c>
      <c r="S228">
        <f t="shared" si="962"/>
        <v>-896.08098021652904</v>
      </c>
      <c r="T228">
        <f t="shared" si="963"/>
        <v>-0.89608098021652904</v>
      </c>
    </row>
    <row r="229" spans="1:20" x14ac:dyDescent="0.25">
      <c r="A229" s="5">
        <v>44364</v>
      </c>
      <c r="B229">
        <v>0.77990000000000004</v>
      </c>
      <c r="C229">
        <v>0.81689999999999996</v>
      </c>
      <c r="D229">
        <v>0.74350000000000005</v>
      </c>
      <c r="E229">
        <v>0.75390000000000001</v>
      </c>
      <c r="F229">
        <v>2310874.59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-0.71662125340599514</v>
      </c>
      <c r="Q229">
        <f t="shared" si="960"/>
        <v>-1656021.8451498649</v>
      </c>
      <c r="R229">
        <f t="shared" si="961"/>
        <v>-87752204.797728181</v>
      </c>
      <c r="S229">
        <f t="shared" si="962"/>
        <v>-877.52204797728177</v>
      </c>
      <c r="T229">
        <f t="shared" si="963"/>
        <v>-0.87752204797728173</v>
      </c>
    </row>
    <row r="230" spans="1:20" x14ac:dyDescent="0.25">
      <c r="A230" s="5">
        <v>44363</v>
      </c>
      <c r="B230">
        <v>0.81130000000000002</v>
      </c>
      <c r="C230">
        <v>0.82220000000000004</v>
      </c>
      <c r="D230">
        <v>0.7641</v>
      </c>
      <c r="E230">
        <v>0.78090000000000004</v>
      </c>
      <c r="F230">
        <v>3164278.5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-0.42168674698795094</v>
      </c>
      <c r="Q230">
        <f t="shared" si="960"/>
        <v>-1334334.3072289128</v>
      </c>
      <c r="R230">
        <f t="shared" si="961"/>
        <v>-86096182.952578321</v>
      </c>
      <c r="S230">
        <f t="shared" si="962"/>
        <v>-860.96182952578317</v>
      </c>
      <c r="T230">
        <f t="shared" si="963"/>
        <v>-0.86096182952578315</v>
      </c>
    </row>
    <row r="231" spans="1:20" x14ac:dyDescent="0.25">
      <c r="A231" s="5">
        <v>44362</v>
      </c>
      <c r="B231">
        <v>0.90910000000000002</v>
      </c>
      <c r="C231">
        <v>0.91339999999999999</v>
      </c>
      <c r="D231">
        <v>0.81010000000000004</v>
      </c>
      <c r="E231">
        <v>0.81069999999999998</v>
      </c>
      <c r="F231">
        <v>6647595.5199999996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-0.98838334946757145</v>
      </c>
      <c r="Q231">
        <f t="shared" si="960"/>
        <v>-6570372.7259632219</v>
      </c>
      <c r="R231">
        <f t="shared" si="961"/>
        <v>-84761848.645349413</v>
      </c>
      <c r="S231">
        <f t="shared" si="962"/>
        <v>-847.61848645349414</v>
      </c>
      <c r="T231">
        <f t="shared" si="963"/>
        <v>-0.84761848645349414</v>
      </c>
    </row>
    <row r="232" spans="1:20" x14ac:dyDescent="0.25">
      <c r="A232" s="5">
        <v>44361</v>
      </c>
      <c r="B232">
        <v>0.7762</v>
      </c>
      <c r="C232">
        <v>1.1469</v>
      </c>
      <c r="D232">
        <v>0.77229999999999999</v>
      </c>
      <c r="E232">
        <v>0.90910000000000002</v>
      </c>
      <c r="F232">
        <v>28979694.359999999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-0.26962092899092355</v>
      </c>
      <c r="Q232">
        <f t="shared" si="960"/>
        <v>-7813532.1152162272</v>
      </c>
      <c r="R232">
        <f t="shared" si="961"/>
        <v>-78191475.919386193</v>
      </c>
      <c r="S232">
        <f t="shared" si="962"/>
        <v>-781.91475919386198</v>
      </c>
      <c r="T232">
        <f t="shared" si="963"/>
        <v>-0.781914759193862</v>
      </c>
    </row>
    <row r="233" spans="1:20" x14ac:dyDescent="0.25">
      <c r="A233" s="5">
        <v>44360</v>
      </c>
      <c r="B233">
        <v>0.75329999999999997</v>
      </c>
      <c r="C233">
        <v>0.79420000000000002</v>
      </c>
      <c r="D233">
        <v>0.7</v>
      </c>
      <c r="E233">
        <v>0.7742</v>
      </c>
      <c r="F233">
        <v>2839175.53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0.57537154989384276</v>
      </c>
      <c r="Q233">
        <f t="shared" si="960"/>
        <v>1633580.8251167724</v>
      </c>
      <c r="R233">
        <f t="shared" si="961"/>
        <v>-70377943.804169968</v>
      </c>
      <c r="S233">
        <f t="shared" si="962"/>
        <v>-703.77943804169968</v>
      </c>
      <c r="T233">
        <f t="shared" si="963"/>
        <v>-0.70377943804169962</v>
      </c>
    </row>
    <row r="234" spans="1:20" x14ac:dyDescent="0.25">
      <c r="A234" s="5">
        <v>44359</v>
      </c>
      <c r="B234">
        <v>0.81599999999999995</v>
      </c>
      <c r="C234">
        <v>0.81789999999999996</v>
      </c>
      <c r="D234">
        <v>0.7208</v>
      </c>
      <c r="E234">
        <v>0.75329999999999997</v>
      </c>
      <c r="F234">
        <v>1876132.99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-0.330587023686921</v>
      </c>
      <c r="Q234">
        <f t="shared" si="960"/>
        <v>-620225.22120494395</v>
      </c>
      <c r="R234">
        <f t="shared" si="961"/>
        <v>-72011524.629286736</v>
      </c>
      <c r="S234">
        <f t="shared" si="962"/>
        <v>-720.11524629286737</v>
      </c>
      <c r="T234">
        <f t="shared" si="963"/>
        <v>-0.72011524629286738</v>
      </c>
    </row>
    <row r="235" spans="1:20" x14ac:dyDescent="0.25">
      <c r="A235" s="5">
        <v>44358</v>
      </c>
      <c r="B235">
        <v>0.83230000000000004</v>
      </c>
      <c r="C235">
        <v>0.86739999999999995</v>
      </c>
      <c r="D235">
        <v>0.81</v>
      </c>
      <c r="E235">
        <v>0.81599999999999995</v>
      </c>
      <c r="F235">
        <v>1962677.71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-0.79094076655052592</v>
      </c>
      <c r="Q235">
        <f t="shared" si="960"/>
        <v>-1552361.8124390307</v>
      </c>
      <c r="R235">
        <f t="shared" si="961"/>
        <v>-71391299.408081785</v>
      </c>
      <c r="S235">
        <f t="shared" si="962"/>
        <v>-713.91299408081784</v>
      </c>
      <c r="T235">
        <f t="shared" si="963"/>
        <v>-0.71391299408081788</v>
      </c>
    </row>
    <row r="236" spans="1:20" x14ac:dyDescent="0.25">
      <c r="A236" s="5">
        <v>44357</v>
      </c>
      <c r="B236">
        <v>0.90190000000000003</v>
      </c>
      <c r="C236">
        <v>0.91300000000000003</v>
      </c>
      <c r="D236">
        <v>0.79859999999999998</v>
      </c>
      <c r="E236">
        <v>0.83240000000000003</v>
      </c>
      <c r="F236">
        <v>3084535.57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-0.40909090909090845</v>
      </c>
      <c r="Q236">
        <f t="shared" si="960"/>
        <v>-1261855.4604545434</v>
      </c>
      <c r="R236">
        <f t="shared" si="961"/>
        <v>-69838937.59564276</v>
      </c>
      <c r="S236">
        <f t="shared" si="962"/>
        <v>-698.38937595642756</v>
      </c>
      <c r="T236">
        <f t="shared" si="963"/>
        <v>-0.69838937595642758</v>
      </c>
    </row>
    <row r="237" spans="1:20" x14ac:dyDescent="0.25">
      <c r="A237" s="5">
        <v>44356</v>
      </c>
      <c r="B237">
        <v>0.89749999999999996</v>
      </c>
      <c r="C237">
        <v>0.93520000000000003</v>
      </c>
      <c r="D237">
        <v>0.85299999999999998</v>
      </c>
      <c r="E237">
        <v>0.89970000000000006</v>
      </c>
      <c r="F237">
        <v>4534088.0599999996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0.13625304136253152</v>
      </c>
      <c r="Q237">
        <f t="shared" si="960"/>
        <v>617783.28798054031</v>
      </c>
      <c r="R237">
        <f t="shared" si="961"/>
        <v>-68577082.135188222</v>
      </c>
      <c r="S237">
        <f t="shared" si="962"/>
        <v>-685.7708213518822</v>
      </c>
      <c r="T237">
        <f t="shared" si="963"/>
        <v>-0.68577082135188216</v>
      </c>
    </row>
    <row r="238" spans="1:20" x14ac:dyDescent="0.25">
      <c r="A238" s="5">
        <v>44355</v>
      </c>
      <c r="B238">
        <v>0.95689999999999997</v>
      </c>
      <c r="C238">
        <v>0.9708</v>
      </c>
      <c r="D238">
        <v>0.83679999999999999</v>
      </c>
      <c r="E238">
        <v>0.89890000000000003</v>
      </c>
      <c r="F238">
        <v>2781157.76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-7.313432835820835E-2</v>
      </c>
      <c r="Q238">
        <f t="shared" si="960"/>
        <v>-203398.10483581919</v>
      </c>
      <c r="R238">
        <f t="shared" si="961"/>
        <v>-69194865.423168764</v>
      </c>
      <c r="S238">
        <f t="shared" si="962"/>
        <v>-691.94865423168767</v>
      </c>
      <c r="T238">
        <f t="shared" si="963"/>
        <v>-0.69194865423168772</v>
      </c>
    </row>
    <row r="239" spans="1:20" x14ac:dyDescent="0.25">
      <c r="A239" s="5">
        <v>44354</v>
      </c>
      <c r="B239">
        <v>1.0834999999999999</v>
      </c>
      <c r="C239">
        <v>1.1040000000000001</v>
      </c>
      <c r="D239">
        <v>0.95569999999999999</v>
      </c>
      <c r="E239">
        <v>0.95730000000000004</v>
      </c>
      <c r="F239">
        <v>2455678.14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-0.97842211732973638</v>
      </c>
      <c r="Q239">
        <f t="shared" si="960"/>
        <v>-2402689.8052191488</v>
      </c>
      <c r="R239">
        <f t="shared" si="961"/>
        <v>-68991467.31833294</v>
      </c>
      <c r="S239">
        <f t="shared" si="962"/>
        <v>-689.91467318332946</v>
      </c>
      <c r="T239">
        <f t="shared" si="963"/>
        <v>-0.68991467318332944</v>
      </c>
    </row>
    <row r="240" spans="1:20" x14ac:dyDescent="0.25">
      <c r="A240" s="5">
        <v>44353</v>
      </c>
      <c r="B240">
        <v>1.046</v>
      </c>
      <c r="C240">
        <v>1.0871999999999999</v>
      </c>
      <c r="D240">
        <v>1.0397000000000001</v>
      </c>
      <c r="E240">
        <v>1.0834999999999999</v>
      </c>
      <c r="F240">
        <v>1702884.4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0.84421052631578752</v>
      </c>
      <c r="Q240">
        <f t="shared" si="960"/>
        <v>1437592.9355789439</v>
      </c>
      <c r="R240">
        <f t="shared" si="961"/>
        <v>-66588777.513113797</v>
      </c>
      <c r="S240">
        <f t="shared" si="962"/>
        <v>-665.88777513113791</v>
      </c>
      <c r="T240">
        <f t="shared" si="963"/>
        <v>-0.66588777513113795</v>
      </c>
    </row>
    <row r="241" spans="1:20" x14ac:dyDescent="0.25">
      <c r="A241" s="5">
        <v>44352</v>
      </c>
      <c r="B241">
        <v>1.1080000000000001</v>
      </c>
      <c r="C241">
        <v>1.1515</v>
      </c>
      <c r="D241">
        <v>0.99909999999999999</v>
      </c>
      <c r="E241">
        <v>1.0461</v>
      </c>
      <c r="F241">
        <v>2660545.0299999998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-0.38320209973753216</v>
      </c>
      <c r="Q241">
        <f t="shared" si="960"/>
        <v>-1019526.4419422555</v>
      </c>
      <c r="R241">
        <f t="shared" si="961"/>
        <v>-68026370.448692739</v>
      </c>
      <c r="S241">
        <f t="shared" si="962"/>
        <v>-680.2637044869274</v>
      </c>
      <c r="T241">
        <f t="shared" si="963"/>
        <v>-0.68026370448692741</v>
      </c>
    </row>
    <row r="242" spans="1:20" x14ac:dyDescent="0.25">
      <c r="A242" s="5">
        <v>44351</v>
      </c>
      <c r="B242">
        <v>1.2577</v>
      </c>
      <c r="C242">
        <v>1.2597</v>
      </c>
      <c r="D242">
        <v>1.0471999999999999</v>
      </c>
      <c r="E242">
        <v>1.1061000000000001</v>
      </c>
      <c r="F242">
        <v>2815548.02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-0.44564705882352812</v>
      </c>
      <c r="Q242">
        <f t="shared" si="960"/>
        <v>-1254740.694089408</v>
      </c>
      <c r="R242">
        <f t="shared" si="961"/>
        <v>-67006844.006750479</v>
      </c>
      <c r="S242">
        <f t="shared" si="962"/>
        <v>-670.06844006750475</v>
      </c>
      <c r="T242">
        <f t="shared" si="963"/>
        <v>-0.67006844006750477</v>
      </c>
    </row>
    <row r="243" spans="1:20" x14ac:dyDescent="0.25">
      <c r="A243" s="5">
        <v>44350</v>
      </c>
      <c r="B243">
        <v>1.1940999999999999</v>
      </c>
      <c r="C243">
        <v>1.2966</v>
      </c>
      <c r="D243">
        <v>1.1859</v>
      </c>
      <c r="E243">
        <v>1.2577</v>
      </c>
      <c r="F243">
        <v>2669628.17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0.2971996386630546</v>
      </c>
      <c r="Q243">
        <f t="shared" si="960"/>
        <v>793412.52748871164</v>
      </c>
      <c r="R243">
        <f t="shared" si="961"/>
        <v>-65752103.312661074</v>
      </c>
      <c r="S243">
        <f t="shared" si="962"/>
        <v>-657.52103312661075</v>
      </c>
      <c r="T243">
        <f t="shared" si="963"/>
        <v>-0.6575210331266107</v>
      </c>
    </row>
    <row r="244" spans="1:20" x14ac:dyDescent="0.25">
      <c r="A244" s="5">
        <v>44349</v>
      </c>
      <c r="B244">
        <v>1.2394000000000001</v>
      </c>
      <c r="C244">
        <v>1.2494000000000001</v>
      </c>
      <c r="D244">
        <v>1.1388</v>
      </c>
      <c r="E244">
        <v>1.1944999999999999</v>
      </c>
      <c r="F244">
        <v>3488286.07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7.23327305605506E-3</v>
      </c>
      <c r="Q244">
        <f t="shared" si="960"/>
        <v>25231.725641943194</v>
      </c>
      <c r="R244">
        <f t="shared" si="961"/>
        <v>-66545515.840149783</v>
      </c>
      <c r="S244">
        <f t="shared" si="962"/>
        <v>-665.45515840149778</v>
      </c>
      <c r="T244">
        <f t="shared" si="963"/>
        <v>-0.66545515840149783</v>
      </c>
    </row>
    <row r="245" spans="1:20" x14ac:dyDescent="0.25">
      <c r="A245" s="5">
        <v>44348</v>
      </c>
      <c r="B245">
        <v>1.1498999999999999</v>
      </c>
      <c r="C245">
        <v>1.3105</v>
      </c>
      <c r="D245">
        <v>1.1275999999999999</v>
      </c>
      <c r="E245">
        <v>1.2404999999999999</v>
      </c>
      <c r="F245">
        <v>4474995.74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0.23455440131219205</v>
      </c>
      <c r="Q245">
        <f t="shared" si="960"/>
        <v>1049629.9466703099</v>
      </c>
      <c r="R245">
        <f t="shared" si="961"/>
        <v>-66570747.565791726</v>
      </c>
      <c r="S245">
        <f t="shared" si="962"/>
        <v>-665.70747565791726</v>
      </c>
      <c r="T245">
        <f t="shared" si="963"/>
        <v>-0.66570747565791721</v>
      </c>
    </row>
    <row r="246" spans="1:20" x14ac:dyDescent="0.25">
      <c r="A246" s="5">
        <v>44347</v>
      </c>
      <c r="B246">
        <v>1.0940000000000001</v>
      </c>
      <c r="C246">
        <v>1.1547000000000001</v>
      </c>
      <c r="D246">
        <v>1.0477000000000001</v>
      </c>
      <c r="E246">
        <v>1.1472</v>
      </c>
      <c r="F246">
        <v>2033289.09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0.8598130841121483</v>
      </c>
      <c r="Q246">
        <f t="shared" si="960"/>
        <v>1748248.5633644836</v>
      </c>
      <c r="R246">
        <f t="shared" si="961"/>
        <v>-67620377.512462035</v>
      </c>
      <c r="S246">
        <f t="shared" si="962"/>
        <v>-676.20377512462039</v>
      </c>
      <c r="T246">
        <f t="shared" si="963"/>
        <v>-0.67620377512462038</v>
      </c>
    </row>
    <row r="247" spans="1:20" x14ac:dyDescent="0.25">
      <c r="A247" s="5">
        <v>44346</v>
      </c>
      <c r="B247">
        <v>1.0301</v>
      </c>
      <c r="C247">
        <v>1.1177999999999999</v>
      </c>
      <c r="D247">
        <v>0.98640000000000005</v>
      </c>
      <c r="E247">
        <v>1.0943000000000001</v>
      </c>
      <c r="F247">
        <v>1659175.4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0.64231354642313732</v>
      </c>
      <c r="Q247">
        <f t="shared" si="960"/>
        <v>1065710.8353120273</v>
      </c>
      <c r="R247">
        <f t="shared" si="961"/>
        <v>-69368626.075826526</v>
      </c>
      <c r="S247">
        <f t="shared" si="962"/>
        <v>-693.68626075826523</v>
      </c>
      <c r="T247">
        <f t="shared" si="963"/>
        <v>-0.69368626075826523</v>
      </c>
    </row>
    <row r="248" spans="1:20" x14ac:dyDescent="0.25">
      <c r="A248" s="5">
        <v>44345</v>
      </c>
      <c r="B248">
        <v>1.1361000000000001</v>
      </c>
      <c r="C248">
        <v>1.1635</v>
      </c>
      <c r="D248">
        <v>1.0133000000000001</v>
      </c>
      <c r="E248">
        <v>1.0294000000000001</v>
      </c>
      <c r="F248">
        <v>2324758.75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-0.78561917443408769</v>
      </c>
      <c r="Q248">
        <f t="shared" si="960"/>
        <v>-1826375.0499334217</v>
      </c>
      <c r="R248">
        <f t="shared" si="961"/>
        <v>-70434336.911138549</v>
      </c>
      <c r="S248">
        <f t="shared" si="962"/>
        <v>-704.34336911138553</v>
      </c>
      <c r="T248">
        <f t="shared" si="963"/>
        <v>-0.70434336911138551</v>
      </c>
    </row>
    <row r="249" spans="1:20" x14ac:dyDescent="0.25">
      <c r="A249" s="5">
        <v>44344</v>
      </c>
      <c r="B249">
        <v>1.2585999999999999</v>
      </c>
      <c r="C249">
        <v>1.2605999999999999</v>
      </c>
      <c r="D249">
        <v>1.0616000000000001</v>
      </c>
      <c r="E249">
        <v>1.1392</v>
      </c>
      <c r="F249">
        <v>2971776.75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-0.2201005025125633</v>
      </c>
      <c r="Q249">
        <f t="shared" si="960"/>
        <v>-654089.55603015225</v>
      </c>
      <c r="R249">
        <f t="shared" si="961"/>
        <v>-68607961.861205131</v>
      </c>
      <c r="S249">
        <f t="shared" si="962"/>
        <v>-686.07961861205126</v>
      </c>
      <c r="T249">
        <f t="shared" si="963"/>
        <v>-0.68607961861205125</v>
      </c>
    </row>
    <row r="250" spans="1:20" x14ac:dyDescent="0.25">
      <c r="A250" s="5">
        <v>44343</v>
      </c>
      <c r="B250">
        <v>1.3206</v>
      </c>
      <c r="C250">
        <v>1.4031</v>
      </c>
      <c r="D250">
        <v>1.1950000000000001</v>
      </c>
      <c r="E250">
        <v>1.2605999999999999</v>
      </c>
      <c r="F250">
        <v>3052762.8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-0.36953387794329751</v>
      </c>
      <c r="Q250">
        <f t="shared" si="960"/>
        <v>-1128099.2759250391</v>
      </c>
      <c r="R250">
        <f t="shared" si="961"/>
        <v>-67953872.305174977</v>
      </c>
      <c r="S250">
        <f t="shared" si="962"/>
        <v>-679.5387230517498</v>
      </c>
      <c r="T250">
        <f t="shared" si="963"/>
        <v>-0.67953872305174978</v>
      </c>
    </row>
    <row r="251" spans="1:20" x14ac:dyDescent="0.25">
      <c r="A251" s="5">
        <v>44342</v>
      </c>
      <c r="B251">
        <v>1.119</v>
      </c>
      <c r="C251">
        <v>1.3478000000000001</v>
      </c>
      <c r="D251">
        <v>1.0946</v>
      </c>
      <c r="E251">
        <v>1.3207</v>
      </c>
      <c r="F251">
        <v>4361526.59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0.78593996840442248</v>
      </c>
      <c r="Q251">
        <f t="shared" si="960"/>
        <v>3427898.0703396485</v>
      </c>
      <c r="R251">
        <f t="shared" si="961"/>
        <v>-66825773.029249936</v>
      </c>
      <c r="S251">
        <f t="shared" si="962"/>
        <v>-668.25773029249933</v>
      </c>
      <c r="T251">
        <f t="shared" si="963"/>
        <v>-0.66825773029249935</v>
      </c>
    </row>
    <row r="252" spans="1:20" x14ac:dyDescent="0.25">
      <c r="A252" s="5">
        <v>44341</v>
      </c>
      <c r="B252">
        <v>1.1828000000000001</v>
      </c>
      <c r="C252">
        <v>1.2174</v>
      </c>
      <c r="D252">
        <v>1.0402</v>
      </c>
      <c r="E252">
        <v>1.1173999999999999</v>
      </c>
      <c r="F252">
        <v>3689099.95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-0.12866817155756294</v>
      </c>
      <c r="Q252">
        <f t="shared" si="960"/>
        <v>-474669.74525959691</v>
      </c>
      <c r="R252">
        <f t="shared" si="961"/>
        <v>-70253671.099589586</v>
      </c>
      <c r="S252">
        <f t="shared" si="962"/>
        <v>-702.53671099589587</v>
      </c>
      <c r="T252">
        <f t="shared" si="963"/>
        <v>-0.70253671099589587</v>
      </c>
    </row>
    <row r="253" spans="1:20" x14ac:dyDescent="0.25">
      <c r="A253" s="5">
        <v>44340</v>
      </c>
      <c r="B253">
        <v>0.91559999999999997</v>
      </c>
      <c r="C253">
        <v>1.1853</v>
      </c>
      <c r="D253">
        <v>0.91459999999999997</v>
      </c>
      <c r="E253">
        <v>1.1782999999999999</v>
      </c>
      <c r="F253">
        <v>4090801.43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0.94828223125230793</v>
      </c>
      <c r="Q253">
        <f t="shared" si="960"/>
        <v>3879234.3076505321</v>
      </c>
      <c r="R253">
        <f t="shared" si="961"/>
        <v>-69779001.354329988</v>
      </c>
      <c r="S253">
        <f t="shared" si="962"/>
        <v>-697.79001354329989</v>
      </c>
      <c r="T253">
        <f t="shared" si="963"/>
        <v>-0.69779001354329995</v>
      </c>
    </row>
    <row r="254" spans="1:20" x14ac:dyDescent="0.25">
      <c r="A254" s="5">
        <v>44339</v>
      </c>
      <c r="B254">
        <v>1.1371</v>
      </c>
      <c r="C254">
        <v>1.1729000000000001</v>
      </c>
      <c r="D254">
        <v>0.79449999999999998</v>
      </c>
      <c r="E254">
        <v>0.91549999999999998</v>
      </c>
      <c r="F254">
        <v>4225470.49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-0.36046511627906991</v>
      </c>
      <c r="Q254">
        <f t="shared" si="960"/>
        <v>-1523134.7115116285</v>
      </c>
      <c r="R254">
        <f t="shared" si="961"/>
        <v>-73658235.661980525</v>
      </c>
      <c r="S254">
        <f t="shared" si="962"/>
        <v>-736.5823566198053</v>
      </c>
      <c r="T254">
        <f t="shared" si="963"/>
        <v>-0.73658235661980531</v>
      </c>
    </row>
    <row r="255" spans="1:20" x14ac:dyDescent="0.25">
      <c r="A255" s="5">
        <v>44338</v>
      </c>
      <c r="B255">
        <v>1.2054</v>
      </c>
      <c r="C255">
        <v>1.2503</v>
      </c>
      <c r="D255">
        <v>1.0926</v>
      </c>
      <c r="E255">
        <v>1.1355</v>
      </c>
      <c r="F255">
        <v>2811563.35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-0.45592897907419211</v>
      </c>
      <c r="Q255">
        <f t="shared" si="960"/>
        <v>-1281873.2077679154</v>
      </c>
      <c r="R255">
        <f t="shared" si="961"/>
        <v>-72135100.950468898</v>
      </c>
      <c r="S255">
        <f t="shared" si="962"/>
        <v>-721.35100950468893</v>
      </c>
      <c r="T255">
        <f t="shared" si="963"/>
        <v>-0.72135100950468889</v>
      </c>
    </row>
    <row r="256" spans="1:20" x14ac:dyDescent="0.25">
      <c r="A256" s="5">
        <v>44337</v>
      </c>
      <c r="B256">
        <v>1.4892000000000001</v>
      </c>
      <c r="C256">
        <v>1.5322</v>
      </c>
      <c r="D256">
        <v>1.0854999999999999</v>
      </c>
      <c r="E256">
        <v>1.2052</v>
      </c>
      <c r="F256">
        <v>4147062.21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-0.46406984553391489</v>
      </c>
      <c r="Q256">
        <f t="shared" si="960"/>
        <v>-1924526.5192142357</v>
      </c>
      <c r="R256">
        <f t="shared" si="961"/>
        <v>-70853227.742700979</v>
      </c>
      <c r="S256">
        <f t="shared" si="962"/>
        <v>-708.53227742700983</v>
      </c>
      <c r="T256">
        <f t="shared" si="963"/>
        <v>-0.70853227742700986</v>
      </c>
    </row>
    <row r="257" spans="1:20" x14ac:dyDescent="0.25">
      <c r="A257" s="5">
        <v>44336</v>
      </c>
      <c r="B257">
        <v>1.3465</v>
      </c>
      <c r="C257">
        <v>1.5517000000000001</v>
      </c>
      <c r="D257">
        <v>1.19</v>
      </c>
      <c r="E257">
        <v>1.4890000000000001</v>
      </c>
      <c r="F257">
        <v>4394820.8600000003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0.65330384296378241</v>
      </c>
      <c r="Q257">
        <f t="shared" si="960"/>
        <v>2871153.3569753952</v>
      </c>
      <c r="R257">
        <f t="shared" si="961"/>
        <v>-68928701.223486736</v>
      </c>
      <c r="S257">
        <f t="shared" si="962"/>
        <v>-689.28701223486735</v>
      </c>
      <c r="T257">
        <f t="shared" si="963"/>
        <v>-0.68928701223486732</v>
      </c>
    </row>
    <row r="258" spans="1:20" x14ac:dyDescent="0.25">
      <c r="A258" s="5">
        <v>44335</v>
      </c>
      <c r="B258">
        <v>2.1139999999999999</v>
      </c>
      <c r="C258">
        <v>2.1482000000000001</v>
      </c>
      <c r="D258">
        <v>1.1704000000000001</v>
      </c>
      <c r="E258">
        <v>1.3403</v>
      </c>
      <c r="F258">
        <v>6846032.3600000003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-0.65248517079157309</v>
      </c>
      <c r="Q258">
        <f t="shared" si="960"/>
        <v>-4466934.5936592361</v>
      </c>
      <c r="R258">
        <f t="shared" si="961"/>
        <v>-71799854.580462128</v>
      </c>
      <c r="S258">
        <f t="shared" si="962"/>
        <v>-717.99854580462124</v>
      </c>
      <c r="T258">
        <f t="shared" si="963"/>
        <v>-0.71799854580462119</v>
      </c>
    </row>
    <row r="259" spans="1:20" x14ac:dyDescent="0.25">
      <c r="A259" s="5">
        <v>44334</v>
      </c>
      <c r="B259">
        <v>1.8359000000000001</v>
      </c>
      <c r="C259">
        <v>2.19</v>
      </c>
      <c r="D259">
        <v>1.8188</v>
      </c>
      <c r="E259">
        <v>2.1139999999999999</v>
      </c>
      <c r="F259">
        <v>4453986.0199999996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0.59051724137930994</v>
      </c>
      <c r="Q259">
        <f t="shared" si="960"/>
        <v>2630155.5376724117</v>
      </c>
      <c r="R259">
        <f t="shared" si="961"/>
        <v>-67332919.986802891</v>
      </c>
      <c r="S259">
        <f t="shared" si="962"/>
        <v>-673.32919986802892</v>
      </c>
      <c r="T259">
        <f t="shared" si="963"/>
        <v>-0.67332919986802897</v>
      </c>
    </row>
    <row r="260" spans="1:20" x14ac:dyDescent="0.25">
      <c r="A260" s="5">
        <v>44333</v>
      </c>
      <c r="B260">
        <v>1.8671</v>
      </c>
      <c r="C260">
        <v>2.1073</v>
      </c>
      <c r="D260">
        <v>1.67</v>
      </c>
      <c r="E260">
        <v>1.8339000000000001</v>
      </c>
      <c r="F260">
        <v>3788742.74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-0.25040018294077226</v>
      </c>
      <c r="Q260">
        <f t="shared" si="960"/>
        <v>-948701.8752115228</v>
      </c>
      <c r="R260">
        <f t="shared" si="961"/>
        <v>-69963075.524475306</v>
      </c>
      <c r="S260">
        <f t="shared" si="962"/>
        <v>-699.63075524475312</v>
      </c>
      <c r="T260">
        <f t="shared" si="963"/>
        <v>-0.69963075524475316</v>
      </c>
    </row>
    <row r="261" spans="1:20" x14ac:dyDescent="0.25">
      <c r="A261" s="5">
        <v>44332</v>
      </c>
      <c r="B261">
        <v>1.9152</v>
      </c>
      <c r="C261">
        <v>2.1105</v>
      </c>
      <c r="D261">
        <v>1.7536</v>
      </c>
      <c r="E261">
        <v>1.8642000000000001</v>
      </c>
      <c r="F261">
        <v>2422248.48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-0.38021854861305671</v>
      </c>
      <c r="Q261">
        <f t="shared" si="960"/>
        <v>-920983.80144578265</v>
      </c>
      <c r="R261">
        <f t="shared" si="961"/>
        <v>-69014373.649263784</v>
      </c>
      <c r="S261">
        <f t="shared" si="962"/>
        <v>-690.1437364926378</v>
      </c>
      <c r="T261">
        <f t="shared" si="963"/>
        <v>-0.69014373649263783</v>
      </c>
    </row>
    <row r="262" spans="1:20" x14ac:dyDescent="0.25">
      <c r="A262" s="5">
        <v>44331</v>
      </c>
      <c r="B262">
        <v>2.0893999999999999</v>
      </c>
      <c r="C262">
        <v>2.1017000000000001</v>
      </c>
      <c r="D262">
        <v>1.8574999999999999</v>
      </c>
      <c r="E262">
        <v>1.9097999999999999</v>
      </c>
      <c r="F262">
        <v>2766275.56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-0.57166257166257195</v>
      </c>
      <c r="Q262">
        <f t="shared" ref="Q262:Q325" si="965">F262*P262</f>
        <v>-1581376.2005569213</v>
      </c>
      <c r="R262">
        <f t="shared" ref="R262:R325" si="966">R263+Q262</f>
        <v>-68093389.847818002</v>
      </c>
      <c r="S262">
        <f t="shared" ref="S262:S325" si="967">R262/100000</f>
        <v>-680.93389847818003</v>
      </c>
      <c r="T262">
        <f t="shared" ref="T262:T325" si="968">S262/1000</f>
        <v>-0.68093389847817998</v>
      </c>
    </row>
    <row r="263" spans="1:20" x14ac:dyDescent="0.25">
      <c r="A263" s="5">
        <v>44330</v>
      </c>
      <c r="B263">
        <v>1.9119999999999999</v>
      </c>
      <c r="C263">
        <v>2.2069000000000001</v>
      </c>
      <c r="D263">
        <v>1.889</v>
      </c>
      <c r="E263">
        <v>2.0947</v>
      </c>
      <c r="F263">
        <v>2295077.84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0.29411764705882321</v>
      </c>
      <c r="Q263">
        <f t="shared" si="965"/>
        <v>675022.89411764627</v>
      </c>
      <c r="R263">
        <f t="shared" si="966"/>
        <v>-66512013.647261076</v>
      </c>
      <c r="S263">
        <f t="shared" si="967"/>
        <v>-665.12013647261074</v>
      </c>
      <c r="T263">
        <f t="shared" si="968"/>
        <v>-0.6651201364726107</v>
      </c>
    </row>
    <row r="264" spans="1:20" x14ac:dyDescent="0.25">
      <c r="A264" s="5">
        <v>44329</v>
      </c>
      <c r="B264">
        <v>1.9392</v>
      </c>
      <c r="C264">
        <v>2.0889000000000002</v>
      </c>
      <c r="D264">
        <v>1.7493000000000001</v>
      </c>
      <c r="E264">
        <v>1.9120999999999999</v>
      </c>
      <c r="F264">
        <v>2977529.58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-4.1224970553593789E-2</v>
      </c>
      <c r="Q264">
        <f t="shared" si="965"/>
        <v>-122748.56925795448</v>
      </c>
      <c r="R264">
        <f t="shared" si="966"/>
        <v>-67187036.541378722</v>
      </c>
      <c r="S264">
        <f t="shared" si="967"/>
        <v>-671.87036541378723</v>
      </c>
      <c r="T264">
        <f t="shared" si="968"/>
        <v>-0.6718703654137872</v>
      </c>
    </row>
    <row r="265" spans="1:20" x14ac:dyDescent="0.25">
      <c r="A265" s="5">
        <v>44328</v>
      </c>
      <c r="B265">
        <v>2.2856000000000001</v>
      </c>
      <c r="C265">
        <v>2.3498999999999999</v>
      </c>
      <c r="D265">
        <v>1.91</v>
      </c>
      <c r="E265">
        <v>1.9393</v>
      </c>
      <c r="F265">
        <v>2401403.84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-0.86678790634235003</v>
      </c>
      <c r="Q265">
        <f t="shared" si="965"/>
        <v>-2081507.8067560797</v>
      </c>
      <c r="R265">
        <f t="shared" si="966"/>
        <v>-67064287.972120762</v>
      </c>
      <c r="S265">
        <f t="shared" si="967"/>
        <v>-670.64287972120758</v>
      </c>
      <c r="T265">
        <f t="shared" si="968"/>
        <v>-0.67064287972120762</v>
      </c>
    </row>
    <row r="266" spans="1:20" x14ac:dyDescent="0.25">
      <c r="A266" s="5">
        <v>44327</v>
      </c>
      <c r="B266">
        <v>2.1507999999999998</v>
      </c>
      <c r="C266">
        <v>2.3214999999999999</v>
      </c>
      <c r="D266">
        <v>2.0756000000000001</v>
      </c>
      <c r="E266">
        <v>2.2843</v>
      </c>
      <c r="F266">
        <v>2933759.87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0.69743798291988668</v>
      </c>
      <c r="Q266">
        <f t="shared" si="965"/>
        <v>2046115.5661041089</v>
      </c>
      <c r="R266">
        <f t="shared" si="966"/>
        <v>-64982780.165364683</v>
      </c>
      <c r="S266">
        <f t="shared" si="967"/>
        <v>-649.82780165364682</v>
      </c>
      <c r="T266">
        <f t="shared" si="968"/>
        <v>-0.64982780165364684</v>
      </c>
    </row>
    <row r="267" spans="1:20" x14ac:dyDescent="0.25">
      <c r="A267" s="5">
        <v>44326</v>
      </c>
      <c r="B267">
        <v>2.4710000000000001</v>
      </c>
      <c r="C267">
        <v>2.5499999999999998</v>
      </c>
      <c r="D267">
        <v>2</v>
      </c>
      <c r="E267">
        <v>2.1507000000000001</v>
      </c>
      <c r="F267">
        <v>3445731.23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-0.45199999999999962</v>
      </c>
      <c r="Q267">
        <f t="shared" si="965"/>
        <v>-1557470.5159599986</v>
      </c>
      <c r="R267">
        <f t="shared" si="966"/>
        <v>-67028895.731468789</v>
      </c>
      <c r="S267">
        <f t="shared" si="967"/>
        <v>-670.28895731468788</v>
      </c>
      <c r="T267">
        <f t="shared" si="968"/>
        <v>-0.67028895731468785</v>
      </c>
    </row>
    <row r="268" spans="1:20" x14ac:dyDescent="0.25">
      <c r="A268" s="5">
        <v>44325</v>
      </c>
      <c r="B268">
        <v>2.6227</v>
      </c>
      <c r="C268">
        <v>2.7404000000000002</v>
      </c>
      <c r="D268">
        <v>2.4500999999999999</v>
      </c>
      <c r="E268">
        <v>2.4706999999999999</v>
      </c>
      <c r="F268">
        <v>2139646.35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-0.85807785049948371</v>
      </c>
      <c r="Q268">
        <f t="shared" si="965"/>
        <v>-1835983.1408370661</v>
      </c>
      <c r="R268">
        <f t="shared" si="966"/>
        <v>-65471425.215508789</v>
      </c>
      <c r="S268">
        <f t="shared" si="967"/>
        <v>-654.71425215508793</v>
      </c>
      <c r="T268">
        <f t="shared" si="968"/>
        <v>-0.65471425215508794</v>
      </c>
    </row>
    <row r="269" spans="1:20" x14ac:dyDescent="0.25">
      <c r="A269" s="5">
        <v>44324</v>
      </c>
      <c r="B269">
        <v>2.3835000000000002</v>
      </c>
      <c r="C269">
        <v>2.75</v>
      </c>
      <c r="D269">
        <v>2.3740000000000001</v>
      </c>
      <c r="E269">
        <v>2.6208999999999998</v>
      </c>
      <c r="F269">
        <v>3261441.73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0.31329787234042417</v>
      </c>
      <c r="Q269">
        <f t="shared" si="965"/>
        <v>1021802.7547712722</v>
      </c>
      <c r="R269">
        <f t="shared" si="966"/>
        <v>-63635442.074671723</v>
      </c>
      <c r="S269">
        <f t="shared" si="967"/>
        <v>-636.35442074671721</v>
      </c>
      <c r="T269">
        <f t="shared" si="968"/>
        <v>-0.63635442074671722</v>
      </c>
    </row>
    <row r="270" spans="1:20" x14ac:dyDescent="0.25">
      <c r="A270" s="5">
        <v>44323</v>
      </c>
      <c r="B270">
        <v>2.4217</v>
      </c>
      <c r="C270">
        <v>2.7</v>
      </c>
      <c r="D270">
        <v>2.3140000000000001</v>
      </c>
      <c r="E270">
        <v>2.3845999999999998</v>
      </c>
      <c r="F270">
        <v>2496901.34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-0.63419689119171108</v>
      </c>
      <c r="Q270">
        <f t="shared" si="965"/>
        <v>-1583527.0674404176</v>
      </c>
      <c r="R270">
        <f t="shared" si="966"/>
        <v>-64657244.829442993</v>
      </c>
      <c r="S270">
        <f t="shared" si="967"/>
        <v>-646.57244829442993</v>
      </c>
      <c r="T270">
        <f t="shared" si="968"/>
        <v>-0.64657244829442995</v>
      </c>
    </row>
    <row r="271" spans="1:20" x14ac:dyDescent="0.25">
      <c r="A271" s="5">
        <v>44322</v>
      </c>
      <c r="B271">
        <v>2.6284000000000001</v>
      </c>
      <c r="C271">
        <v>2.6339000000000001</v>
      </c>
      <c r="D271">
        <v>2.3679000000000001</v>
      </c>
      <c r="E271">
        <v>2.4218000000000002</v>
      </c>
      <c r="F271">
        <v>3100093.15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-0.59473684210526279</v>
      </c>
      <c r="Q271">
        <f t="shared" si="965"/>
        <v>-1843739.6102631567</v>
      </c>
      <c r="R271">
        <f t="shared" si="966"/>
        <v>-63073717.762002572</v>
      </c>
      <c r="S271">
        <f t="shared" si="967"/>
        <v>-630.7371776200257</v>
      </c>
      <c r="T271">
        <f t="shared" si="968"/>
        <v>-0.63073717762002568</v>
      </c>
    </row>
    <row r="272" spans="1:20" x14ac:dyDescent="0.25">
      <c r="A272" s="5">
        <v>44321</v>
      </c>
      <c r="B272">
        <v>2.6027999999999998</v>
      </c>
      <c r="C272">
        <v>2.7240000000000002</v>
      </c>
      <c r="D272">
        <v>2.5293000000000001</v>
      </c>
      <c r="E272">
        <v>2.6334</v>
      </c>
      <c r="F272">
        <v>2410182.71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6.9337442218796189E-2</v>
      </c>
      <c r="Q272">
        <f t="shared" si="965"/>
        <v>167115.90439136661</v>
      </c>
      <c r="R272">
        <f t="shared" si="966"/>
        <v>-61229978.151739419</v>
      </c>
      <c r="S272">
        <f t="shared" si="967"/>
        <v>-612.29978151739419</v>
      </c>
      <c r="T272">
        <f t="shared" si="968"/>
        <v>-0.61229978151739417</v>
      </c>
    </row>
    <row r="273" spans="1:20" x14ac:dyDescent="0.25">
      <c r="A273" s="5">
        <v>44320</v>
      </c>
      <c r="B273">
        <v>3.0259999999999998</v>
      </c>
      <c r="C273">
        <v>3.0550000000000002</v>
      </c>
      <c r="D273">
        <v>2.5074999999999998</v>
      </c>
      <c r="E273">
        <v>2.6027</v>
      </c>
      <c r="F273">
        <v>4191020.24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-0.65223744292237396</v>
      </c>
      <c r="Q273">
        <f t="shared" si="965"/>
        <v>-2733540.3245735141</v>
      </c>
      <c r="R273">
        <f t="shared" si="966"/>
        <v>-61397094.056130782</v>
      </c>
      <c r="S273">
        <f t="shared" si="967"/>
        <v>-613.97094056130777</v>
      </c>
      <c r="T273">
        <f t="shared" si="968"/>
        <v>-0.61397094056130774</v>
      </c>
    </row>
    <row r="274" spans="1:20" x14ac:dyDescent="0.25">
      <c r="A274" s="5">
        <v>44319</v>
      </c>
      <c r="B274">
        <v>2.8262999999999998</v>
      </c>
      <c r="C274">
        <v>3.2629000000000001</v>
      </c>
      <c r="D274">
        <v>2.7770000000000001</v>
      </c>
      <c r="E274">
        <v>3.0253000000000001</v>
      </c>
      <c r="F274">
        <v>5770186.6900000004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2.2020991973656992E-2</v>
      </c>
      <c r="Q274">
        <f t="shared" si="965"/>
        <v>127065.23478699241</v>
      </c>
      <c r="R274">
        <f t="shared" si="966"/>
        <v>-58663553.731557265</v>
      </c>
      <c r="S274">
        <f t="shared" si="967"/>
        <v>-586.63553731557261</v>
      </c>
      <c r="T274">
        <f t="shared" si="968"/>
        <v>-0.58663553731557261</v>
      </c>
    </row>
    <row r="275" spans="1:20" x14ac:dyDescent="0.25">
      <c r="A275" s="5">
        <v>44318</v>
      </c>
      <c r="B275">
        <v>2.7267000000000001</v>
      </c>
      <c r="C275">
        <v>3.04</v>
      </c>
      <c r="D275">
        <v>2.4500000000000002</v>
      </c>
      <c r="E275">
        <v>2.8262</v>
      </c>
      <c r="F275">
        <v>5486954.7699999996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0.27525423728813547</v>
      </c>
      <c r="Q275">
        <f t="shared" si="965"/>
        <v>1510307.5502508467</v>
      </c>
      <c r="R275">
        <f t="shared" si="966"/>
        <v>-58790618.96634426</v>
      </c>
      <c r="S275">
        <f t="shared" si="967"/>
        <v>-587.90618966344255</v>
      </c>
      <c r="T275">
        <f t="shared" si="968"/>
        <v>-0.58790618966344255</v>
      </c>
    </row>
    <row r="276" spans="1:20" x14ac:dyDescent="0.25">
      <c r="A276" s="5">
        <v>44317</v>
      </c>
      <c r="B276">
        <v>2.7841</v>
      </c>
      <c r="C276">
        <v>2.82</v>
      </c>
      <c r="D276">
        <v>2.5299999999999998</v>
      </c>
      <c r="E276">
        <v>2.7265999999999999</v>
      </c>
      <c r="F276">
        <v>3395055.3</v>
      </c>
      <c r="G276">
        <v>0</v>
      </c>
      <c r="L276" t="s">
        <v>7</v>
      </c>
      <c r="M276" t="s">
        <v>7</v>
      </c>
      <c r="N276" t="s">
        <v>7</v>
      </c>
      <c r="P276">
        <f t="shared" si="964"/>
        <v>0.35586206896551781</v>
      </c>
      <c r="Q276">
        <f t="shared" si="965"/>
        <v>1208171.4033103466</v>
      </c>
      <c r="R276">
        <f t="shared" si="966"/>
        <v>-60300926.516595103</v>
      </c>
      <c r="S276">
        <f t="shared" si="967"/>
        <v>-603.00926516595098</v>
      </c>
      <c r="T276">
        <f t="shared" si="968"/>
        <v>-0.60300926516595099</v>
      </c>
    </row>
    <row r="277" spans="1:20" x14ac:dyDescent="0.25">
      <c r="A277" s="5">
        <v>44316</v>
      </c>
      <c r="B277">
        <v>3.0427</v>
      </c>
      <c r="C277">
        <v>3.08</v>
      </c>
      <c r="D277">
        <v>2.5499999999999998</v>
      </c>
      <c r="E277">
        <v>2.7814999999999999</v>
      </c>
      <c r="F277">
        <v>7617453.5599999996</v>
      </c>
      <c r="G277">
        <v>0</v>
      </c>
      <c r="L277" t="s">
        <v>7</v>
      </c>
      <c r="M277" t="s">
        <v>7</v>
      </c>
      <c r="N277" t="s">
        <v>7</v>
      </c>
      <c r="P277">
        <f t="shared" si="964"/>
        <v>-0.12641509433962289</v>
      </c>
      <c r="Q277">
        <f t="shared" si="965"/>
        <v>-962961.11041509616</v>
      </c>
      <c r="R277">
        <f t="shared" si="966"/>
        <v>-61509097.919905446</v>
      </c>
      <c r="S277">
        <f t="shared" si="967"/>
        <v>-615.09097919905446</v>
      </c>
      <c r="T277">
        <f t="shared" si="968"/>
        <v>-0.61509097919905442</v>
      </c>
    </row>
    <row r="278" spans="1:20" x14ac:dyDescent="0.25">
      <c r="A278" s="5">
        <v>44315</v>
      </c>
      <c r="B278">
        <v>2.0998999999999999</v>
      </c>
      <c r="C278">
        <v>3.4948999999999999</v>
      </c>
      <c r="D278">
        <v>2.0299999999999998</v>
      </c>
      <c r="E278">
        <v>3.0428000000000002</v>
      </c>
      <c r="F278">
        <v>17180879.859999999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0.38275650215031787</v>
      </c>
      <c r="Q278">
        <f t="shared" si="965"/>
        <v>6576093.4790784428</v>
      </c>
      <c r="R278">
        <f t="shared" si="966"/>
        <v>-60546136.809490353</v>
      </c>
      <c r="S278">
        <f t="shared" si="967"/>
        <v>-605.46136809490349</v>
      </c>
      <c r="T278">
        <f t="shared" si="968"/>
        <v>-0.60546136809490347</v>
      </c>
    </row>
    <row r="279" spans="1:20" x14ac:dyDescent="0.25">
      <c r="A279" s="5">
        <v>44314</v>
      </c>
      <c r="B279">
        <v>2.2126000000000001</v>
      </c>
      <c r="C279">
        <v>2.3292000000000002</v>
      </c>
      <c r="D279">
        <v>2.0036999999999998</v>
      </c>
      <c r="E279">
        <v>2.1</v>
      </c>
      <c r="F279">
        <v>1851192.56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-0.408294930875575</v>
      </c>
      <c r="Q279">
        <f t="shared" si="965"/>
        <v>-755832.53832257877</v>
      </c>
      <c r="R279">
        <f t="shared" si="966"/>
        <v>-67122230.288568795</v>
      </c>
      <c r="S279">
        <f t="shared" si="967"/>
        <v>-671.2223028856879</v>
      </c>
      <c r="T279">
        <f t="shared" si="968"/>
        <v>-0.67122230288568785</v>
      </c>
    </row>
    <row r="280" spans="1:20" x14ac:dyDescent="0.25">
      <c r="A280" s="5">
        <v>44313</v>
      </c>
      <c r="B280">
        <v>2.0228999999999999</v>
      </c>
      <c r="C280">
        <v>2.2999999999999998</v>
      </c>
      <c r="D280">
        <v>2.0034999999999998</v>
      </c>
      <c r="E280">
        <v>2.2149000000000001</v>
      </c>
      <c r="F280">
        <v>1711007.87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0.42596964586846719</v>
      </c>
      <c r="Q280">
        <f t="shared" si="965"/>
        <v>728837.41646206041</v>
      </c>
      <c r="R280">
        <f t="shared" si="966"/>
        <v>-66366397.750246212</v>
      </c>
      <c r="S280">
        <f t="shared" si="967"/>
        <v>-663.6639775024621</v>
      </c>
      <c r="T280">
        <f t="shared" si="968"/>
        <v>-0.66366397750246209</v>
      </c>
    </row>
    <row r="281" spans="1:20" x14ac:dyDescent="0.25">
      <c r="A281" s="5">
        <v>44312</v>
      </c>
      <c r="B281">
        <v>1.6786000000000001</v>
      </c>
      <c r="C281">
        <v>2.1280000000000001</v>
      </c>
      <c r="D281">
        <v>1.6521999999999999</v>
      </c>
      <c r="E281">
        <v>2.0226000000000002</v>
      </c>
      <c r="F281">
        <v>2476990.4700000002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0.55695670449768853</v>
      </c>
      <c r="Q281">
        <f t="shared" si="965"/>
        <v>1379576.4492433807</v>
      </c>
      <c r="R281">
        <f t="shared" si="966"/>
        <v>-67095235.166708276</v>
      </c>
      <c r="S281">
        <f t="shared" si="967"/>
        <v>-670.95235166708278</v>
      </c>
      <c r="T281">
        <f t="shared" si="968"/>
        <v>-0.67095235166708278</v>
      </c>
    </row>
    <row r="282" spans="1:20" x14ac:dyDescent="0.25">
      <c r="A282" s="5">
        <v>44311</v>
      </c>
      <c r="B282">
        <v>1.65</v>
      </c>
      <c r="C282">
        <v>1.8311999999999999</v>
      </c>
      <c r="D282">
        <v>1.5802</v>
      </c>
      <c r="E282">
        <v>1.6772</v>
      </c>
      <c r="F282">
        <v>1643270.81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-0.22709163346613531</v>
      </c>
      <c r="Q282">
        <f t="shared" si="965"/>
        <v>-373173.05247011932</v>
      </c>
      <c r="R282">
        <f t="shared" si="966"/>
        <v>-68474811.615951657</v>
      </c>
      <c r="S282">
        <f t="shared" si="967"/>
        <v>-684.7481161595166</v>
      </c>
      <c r="T282">
        <f t="shared" si="968"/>
        <v>-0.68474811615951658</v>
      </c>
    </row>
    <row r="283" spans="1:20" x14ac:dyDescent="0.25">
      <c r="A283" s="5">
        <v>44310</v>
      </c>
      <c r="B283">
        <v>1.8075000000000001</v>
      </c>
      <c r="C283">
        <v>1.8327</v>
      </c>
      <c r="D283">
        <v>1.6164000000000001</v>
      </c>
      <c r="E283">
        <v>1.65</v>
      </c>
      <c r="F283">
        <v>1440760.81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-0.68932038834951581</v>
      </c>
      <c r="Q283">
        <f t="shared" si="965"/>
        <v>-993145.80106796301</v>
      </c>
      <c r="R283">
        <f t="shared" si="966"/>
        <v>-68101638.563481539</v>
      </c>
      <c r="S283">
        <f t="shared" si="967"/>
        <v>-681.01638563481538</v>
      </c>
      <c r="T283">
        <f t="shared" si="968"/>
        <v>-0.68101638563481537</v>
      </c>
    </row>
    <row r="284" spans="1:20" x14ac:dyDescent="0.25">
      <c r="A284" s="5">
        <v>44309</v>
      </c>
      <c r="B284">
        <v>1.9514</v>
      </c>
      <c r="C284">
        <v>1.9754</v>
      </c>
      <c r="D284">
        <v>1.5743</v>
      </c>
      <c r="E284">
        <v>1.8069999999999999</v>
      </c>
      <c r="F284">
        <v>2476906.2799999998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0.16030914983794514</v>
      </c>
      <c r="Q284">
        <f t="shared" si="965"/>
        <v>397070.73997506726</v>
      </c>
      <c r="R284">
        <f t="shared" si="966"/>
        <v>-67108492.762413576</v>
      </c>
      <c r="S284">
        <f t="shared" si="967"/>
        <v>-671.08492762413573</v>
      </c>
      <c r="T284">
        <f t="shared" si="968"/>
        <v>-0.67108492762413574</v>
      </c>
    </row>
    <row r="285" spans="1:20" x14ac:dyDescent="0.25">
      <c r="A285" s="5">
        <v>44308</v>
      </c>
      <c r="B285">
        <v>2.1760999999999999</v>
      </c>
      <c r="C285">
        <v>2.2972999999999999</v>
      </c>
      <c r="D285">
        <v>1.9138999999999999</v>
      </c>
      <c r="E285">
        <v>1.9514</v>
      </c>
      <c r="F285">
        <v>2152150.4900000002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-0.80438184663536727</v>
      </c>
      <c r="Q285">
        <f t="shared" si="965"/>
        <v>-1731150.7853834108</v>
      </c>
      <c r="R285">
        <f t="shared" si="966"/>
        <v>-67505563.502388641</v>
      </c>
      <c r="S285">
        <f t="shared" si="967"/>
        <v>-675.05563502388645</v>
      </c>
      <c r="T285">
        <f t="shared" si="968"/>
        <v>-0.67505563502388644</v>
      </c>
    </row>
    <row r="286" spans="1:20" x14ac:dyDescent="0.25">
      <c r="A286" s="5">
        <v>44307</v>
      </c>
      <c r="B286">
        <v>2.1903999999999999</v>
      </c>
      <c r="C286">
        <v>2.4672999999999998</v>
      </c>
      <c r="D286">
        <v>2.1625999999999999</v>
      </c>
      <c r="E286">
        <v>2.1766000000000001</v>
      </c>
      <c r="F286">
        <v>2733799.97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-0.90810633409911234</v>
      </c>
      <c r="Q286">
        <f t="shared" si="965"/>
        <v>-2482581.0689169634</v>
      </c>
      <c r="R286">
        <f t="shared" si="966"/>
        <v>-65774412.71700523</v>
      </c>
      <c r="S286">
        <f t="shared" si="967"/>
        <v>-657.74412717005225</v>
      </c>
      <c r="T286">
        <f t="shared" si="968"/>
        <v>-0.65774412717005226</v>
      </c>
    </row>
    <row r="287" spans="1:20" x14ac:dyDescent="0.25">
      <c r="A287" s="5">
        <v>44306</v>
      </c>
      <c r="B287">
        <v>2.2351999999999999</v>
      </c>
      <c r="C287">
        <v>2.2999999999999998</v>
      </c>
      <c r="D287">
        <v>1.9815</v>
      </c>
      <c r="E287">
        <v>2.19</v>
      </c>
      <c r="F287">
        <v>2903204.72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0.30926216640502385</v>
      </c>
      <c r="Q287">
        <f t="shared" si="965"/>
        <v>897851.3812244907</v>
      </c>
      <c r="R287">
        <f t="shared" si="966"/>
        <v>-63291831.648088269</v>
      </c>
      <c r="S287">
        <f t="shared" si="967"/>
        <v>-632.91831648088271</v>
      </c>
      <c r="T287">
        <f t="shared" si="968"/>
        <v>-0.6329183164808827</v>
      </c>
    </row>
    <row r="288" spans="1:20" x14ac:dyDescent="0.25">
      <c r="A288" s="5">
        <v>44305</v>
      </c>
      <c r="B288">
        <v>2.3668999999999998</v>
      </c>
      <c r="C288">
        <v>2.5977000000000001</v>
      </c>
      <c r="D288">
        <v>2.1846000000000001</v>
      </c>
      <c r="E288">
        <v>2.2363</v>
      </c>
      <c r="F288">
        <v>2578897.37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-0.74969740982812949</v>
      </c>
      <c r="Q288">
        <f t="shared" si="965"/>
        <v>-1933392.6785015755</v>
      </c>
      <c r="R288">
        <f t="shared" si="966"/>
        <v>-64189683.02931276</v>
      </c>
      <c r="S288">
        <f t="shared" si="967"/>
        <v>-641.89683029312755</v>
      </c>
      <c r="T288">
        <f t="shared" si="968"/>
        <v>-0.6418968302931275</v>
      </c>
    </row>
    <row r="289" spans="1:20" x14ac:dyDescent="0.25">
      <c r="A289" s="5">
        <v>44304</v>
      </c>
      <c r="B289">
        <v>2.9068999999999998</v>
      </c>
      <c r="C289">
        <v>2.9249999999999998</v>
      </c>
      <c r="D289">
        <v>2.153</v>
      </c>
      <c r="E289">
        <v>2.3654000000000002</v>
      </c>
      <c r="F289">
        <v>3492893.91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-0.44974093264248655</v>
      </c>
      <c r="Q289">
        <f t="shared" si="965"/>
        <v>-1570897.3647046615</v>
      </c>
      <c r="R289">
        <f t="shared" si="966"/>
        <v>-62256290.350811183</v>
      </c>
      <c r="S289">
        <f t="shared" si="967"/>
        <v>-622.56290350811184</v>
      </c>
      <c r="T289">
        <f t="shared" si="968"/>
        <v>-0.62256290350811183</v>
      </c>
    </row>
    <row r="290" spans="1:20" x14ac:dyDescent="0.25">
      <c r="A290" s="5">
        <v>44303</v>
      </c>
      <c r="B290">
        <v>2.9</v>
      </c>
      <c r="C290">
        <v>3.0217999999999998</v>
      </c>
      <c r="D290">
        <v>2.8123999999999998</v>
      </c>
      <c r="E290">
        <v>2.9064999999999999</v>
      </c>
      <c r="F290">
        <v>1248149.6299999999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-0.10124164278892016</v>
      </c>
      <c r="Q290">
        <f t="shared" si="965"/>
        <v>-126364.71898758285</v>
      </c>
      <c r="R290">
        <f t="shared" si="966"/>
        <v>-60685392.986106522</v>
      </c>
      <c r="S290">
        <f t="shared" si="967"/>
        <v>-606.85392986106524</v>
      </c>
      <c r="T290">
        <f t="shared" si="968"/>
        <v>-0.60685392986106523</v>
      </c>
    </row>
    <row r="291" spans="1:20" x14ac:dyDescent="0.25">
      <c r="A291" s="5">
        <v>44302</v>
      </c>
      <c r="B291">
        <v>3.0305</v>
      </c>
      <c r="C291">
        <v>3.0457999999999998</v>
      </c>
      <c r="D291">
        <v>2.7719</v>
      </c>
      <c r="E291">
        <v>2.9</v>
      </c>
      <c r="F291">
        <v>1988992.74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-6.4622124863088937E-2</v>
      </c>
      <c r="Q291">
        <f t="shared" si="965"/>
        <v>-128532.93719605739</v>
      </c>
      <c r="R291">
        <f t="shared" si="966"/>
        <v>-60559028.267118938</v>
      </c>
      <c r="S291">
        <f t="shared" si="967"/>
        <v>-605.59028267118936</v>
      </c>
      <c r="T291">
        <f t="shared" si="968"/>
        <v>-0.60559028267118931</v>
      </c>
    </row>
    <row r="292" spans="1:20" x14ac:dyDescent="0.25">
      <c r="A292" s="5">
        <v>44301</v>
      </c>
      <c r="B292">
        <v>2.9963000000000002</v>
      </c>
      <c r="C292">
        <v>3.1492</v>
      </c>
      <c r="D292">
        <v>2.9329999999999998</v>
      </c>
      <c r="E292">
        <v>3.0305</v>
      </c>
      <c r="F292">
        <v>1746791.33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-9.8057354301572017E-2</v>
      </c>
      <c r="Q292">
        <f t="shared" si="965"/>
        <v>-171285.73633672422</v>
      </c>
      <c r="R292">
        <f t="shared" si="966"/>
        <v>-60430495.329922877</v>
      </c>
      <c r="S292">
        <f t="shared" si="967"/>
        <v>-604.30495329922883</v>
      </c>
      <c r="T292">
        <f t="shared" si="968"/>
        <v>-0.60430495329922884</v>
      </c>
    </row>
    <row r="293" spans="1:20" x14ac:dyDescent="0.25">
      <c r="A293" s="5">
        <v>44300</v>
      </c>
      <c r="B293">
        <v>3.0508000000000002</v>
      </c>
      <c r="C293">
        <v>3.2378</v>
      </c>
      <c r="D293">
        <v>2.8586</v>
      </c>
      <c r="E293">
        <v>2.9977999999999998</v>
      </c>
      <c r="F293">
        <v>2883681.01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-0.26582278481012778</v>
      </c>
      <c r="Q293">
        <f t="shared" si="965"/>
        <v>-766548.11658228189</v>
      </c>
      <c r="R293">
        <f t="shared" si="966"/>
        <v>-60259209.593586154</v>
      </c>
      <c r="S293">
        <f t="shared" si="967"/>
        <v>-602.59209593586149</v>
      </c>
      <c r="T293">
        <f t="shared" si="968"/>
        <v>-0.60259209593586149</v>
      </c>
    </row>
    <row r="294" spans="1:20" x14ac:dyDescent="0.25">
      <c r="A294" s="5">
        <v>44299</v>
      </c>
      <c r="B294">
        <v>3.4634999999999998</v>
      </c>
      <c r="C294">
        <v>3.4775999999999998</v>
      </c>
      <c r="D294">
        <v>3.0070999999999999</v>
      </c>
      <c r="E294">
        <v>3.0514999999999999</v>
      </c>
      <c r="F294">
        <v>3311998.23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-0.81126461211477152</v>
      </c>
      <c r="Q294">
        <f t="shared" si="965"/>
        <v>-2686906.9593857597</v>
      </c>
      <c r="R294">
        <f t="shared" si="966"/>
        <v>-59492661.477003872</v>
      </c>
      <c r="S294">
        <f t="shared" si="967"/>
        <v>-594.92661477003867</v>
      </c>
      <c r="T294">
        <f t="shared" si="968"/>
        <v>-0.59492661477003872</v>
      </c>
    </row>
    <row r="295" spans="1:20" x14ac:dyDescent="0.25">
      <c r="A295" s="5">
        <v>44298</v>
      </c>
      <c r="B295">
        <v>3.4095</v>
      </c>
      <c r="C295">
        <v>3.6857000000000002</v>
      </c>
      <c r="D295">
        <v>3.3165</v>
      </c>
      <c r="E295">
        <v>3.4634</v>
      </c>
      <c r="F295">
        <v>2977331.06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-0.20422535211267631</v>
      </c>
      <c r="Q295">
        <f t="shared" si="965"/>
        <v>-608046.4840845078</v>
      </c>
      <c r="R295">
        <f t="shared" si="966"/>
        <v>-56805754.517618112</v>
      </c>
      <c r="S295">
        <f t="shared" si="967"/>
        <v>-568.05754517618118</v>
      </c>
      <c r="T295">
        <f t="shared" si="968"/>
        <v>-0.56805754517618123</v>
      </c>
    </row>
    <row r="296" spans="1:20" x14ac:dyDescent="0.25">
      <c r="A296" s="5">
        <v>44297</v>
      </c>
      <c r="B296">
        <v>3.3372999999999999</v>
      </c>
      <c r="C296">
        <v>3.4881000000000002</v>
      </c>
      <c r="D296">
        <v>3.1530999999999998</v>
      </c>
      <c r="E296">
        <v>3.4098000000000002</v>
      </c>
      <c r="F296">
        <v>3520880.37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0.53253731343283617</v>
      </c>
      <c r="Q296">
        <f t="shared" si="965"/>
        <v>1875000.1731582102</v>
      </c>
      <c r="R296">
        <f t="shared" si="966"/>
        <v>-56197708.033533603</v>
      </c>
      <c r="S296">
        <f t="shared" si="967"/>
        <v>-561.97708033533604</v>
      </c>
      <c r="T296">
        <f t="shared" si="968"/>
        <v>-0.561977080335336</v>
      </c>
    </row>
    <row r="297" spans="1:20" x14ac:dyDescent="0.25">
      <c r="A297" s="5">
        <v>44296</v>
      </c>
      <c r="B297">
        <v>3.4990999999999999</v>
      </c>
      <c r="C297">
        <v>3.7113</v>
      </c>
      <c r="D297">
        <v>3.181</v>
      </c>
      <c r="E297">
        <v>3.3372000000000002</v>
      </c>
      <c r="F297">
        <v>3722695.46</v>
      </c>
      <c r="G297">
        <v>0</v>
      </c>
      <c r="L297" t="s">
        <v>8</v>
      </c>
      <c r="M297" t="s">
        <v>7</v>
      </c>
      <c r="N297" t="s">
        <v>8</v>
      </c>
      <c r="P297">
        <f t="shared" si="964"/>
        <v>-0.410899490854233</v>
      </c>
      <c r="Q297">
        <f t="shared" si="965"/>
        <v>-1529653.6691193646</v>
      </c>
      <c r="R297">
        <f t="shared" si="966"/>
        <v>-58072708.206691816</v>
      </c>
      <c r="S297">
        <f t="shared" si="967"/>
        <v>-580.72708206691811</v>
      </c>
      <c r="T297">
        <f t="shared" si="968"/>
        <v>-0.58072708206691814</v>
      </c>
    </row>
    <row r="298" spans="1:20" x14ac:dyDescent="0.25">
      <c r="A298" s="5">
        <v>44295</v>
      </c>
      <c r="B298">
        <v>3.2016</v>
      </c>
      <c r="C298">
        <v>3.5699000000000001</v>
      </c>
      <c r="D298">
        <v>3.1394000000000002</v>
      </c>
      <c r="E298">
        <v>3.5</v>
      </c>
      <c r="F298">
        <v>4149265.82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0.67526132404181138</v>
      </c>
      <c r="Q298">
        <f t="shared" si="965"/>
        <v>2801838.7314146319</v>
      </c>
      <c r="R298">
        <f t="shared" si="966"/>
        <v>-56543054.537572451</v>
      </c>
      <c r="S298">
        <f t="shared" si="967"/>
        <v>-565.43054537572448</v>
      </c>
      <c r="T298">
        <f t="shared" si="968"/>
        <v>-0.56543054537572446</v>
      </c>
    </row>
    <row r="299" spans="1:20" x14ac:dyDescent="0.25">
      <c r="A299" s="5">
        <v>44294</v>
      </c>
      <c r="B299">
        <v>3.1069</v>
      </c>
      <c r="C299">
        <v>3.9</v>
      </c>
      <c r="D299">
        <v>3.0775999999999999</v>
      </c>
      <c r="E299">
        <v>3.2023000000000001</v>
      </c>
      <c r="F299">
        <v>7390539.8399999999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-0.69674124513618618</v>
      </c>
      <c r="Q299">
        <f t="shared" si="965"/>
        <v>-5149293.93035019</v>
      </c>
      <c r="R299">
        <f t="shared" si="966"/>
        <v>-59344893.268987082</v>
      </c>
      <c r="S299">
        <f t="shared" si="967"/>
        <v>-593.44893268987084</v>
      </c>
      <c r="T299">
        <f t="shared" si="968"/>
        <v>-0.59344893268987087</v>
      </c>
    </row>
    <row r="300" spans="1:20" x14ac:dyDescent="0.25">
      <c r="A300" s="5">
        <v>44293</v>
      </c>
      <c r="B300">
        <v>2.9</v>
      </c>
      <c r="C300">
        <v>3.3645</v>
      </c>
      <c r="D300">
        <v>2.6448</v>
      </c>
      <c r="E300">
        <v>3.1076000000000001</v>
      </c>
      <c r="F300">
        <v>5194669.95</v>
      </c>
      <c r="G300">
        <v>0</v>
      </c>
      <c r="L300" t="s">
        <v>8</v>
      </c>
      <c r="M300" t="s">
        <v>8</v>
      </c>
      <c r="N300" t="s">
        <v>7</v>
      </c>
      <c r="P300">
        <f t="shared" si="964"/>
        <v>0.28609142698346562</v>
      </c>
      <c r="Q300">
        <f t="shared" si="965"/>
        <v>1486150.5387036281</v>
      </c>
      <c r="R300">
        <f t="shared" si="966"/>
        <v>-54195599.33863689</v>
      </c>
      <c r="S300">
        <f t="shared" si="967"/>
        <v>-541.95599338636885</v>
      </c>
      <c r="T300">
        <f t="shared" si="968"/>
        <v>-0.5419559933863688</v>
      </c>
    </row>
    <row r="301" spans="1:20" x14ac:dyDescent="0.25">
      <c r="A301" s="5">
        <v>44292</v>
      </c>
      <c r="B301">
        <v>2.7860999999999998</v>
      </c>
      <c r="C301">
        <v>3.0558999999999998</v>
      </c>
      <c r="D301">
        <v>2.7244000000000002</v>
      </c>
      <c r="E301">
        <v>2.8965999999999998</v>
      </c>
      <c r="F301">
        <v>2423724.5099999998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3.8914027149320365E-2</v>
      </c>
      <c r="Q301">
        <f t="shared" si="965"/>
        <v>94316.881384613196</v>
      </c>
      <c r="R301">
        <f t="shared" si="966"/>
        <v>-55681749.877340518</v>
      </c>
      <c r="S301">
        <f t="shared" si="967"/>
        <v>-556.81749877340519</v>
      </c>
      <c r="T301">
        <f t="shared" si="968"/>
        <v>-0.55681749877340514</v>
      </c>
    </row>
    <row r="302" spans="1:20" x14ac:dyDescent="0.25">
      <c r="A302" s="5">
        <v>44291</v>
      </c>
      <c r="B302">
        <v>2.7547000000000001</v>
      </c>
      <c r="C302">
        <v>2.95</v>
      </c>
      <c r="D302">
        <v>2.6726000000000001</v>
      </c>
      <c r="E302">
        <v>2.7860999999999998</v>
      </c>
      <c r="F302">
        <v>1989091.82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-0.18168709444845224</v>
      </c>
      <c r="Q302">
        <f t="shared" si="965"/>
        <v>-361392.31336698378</v>
      </c>
      <c r="R302">
        <f t="shared" si="966"/>
        <v>-55776066.758725129</v>
      </c>
      <c r="S302">
        <f t="shared" si="967"/>
        <v>-557.76066758725131</v>
      </c>
      <c r="T302">
        <f t="shared" si="968"/>
        <v>-0.55776066758725129</v>
      </c>
    </row>
    <row r="303" spans="1:20" x14ac:dyDescent="0.25">
      <c r="A303" s="5">
        <v>44290</v>
      </c>
      <c r="B303">
        <v>2.4500000000000002</v>
      </c>
      <c r="C303">
        <v>2.7898999999999998</v>
      </c>
      <c r="D303">
        <v>2.4169999999999998</v>
      </c>
      <c r="E303">
        <v>2.7547000000000001</v>
      </c>
      <c r="F303">
        <v>1270329.98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0.81120943952802538</v>
      </c>
      <c r="Q303">
        <f t="shared" si="965"/>
        <v>1030503.6710914477</v>
      </c>
      <c r="R303">
        <f t="shared" si="966"/>
        <v>-55414674.445358142</v>
      </c>
      <c r="S303">
        <f t="shared" si="967"/>
        <v>-554.14674445358139</v>
      </c>
      <c r="T303">
        <f t="shared" si="968"/>
        <v>-0.55414674445358136</v>
      </c>
    </row>
    <row r="304" spans="1:20" x14ac:dyDescent="0.25">
      <c r="A304" s="5">
        <v>44289</v>
      </c>
      <c r="B304">
        <v>2.6389</v>
      </c>
      <c r="C304">
        <v>2.8180000000000001</v>
      </c>
      <c r="D304">
        <v>2.423</v>
      </c>
      <c r="E304">
        <v>2.4489999999999998</v>
      </c>
      <c r="F304">
        <v>1422948.83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-0.8683544303797478</v>
      </c>
      <c r="Q304">
        <f t="shared" si="965"/>
        <v>-1235623.9207341787</v>
      </c>
      <c r="R304">
        <f t="shared" si="966"/>
        <v>-56445178.116449587</v>
      </c>
      <c r="S304">
        <f t="shared" si="967"/>
        <v>-564.45178116449586</v>
      </c>
      <c r="T304">
        <f t="shared" si="968"/>
        <v>-0.5644517811644959</v>
      </c>
    </row>
    <row r="305" spans="1:20" x14ac:dyDescent="0.25">
      <c r="A305" s="5">
        <v>44288</v>
      </c>
      <c r="B305">
        <v>2.7814000000000001</v>
      </c>
      <c r="C305">
        <v>2.8774999999999999</v>
      </c>
      <c r="D305">
        <v>2.6213000000000002</v>
      </c>
      <c r="E305">
        <v>2.6442999999999999</v>
      </c>
      <c r="F305">
        <v>1372462.44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-0.82045277127244565</v>
      </c>
      <c r="Q305">
        <f t="shared" si="965"/>
        <v>-1126040.6123653427</v>
      </c>
      <c r="R305">
        <f t="shared" si="966"/>
        <v>-55209554.195715405</v>
      </c>
      <c r="S305">
        <f t="shared" si="967"/>
        <v>-552.09554195715407</v>
      </c>
      <c r="T305">
        <f t="shared" si="968"/>
        <v>-0.55209554195715405</v>
      </c>
    </row>
    <row r="306" spans="1:20" x14ac:dyDescent="0.25">
      <c r="A306" s="5">
        <v>44287</v>
      </c>
      <c r="B306">
        <v>2.9382000000000001</v>
      </c>
      <c r="C306">
        <v>2.9540000000000002</v>
      </c>
      <c r="D306">
        <v>2.6698</v>
      </c>
      <c r="E306">
        <v>2.7814000000000001</v>
      </c>
      <c r="F306">
        <v>1798204.88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-0.2146375791695985</v>
      </c>
      <c r="Q306">
        <f t="shared" si="965"/>
        <v>-385962.34229415836</v>
      </c>
      <c r="R306">
        <f t="shared" si="966"/>
        <v>-54083513.583350062</v>
      </c>
      <c r="S306">
        <f t="shared" si="967"/>
        <v>-540.83513583350066</v>
      </c>
      <c r="T306">
        <f t="shared" si="968"/>
        <v>-0.54083513583350062</v>
      </c>
    </row>
    <row r="307" spans="1:20" x14ac:dyDescent="0.25">
      <c r="A307" s="5">
        <v>44286</v>
      </c>
      <c r="B307">
        <v>3.2562000000000002</v>
      </c>
      <c r="C307">
        <v>3.2713999999999999</v>
      </c>
      <c r="D307">
        <v>2.8334999999999999</v>
      </c>
      <c r="E307">
        <v>2.9382000000000001</v>
      </c>
      <c r="F307">
        <v>2203114.06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-0.52180863210778605</v>
      </c>
      <c r="Q307">
        <f t="shared" si="965"/>
        <v>-1149603.9340260308</v>
      </c>
      <c r="R307">
        <f t="shared" si="966"/>
        <v>-53697551.241055906</v>
      </c>
      <c r="S307">
        <f t="shared" si="967"/>
        <v>-536.97551241055908</v>
      </c>
      <c r="T307">
        <f t="shared" si="968"/>
        <v>-0.53697551241055907</v>
      </c>
    </row>
    <row r="308" spans="1:20" x14ac:dyDescent="0.25">
      <c r="A308" s="5">
        <v>44285</v>
      </c>
      <c r="B308">
        <v>2.9016999999999999</v>
      </c>
      <c r="C308">
        <v>3.4714</v>
      </c>
      <c r="D308">
        <v>2.9</v>
      </c>
      <c r="E308">
        <v>3.2553999999999998</v>
      </c>
      <c r="F308">
        <v>2660627.44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0.24396219810990499</v>
      </c>
      <c r="Q308">
        <f t="shared" si="965"/>
        <v>649092.51861392939</v>
      </c>
      <c r="R308">
        <f t="shared" si="966"/>
        <v>-52547947.307029873</v>
      </c>
      <c r="S308">
        <f t="shared" si="967"/>
        <v>-525.4794730702987</v>
      </c>
      <c r="T308">
        <f t="shared" si="968"/>
        <v>-0.52547947307029874</v>
      </c>
    </row>
    <row r="309" spans="1:20" x14ac:dyDescent="0.25">
      <c r="A309" s="5">
        <v>44284</v>
      </c>
      <c r="B309">
        <v>2.9889000000000001</v>
      </c>
      <c r="C309">
        <v>3.1</v>
      </c>
      <c r="D309">
        <v>2.8388</v>
      </c>
      <c r="E309">
        <v>2.9016999999999999</v>
      </c>
      <c r="F309">
        <v>1630786.65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-0.5183767228177647</v>
      </c>
      <c r="Q309">
        <f t="shared" si="965"/>
        <v>-845361.83924196102</v>
      </c>
      <c r="R309">
        <f t="shared" si="966"/>
        <v>-53197039.8256438</v>
      </c>
      <c r="S309">
        <f t="shared" si="967"/>
        <v>-531.97039825643799</v>
      </c>
      <c r="T309">
        <f t="shared" si="968"/>
        <v>-0.53197039825643799</v>
      </c>
    </row>
    <row r="310" spans="1:20" x14ac:dyDescent="0.25">
      <c r="A310" s="5">
        <v>44283</v>
      </c>
      <c r="B310">
        <v>2.8513000000000002</v>
      </c>
      <c r="C310">
        <v>3.0499000000000001</v>
      </c>
      <c r="D310">
        <v>2.7765</v>
      </c>
      <c r="E310">
        <v>2.9996</v>
      </c>
      <c r="F310">
        <v>2006001.31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0.63204096561814194</v>
      </c>
      <c r="Q310">
        <f t="shared" si="965"/>
        <v>1267875.0050036577</v>
      </c>
      <c r="R310">
        <f t="shared" si="966"/>
        <v>-52351677.986401841</v>
      </c>
      <c r="S310">
        <f t="shared" si="967"/>
        <v>-523.51677986401842</v>
      </c>
      <c r="T310">
        <f t="shared" si="968"/>
        <v>-0.52351677986401846</v>
      </c>
    </row>
    <row r="311" spans="1:20" x14ac:dyDescent="0.25">
      <c r="A311" s="5">
        <v>44282</v>
      </c>
      <c r="B311">
        <v>2.7972000000000001</v>
      </c>
      <c r="C311">
        <v>2.88</v>
      </c>
      <c r="D311">
        <v>2.6019000000000001</v>
      </c>
      <c r="E311">
        <v>2.8513000000000002</v>
      </c>
      <c r="F311">
        <v>2163411.67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0.79359942466738764</v>
      </c>
      <c r="Q311">
        <f t="shared" si="965"/>
        <v>1716882.2566307122</v>
      </c>
      <c r="R311">
        <f t="shared" si="966"/>
        <v>-53619552.991405502</v>
      </c>
      <c r="S311">
        <f t="shared" si="967"/>
        <v>-536.19552991405499</v>
      </c>
      <c r="T311">
        <f t="shared" si="968"/>
        <v>-0.53619552991405495</v>
      </c>
    </row>
    <row r="312" spans="1:20" x14ac:dyDescent="0.25">
      <c r="A312" s="5">
        <v>44281</v>
      </c>
      <c r="B312">
        <v>2.3199999999999998</v>
      </c>
      <c r="C312">
        <v>2.88</v>
      </c>
      <c r="D312">
        <v>2.3199999999999998</v>
      </c>
      <c r="E312">
        <v>2.7972999999999999</v>
      </c>
      <c r="F312">
        <v>2111545.19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0.70464285714285724</v>
      </c>
      <c r="Q312">
        <f t="shared" si="965"/>
        <v>1487885.2356678573</v>
      </c>
      <c r="R312">
        <f t="shared" si="966"/>
        <v>-55336435.248036213</v>
      </c>
      <c r="S312">
        <f t="shared" si="967"/>
        <v>-553.36435248036219</v>
      </c>
      <c r="T312">
        <f t="shared" si="968"/>
        <v>-0.5533643524803622</v>
      </c>
    </row>
    <row r="313" spans="1:20" x14ac:dyDescent="0.25">
      <c r="A313" s="5">
        <v>44280</v>
      </c>
      <c r="B313">
        <v>2.4180999999999999</v>
      </c>
      <c r="C313">
        <v>2.5146999999999999</v>
      </c>
      <c r="D313">
        <v>2.1436000000000002</v>
      </c>
      <c r="E313">
        <v>2.3199999999999998</v>
      </c>
      <c r="F313">
        <v>2251297.04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-4.9312853678255025E-2</v>
      </c>
      <c r="Q313">
        <f t="shared" si="965"/>
        <v>-111017.88151980865</v>
      </c>
      <c r="R313">
        <f t="shared" si="966"/>
        <v>-56824320.483704068</v>
      </c>
      <c r="S313">
        <f t="shared" si="967"/>
        <v>-568.24320483704071</v>
      </c>
      <c r="T313">
        <f t="shared" si="968"/>
        <v>-0.56824320483704072</v>
      </c>
    </row>
    <row r="314" spans="1:20" x14ac:dyDescent="0.25">
      <c r="A314" s="5">
        <v>44279</v>
      </c>
      <c r="B314">
        <v>2.3199999999999998</v>
      </c>
      <c r="C314">
        <v>2.9</v>
      </c>
      <c r="D314">
        <v>2.2759</v>
      </c>
      <c r="E314">
        <v>2.4188999999999998</v>
      </c>
      <c r="F314">
        <v>3135978.36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-0.54174010575228382</v>
      </c>
      <c r="Q314">
        <f t="shared" si="965"/>
        <v>-1698885.2483832736</v>
      </c>
      <c r="R314">
        <f t="shared" si="966"/>
        <v>-56713302.602184258</v>
      </c>
      <c r="S314">
        <f t="shared" si="967"/>
        <v>-567.13302602184262</v>
      </c>
      <c r="T314">
        <f t="shared" si="968"/>
        <v>-0.56713302602184268</v>
      </c>
    </row>
    <row r="315" spans="1:20" x14ac:dyDescent="0.25">
      <c r="A315" s="5">
        <v>44278</v>
      </c>
      <c r="B315">
        <v>2.3683000000000001</v>
      </c>
      <c r="C315">
        <v>2.4298999999999999</v>
      </c>
      <c r="D315">
        <v>2.2488000000000001</v>
      </c>
      <c r="E315">
        <v>2.3252999999999999</v>
      </c>
      <c r="F315">
        <v>1346354.01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-0.15516289342904618</v>
      </c>
      <c r="Q315">
        <f t="shared" si="965"/>
        <v>-208904.183771399</v>
      </c>
      <c r="R315">
        <f t="shared" si="966"/>
        <v>-55014417.353800982</v>
      </c>
      <c r="S315">
        <f t="shared" si="967"/>
        <v>-550.1441735380098</v>
      </c>
      <c r="T315">
        <f t="shared" si="968"/>
        <v>-0.55014417353800982</v>
      </c>
    </row>
    <row r="316" spans="1:20" x14ac:dyDescent="0.25">
      <c r="A316" s="5">
        <v>44277</v>
      </c>
      <c r="B316">
        <v>2.5528</v>
      </c>
      <c r="C316">
        <v>2.6901000000000002</v>
      </c>
      <c r="D316">
        <v>2.3033000000000001</v>
      </c>
      <c r="E316">
        <v>2.3611</v>
      </c>
      <c r="F316">
        <v>2468849.59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-0.70113753877973195</v>
      </c>
      <c r="Q316">
        <f t="shared" si="965"/>
        <v>-1731003.1251499502</v>
      </c>
      <c r="R316">
        <f t="shared" si="966"/>
        <v>-54805513.170029581</v>
      </c>
      <c r="S316">
        <f t="shared" si="967"/>
        <v>-548.05513170029576</v>
      </c>
      <c r="T316">
        <f t="shared" si="968"/>
        <v>-0.54805513170029574</v>
      </c>
    </row>
    <row r="317" spans="1:20" x14ac:dyDescent="0.25">
      <c r="A317" s="5">
        <v>44276</v>
      </c>
      <c r="B317">
        <v>2.7351000000000001</v>
      </c>
      <c r="C317">
        <v>2.8382000000000001</v>
      </c>
      <c r="D317">
        <v>2.4659</v>
      </c>
      <c r="E317">
        <v>2.5499999999999998</v>
      </c>
      <c r="F317">
        <v>2144011.5099999998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-0.54821380607037429</v>
      </c>
      <c r="Q317">
        <f t="shared" si="965"/>
        <v>-1175376.7101557902</v>
      </c>
      <c r="R317">
        <f t="shared" si="966"/>
        <v>-53074510.04487963</v>
      </c>
      <c r="S317">
        <f t="shared" si="967"/>
        <v>-530.74510044879628</v>
      </c>
      <c r="T317">
        <f t="shared" si="968"/>
        <v>-0.5307451004487963</v>
      </c>
    </row>
    <row r="318" spans="1:20" x14ac:dyDescent="0.25">
      <c r="A318" s="5">
        <v>44275</v>
      </c>
      <c r="B318">
        <v>2.8416999999999999</v>
      </c>
      <c r="C318">
        <v>3.101</v>
      </c>
      <c r="D318">
        <v>2.7351000000000001</v>
      </c>
      <c r="E318">
        <v>2.7351000000000001</v>
      </c>
      <c r="F318">
        <v>1966445.84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-1</v>
      </c>
      <c r="Q318">
        <f t="shared" si="965"/>
        <v>-1966445.84</v>
      </c>
      <c r="R318">
        <f t="shared" si="966"/>
        <v>-51899133.334723838</v>
      </c>
      <c r="S318">
        <f t="shared" si="967"/>
        <v>-518.99133334723842</v>
      </c>
      <c r="T318">
        <f t="shared" si="968"/>
        <v>-0.51899133334723846</v>
      </c>
    </row>
    <row r="319" spans="1:20" x14ac:dyDescent="0.25">
      <c r="A319" s="5">
        <v>44274</v>
      </c>
      <c r="B319">
        <v>2.8298999999999999</v>
      </c>
      <c r="C319">
        <v>3.0998999999999999</v>
      </c>
      <c r="D319">
        <v>2.7589000000000001</v>
      </c>
      <c r="E319">
        <v>2.8416000000000001</v>
      </c>
      <c r="F319">
        <v>2176396.92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-0.514956011730205</v>
      </c>
      <c r="Q319">
        <f t="shared" si="965"/>
        <v>-1120748.677865102</v>
      </c>
      <c r="R319">
        <f t="shared" si="966"/>
        <v>-49932687.494723834</v>
      </c>
      <c r="S319">
        <f t="shared" si="967"/>
        <v>-499.32687494723837</v>
      </c>
      <c r="T319">
        <f t="shared" si="968"/>
        <v>-0.49932687494723837</v>
      </c>
    </row>
    <row r="320" spans="1:20" x14ac:dyDescent="0.25">
      <c r="A320" s="5">
        <v>44273</v>
      </c>
      <c r="B320">
        <v>2.5808</v>
      </c>
      <c r="C320">
        <v>3.2498999999999998</v>
      </c>
      <c r="D320">
        <v>2.5381</v>
      </c>
      <c r="E320">
        <v>2.8298999999999999</v>
      </c>
      <c r="F320">
        <v>6879463.3700000001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-0.18010677156504654</v>
      </c>
      <c r="Q320">
        <f t="shared" si="965"/>
        <v>-1239037.9376706951</v>
      </c>
      <c r="R320">
        <f t="shared" si="966"/>
        <v>-48811938.816858731</v>
      </c>
      <c r="S320">
        <f t="shared" si="967"/>
        <v>-488.11938816858731</v>
      </c>
      <c r="T320">
        <f t="shared" si="968"/>
        <v>-0.4881193881685873</v>
      </c>
    </row>
    <row r="321" spans="1:20" x14ac:dyDescent="0.25">
      <c r="A321" s="5">
        <v>44272</v>
      </c>
      <c r="B321">
        <v>2.3515000000000001</v>
      </c>
      <c r="C321">
        <v>2.7</v>
      </c>
      <c r="D321">
        <v>2.2616000000000001</v>
      </c>
      <c r="E321">
        <v>2.5808</v>
      </c>
      <c r="F321">
        <v>2690261.67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0.45620437956204307</v>
      </c>
      <c r="Q321">
        <f t="shared" si="965"/>
        <v>1227309.1560218958</v>
      </c>
      <c r="R321">
        <f t="shared" si="966"/>
        <v>-47572900.879188038</v>
      </c>
      <c r="S321">
        <f t="shared" si="967"/>
        <v>-475.7290087918804</v>
      </c>
      <c r="T321">
        <f t="shared" si="968"/>
        <v>-0.4757290087918804</v>
      </c>
    </row>
    <row r="322" spans="1:20" x14ac:dyDescent="0.25">
      <c r="A322" s="5">
        <v>44271</v>
      </c>
      <c r="B322">
        <v>2.6756000000000002</v>
      </c>
      <c r="C322">
        <v>2.6852</v>
      </c>
      <c r="D322">
        <v>2.2480000000000002</v>
      </c>
      <c r="E322">
        <v>2.3506</v>
      </c>
      <c r="F322">
        <v>3854166.29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-0.53064958828911324</v>
      </c>
      <c r="Q322">
        <f t="shared" si="965"/>
        <v>-2045211.7549862789</v>
      </c>
      <c r="R322">
        <f t="shared" si="966"/>
        <v>-48800210.035209931</v>
      </c>
      <c r="S322">
        <f t="shared" si="967"/>
        <v>-488.00210035209932</v>
      </c>
      <c r="T322">
        <f t="shared" si="968"/>
        <v>-0.48800210035209934</v>
      </c>
    </row>
    <row r="323" spans="1:20" x14ac:dyDescent="0.25">
      <c r="A323" s="5">
        <v>44270</v>
      </c>
      <c r="B323">
        <v>3.0729000000000002</v>
      </c>
      <c r="C323">
        <v>3.2846000000000002</v>
      </c>
      <c r="D323">
        <v>2.6501999999999999</v>
      </c>
      <c r="E323">
        <v>2.6665999999999999</v>
      </c>
      <c r="F323">
        <v>4692118.2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-0.94829760403530905</v>
      </c>
      <c r="Q323">
        <f t="shared" si="965"/>
        <v>-4449524.446910467</v>
      </c>
      <c r="R323">
        <f t="shared" si="966"/>
        <v>-46754998.280223653</v>
      </c>
      <c r="S323">
        <f t="shared" si="967"/>
        <v>-467.54998280223651</v>
      </c>
      <c r="T323">
        <f t="shared" si="968"/>
        <v>-0.46754998280223653</v>
      </c>
    </row>
    <row r="324" spans="1:20" x14ac:dyDescent="0.25">
      <c r="A324" s="5">
        <v>44269</v>
      </c>
      <c r="B324">
        <v>2.63</v>
      </c>
      <c r="C324">
        <v>4.5</v>
      </c>
      <c r="D324">
        <v>2.6212</v>
      </c>
      <c r="E324">
        <v>3.09</v>
      </c>
      <c r="F324">
        <v>17470379.449999999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-0.50095805833510765</v>
      </c>
      <c r="Q324">
        <f t="shared" si="965"/>
        <v>-8751927.3676495664</v>
      </c>
      <c r="R324">
        <f t="shared" si="966"/>
        <v>-42305473.833313182</v>
      </c>
      <c r="S324">
        <f t="shared" si="967"/>
        <v>-423.05473833313181</v>
      </c>
      <c r="T324">
        <f t="shared" si="968"/>
        <v>-0.42305473833313179</v>
      </c>
    </row>
    <row r="325" spans="1:20" x14ac:dyDescent="0.25">
      <c r="A325" s="5">
        <v>44268</v>
      </c>
      <c r="B325">
        <v>2.0156000000000001</v>
      </c>
      <c r="C325">
        <v>3.0918999999999999</v>
      </c>
      <c r="D325">
        <v>1.8819999999999999</v>
      </c>
      <c r="E325">
        <v>2.6301000000000001</v>
      </c>
      <c r="F325">
        <v>4697382.2</v>
      </c>
      <c r="G325">
        <v>0</v>
      </c>
      <c r="L325" t="s">
        <v>8</v>
      </c>
      <c r="M325" t="s">
        <v>7</v>
      </c>
      <c r="N325" t="s">
        <v>7</v>
      </c>
      <c r="P325">
        <f t="shared" si="964"/>
        <v>0.23663112653938378</v>
      </c>
      <c r="Q325">
        <f t="shared" si="965"/>
        <v>1111546.841772049</v>
      </c>
      <c r="R325">
        <f t="shared" si="966"/>
        <v>-33553546.465663619</v>
      </c>
      <c r="S325">
        <f t="shared" si="967"/>
        <v>-335.53546465663618</v>
      </c>
      <c r="T325">
        <f t="shared" si="968"/>
        <v>-0.3355354646566362</v>
      </c>
    </row>
    <row r="326" spans="1:20" x14ac:dyDescent="0.25">
      <c r="A326" s="5">
        <v>44267</v>
      </c>
      <c r="B326">
        <v>2.1402000000000001</v>
      </c>
      <c r="C326">
        <v>2.3517000000000001</v>
      </c>
      <c r="D326">
        <v>2</v>
      </c>
      <c r="E326">
        <v>2.0160999999999998</v>
      </c>
      <c r="F326">
        <v>2277612.8199999998</v>
      </c>
      <c r="G326">
        <v>0</v>
      </c>
      <c r="L326" t="s">
        <v>8</v>
      </c>
      <c r="M326" t="s">
        <v>7</v>
      </c>
      <c r="N326" t="s">
        <v>7</v>
      </c>
      <c r="P326">
        <f t="shared" ref="P326:P389" si="969">IF(C326=D326,0,((E326-D326)-(C326-E326))/(C326-D326))</f>
        <v>-0.90844469718510223</v>
      </c>
      <c r="Q326">
        <f t="shared" ref="Q326:Q389" si="970">F326*P326</f>
        <v>-2069085.2885698066</v>
      </c>
      <c r="R326">
        <f t="shared" ref="R326:R389" si="971">R327+Q326</f>
        <v>-34665093.307435669</v>
      </c>
      <c r="S326">
        <f t="shared" ref="S326:S389" si="972">R326/100000</f>
        <v>-346.65093307435671</v>
      </c>
      <c r="T326">
        <f t="shared" ref="T326:T389" si="973">S326/1000</f>
        <v>-0.34665093307435674</v>
      </c>
    </row>
    <row r="327" spans="1:20" x14ac:dyDescent="0.25">
      <c r="A327" s="5">
        <v>44266</v>
      </c>
      <c r="B327">
        <v>2.2075999999999998</v>
      </c>
      <c r="C327">
        <v>2.2349999999999999</v>
      </c>
      <c r="D327">
        <v>2.0278999999999998</v>
      </c>
      <c r="E327">
        <v>2.1379999999999999</v>
      </c>
      <c r="F327">
        <v>1415484.28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6.3254466441333215E-2</v>
      </c>
      <c r="Q327">
        <f t="shared" si="970"/>
        <v>89535.702887494714</v>
      </c>
      <c r="R327">
        <f t="shared" si="971"/>
        <v>-32596008.018865861</v>
      </c>
      <c r="S327">
        <f t="shared" si="972"/>
        <v>-325.96008018865859</v>
      </c>
      <c r="T327">
        <f t="shared" si="973"/>
        <v>-0.32596008018865857</v>
      </c>
    </row>
    <row r="328" spans="1:20" x14ac:dyDescent="0.25">
      <c r="A328" s="5">
        <v>44265</v>
      </c>
      <c r="B328">
        <v>2.4407999999999999</v>
      </c>
      <c r="C328">
        <v>2.4632000000000001</v>
      </c>
      <c r="D328">
        <v>2.1800999999999999</v>
      </c>
      <c r="E328">
        <v>2.2010999999999998</v>
      </c>
      <c r="F328">
        <v>1610646.37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-0.85164252914164673</v>
      </c>
      <c r="Q328">
        <f t="shared" si="970"/>
        <v>-1371694.9480996127</v>
      </c>
      <c r="R328">
        <f t="shared" si="971"/>
        <v>-32685543.721753355</v>
      </c>
      <c r="S328">
        <f t="shared" si="972"/>
        <v>-326.85543721753356</v>
      </c>
      <c r="T328">
        <f t="shared" si="973"/>
        <v>-0.32685543721753357</v>
      </c>
    </row>
    <row r="329" spans="1:20" x14ac:dyDescent="0.25">
      <c r="A329" s="5">
        <v>44264</v>
      </c>
      <c r="B329">
        <v>2.2610999999999999</v>
      </c>
      <c r="C329">
        <v>2.5213000000000001</v>
      </c>
      <c r="D329">
        <v>2.2317</v>
      </c>
      <c r="E329">
        <v>2.4352999999999998</v>
      </c>
      <c r="F329">
        <v>2181926.92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0.40607734806629642</v>
      </c>
      <c r="Q329">
        <f t="shared" si="970"/>
        <v>886031.09734806209</v>
      </c>
      <c r="R329">
        <f t="shared" si="971"/>
        <v>-31313848.773653742</v>
      </c>
      <c r="S329">
        <f t="shared" si="972"/>
        <v>-313.1384877365374</v>
      </c>
      <c r="T329">
        <f t="shared" si="973"/>
        <v>-0.31313848773653741</v>
      </c>
    </row>
    <row r="330" spans="1:20" x14ac:dyDescent="0.25">
      <c r="A330" s="5">
        <v>44263</v>
      </c>
      <c r="B330">
        <v>2.2357</v>
      </c>
      <c r="C330">
        <v>2.3083999999999998</v>
      </c>
      <c r="D330">
        <v>2.0605000000000002</v>
      </c>
      <c r="E330">
        <v>2.2570999999999999</v>
      </c>
      <c r="F330">
        <v>1822086.73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0.58612343686970558</v>
      </c>
      <c r="Q330">
        <f t="shared" si="970"/>
        <v>1067967.7364622832</v>
      </c>
      <c r="R330">
        <f t="shared" si="971"/>
        <v>-32199879.871001802</v>
      </c>
      <c r="S330">
        <f t="shared" si="972"/>
        <v>-321.99879871001804</v>
      </c>
      <c r="T330">
        <f t="shared" si="973"/>
        <v>-0.32199879871001802</v>
      </c>
    </row>
    <row r="331" spans="1:20" x14ac:dyDescent="0.25">
      <c r="A331" s="5">
        <v>44262</v>
      </c>
      <c r="B331">
        <v>2.3115000000000001</v>
      </c>
      <c r="C331">
        <v>2.4700000000000002</v>
      </c>
      <c r="D331">
        <v>2.11</v>
      </c>
      <c r="E331">
        <v>2.2294</v>
      </c>
      <c r="F331">
        <v>2167765.52</v>
      </c>
      <c r="G331">
        <v>0</v>
      </c>
      <c r="L331" t="s">
        <v>7</v>
      </c>
      <c r="M331" t="s">
        <v>7</v>
      </c>
      <c r="N331" t="s">
        <v>7</v>
      </c>
      <c r="P331">
        <f t="shared" si="969"/>
        <v>-0.33666666666666628</v>
      </c>
      <c r="Q331">
        <f t="shared" si="970"/>
        <v>-729814.39173333254</v>
      </c>
      <c r="R331">
        <f t="shared" si="971"/>
        <v>-33267847.607464086</v>
      </c>
      <c r="S331">
        <f t="shared" si="972"/>
        <v>-332.67847607464086</v>
      </c>
      <c r="T331">
        <f t="shared" si="973"/>
        <v>-0.33267847607464085</v>
      </c>
    </row>
    <row r="332" spans="1:20" x14ac:dyDescent="0.25">
      <c r="A332" s="5">
        <v>44261</v>
      </c>
      <c r="B332">
        <v>2.4365999999999999</v>
      </c>
      <c r="C332">
        <v>2.5259999999999998</v>
      </c>
      <c r="D332">
        <v>2.2814999999999999</v>
      </c>
      <c r="E332">
        <v>2.3058999999999998</v>
      </c>
      <c r="F332">
        <v>1438776.04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-0.80040899795501042</v>
      </c>
      <c r="Q332">
        <f t="shared" si="970"/>
        <v>-1151609.2884580779</v>
      </c>
      <c r="R332">
        <f t="shared" si="971"/>
        <v>-32538033.215730753</v>
      </c>
      <c r="S332">
        <f t="shared" si="972"/>
        <v>-325.38033215730752</v>
      </c>
      <c r="T332">
        <f t="shared" si="973"/>
        <v>-0.32538033215730749</v>
      </c>
    </row>
    <row r="333" spans="1:20" x14ac:dyDescent="0.25">
      <c r="A333" s="5">
        <v>44260</v>
      </c>
      <c r="B333">
        <v>2.5829</v>
      </c>
      <c r="C333">
        <v>2.5832000000000002</v>
      </c>
      <c r="D333">
        <v>2.3391000000000002</v>
      </c>
      <c r="E333">
        <v>2.4365999999999999</v>
      </c>
      <c r="F333">
        <v>1454762.49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-0.20114707087259562</v>
      </c>
      <c r="Q333">
        <f t="shared" si="970"/>
        <v>-292621.21367882367</v>
      </c>
      <c r="R333">
        <f t="shared" si="971"/>
        <v>-31386423.927272674</v>
      </c>
      <c r="S333">
        <f t="shared" si="972"/>
        <v>-313.86423927272676</v>
      </c>
      <c r="T333">
        <f t="shared" si="973"/>
        <v>-0.31386423927272677</v>
      </c>
    </row>
    <row r="334" spans="1:20" x14ac:dyDescent="0.25">
      <c r="A334" s="5">
        <v>44259</v>
      </c>
      <c r="B334">
        <v>2.8571</v>
      </c>
      <c r="C334">
        <v>2.9306999999999999</v>
      </c>
      <c r="D334">
        <v>2.5276999999999998</v>
      </c>
      <c r="E334">
        <v>2.5821999999999998</v>
      </c>
      <c r="F334">
        <v>1079581.46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-0.72952853598014888</v>
      </c>
      <c r="Q334">
        <f t="shared" si="970"/>
        <v>-787585.4819851116</v>
      </c>
      <c r="R334">
        <f t="shared" si="971"/>
        <v>-31093802.713593852</v>
      </c>
      <c r="S334">
        <f t="shared" si="972"/>
        <v>-310.93802713593851</v>
      </c>
      <c r="T334">
        <f t="shared" si="973"/>
        <v>-0.31093802713593849</v>
      </c>
    </row>
    <row r="335" spans="1:20" x14ac:dyDescent="0.25">
      <c r="A335" s="5">
        <v>44258</v>
      </c>
      <c r="B335">
        <v>2.9241999999999999</v>
      </c>
      <c r="C335">
        <v>3</v>
      </c>
      <c r="D335">
        <v>2.8119999999999998</v>
      </c>
      <c r="E335">
        <v>2.8571</v>
      </c>
      <c r="F335">
        <v>1010514.61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-0.5202127659574457</v>
      </c>
      <c r="Q335">
        <f t="shared" si="970"/>
        <v>-525682.60030850954</v>
      </c>
      <c r="R335">
        <f t="shared" si="971"/>
        <v>-30306217.231608741</v>
      </c>
      <c r="S335">
        <f t="shared" si="972"/>
        <v>-303.06217231608741</v>
      </c>
      <c r="T335">
        <f t="shared" si="973"/>
        <v>-0.3030621723160874</v>
      </c>
    </row>
    <row r="336" spans="1:20" x14ac:dyDescent="0.25">
      <c r="A336" s="5">
        <v>44257</v>
      </c>
      <c r="B336">
        <v>3.1438000000000001</v>
      </c>
      <c r="C336">
        <v>3.2143999999999999</v>
      </c>
      <c r="D336">
        <v>2.7103000000000002</v>
      </c>
      <c r="E336">
        <v>2.9226999999999999</v>
      </c>
      <c r="F336">
        <v>946742.93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-0.15731005752826902</v>
      </c>
      <c r="Q336">
        <f t="shared" si="970"/>
        <v>-148932.18478278199</v>
      </c>
      <c r="R336">
        <f t="shared" si="971"/>
        <v>-29780534.63130023</v>
      </c>
      <c r="S336">
        <f t="shared" si="972"/>
        <v>-297.8053463130023</v>
      </c>
      <c r="T336">
        <f t="shared" si="973"/>
        <v>-0.29780534631300232</v>
      </c>
    </row>
    <row r="337" spans="1:20" x14ac:dyDescent="0.25">
      <c r="A337" s="5">
        <v>44256</v>
      </c>
      <c r="B337">
        <v>2.5499999999999998</v>
      </c>
      <c r="C337">
        <v>3.3</v>
      </c>
      <c r="D337">
        <v>2.5335000000000001</v>
      </c>
      <c r="E337">
        <v>3.1398999999999999</v>
      </c>
      <c r="F337">
        <v>1326158.74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0.58225701239399874</v>
      </c>
      <c r="Q337">
        <f t="shared" si="970"/>
        <v>772165.2259125897</v>
      </c>
      <c r="R337">
        <f t="shared" si="971"/>
        <v>-29631602.446517449</v>
      </c>
      <c r="S337">
        <f t="shared" si="972"/>
        <v>-296.31602446517451</v>
      </c>
      <c r="T337">
        <f t="shared" si="973"/>
        <v>-0.29631602446517452</v>
      </c>
    </row>
    <row r="338" spans="1:20" x14ac:dyDescent="0.25">
      <c r="A338" s="5">
        <v>44255</v>
      </c>
      <c r="B338">
        <v>2.6535000000000002</v>
      </c>
      <c r="C338">
        <v>2.7111999999999998</v>
      </c>
      <c r="D338">
        <v>2.3923000000000001</v>
      </c>
      <c r="E338">
        <v>2.548</v>
      </c>
      <c r="F338">
        <v>1156115.77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-2.3518344308560195E-2</v>
      </c>
      <c r="Q338">
        <f t="shared" si="970"/>
        <v>-27189.928739416187</v>
      </c>
      <c r="R338">
        <f t="shared" si="971"/>
        <v>-30403767.672430038</v>
      </c>
      <c r="S338">
        <f t="shared" si="972"/>
        <v>-304.03767672430041</v>
      </c>
      <c r="T338">
        <f t="shared" si="973"/>
        <v>-0.30403767672430043</v>
      </c>
    </row>
    <row r="339" spans="1:20" x14ac:dyDescent="0.25">
      <c r="A339" s="5">
        <v>44254</v>
      </c>
      <c r="B339">
        <v>2.5539000000000001</v>
      </c>
      <c r="C339">
        <v>2.72</v>
      </c>
      <c r="D339">
        <v>2.5001000000000002</v>
      </c>
      <c r="E339">
        <v>2.6535000000000002</v>
      </c>
      <c r="F339">
        <v>866422.19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0.39517962710322868</v>
      </c>
      <c r="Q339">
        <f t="shared" si="970"/>
        <v>342392.39795816271</v>
      </c>
      <c r="R339">
        <f t="shared" si="971"/>
        <v>-30376577.743690621</v>
      </c>
      <c r="S339">
        <f t="shared" si="972"/>
        <v>-303.76577743690621</v>
      </c>
      <c r="T339">
        <f t="shared" si="973"/>
        <v>-0.30376577743690619</v>
      </c>
    </row>
    <row r="340" spans="1:20" x14ac:dyDescent="0.25">
      <c r="A340" s="5">
        <v>44253</v>
      </c>
      <c r="B340">
        <v>2.8296999999999999</v>
      </c>
      <c r="C340">
        <v>2.9001000000000001</v>
      </c>
      <c r="D340">
        <v>2.4988999999999999</v>
      </c>
      <c r="E340">
        <v>2.5527000000000002</v>
      </c>
      <c r="F340">
        <v>1362303.94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-0.73180458624127487</v>
      </c>
      <c r="Q340">
        <f t="shared" si="970"/>
        <v>-996940.27114655846</v>
      </c>
      <c r="R340">
        <f t="shared" si="971"/>
        <v>-30718970.141648784</v>
      </c>
      <c r="S340">
        <f t="shared" si="972"/>
        <v>-307.18970141648782</v>
      </c>
      <c r="T340">
        <f t="shared" si="973"/>
        <v>-0.30718970141648783</v>
      </c>
    </row>
    <row r="341" spans="1:20" x14ac:dyDescent="0.25">
      <c r="A341" s="5">
        <v>44252</v>
      </c>
      <c r="B341">
        <v>3.1233</v>
      </c>
      <c r="C341">
        <v>3.4</v>
      </c>
      <c r="D341">
        <v>2.75</v>
      </c>
      <c r="E341">
        <v>2.8355999999999999</v>
      </c>
      <c r="F341">
        <v>1689751.57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-0.73661538461538489</v>
      </c>
      <c r="Q341">
        <f t="shared" si="970"/>
        <v>-1244697.0026400005</v>
      </c>
      <c r="R341">
        <f t="shared" si="971"/>
        <v>-29722029.870502226</v>
      </c>
      <c r="S341">
        <f t="shared" si="972"/>
        <v>-297.22029870502229</v>
      </c>
      <c r="T341">
        <f t="shared" si="973"/>
        <v>-0.29722029870502231</v>
      </c>
    </row>
    <row r="342" spans="1:20" x14ac:dyDescent="0.25">
      <c r="A342" s="5">
        <v>44251</v>
      </c>
      <c r="B342">
        <v>2.9683000000000002</v>
      </c>
      <c r="C342">
        <v>3.5110999999999999</v>
      </c>
      <c r="D342">
        <v>2.7951000000000001</v>
      </c>
      <c r="E342">
        <v>3.1190000000000002</v>
      </c>
      <c r="F342">
        <v>1789088.21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-9.5251396648044162E-2</v>
      </c>
      <c r="Q342">
        <f t="shared" si="970"/>
        <v>-170413.15072904932</v>
      </c>
      <c r="R342">
        <f t="shared" si="971"/>
        <v>-28477332.867862225</v>
      </c>
      <c r="S342">
        <f t="shared" si="972"/>
        <v>-284.77332867862225</v>
      </c>
      <c r="T342">
        <f t="shared" si="973"/>
        <v>-0.28477332867862226</v>
      </c>
    </row>
    <row r="343" spans="1:20" x14ac:dyDescent="0.25">
      <c r="A343" s="5">
        <v>44250</v>
      </c>
      <c r="B343">
        <v>3.4641000000000002</v>
      </c>
      <c r="C343">
        <v>3.4744000000000002</v>
      </c>
      <c r="D343">
        <v>2.1800000000000002</v>
      </c>
      <c r="E343">
        <v>2.9632000000000001</v>
      </c>
      <c r="F343">
        <v>2983800.01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0.2101359703337452</v>
      </c>
      <c r="Q343">
        <f t="shared" si="970"/>
        <v>627003.71038318856</v>
      </c>
      <c r="R343">
        <f t="shared" si="971"/>
        <v>-28306919.717133176</v>
      </c>
      <c r="S343">
        <f t="shared" si="972"/>
        <v>-283.06919717133178</v>
      </c>
      <c r="T343">
        <f t="shared" si="973"/>
        <v>-0.28306919717133178</v>
      </c>
    </row>
    <row r="344" spans="1:20" x14ac:dyDescent="0.25">
      <c r="A344" s="5">
        <v>44249</v>
      </c>
      <c r="B344">
        <v>3.8258999999999999</v>
      </c>
      <c r="C344">
        <v>3.9799000000000002</v>
      </c>
      <c r="D344">
        <v>2.8841999999999999</v>
      </c>
      <c r="E344">
        <v>3.4641000000000002</v>
      </c>
      <c r="F344">
        <v>2667278.2799999998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5.8501414620790587E-2</v>
      </c>
      <c r="Q344">
        <f t="shared" si="970"/>
        <v>156039.55256730915</v>
      </c>
      <c r="R344">
        <f t="shared" si="971"/>
        <v>-28933923.427516364</v>
      </c>
      <c r="S344">
        <f t="shared" si="972"/>
        <v>-289.33923427516362</v>
      </c>
      <c r="T344">
        <f t="shared" si="973"/>
        <v>-0.28933923427516361</v>
      </c>
    </row>
    <row r="345" spans="1:20" x14ac:dyDescent="0.25">
      <c r="A345" s="5">
        <v>44248</v>
      </c>
      <c r="B345">
        <v>3.3212000000000002</v>
      </c>
      <c r="C345">
        <v>4.0991</v>
      </c>
      <c r="D345">
        <v>3.1</v>
      </c>
      <c r="E345">
        <v>3.8172999999999999</v>
      </c>
      <c r="F345">
        <v>3174134.71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0.43589230307276533</v>
      </c>
      <c r="Q345">
        <f t="shared" si="970"/>
        <v>1383580.8890051041</v>
      </c>
      <c r="R345">
        <f t="shared" si="971"/>
        <v>-29089962.980083674</v>
      </c>
      <c r="S345">
        <f t="shared" si="972"/>
        <v>-290.89962980083675</v>
      </c>
      <c r="T345">
        <f t="shared" si="973"/>
        <v>-0.29089962980083672</v>
      </c>
    </row>
    <row r="346" spans="1:20" x14ac:dyDescent="0.25">
      <c r="A346" s="5">
        <v>44247</v>
      </c>
      <c r="B346">
        <v>3.8351999999999999</v>
      </c>
      <c r="C346">
        <v>4.0698999999999996</v>
      </c>
      <c r="D346">
        <v>2.9950999999999999</v>
      </c>
      <c r="E346">
        <v>3.3384999999999998</v>
      </c>
      <c r="F346">
        <v>3128531.54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-0.36099739486416077</v>
      </c>
      <c r="Q346">
        <f t="shared" si="970"/>
        <v>-1129391.7356903609</v>
      </c>
      <c r="R346">
        <f t="shared" si="971"/>
        <v>-30473543.869088776</v>
      </c>
      <c r="S346">
        <f t="shared" si="972"/>
        <v>-304.73543869088775</v>
      </c>
      <c r="T346">
        <f t="shared" si="973"/>
        <v>-0.30473543869088776</v>
      </c>
    </row>
    <row r="347" spans="1:20" x14ac:dyDescent="0.25">
      <c r="A347" s="5">
        <v>44246</v>
      </c>
      <c r="B347">
        <v>3.6318999999999999</v>
      </c>
      <c r="C347">
        <v>4.3383000000000003</v>
      </c>
      <c r="D347">
        <v>3.4</v>
      </c>
      <c r="E347">
        <v>3.8353000000000002</v>
      </c>
      <c r="F347">
        <v>4771802.47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-7.2151763828199766E-2</v>
      </c>
      <c r="Q347">
        <f t="shared" si="970"/>
        <v>-344293.96485026029</v>
      </c>
      <c r="R347">
        <f t="shared" si="971"/>
        <v>-29344152.133398414</v>
      </c>
      <c r="S347">
        <f t="shared" si="972"/>
        <v>-293.44152133398416</v>
      </c>
      <c r="T347">
        <f t="shared" si="973"/>
        <v>-0.29344152133398416</v>
      </c>
    </row>
    <row r="348" spans="1:20" x14ac:dyDescent="0.25">
      <c r="A348" s="5">
        <v>44245</v>
      </c>
      <c r="B348">
        <v>4.1597</v>
      </c>
      <c r="C348">
        <v>5.5</v>
      </c>
      <c r="D348">
        <v>3.2549999999999999</v>
      </c>
      <c r="E348">
        <v>3.6442999999999999</v>
      </c>
      <c r="F348">
        <v>16483611.449999999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-0.65318485523385306</v>
      </c>
      <c r="Q348">
        <f t="shared" si="970"/>
        <v>-10766845.358699333</v>
      </c>
      <c r="R348">
        <f t="shared" si="971"/>
        <v>-28999858.168548152</v>
      </c>
      <c r="S348">
        <f t="shared" si="972"/>
        <v>-289.9985816854815</v>
      </c>
      <c r="T348">
        <f t="shared" si="973"/>
        <v>-0.28999858168548148</v>
      </c>
    </row>
    <row r="349" spans="1:20" x14ac:dyDescent="0.25">
      <c r="A349" s="5">
        <v>44244</v>
      </c>
      <c r="B349">
        <v>2.4493999999999998</v>
      </c>
      <c r="C349">
        <v>7.82</v>
      </c>
      <c r="D349">
        <v>2.09</v>
      </c>
      <c r="E349">
        <v>4.1597</v>
      </c>
      <c r="F349">
        <v>41013244.93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-0.27759162303664925</v>
      </c>
      <c r="Q349">
        <f t="shared" si="970"/>
        <v>-11384933.226118326</v>
      </c>
      <c r="R349">
        <f t="shared" si="971"/>
        <v>-18233012.809848819</v>
      </c>
      <c r="S349">
        <f t="shared" si="972"/>
        <v>-182.33012809848819</v>
      </c>
      <c r="T349">
        <f t="shared" si="973"/>
        <v>-0.1823301280984882</v>
      </c>
    </row>
    <row r="350" spans="1:20" x14ac:dyDescent="0.25">
      <c r="A350" s="5">
        <v>44243</v>
      </c>
      <c r="B350">
        <v>1.1928000000000001</v>
      </c>
      <c r="C350">
        <v>2.6297000000000001</v>
      </c>
      <c r="D350">
        <v>1.1200000000000001</v>
      </c>
      <c r="E350">
        <v>2.42</v>
      </c>
      <c r="F350">
        <v>3820010.65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0.72219646287341832</v>
      </c>
      <c r="Q350">
        <f t="shared" si="970"/>
        <v>2758798.1795687876</v>
      </c>
      <c r="R350">
        <f t="shared" si="971"/>
        <v>-6848079.5837304927</v>
      </c>
      <c r="S350">
        <f t="shared" si="972"/>
        <v>-68.480795837304925</v>
      </c>
      <c r="T350">
        <f t="shared" si="973"/>
        <v>-6.8480795837304931E-2</v>
      </c>
    </row>
    <row r="351" spans="1:20" x14ac:dyDescent="0.25">
      <c r="A351" s="5">
        <v>44242</v>
      </c>
      <c r="B351">
        <v>1.3190999999999999</v>
      </c>
      <c r="C351">
        <v>1.3374999999999999</v>
      </c>
      <c r="D351">
        <v>1.1111</v>
      </c>
      <c r="E351">
        <v>1.1928000000000001</v>
      </c>
      <c r="F351">
        <v>1148781.97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-0.27826855123674799</v>
      </c>
      <c r="Q351">
        <f t="shared" si="970"/>
        <v>-319669.89447879727</v>
      </c>
      <c r="R351">
        <f t="shared" si="971"/>
        <v>-9606877.7632992808</v>
      </c>
      <c r="S351">
        <f t="shared" si="972"/>
        <v>-96.068777632992806</v>
      </c>
      <c r="T351">
        <f t="shared" si="973"/>
        <v>-9.6068777632992805E-2</v>
      </c>
    </row>
    <row r="352" spans="1:20" x14ac:dyDescent="0.25">
      <c r="A352" s="5">
        <v>44241</v>
      </c>
      <c r="B352">
        <v>1.2848999999999999</v>
      </c>
      <c r="C352">
        <v>1.4376</v>
      </c>
      <c r="D352">
        <v>1.1968000000000001</v>
      </c>
      <c r="E352">
        <v>1.3191999999999999</v>
      </c>
      <c r="F352">
        <v>1061772.1599999999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1.6611295681062222E-2</v>
      </c>
      <c r="Q352">
        <f t="shared" si="970"/>
        <v>17637.411295680104</v>
      </c>
      <c r="R352">
        <f t="shared" si="971"/>
        <v>-9287207.8688204829</v>
      </c>
      <c r="S352">
        <f t="shared" si="972"/>
        <v>-92.872078688204823</v>
      </c>
      <c r="T352">
        <f t="shared" si="973"/>
        <v>-9.2872078688204823E-2</v>
      </c>
    </row>
    <row r="353" spans="1:20" x14ac:dyDescent="0.25">
      <c r="A353" s="5">
        <v>44240</v>
      </c>
      <c r="B353">
        <v>1.1944999999999999</v>
      </c>
      <c r="C353">
        <v>1.49</v>
      </c>
      <c r="D353">
        <v>1.1066</v>
      </c>
      <c r="E353">
        <v>1.2918000000000001</v>
      </c>
      <c r="F353">
        <v>1741440.33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-3.3907146583202666E-2</v>
      </c>
      <c r="Q353">
        <f t="shared" si="970"/>
        <v>-59047.272535210825</v>
      </c>
      <c r="R353">
        <f t="shared" si="971"/>
        <v>-9304845.2801161632</v>
      </c>
      <c r="S353">
        <f t="shared" si="972"/>
        <v>-93.048452801161631</v>
      </c>
      <c r="T353">
        <f t="shared" si="973"/>
        <v>-9.3048452801161627E-2</v>
      </c>
    </row>
    <row r="354" spans="1:20" x14ac:dyDescent="0.25">
      <c r="A354" s="5">
        <v>44239</v>
      </c>
      <c r="B354">
        <v>1.0243</v>
      </c>
      <c r="C354">
        <v>1.25</v>
      </c>
      <c r="D354">
        <v>1.0049999999999999</v>
      </c>
      <c r="E354">
        <v>1.1865000000000001</v>
      </c>
      <c r="F354">
        <v>1391795.26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0.4816326530612256</v>
      </c>
      <c r="Q354">
        <f t="shared" si="970"/>
        <v>670334.04359183833</v>
      </c>
      <c r="R354">
        <f t="shared" si="971"/>
        <v>-9245798.0075809527</v>
      </c>
      <c r="S354">
        <f t="shared" si="972"/>
        <v>-92.45798007580953</v>
      </c>
      <c r="T354">
        <f t="shared" si="973"/>
        <v>-9.2457980075809534E-2</v>
      </c>
    </row>
    <row r="355" spans="1:20" x14ac:dyDescent="0.25">
      <c r="A355" s="5">
        <v>44238</v>
      </c>
      <c r="B355">
        <v>1.0051000000000001</v>
      </c>
      <c r="C355">
        <v>1.1399999999999999</v>
      </c>
      <c r="D355">
        <v>0.98</v>
      </c>
      <c r="E355">
        <v>1.024</v>
      </c>
      <c r="F355">
        <v>1232690.69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-0.44999999999999923</v>
      </c>
      <c r="Q355">
        <f t="shared" si="970"/>
        <v>-554710.81049999897</v>
      </c>
      <c r="R355">
        <f t="shared" si="971"/>
        <v>-9916132.051172791</v>
      </c>
      <c r="S355">
        <f t="shared" si="972"/>
        <v>-99.161320511727908</v>
      </c>
      <c r="T355">
        <f t="shared" si="973"/>
        <v>-9.9161320511727907E-2</v>
      </c>
    </row>
    <row r="356" spans="1:20" x14ac:dyDescent="0.25">
      <c r="A356" s="5">
        <v>44237</v>
      </c>
      <c r="B356">
        <v>1.0952</v>
      </c>
      <c r="C356">
        <v>1.3401000000000001</v>
      </c>
      <c r="D356">
        <v>0.88</v>
      </c>
      <c r="E356">
        <v>1.0051000000000001</v>
      </c>
      <c r="F356">
        <v>2426653.2000000002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-0.45620517278852385</v>
      </c>
      <c r="Q356">
        <f t="shared" si="970"/>
        <v>-1107051.7424038243</v>
      </c>
      <c r="R356">
        <f t="shared" si="971"/>
        <v>-9361421.2406727914</v>
      </c>
      <c r="S356">
        <f t="shared" si="972"/>
        <v>-93.614212406727916</v>
      </c>
      <c r="T356">
        <f t="shared" si="973"/>
        <v>-9.3614212406727917E-2</v>
      </c>
    </row>
    <row r="357" spans="1:20" x14ac:dyDescent="0.25">
      <c r="A357" s="5">
        <v>44236</v>
      </c>
      <c r="B357">
        <v>0.85460000000000003</v>
      </c>
      <c r="C357">
        <v>1.25</v>
      </c>
      <c r="D357">
        <v>0.84350000000000003</v>
      </c>
      <c r="E357">
        <v>1.0958000000000001</v>
      </c>
      <c r="F357">
        <v>2312917.15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0.24132841328413332</v>
      </c>
      <c r="Q357">
        <f t="shared" si="970"/>
        <v>558172.6258671598</v>
      </c>
      <c r="R357">
        <f t="shared" si="971"/>
        <v>-8254369.4982689675</v>
      </c>
      <c r="S357">
        <f t="shared" si="972"/>
        <v>-82.543694982689672</v>
      </c>
      <c r="T357">
        <f t="shared" si="973"/>
        <v>-8.2543694982689667E-2</v>
      </c>
    </row>
    <row r="358" spans="1:20" x14ac:dyDescent="0.25">
      <c r="A358" s="5">
        <v>44235</v>
      </c>
      <c r="B358">
        <v>0.76249999999999996</v>
      </c>
      <c r="C358">
        <v>0.88200000000000001</v>
      </c>
      <c r="D358">
        <v>0.747</v>
      </c>
      <c r="E358">
        <v>0.85440000000000005</v>
      </c>
      <c r="F358">
        <v>1066484.02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0.59111111111111181</v>
      </c>
      <c r="Q358">
        <f t="shared" si="970"/>
        <v>630410.55404444516</v>
      </c>
      <c r="R358">
        <f t="shared" si="971"/>
        <v>-8812542.1241361275</v>
      </c>
      <c r="S358">
        <f t="shared" si="972"/>
        <v>-88.125421241361281</v>
      </c>
      <c r="T358">
        <f t="shared" si="973"/>
        <v>-8.8125421241361274E-2</v>
      </c>
    </row>
    <row r="359" spans="1:20" x14ac:dyDescent="0.25">
      <c r="A359" s="5">
        <v>44234</v>
      </c>
      <c r="B359">
        <v>0.8175</v>
      </c>
      <c r="C359">
        <v>0.82630000000000003</v>
      </c>
      <c r="D359">
        <v>0.72409999999999997</v>
      </c>
      <c r="E359">
        <v>0.76249999999999996</v>
      </c>
      <c r="F359">
        <v>1217271.6499999999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-0.24853228962818075</v>
      </c>
      <c r="Q359">
        <f t="shared" si="970"/>
        <v>-302531.31027397345</v>
      </c>
      <c r="R359">
        <f t="shared" si="971"/>
        <v>-9442952.6781805735</v>
      </c>
      <c r="S359">
        <f t="shared" si="972"/>
        <v>-94.429526781805734</v>
      </c>
      <c r="T359">
        <f t="shared" si="973"/>
        <v>-9.4429526781805731E-2</v>
      </c>
    </row>
    <row r="360" spans="1:20" x14ac:dyDescent="0.25">
      <c r="A360" s="5">
        <v>44233</v>
      </c>
      <c r="B360">
        <v>0.81579999999999997</v>
      </c>
      <c r="C360">
        <v>0.92</v>
      </c>
      <c r="D360">
        <v>0.77370000000000005</v>
      </c>
      <c r="E360">
        <v>0.81659999999999999</v>
      </c>
      <c r="F360">
        <v>1376040.11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-0.41353383458646698</v>
      </c>
      <c r="Q360">
        <f t="shared" si="970"/>
        <v>-569039.14323308389</v>
      </c>
      <c r="R360">
        <f t="shared" si="971"/>
        <v>-9140421.3679066002</v>
      </c>
      <c r="S360">
        <f t="shared" si="972"/>
        <v>-91.404213679066004</v>
      </c>
      <c r="T360">
        <f t="shared" si="973"/>
        <v>-9.140421367906601E-2</v>
      </c>
    </row>
    <row r="361" spans="1:20" x14ac:dyDescent="0.25">
      <c r="A361" s="5">
        <v>44232</v>
      </c>
      <c r="B361">
        <v>0.69099999999999995</v>
      </c>
      <c r="C361">
        <v>0.83450000000000002</v>
      </c>
      <c r="D361">
        <v>0.69099999999999995</v>
      </c>
      <c r="E361">
        <v>0.81610000000000005</v>
      </c>
      <c r="F361">
        <v>1106047.58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0.7435540069686416</v>
      </c>
      <c r="Q361">
        <f t="shared" si="970"/>
        <v>822406.11000696919</v>
      </c>
      <c r="R361">
        <f t="shared" si="971"/>
        <v>-8571382.224673517</v>
      </c>
      <c r="S361">
        <f t="shared" si="972"/>
        <v>-85.713822246735177</v>
      </c>
      <c r="T361">
        <f t="shared" si="973"/>
        <v>-8.5713822246735183E-2</v>
      </c>
    </row>
    <row r="362" spans="1:20" x14ac:dyDescent="0.25">
      <c r="A362" s="5">
        <v>44231</v>
      </c>
      <c r="B362">
        <v>0.7389</v>
      </c>
      <c r="C362">
        <v>0.79859999999999998</v>
      </c>
      <c r="D362">
        <v>0.6865</v>
      </c>
      <c r="E362">
        <v>0.69089999999999996</v>
      </c>
      <c r="F362">
        <v>1481644.09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-0.92149866190901053</v>
      </c>
      <c r="Q362">
        <f t="shared" si="970"/>
        <v>-1365333.0463603938</v>
      </c>
      <c r="R362">
        <f t="shared" si="971"/>
        <v>-9393788.3346804865</v>
      </c>
      <c r="S362">
        <f t="shared" si="972"/>
        <v>-93.937883346804867</v>
      </c>
      <c r="T362">
        <f t="shared" si="973"/>
        <v>-9.3937883346804862E-2</v>
      </c>
    </row>
    <row r="363" spans="1:20" x14ac:dyDescent="0.25">
      <c r="A363" s="5">
        <v>44230</v>
      </c>
      <c r="B363">
        <v>0.71340000000000003</v>
      </c>
      <c r="C363">
        <v>0.75890000000000002</v>
      </c>
      <c r="D363">
        <v>0.69020000000000004</v>
      </c>
      <c r="E363">
        <v>0.73829999999999996</v>
      </c>
      <c r="F363">
        <v>791997.64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0.40029112081513629</v>
      </c>
      <c r="Q363">
        <f t="shared" si="970"/>
        <v>317029.62299854285</v>
      </c>
      <c r="R363">
        <f t="shared" si="971"/>
        <v>-8028455.2883200925</v>
      </c>
      <c r="S363">
        <f t="shared" si="972"/>
        <v>-80.284552883200931</v>
      </c>
      <c r="T363">
        <f t="shared" si="973"/>
        <v>-8.0284552883200924E-2</v>
      </c>
    </row>
    <row r="364" spans="1:20" x14ac:dyDescent="0.25">
      <c r="A364" s="5">
        <v>44229</v>
      </c>
      <c r="B364">
        <v>0.69550000000000001</v>
      </c>
      <c r="C364">
        <v>0.76129999999999998</v>
      </c>
      <c r="D364">
        <v>0.69299999999999995</v>
      </c>
      <c r="E364">
        <v>0.71319999999999995</v>
      </c>
      <c r="F364">
        <v>875546.44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-0.40849194729136201</v>
      </c>
      <c r="Q364">
        <f t="shared" si="970"/>
        <v>-357653.67021961964</v>
      </c>
      <c r="R364">
        <f t="shared" si="971"/>
        <v>-8345484.9113186356</v>
      </c>
      <c r="S364">
        <f t="shared" si="972"/>
        <v>-83.454849113186356</v>
      </c>
      <c r="T364">
        <f t="shared" si="973"/>
        <v>-8.3454849113186361E-2</v>
      </c>
    </row>
    <row r="365" spans="1:20" x14ac:dyDescent="0.25">
      <c r="A365" s="5">
        <v>44228</v>
      </c>
      <c r="B365">
        <v>0.71089999999999998</v>
      </c>
      <c r="C365">
        <v>0.77390000000000003</v>
      </c>
      <c r="D365">
        <v>0.66910000000000003</v>
      </c>
      <c r="E365">
        <v>0.69520000000000004</v>
      </c>
      <c r="F365">
        <v>1130897.6100000001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-0.50190839694656464</v>
      </c>
      <c r="Q365">
        <f t="shared" si="970"/>
        <v>-567607.0065458013</v>
      </c>
      <c r="R365">
        <f t="shared" si="971"/>
        <v>-7987831.2410990158</v>
      </c>
      <c r="S365">
        <f t="shared" si="972"/>
        <v>-79.878312410990162</v>
      </c>
      <c r="T365">
        <f t="shared" si="973"/>
        <v>-7.9878312410990165E-2</v>
      </c>
    </row>
    <row r="366" spans="1:20" x14ac:dyDescent="0.25">
      <c r="A366" s="5">
        <v>44227</v>
      </c>
      <c r="B366">
        <v>0.68</v>
      </c>
      <c r="C366">
        <v>0.75860000000000005</v>
      </c>
      <c r="D366">
        <v>0.65269999999999995</v>
      </c>
      <c r="E366">
        <v>0.71099999999999997</v>
      </c>
      <c r="F366">
        <v>1096067.19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0.10103871576959321</v>
      </c>
      <c r="Q366">
        <f t="shared" si="970"/>
        <v>110745.22127478672</v>
      </c>
      <c r="R366">
        <f t="shared" si="971"/>
        <v>-7420224.2345532142</v>
      </c>
      <c r="S366">
        <f t="shared" si="972"/>
        <v>-74.202242345532142</v>
      </c>
      <c r="T366">
        <f t="shared" si="973"/>
        <v>-7.4202242345532146E-2</v>
      </c>
    </row>
    <row r="367" spans="1:20" x14ac:dyDescent="0.25">
      <c r="A367" s="5">
        <v>44226</v>
      </c>
      <c r="B367">
        <v>0.69799999999999995</v>
      </c>
      <c r="C367">
        <v>0.7157</v>
      </c>
      <c r="D367">
        <v>0.67989999999999995</v>
      </c>
      <c r="E367">
        <v>0.6804</v>
      </c>
      <c r="F367">
        <v>511586.55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-0.97206703910614212</v>
      </c>
      <c r="Q367">
        <f t="shared" si="970"/>
        <v>-497296.42290502629</v>
      </c>
      <c r="R367">
        <f t="shared" si="971"/>
        <v>-7530969.4558280008</v>
      </c>
      <c r="S367">
        <f t="shared" si="972"/>
        <v>-75.309694558280015</v>
      </c>
      <c r="T367">
        <f t="shared" si="973"/>
        <v>-7.5309694558280016E-2</v>
      </c>
    </row>
    <row r="368" spans="1:20" x14ac:dyDescent="0.25">
      <c r="A368" s="5">
        <v>44225</v>
      </c>
      <c r="B368">
        <v>0.71030000000000004</v>
      </c>
      <c r="C368">
        <v>0.71550000000000002</v>
      </c>
      <c r="D368">
        <v>0.64739999999999998</v>
      </c>
      <c r="E368">
        <v>0.69830000000000003</v>
      </c>
      <c r="F368">
        <v>896414.14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0.49486049926578618</v>
      </c>
      <c r="Q368">
        <f t="shared" si="970"/>
        <v>443599.94886931038</v>
      </c>
      <c r="R368">
        <f t="shared" si="971"/>
        <v>-7033673.0329229748</v>
      </c>
      <c r="S368">
        <f t="shared" si="972"/>
        <v>-70.336730329229752</v>
      </c>
      <c r="T368">
        <f t="shared" si="973"/>
        <v>-7.0336730329229755E-2</v>
      </c>
    </row>
    <row r="369" spans="1:20" x14ac:dyDescent="0.25">
      <c r="A369" s="5">
        <v>44224</v>
      </c>
      <c r="B369">
        <v>0.59409999999999996</v>
      </c>
      <c r="C369">
        <v>0.73609999999999998</v>
      </c>
      <c r="D369">
        <v>0.58879999999999999</v>
      </c>
      <c r="E369">
        <v>0.71030000000000004</v>
      </c>
      <c r="F369">
        <v>1008654.16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0.64969450101833082</v>
      </c>
      <c r="Q369">
        <f t="shared" si="970"/>
        <v>655317.06118126365</v>
      </c>
      <c r="R369">
        <f t="shared" si="971"/>
        <v>-7477272.9817922851</v>
      </c>
      <c r="S369">
        <f t="shared" si="972"/>
        <v>-74.772729817922851</v>
      </c>
      <c r="T369">
        <f t="shared" si="973"/>
        <v>-7.4772729817922851E-2</v>
      </c>
    </row>
    <row r="370" spans="1:20" x14ac:dyDescent="0.25">
      <c r="A370" s="5">
        <v>44223</v>
      </c>
      <c r="B370">
        <v>0.61680000000000001</v>
      </c>
      <c r="C370">
        <v>0.65</v>
      </c>
      <c r="D370">
        <v>0.55500000000000005</v>
      </c>
      <c r="E370">
        <v>0.59379999999999999</v>
      </c>
      <c r="F370">
        <v>787605.83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-0.18315789473684302</v>
      </c>
      <c r="Q370">
        <f t="shared" si="970"/>
        <v>-144256.22570526387</v>
      </c>
      <c r="R370">
        <f t="shared" si="971"/>
        <v>-8132590.0429735491</v>
      </c>
      <c r="S370">
        <f t="shared" si="972"/>
        <v>-81.325900429735498</v>
      </c>
      <c r="T370">
        <f t="shared" si="973"/>
        <v>-8.1325900429735504E-2</v>
      </c>
    </row>
    <row r="371" spans="1:20" x14ac:dyDescent="0.25">
      <c r="A371" s="5">
        <v>44222</v>
      </c>
      <c r="B371">
        <v>0.69389999999999996</v>
      </c>
      <c r="C371">
        <v>0.748</v>
      </c>
      <c r="D371">
        <v>0.56759999999999999</v>
      </c>
      <c r="E371">
        <v>0.61719999999999997</v>
      </c>
      <c r="F371">
        <v>1348039.96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-0.45011086474501133</v>
      </c>
      <c r="Q371">
        <f t="shared" si="970"/>
        <v>-606767.43210643041</v>
      </c>
      <c r="R371">
        <f t="shared" si="971"/>
        <v>-7988333.817268285</v>
      </c>
      <c r="S371">
        <f t="shared" si="972"/>
        <v>-79.883338172682855</v>
      </c>
      <c r="T371">
        <f t="shared" si="973"/>
        <v>-7.9883338172682852E-2</v>
      </c>
    </row>
    <row r="372" spans="1:20" x14ac:dyDescent="0.25">
      <c r="A372" s="5">
        <v>44221</v>
      </c>
      <c r="B372">
        <v>0.76919999999999999</v>
      </c>
      <c r="C372">
        <v>0.79200000000000004</v>
      </c>
      <c r="D372">
        <v>0.67059999999999997</v>
      </c>
      <c r="E372">
        <v>0.69430000000000003</v>
      </c>
      <c r="F372">
        <v>1080344.8400000001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-0.60955518945634202</v>
      </c>
      <c r="Q372">
        <f t="shared" si="970"/>
        <v>-658529.80362438154</v>
      </c>
      <c r="R372">
        <f t="shared" si="971"/>
        <v>-7381566.3851618543</v>
      </c>
      <c r="S372">
        <f t="shared" si="972"/>
        <v>-73.815663851618538</v>
      </c>
      <c r="T372">
        <f t="shared" si="973"/>
        <v>-7.3815663851618543E-2</v>
      </c>
    </row>
    <row r="373" spans="1:20" x14ac:dyDescent="0.25">
      <c r="A373" s="5">
        <v>44220</v>
      </c>
      <c r="B373">
        <v>0.65720000000000001</v>
      </c>
      <c r="C373">
        <v>0.78239999999999998</v>
      </c>
      <c r="D373">
        <v>0.64180000000000004</v>
      </c>
      <c r="E373">
        <v>0.77080000000000004</v>
      </c>
      <c r="F373">
        <v>1092989.3999999999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0.83499288762446733</v>
      </c>
      <c r="Q373">
        <f t="shared" si="970"/>
        <v>912638.37524893391</v>
      </c>
      <c r="R373">
        <f t="shared" si="971"/>
        <v>-6723036.581537473</v>
      </c>
      <c r="S373">
        <f t="shared" si="972"/>
        <v>-67.230365815374725</v>
      </c>
      <c r="T373">
        <f t="shared" si="973"/>
        <v>-6.7230365815374726E-2</v>
      </c>
    </row>
    <row r="374" spans="1:20" x14ac:dyDescent="0.25">
      <c r="A374" s="5">
        <v>44219</v>
      </c>
      <c r="B374">
        <v>0.64590000000000003</v>
      </c>
      <c r="C374">
        <v>0.67190000000000005</v>
      </c>
      <c r="D374">
        <v>0.63519999999999999</v>
      </c>
      <c r="E374">
        <v>0.65749999999999997</v>
      </c>
      <c r="F374">
        <v>487388.46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0.21525885558582813</v>
      </c>
      <c r="Q374">
        <f t="shared" si="970"/>
        <v>104914.68212533918</v>
      </c>
      <c r="R374">
        <f t="shared" si="971"/>
        <v>-7635674.9567864072</v>
      </c>
      <c r="S374">
        <f t="shared" si="972"/>
        <v>-76.356749567864071</v>
      </c>
      <c r="T374">
        <f t="shared" si="973"/>
        <v>-7.6356749567864077E-2</v>
      </c>
    </row>
    <row r="375" spans="1:20" x14ac:dyDescent="0.25">
      <c r="A375" s="5">
        <v>44218</v>
      </c>
      <c r="B375">
        <v>0.67869999999999997</v>
      </c>
      <c r="C375">
        <v>0.68279999999999996</v>
      </c>
      <c r="D375">
        <v>0.56830000000000003</v>
      </c>
      <c r="E375">
        <v>0.64570000000000005</v>
      </c>
      <c r="F375">
        <v>939153.23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0.35196506550218459</v>
      </c>
      <c r="Q375">
        <f t="shared" si="970"/>
        <v>330549.1281135382</v>
      </c>
      <c r="R375">
        <f t="shared" si="971"/>
        <v>-7740589.6389117464</v>
      </c>
      <c r="S375">
        <f t="shared" si="972"/>
        <v>-77.405896389117459</v>
      </c>
      <c r="T375">
        <f t="shared" si="973"/>
        <v>-7.7405896389117462E-2</v>
      </c>
    </row>
    <row r="376" spans="1:20" x14ac:dyDescent="0.25">
      <c r="A376" s="5">
        <v>44217</v>
      </c>
      <c r="B376">
        <v>0.63470000000000004</v>
      </c>
      <c r="C376">
        <v>0.70440000000000003</v>
      </c>
      <c r="D376">
        <v>0.59350000000000003</v>
      </c>
      <c r="E376">
        <v>0.67869999999999997</v>
      </c>
      <c r="F376">
        <v>957648.05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0.53651938683498546</v>
      </c>
      <c r="Q376">
        <f t="shared" si="970"/>
        <v>513796.74458971951</v>
      </c>
      <c r="R376">
        <f t="shared" si="971"/>
        <v>-8071138.7670252845</v>
      </c>
      <c r="S376">
        <f t="shared" si="972"/>
        <v>-80.711387670252847</v>
      </c>
      <c r="T376">
        <f t="shared" si="973"/>
        <v>-8.0711387670252849E-2</v>
      </c>
    </row>
    <row r="377" spans="1:20" x14ac:dyDescent="0.25">
      <c r="A377" s="5">
        <v>44216</v>
      </c>
      <c r="B377">
        <v>0.66469999999999996</v>
      </c>
      <c r="C377">
        <v>0.68630000000000002</v>
      </c>
      <c r="D377">
        <v>0.56799999999999995</v>
      </c>
      <c r="E377">
        <v>0.63439999999999996</v>
      </c>
      <c r="F377">
        <v>1183031.3500000001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0.1225697379543529</v>
      </c>
      <c r="Q377">
        <f t="shared" si="970"/>
        <v>145003.84256128437</v>
      </c>
      <c r="R377">
        <f t="shared" si="971"/>
        <v>-8584935.5116150044</v>
      </c>
      <c r="S377">
        <f t="shared" si="972"/>
        <v>-85.849355116150051</v>
      </c>
      <c r="T377">
        <f t="shared" si="973"/>
        <v>-8.584935511615005E-2</v>
      </c>
    </row>
    <row r="378" spans="1:20" x14ac:dyDescent="0.25">
      <c r="A378" s="5">
        <v>44215</v>
      </c>
      <c r="B378">
        <v>0.628</v>
      </c>
      <c r="C378">
        <v>0.68</v>
      </c>
      <c r="D378">
        <v>0.58299999999999996</v>
      </c>
      <c r="E378">
        <v>0.66469999999999996</v>
      </c>
      <c r="F378">
        <v>1198240.58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0.68453608247422515</v>
      </c>
      <c r="Q378">
        <f t="shared" si="970"/>
        <v>820238.91249484348</v>
      </c>
      <c r="R378">
        <f t="shared" si="971"/>
        <v>-8729939.3541762885</v>
      </c>
      <c r="S378">
        <f t="shared" si="972"/>
        <v>-87.299393541762882</v>
      </c>
      <c r="T378">
        <f t="shared" si="973"/>
        <v>-8.7299393541762887E-2</v>
      </c>
    </row>
    <row r="379" spans="1:20" x14ac:dyDescent="0.25">
      <c r="A379" s="5">
        <v>44214</v>
      </c>
      <c r="B379">
        <v>0.51470000000000005</v>
      </c>
      <c r="C379">
        <v>0.64200000000000002</v>
      </c>
      <c r="D379">
        <v>0.51429999999999998</v>
      </c>
      <c r="E379">
        <v>0.62739999999999996</v>
      </c>
      <c r="F379">
        <v>1628595.03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0.77133907595927875</v>
      </c>
      <c r="Q379">
        <f t="shared" si="970"/>
        <v>1256198.9855520739</v>
      </c>
      <c r="R379">
        <f t="shared" si="971"/>
        <v>-9550178.2666711323</v>
      </c>
      <c r="S379">
        <f t="shared" si="972"/>
        <v>-95.501782666711321</v>
      </c>
      <c r="T379">
        <f t="shared" si="973"/>
        <v>-9.5501782666711318E-2</v>
      </c>
    </row>
    <row r="380" spans="1:20" x14ac:dyDescent="0.25">
      <c r="A380" s="5">
        <v>44213</v>
      </c>
      <c r="B380">
        <v>0.51</v>
      </c>
      <c r="C380">
        <v>0.53100000000000003</v>
      </c>
      <c r="D380">
        <v>0.4924</v>
      </c>
      <c r="E380">
        <v>0.51400000000000001</v>
      </c>
      <c r="F380">
        <v>428427.36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0.11917098445595829</v>
      </c>
      <c r="Q380">
        <f t="shared" si="970"/>
        <v>51056.110259067245</v>
      </c>
      <c r="R380">
        <f t="shared" si="971"/>
        <v>-10806377.252223207</v>
      </c>
      <c r="S380">
        <f t="shared" si="972"/>
        <v>-108.06377252223207</v>
      </c>
      <c r="T380">
        <f t="shared" si="973"/>
        <v>-0.10806377252223207</v>
      </c>
    </row>
    <row r="381" spans="1:20" x14ac:dyDescent="0.25">
      <c r="A381" s="5">
        <v>44212</v>
      </c>
      <c r="B381">
        <v>0.50209999999999999</v>
      </c>
      <c r="C381">
        <v>0.52500000000000002</v>
      </c>
      <c r="D381">
        <v>0.49519999999999997</v>
      </c>
      <c r="E381">
        <v>0.51</v>
      </c>
      <c r="F381">
        <v>659427.49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-6.7114093959724039E-3</v>
      </c>
      <c r="Q381">
        <f t="shared" si="970"/>
        <v>-4425.6878523484984</v>
      </c>
      <c r="R381">
        <f t="shared" si="971"/>
        <v>-10857433.362482274</v>
      </c>
      <c r="S381">
        <f t="shared" si="972"/>
        <v>-108.57433362482274</v>
      </c>
      <c r="T381">
        <f t="shared" si="973"/>
        <v>-0.10857433362482274</v>
      </c>
    </row>
    <row r="382" spans="1:20" x14ac:dyDescent="0.25">
      <c r="A382" s="5">
        <v>44211</v>
      </c>
      <c r="B382">
        <v>0.49890000000000001</v>
      </c>
      <c r="C382">
        <v>0.54469999999999996</v>
      </c>
      <c r="D382">
        <v>0.4476</v>
      </c>
      <c r="E382">
        <v>0.50309999999999999</v>
      </c>
      <c r="F382">
        <v>2126200.11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0.1431513903192588</v>
      </c>
      <c r="Q382">
        <f t="shared" si="970"/>
        <v>304368.50184346101</v>
      </c>
      <c r="R382">
        <f t="shared" si="971"/>
        <v>-10853007.674629925</v>
      </c>
      <c r="S382">
        <f t="shared" si="972"/>
        <v>-108.53007674629924</v>
      </c>
      <c r="T382">
        <f t="shared" si="973"/>
        <v>-0.10853007674629925</v>
      </c>
    </row>
    <row r="383" spans="1:20" x14ac:dyDescent="0.25">
      <c r="A383" s="5">
        <v>44210</v>
      </c>
      <c r="B383">
        <v>0.48620000000000002</v>
      </c>
      <c r="C383">
        <v>0.50470000000000004</v>
      </c>
      <c r="D383">
        <v>0.4476</v>
      </c>
      <c r="E383">
        <v>0.497</v>
      </c>
      <c r="F383">
        <v>969548.80000000005</v>
      </c>
      <c r="G383">
        <v>0</v>
      </c>
      <c r="L383" t="s">
        <v>7</v>
      </c>
      <c r="M383" t="s">
        <v>8</v>
      </c>
      <c r="N383" t="s">
        <v>8</v>
      </c>
      <c r="P383">
        <f t="shared" si="969"/>
        <v>0.73029772329246812</v>
      </c>
      <c r="Q383">
        <f t="shared" si="970"/>
        <v>708059.28126094455</v>
      </c>
      <c r="R383">
        <f t="shared" si="971"/>
        <v>-11157376.176473387</v>
      </c>
      <c r="S383">
        <f t="shared" si="972"/>
        <v>-111.57376176473386</v>
      </c>
      <c r="T383">
        <f t="shared" si="973"/>
        <v>-0.11157376176473385</v>
      </c>
    </row>
    <row r="384" spans="1:20" x14ac:dyDescent="0.25">
      <c r="A384" s="5">
        <v>44209</v>
      </c>
      <c r="B384">
        <v>0.4143</v>
      </c>
      <c r="C384">
        <v>0.503</v>
      </c>
      <c r="D384">
        <v>0.38009999999999999</v>
      </c>
      <c r="E384">
        <v>0.48599999999999999</v>
      </c>
      <c r="F384">
        <v>2595947.04</v>
      </c>
      <c r="G384">
        <v>0</v>
      </c>
      <c r="L384" t="s">
        <v>8</v>
      </c>
      <c r="M384" t="s">
        <v>7</v>
      </c>
      <c r="N384" t="s">
        <v>8</v>
      </c>
      <c r="P384">
        <f t="shared" si="969"/>
        <v>0.7233523189585026</v>
      </c>
      <c r="Q384">
        <f t="shared" si="970"/>
        <v>1877784.3112774608</v>
      </c>
      <c r="R384">
        <f t="shared" si="971"/>
        <v>-11865435.457734331</v>
      </c>
      <c r="S384">
        <f t="shared" si="972"/>
        <v>-118.65435457734331</v>
      </c>
      <c r="T384">
        <f t="shared" si="973"/>
        <v>-0.11865435457734332</v>
      </c>
    </row>
    <row r="385" spans="1:20" x14ac:dyDescent="0.25">
      <c r="A385" s="5">
        <v>44208</v>
      </c>
      <c r="B385">
        <v>0.31569999999999998</v>
      </c>
      <c r="C385">
        <v>0.48399999999999999</v>
      </c>
      <c r="D385">
        <v>0.30669999999999997</v>
      </c>
      <c r="E385">
        <v>0.4143</v>
      </c>
      <c r="F385">
        <v>3064115.44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0.21376198533558963</v>
      </c>
      <c r="Q385">
        <f t="shared" si="970"/>
        <v>654991.39975183376</v>
      </c>
      <c r="R385">
        <f t="shared" si="971"/>
        <v>-13743219.769011792</v>
      </c>
      <c r="S385">
        <f t="shared" si="972"/>
        <v>-137.43219769011793</v>
      </c>
      <c r="T385">
        <f t="shared" si="973"/>
        <v>-0.13743219769011794</v>
      </c>
    </row>
    <row r="386" spans="1:20" x14ac:dyDescent="0.25">
      <c r="A386" s="5">
        <v>44207</v>
      </c>
      <c r="B386">
        <v>0.34760000000000002</v>
      </c>
      <c r="C386">
        <v>0.3488</v>
      </c>
      <c r="D386">
        <v>0.28589999999999999</v>
      </c>
      <c r="E386">
        <v>0.31569999999999998</v>
      </c>
      <c r="F386">
        <v>1139998.92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-5.2464228934817558E-2</v>
      </c>
      <c r="Q386">
        <f t="shared" si="970"/>
        <v>-59809.16432432476</v>
      </c>
      <c r="R386">
        <f t="shared" si="971"/>
        <v>-14398211.168763626</v>
      </c>
      <c r="S386">
        <f t="shared" si="972"/>
        <v>-143.98211168763626</v>
      </c>
      <c r="T386">
        <f t="shared" si="973"/>
        <v>-0.14398211168763625</v>
      </c>
    </row>
    <row r="387" spans="1:20" x14ac:dyDescent="0.25">
      <c r="A387" s="5">
        <v>44206</v>
      </c>
      <c r="B387">
        <v>0.36499999999999999</v>
      </c>
      <c r="C387">
        <v>0.37959999999999999</v>
      </c>
      <c r="D387">
        <v>0.3397</v>
      </c>
      <c r="E387">
        <v>0.34820000000000001</v>
      </c>
      <c r="F387">
        <v>645685.26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-0.57393483709273141</v>
      </c>
      <c r="Q387">
        <f t="shared" si="970"/>
        <v>-370581.26451127796</v>
      </c>
      <c r="R387">
        <f t="shared" si="971"/>
        <v>-14338402.004439302</v>
      </c>
      <c r="S387">
        <f t="shared" si="972"/>
        <v>-143.38402004439303</v>
      </c>
      <c r="T387">
        <f t="shared" si="973"/>
        <v>-0.14338402004439302</v>
      </c>
    </row>
    <row r="388" spans="1:20" x14ac:dyDescent="0.25">
      <c r="A388" s="5">
        <v>44205</v>
      </c>
      <c r="B388">
        <v>0.36959999999999998</v>
      </c>
      <c r="C388">
        <v>0.3881</v>
      </c>
      <c r="D388">
        <v>0.34289999999999998</v>
      </c>
      <c r="E388">
        <v>0.36480000000000001</v>
      </c>
      <c r="F388">
        <v>1130520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-3.097345132743266E-2</v>
      </c>
      <c r="Q388">
        <f t="shared" si="970"/>
        <v>-35016.106194689171</v>
      </c>
      <c r="R388">
        <f t="shared" si="971"/>
        <v>-13967820.739928024</v>
      </c>
      <c r="S388">
        <f t="shared" si="972"/>
        <v>-139.67820739928024</v>
      </c>
      <c r="T388">
        <f t="shared" si="973"/>
        <v>-0.13967820739928025</v>
      </c>
    </row>
    <row r="389" spans="1:20" x14ac:dyDescent="0.25">
      <c r="A389" s="5">
        <v>44204</v>
      </c>
      <c r="B389">
        <v>0.33210000000000001</v>
      </c>
      <c r="C389">
        <v>0.41830000000000001</v>
      </c>
      <c r="D389">
        <v>0.311</v>
      </c>
      <c r="E389">
        <v>0.36520000000000002</v>
      </c>
      <c r="F389">
        <v>2089920.37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1.0251630941286536E-2</v>
      </c>
      <c r="Q389">
        <f t="shared" si="970"/>
        <v>21425.092329917006</v>
      </c>
      <c r="R389">
        <f t="shared" si="971"/>
        <v>-13932804.633733334</v>
      </c>
      <c r="S389">
        <f t="shared" si="972"/>
        <v>-139.32804633733335</v>
      </c>
      <c r="T389">
        <f t="shared" si="973"/>
        <v>-0.13932804633733334</v>
      </c>
    </row>
    <row r="390" spans="1:20" x14ac:dyDescent="0.25">
      <c r="A390" s="5">
        <v>44203</v>
      </c>
      <c r="B390">
        <v>0.32300000000000001</v>
      </c>
      <c r="C390">
        <v>0.34960000000000002</v>
      </c>
      <c r="D390">
        <v>0.30990000000000001</v>
      </c>
      <c r="E390">
        <v>0.33210000000000001</v>
      </c>
      <c r="F390">
        <v>1430772.66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0.11838790931989875</v>
      </c>
      <c r="Q390">
        <f t="shared" ref="Q390:Q453" si="975">F390*P390</f>
        <v>169386.18392947031</v>
      </c>
      <c r="R390">
        <f t="shared" ref="R390:R453" si="976">R391+Q390</f>
        <v>-13954229.726063251</v>
      </c>
      <c r="S390">
        <f t="shared" ref="S390:S453" si="977">R390/100000</f>
        <v>-139.54229726063252</v>
      </c>
      <c r="T390">
        <f t="shared" ref="T390:T453" si="978">S390/1000</f>
        <v>-0.13954229726063253</v>
      </c>
    </row>
    <row r="391" spans="1:20" x14ac:dyDescent="0.25">
      <c r="A391" s="5">
        <v>44202</v>
      </c>
      <c r="B391">
        <v>0.34599999999999997</v>
      </c>
      <c r="C391">
        <v>0.35299999999999998</v>
      </c>
      <c r="D391">
        <v>0.32029999999999997</v>
      </c>
      <c r="E391">
        <v>0.32300000000000001</v>
      </c>
      <c r="F391">
        <v>808722.65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-0.8348623853210988</v>
      </c>
      <c r="Q391">
        <f t="shared" si="975"/>
        <v>-675172.12064220011</v>
      </c>
      <c r="R391">
        <f t="shared" si="976"/>
        <v>-14123615.909992721</v>
      </c>
      <c r="S391">
        <f t="shared" si="977"/>
        <v>-141.23615909992722</v>
      </c>
      <c r="T391">
        <f t="shared" si="978"/>
        <v>-0.14123615909992723</v>
      </c>
    </row>
    <row r="392" spans="1:20" x14ac:dyDescent="0.25">
      <c r="A392" s="5">
        <v>44201</v>
      </c>
      <c r="B392">
        <v>0.35170000000000001</v>
      </c>
      <c r="C392">
        <v>0.35970000000000002</v>
      </c>
      <c r="D392">
        <v>0.32440000000000002</v>
      </c>
      <c r="E392">
        <v>0.34499999999999997</v>
      </c>
      <c r="F392">
        <v>751165.12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0.1671388101982976</v>
      </c>
      <c r="Q392">
        <f t="shared" si="975"/>
        <v>125548.84441926144</v>
      </c>
      <c r="R392">
        <f t="shared" si="976"/>
        <v>-13448443.789350521</v>
      </c>
      <c r="S392">
        <f t="shared" si="977"/>
        <v>-134.4844378935052</v>
      </c>
      <c r="T392">
        <f t="shared" si="978"/>
        <v>-0.1344844378935052</v>
      </c>
    </row>
    <row r="393" spans="1:20" x14ac:dyDescent="0.25">
      <c r="A393" s="5">
        <v>44200</v>
      </c>
      <c r="B393">
        <v>0.32350000000000001</v>
      </c>
      <c r="C393">
        <v>0.36599999999999999</v>
      </c>
      <c r="D393">
        <v>0.31059999999999999</v>
      </c>
      <c r="E393">
        <v>0.35160000000000002</v>
      </c>
      <c r="F393">
        <v>2050051.92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0.48014440433213113</v>
      </c>
      <c r="Q393">
        <f t="shared" si="975"/>
        <v>984320.95797834173</v>
      </c>
      <c r="R393">
        <f t="shared" si="976"/>
        <v>-13573992.633769782</v>
      </c>
      <c r="S393">
        <f t="shared" si="977"/>
        <v>-135.73992633769782</v>
      </c>
      <c r="T393">
        <f t="shared" si="978"/>
        <v>-0.13573992633769782</v>
      </c>
    </row>
    <row r="394" spans="1:20" x14ac:dyDescent="0.25">
      <c r="A394" s="5">
        <v>44199</v>
      </c>
      <c r="B394">
        <v>0.28270000000000001</v>
      </c>
      <c r="C394">
        <v>0.32900000000000001</v>
      </c>
      <c r="D394">
        <v>0.28070000000000001</v>
      </c>
      <c r="E394">
        <v>0.32319999999999999</v>
      </c>
      <c r="F394">
        <v>1767260.18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0.75983436853001962</v>
      </c>
      <c r="Q394">
        <f t="shared" si="975"/>
        <v>1342825.0228985487</v>
      </c>
      <c r="R394">
        <f t="shared" si="976"/>
        <v>-14558313.591748124</v>
      </c>
      <c r="S394">
        <f t="shared" si="977"/>
        <v>-145.58313591748123</v>
      </c>
      <c r="T394">
        <f t="shared" si="978"/>
        <v>-0.14558313591748123</v>
      </c>
    </row>
    <row r="395" spans="1:20" x14ac:dyDescent="0.25">
      <c r="A395" s="5">
        <v>44198</v>
      </c>
      <c r="B395">
        <v>0.27929999999999999</v>
      </c>
      <c r="C395">
        <v>0.30609999999999998</v>
      </c>
      <c r="D395">
        <v>0.27629999999999999</v>
      </c>
      <c r="E395">
        <v>0.28170000000000001</v>
      </c>
      <c r="F395">
        <v>985005.45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-0.63758389261744852</v>
      </c>
      <c r="Q395">
        <f t="shared" si="975"/>
        <v>-628023.60906040156</v>
      </c>
      <c r="R395">
        <f t="shared" si="976"/>
        <v>-15901138.614646673</v>
      </c>
      <c r="S395">
        <f t="shared" si="977"/>
        <v>-159.01138614646672</v>
      </c>
      <c r="T395">
        <f t="shared" si="978"/>
        <v>-0.15901138614646673</v>
      </c>
    </row>
    <row r="396" spans="1:20" x14ac:dyDescent="0.25">
      <c r="A396" s="5">
        <v>44197</v>
      </c>
      <c r="B396">
        <v>0.25650000000000001</v>
      </c>
      <c r="C396">
        <v>0.28299999999999997</v>
      </c>
      <c r="D396">
        <v>0.25509999999999999</v>
      </c>
      <c r="E396">
        <v>0.27900000000000003</v>
      </c>
      <c r="F396">
        <v>786035.01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0.71326164874552322</v>
      </c>
      <c r="Q396">
        <f t="shared" si="975"/>
        <v>560648.62720430386</v>
      </c>
      <c r="R396">
        <f t="shared" si="976"/>
        <v>-15273115.005586272</v>
      </c>
      <c r="S396">
        <f t="shared" si="977"/>
        <v>-152.73115005586271</v>
      </c>
      <c r="T396">
        <f t="shared" si="978"/>
        <v>-0.15273115005586271</v>
      </c>
    </row>
    <row r="397" spans="1:20" x14ac:dyDescent="0.25">
      <c r="A397" s="5">
        <v>44196</v>
      </c>
      <c r="B397">
        <v>0.25619999999999998</v>
      </c>
      <c r="C397">
        <v>0.25850000000000001</v>
      </c>
      <c r="D397">
        <v>0.25</v>
      </c>
      <c r="E397">
        <v>0.25659999999999999</v>
      </c>
      <c r="F397">
        <v>341111.83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0.5529411764705856</v>
      </c>
      <c r="Q397">
        <f t="shared" si="975"/>
        <v>188614.77658823441</v>
      </c>
      <c r="R397">
        <f t="shared" si="976"/>
        <v>-15833763.632790577</v>
      </c>
      <c r="S397">
        <f t="shared" si="977"/>
        <v>-158.33763632790576</v>
      </c>
      <c r="T397">
        <f t="shared" si="978"/>
        <v>-0.15833763632790576</v>
      </c>
    </row>
    <row r="398" spans="1:20" x14ac:dyDescent="0.25">
      <c r="A398" s="5">
        <v>44195</v>
      </c>
      <c r="B398">
        <v>0.26269999999999999</v>
      </c>
      <c r="C398">
        <v>0.26819999999999999</v>
      </c>
      <c r="D398">
        <v>0.25</v>
      </c>
      <c r="E398">
        <v>0.25600000000000001</v>
      </c>
      <c r="F398">
        <v>723210.54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-0.34065934065933984</v>
      </c>
      <c r="Q398">
        <f t="shared" si="975"/>
        <v>-246368.42571428514</v>
      </c>
      <c r="R398">
        <f t="shared" si="976"/>
        <v>-16022378.409378812</v>
      </c>
      <c r="S398">
        <f t="shared" si="977"/>
        <v>-160.22378409378811</v>
      </c>
      <c r="T398">
        <f t="shared" si="978"/>
        <v>-0.16022378409378812</v>
      </c>
    </row>
    <row r="399" spans="1:20" x14ac:dyDescent="0.25">
      <c r="A399" s="5">
        <v>44194</v>
      </c>
      <c r="B399">
        <v>0.29010000000000002</v>
      </c>
      <c r="C399">
        <v>0.30070000000000002</v>
      </c>
      <c r="D399">
        <v>0.248</v>
      </c>
      <c r="E399">
        <v>0.26250000000000001</v>
      </c>
      <c r="F399">
        <v>1217649.6499999999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-0.4497153700189751</v>
      </c>
      <c r="Q399">
        <f t="shared" si="975"/>
        <v>-547595.76290322549</v>
      </c>
      <c r="R399">
        <f t="shared" si="976"/>
        <v>-15776009.983664526</v>
      </c>
      <c r="S399">
        <f t="shared" si="977"/>
        <v>-157.76009983664525</v>
      </c>
      <c r="T399">
        <f t="shared" si="978"/>
        <v>-0.15776009983664524</v>
      </c>
    </row>
    <row r="400" spans="1:20" x14ac:dyDescent="0.25">
      <c r="A400" s="5">
        <v>44193</v>
      </c>
      <c r="B400">
        <v>0.27029999999999998</v>
      </c>
      <c r="C400">
        <v>0.315</v>
      </c>
      <c r="D400">
        <v>0.27029999999999998</v>
      </c>
      <c r="E400">
        <v>0.29060000000000002</v>
      </c>
      <c r="F400">
        <v>1325793.72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-9.172259507829833E-2</v>
      </c>
      <c r="Q400">
        <f t="shared" si="975"/>
        <v>-121605.24053691083</v>
      </c>
      <c r="R400">
        <f t="shared" si="976"/>
        <v>-15228414.220761301</v>
      </c>
      <c r="S400">
        <f t="shared" si="977"/>
        <v>-152.284142207613</v>
      </c>
      <c r="T400">
        <f t="shared" si="978"/>
        <v>-0.15228414220761299</v>
      </c>
    </row>
    <row r="401" spans="1:20" x14ac:dyDescent="0.25">
      <c r="A401" s="5">
        <v>44192</v>
      </c>
      <c r="B401">
        <v>0.27200000000000002</v>
      </c>
      <c r="C401">
        <v>0.28210000000000002</v>
      </c>
      <c r="D401">
        <v>0.26200000000000001</v>
      </c>
      <c r="E401">
        <v>0.27029999999999998</v>
      </c>
      <c r="F401">
        <v>570364.27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-0.17412935323383372</v>
      </c>
      <c r="Q401">
        <f t="shared" si="975"/>
        <v>-99317.161442787707</v>
      </c>
      <c r="R401">
        <f t="shared" si="976"/>
        <v>-15106808.98022439</v>
      </c>
      <c r="S401">
        <f t="shared" si="977"/>
        <v>-151.06808980224389</v>
      </c>
      <c r="T401">
        <f t="shared" si="978"/>
        <v>-0.1510680898022439</v>
      </c>
    </row>
    <row r="402" spans="1:20" x14ac:dyDescent="0.25">
      <c r="A402" s="5">
        <v>44191</v>
      </c>
      <c r="B402">
        <v>0.27550000000000002</v>
      </c>
      <c r="C402">
        <v>0.28989999999999999</v>
      </c>
      <c r="D402">
        <v>0.26729999999999998</v>
      </c>
      <c r="E402">
        <v>0.27379999999999999</v>
      </c>
      <c r="F402">
        <v>492376.47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-0.42477876106194662</v>
      </c>
      <c r="Q402">
        <f t="shared" si="975"/>
        <v>-209151.06690265471</v>
      </c>
      <c r="R402">
        <f t="shared" si="976"/>
        <v>-15007491.818781601</v>
      </c>
      <c r="S402">
        <f t="shared" si="977"/>
        <v>-150.07491818781602</v>
      </c>
      <c r="T402">
        <f t="shared" si="978"/>
        <v>-0.15007491818781601</v>
      </c>
    </row>
    <row r="403" spans="1:20" x14ac:dyDescent="0.25">
      <c r="A403" s="5">
        <v>44190</v>
      </c>
      <c r="B403">
        <v>0.28260000000000002</v>
      </c>
      <c r="C403">
        <v>0.30909999999999999</v>
      </c>
      <c r="D403">
        <v>0.26100000000000001</v>
      </c>
      <c r="E403">
        <v>0.27339999999999998</v>
      </c>
      <c r="F403">
        <v>1237913.3899999999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-0.48440748440748554</v>
      </c>
      <c r="Q403">
        <f t="shared" si="975"/>
        <v>-599654.51116424252</v>
      </c>
      <c r="R403">
        <f t="shared" si="976"/>
        <v>-14798340.751878947</v>
      </c>
      <c r="S403">
        <f t="shared" si="977"/>
        <v>-147.98340751878948</v>
      </c>
      <c r="T403">
        <f t="shared" si="978"/>
        <v>-0.14798340751878947</v>
      </c>
    </row>
    <row r="404" spans="1:20" x14ac:dyDescent="0.25">
      <c r="A404" s="5">
        <v>44189</v>
      </c>
      <c r="B404">
        <v>0.27329999999999999</v>
      </c>
      <c r="C404">
        <v>0.29060000000000002</v>
      </c>
      <c r="D404">
        <v>0.25209999999999999</v>
      </c>
      <c r="E404">
        <v>0.28260000000000002</v>
      </c>
      <c r="F404">
        <v>591263.48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0.58441558441558439</v>
      </c>
      <c r="Q404">
        <f t="shared" si="975"/>
        <v>345543.59220779216</v>
      </c>
      <c r="R404">
        <f t="shared" si="976"/>
        <v>-14198686.240714705</v>
      </c>
      <c r="S404">
        <f t="shared" si="977"/>
        <v>-141.98686240714704</v>
      </c>
      <c r="T404">
        <f t="shared" si="978"/>
        <v>-0.14198686240714703</v>
      </c>
    </row>
    <row r="405" spans="1:20" x14ac:dyDescent="0.25">
      <c r="A405" s="5">
        <v>44188</v>
      </c>
      <c r="B405">
        <v>0.3135</v>
      </c>
      <c r="C405">
        <v>0.34610000000000002</v>
      </c>
      <c r="D405">
        <v>0.26740000000000003</v>
      </c>
      <c r="E405">
        <v>0.27339999999999998</v>
      </c>
      <c r="F405">
        <v>1264930.55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-0.84752223634053492</v>
      </c>
      <c r="Q405">
        <f t="shared" si="975"/>
        <v>-1072056.7685514628</v>
      </c>
      <c r="R405">
        <f t="shared" si="976"/>
        <v>-14544229.832922496</v>
      </c>
      <c r="S405">
        <f t="shared" si="977"/>
        <v>-145.44229832922497</v>
      </c>
      <c r="T405">
        <f t="shared" si="978"/>
        <v>-0.14544229832922498</v>
      </c>
    </row>
    <row r="406" spans="1:20" x14ac:dyDescent="0.25">
      <c r="A406" s="5">
        <v>44187</v>
      </c>
      <c r="B406">
        <v>0.33329999999999999</v>
      </c>
      <c r="C406">
        <v>0.35210000000000002</v>
      </c>
      <c r="D406">
        <v>0.29799999999999999</v>
      </c>
      <c r="E406">
        <v>0.31259999999999999</v>
      </c>
      <c r="F406">
        <v>1260715.71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-0.46025878003696885</v>
      </c>
      <c r="Q406">
        <f t="shared" si="975"/>
        <v>-580255.47465804103</v>
      </c>
      <c r="R406">
        <f t="shared" si="976"/>
        <v>-13472173.064371033</v>
      </c>
      <c r="S406">
        <f t="shared" si="977"/>
        <v>-134.72173064371032</v>
      </c>
      <c r="T406">
        <f t="shared" si="978"/>
        <v>-0.13472173064371032</v>
      </c>
    </row>
    <row r="407" spans="1:20" x14ac:dyDescent="0.25">
      <c r="A407" s="5">
        <v>44186</v>
      </c>
      <c r="B407">
        <v>0.30499999999999999</v>
      </c>
      <c r="C407">
        <v>0.35</v>
      </c>
      <c r="D407">
        <v>0.28599999999999998</v>
      </c>
      <c r="E407">
        <v>0.33200000000000002</v>
      </c>
      <c r="F407">
        <v>1662958.53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0.43750000000000122</v>
      </c>
      <c r="Q407">
        <f t="shared" si="975"/>
        <v>727544.35687500203</v>
      </c>
      <c r="R407">
        <f t="shared" si="976"/>
        <v>-12891917.589712992</v>
      </c>
      <c r="S407">
        <f t="shared" si="977"/>
        <v>-128.91917589712992</v>
      </c>
      <c r="T407">
        <f t="shared" si="978"/>
        <v>-0.12891917589712992</v>
      </c>
    </row>
    <row r="408" spans="1:20" x14ac:dyDescent="0.25">
      <c r="A408" s="5">
        <v>44185</v>
      </c>
      <c r="B408">
        <v>0.32740000000000002</v>
      </c>
      <c r="C408">
        <v>0.35</v>
      </c>
      <c r="D408">
        <v>0.29799999999999999</v>
      </c>
      <c r="E408">
        <v>0.30520000000000003</v>
      </c>
      <c r="F408">
        <v>1761368.44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-0.72307692307692151</v>
      </c>
      <c r="Q408">
        <f t="shared" si="975"/>
        <v>-1273604.8719999972</v>
      </c>
      <c r="R408">
        <f t="shared" si="976"/>
        <v>-13619461.946587995</v>
      </c>
      <c r="S408">
        <f t="shared" si="977"/>
        <v>-136.19461946587995</v>
      </c>
      <c r="T408">
        <f t="shared" si="978"/>
        <v>-0.13619461946587996</v>
      </c>
    </row>
    <row r="409" spans="1:20" x14ac:dyDescent="0.25">
      <c r="A409" s="5">
        <v>44184</v>
      </c>
      <c r="B409">
        <v>0.32940000000000003</v>
      </c>
      <c r="C409">
        <v>0.34989999999999999</v>
      </c>
      <c r="D409">
        <v>0.30499999999999999</v>
      </c>
      <c r="E409">
        <v>0.3286</v>
      </c>
      <c r="F409">
        <v>1315480.79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5.1224944320713242E-2</v>
      </c>
      <c r="Q409">
        <f t="shared" si="975"/>
        <v>67385.43022271787</v>
      </c>
      <c r="R409">
        <f t="shared" si="976"/>
        <v>-12345857.074587997</v>
      </c>
      <c r="S409">
        <f t="shared" si="977"/>
        <v>-123.45857074587997</v>
      </c>
      <c r="T409">
        <f t="shared" si="978"/>
        <v>-0.12345857074587997</v>
      </c>
    </row>
    <row r="410" spans="1:20" x14ac:dyDescent="0.25">
      <c r="A410" s="5">
        <v>44183</v>
      </c>
      <c r="B410">
        <v>0.33250000000000002</v>
      </c>
      <c r="C410">
        <v>0.3367</v>
      </c>
      <c r="D410">
        <v>0.30499999999999999</v>
      </c>
      <c r="E410">
        <v>0.32950000000000002</v>
      </c>
      <c r="F410">
        <v>1181708.93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0.54574132492113669</v>
      </c>
      <c r="Q410">
        <f t="shared" si="975"/>
        <v>644907.3971293387</v>
      </c>
      <c r="R410">
        <f t="shared" si="976"/>
        <v>-12413242.504810715</v>
      </c>
      <c r="S410">
        <f t="shared" si="977"/>
        <v>-124.13242504810715</v>
      </c>
      <c r="T410">
        <f t="shared" si="978"/>
        <v>-0.12413242504810715</v>
      </c>
    </row>
    <row r="411" spans="1:20" x14ac:dyDescent="0.25">
      <c r="A411" s="5">
        <v>44182</v>
      </c>
      <c r="B411">
        <v>0.35349999999999998</v>
      </c>
      <c r="C411">
        <v>0.37009999999999998</v>
      </c>
      <c r="D411">
        <v>0.33100000000000002</v>
      </c>
      <c r="E411">
        <v>0.33350000000000002</v>
      </c>
      <c r="F411">
        <v>1263348.95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-0.87212276214833739</v>
      </c>
      <c r="Q411">
        <f t="shared" si="975"/>
        <v>-1101795.3758312017</v>
      </c>
      <c r="R411">
        <f t="shared" si="976"/>
        <v>-13058149.901940053</v>
      </c>
      <c r="S411">
        <f t="shared" si="977"/>
        <v>-130.58149901940052</v>
      </c>
      <c r="T411">
        <f t="shared" si="978"/>
        <v>-0.13058149901940053</v>
      </c>
    </row>
    <row r="412" spans="1:20" x14ac:dyDescent="0.25">
      <c r="A412" s="5">
        <v>44181</v>
      </c>
      <c r="B412">
        <v>0.3367</v>
      </c>
      <c r="C412">
        <v>0.38900000000000001</v>
      </c>
      <c r="D412">
        <v>0.33260000000000001</v>
      </c>
      <c r="E412">
        <v>0.35310000000000002</v>
      </c>
      <c r="F412">
        <v>2318952.29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-0.27304964539007037</v>
      </c>
      <c r="Q412">
        <f t="shared" si="975"/>
        <v>-633189.10046099161</v>
      </c>
      <c r="R412">
        <f t="shared" si="976"/>
        <v>-11956354.526108852</v>
      </c>
      <c r="S412">
        <f t="shared" si="977"/>
        <v>-119.56354526108852</v>
      </c>
      <c r="T412">
        <f t="shared" si="978"/>
        <v>-0.11956354526108852</v>
      </c>
    </row>
    <row r="413" spans="1:20" x14ac:dyDescent="0.25">
      <c r="A413" s="5">
        <v>44180</v>
      </c>
      <c r="B413">
        <v>0.36709999999999998</v>
      </c>
      <c r="C413">
        <v>0.38200000000000001</v>
      </c>
      <c r="D413">
        <v>0.33150000000000002</v>
      </c>
      <c r="E413">
        <v>0.33850000000000002</v>
      </c>
      <c r="F413">
        <v>1450305.46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-0.72277227722772242</v>
      </c>
      <c r="Q413">
        <f t="shared" si="975"/>
        <v>-1048240.5799999995</v>
      </c>
      <c r="R413">
        <f t="shared" si="976"/>
        <v>-11323165.42564786</v>
      </c>
      <c r="S413">
        <f t="shared" si="977"/>
        <v>-113.23165425647861</v>
      </c>
      <c r="T413">
        <f t="shared" si="978"/>
        <v>-0.1132316542564786</v>
      </c>
    </row>
    <row r="414" spans="1:20" x14ac:dyDescent="0.25">
      <c r="A414" s="5">
        <v>44179</v>
      </c>
      <c r="B414">
        <v>0.40970000000000001</v>
      </c>
      <c r="C414">
        <v>0.41980000000000001</v>
      </c>
      <c r="D414">
        <v>0.34799999999999998</v>
      </c>
      <c r="E414">
        <v>0.36849999999999999</v>
      </c>
      <c r="F414">
        <v>2516201.39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-0.42896935933147606</v>
      </c>
      <c r="Q414">
        <f t="shared" si="975"/>
        <v>-1079373.2982172696</v>
      </c>
      <c r="R414">
        <f t="shared" si="976"/>
        <v>-10274924.84564786</v>
      </c>
      <c r="S414">
        <f t="shared" si="977"/>
        <v>-102.7492484564786</v>
      </c>
      <c r="T414">
        <f t="shared" si="978"/>
        <v>-0.10274924845647859</v>
      </c>
    </row>
    <row r="415" spans="1:20" x14ac:dyDescent="0.25">
      <c r="A415" s="5">
        <v>44178</v>
      </c>
      <c r="B415">
        <v>0.35970000000000002</v>
      </c>
      <c r="C415">
        <v>0.437</v>
      </c>
      <c r="D415">
        <v>0.35289999999999999</v>
      </c>
      <c r="E415">
        <v>0.41089999999999999</v>
      </c>
      <c r="F415">
        <v>1994050.41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0.37931034482758597</v>
      </c>
      <c r="Q415">
        <f t="shared" si="975"/>
        <v>756363.9486206891</v>
      </c>
      <c r="R415">
        <f t="shared" si="976"/>
        <v>-9195551.5474305898</v>
      </c>
      <c r="S415">
        <f t="shared" si="977"/>
        <v>-91.955515474305898</v>
      </c>
      <c r="T415">
        <f t="shared" si="978"/>
        <v>-9.1955515474305902E-2</v>
      </c>
    </row>
    <row r="416" spans="1:20" x14ac:dyDescent="0.25">
      <c r="A416" s="5">
        <v>44177</v>
      </c>
      <c r="B416">
        <v>0.34870000000000001</v>
      </c>
      <c r="C416">
        <v>0.44</v>
      </c>
      <c r="D416">
        <v>0.34799999999999998</v>
      </c>
      <c r="E416">
        <v>0.35970000000000002</v>
      </c>
      <c r="F416">
        <v>1661026.08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-0.74565217391304262</v>
      </c>
      <c r="Q416">
        <f t="shared" si="975"/>
        <v>-1238547.7074782595</v>
      </c>
      <c r="R416">
        <f t="shared" si="976"/>
        <v>-9951915.4960512798</v>
      </c>
      <c r="S416">
        <f t="shared" si="977"/>
        <v>-99.519154960512793</v>
      </c>
      <c r="T416">
        <f t="shared" si="978"/>
        <v>-9.9519154960512793E-2</v>
      </c>
    </row>
    <row r="417" spans="1:20" x14ac:dyDescent="0.25">
      <c r="A417" s="5">
        <v>44176</v>
      </c>
      <c r="B417">
        <v>0.4158</v>
      </c>
      <c r="C417">
        <v>0.41749999999999998</v>
      </c>
      <c r="D417">
        <v>0.34</v>
      </c>
      <c r="E417">
        <v>0.3493</v>
      </c>
      <c r="F417">
        <v>1578380.43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-0.76000000000000056</v>
      </c>
      <c r="Q417">
        <f t="shared" si="975"/>
        <v>-1199569.1268000009</v>
      </c>
      <c r="R417">
        <f t="shared" si="976"/>
        <v>-8713367.7885730211</v>
      </c>
      <c r="S417">
        <f t="shared" si="977"/>
        <v>-87.133677885730208</v>
      </c>
      <c r="T417">
        <f t="shared" si="978"/>
        <v>-8.7133677885730204E-2</v>
      </c>
    </row>
    <row r="418" spans="1:20" x14ac:dyDescent="0.25">
      <c r="A418" s="5">
        <v>44175</v>
      </c>
      <c r="B418">
        <v>0.46939999999999998</v>
      </c>
      <c r="C418">
        <v>0.5</v>
      </c>
      <c r="D418">
        <v>0.3952</v>
      </c>
      <c r="E418">
        <v>0.4158</v>
      </c>
      <c r="F418">
        <v>1847697.72</v>
      </c>
      <c r="G418">
        <v>0</v>
      </c>
      <c r="L418" t="s">
        <v>7</v>
      </c>
      <c r="M418" t="s">
        <v>8</v>
      </c>
      <c r="N418" t="s">
        <v>7</v>
      </c>
      <c r="P418">
        <f t="shared" si="974"/>
        <v>-0.60687022900763343</v>
      </c>
      <c r="Q418">
        <f t="shared" si="975"/>
        <v>-1121312.7384732822</v>
      </c>
      <c r="R418">
        <f t="shared" si="976"/>
        <v>-7513798.6617730195</v>
      </c>
      <c r="S418">
        <f t="shared" si="977"/>
        <v>-75.137986617730192</v>
      </c>
      <c r="T418">
        <f t="shared" si="978"/>
        <v>-7.513798661773019E-2</v>
      </c>
    </row>
    <row r="419" spans="1:20" x14ac:dyDescent="0.25">
      <c r="A419" s="5">
        <v>44174</v>
      </c>
      <c r="B419">
        <v>0.4017</v>
      </c>
      <c r="C419">
        <v>0.50980000000000003</v>
      </c>
      <c r="D419">
        <v>0.37509999999999999</v>
      </c>
      <c r="E419">
        <v>0.46889999999999998</v>
      </c>
      <c r="F419">
        <v>3745417.01</v>
      </c>
      <c r="G419">
        <v>0</v>
      </c>
      <c r="L419" t="s">
        <v>8</v>
      </c>
      <c r="M419" t="s">
        <v>7</v>
      </c>
      <c r="N419" t="s">
        <v>7</v>
      </c>
      <c r="P419">
        <f t="shared" si="974"/>
        <v>0.39272457312546349</v>
      </c>
      <c r="Q419">
        <f t="shared" si="975"/>
        <v>1470917.2964290997</v>
      </c>
      <c r="R419">
        <f t="shared" si="976"/>
        <v>-6392485.9232997373</v>
      </c>
      <c r="S419">
        <f t="shared" si="977"/>
        <v>-63.92485923299737</v>
      </c>
      <c r="T419">
        <f t="shared" si="978"/>
        <v>-6.3924859232997372E-2</v>
      </c>
    </row>
    <row r="420" spans="1:20" x14ac:dyDescent="0.25">
      <c r="A420" s="5">
        <v>44173</v>
      </c>
      <c r="B420">
        <v>0.38890000000000002</v>
      </c>
      <c r="C420">
        <v>0.6</v>
      </c>
      <c r="D420">
        <v>0.35</v>
      </c>
      <c r="E420">
        <v>0.40450000000000003</v>
      </c>
      <c r="F420">
        <v>4081328.02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-0.56399999999999961</v>
      </c>
      <c r="Q420">
        <f t="shared" si="975"/>
        <v>-2301869.0032799984</v>
      </c>
      <c r="R420">
        <f t="shared" si="976"/>
        <v>-7863403.2197288368</v>
      </c>
      <c r="S420">
        <f t="shared" si="977"/>
        <v>-78.634032197288363</v>
      </c>
      <c r="T420">
        <f t="shared" si="978"/>
        <v>-7.8634032197288359E-2</v>
      </c>
    </row>
    <row r="421" spans="1:20" x14ac:dyDescent="0.25">
      <c r="A421" s="5">
        <v>44172</v>
      </c>
      <c r="B421">
        <v>0.3831</v>
      </c>
      <c r="C421">
        <v>0.41830000000000001</v>
      </c>
      <c r="D421">
        <v>0.37019999999999997</v>
      </c>
      <c r="E421">
        <v>0.38890000000000002</v>
      </c>
      <c r="F421">
        <v>1105006.02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-0.22245322245322088</v>
      </c>
      <c r="Q421">
        <f t="shared" si="975"/>
        <v>-245812.14997920825</v>
      </c>
      <c r="R421">
        <f t="shared" si="976"/>
        <v>-5561534.2164488379</v>
      </c>
      <c r="S421">
        <f t="shared" si="977"/>
        <v>-55.615342164488382</v>
      </c>
      <c r="T421">
        <f t="shared" si="978"/>
        <v>-5.5615342164488379E-2</v>
      </c>
    </row>
    <row r="422" spans="1:20" x14ac:dyDescent="0.25">
      <c r="A422" s="5">
        <v>44171</v>
      </c>
      <c r="B422">
        <v>0.36059999999999998</v>
      </c>
      <c r="C422">
        <v>0.41830000000000001</v>
      </c>
      <c r="D422">
        <v>0.35170000000000001</v>
      </c>
      <c r="E422">
        <v>0.38319999999999999</v>
      </c>
      <c r="F422">
        <v>1298254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-5.4054054054054772E-2</v>
      </c>
      <c r="Q422">
        <f t="shared" si="975"/>
        <v>-70175.891891892825</v>
      </c>
      <c r="R422">
        <f t="shared" si="976"/>
        <v>-5315722.0664696293</v>
      </c>
      <c r="S422">
        <f t="shared" si="977"/>
        <v>-53.15722066469629</v>
      </c>
      <c r="T422">
        <f t="shared" si="978"/>
        <v>-5.3157220664696289E-2</v>
      </c>
    </row>
    <row r="423" spans="1:20" x14ac:dyDescent="0.25">
      <c r="A423" s="5">
        <v>44170</v>
      </c>
      <c r="B423">
        <v>0.3397</v>
      </c>
      <c r="C423">
        <v>0.38800000000000001</v>
      </c>
      <c r="D423">
        <v>0.33250000000000002</v>
      </c>
      <c r="E423">
        <v>0.36130000000000001</v>
      </c>
      <c r="F423">
        <v>852451.51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3.7837837837837673E-2</v>
      </c>
      <c r="Q423">
        <f t="shared" si="975"/>
        <v>32254.92199999986</v>
      </c>
      <c r="R423">
        <f t="shared" si="976"/>
        <v>-5245546.1745777363</v>
      </c>
      <c r="S423">
        <f t="shared" si="977"/>
        <v>-52.455461745777363</v>
      </c>
      <c r="T423">
        <f t="shared" si="978"/>
        <v>-5.2455461745777365E-2</v>
      </c>
    </row>
    <row r="424" spans="1:20" x14ac:dyDescent="0.25">
      <c r="A424" s="5">
        <v>44169</v>
      </c>
      <c r="B424">
        <v>0.35160000000000002</v>
      </c>
      <c r="C424">
        <v>0.4</v>
      </c>
      <c r="D424">
        <v>0.315</v>
      </c>
      <c r="E424">
        <v>0.33950000000000002</v>
      </c>
      <c r="F424">
        <v>1488326.67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-0.42352941176470549</v>
      </c>
      <c r="Q424">
        <f t="shared" si="975"/>
        <v>-630350.11905882286</v>
      </c>
      <c r="R424">
        <f t="shared" si="976"/>
        <v>-5277801.0965777365</v>
      </c>
      <c r="S424">
        <f t="shared" si="977"/>
        <v>-52.778010965777362</v>
      </c>
      <c r="T424">
        <f t="shared" si="978"/>
        <v>-5.2778010965777361E-2</v>
      </c>
    </row>
    <row r="425" spans="1:20" x14ac:dyDescent="0.25">
      <c r="A425" s="5">
        <v>44168</v>
      </c>
      <c r="B425">
        <v>0.33</v>
      </c>
      <c r="C425">
        <v>0.39989999999999998</v>
      </c>
      <c r="D425">
        <v>0.31140000000000001</v>
      </c>
      <c r="E425">
        <v>0.35189999999999999</v>
      </c>
      <c r="F425">
        <v>1123093.79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-8.4745762711864514E-2</v>
      </c>
      <c r="Q425">
        <f t="shared" si="975"/>
        <v>-95177.439830508592</v>
      </c>
      <c r="R425">
        <f t="shared" si="976"/>
        <v>-4647450.9775189133</v>
      </c>
      <c r="S425">
        <f t="shared" si="977"/>
        <v>-46.474509775189134</v>
      </c>
      <c r="T425">
        <f t="shared" si="978"/>
        <v>-4.6474509775189132E-2</v>
      </c>
    </row>
    <row r="426" spans="1:20" x14ac:dyDescent="0.25">
      <c r="A426" s="5">
        <v>44167</v>
      </c>
      <c r="B426">
        <v>0.30819999999999997</v>
      </c>
      <c r="C426">
        <v>0.36</v>
      </c>
      <c r="D426">
        <v>0.28820000000000001</v>
      </c>
      <c r="E426">
        <v>0.3286</v>
      </c>
      <c r="F426">
        <v>681767.48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0.12534818941504194</v>
      </c>
      <c r="Q426">
        <f t="shared" si="975"/>
        <v>85458.319220055811</v>
      </c>
      <c r="R426">
        <f t="shared" si="976"/>
        <v>-4552273.5376884043</v>
      </c>
      <c r="S426">
        <f t="shared" si="977"/>
        <v>-45.522735376884043</v>
      </c>
      <c r="T426">
        <f t="shared" si="978"/>
        <v>-4.5522735376884046E-2</v>
      </c>
    </row>
    <row r="427" spans="1:20" x14ac:dyDescent="0.25">
      <c r="A427" s="5">
        <v>44166</v>
      </c>
      <c r="B427">
        <v>0.32050000000000001</v>
      </c>
      <c r="C427">
        <v>0.34910000000000002</v>
      </c>
      <c r="D427">
        <v>0.29720000000000002</v>
      </c>
      <c r="E427">
        <v>0.30840000000000001</v>
      </c>
      <c r="F427">
        <v>857955.43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-0.56840077071290995</v>
      </c>
      <c r="Q427">
        <f t="shared" si="975"/>
        <v>-487662.52764932608</v>
      </c>
      <c r="R427">
        <f t="shared" si="976"/>
        <v>-4637731.8569084601</v>
      </c>
      <c r="S427">
        <f t="shared" si="977"/>
        <v>-46.377318569084601</v>
      </c>
      <c r="T427">
        <f t="shared" si="978"/>
        <v>-4.63773185690846E-2</v>
      </c>
    </row>
    <row r="428" spans="1:20" x14ac:dyDescent="0.25">
      <c r="A428" s="5">
        <v>44165</v>
      </c>
      <c r="B428">
        <v>0.34960000000000002</v>
      </c>
      <c r="C428">
        <v>0.36749999999999999</v>
      </c>
      <c r="D428">
        <v>0.31</v>
      </c>
      <c r="E428">
        <v>0.31859999999999999</v>
      </c>
      <c r="F428">
        <v>621491.32999999996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-0.70086956521739141</v>
      </c>
      <c r="Q428">
        <f t="shared" si="975"/>
        <v>-435584.35824347829</v>
      </c>
      <c r="R428">
        <f t="shared" si="976"/>
        <v>-4150069.3292591339</v>
      </c>
      <c r="S428">
        <f t="shared" si="977"/>
        <v>-41.500693292591336</v>
      </c>
      <c r="T428">
        <f t="shared" si="978"/>
        <v>-4.1500693292591338E-2</v>
      </c>
    </row>
    <row r="429" spans="1:20" x14ac:dyDescent="0.25">
      <c r="A429" s="5">
        <v>44164</v>
      </c>
      <c r="B429">
        <v>0.38300000000000001</v>
      </c>
      <c r="C429">
        <v>0.41</v>
      </c>
      <c r="D429">
        <v>0.3367</v>
      </c>
      <c r="E429">
        <v>0.34939999999999999</v>
      </c>
      <c r="F429">
        <v>1009436.5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-0.65347885402455685</v>
      </c>
      <c r="Q429">
        <f t="shared" si="975"/>
        <v>-659645.40723055962</v>
      </c>
      <c r="R429">
        <f t="shared" si="976"/>
        <v>-3714484.9710156554</v>
      </c>
      <c r="S429">
        <f t="shared" si="977"/>
        <v>-37.144849710156556</v>
      </c>
      <c r="T429">
        <f t="shared" si="978"/>
        <v>-3.7144849710156559E-2</v>
      </c>
    </row>
    <row r="430" spans="1:20" x14ac:dyDescent="0.25">
      <c r="A430" s="5">
        <v>44163</v>
      </c>
      <c r="B430">
        <v>0.29830000000000001</v>
      </c>
      <c r="C430">
        <v>0.3866</v>
      </c>
      <c r="D430">
        <v>0.28799999999999998</v>
      </c>
      <c r="E430">
        <v>0.38300000000000001</v>
      </c>
      <c r="F430">
        <v>1473517.52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0.92697768762677502</v>
      </c>
      <c r="Q430">
        <f t="shared" si="975"/>
        <v>1365917.8633671403</v>
      </c>
      <c r="R430">
        <f t="shared" si="976"/>
        <v>-3054839.5637850957</v>
      </c>
      <c r="S430">
        <f t="shared" si="977"/>
        <v>-30.548395637850955</v>
      </c>
      <c r="T430">
        <f t="shared" si="978"/>
        <v>-3.0548395637850955E-2</v>
      </c>
    </row>
    <row r="431" spans="1:20" x14ac:dyDescent="0.25">
      <c r="A431" s="5">
        <v>44162</v>
      </c>
      <c r="B431">
        <v>0.28339999999999999</v>
      </c>
      <c r="C431">
        <v>0.31</v>
      </c>
      <c r="D431">
        <v>0.26169999999999999</v>
      </c>
      <c r="E431">
        <v>0.29859999999999998</v>
      </c>
      <c r="F431">
        <v>745517.91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0.52795031055900543</v>
      </c>
      <c r="Q431">
        <f t="shared" si="975"/>
        <v>393596.41211180069</v>
      </c>
      <c r="R431">
        <f t="shared" si="976"/>
        <v>-4420757.427152236</v>
      </c>
      <c r="S431">
        <f t="shared" si="977"/>
        <v>-44.207574271522361</v>
      </c>
      <c r="T431">
        <f t="shared" si="978"/>
        <v>-4.420757427152236E-2</v>
      </c>
    </row>
    <row r="432" spans="1:20" x14ac:dyDescent="0.25">
      <c r="A432" s="5">
        <v>44161</v>
      </c>
      <c r="B432">
        <v>0.3145</v>
      </c>
      <c r="C432">
        <v>0.34989999999999999</v>
      </c>
      <c r="D432">
        <v>0.26400000000000001</v>
      </c>
      <c r="E432">
        <v>0.2838</v>
      </c>
      <c r="F432">
        <v>1106507.21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-0.53899883585564634</v>
      </c>
      <c r="Q432">
        <f t="shared" si="975"/>
        <v>-596406.09805587912</v>
      </c>
      <c r="R432">
        <f t="shared" si="976"/>
        <v>-4814353.8392640371</v>
      </c>
      <c r="S432">
        <f t="shared" si="977"/>
        <v>-48.143538392640373</v>
      </c>
      <c r="T432">
        <f t="shared" si="978"/>
        <v>-4.8143538392640371E-2</v>
      </c>
    </row>
    <row r="433" spans="1:20" x14ac:dyDescent="0.25">
      <c r="A433" s="5">
        <v>44160</v>
      </c>
      <c r="B433">
        <v>0.35589999999999999</v>
      </c>
      <c r="C433">
        <v>0.36470000000000002</v>
      </c>
      <c r="D433">
        <v>0.3115</v>
      </c>
      <c r="E433">
        <v>0.3145</v>
      </c>
      <c r="F433">
        <v>1367845.29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-0.88721804511278191</v>
      </c>
      <c r="Q433">
        <f t="shared" si="975"/>
        <v>-1213577.0242105264</v>
      </c>
      <c r="R433">
        <f t="shared" si="976"/>
        <v>-4217947.7412081575</v>
      </c>
      <c r="S433">
        <f t="shared" si="977"/>
        <v>-42.179477412081575</v>
      </c>
      <c r="T433">
        <f t="shared" si="978"/>
        <v>-4.2179477412081577E-2</v>
      </c>
    </row>
    <row r="434" spans="1:20" x14ac:dyDescent="0.25">
      <c r="A434" s="5">
        <v>44159</v>
      </c>
      <c r="B434">
        <v>0.39950000000000002</v>
      </c>
      <c r="C434">
        <v>0.39950000000000002</v>
      </c>
      <c r="D434">
        <v>0.30420000000000003</v>
      </c>
      <c r="E434">
        <v>0.35560000000000003</v>
      </c>
      <c r="F434">
        <v>3596006.23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7.8698845750262397E-2</v>
      </c>
      <c r="Q434">
        <f t="shared" si="975"/>
        <v>283001.53961175261</v>
      </c>
      <c r="R434">
        <f t="shared" si="976"/>
        <v>-3004370.7169976309</v>
      </c>
      <c r="S434">
        <f t="shared" si="977"/>
        <v>-30.043707169976308</v>
      </c>
      <c r="T434">
        <f t="shared" si="978"/>
        <v>-3.0043707169976307E-2</v>
      </c>
    </row>
    <row r="435" spans="1:20" x14ac:dyDescent="0.25">
      <c r="A435" s="5">
        <v>44158</v>
      </c>
      <c r="B435">
        <v>0.40989999999999999</v>
      </c>
      <c r="C435">
        <v>0.45</v>
      </c>
      <c r="D435">
        <v>0.35589999999999999</v>
      </c>
      <c r="E435">
        <v>0.39879999999999999</v>
      </c>
      <c r="F435">
        <v>2829024.84</v>
      </c>
      <c r="G435">
        <v>0</v>
      </c>
      <c r="L435" t="s">
        <v>7</v>
      </c>
      <c r="M435" t="s">
        <v>7</v>
      </c>
      <c r="N435" t="s">
        <v>7</v>
      </c>
      <c r="P435">
        <f t="shared" si="974"/>
        <v>-8.8204038257173517E-2</v>
      </c>
      <c r="Q435">
        <f t="shared" si="975"/>
        <v>-249531.41521785417</v>
      </c>
      <c r="R435">
        <f t="shared" si="976"/>
        <v>-3287372.2566093835</v>
      </c>
      <c r="S435">
        <f t="shared" si="977"/>
        <v>-32.873722566093832</v>
      </c>
      <c r="T435">
        <f t="shared" si="978"/>
        <v>-3.2873722566093833E-2</v>
      </c>
    </row>
    <row r="436" spans="1:20" x14ac:dyDescent="0.25">
      <c r="A436" s="5">
        <v>44157</v>
      </c>
      <c r="B436">
        <v>0.33360000000000001</v>
      </c>
      <c r="C436">
        <v>0.71</v>
      </c>
      <c r="D436">
        <v>0.30499999999999999</v>
      </c>
      <c r="E436">
        <v>0.41</v>
      </c>
      <c r="F436">
        <v>4662094.67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-0.48148148148148151</v>
      </c>
      <c r="Q436">
        <f t="shared" si="975"/>
        <v>-2244712.2485185186</v>
      </c>
      <c r="R436">
        <f t="shared" si="976"/>
        <v>-3037840.8413915294</v>
      </c>
      <c r="S436">
        <f t="shared" si="977"/>
        <v>-30.378408413915295</v>
      </c>
      <c r="T436">
        <f t="shared" si="978"/>
        <v>-3.0378408413915294E-2</v>
      </c>
    </row>
    <row r="437" spans="1:20" x14ac:dyDescent="0.25">
      <c r="A437" s="5">
        <v>44156</v>
      </c>
      <c r="B437">
        <v>0.27679999999999999</v>
      </c>
      <c r="C437">
        <v>0.38</v>
      </c>
      <c r="D437">
        <v>0.2445</v>
      </c>
      <c r="E437">
        <v>0.33360000000000001</v>
      </c>
      <c r="F437">
        <v>2595107.25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0.31512915129151303</v>
      </c>
      <c r="Q437">
        <f t="shared" si="975"/>
        <v>817793.94520295237</v>
      </c>
      <c r="R437">
        <f t="shared" si="976"/>
        <v>-793128.59287301067</v>
      </c>
      <c r="S437">
        <f t="shared" si="977"/>
        <v>-7.931285928730107</v>
      </c>
      <c r="T437">
        <f t="shared" si="978"/>
        <v>-7.9312859287301064E-3</v>
      </c>
    </row>
    <row r="438" spans="1:20" x14ac:dyDescent="0.25">
      <c r="A438" s="5">
        <v>44155</v>
      </c>
      <c r="B438">
        <v>0.27779999999999999</v>
      </c>
      <c r="C438">
        <v>0.29010000000000002</v>
      </c>
      <c r="D438">
        <v>0.25790000000000002</v>
      </c>
      <c r="E438">
        <v>0.27710000000000001</v>
      </c>
      <c r="F438">
        <v>642275.76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0.19254658385093112</v>
      </c>
      <c r="Q438">
        <f t="shared" si="975"/>
        <v>123668.00347826052</v>
      </c>
      <c r="R438">
        <f t="shared" si="976"/>
        <v>-1610922.538075963</v>
      </c>
      <c r="S438">
        <f t="shared" si="977"/>
        <v>-16.109225380759629</v>
      </c>
      <c r="T438">
        <f t="shared" si="978"/>
        <v>-1.610922538075963E-2</v>
      </c>
    </row>
    <row r="439" spans="1:20" x14ac:dyDescent="0.25">
      <c r="A439" s="5">
        <v>44154</v>
      </c>
      <c r="B439">
        <v>0.2681</v>
      </c>
      <c r="C439">
        <v>0.31740000000000002</v>
      </c>
      <c r="D439">
        <v>0.2477</v>
      </c>
      <c r="E439">
        <v>0.27779999999999999</v>
      </c>
      <c r="F439">
        <v>1333904.1299999999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-0.13629842180774798</v>
      </c>
      <c r="Q439">
        <f t="shared" si="975"/>
        <v>-181809.02776183709</v>
      </c>
      <c r="R439">
        <f t="shared" si="976"/>
        <v>-1734590.5415542235</v>
      </c>
      <c r="S439">
        <f t="shared" si="977"/>
        <v>-17.345905415542234</v>
      </c>
      <c r="T439">
        <f t="shared" si="978"/>
        <v>-1.7345905415542234E-2</v>
      </c>
    </row>
    <row r="440" spans="1:20" x14ac:dyDescent="0.25">
      <c r="A440" s="5">
        <v>44153</v>
      </c>
      <c r="B440">
        <v>0.2336</v>
      </c>
      <c r="C440">
        <v>0.37809999999999999</v>
      </c>
      <c r="D440">
        <v>0.2336</v>
      </c>
      <c r="E440">
        <v>0.26790000000000003</v>
      </c>
      <c r="F440">
        <v>2956217.77</v>
      </c>
      <c r="G440">
        <v>0</v>
      </c>
      <c r="P440">
        <f t="shared" si="974"/>
        <v>-0.52525951557093387</v>
      </c>
      <c r="Q440">
        <f t="shared" si="975"/>
        <v>-1552781.5137923865</v>
      </c>
      <c r="R440">
        <f t="shared" si="976"/>
        <v>-1552781.5137923865</v>
      </c>
      <c r="S440">
        <f t="shared" si="977"/>
        <v>-15.527815137923865</v>
      </c>
      <c r="T440">
        <f t="shared" si="978"/>
        <v>-1.5527815137923865E-2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L617" sqref="IL61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$A$616</v>
      </c>
      <c r="D111" s="1" t="str">
        <f>ADDRESS(C121-1,D121,1,1)</f>
        <v>$IL$616</v>
      </c>
      <c r="E111"/>
    </row>
    <row r="112" spans="1:5" x14ac:dyDescent="0.25">
      <c r="A112" s="7">
        <v>12164.144957890772</v>
      </c>
      <c r="C112" s="1" t="str">
        <f>ADDRESS(C121,1,1,1)</f>
        <v>$A$617</v>
      </c>
      <c r="D112" s="1" t="str">
        <f>ADDRESS(C121,D121-1,1,1)</f>
        <v>$IK$617</v>
      </c>
      <c r="E112"/>
    </row>
    <row r="113" spans="1:5" x14ac:dyDescent="0.25">
      <c r="A113" s="7">
        <v>11925.63231165762</v>
      </c>
      <c r="C113" s="1" t="str">
        <f>ADDRESS(C121+1,1,1,1)</f>
        <v>$A$618</v>
      </c>
      <c r="D113" s="1" t="str">
        <f>ADDRESS(C121-1,D121+1,1,1)</f>
        <v>$IM$616</v>
      </c>
    </row>
    <row r="114" spans="1:5" x14ac:dyDescent="0.25">
      <c r="A114" s="7">
        <v>11691.796383978059</v>
      </c>
      <c r="C114" s="1" t="str">
        <f>ADDRESS(C121,D121,1,1)</f>
        <v>$IL$617</v>
      </c>
      <c r="D114" s="1" t="str">
        <f>ADDRESS(C121+1,D121+1,1,1)</f>
        <v>$IM$618</v>
      </c>
    </row>
    <row r="115" spans="1:5" x14ac:dyDescent="0.25">
      <c r="A115" s="7">
        <v>11462.545474488292</v>
      </c>
      <c r="C115" s="1" t="str">
        <f>ADDRESS(C121+1,D121,1,1)</f>
        <v>$IL$618</v>
      </c>
    </row>
    <row r="116" spans="1:5" x14ac:dyDescent="0.25">
      <c r="A116" s="7">
        <v>11237.789680870874</v>
      </c>
      <c r="C116" s="1">
        <f>C117-1</f>
        <v>616</v>
      </c>
    </row>
    <row r="117" spans="1:5" x14ac:dyDescent="0.25">
      <c r="A117" s="7">
        <v>11017.440863598895</v>
      </c>
      <c r="C117" s="1">
        <f>C121</f>
        <v>617</v>
      </c>
      <c r="D117" s="1">
        <f>D121</f>
        <v>246</v>
      </c>
    </row>
    <row r="118" spans="1:5" x14ac:dyDescent="0.25">
      <c r="A118" s="7">
        <v>10801.412611371465</v>
      </c>
      <c r="C118" s="1">
        <f>C117+1</f>
        <v>618</v>
      </c>
      <c r="D118" s="1">
        <f>D117+1</f>
        <v>247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617</v>
      </c>
      <c r="D121" s="19">
        <v>246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R617</v>
      </c>
      <c r="D123" s="1" t="str">
        <f>"C"&amp;D121</f>
        <v>C246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0.55207088897991208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60" x14ac:dyDescent="0.25">
      <c r="A481" s="7">
        <v>8.1586481992426112</v>
      </c>
      <c r="B481"/>
      <c r="C481"/>
      <c r="D481"/>
      <c r="E481"/>
    </row>
    <row r="482" spans="1:60" x14ac:dyDescent="0.25">
      <c r="A482" s="7">
        <v>7.9986747051398144</v>
      </c>
      <c r="B482"/>
      <c r="C482"/>
      <c r="D482"/>
      <c r="E482"/>
    </row>
    <row r="483" spans="1:60" x14ac:dyDescent="0.25">
      <c r="A483" s="7">
        <v>7.8418379462155041</v>
      </c>
      <c r="B483"/>
      <c r="C483"/>
      <c r="D483"/>
      <c r="E483"/>
    </row>
    <row r="484" spans="1:60" x14ac:dyDescent="0.25">
      <c r="A484" s="7">
        <v>7.688076417858337</v>
      </c>
      <c r="B484"/>
      <c r="C484"/>
      <c r="D484"/>
      <c r="E484"/>
      <c r="BG484" s="27" t="s">
        <v>8</v>
      </c>
    </row>
    <row r="485" spans="1:60" x14ac:dyDescent="0.25">
      <c r="A485" s="7">
        <v>7.5373298214297417</v>
      </c>
      <c r="B485"/>
      <c r="C485"/>
      <c r="D485"/>
      <c r="E485"/>
      <c r="BG485" s="27" t="s">
        <v>8</v>
      </c>
      <c r="BH485" s="27" t="s">
        <v>7</v>
      </c>
    </row>
    <row r="486" spans="1:60" x14ac:dyDescent="0.25">
      <c r="A486" s="7">
        <v>7.389539040617394</v>
      </c>
      <c r="B486"/>
      <c r="C486"/>
      <c r="D486"/>
      <c r="E486"/>
      <c r="BG486" s="27" t="s">
        <v>8</v>
      </c>
      <c r="BH486" s="27" t="s">
        <v>7</v>
      </c>
    </row>
    <row r="487" spans="1:60" x14ac:dyDescent="0.25">
      <c r="A487" s="7">
        <v>7.2446461182523469</v>
      </c>
      <c r="B487"/>
      <c r="C487"/>
      <c r="D487"/>
      <c r="E487"/>
      <c r="BG487" s="27" t="s">
        <v>8</v>
      </c>
      <c r="BH487" s="27" t="s">
        <v>7</v>
      </c>
    </row>
    <row r="488" spans="1:60" x14ac:dyDescent="0.25">
      <c r="A488" s="7">
        <v>7.1025942335807324</v>
      </c>
      <c r="B488"/>
      <c r="C488"/>
      <c r="D488"/>
      <c r="E488"/>
      <c r="BG488" s="27" t="s">
        <v>8</v>
      </c>
      <c r="BH488" s="27" t="s">
        <v>7</v>
      </c>
    </row>
    <row r="489" spans="1:60" x14ac:dyDescent="0.25">
      <c r="A489" s="7">
        <v>6.9633276799811101</v>
      </c>
      <c r="B489"/>
      <c r="C489"/>
      <c r="D489"/>
      <c r="E489"/>
      <c r="BG489" s="27" t="s">
        <v>8</v>
      </c>
      <c r="BH489" s="27" t="s">
        <v>7</v>
      </c>
    </row>
    <row r="490" spans="1:60" x14ac:dyDescent="0.25">
      <c r="A490" s="7">
        <v>6.8267918431187349</v>
      </c>
      <c r="B490"/>
      <c r="C490"/>
      <c r="D490"/>
      <c r="E490"/>
      <c r="BG490" s="27" t="s">
        <v>8</v>
      </c>
      <c r="BH490" s="27" t="s">
        <v>7</v>
      </c>
    </row>
    <row r="491" spans="1:60" x14ac:dyDescent="0.25">
      <c r="A491" s="7">
        <v>6.692933179528171</v>
      </c>
      <c r="B491"/>
      <c r="C491"/>
      <c r="D491"/>
      <c r="E491"/>
      <c r="BG491" s="27" t="s">
        <v>8</v>
      </c>
      <c r="BH491" s="27" t="s">
        <v>7</v>
      </c>
    </row>
    <row r="492" spans="1:60" x14ac:dyDescent="0.25">
      <c r="A492" s="7">
        <v>6.5616991956158541</v>
      </c>
      <c r="B492"/>
      <c r="C492"/>
      <c r="D492"/>
      <c r="E492"/>
      <c r="BG492" s="27" t="s">
        <v>8</v>
      </c>
      <c r="BH492" s="27" t="s">
        <v>7</v>
      </c>
    </row>
    <row r="493" spans="1:60" x14ac:dyDescent="0.25">
      <c r="A493" s="7">
        <v>6.4330384270743668</v>
      </c>
      <c r="B493"/>
      <c r="C493"/>
      <c r="D493"/>
      <c r="E493"/>
      <c r="BG493" s="27" t="s">
        <v>8</v>
      </c>
      <c r="BH493" s="27" t="s">
        <v>7</v>
      </c>
    </row>
    <row r="494" spans="1:60" x14ac:dyDescent="0.25">
      <c r="A494" s="7">
        <v>6.3069004187003594</v>
      </c>
      <c r="B494"/>
      <c r="C494"/>
      <c r="D494"/>
      <c r="E494"/>
      <c r="BG494" s="27" t="s">
        <v>8</v>
      </c>
      <c r="BH494" s="27" t="s">
        <v>7</v>
      </c>
    </row>
    <row r="495" spans="1:60" x14ac:dyDescent="0.25">
      <c r="A495" s="7">
        <v>6.1832357046081956</v>
      </c>
      <c r="B495"/>
      <c r="C495"/>
      <c r="D495"/>
      <c r="E495"/>
      <c r="BG495" s="27" t="s">
        <v>8</v>
      </c>
      <c r="BH495" s="27" t="s">
        <v>7</v>
      </c>
    </row>
    <row r="496" spans="1:60" x14ac:dyDescent="0.25">
      <c r="A496" s="7">
        <v>6.0619957888315641</v>
      </c>
      <c r="B496"/>
      <c r="C496"/>
      <c r="D496"/>
      <c r="E496"/>
      <c r="BG496" s="27" t="s">
        <v>8</v>
      </c>
      <c r="BH496" s="27" t="s">
        <v>7</v>
      </c>
    </row>
    <row r="497" spans="1:75" x14ac:dyDescent="0.25">
      <c r="A497" s="7">
        <v>5.9431331263054545</v>
      </c>
      <c r="B497"/>
      <c r="C497"/>
      <c r="D497"/>
      <c r="E497"/>
      <c r="BG497" s="27" t="s">
        <v>8</v>
      </c>
      <c r="BH497" s="27" t="s">
        <v>7</v>
      </c>
    </row>
    <row r="498" spans="1:75" x14ac:dyDescent="0.25">
      <c r="A498" s="7">
        <v>5.8266011042210337</v>
      </c>
      <c r="B498"/>
      <c r="C498"/>
      <c r="D498"/>
      <c r="E498"/>
      <c r="BG498" s="27" t="s">
        <v>8</v>
      </c>
      <c r="BH498" s="27" t="s">
        <v>7</v>
      </c>
    </row>
    <row r="499" spans="1:75" x14ac:dyDescent="0.25">
      <c r="A499" s="7">
        <v>5.7123540237461112</v>
      </c>
      <c r="B499"/>
      <c r="C499"/>
      <c r="D499"/>
      <c r="E499"/>
      <c r="BG499" s="27" t="s">
        <v>8</v>
      </c>
      <c r="BH499" s="27" t="s">
        <v>7</v>
      </c>
    </row>
    <row r="500" spans="1:75" x14ac:dyDescent="0.25">
      <c r="A500" s="7">
        <v>5.6003470821040304</v>
      </c>
      <c r="B500"/>
      <c r="C500"/>
      <c r="D500"/>
      <c r="E500"/>
      <c r="BG500" s="27" t="s">
        <v>8</v>
      </c>
      <c r="BH500" s="27" t="s">
        <v>7</v>
      </c>
    </row>
    <row r="501" spans="1:75" x14ac:dyDescent="0.25">
      <c r="A501" s="7">
        <v>5.4905363550039512</v>
      </c>
      <c r="B501"/>
      <c r="C501"/>
      <c r="D501"/>
      <c r="E501"/>
      <c r="BG501" s="27" t="s">
        <v>8</v>
      </c>
      <c r="BH501" s="27" t="s">
        <v>7</v>
      </c>
    </row>
    <row r="502" spans="1:75" x14ac:dyDescent="0.25">
      <c r="A502" s="7">
        <v>5.3828787794156385</v>
      </c>
      <c r="B502"/>
      <c r="C502"/>
      <c r="D502"/>
      <c r="E502"/>
      <c r="BG502" s="27" t="s">
        <v>8</v>
      </c>
      <c r="BH502" s="27" t="s">
        <v>7</v>
      </c>
    </row>
    <row r="503" spans="1:75" x14ac:dyDescent="0.25">
      <c r="A503" s="7">
        <v>5.2773321366819985</v>
      </c>
      <c r="B503"/>
      <c r="C503"/>
      <c r="D503"/>
      <c r="E503"/>
      <c r="BG503" s="27" t="s">
        <v>8</v>
      </c>
      <c r="BH503" s="27" t="s">
        <v>7</v>
      </c>
    </row>
    <row r="504" spans="1:75" x14ac:dyDescent="0.25">
      <c r="A504" s="7">
        <v>5.1738550359627435</v>
      </c>
      <c r="B504"/>
      <c r="C504"/>
      <c r="D504"/>
      <c r="E504"/>
      <c r="BG504" s="27" t="s">
        <v>8</v>
      </c>
      <c r="BH504" s="27" t="s">
        <v>7</v>
      </c>
    </row>
    <row r="505" spans="1:75" x14ac:dyDescent="0.25">
      <c r="A505" s="7">
        <v>5.07240689800269</v>
      </c>
      <c r="B505"/>
      <c r="C505"/>
      <c r="D505"/>
      <c r="E505"/>
      <c r="BG505" s="27" t="s">
        <v>8</v>
      </c>
      <c r="BH505" s="27" t="s">
        <v>7</v>
      </c>
    </row>
    <row r="506" spans="1:75" x14ac:dyDescent="0.25">
      <c r="A506" s="7">
        <v>4.9729479392183231</v>
      </c>
      <c r="B506"/>
      <c r="C506"/>
      <c r="D506"/>
      <c r="E506"/>
      <c r="BG506" s="27" t="s">
        <v>8</v>
      </c>
      <c r="BH506" s="27" t="s">
        <v>7</v>
      </c>
    </row>
    <row r="507" spans="1:75" x14ac:dyDescent="0.25">
      <c r="A507" s="7">
        <v>4.8754391560963954</v>
      </c>
      <c r="B507"/>
      <c r="C507"/>
      <c r="D507"/>
      <c r="E507"/>
      <c r="BG507" s="27" t="s">
        <v>8</v>
      </c>
      <c r="BH507" s="27" t="s">
        <v>7</v>
      </c>
    </row>
    <row r="508" spans="1:75" x14ac:dyDescent="0.25">
      <c r="A508" s="7">
        <v>4.7798423098984264</v>
      </c>
      <c r="B508"/>
      <c r="C508"/>
      <c r="D508"/>
      <c r="E508"/>
      <c r="BG508" s="27" t="s">
        <v>8</v>
      </c>
      <c r="BH508" s="27" t="s">
        <v>7</v>
      </c>
    </row>
    <row r="509" spans="1:75" x14ac:dyDescent="0.25">
      <c r="A509" s="7">
        <v>4.6861199116651235</v>
      </c>
      <c r="B509"/>
      <c r="C509"/>
      <c r="D509"/>
      <c r="E509"/>
      <c r="BG509" s="27" t="s">
        <v>8</v>
      </c>
      <c r="BH509" s="27" t="s">
        <v>7</v>
      </c>
    </row>
    <row r="510" spans="1:75" x14ac:dyDescent="0.25">
      <c r="A510" s="7">
        <v>4.5942352075148269</v>
      </c>
      <c r="B510"/>
      <c r="C510"/>
      <c r="D510"/>
      <c r="E510"/>
      <c r="BG510" s="27" t="s">
        <v>8</v>
      </c>
      <c r="BH510" s="27" t="s">
        <v>7</v>
      </c>
    </row>
    <row r="511" spans="1:75" x14ac:dyDescent="0.25">
      <c r="A511" s="7">
        <v>4.5041521642302227</v>
      </c>
      <c r="B511"/>
      <c r="C511"/>
      <c r="D511"/>
      <c r="E511"/>
      <c r="BG511" s="27" t="s">
        <v>8</v>
      </c>
      <c r="BH511" s="27" t="s">
        <v>7</v>
      </c>
    </row>
    <row r="512" spans="1:75" x14ac:dyDescent="0.25">
      <c r="A512" s="7">
        <v>4.4158354551276693</v>
      </c>
      <c r="B512"/>
      <c r="C512"/>
      <c r="D512"/>
      <c r="E512"/>
      <c r="BG512" s="27" t="s">
        <v>8</v>
      </c>
      <c r="BH512" s="27" t="s">
        <v>7</v>
      </c>
      <c r="BW512" s="27" t="s">
        <v>8</v>
      </c>
    </row>
    <row r="513" spans="1:105" x14ac:dyDescent="0.25">
      <c r="A513" s="7">
        <v>4.3292504462035977</v>
      </c>
      <c r="B513"/>
      <c r="C513"/>
      <c r="D513"/>
      <c r="E513"/>
      <c r="BG513" s="27" t="s">
        <v>8</v>
      </c>
      <c r="BH513" s="27" t="s">
        <v>7</v>
      </c>
      <c r="BI513" s="27" t="s">
        <v>8</v>
      </c>
      <c r="BW513" s="27" t="s">
        <v>8</v>
      </c>
      <c r="BX513" s="27" t="s">
        <v>7</v>
      </c>
    </row>
    <row r="514" spans="1:105" x14ac:dyDescent="0.25">
      <c r="A514" s="7">
        <v>4.2443631825525463</v>
      </c>
      <c r="B514"/>
      <c r="C514"/>
      <c r="D514"/>
      <c r="E514"/>
      <c r="BG514" s="27" t="s">
        <v>8</v>
      </c>
      <c r="BH514" s="27" t="s">
        <v>7</v>
      </c>
      <c r="BI514" s="27" t="s">
        <v>8</v>
      </c>
      <c r="BJ514" s="27" t="s">
        <v>7</v>
      </c>
      <c r="BW514" s="27" t="s">
        <v>8</v>
      </c>
      <c r="BX514" s="27" t="s">
        <v>7</v>
      </c>
    </row>
    <row r="515" spans="1:105" x14ac:dyDescent="0.25">
      <c r="A515" s="7">
        <v>4.1611403750515157</v>
      </c>
      <c r="B515"/>
      <c r="C515"/>
      <c r="D515"/>
      <c r="E515"/>
      <c r="BG515" s="27" t="s">
        <v>8</v>
      </c>
      <c r="BH515" s="27" t="s">
        <v>7</v>
      </c>
      <c r="BI515" s="27" t="s">
        <v>8</v>
      </c>
      <c r="BJ515" s="27" t="s">
        <v>7</v>
      </c>
      <c r="BW515" s="27" t="s">
        <v>8</v>
      </c>
      <c r="BX515" s="27" t="s">
        <v>7</v>
      </c>
    </row>
    <row r="516" spans="1:105" x14ac:dyDescent="0.25">
      <c r="A516" s="7">
        <v>4.0795493873054074</v>
      </c>
      <c r="B516"/>
      <c r="C516"/>
      <c r="D516"/>
      <c r="E516"/>
      <c r="BG516" s="27" t="s">
        <v>8</v>
      </c>
      <c r="BH516" s="27" t="s">
        <v>7</v>
      </c>
      <c r="BI516" s="27" t="s">
        <v>8</v>
      </c>
      <c r="BJ516" s="27" t="s">
        <v>7</v>
      </c>
      <c r="BK516" s="27" t="s">
        <v>8</v>
      </c>
      <c r="BW516" s="27" t="s">
        <v>8</v>
      </c>
      <c r="BX516" s="27" t="s">
        <v>7</v>
      </c>
    </row>
    <row r="517" spans="1:105" x14ac:dyDescent="0.25">
      <c r="A517" s="7">
        <v>3.9995582228484383</v>
      </c>
      <c r="B517"/>
      <c r="C517"/>
      <c r="D517"/>
      <c r="E517"/>
      <c r="BG517" s="27" t="s">
        <v>8</v>
      </c>
      <c r="BH517" s="27" t="s">
        <v>7</v>
      </c>
      <c r="BI517" s="27" t="s">
        <v>8</v>
      </c>
      <c r="BJ517" s="27" t="s">
        <v>7</v>
      </c>
      <c r="BK517" s="27" t="s">
        <v>8</v>
      </c>
      <c r="BL517" s="27" t="s">
        <v>7</v>
      </c>
      <c r="BW517" s="27" t="s">
        <v>8</v>
      </c>
      <c r="BX517" s="27" t="s">
        <v>7</v>
      </c>
    </row>
    <row r="518" spans="1:105" x14ac:dyDescent="0.25">
      <c r="A518" s="7">
        <v>3.9211355125965079</v>
      </c>
      <c r="B518"/>
      <c r="C518"/>
      <c r="D518"/>
      <c r="E518"/>
      <c r="BG518" s="27" t="s">
        <v>8</v>
      </c>
      <c r="BH518" s="27" t="s">
        <v>7</v>
      </c>
      <c r="BI518" s="27" t="s">
        <v>8</v>
      </c>
      <c r="BJ518" s="27" t="s">
        <v>7</v>
      </c>
      <c r="BK518" s="27" t="s">
        <v>8</v>
      </c>
      <c r="BL518" s="27" t="s">
        <v>7</v>
      </c>
      <c r="BW518" s="27" t="s">
        <v>8</v>
      </c>
      <c r="BX518" s="27" t="s">
        <v>7</v>
      </c>
    </row>
    <row r="519" spans="1:105" x14ac:dyDescent="0.25">
      <c r="A519" s="7">
        <v>3.844250502545596</v>
      </c>
      <c r="B519"/>
      <c r="C519"/>
      <c r="D519"/>
      <c r="E519"/>
      <c r="BG519" s="27" t="s">
        <v>8</v>
      </c>
      <c r="BH519" s="27" t="s">
        <v>7</v>
      </c>
      <c r="BI519" s="27" t="s">
        <v>8</v>
      </c>
      <c r="BJ519" s="27" t="s">
        <v>7</v>
      </c>
      <c r="BK519" s="27" t="s">
        <v>8</v>
      </c>
      <c r="BL519" s="27" t="s">
        <v>7</v>
      </c>
      <c r="BW519" s="27" t="s">
        <v>8</v>
      </c>
      <c r="BX519" s="27" t="s">
        <v>7</v>
      </c>
      <c r="CG519" s="27" t="s">
        <v>8</v>
      </c>
    </row>
    <row r="520" spans="1:105" x14ac:dyDescent="0.25">
      <c r="A520" s="7">
        <v>3.7688730417113687</v>
      </c>
      <c r="B520"/>
      <c r="C520"/>
      <c r="D520"/>
      <c r="E520"/>
      <c r="BG520" s="27" t="s">
        <v>8</v>
      </c>
      <c r="BH520" s="27" t="s">
        <v>7</v>
      </c>
      <c r="BI520" s="27" t="s">
        <v>8</v>
      </c>
      <c r="BJ520" s="27" t="s">
        <v>7</v>
      </c>
      <c r="BK520" s="27" t="s">
        <v>8</v>
      </c>
      <c r="BL520" s="27" t="s">
        <v>7</v>
      </c>
      <c r="BW520" s="27" t="s">
        <v>8</v>
      </c>
      <c r="BX520" s="27" t="s">
        <v>7</v>
      </c>
      <c r="CG520" s="27" t="s">
        <v>8</v>
      </c>
      <c r="CH520" s="27" t="s">
        <v>7</v>
      </c>
    </row>
    <row r="521" spans="1:105" x14ac:dyDescent="0.25">
      <c r="A521" s="7">
        <v>3.6949735703052635</v>
      </c>
      <c r="B521"/>
      <c r="C521"/>
      <c r="D521"/>
      <c r="E521"/>
      <c r="BG521" s="27" t="s">
        <v>8</v>
      </c>
      <c r="BH521" s="27" t="s">
        <v>7</v>
      </c>
      <c r="BI521" s="27" t="s">
        <v>8</v>
      </c>
      <c r="BJ521" s="27" t="s">
        <v>7</v>
      </c>
      <c r="BK521" s="27" t="s">
        <v>8</v>
      </c>
      <c r="BL521" s="27" t="s">
        <v>7</v>
      </c>
      <c r="BW521" s="27" t="s">
        <v>8</v>
      </c>
      <c r="BX521" s="27" t="s">
        <v>7</v>
      </c>
      <c r="CG521" s="27" t="s">
        <v>8</v>
      </c>
      <c r="CH521" s="27" t="s">
        <v>7</v>
      </c>
      <c r="CI521" s="27" t="s">
        <v>8</v>
      </c>
    </row>
    <row r="522" spans="1:105" x14ac:dyDescent="0.25">
      <c r="A522" s="7">
        <v>3.6225231081424152</v>
      </c>
      <c r="B522"/>
      <c r="C522"/>
      <c r="D522"/>
      <c r="E522"/>
      <c r="BG522" s="27" t="s">
        <v>8</v>
      </c>
      <c r="BH522" s="27" t="s">
        <v>7</v>
      </c>
      <c r="BI522" s="27" t="s">
        <v>8</v>
      </c>
      <c r="BJ522" s="27" t="s">
        <v>7</v>
      </c>
      <c r="BK522" s="27" t="s">
        <v>8</v>
      </c>
      <c r="BL522" s="27" t="s">
        <v>7</v>
      </c>
      <c r="BW522" s="27" t="s">
        <v>8</v>
      </c>
      <c r="BX522" s="27" t="s">
        <v>7</v>
      </c>
      <c r="CG522" s="27" t="s">
        <v>8</v>
      </c>
      <c r="CH522" s="27" t="s">
        <v>7</v>
      </c>
      <c r="CI522" s="27" t="s">
        <v>8</v>
      </c>
      <c r="CJ522" s="27" t="s">
        <v>7</v>
      </c>
      <c r="CK522" s="27" t="s">
        <v>8</v>
      </c>
    </row>
    <row r="523" spans="1:105" x14ac:dyDescent="0.25">
      <c r="A523" s="7">
        <v>3.5514932432768775</v>
      </c>
      <c r="B523"/>
      <c r="C523"/>
      <c r="D523"/>
      <c r="E523"/>
      <c r="BG523" s="27" t="s">
        <v>8</v>
      </c>
      <c r="BH523" s="27" t="s">
        <v>7</v>
      </c>
      <c r="BI523" s="27" t="s">
        <v>8</v>
      </c>
      <c r="BJ523" s="27" t="s">
        <v>7</v>
      </c>
      <c r="BK523" s="27" t="s">
        <v>8</v>
      </c>
      <c r="BL523" s="27" t="s">
        <v>7</v>
      </c>
      <c r="BW523" s="27" t="s">
        <v>8</v>
      </c>
      <c r="BX523" s="27" t="s">
        <v>7</v>
      </c>
      <c r="CG523" s="27" t="s">
        <v>8</v>
      </c>
      <c r="CH523" s="27" t="s">
        <v>7</v>
      </c>
      <c r="CI523" s="27" t="s">
        <v>8</v>
      </c>
      <c r="CJ523" s="27" t="s">
        <v>7</v>
      </c>
      <c r="CK523" s="27" t="s">
        <v>8</v>
      </c>
      <c r="CL523" s="27" t="s">
        <v>7</v>
      </c>
    </row>
    <row r="524" spans="1:105" x14ac:dyDescent="0.25">
      <c r="A524" s="7">
        <v>3.4818561208596837</v>
      </c>
      <c r="B524"/>
      <c r="C524"/>
      <c r="D524"/>
      <c r="E524"/>
      <c r="BG524" s="27" t="s">
        <v>8</v>
      </c>
      <c r="BH524" s="27" t="s">
        <v>7</v>
      </c>
      <c r="BI524" s="27" t="s">
        <v>8</v>
      </c>
      <c r="BJ524" s="27" t="s">
        <v>7</v>
      </c>
      <c r="BK524" s="27" t="s">
        <v>8</v>
      </c>
      <c r="BL524" s="27" t="s">
        <v>7</v>
      </c>
      <c r="BM524" s="27" t="s">
        <v>8</v>
      </c>
      <c r="BW524" s="27" t="s">
        <v>8</v>
      </c>
      <c r="BX524" s="27" t="s">
        <v>7</v>
      </c>
      <c r="CG524" s="27" t="s">
        <v>8</v>
      </c>
      <c r="CH524" s="27" t="s">
        <v>7</v>
      </c>
      <c r="CI524" s="27" t="s">
        <v>8</v>
      </c>
      <c r="CJ524" s="27" t="s">
        <v>7</v>
      </c>
      <c r="CK524" s="27" t="s">
        <v>8</v>
      </c>
      <c r="CL524" s="27" t="s">
        <v>7</v>
      </c>
      <c r="CY524" s="27" t="s">
        <v>8</v>
      </c>
    </row>
    <row r="525" spans="1:105" x14ac:dyDescent="0.25">
      <c r="A525" s="7">
        <v>3.4135844322153761</v>
      </c>
      <c r="B525"/>
      <c r="C525"/>
      <c r="D525"/>
      <c r="E525"/>
      <c r="BG525" s="27" t="s">
        <v>8</v>
      </c>
      <c r="BH525" s="27" t="s">
        <v>7</v>
      </c>
      <c r="BI525" s="27" t="s">
        <v>8</v>
      </c>
      <c r="BJ525" s="27" t="s">
        <v>7</v>
      </c>
      <c r="BK525" s="27" t="s">
        <v>8</v>
      </c>
      <c r="BL525" s="27" t="s">
        <v>7</v>
      </c>
      <c r="BM525" s="27" t="s">
        <v>8</v>
      </c>
      <c r="BN525" s="27" t="s">
        <v>7</v>
      </c>
      <c r="BW525" s="27" t="s">
        <v>8</v>
      </c>
      <c r="BX525" s="27" t="s">
        <v>7</v>
      </c>
      <c r="CE525" s="27" t="s">
        <v>8</v>
      </c>
      <c r="CG525" s="27" t="s">
        <v>8</v>
      </c>
      <c r="CH525" s="27" t="s">
        <v>7</v>
      </c>
      <c r="CI525" s="27" t="s">
        <v>8</v>
      </c>
      <c r="CJ525" s="27" t="s">
        <v>7</v>
      </c>
      <c r="CK525" s="27" t="s">
        <v>8</v>
      </c>
      <c r="CL525" s="27" t="s">
        <v>7</v>
      </c>
      <c r="CY525" s="27" t="s">
        <v>8</v>
      </c>
      <c r="CZ525" s="27" t="s">
        <v>7</v>
      </c>
    </row>
    <row r="526" spans="1:105" x14ac:dyDescent="0.25">
      <c r="A526" s="7">
        <v>3.3466514041327216</v>
      </c>
      <c r="B526"/>
      <c r="C526"/>
      <c r="D526"/>
      <c r="E526"/>
      <c r="BG526" s="27" t="s">
        <v>8</v>
      </c>
      <c r="BH526" s="27" t="s">
        <v>7</v>
      </c>
      <c r="BI526" s="27" t="s">
        <v>8</v>
      </c>
      <c r="BJ526" s="27" t="s">
        <v>7</v>
      </c>
      <c r="BK526" s="27" t="s">
        <v>8</v>
      </c>
      <c r="BL526" s="27" t="s">
        <v>7</v>
      </c>
      <c r="BM526" s="27" t="s">
        <v>8</v>
      </c>
      <c r="BN526" s="27" t="s">
        <v>7</v>
      </c>
      <c r="BW526" s="27" t="s">
        <v>8</v>
      </c>
      <c r="BX526" s="27" t="s">
        <v>7</v>
      </c>
      <c r="CE526" s="27" t="s">
        <v>8</v>
      </c>
      <c r="CF526" s="27" t="s">
        <v>7</v>
      </c>
      <c r="CG526" s="27" t="s">
        <v>8</v>
      </c>
      <c r="CH526" s="27" t="s">
        <v>7</v>
      </c>
      <c r="CI526" s="27" t="s">
        <v>8</v>
      </c>
      <c r="CJ526" s="27" t="s">
        <v>7</v>
      </c>
      <c r="CK526" s="27" t="s">
        <v>8</v>
      </c>
      <c r="CL526" s="27" t="s">
        <v>7</v>
      </c>
      <c r="CY526" s="27" t="s">
        <v>8</v>
      </c>
      <c r="CZ526" s="27" t="s">
        <v>7</v>
      </c>
    </row>
    <row r="527" spans="1:105" x14ac:dyDescent="0.25">
      <c r="A527" s="7">
        <v>3.2810307883654133</v>
      </c>
      <c r="B527"/>
      <c r="C527"/>
      <c r="D527"/>
      <c r="E527"/>
      <c r="BG527" s="27" t="s">
        <v>8</v>
      </c>
      <c r="BH527" s="27" t="s">
        <v>7</v>
      </c>
      <c r="BJ527" s="27" t="s">
        <v>7</v>
      </c>
      <c r="BK527" s="27" t="s">
        <v>8</v>
      </c>
      <c r="BL527" s="27" t="s">
        <v>7</v>
      </c>
      <c r="BM527" s="27" t="s">
        <v>8</v>
      </c>
      <c r="BN527" s="27" t="s">
        <v>7</v>
      </c>
      <c r="BQ527" s="27" t="s">
        <v>8</v>
      </c>
      <c r="BW527" s="27" t="s">
        <v>8</v>
      </c>
      <c r="BX527" s="27" t="s">
        <v>7</v>
      </c>
      <c r="CE527" s="27" t="s">
        <v>8</v>
      </c>
      <c r="CF527" s="27" t="s">
        <v>7</v>
      </c>
      <c r="CG527" s="27" t="s">
        <v>8</v>
      </c>
      <c r="CH527" s="27" t="s">
        <v>7</v>
      </c>
      <c r="CI527" s="27" t="s">
        <v>8</v>
      </c>
      <c r="CJ527" s="27" t="s">
        <v>7</v>
      </c>
      <c r="CK527" s="27" t="s">
        <v>8</v>
      </c>
      <c r="CL527" s="27" t="s">
        <v>7</v>
      </c>
      <c r="CY527" s="27" t="s">
        <v>8</v>
      </c>
      <c r="CZ527" s="27" t="s">
        <v>7</v>
      </c>
    </row>
    <row r="528" spans="1:105" x14ac:dyDescent="0.25">
      <c r="A528" s="7">
        <v>3.2166968513386403</v>
      </c>
      <c r="B528"/>
      <c r="C528"/>
      <c r="D528"/>
      <c r="E528"/>
      <c r="BG528" s="27" t="s">
        <v>8</v>
      </c>
      <c r="BJ528" s="27" t="s">
        <v>7</v>
      </c>
      <c r="BK528" s="27" t="s">
        <v>8</v>
      </c>
      <c r="BL528" s="27" t="s">
        <v>7</v>
      </c>
      <c r="BM528" s="27" t="s">
        <v>8</v>
      </c>
      <c r="BN528" s="27" t="s">
        <v>7</v>
      </c>
      <c r="BQ528" s="27" t="s">
        <v>8</v>
      </c>
      <c r="BR528" s="27" t="s">
        <v>7</v>
      </c>
      <c r="BW528" s="27" t="s">
        <v>8</v>
      </c>
      <c r="BX528" s="27" t="s">
        <v>7</v>
      </c>
      <c r="BY528" s="27" t="s">
        <v>8</v>
      </c>
      <c r="CE528" s="27" t="s">
        <v>8</v>
      </c>
      <c r="CF528" s="27" t="s">
        <v>7</v>
      </c>
      <c r="CG528" s="27" t="s">
        <v>8</v>
      </c>
      <c r="CH528" s="27" t="s">
        <v>7</v>
      </c>
      <c r="CI528" s="27" t="s">
        <v>8</v>
      </c>
      <c r="CJ528" s="27" t="s">
        <v>7</v>
      </c>
      <c r="CK528" s="27" t="s">
        <v>8</v>
      </c>
      <c r="CL528" s="27" t="s">
        <v>7</v>
      </c>
      <c r="CY528" s="27" t="s">
        <v>8</v>
      </c>
      <c r="CZ528" s="27" t="s">
        <v>7</v>
      </c>
      <c r="DA528" s="27" t="s">
        <v>8</v>
      </c>
    </row>
    <row r="529" spans="1:111" x14ac:dyDescent="0.25">
      <c r="A529" s="7">
        <v>3.1536243640574906</v>
      </c>
      <c r="B529"/>
      <c r="C529"/>
      <c r="D529"/>
      <c r="E529"/>
      <c r="BG529" s="27" t="s">
        <v>8</v>
      </c>
      <c r="BJ529" s="27" t="s">
        <v>7</v>
      </c>
      <c r="BK529" s="27" t="s">
        <v>8</v>
      </c>
      <c r="BL529" s="27" t="s">
        <v>7</v>
      </c>
      <c r="BM529" s="27" t="s">
        <v>8</v>
      </c>
      <c r="BN529" s="27" t="s">
        <v>7</v>
      </c>
      <c r="BQ529" s="27" t="s">
        <v>8</v>
      </c>
      <c r="BR529" s="27" t="s">
        <v>7</v>
      </c>
      <c r="BW529" s="27" t="s">
        <v>8</v>
      </c>
      <c r="BX529" s="27" t="s">
        <v>7</v>
      </c>
      <c r="BY529" s="27" t="s">
        <v>8</v>
      </c>
      <c r="BZ529" s="27" t="s">
        <v>7</v>
      </c>
      <c r="CE529" s="27" t="s">
        <v>8</v>
      </c>
      <c r="CF529" s="27" t="s">
        <v>7</v>
      </c>
      <c r="CG529" s="27" t="s">
        <v>8</v>
      </c>
      <c r="CH529" s="27" t="s">
        <v>7</v>
      </c>
      <c r="CJ529" s="27" t="s">
        <v>7</v>
      </c>
      <c r="CL529" s="27" t="s">
        <v>7</v>
      </c>
      <c r="CY529" s="27" t="s">
        <v>8</v>
      </c>
      <c r="CZ529" s="27" t="s">
        <v>7</v>
      </c>
      <c r="DA529" s="27" t="s">
        <v>8</v>
      </c>
      <c r="DB529" s="27" t="s">
        <v>7</v>
      </c>
    </row>
    <row r="530" spans="1:111" x14ac:dyDescent="0.25">
      <c r="A530" s="7">
        <v>3.0917885922132262</v>
      </c>
      <c r="B530"/>
      <c r="C530"/>
      <c r="D530"/>
      <c r="E530"/>
      <c r="BG530" s="27" t="s">
        <v>8</v>
      </c>
      <c r="BJ530" s="27" t="s">
        <v>7</v>
      </c>
      <c r="BK530" s="27" t="s">
        <v>8</v>
      </c>
      <c r="BL530" s="27" t="s">
        <v>7</v>
      </c>
      <c r="BM530" s="27" t="s">
        <v>8</v>
      </c>
      <c r="BN530" s="27" t="s">
        <v>7</v>
      </c>
      <c r="BQ530" s="27" t="s">
        <v>8</v>
      </c>
      <c r="BR530" s="27" t="s">
        <v>7</v>
      </c>
      <c r="BW530" s="27" t="s">
        <v>8</v>
      </c>
      <c r="BX530" s="27" t="s">
        <v>7</v>
      </c>
      <c r="BY530" s="27" t="s">
        <v>8</v>
      </c>
      <c r="BZ530" s="27" t="s">
        <v>7</v>
      </c>
      <c r="CE530" s="27" t="s">
        <v>8</v>
      </c>
      <c r="CF530" s="27" t="s">
        <v>7</v>
      </c>
      <c r="CG530" s="27" t="s">
        <v>8</v>
      </c>
      <c r="CL530" s="27" t="s">
        <v>7</v>
      </c>
      <c r="CM530" s="27" t="s">
        <v>8</v>
      </c>
      <c r="CY530" s="27" t="s">
        <v>8</v>
      </c>
      <c r="CZ530" s="27" t="s">
        <v>7</v>
      </c>
      <c r="DA530" s="27" t="s">
        <v>8</v>
      </c>
      <c r="DB530" s="27" t="s">
        <v>7</v>
      </c>
    </row>
    <row r="531" spans="1:111" x14ac:dyDescent="0.25">
      <c r="A531" s="7">
        <v>3.0311652864835552</v>
      </c>
      <c r="B531"/>
      <c r="C531"/>
      <c r="D531"/>
      <c r="E531"/>
      <c r="BG531" s="27" t="s">
        <v>8</v>
      </c>
      <c r="BJ531" s="27" t="s">
        <v>7</v>
      </c>
      <c r="BL531" s="27" t="s">
        <v>7</v>
      </c>
      <c r="BM531" s="27" t="s">
        <v>8</v>
      </c>
      <c r="BN531" s="27" t="s">
        <v>7</v>
      </c>
      <c r="BQ531" s="27" t="s">
        <v>8</v>
      </c>
      <c r="BR531" s="27" t="s">
        <v>7</v>
      </c>
      <c r="BW531" s="27" t="s">
        <v>8</v>
      </c>
      <c r="BX531" s="27" t="s">
        <v>7</v>
      </c>
      <c r="BY531" s="27" t="s">
        <v>8</v>
      </c>
      <c r="BZ531" s="27" t="s">
        <v>7</v>
      </c>
      <c r="CE531" s="27" t="s">
        <v>8</v>
      </c>
      <c r="CF531" s="27" t="s">
        <v>7</v>
      </c>
      <c r="CG531" s="27" t="s">
        <v>8</v>
      </c>
      <c r="CL531" s="27" t="s">
        <v>7</v>
      </c>
      <c r="CM531" s="27" t="s">
        <v>8</v>
      </c>
      <c r="CN531" s="27" t="s">
        <v>7</v>
      </c>
      <c r="CY531" s="27" t="s">
        <v>8</v>
      </c>
      <c r="CZ531" s="27" t="s">
        <v>7</v>
      </c>
      <c r="DA531" s="27" t="s">
        <v>8</v>
      </c>
      <c r="DB531" s="27" t="s">
        <v>7</v>
      </c>
    </row>
    <row r="532" spans="1:111" x14ac:dyDescent="0.25">
      <c r="A532" s="7">
        <v>2.9717306730230932</v>
      </c>
      <c r="B532"/>
      <c r="C532"/>
      <c r="D532"/>
      <c r="E532"/>
      <c r="BG532" s="27" t="s">
        <v>8</v>
      </c>
      <c r="BL532" s="27" t="s">
        <v>7</v>
      </c>
      <c r="BM532" s="27" t="s">
        <v>8</v>
      </c>
      <c r="BN532" s="27" t="s">
        <v>7</v>
      </c>
      <c r="BQ532" s="27" t="s">
        <v>8</v>
      </c>
      <c r="BR532" s="27" t="s">
        <v>7</v>
      </c>
      <c r="BS532" s="27" t="s">
        <v>8</v>
      </c>
      <c r="BW532" s="27" t="s">
        <v>8</v>
      </c>
      <c r="BX532" s="27" t="s">
        <v>7</v>
      </c>
      <c r="BY532" s="27" t="s">
        <v>8</v>
      </c>
      <c r="BZ532" s="27" t="s">
        <v>7</v>
      </c>
      <c r="CE532" s="27" t="s">
        <v>8</v>
      </c>
      <c r="CF532" s="27" t="s">
        <v>7</v>
      </c>
      <c r="CG532" s="27" t="s">
        <v>8</v>
      </c>
      <c r="CL532" s="27" t="s">
        <v>7</v>
      </c>
      <c r="CM532" s="27" t="s">
        <v>8</v>
      </c>
      <c r="CN532" s="27" t="s">
        <v>7</v>
      </c>
      <c r="CO532" s="27" t="s">
        <v>8</v>
      </c>
      <c r="CY532" s="27" t="s">
        <v>8</v>
      </c>
      <c r="CZ532" s="27" t="s">
        <v>7</v>
      </c>
      <c r="DA532" s="27" t="s">
        <v>8</v>
      </c>
      <c r="DB532" s="27" t="s">
        <v>7</v>
      </c>
    </row>
    <row r="533" spans="1:111" x14ac:dyDescent="0.25">
      <c r="A533" s="7">
        <v>2.9134614441402875</v>
      </c>
      <c r="B533"/>
      <c r="C533"/>
      <c r="D533"/>
      <c r="E533"/>
      <c r="BG533" s="27" t="s">
        <v>8</v>
      </c>
      <c r="BL533" s="27" t="s">
        <v>7</v>
      </c>
      <c r="BM533" s="27" t="s">
        <v>8</v>
      </c>
      <c r="BN533" s="27" t="s">
        <v>7</v>
      </c>
      <c r="BQ533" s="27" t="s">
        <v>8</v>
      </c>
      <c r="BR533" s="27" t="s">
        <v>7</v>
      </c>
      <c r="BS533" s="27" t="s">
        <v>8</v>
      </c>
      <c r="BT533" s="27" t="s">
        <v>7</v>
      </c>
      <c r="BW533" s="27" t="s">
        <v>8</v>
      </c>
      <c r="BX533" s="27" t="s">
        <v>7</v>
      </c>
      <c r="BY533" s="27" t="s">
        <v>8</v>
      </c>
      <c r="BZ533" s="27" t="s">
        <v>7</v>
      </c>
      <c r="CE533" s="27" t="s">
        <v>8</v>
      </c>
      <c r="CF533" s="27" t="s">
        <v>7</v>
      </c>
      <c r="CG533" s="27" t="s">
        <v>8</v>
      </c>
      <c r="CL533" s="27" t="s">
        <v>7</v>
      </c>
      <c r="CN533" s="27" t="s">
        <v>7</v>
      </c>
      <c r="CO533" s="27" t="s">
        <v>8</v>
      </c>
      <c r="CP533" s="27" t="s">
        <v>7</v>
      </c>
      <c r="CY533" s="27" t="s">
        <v>8</v>
      </c>
      <c r="CZ533" s="27" t="s">
        <v>7</v>
      </c>
      <c r="DA533" s="27" t="s">
        <v>8</v>
      </c>
      <c r="DB533" s="27" t="s">
        <v>7</v>
      </c>
    </row>
    <row r="534" spans="1:111" x14ac:dyDescent="0.25">
      <c r="A534" s="7">
        <v>2.8563347491571447</v>
      </c>
      <c r="B534"/>
      <c r="C534"/>
      <c r="D534"/>
      <c r="E534"/>
      <c r="BG534" s="27" t="s">
        <v>8</v>
      </c>
      <c r="BL534" s="27" t="s">
        <v>7</v>
      </c>
      <c r="BM534" s="27" t="s">
        <v>8</v>
      </c>
      <c r="BN534" s="27" t="s">
        <v>7</v>
      </c>
      <c r="BQ534" s="27" t="s">
        <v>8</v>
      </c>
      <c r="BR534" s="27" t="s">
        <v>7</v>
      </c>
      <c r="BS534" s="27" t="s">
        <v>8</v>
      </c>
      <c r="BT534" s="27" t="s">
        <v>7</v>
      </c>
      <c r="BW534" s="27" t="s">
        <v>8</v>
      </c>
      <c r="BX534" s="27" t="s">
        <v>7</v>
      </c>
      <c r="BY534" s="27" t="s">
        <v>8</v>
      </c>
      <c r="BZ534" s="27" t="s">
        <v>7</v>
      </c>
      <c r="CA534" s="27" t="s">
        <v>8</v>
      </c>
      <c r="CC534" s="27" t="s">
        <v>8</v>
      </c>
      <c r="CE534" s="27" t="s">
        <v>8</v>
      </c>
      <c r="CF534" s="27" t="s">
        <v>7</v>
      </c>
      <c r="CG534" s="27" t="s">
        <v>8</v>
      </c>
      <c r="CN534" s="27" t="s">
        <v>7</v>
      </c>
      <c r="CO534" s="27" t="s">
        <v>8</v>
      </c>
      <c r="CP534" s="27" t="s">
        <v>7</v>
      </c>
      <c r="CY534" s="27" t="s">
        <v>8</v>
      </c>
      <c r="CZ534" s="27" t="s">
        <v>7</v>
      </c>
      <c r="DA534" s="27" t="s">
        <v>8</v>
      </c>
      <c r="DB534" s="27" t="s">
        <v>7</v>
      </c>
    </row>
    <row r="535" spans="1:111" x14ac:dyDescent="0.25">
      <c r="A535" s="7">
        <v>2.8003281854481812</v>
      </c>
      <c r="B535"/>
      <c r="C535"/>
      <c r="D535"/>
      <c r="E535"/>
      <c r="BG535" s="27" t="s">
        <v>8</v>
      </c>
      <c r="BL535" s="27" t="s">
        <v>7</v>
      </c>
      <c r="BM535" s="27" t="s">
        <v>8</v>
      </c>
      <c r="BN535" s="27" t="s">
        <v>7</v>
      </c>
      <c r="BQ535" s="27" t="s">
        <v>8</v>
      </c>
      <c r="BR535" s="27" t="s">
        <v>7</v>
      </c>
      <c r="BS535" s="27" t="s">
        <v>8</v>
      </c>
      <c r="BT535" s="27" t="s">
        <v>7</v>
      </c>
      <c r="BW535" s="27" t="s">
        <v>8</v>
      </c>
      <c r="BX535" s="27" t="s">
        <v>7</v>
      </c>
      <c r="BY535" s="27" t="s">
        <v>8</v>
      </c>
      <c r="BZ535" s="27" t="s">
        <v>7</v>
      </c>
      <c r="CA535" s="27" t="s">
        <v>8</v>
      </c>
      <c r="CB535" s="27" t="s">
        <v>7</v>
      </c>
      <c r="CC535" s="27" t="s">
        <v>8</v>
      </c>
      <c r="CD535" s="27" t="s">
        <v>7</v>
      </c>
      <c r="CE535" s="27" t="s">
        <v>8</v>
      </c>
      <c r="CF535" s="27" t="s">
        <v>7</v>
      </c>
      <c r="CG535" s="27" t="s">
        <v>8</v>
      </c>
      <c r="CN535" s="27" t="s">
        <v>7</v>
      </c>
      <c r="CP535" s="27" t="s">
        <v>7</v>
      </c>
      <c r="CY535" s="27" t="s">
        <v>8</v>
      </c>
      <c r="CZ535" s="27" t="s">
        <v>7</v>
      </c>
      <c r="DA535" s="27" t="s">
        <v>8</v>
      </c>
      <c r="DB535" s="27" t="s">
        <v>7</v>
      </c>
    </row>
    <row r="536" spans="1:111" x14ac:dyDescent="0.25">
      <c r="A536" s="7">
        <v>2.7454197896550796</v>
      </c>
      <c r="B536"/>
      <c r="C536"/>
      <c r="D536"/>
      <c r="E536"/>
      <c r="BG536" s="27" t="s">
        <v>8</v>
      </c>
      <c r="BL536" s="27" t="s">
        <v>7</v>
      </c>
      <c r="BM536" s="27" t="s">
        <v>8</v>
      </c>
      <c r="BN536" s="27" t="s">
        <v>7</v>
      </c>
      <c r="BQ536" s="27" t="s">
        <v>8</v>
      </c>
      <c r="BR536" s="27" t="s">
        <v>7</v>
      </c>
      <c r="BT536" s="27" t="s">
        <v>7</v>
      </c>
      <c r="BW536" s="27" t="s">
        <v>8</v>
      </c>
      <c r="BX536" s="27" t="s">
        <v>7</v>
      </c>
      <c r="BY536" s="27" t="s">
        <v>8</v>
      </c>
      <c r="BZ536" s="27" t="s">
        <v>7</v>
      </c>
      <c r="CA536" s="27" t="s">
        <v>8</v>
      </c>
      <c r="CB536" s="27" t="s">
        <v>7</v>
      </c>
      <c r="CC536" s="27" t="s">
        <v>8</v>
      </c>
      <c r="CD536" s="27" t="s">
        <v>7</v>
      </c>
      <c r="CE536" s="27" t="s">
        <v>8</v>
      </c>
      <c r="CF536" s="27" t="s">
        <v>7</v>
      </c>
      <c r="CG536" s="27" t="s">
        <v>8</v>
      </c>
      <c r="CP536" s="27" t="s">
        <v>7</v>
      </c>
      <c r="CY536" s="27" t="s">
        <v>8</v>
      </c>
      <c r="CZ536" s="27" t="s">
        <v>7</v>
      </c>
      <c r="DA536" s="27" t="s">
        <v>8</v>
      </c>
      <c r="DB536" s="27" t="s">
        <v>7</v>
      </c>
      <c r="DE536" s="27" t="s">
        <v>8</v>
      </c>
    </row>
    <row r="537" spans="1:111" x14ac:dyDescent="0.25">
      <c r="A537" s="7">
        <v>2.6915880290736074</v>
      </c>
      <c r="B537"/>
      <c r="C537"/>
      <c r="D537"/>
      <c r="E537"/>
      <c r="BG537" s="27" t="s">
        <v>8</v>
      </c>
      <c r="BL537" s="27" t="s">
        <v>7</v>
      </c>
      <c r="BM537" s="27" t="s">
        <v>8</v>
      </c>
      <c r="BN537" s="27" t="s">
        <v>7</v>
      </c>
      <c r="BO537" s="27" t="s">
        <v>8</v>
      </c>
      <c r="BQ537" s="27" t="s">
        <v>8</v>
      </c>
      <c r="BT537" s="27" t="s">
        <v>7</v>
      </c>
      <c r="BW537" s="27" t="s">
        <v>8</v>
      </c>
      <c r="BX537" s="27" t="s">
        <v>7</v>
      </c>
      <c r="BY537" s="27" t="s">
        <v>8</v>
      </c>
      <c r="BZ537" s="27" t="s">
        <v>7</v>
      </c>
      <c r="CA537" s="27" t="s">
        <v>8</v>
      </c>
      <c r="CB537" s="27" t="s">
        <v>7</v>
      </c>
      <c r="CC537" s="27" t="s">
        <v>8</v>
      </c>
      <c r="CD537" s="27" t="s">
        <v>7</v>
      </c>
      <c r="CE537" s="27" t="s">
        <v>8</v>
      </c>
      <c r="CF537" s="27" t="s">
        <v>7</v>
      </c>
      <c r="CG537" s="27" t="s">
        <v>8</v>
      </c>
      <c r="CP537" s="27" t="s">
        <v>7</v>
      </c>
      <c r="CY537" s="27" t="s">
        <v>8</v>
      </c>
      <c r="CZ537" s="27" t="s">
        <v>7</v>
      </c>
      <c r="DA537" s="27" t="s">
        <v>8</v>
      </c>
      <c r="DB537" s="27" t="s">
        <v>7</v>
      </c>
      <c r="DC537" s="27" t="s">
        <v>8</v>
      </c>
      <c r="DE537" s="27" t="s">
        <v>8</v>
      </c>
      <c r="DF537" s="27" t="s">
        <v>7</v>
      </c>
    </row>
    <row r="538" spans="1:111" x14ac:dyDescent="0.25">
      <c r="A538" s="7">
        <v>2.6388117932094191</v>
      </c>
      <c r="B538"/>
      <c r="C538"/>
      <c r="D538"/>
      <c r="E538"/>
      <c r="BG538" s="27" t="s">
        <v>8</v>
      </c>
      <c r="BL538" s="27" t="s">
        <v>7</v>
      </c>
      <c r="BM538" s="27" t="s">
        <v>8</v>
      </c>
      <c r="BN538" s="27" t="s">
        <v>7</v>
      </c>
      <c r="BO538" s="27" t="s">
        <v>8</v>
      </c>
      <c r="BP538" s="27" t="s">
        <v>7</v>
      </c>
      <c r="BQ538" s="27" t="s">
        <v>8</v>
      </c>
      <c r="BT538" s="27" t="s">
        <v>7</v>
      </c>
      <c r="BW538" s="27" t="s">
        <v>8</v>
      </c>
      <c r="BX538" s="27" t="s">
        <v>7</v>
      </c>
      <c r="BY538" s="27" t="s">
        <v>8</v>
      </c>
      <c r="BZ538" s="27" t="s">
        <v>7</v>
      </c>
      <c r="CA538" s="27" t="s">
        <v>8</v>
      </c>
      <c r="CB538" s="27" t="s">
        <v>7</v>
      </c>
      <c r="CC538" s="27" t="s">
        <v>8</v>
      </c>
      <c r="CD538" s="27" t="s">
        <v>7</v>
      </c>
      <c r="CF538" s="27" t="s">
        <v>7</v>
      </c>
      <c r="CG538" s="27" t="s">
        <v>8</v>
      </c>
      <c r="CP538" s="27" t="s">
        <v>7</v>
      </c>
      <c r="CY538" s="27" t="s">
        <v>8</v>
      </c>
      <c r="CZ538" s="27" t="s">
        <v>7</v>
      </c>
      <c r="DA538" s="27" t="s">
        <v>8</v>
      </c>
      <c r="DB538" s="27" t="s">
        <v>7</v>
      </c>
      <c r="DC538" s="27" t="s">
        <v>8</v>
      </c>
      <c r="DD538" s="27" t="s">
        <v>7</v>
      </c>
      <c r="DE538" s="27" t="s">
        <v>8</v>
      </c>
      <c r="DF538" s="27" t="s">
        <v>7</v>
      </c>
    </row>
    <row r="539" spans="1:111" x14ac:dyDescent="0.25">
      <c r="A539" s="7">
        <v>2.5870703854994304</v>
      </c>
      <c r="B539"/>
      <c r="C539"/>
      <c r="D539"/>
      <c r="E539"/>
      <c r="BG539" s="27" t="s">
        <v>8</v>
      </c>
      <c r="BL539" s="27" t="s">
        <v>7</v>
      </c>
      <c r="BM539" s="27" t="s">
        <v>8</v>
      </c>
      <c r="BN539" s="27" t="s">
        <v>7</v>
      </c>
      <c r="BO539" s="27" t="s">
        <v>8</v>
      </c>
      <c r="BP539" s="27" t="s">
        <v>7</v>
      </c>
      <c r="BQ539" s="27" t="s">
        <v>8</v>
      </c>
      <c r="BT539" s="27" t="s">
        <v>7</v>
      </c>
      <c r="BW539" s="27" t="s">
        <v>8</v>
      </c>
      <c r="BX539" s="27" t="s">
        <v>7</v>
      </c>
      <c r="BY539" s="27" t="s">
        <v>8</v>
      </c>
      <c r="BZ539" s="27" t="s">
        <v>7</v>
      </c>
      <c r="CA539" s="27" t="s">
        <v>8</v>
      </c>
      <c r="CB539" s="27" t="s">
        <v>7</v>
      </c>
      <c r="CC539" s="27" t="s">
        <v>8</v>
      </c>
      <c r="CF539" s="27" t="s">
        <v>7</v>
      </c>
      <c r="CG539" s="27" t="s">
        <v>8</v>
      </c>
      <c r="CP539" s="27" t="s">
        <v>7</v>
      </c>
      <c r="CQ539" s="27" t="s">
        <v>8</v>
      </c>
      <c r="CY539" s="27" t="s">
        <v>8</v>
      </c>
      <c r="CZ539" s="27" t="s">
        <v>7</v>
      </c>
      <c r="DA539" s="27" t="s">
        <v>8</v>
      </c>
      <c r="DB539" s="27" t="s">
        <v>7</v>
      </c>
      <c r="DC539" s="27" t="s">
        <v>8</v>
      </c>
      <c r="DD539" s="27" t="s">
        <v>7</v>
      </c>
      <c r="DE539" s="27" t="s">
        <v>8</v>
      </c>
      <c r="DF539" s="27" t="s">
        <v>7</v>
      </c>
    </row>
    <row r="540" spans="1:111" x14ac:dyDescent="0.25">
      <c r="A540" s="7">
        <v>2.53634351519552</v>
      </c>
      <c r="B540"/>
      <c r="C540"/>
      <c r="D540"/>
      <c r="E540"/>
      <c r="BG540" s="27" t="s">
        <v>8</v>
      </c>
      <c r="BL540" s="27" t="s">
        <v>7</v>
      </c>
      <c r="BM540" s="27" t="s">
        <v>8</v>
      </c>
      <c r="BN540" s="27" t="s">
        <v>7</v>
      </c>
      <c r="BP540" s="27" t="s">
        <v>7</v>
      </c>
      <c r="BQ540" s="27" t="s">
        <v>8</v>
      </c>
      <c r="BT540" s="27" t="s">
        <v>7</v>
      </c>
      <c r="BW540" s="27" t="s">
        <v>8</v>
      </c>
      <c r="BX540" s="27" t="s">
        <v>7</v>
      </c>
      <c r="BY540" s="27" t="s">
        <v>8</v>
      </c>
      <c r="BZ540" s="27" t="s">
        <v>7</v>
      </c>
      <c r="CA540" s="27" t="s">
        <v>8</v>
      </c>
      <c r="CB540" s="27" t="s">
        <v>7</v>
      </c>
      <c r="CC540" s="27" t="s">
        <v>8</v>
      </c>
      <c r="CF540" s="27" t="s">
        <v>7</v>
      </c>
      <c r="CG540" s="27" t="s">
        <v>8</v>
      </c>
      <c r="CP540" s="27" t="s">
        <v>7</v>
      </c>
      <c r="CQ540" s="27" t="s">
        <v>8</v>
      </c>
      <c r="CR540" s="27" t="s">
        <v>7</v>
      </c>
      <c r="CY540" s="27" t="s">
        <v>8</v>
      </c>
      <c r="CZ540" s="27" t="s">
        <v>7</v>
      </c>
      <c r="DA540" s="27" t="s">
        <v>8</v>
      </c>
      <c r="DB540" s="27" t="s">
        <v>7</v>
      </c>
      <c r="DD540" s="27" t="s">
        <v>7</v>
      </c>
      <c r="DE540" s="27" t="s">
        <v>8</v>
      </c>
      <c r="DF540" s="27" t="s">
        <v>7</v>
      </c>
    </row>
    <row r="541" spans="1:111" x14ac:dyDescent="0.25">
      <c r="A541" s="7">
        <v>2.4866112894073726</v>
      </c>
      <c r="B541"/>
      <c r="C541"/>
      <c r="D541"/>
      <c r="E541"/>
      <c r="BG541" s="27" t="s">
        <v>8</v>
      </c>
      <c r="BL541" s="27" t="s">
        <v>7</v>
      </c>
      <c r="BM541" s="27" t="s">
        <v>8</v>
      </c>
      <c r="BP541" s="27" t="s">
        <v>7</v>
      </c>
      <c r="BQ541" s="27" t="s">
        <v>8</v>
      </c>
      <c r="BT541" s="27" t="s">
        <v>7</v>
      </c>
      <c r="BU541" s="27" t="s">
        <v>8</v>
      </c>
      <c r="BW541" s="27" t="s">
        <v>8</v>
      </c>
      <c r="BX541" s="27" t="s">
        <v>7</v>
      </c>
      <c r="BY541" s="27" t="s">
        <v>8</v>
      </c>
      <c r="BZ541" s="27" t="s">
        <v>7</v>
      </c>
      <c r="CA541" s="27" t="s">
        <v>8</v>
      </c>
      <c r="CB541" s="27" t="s">
        <v>7</v>
      </c>
      <c r="CC541" s="27" t="s">
        <v>8</v>
      </c>
      <c r="CF541" s="27" t="s">
        <v>7</v>
      </c>
      <c r="CG541" s="27" t="s">
        <v>8</v>
      </c>
      <c r="CP541" s="27" t="s">
        <v>7</v>
      </c>
      <c r="CQ541" s="27" t="s">
        <v>8</v>
      </c>
      <c r="CR541" s="27" t="s">
        <v>7</v>
      </c>
      <c r="CY541" s="27" t="s">
        <v>8</v>
      </c>
      <c r="CZ541" s="27" t="s">
        <v>7</v>
      </c>
      <c r="DD541" s="27" t="s">
        <v>7</v>
      </c>
      <c r="DE541" s="27" t="s">
        <v>8</v>
      </c>
      <c r="DF541" s="27" t="s">
        <v>7</v>
      </c>
    </row>
    <row r="542" spans="1:111" x14ac:dyDescent="0.25">
      <c r="A542" s="7">
        <v>2.4378542053013459</v>
      </c>
      <c r="B542"/>
      <c r="C542"/>
      <c r="D542"/>
      <c r="E542"/>
      <c r="BG542" s="27" t="s">
        <v>8</v>
      </c>
      <c r="BL542" s="27" t="s">
        <v>7</v>
      </c>
      <c r="BM542" s="27" t="s">
        <v>8</v>
      </c>
      <c r="BP542" s="27" t="s">
        <v>7</v>
      </c>
      <c r="BT542" s="27" t="s">
        <v>7</v>
      </c>
      <c r="BU542" s="27" t="s">
        <v>8</v>
      </c>
      <c r="BV542" s="27" t="s">
        <v>7</v>
      </c>
      <c r="BW542" s="27" t="s">
        <v>8</v>
      </c>
      <c r="BX542" s="27" t="s">
        <v>7</v>
      </c>
      <c r="BY542" s="27" t="s">
        <v>8</v>
      </c>
      <c r="BZ542" s="27" t="s">
        <v>7</v>
      </c>
      <c r="CA542" s="27" t="s">
        <v>8</v>
      </c>
      <c r="CB542" s="27" t="s">
        <v>7</v>
      </c>
      <c r="CC542" s="27" t="s">
        <v>8</v>
      </c>
      <c r="CF542" s="27" t="s">
        <v>7</v>
      </c>
      <c r="CP542" s="27" t="s">
        <v>7</v>
      </c>
      <c r="CQ542" s="27" t="s">
        <v>8</v>
      </c>
      <c r="CR542" s="27" t="s">
        <v>7</v>
      </c>
      <c r="CS542" s="27" t="s">
        <v>8</v>
      </c>
      <c r="CY542" s="27" t="s">
        <v>8</v>
      </c>
      <c r="DD542" s="27" t="s">
        <v>7</v>
      </c>
      <c r="DE542" s="27" t="s">
        <v>8</v>
      </c>
      <c r="DF542" s="27" t="s">
        <v>7</v>
      </c>
    </row>
    <row r="543" spans="1:111" x14ac:dyDescent="0.25">
      <c r="A543" s="7">
        <v>2.3900531424522997</v>
      </c>
      <c r="B543"/>
      <c r="C543"/>
      <c r="D543"/>
      <c r="E543"/>
      <c r="BG543" s="27" t="s">
        <v>8</v>
      </c>
      <c r="BL543" s="27" t="s">
        <v>7</v>
      </c>
      <c r="BM543" s="27" t="s">
        <v>8</v>
      </c>
      <c r="BT543" s="27" t="s">
        <v>7</v>
      </c>
      <c r="BU543" s="27" t="s">
        <v>8</v>
      </c>
      <c r="BV543" s="27" t="s">
        <v>7</v>
      </c>
      <c r="BW543" s="27" t="s">
        <v>8</v>
      </c>
      <c r="BX543" s="27" t="s">
        <v>7</v>
      </c>
      <c r="BY543" s="27" t="s">
        <v>8</v>
      </c>
      <c r="BZ543" s="27" t="s">
        <v>7</v>
      </c>
      <c r="CA543" s="27" t="s">
        <v>8</v>
      </c>
      <c r="CB543" s="27" t="s">
        <v>7</v>
      </c>
      <c r="CC543" s="27" t="s">
        <v>8</v>
      </c>
      <c r="CP543" s="27" t="s">
        <v>7</v>
      </c>
      <c r="CQ543" s="27" t="s">
        <v>8</v>
      </c>
      <c r="CR543" s="27" t="s">
        <v>7</v>
      </c>
      <c r="CS543" s="27" t="s">
        <v>8</v>
      </c>
      <c r="CT543" s="27" t="s">
        <v>7</v>
      </c>
      <c r="CY543" s="27" t="s">
        <v>8</v>
      </c>
      <c r="DD543" s="27" t="s">
        <v>7</v>
      </c>
      <c r="DE543" s="27" t="s">
        <v>8</v>
      </c>
      <c r="DF543" s="27" t="s">
        <v>7</v>
      </c>
    </row>
    <row r="544" spans="1:111" x14ac:dyDescent="0.25">
      <c r="A544" s="7">
        <v>2.343189355345392</v>
      </c>
      <c r="B544"/>
      <c r="C544"/>
      <c r="D544"/>
      <c r="E544"/>
      <c r="BG544" s="27" t="s">
        <v>8</v>
      </c>
      <c r="BL544" s="27" t="s">
        <v>7</v>
      </c>
      <c r="BM544" s="27" t="s">
        <v>8</v>
      </c>
      <c r="BT544" s="27" t="s">
        <v>7</v>
      </c>
      <c r="BU544" s="27" t="s">
        <v>8</v>
      </c>
      <c r="BV544" s="27" t="s">
        <v>7</v>
      </c>
      <c r="BW544" s="27" t="s">
        <v>8</v>
      </c>
      <c r="BX544" s="27" t="s">
        <v>7</v>
      </c>
      <c r="BY544" s="27" t="s">
        <v>8</v>
      </c>
      <c r="BZ544" s="27" t="s">
        <v>7</v>
      </c>
      <c r="CA544" s="27" t="s">
        <v>8</v>
      </c>
      <c r="CB544" s="27" t="s">
        <v>7</v>
      </c>
      <c r="CC544" s="27" t="s">
        <v>8</v>
      </c>
      <c r="CP544" s="27" t="s">
        <v>7</v>
      </c>
      <c r="CQ544" s="27" t="s">
        <v>8</v>
      </c>
      <c r="CR544" s="27" t="s">
        <v>7</v>
      </c>
      <c r="CS544" s="27" t="s">
        <v>8</v>
      </c>
      <c r="CT544" s="27" t="s">
        <v>7</v>
      </c>
      <c r="CY544" s="27" t="s">
        <v>8</v>
      </c>
      <c r="DD544" s="27" t="s">
        <v>7</v>
      </c>
      <c r="DF544" s="27" t="s">
        <v>7</v>
      </c>
      <c r="DG544" s="27" t="s">
        <v>8</v>
      </c>
    </row>
    <row r="545" spans="1:182" x14ac:dyDescent="0.25">
      <c r="A545" s="7">
        <v>2.2972444660248938</v>
      </c>
      <c r="B545"/>
      <c r="C545"/>
      <c r="D545"/>
      <c r="E545"/>
      <c r="BG545" s="27" t="s">
        <v>8</v>
      </c>
      <c r="BL545" s="27" t="s">
        <v>7</v>
      </c>
      <c r="BM545" s="27" t="s">
        <v>8</v>
      </c>
      <c r="BT545" s="27" t="s">
        <v>7</v>
      </c>
      <c r="BU545" s="27" t="s">
        <v>8</v>
      </c>
      <c r="BV545" s="27" t="s">
        <v>7</v>
      </c>
      <c r="BW545" s="27" t="s">
        <v>8</v>
      </c>
      <c r="BX545" s="27" t="s">
        <v>7</v>
      </c>
      <c r="BY545" s="27" t="s">
        <v>8</v>
      </c>
      <c r="BZ545" s="27" t="s">
        <v>7</v>
      </c>
      <c r="CA545" s="27" t="s">
        <v>8</v>
      </c>
      <c r="CB545" s="27" t="s">
        <v>7</v>
      </c>
      <c r="CC545" s="27" t="s">
        <v>8</v>
      </c>
      <c r="CP545" s="27" t="s">
        <v>7</v>
      </c>
      <c r="CQ545" s="27" t="s">
        <v>8</v>
      </c>
      <c r="CR545" s="27" t="s">
        <v>7</v>
      </c>
      <c r="CS545" s="27" t="s">
        <v>8</v>
      </c>
      <c r="CT545" s="27" t="s">
        <v>7</v>
      </c>
      <c r="CW545" s="27" t="s">
        <v>8</v>
      </c>
      <c r="CY545" s="27" t="s">
        <v>8</v>
      </c>
      <c r="DF545" s="27" t="s">
        <v>7</v>
      </c>
      <c r="DG545" s="27" t="s">
        <v>8</v>
      </c>
      <c r="DH545" s="27" t="s">
        <v>7</v>
      </c>
    </row>
    <row r="546" spans="1:182" x14ac:dyDescent="0.25">
      <c r="A546" s="7">
        <v>2.252200456887151</v>
      </c>
      <c r="B546"/>
      <c r="C546"/>
      <c r="D546"/>
      <c r="E546"/>
      <c r="BG546" s="27" t="s">
        <v>8</v>
      </c>
      <c r="BL546" s="27" t="s">
        <v>7</v>
      </c>
      <c r="BM546" s="27" t="s">
        <v>8</v>
      </c>
      <c r="BT546" s="27" t="s">
        <v>7</v>
      </c>
      <c r="BU546" s="27" t="s">
        <v>8</v>
      </c>
      <c r="BV546" s="27" t="s">
        <v>7</v>
      </c>
      <c r="BW546" s="27" t="s">
        <v>8</v>
      </c>
      <c r="BX546" s="27" t="s">
        <v>7</v>
      </c>
      <c r="BZ546" s="27" t="s">
        <v>7</v>
      </c>
      <c r="CB546" s="27" t="s">
        <v>7</v>
      </c>
      <c r="CC546" s="27" t="s">
        <v>8</v>
      </c>
      <c r="CP546" s="27" t="s">
        <v>7</v>
      </c>
      <c r="CQ546" s="27" t="s">
        <v>8</v>
      </c>
      <c r="CR546" s="27" t="s">
        <v>7</v>
      </c>
      <c r="CS546" s="27" t="s">
        <v>8</v>
      </c>
      <c r="CT546" s="27" t="s">
        <v>7</v>
      </c>
      <c r="CW546" s="27" t="s">
        <v>8</v>
      </c>
      <c r="CX546" s="27" t="s">
        <v>7</v>
      </c>
      <c r="CY546" s="27" t="s">
        <v>8</v>
      </c>
      <c r="DF546" s="27" t="s">
        <v>7</v>
      </c>
      <c r="DG546" s="27" t="s">
        <v>8</v>
      </c>
      <c r="DH546" s="27" t="s">
        <v>7</v>
      </c>
      <c r="FQ546" s="27" t="s">
        <v>8</v>
      </c>
      <c r="FS546" s="27" t="s">
        <v>8</v>
      </c>
    </row>
    <row r="547" spans="1:182" x14ac:dyDescent="0.25">
      <c r="A547" s="7">
        <v>2.208039663614854</v>
      </c>
      <c r="B547"/>
      <c r="C547"/>
      <c r="D547"/>
      <c r="E547"/>
      <c r="BG547" s="27" t="s">
        <v>8</v>
      </c>
      <c r="BL547" s="27" t="s">
        <v>7</v>
      </c>
      <c r="BT547" s="27" t="s">
        <v>7</v>
      </c>
      <c r="BU547" s="27" t="s">
        <v>8</v>
      </c>
      <c r="BV547" s="27" t="s">
        <v>7</v>
      </c>
      <c r="BW547" s="27" t="s">
        <v>8</v>
      </c>
      <c r="CB547" s="27" t="s">
        <v>7</v>
      </c>
      <c r="CC547" s="27" t="s">
        <v>8</v>
      </c>
      <c r="CP547" s="27" t="s">
        <v>7</v>
      </c>
      <c r="CQ547" s="27" t="s">
        <v>8</v>
      </c>
      <c r="CR547" s="27" t="s">
        <v>7</v>
      </c>
      <c r="CS547" s="27" t="s">
        <v>8</v>
      </c>
      <c r="CT547" s="27" t="s">
        <v>7</v>
      </c>
      <c r="CW547" s="27" t="s">
        <v>8</v>
      </c>
      <c r="CX547" s="27" t="s">
        <v>7</v>
      </c>
      <c r="CY547" s="27" t="s">
        <v>8</v>
      </c>
      <c r="DF547" s="27" t="s">
        <v>7</v>
      </c>
      <c r="DG547" s="27" t="s">
        <v>8</v>
      </c>
      <c r="DH547" s="27" t="s">
        <v>7</v>
      </c>
      <c r="FQ547" s="27" t="s">
        <v>8</v>
      </c>
      <c r="FR547" s="27" t="s">
        <v>7</v>
      </c>
      <c r="FS547" s="27" t="s">
        <v>8</v>
      </c>
      <c r="FT547" s="27" t="s">
        <v>7</v>
      </c>
    </row>
    <row r="548" spans="1:182" x14ac:dyDescent="0.25">
      <c r="A548" s="7">
        <v>2.1647447682498568</v>
      </c>
      <c r="B548"/>
      <c r="C548"/>
      <c r="D548"/>
      <c r="E548"/>
      <c r="BG548" s="27" t="s">
        <v>8</v>
      </c>
      <c r="BT548" s="27" t="s">
        <v>7</v>
      </c>
      <c r="BU548" s="27" t="s">
        <v>8</v>
      </c>
      <c r="BV548" s="27" t="s">
        <v>7</v>
      </c>
      <c r="BW548" s="27" t="s">
        <v>8</v>
      </c>
      <c r="CB548" s="27" t="s">
        <v>7</v>
      </c>
      <c r="CP548" s="27" t="s">
        <v>7</v>
      </c>
      <c r="CR548" s="27" t="s">
        <v>7</v>
      </c>
      <c r="CS548" s="27" t="s">
        <v>8</v>
      </c>
      <c r="CT548" s="27" t="s">
        <v>7</v>
      </c>
      <c r="CW548" s="27" t="s">
        <v>8</v>
      </c>
      <c r="CX548" s="27" t="s">
        <v>7</v>
      </c>
      <c r="CY548" s="27" t="s">
        <v>8</v>
      </c>
      <c r="DF548" s="27" t="s">
        <v>7</v>
      </c>
      <c r="DG548" s="27" t="s">
        <v>8</v>
      </c>
      <c r="DH548" s="27" t="s">
        <v>7</v>
      </c>
      <c r="DI548" s="27" t="s">
        <v>8</v>
      </c>
      <c r="DK548" s="27" t="s">
        <v>8</v>
      </c>
      <c r="FQ548" s="27" t="s">
        <v>8</v>
      </c>
      <c r="FR548" s="27" t="s">
        <v>7</v>
      </c>
      <c r="FS548" s="27" t="s">
        <v>8</v>
      </c>
      <c r="FT548" s="27" t="s">
        <v>7</v>
      </c>
    </row>
    <row r="549" spans="1:182" x14ac:dyDescent="0.25">
      <c r="A549" s="7">
        <v>2.1222987924018204</v>
      </c>
      <c r="B549"/>
      <c r="C549"/>
      <c r="D549"/>
      <c r="E549"/>
      <c r="BG549" s="27" t="s">
        <v>8</v>
      </c>
      <c r="BT549" s="27" t="s">
        <v>7</v>
      </c>
      <c r="BU549" s="27" t="s">
        <v>8</v>
      </c>
      <c r="BV549" s="27" t="s">
        <v>7</v>
      </c>
      <c r="BW549" s="27" t="s">
        <v>8</v>
      </c>
      <c r="CR549" s="27" t="s">
        <v>7</v>
      </c>
      <c r="CS549" s="27" t="s">
        <v>8</v>
      </c>
      <c r="CT549" s="27" t="s">
        <v>7</v>
      </c>
      <c r="CW549" s="27" t="s">
        <v>8</v>
      </c>
      <c r="CX549" s="27" t="s">
        <v>7</v>
      </c>
      <c r="CY549" s="27" t="s">
        <v>8</v>
      </c>
      <c r="DF549" s="27" t="s">
        <v>7</v>
      </c>
      <c r="DG549" s="27" t="s">
        <v>8</v>
      </c>
      <c r="DH549" s="27" t="s">
        <v>7</v>
      </c>
      <c r="DI549" s="27" t="s">
        <v>8</v>
      </c>
      <c r="DJ549" s="27" t="s">
        <v>7</v>
      </c>
      <c r="DK549" s="27" t="s">
        <v>8</v>
      </c>
      <c r="DL549" s="27" t="s">
        <v>7</v>
      </c>
      <c r="FQ549" s="27" t="s">
        <v>8</v>
      </c>
      <c r="FR549" s="27" t="s">
        <v>7</v>
      </c>
      <c r="FS549" s="27" t="s">
        <v>8</v>
      </c>
      <c r="FT549" s="27" t="s">
        <v>7</v>
      </c>
    </row>
    <row r="550" spans="1:182" x14ac:dyDescent="0.25">
      <c r="A550" s="7">
        <v>2.0806850905900198</v>
      </c>
      <c r="B550"/>
      <c r="C550"/>
      <c r="D550"/>
      <c r="E550"/>
      <c r="BG550" s="27" t="s">
        <v>8</v>
      </c>
      <c r="BT550" s="27" t="s">
        <v>7</v>
      </c>
      <c r="BV550" s="27" t="s">
        <v>7</v>
      </c>
      <c r="BW550" s="27" t="s">
        <v>8</v>
      </c>
      <c r="CR550" s="27" t="s">
        <v>7</v>
      </c>
      <c r="CS550" s="27" t="s">
        <v>8</v>
      </c>
      <c r="CT550" s="27" t="s">
        <v>7</v>
      </c>
      <c r="CW550" s="27" t="s">
        <v>8</v>
      </c>
      <c r="CX550" s="27" t="s">
        <v>7</v>
      </c>
      <c r="CY550" s="27" t="s">
        <v>8</v>
      </c>
      <c r="DF550" s="27" t="s">
        <v>7</v>
      </c>
      <c r="DG550" s="27" t="s">
        <v>8</v>
      </c>
      <c r="DH550" s="27" t="s">
        <v>7</v>
      </c>
      <c r="DI550" s="27" t="s">
        <v>8</v>
      </c>
      <c r="DJ550" s="27" t="s">
        <v>7</v>
      </c>
      <c r="DK550" s="27" t="s">
        <v>8</v>
      </c>
      <c r="DL550" s="27" t="s">
        <v>7</v>
      </c>
      <c r="FQ550" s="27" t="s">
        <v>8</v>
      </c>
      <c r="FR550" s="27" t="s">
        <v>7</v>
      </c>
      <c r="FS550" s="27" t="s">
        <v>8</v>
      </c>
      <c r="FT550" s="27" t="s">
        <v>7</v>
      </c>
      <c r="FW550" s="27" t="s">
        <v>8</v>
      </c>
    </row>
    <row r="551" spans="1:182" x14ac:dyDescent="0.25">
      <c r="A551" s="7">
        <v>2.0398873437157055</v>
      </c>
      <c r="B551"/>
      <c r="C551"/>
      <c r="D551"/>
      <c r="E551"/>
      <c r="BG551" s="27" t="s">
        <v>8</v>
      </c>
      <c r="BV551" s="27" t="s">
        <v>7</v>
      </c>
      <c r="CR551" s="27" t="s">
        <v>7</v>
      </c>
      <c r="CS551" s="27" t="s">
        <v>8</v>
      </c>
      <c r="CT551" s="27" t="s">
        <v>7</v>
      </c>
      <c r="CW551" s="27" t="s">
        <v>8</v>
      </c>
      <c r="CX551" s="27" t="s">
        <v>7</v>
      </c>
      <c r="DF551" s="27" t="s">
        <v>7</v>
      </c>
      <c r="DH551" s="27" t="s">
        <v>7</v>
      </c>
      <c r="DI551" s="27" t="s">
        <v>8</v>
      </c>
      <c r="DJ551" s="27" t="s">
        <v>7</v>
      </c>
      <c r="DK551" s="27" t="s">
        <v>8</v>
      </c>
      <c r="DL551" s="27" t="s">
        <v>7</v>
      </c>
      <c r="FQ551" s="27" t="s">
        <v>8</v>
      </c>
      <c r="FR551" s="27" t="s">
        <v>7</v>
      </c>
      <c r="FS551" s="27" t="s">
        <v>8</v>
      </c>
      <c r="FT551" s="27" t="s">
        <v>7</v>
      </c>
      <c r="FW551" s="27" t="s">
        <v>8</v>
      </c>
      <c r="FX551" s="27" t="s">
        <v>7</v>
      </c>
    </row>
    <row r="552" spans="1:182" x14ac:dyDescent="0.25">
      <c r="A552" s="7">
        <v>1.9998895526624565</v>
      </c>
      <c r="B552"/>
      <c r="C552"/>
      <c r="D552"/>
      <c r="E552"/>
      <c r="BG552" s="27" t="s">
        <v>8</v>
      </c>
      <c r="CR552" s="27" t="s">
        <v>7</v>
      </c>
      <c r="CT552" s="27" t="s">
        <v>7</v>
      </c>
      <c r="CW552" s="27" t="s">
        <v>8</v>
      </c>
      <c r="DH552" s="27" t="s">
        <v>7</v>
      </c>
      <c r="DI552" s="27" t="s">
        <v>8</v>
      </c>
      <c r="DJ552" s="27" t="s">
        <v>7</v>
      </c>
      <c r="DK552" s="27" t="s">
        <v>8</v>
      </c>
      <c r="DL552" s="27" t="s">
        <v>7</v>
      </c>
      <c r="FQ552" s="27" t="s">
        <v>8</v>
      </c>
      <c r="FR552" s="27" t="s">
        <v>7</v>
      </c>
      <c r="FS552" s="27" t="s">
        <v>8</v>
      </c>
      <c r="FT552" s="27" t="s">
        <v>7</v>
      </c>
      <c r="FW552" s="27" t="s">
        <v>8</v>
      </c>
      <c r="FX552" s="27" t="s">
        <v>7</v>
      </c>
    </row>
    <row r="553" spans="1:182" x14ac:dyDescent="0.25">
      <c r="A553" s="7">
        <v>1.9606760320220162</v>
      </c>
      <c r="B553"/>
      <c r="C553"/>
      <c r="D553"/>
      <c r="E553"/>
      <c r="BG553" s="27" t="s">
        <v>8</v>
      </c>
      <c r="CT553" s="27" t="s">
        <v>7</v>
      </c>
      <c r="CW553" s="27" t="s">
        <v>8</v>
      </c>
      <c r="DH553" s="27" t="s">
        <v>7</v>
      </c>
      <c r="DI553" s="27" t="s">
        <v>8</v>
      </c>
      <c r="DJ553" s="27" t="s">
        <v>7</v>
      </c>
      <c r="DK553" s="27" t="s">
        <v>8</v>
      </c>
      <c r="DL553" s="27" t="s">
        <v>7</v>
      </c>
      <c r="FQ553" s="27" t="s">
        <v>8</v>
      </c>
      <c r="FR553" s="27" t="s">
        <v>7</v>
      </c>
      <c r="FS553" s="27" t="s">
        <v>8</v>
      </c>
      <c r="FT553" s="27" t="s">
        <v>7</v>
      </c>
      <c r="FW553" s="27" t="s">
        <v>8</v>
      </c>
      <c r="FX553" s="27" t="s">
        <v>7</v>
      </c>
    </row>
    <row r="554" spans="1:182" x14ac:dyDescent="0.25">
      <c r="A554" s="7">
        <v>1.9222314039431532</v>
      </c>
      <c r="B554"/>
      <c r="C554"/>
      <c r="D554"/>
      <c r="E554"/>
      <c r="BG554" s="27" t="s">
        <v>8</v>
      </c>
      <c r="CT554" s="27" t="s">
        <v>7</v>
      </c>
      <c r="CW554" s="27" t="s">
        <v>8</v>
      </c>
      <c r="DH554" s="27" t="s">
        <v>7</v>
      </c>
      <c r="DI554" s="27" t="s">
        <v>8</v>
      </c>
      <c r="DJ554" s="27" t="s">
        <v>7</v>
      </c>
      <c r="DK554" s="27" t="s">
        <v>8</v>
      </c>
      <c r="DL554" s="27" t="s">
        <v>7</v>
      </c>
      <c r="FQ554" s="27" t="s">
        <v>8</v>
      </c>
      <c r="FR554" s="27" t="s">
        <v>7</v>
      </c>
      <c r="FS554" s="27" t="s">
        <v>8</v>
      </c>
      <c r="FT554" s="27" t="s">
        <v>7</v>
      </c>
      <c r="FW554" s="27" t="s">
        <v>8</v>
      </c>
      <c r="FX554" s="27" t="s">
        <v>7</v>
      </c>
    </row>
    <row r="555" spans="1:182" x14ac:dyDescent="0.25">
      <c r="A555" s="7">
        <v>1.8845405921011305</v>
      </c>
      <c r="B555"/>
      <c r="C555"/>
      <c r="D555"/>
      <c r="E555"/>
      <c r="BG555" s="27" t="s">
        <v>8</v>
      </c>
      <c r="CT555" s="27" t="s">
        <v>7</v>
      </c>
      <c r="CW555" s="27" t="s">
        <v>8</v>
      </c>
      <c r="DH555" s="27" t="s">
        <v>7</v>
      </c>
      <c r="DI555" s="27" t="s">
        <v>8</v>
      </c>
      <c r="DJ555" s="27" t="s">
        <v>7</v>
      </c>
      <c r="DK555" s="27" t="s">
        <v>8</v>
      </c>
      <c r="DL555" s="27" t="s">
        <v>7</v>
      </c>
      <c r="FQ555" s="27" t="s">
        <v>8</v>
      </c>
      <c r="FR555" s="27" t="s">
        <v>7</v>
      </c>
      <c r="FS555" s="27" t="s">
        <v>8</v>
      </c>
      <c r="FT555" s="27" t="s">
        <v>7</v>
      </c>
      <c r="FW555" s="27" t="s">
        <v>8</v>
      </c>
      <c r="FX555" s="27" t="s">
        <v>7</v>
      </c>
    </row>
    <row r="556" spans="1:182" x14ac:dyDescent="0.25">
      <c r="A556" s="7">
        <v>1.8475888157854219</v>
      </c>
      <c r="B556"/>
      <c r="C556"/>
      <c r="D556"/>
      <c r="E556"/>
      <c r="BG556" s="27" t="s">
        <v>8</v>
      </c>
      <c r="CT556" s="27" t="s">
        <v>7</v>
      </c>
      <c r="CW556" s="27" t="s">
        <v>8</v>
      </c>
      <c r="DH556" s="27" t="s">
        <v>7</v>
      </c>
      <c r="DI556" s="27" t="s">
        <v>8</v>
      </c>
      <c r="DJ556" s="27" t="s">
        <v>7</v>
      </c>
      <c r="DK556" s="27" t="s">
        <v>8</v>
      </c>
      <c r="DL556" s="27" t="s">
        <v>7</v>
      </c>
      <c r="FQ556" s="27" t="s">
        <v>8</v>
      </c>
      <c r="FR556" s="27" t="s">
        <v>7</v>
      </c>
      <c r="FS556" s="27" t="s">
        <v>8</v>
      </c>
      <c r="FT556" s="27" t="s">
        <v>7</v>
      </c>
      <c r="FW556" s="27" t="s">
        <v>8</v>
      </c>
      <c r="FX556" s="27" t="s">
        <v>7</v>
      </c>
    </row>
    <row r="557" spans="1:182" x14ac:dyDescent="0.25">
      <c r="A557" s="7">
        <v>1.8113615841033548</v>
      </c>
      <c r="B557"/>
      <c r="C557"/>
      <c r="D557"/>
      <c r="E557"/>
      <c r="BG557" s="27" t="s">
        <v>8</v>
      </c>
      <c r="CT557" s="27" t="s">
        <v>7</v>
      </c>
      <c r="CU557" s="27" t="s">
        <v>8</v>
      </c>
      <c r="CW557" s="27" t="s">
        <v>8</v>
      </c>
      <c r="DH557" s="27" t="s">
        <v>7</v>
      </c>
      <c r="DI557" s="27" t="s">
        <v>8</v>
      </c>
      <c r="DJ557" s="27" t="s">
        <v>7</v>
      </c>
      <c r="DK557" s="27" t="s">
        <v>8</v>
      </c>
      <c r="DL557" s="27" t="s">
        <v>7</v>
      </c>
      <c r="FQ557" s="27" t="s">
        <v>8</v>
      </c>
      <c r="FR557" s="27" t="s">
        <v>7</v>
      </c>
      <c r="FS557" s="27" t="s">
        <v>8</v>
      </c>
      <c r="FT557" s="27" t="s">
        <v>7</v>
      </c>
      <c r="FW557" s="27" t="s">
        <v>8</v>
      </c>
      <c r="FX557" s="27" t="s">
        <v>7</v>
      </c>
    </row>
    <row r="558" spans="1:182" x14ac:dyDescent="0.25">
      <c r="A558" s="7">
        <v>1.7758446902974065</v>
      </c>
      <c r="B558"/>
      <c r="C558"/>
      <c r="D558"/>
      <c r="E558"/>
      <c r="BG558" s="27" t="s">
        <v>8</v>
      </c>
      <c r="CT558" s="27" t="s">
        <v>7</v>
      </c>
      <c r="CU558" s="27" t="s">
        <v>8</v>
      </c>
      <c r="CV558" s="27" t="s">
        <v>7</v>
      </c>
      <c r="CW558" s="27" t="s">
        <v>8</v>
      </c>
      <c r="DH558" s="27" t="s">
        <v>7</v>
      </c>
      <c r="DJ558" s="27" t="s">
        <v>7</v>
      </c>
      <c r="DK558" s="27" t="s">
        <v>8</v>
      </c>
      <c r="DL558" s="27" t="s">
        <v>7</v>
      </c>
      <c r="FQ558" s="27" t="s">
        <v>8</v>
      </c>
      <c r="FR558" s="27" t="s">
        <v>7</v>
      </c>
      <c r="FS558" s="27" t="s">
        <v>8</v>
      </c>
      <c r="FT558" s="27" t="s">
        <v>7</v>
      </c>
      <c r="FU558" s="27" t="s">
        <v>8</v>
      </c>
      <c r="FW558" s="27" t="s">
        <v>8</v>
      </c>
      <c r="FX558" s="27" t="s">
        <v>7</v>
      </c>
      <c r="FY558" s="27" t="s">
        <v>8</v>
      </c>
    </row>
    <row r="559" spans="1:182" x14ac:dyDescent="0.25">
      <c r="A559" s="7">
        <v>1.7410242061739281</v>
      </c>
      <c r="B559"/>
      <c r="C559"/>
      <c r="D559"/>
      <c r="E559"/>
      <c r="BG559" s="27" t="s">
        <v>8</v>
      </c>
      <c r="CT559" s="27" t="s">
        <v>7</v>
      </c>
      <c r="CU559" s="27" t="s">
        <v>8</v>
      </c>
      <c r="CV559" s="27" t="s">
        <v>7</v>
      </c>
      <c r="CW559" s="27" t="s">
        <v>8</v>
      </c>
      <c r="DJ559" s="27" t="s">
        <v>7</v>
      </c>
      <c r="DK559" s="27" t="s">
        <v>8</v>
      </c>
      <c r="DL559" s="27" t="s">
        <v>7</v>
      </c>
      <c r="FQ559" s="27" t="s">
        <v>8</v>
      </c>
      <c r="FR559" s="27" t="s">
        <v>7</v>
      </c>
      <c r="FS559" s="27" t="s">
        <v>8</v>
      </c>
      <c r="FT559" s="27" t="s">
        <v>7</v>
      </c>
      <c r="FU559" s="27" t="s">
        <v>8</v>
      </c>
      <c r="FV559" s="27" t="s">
        <v>7</v>
      </c>
      <c r="FW559" s="27" t="s">
        <v>8</v>
      </c>
      <c r="FX559" s="27" t="s">
        <v>7</v>
      </c>
      <c r="FY559" s="27" t="s">
        <v>8</v>
      </c>
      <c r="FZ559" s="27" t="s">
        <v>7</v>
      </c>
    </row>
    <row r="560" spans="1:182" x14ac:dyDescent="0.25">
      <c r="A560" s="7">
        <v>1.7068864766411058</v>
      </c>
      <c r="B560"/>
      <c r="C560"/>
      <c r="D560"/>
      <c r="E560"/>
      <c r="BG560" s="27" t="s">
        <v>8</v>
      </c>
      <c r="CT560" s="27" t="s">
        <v>7</v>
      </c>
      <c r="CU560" s="27" t="s">
        <v>8</v>
      </c>
      <c r="CV560" s="27" t="s">
        <v>7</v>
      </c>
      <c r="CW560" s="27" t="s">
        <v>8</v>
      </c>
      <c r="DJ560" s="27" t="s">
        <v>7</v>
      </c>
      <c r="DK560" s="27" t="s">
        <v>8</v>
      </c>
      <c r="DL560" s="27" t="s">
        <v>7</v>
      </c>
      <c r="FQ560" s="27" t="s">
        <v>8</v>
      </c>
      <c r="FR560" s="27" t="s">
        <v>7</v>
      </c>
      <c r="FS560" s="27" t="s">
        <v>8</v>
      </c>
      <c r="FT560" s="27" t="s">
        <v>7</v>
      </c>
      <c r="FU560" s="27" t="s">
        <v>8</v>
      </c>
      <c r="FV560" s="27" t="s">
        <v>7</v>
      </c>
      <c r="FW560" s="27" t="s">
        <v>8</v>
      </c>
      <c r="FX560" s="27" t="s">
        <v>7</v>
      </c>
      <c r="FY560" s="27" t="s">
        <v>8</v>
      </c>
      <c r="FZ560" s="27" t="s">
        <v>7</v>
      </c>
    </row>
    <row r="561" spans="1:218" x14ac:dyDescent="0.25">
      <c r="A561" s="7">
        <v>1.6734181143540252</v>
      </c>
      <c r="B561"/>
      <c r="C561"/>
      <c r="D561"/>
      <c r="E561"/>
      <c r="BG561" s="27" t="s">
        <v>8</v>
      </c>
      <c r="CT561" s="27" t="s">
        <v>7</v>
      </c>
      <c r="CU561" s="27" t="s">
        <v>8</v>
      </c>
      <c r="CV561" s="27" t="s">
        <v>7</v>
      </c>
      <c r="CW561" s="27" t="s">
        <v>8</v>
      </c>
      <c r="DJ561" s="27" t="s">
        <v>7</v>
      </c>
      <c r="DL561" s="27" t="s">
        <v>7</v>
      </c>
      <c r="FG561" s="27" t="s">
        <v>8</v>
      </c>
      <c r="FQ561" s="27" t="s">
        <v>8</v>
      </c>
      <c r="FR561" s="27" t="s">
        <v>7</v>
      </c>
      <c r="FS561" s="27" t="s">
        <v>8</v>
      </c>
      <c r="FT561" s="27" t="s">
        <v>7</v>
      </c>
      <c r="FU561" s="27" t="s">
        <v>8</v>
      </c>
      <c r="FV561" s="27" t="s">
        <v>7</v>
      </c>
      <c r="FW561" s="27" t="s">
        <v>8</v>
      </c>
      <c r="FX561" s="27" t="s">
        <v>7</v>
      </c>
      <c r="FY561" s="27" t="s">
        <v>8</v>
      </c>
      <c r="FZ561" s="27" t="s">
        <v>7</v>
      </c>
    </row>
    <row r="562" spans="1:218" x14ac:dyDescent="0.25">
      <c r="A562" s="7">
        <v>1.6406059944647307</v>
      </c>
      <c r="B562"/>
      <c r="C562"/>
      <c r="D562"/>
      <c r="E562"/>
      <c r="BG562" s="27" t="s">
        <v>8</v>
      </c>
      <c r="CT562" s="27" t="s">
        <v>7</v>
      </c>
      <c r="CU562" s="27" t="s">
        <v>8</v>
      </c>
      <c r="CV562" s="27" t="s">
        <v>7</v>
      </c>
      <c r="CW562" s="27" t="s">
        <v>8</v>
      </c>
      <c r="DL562" s="27" t="s">
        <v>7</v>
      </c>
      <c r="FG562" s="27" t="s">
        <v>8</v>
      </c>
      <c r="FH562" s="27" t="s">
        <v>7</v>
      </c>
      <c r="FQ562" s="27" t="s">
        <v>8</v>
      </c>
      <c r="FR562" s="27" t="s">
        <v>7</v>
      </c>
      <c r="FS562" s="27" t="s">
        <v>8</v>
      </c>
      <c r="FT562" s="27" t="s">
        <v>7</v>
      </c>
      <c r="FU562" s="27" t="s">
        <v>8</v>
      </c>
      <c r="FV562" s="27" t="s">
        <v>7</v>
      </c>
      <c r="FW562" s="27" t="s">
        <v>8</v>
      </c>
      <c r="FX562" s="27" t="s">
        <v>7</v>
      </c>
      <c r="FY562" s="27" t="s">
        <v>8</v>
      </c>
      <c r="FZ562" s="27" t="s">
        <v>7</v>
      </c>
    </row>
    <row r="563" spans="1:218" x14ac:dyDescent="0.25">
      <c r="A563" s="7">
        <v>1.6084372494752261</v>
      </c>
      <c r="B563"/>
      <c r="C563"/>
      <c r="D563"/>
      <c r="E563"/>
      <c r="BG563" s="27" t="s">
        <v>8</v>
      </c>
      <c r="CT563" s="27" t="s">
        <v>7</v>
      </c>
      <c r="CU563" s="27" t="s">
        <v>8</v>
      </c>
      <c r="CV563" s="27" t="s">
        <v>7</v>
      </c>
      <c r="DL563" s="27" t="s">
        <v>7</v>
      </c>
      <c r="FG563" s="27" t="s">
        <v>8</v>
      </c>
      <c r="FH563" s="27" t="s">
        <v>7</v>
      </c>
      <c r="FQ563" s="27" t="s">
        <v>8</v>
      </c>
      <c r="FR563" s="27" t="s">
        <v>7</v>
      </c>
      <c r="FS563" s="27" t="s">
        <v>8</v>
      </c>
      <c r="FT563" s="27" t="s">
        <v>7</v>
      </c>
      <c r="FU563" s="27" t="s">
        <v>8</v>
      </c>
      <c r="FV563" s="27" t="s">
        <v>7</v>
      </c>
      <c r="FW563" s="27" t="s">
        <v>8</v>
      </c>
      <c r="FX563" s="27" t="s">
        <v>7</v>
      </c>
      <c r="FY563" s="27" t="s">
        <v>8</v>
      </c>
      <c r="FZ563" s="27" t="s">
        <v>7</v>
      </c>
    </row>
    <row r="564" spans="1:218" x14ac:dyDescent="0.25">
      <c r="A564" s="7">
        <v>1.5768992641913981</v>
      </c>
      <c r="B564"/>
      <c r="C564"/>
      <c r="D564"/>
      <c r="E564"/>
      <c r="BG564" s="27" t="s">
        <v>8</v>
      </c>
      <c r="CT564" s="27" t="s">
        <v>7</v>
      </c>
      <c r="DL564" s="27" t="s">
        <v>7</v>
      </c>
      <c r="FG564" s="27" t="s">
        <v>8</v>
      </c>
      <c r="FH564" s="27" t="s">
        <v>7</v>
      </c>
      <c r="FQ564" s="27" t="s">
        <v>8</v>
      </c>
      <c r="FR564" s="27" t="s">
        <v>7</v>
      </c>
      <c r="FS564" s="27" t="s">
        <v>8</v>
      </c>
      <c r="FT564" s="27" t="s">
        <v>7</v>
      </c>
      <c r="FU564" s="27" t="s">
        <v>8</v>
      </c>
      <c r="FV564" s="27" t="s">
        <v>7</v>
      </c>
      <c r="FW564" s="27" t="s">
        <v>8</v>
      </c>
      <c r="FX564" s="27" t="s">
        <v>7</v>
      </c>
      <c r="FY564" s="27" t="s">
        <v>8</v>
      </c>
      <c r="FZ564" s="27" t="s">
        <v>7</v>
      </c>
    </row>
    <row r="565" spans="1:218" x14ac:dyDescent="0.25">
      <c r="A565" s="7">
        <v>1.5459796707758806</v>
      </c>
      <c r="B565"/>
      <c r="C565"/>
      <c r="D565"/>
      <c r="E565"/>
      <c r="BG565" s="27" t="s">
        <v>8</v>
      </c>
      <c r="DL565" s="27" t="s">
        <v>7</v>
      </c>
      <c r="DM565" s="27" t="s">
        <v>8</v>
      </c>
      <c r="FG565" s="27" t="s">
        <v>8</v>
      </c>
      <c r="FH565" s="27" t="s">
        <v>7</v>
      </c>
      <c r="FQ565" s="27" t="s">
        <v>8</v>
      </c>
      <c r="FR565" s="27" t="s">
        <v>7</v>
      </c>
      <c r="FS565" s="27" t="s">
        <v>8</v>
      </c>
      <c r="FT565" s="27" t="s">
        <v>7</v>
      </c>
      <c r="FU565" s="27" t="s">
        <v>8</v>
      </c>
      <c r="FV565" s="27" t="s">
        <v>7</v>
      </c>
      <c r="FW565" s="27" t="s">
        <v>8</v>
      </c>
      <c r="FX565" s="27" t="s">
        <v>7</v>
      </c>
      <c r="FY565" s="27" t="s">
        <v>8</v>
      </c>
      <c r="FZ565" s="27" t="s">
        <v>7</v>
      </c>
      <c r="GG565" s="27" t="s">
        <v>8</v>
      </c>
      <c r="HC565" s="27" t="s">
        <v>8</v>
      </c>
    </row>
    <row r="566" spans="1:218" x14ac:dyDescent="0.25">
      <c r="A566" s="7">
        <v>1.5156663438979221</v>
      </c>
      <c r="B566"/>
      <c r="C566"/>
      <c r="D566"/>
      <c r="E566"/>
      <c r="BG566" s="27" t="s">
        <v>8</v>
      </c>
      <c r="DL566" s="27" t="s">
        <v>7</v>
      </c>
      <c r="DM566" s="27" t="s">
        <v>8</v>
      </c>
      <c r="DN566" s="27" t="s">
        <v>7</v>
      </c>
      <c r="FG566" s="27" t="s">
        <v>8</v>
      </c>
      <c r="FH566" s="27" t="s">
        <v>7</v>
      </c>
      <c r="FQ566" s="27" t="s">
        <v>8</v>
      </c>
      <c r="FR566" s="27" t="s">
        <v>7</v>
      </c>
      <c r="FS566" s="27" t="s">
        <v>8</v>
      </c>
      <c r="FT566" s="27" t="s">
        <v>7</v>
      </c>
      <c r="FV566" s="27" t="s">
        <v>7</v>
      </c>
      <c r="FW566" s="27" t="s">
        <v>8</v>
      </c>
      <c r="FX566" s="27" t="s">
        <v>7</v>
      </c>
      <c r="FY566" s="27" t="s">
        <v>8</v>
      </c>
      <c r="FZ566" s="27" t="s">
        <v>7</v>
      </c>
      <c r="GG566" s="27" t="s">
        <v>8</v>
      </c>
      <c r="GH566" s="27" t="s">
        <v>7</v>
      </c>
      <c r="HC566" s="27" t="s">
        <v>8</v>
      </c>
      <c r="HD566" s="27" t="s">
        <v>7</v>
      </c>
    </row>
    <row r="567" spans="1:218" x14ac:dyDescent="0.25">
      <c r="A567" s="7">
        <v>1.4859473959783549</v>
      </c>
      <c r="B567"/>
      <c r="C567"/>
      <c r="D567"/>
      <c r="E567"/>
      <c r="BE567" s="27" t="s">
        <v>8</v>
      </c>
      <c r="BG567" s="27" t="s">
        <v>8</v>
      </c>
      <c r="DL567" s="27" t="s">
        <v>7</v>
      </c>
      <c r="DM567" s="27" t="s">
        <v>8</v>
      </c>
      <c r="DN567" s="27" t="s">
        <v>7</v>
      </c>
      <c r="FG567" s="27" t="s">
        <v>8</v>
      </c>
      <c r="FH567" s="27" t="s">
        <v>7</v>
      </c>
      <c r="FI567" s="27" t="s">
        <v>8</v>
      </c>
      <c r="FQ567" s="27" t="s">
        <v>8</v>
      </c>
      <c r="FR567" s="27" t="s">
        <v>7</v>
      </c>
      <c r="FS567" s="27" t="s">
        <v>8</v>
      </c>
      <c r="FV567" s="27" t="s">
        <v>7</v>
      </c>
      <c r="FW567" s="27" t="s">
        <v>8</v>
      </c>
      <c r="FX567" s="27" t="s">
        <v>7</v>
      </c>
      <c r="FY567" s="27" t="s">
        <v>8</v>
      </c>
      <c r="FZ567" s="27" t="s">
        <v>7</v>
      </c>
      <c r="GG567" s="27" t="s">
        <v>8</v>
      </c>
      <c r="GH567" s="27" t="s">
        <v>7</v>
      </c>
      <c r="HC567" s="27" t="s">
        <v>8</v>
      </c>
      <c r="HD567" s="27" t="s">
        <v>7</v>
      </c>
    </row>
    <row r="568" spans="1:218" x14ac:dyDescent="0.25">
      <c r="A568" s="7">
        <v>1.4568111725277988</v>
      </c>
      <c r="B568"/>
      <c r="C568"/>
      <c r="D568"/>
      <c r="E568"/>
      <c r="BE568" s="27" t="s">
        <v>8</v>
      </c>
      <c r="BF568" s="27" t="s">
        <v>7</v>
      </c>
      <c r="BG568" s="27" t="s">
        <v>8</v>
      </c>
      <c r="DL568" s="27" t="s">
        <v>7</v>
      </c>
      <c r="DM568" s="27" t="s">
        <v>8</v>
      </c>
      <c r="DN568" s="27" t="s">
        <v>7</v>
      </c>
      <c r="FG568" s="27" t="s">
        <v>8</v>
      </c>
      <c r="FH568" s="27" t="s">
        <v>7</v>
      </c>
      <c r="FI568" s="27" t="s">
        <v>8</v>
      </c>
      <c r="FJ568" s="27" t="s">
        <v>7</v>
      </c>
      <c r="FQ568" s="27" t="s">
        <v>8</v>
      </c>
      <c r="FR568" s="27" t="s">
        <v>7</v>
      </c>
      <c r="FS568" s="27" t="s">
        <v>8</v>
      </c>
      <c r="FV568" s="27" t="s">
        <v>7</v>
      </c>
      <c r="FW568" s="27" t="s">
        <v>8</v>
      </c>
      <c r="FX568" s="27" t="s">
        <v>7</v>
      </c>
      <c r="FY568" s="27" t="s">
        <v>8</v>
      </c>
      <c r="FZ568" s="27" t="s">
        <v>7</v>
      </c>
      <c r="GG568" s="27" t="s">
        <v>8</v>
      </c>
      <c r="GH568" s="27" t="s">
        <v>7</v>
      </c>
      <c r="GM568" s="27" t="s">
        <v>8</v>
      </c>
      <c r="HC568" s="27" t="s">
        <v>8</v>
      </c>
      <c r="HD568" s="27" t="s">
        <v>7</v>
      </c>
    </row>
    <row r="569" spans="1:218" x14ac:dyDescent="0.25">
      <c r="A569" s="7">
        <v>1.4282462475762734</v>
      </c>
      <c r="B569"/>
      <c r="C569"/>
      <c r="D569"/>
      <c r="E569"/>
      <c r="BE569" s="27" t="s">
        <v>8</v>
      </c>
      <c r="BF569" s="27" t="s">
        <v>7</v>
      </c>
      <c r="BG569" s="27" t="s">
        <v>8</v>
      </c>
      <c r="DL569" s="27" t="s">
        <v>7</v>
      </c>
      <c r="DM569" s="27" t="s">
        <v>8</v>
      </c>
      <c r="DN569" s="27" t="s">
        <v>7</v>
      </c>
      <c r="FG569" s="27" t="s">
        <v>8</v>
      </c>
      <c r="FH569" s="27" t="s">
        <v>7</v>
      </c>
      <c r="FI569" s="27" t="s">
        <v>8</v>
      </c>
      <c r="FJ569" s="27" t="s">
        <v>7</v>
      </c>
      <c r="FQ569" s="27" t="s">
        <v>8</v>
      </c>
      <c r="FR569" s="27" t="s">
        <v>7</v>
      </c>
      <c r="FS569" s="27" t="s">
        <v>8</v>
      </c>
      <c r="FV569" s="27" t="s">
        <v>7</v>
      </c>
      <c r="FW569" s="27" t="s">
        <v>8</v>
      </c>
      <c r="FX569" s="27" t="s">
        <v>7</v>
      </c>
      <c r="FZ569" s="27" t="s">
        <v>7</v>
      </c>
      <c r="GG569" s="27" t="s">
        <v>8</v>
      </c>
      <c r="GH569" s="27" t="s">
        <v>7</v>
      </c>
      <c r="GM569" s="27" t="s">
        <v>8</v>
      </c>
      <c r="GN569" s="27" t="s">
        <v>7</v>
      </c>
      <c r="HC569" s="27" t="s">
        <v>8</v>
      </c>
      <c r="HD569" s="27" t="s">
        <v>7</v>
      </c>
    </row>
    <row r="570" spans="1:218" x14ac:dyDescent="0.25">
      <c r="A570" s="7">
        <v>1.4002414191924248</v>
      </c>
      <c r="B570"/>
      <c r="C570"/>
      <c r="D570"/>
      <c r="E570"/>
      <c r="BE570" s="27" t="s">
        <v>8</v>
      </c>
      <c r="BF570" s="27" t="s">
        <v>7</v>
      </c>
      <c r="BG570" s="27" t="s">
        <v>8</v>
      </c>
      <c r="DL570" s="27" t="s">
        <v>7</v>
      </c>
      <c r="DM570" s="27" t="s">
        <v>8</v>
      </c>
      <c r="DN570" s="27" t="s">
        <v>7</v>
      </c>
      <c r="DQ570" s="27" t="s">
        <v>8</v>
      </c>
      <c r="FG570" s="27" t="s">
        <v>8</v>
      </c>
      <c r="FH570" s="27" t="s">
        <v>7</v>
      </c>
      <c r="FI570" s="27" t="s">
        <v>8</v>
      </c>
      <c r="FJ570" s="27" t="s">
        <v>7</v>
      </c>
      <c r="FQ570" s="27" t="s">
        <v>8</v>
      </c>
      <c r="FR570" s="27" t="s">
        <v>7</v>
      </c>
      <c r="FV570" s="27" t="s">
        <v>7</v>
      </c>
      <c r="FW570" s="27" t="s">
        <v>8</v>
      </c>
      <c r="FZ570" s="27" t="s">
        <v>7</v>
      </c>
      <c r="GG570" s="27" t="s">
        <v>8</v>
      </c>
      <c r="GH570" s="27" t="s">
        <v>7</v>
      </c>
      <c r="GM570" s="27" t="s">
        <v>8</v>
      </c>
      <c r="GN570" s="27" t="s">
        <v>7</v>
      </c>
      <c r="HC570" s="27" t="s">
        <v>8</v>
      </c>
      <c r="HD570" s="27" t="s">
        <v>7</v>
      </c>
    </row>
    <row r="571" spans="1:218" x14ac:dyDescent="0.25">
      <c r="A571" s="7">
        <v>1.3727857050906125</v>
      </c>
      <c r="B571"/>
      <c r="C571"/>
      <c r="D571"/>
      <c r="E571"/>
      <c r="BE571" s="27" t="s">
        <v>8</v>
      </c>
      <c r="BF571" s="27" t="s">
        <v>7</v>
      </c>
      <c r="BG571" s="27" t="s">
        <v>8</v>
      </c>
      <c r="DL571" s="27" t="s">
        <v>7</v>
      </c>
      <c r="DM571" s="27" t="s">
        <v>8</v>
      </c>
      <c r="DN571" s="27" t="s">
        <v>7</v>
      </c>
      <c r="DQ571" s="27" t="s">
        <v>8</v>
      </c>
      <c r="DR571" s="27" t="s">
        <v>7</v>
      </c>
      <c r="FC571" s="27" t="s">
        <v>8</v>
      </c>
      <c r="FG571" s="27" t="s">
        <v>8</v>
      </c>
      <c r="FH571" s="27" t="s">
        <v>7</v>
      </c>
      <c r="FI571" s="27" t="s">
        <v>8</v>
      </c>
      <c r="FJ571" s="27" t="s">
        <v>7</v>
      </c>
      <c r="FM571" s="27" t="s">
        <v>8</v>
      </c>
      <c r="FO571" s="27" t="s">
        <v>8</v>
      </c>
      <c r="FQ571" s="27" t="s">
        <v>8</v>
      </c>
      <c r="FV571" s="27" t="s">
        <v>7</v>
      </c>
      <c r="FW571" s="27" t="s">
        <v>8</v>
      </c>
      <c r="FZ571" s="27" t="s">
        <v>7</v>
      </c>
      <c r="GA571" s="27" t="s">
        <v>8</v>
      </c>
      <c r="GG571" s="27" t="s">
        <v>8</v>
      </c>
      <c r="GH571" s="27" t="s">
        <v>7</v>
      </c>
      <c r="GM571" s="27" t="s">
        <v>8</v>
      </c>
      <c r="GN571" s="27" t="s">
        <v>7</v>
      </c>
      <c r="GO571" s="27" t="s">
        <v>8</v>
      </c>
      <c r="HC571" s="27" t="s">
        <v>8</v>
      </c>
      <c r="HD571" s="27" t="s">
        <v>7</v>
      </c>
    </row>
    <row r="572" spans="1:218" x14ac:dyDescent="0.25">
      <c r="A572" s="7">
        <v>1.3458683383241299</v>
      </c>
      <c r="B572"/>
      <c r="C572"/>
      <c r="D572"/>
      <c r="E572"/>
      <c r="BE572" s="27" t="s">
        <v>8</v>
      </c>
      <c r="BF572" s="27" t="s">
        <v>7</v>
      </c>
      <c r="BG572" s="27" t="s">
        <v>8</v>
      </c>
      <c r="DL572" s="27" t="s">
        <v>7</v>
      </c>
      <c r="DM572" s="27" t="s">
        <v>8</v>
      </c>
      <c r="DN572" s="27" t="s">
        <v>7</v>
      </c>
      <c r="DQ572" s="27" t="s">
        <v>8</v>
      </c>
      <c r="DR572" s="27" t="s">
        <v>7</v>
      </c>
      <c r="FC572" s="27" t="s">
        <v>8</v>
      </c>
      <c r="FD572" s="27" t="s">
        <v>7</v>
      </c>
      <c r="FE572" s="27" t="s">
        <v>8</v>
      </c>
      <c r="FG572" s="27" t="s">
        <v>8</v>
      </c>
      <c r="FH572" s="27" t="s">
        <v>7</v>
      </c>
      <c r="FI572" s="27" t="s">
        <v>8</v>
      </c>
      <c r="FJ572" s="27" t="s">
        <v>7</v>
      </c>
      <c r="FM572" s="27" t="s">
        <v>8</v>
      </c>
      <c r="FN572" s="27" t="s">
        <v>7</v>
      </c>
      <c r="FO572" s="27" t="s">
        <v>8</v>
      </c>
      <c r="FP572" s="27" t="s">
        <v>7</v>
      </c>
      <c r="FQ572" s="27" t="s">
        <v>8</v>
      </c>
      <c r="FV572" s="27" t="s">
        <v>7</v>
      </c>
      <c r="FW572" s="27" t="s">
        <v>8</v>
      </c>
      <c r="FZ572" s="27" t="s">
        <v>7</v>
      </c>
      <c r="GA572" s="27" t="s">
        <v>8</v>
      </c>
      <c r="GB572" s="27" t="s">
        <v>7</v>
      </c>
      <c r="GG572" s="27" t="s">
        <v>8</v>
      </c>
      <c r="GH572" s="27" t="s">
        <v>7</v>
      </c>
      <c r="GM572" s="27" t="s">
        <v>8</v>
      </c>
      <c r="GN572" s="27" t="s">
        <v>7</v>
      </c>
      <c r="GO572" s="27" t="s">
        <v>8</v>
      </c>
      <c r="GP572" s="27" t="s">
        <v>7</v>
      </c>
      <c r="GQ572" s="27" t="s">
        <v>8</v>
      </c>
      <c r="HC572" s="27" t="s">
        <v>8</v>
      </c>
      <c r="HD572" s="27" t="s">
        <v>7</v>
      </c>
    </row>
    <row r="573" spans="1:218" x14ac:dyDescent="0.25">
      <c r="A573" s="7">
        <v>1.3194787630628724</v>
      </c>
      <c r="B573"/>
      <c r="C573"/>
      <c r="D573"/>
      <c r="E573"/>
      <c r="BC573" s="27" t="s">
        <v>8</v>
      </c>
      <c r="BE573" s="27" t="s">
        <v>8</v>
      </c>
      <c r="BF573" s="27" t="s">
        <v>7</v>
      </c>
      <c r="BG573" s="27" t="s">
        <v>8</v>
      </c>
      <c r="DL573" s="27" t="s">
        <v>7</v>
      </c>
      <c r="DM573" s="27" t="s">
        <v>8</v>
      </c>
      <c r="DN573" s="27" t="s">
        <v>7</v>
      </c>
      <c r="DQ573" s="27" t="s">
        <v>8</v>
      </c>
      <c r="DR573" s="27" t="s">
        <v>7</v>
      </c>
      <c r="FC573" s="27" t="s">
        <v>8</v>
      </c>
      <c r="FD573" s="27" t="s">
        <v>7</v>
      </c>
      <c r="FE573" s="27" t="s">
        <v>8</v>
      </c>
      <c r="FF573" s="27" t="s">
        <v>7</v>
      </c>
      <c r="FG573" s="27" t="s">
        <v>8</v>
      </c>
      <c r="FH573" s="27" t="s">
        <v>7</v>
      </c>
      <c r="FI573" s="27" t="s">
        <v>8</v>
      </c>
      <c r="FJ573" s="27" t="s">
        <v>7</v>
      </c>
      <c r="FM573" s="27" t="s">
        <v>8</v>
      </c>
      <c r="FN573" s="27" t="s">
        <v>7</v>
      </c>
      <c r="FO573" s="27" t="s">
        <v>8</v>
      </c>
      <c r="FP573" s="27" t="s">
        <v>7</v>
      </c>
      <c r="FQ573" s="27" t="s">
        <v>8</v>
      </c>
      <c r="FV573" s="27" t="s">
        <v>7</v>
      </c>
      <c r="FW573" s="27" t="s">
        <v>8</v>
      </c>
      <c r="FZ573" s="27" t="s">
        <v>7</v>
      </c>
      <c r="GA573" s="27" t="s">
        <v>8</v>
      </c>
      <c r="GB573" s="27" t="s">
        <v>7</v>
      </c>
      <c r="GG573" s="27" t="s">
        <v>8</v>
      </c>
      <c r="GH573" s="27" t="s">
        <v>7</v>
      </c>
      <c r="GI573" s="27" t="s">
        <v>8</v>
      </c>
      <c r="GK573" s="27" t="s">
        <v>8</v>
      </c>
      <c r="GM573" s="27" t="s">
        <v>8</v>
      </c>
      <c r="GN573" s="27" t="s">
        <v>7</v>
      </c>
      <c r="GO573" s="27" t="s">
        <v>8</v>
      </c>
      <c r="GP573" s="27" t="s">
        <v>7</v>
      </c>
      <c r="GQ573" s="27" t="s">
        <v>8</v>
      </c>
      <c r="GR573" s="27" t="s">
        <v>7</v>
      </c>
      <c r="GW573" s="27" t="s">
        <v>8</v>
      </c>
      <c r="HC573" s="27" t="s">
        <v>8</v>
      </c>
      <c r="HD573" s="27" t="s">
        <v>7</v>
      </c>
    </row>
    <row r="574" spans="1:218" x14ac:dyDescent="0.25">
      <c r="A574" s="7">
        <v>1.2936066304537963</v>
      </c>
      <c r="B574"/>
      <c r="C574"/>
      <c r="D574"/>
      <c r="E574"/>
      <c r="BC574" s="27" t="s">
        <v>8</v>
      </c>
      <c r="BD574" s="27" t="s">
        <v>7</v>
      </c>
      <c r="BE574" s="27" t="s">
        <v>8</v>
      </c>
      <c r="BF574" s="27" t="s">
        <v>7</v>
      </c>
      <c r="BG574" s="27" t="s">
        <v>8</v>
      </c>
      <c r="DL574" s="27" t="s">
        <v>7</v>
      </c>
      <c r="DM574" s="27" t="s">
        <v>8</v>
      </c>
      <c r="DN574" s="27" t="s">
        <v>7</v>
      </c>
      <c r="DQ574" s="27" t="s">
        <v>8</v>
      </c>
      <c r="DR574" s="27" t="s">
        <v>7</v>
      </c>
      <c r="DS574" s="27" t="s">
        <v>8</v>
      </c>
      <c r="DU574" s="27" t="s">
        <v>8</v>
      </c>
      <c r="FC574" s="27" t="s">
        <v>8</v>
      </c>
      <c r="FD574" s="27" t="s">
        <v>7</v>
      </c>
      <c r="FE574" s="27" t="s">
        <v>8</v>
      </c>
      <c r="FF574" s="27" t="s">
        <v>7</v>
      </c>
      <c r="FG574" s="27" t="s">
        <v>8</v>
      </c>
      <c r="FH574" s="27" t="s">
        <v>7</v>
      </c>
      <c r="FI574" s="27" t="s">
        <v>8</v>
      </c>
      <c r="FJ574" s="27" t="s">
        <v>7</v>
      </c>
      <c r="FK574" s="27" t="s">
        <v>8</v>
      </c>
      <c r="FM574" s="27" t="s">
        <v>8</v>
      </c>
      <c r="FN574" s="27" t="s">
        <v>7</v>
      </c>
      <c r="FO574" s="27" t="s">
        <v>8</v>
      </c>
      <c r="FP574" s="27" t="s">
        <v>7</v>
      </c>
      <c r="FV574" s="27" t="s">
        <v>7</v>
      </c>
      <c r="FW574" s="27" t="s">
        <v>8</v>
      </c>
      <c r="FZ574" s="27" t="s">
        <v>7</v>
      </c>
      <c r="GA574" s="27" t="s">
        <v>8</v>
      </c>
      <c r="GB574" s="27" t="s">
        <v>7</v>
      </c>
      <c r="GG574" s="27" t="s">
        <v>8</v>
      </c>
      <c r="GH574" s="27" t="s">
        <v>7</v>
      </c>
      <c r="GI574" s="27" t="s">
        <v>8</v>
      </c>
      <c r="GJ574" s="27" t="s">
        <v>7</v>
      </c>
      <c r="GK574" s="27" t="s">
        <v>8</v>
      </c>
      <c r="GL574" s="27" t="s">
        <v>7</v>
      </c>
      <c r="GM574" s="27" t="s">
        <v>8</v>
      </c>
      <c r="GN574" s="27" t="s">
        <v>7</v>
      </c>
      <c r="GO574" s="27" t="s">
        <v>8</v>
      </c>
      <c r="GP574" s="27" t="s">
        <v>7</v>
      </c>
      <c r="GQ574" s="27" t="s">
        <v>8</v>
      </c>
      <c r="GR574" s="27" t="s">
        <v>7</v>
      </c>
      <c r="GW574" s="27" t="s">
        <v>8</v>
      </c>
      <c r="GX574" s="27" t="s">
        <v>7</v>
      </c>
      <c r="HC574" s="27" t="s">
        <v>8</v>
      </c>
      <c r="HD574" s="27" t="s">
        <v>7</v>
      </c>
    </row>
    <row r="575" spans="1:218" x14ac:dyDescent="0.25">
      <c r="A575" s="7">
        <v>1.2682417945625455</v>
      </c>
      <c r="B575"/>
      <c r="C575"/>
      <c r="D575"/>
      <c r="E575"/>
      <c r="BC575" s="27" t="s">
        <v>8</v>
      </c>
      <c r="BD575" s="27" t="s">
        <v>7</v>
      </c>
      <c r="BE575" s="27" t="s">
        <v>8</v>
      </c>
      <c r="BF575" s="27" t="s">
        <v>7</v>
      </c>
      <c r="BG575" s="27" t="s">
        <v>8</v>
      </c>
      <c r="DL575" s="27" t="s">
        <v>7</v>
      </c>
      <c r="DM575" s="27" t="s">
        <v>8</v>
      </c>
      <c r="DN575" s="27" t="s">
        <v>7</v>
      </c>
      <c r="DQ575" s="27" t="s">
        <v>8</v>
      </c>
      <c r="DR575" s="27" t="s">
        <v>7</v>
      </c>
      <c r="DS575" s="27" t="s">
        <v>8</v>
      </c>
      <c r="DT575" s="27" t="s">
        <v>7</v>
      </c>
      <c r="DU575" s="27" t="s">
        <v>8</v>
      </c>
      <c r="DV575" s="27" t="s">
        <v>7</v>
      </c>
      <c r="FC575" s="27" t="s">
        <v>8</v>
      </c>
      <c r="FD575" s="27" t="s">
        <v>7</v>
      </c>
      <c r="FE575" s="27" t="s">
        <v>8</v>
      </c>
      <c r="FF575" s="27" t="s">
        <v>7</v>
      </c>
      <c r="FG575" s="27" t="s">
        <v>8</v>
      </c>
      <c r="FH575" s="27" t="s">
        <v>7</v>
      </c>
      <c r="FJ575" s="27" t="s">
        <v>7</v>
      </c>
      <c r="FK575" s="27" t="s">
        <v>8</v>
      </c>
      <c r="FL575" s="27" t="s">
        <v>7</v>
      </c>
      <c r="FM575" s="27" t="s">
        <v>8</v>
      </c>
      <c r="FN575" s="27" t="s">
        <v>7</v>
      </c>
      <c r="FO575" s="27" t="s">
        <v>8</v>
      </c>
      <c r="FV575" s="27" t="s">
        <v>7</v>
      </c>
      <c r="FZ575" s="27" t="s">
        <v>7</v>
      </c>
      <c r="GA575" s="27" t="s">
        <v>8</v>
      </c>
      <c r="GB575" s="27" t="s">
        <v>7</v>
      </c>
      <c r="GE575" s="27" t="s">
        <v>8</v>
      </c>
      <c r="GG575" s="27" t="s">
        <v>8</v>
      </c>
      <c r="GH575" s="27" t="s">
        <v>7</v>
      </c>
      <c r="GI575" s="27" t="s">
        <v>8</v>
      </c>
      <c r="GJ575" s="27" t="s">
        <v>7</v>
      </c>
      <c r="GK575" s="27" t="s">
        <v>8</v>
      </c>
      <c r="GL575" s="27" t="s">
        <v>7</v>
      </c>
      <c r="GM575" s="27" t="s">
        <v>8</v>
      </c>
      <c r="GN575" s="27" t="s">
        <v>7</v>
      </c>
      <c r="GO575" s="27" t="s">
        <v>8</v>
      </c>
      <c r="GP575" s="27" t="s">
        <v>7</v>
      </c>
      <c r="GQ575" s="27" t="s">
        <v>8</v>
      </c>
      <c r="GR575" s="27" t="s">
        <v>7</v>
      </c>
      <c r="GS575" s="27" t="s">
        <v>8</v>
      </c>
      <c r="GW575" s="27" t="s">
        <v>8</v>
      </c>
      <c r="GX575" s="27" t="s">
        <v>7</v>
      </c>
      <c r="HC575" s="27" t="s">
        <v>8</v>
      </c>
      <c r="HD575" s="27" t="s">
        <v>7</v>
      </c>
      <c r="HI575" s="27" t="s">
        <v>8</v>
      </c>
    </row>
    <row r="576" spans="1:218" x14ac:dyDescent="0.25">
      <c r="A576" s="7">
        <v>1.2433743083946525</v>
      </c>
      <c r="B576"/>
      <c r="C576"/>
      <c r="D576"/>
      <c r="E576"/>
      <c r="BC576" s="27" t="s">
        <v>8</v>
      </c>
      <c r="BD576" s="27" t="s">
        <v>7</v>
      </c>
      <c r="BE576" s="27" t="s">
        <v>8</v>
      </c>
      <c r="BF576" s="27" t="s">
        <v>7</v>
      </c>
      <c r="BG576" s="27" t="s">
        <v>8</v>
      </c>
      <c r="DL576" s="27" t="s">
        <v>7</v>
      </c>
      <c r="DM576" s="27" t="s">
        <v>8</v>
      </c>
      <c r="DN576" s="27" t="s">
        <v>7</v>
      </c>
      <c r="DO576" s="27" t="s">
        <v>8</v>
      </c>
      <c r="DQ576" s="27" t="s">
        <v>8</v>
      </c>
      <c r="DR576" s="27" t="s">
        <v>7</v>
      </c>
      <c r="DS576" s="27" t="s">
        <v>8</v>
      </c>
      <c r="DT576" s="27" t="s">
        <v>7</v>
      </c>
      <c r="DU576" s="27" t="s">
        <v>8</v>
      </c>
      <c r="DV576" s="27" t="s">
        <v>7</v>
      </c>
      <c r="FC576" s="27" t="s">
        <v>8</v>
      </c>
      <c r="FD576" s="27" t="s">
        <v>7</v>
      </c>
      <c r="FE576" s="27" t="s">
        <v>8</v>
      </c>
      <c r="FF576" s="27" t="s">
        <v>7</v>
      </c>
      <c r="FG576" s="27" t="s">
        <v>8</v>
      </c>
      <c r="FJ576" s="27" t="s">
        <v>7</v>
      </c>
      <c r="FK576" s="27" t="s">
        <v>8</v>
      </c>
      <c r="FL576" s="27" t="s">
        <v>7</v>
      </c>
      <c r="FM576" s="27" t="s">
        <v>8</v>
      </c>
      <c r="FN576" s="27" t="s">
        <v>7</v>
      </c>
      <c r="FZ576" s="27" t="s">
        <v>7</v>
      </c>
      <c r="GA576" s="27" t="s">
        <v>8</v>
      </c>
      <c r="GB576" s="27" t="s">
        <v>7</v>
      </c>
      <c r="GE576" s="27" t="s">
        <v>8</v>
      </c>
      <c r="GF576" s="27" t="s">
        <v>7</v>
      </c>
      <c r="GG576" s="27" t="s">
        <v>8</v>
      </c>
      <c r="GH576" s="27" t="s">
        <v>7</v>
      </c>
      <c r="GI576" s="27" t="s">
        <v>8</v>
      </c>
      <c r="GJ576" s="27" t="s">
        <v>7</v>
      </c>
      <c r="GK576" s="27" t="s">
        <v>8</v>
      </c>
      <c r="GL576" s="27" t="s">
        <v>7</v>
      </c>
      <c r="GM576" s="27" t="s">
        <v>8</v>
      </c>
      <c r="GN576" s="27" t="s">
        <v>7</v>
      </c>
      <c r="GO576" s="27" t="s">
        <v>8</v>
      </c>
      <c r="GP576" s="27" t="s">
        <v>7</v>
      </c>
      <c r="GQ576" s="27" t="s">
        <v>8</v>
      </c>
      <c r="GR576" s="27" t="s">
        <v>7</v>
      </c>
      <c r="GS576" s="27" t="s">
        <v>8</v>
      </c>
      <c r="GT576" s="27" t="s">
        <v>7</v>
      </c>
      <c r="GW576" s="27" t="s">
        <v>8</v>
      </c>
      <c r="GX576" s="27" t="s">
        <v>7</v>
      </c>
      <c r="HC576" s="27" t="s">
        <v>8</v>
      </c>
      <c r="HD576" s="27" t="s">
        <v>7</v>
      </c>
      <c r="HI576" s="27" t="s">
        <v>8</v>
      </c>
      <c r="HJ576" s="27" t="s">
        <v>7</v>
      </c>
    </row>
    <row r="577" spans="1:236" x14ac:dyDescent="0.25">
      <c r="A577" s="7">
        <v>1.2189944199947573</v>
      </c>
      <c r="B577"/>
      <c r="C577"/>
      <c r="D577"/>
      <c r="E577"/>
      <c r="BC577" s="27" t="s">
        <v>8</v>
      </c>
      <c r="BD577" s="27" t="s">
        <v>7</v>
      </c>
      <c r="BE577" s="27" t="s">
        <v>8</v>
      </c>
      <c r="BF577" s="27" t="s">
        <v>7</v>
      </c>
      <c r="BG577" s="27" t="s">
        <v>8</v>
      </c>
      <c r="DL577" s="27" t="s">
        <v>7</v>
      </c>
      <c r="DM577" s="27" t="s">
        <v>8</v>
      </c>
      <c r="DN577" s="27" t="s">
        <v>7</v>
      </c>
      <c r="DO577" s="27" t="s">
        <v>8</v>
      </c>
      <c r="DP577" s="27" t="s">
        <v>7</v>
      </c>
      <c r="DQ577" s="27" t="s">
        <v>8</v>
      </c>
      <c r="DR577" s="27" t="s">
        <v>7</v>
      </c>
      <c r="DS577" s="27" t="s">
        <v>8</v>
      </c>
      <c r="DT577" s="27" t="s">
        <v>7</v>
      </c>
      <c r="DU577" s="27" t="s">
        <v>8</v>
      </c>
      <c r="DV577" s="27" t="s">
        <v>7</v>
      </c>
      <c r="FC577" s="27" t="s">
        <v>8</v>
      </c>
      <c r="FD577" s="27" t="s">
        <v>7</v>
      </c>
      <c r="FE577" s="27" t="s">
        <v>8</v>
      </c>
      <c r="FF577" s="27" t="s">
        <v>7</v>
      </c>
      <c r="FG577" s="27" t="s">
        <v>8</v>
      </c>
      <c r="FJ577" s="27" t="s">
        <v>7</v>
      </c>
      <c r="FK577" s="27" t="s">
        <v>8</v>
      </c>
      <c r="FL577" s="27" t="s">
        <v>7</v>
      </c>
      <c r="FM577" s="27" t="s">
        <v>8</v>
      </c>
      <c r="FZ577" s="27" t="s">
        <v>7</v>
      </c>
      <c r="GA577" s="27" t="s">
        <v>8</v>
      </c>
      <c r="GB577" s="27" t="s">
        <v>7</v>
      </c>
      <c r="GC577" s="27" t="s">
        <v>8</v>
      </c>
      <c r="GE577" s="27" t="s">
        <v>8</v>
      </c>
      <c r="GF577" s="27" t="s">
        <v>7</v>
      </c>
      <c r="GG577" s="27" t="s">
        <v>8</v>
      </c>
      <c r="GH577" s="27" t="s">
        <v>7</v>
      </c>
      <c r="GI577" s="27" t="s">
        <v>8</v>
      </c>
      <c r="GJ577" s="27" t="s">
        <v>7</v>
      </c>
      <c r="GK577" s="27" t="s">
        <v>8</v>
      </c>
      <c r="GL577" s="27" t="s">
        <v>7</v>
      </c>
      <c r="GM577" s="27" t="s">
        <v>8</v>
      </c>
      <c r="GN577" s="27" t="s">
        <v>7</v>
      </c>
      <c r="GP577" s="27" t="s">
        <v>7</v>
      </c>
      <c r="GR577" s="27" t="s">
        <v>7</v>
      </c>
      <c r="GS577" s="27" t="s">
        <v>8</v>
      </c>
      <c r="GT577" s="27" t="s">
        <v>7</v>
      </c>
      <c r="GU577" s="27" t="s">
        <v>8</v>
      </c>
      <c r="GW577" s="27" t="s">
        <v>8</v>
      </c>
      <c r="GX577" s="27" t="s">
        <v>7</v>
      </c>
      <c r="HC577" s="27" t="s">
        <v>8</v>
      </c>
      <c r="HD577" s="27" t="s">
        <v>7</v>
      </c>
      <c r="HI577" s="27" t="s">
        <v>8</v>
      </c>
      <c r="HJ577" s="27" t="s">
        <v>7</v>
      </c>
    </row>
    <row r="578" spans="1:236" x14ac:dyDescent="0.25">
      <c r="A578" s="7">
        <v>1.1950925686223111</v>
      </c>
      <c r="B578"/>
      <c r="C578"/>
      <c r="D578"/>
      <c r="E578"/>
      <c r="BC578" s="27" t="s">
        <v>8</v>
      </c>
      <c r="BD578" s="27" t="s">
        <v>7</v>
      </c>
      <c r="BE578" s="27" t="s">
        <v>8</v>
      </c>
      <c r="BF578" s="27" t="s">
        <v>7</v>
      </c>
      <c r="BG578" s="27" t="s">
        <v>8</v>
      </c>
      <c r="DL578" s="27" t="s">
        <v>7</v>
      </c>
      <c r="DM578" s="27" t="s">
        <v>8</v>
      </c>
      <c r="DN578" s="27" t="s">
        <v>7</v>
      </c>
      <c r="DO578" s="27" t="s">
        <v>8</v>
      </c>
      <c r="DP578" s="27" t="s">
        <v>7</v>
      </c>
      <c r="DQ578" s="27" t="s">
        <v>8</v>
      </c>
      <c r="DR578" s="27" t="s">
        <v>7</v>
      </c>
      <c r="DS578" s="27" t="s">
        <v>8</v>
      </c>
      <c r="DT578" s="27" t="s">
        <v>7</v>
      </c>
      <c r="DU578" s="27" t="s">
        <v>8</v>
      </c>
      <c r="DV578" s="27" t="s">
        <v>7</v>
      </c>
      <c r="FC578" s="27" t="s">
        <v>8</v>
      </c>
      <c r="FD578" s="27" t="s">
        <v>7</v>
      </c>
      <c r="FE578" s="27" t="s">
        <v>8</v>
      </c>
      <c r="FF578" s="27" t="s">
        <v>7</v>
      </c>
      <c r="FG578" s="27" t="s">
        <v>8</v>
      </c>
      <c r="FJ578" s="27" t="s">
        <v>7</v>
      </c>
      <c r="FK578" s="27" t="s">
        <v>8</v>
      </c>
      <c r="FL578" s="27" t="s">
        <v>7</v>
      </c>
      <c r="FM578" s="27" t="s">
        <v>8</v>
      </c>
      <c r="FZ578" s="27" t="s">
        <v>7</v>
      </c>
      <c r="GA578" s="27" t="s">
        <v>8</v>
      </c>
      <c r="GB578" s="27" t="s">
        <v>7</v>
      </c>
      <c r="GC578" s="27" t="s">
        <v>8</v>
      </c>
      <c r="GD578" s="27" t="s">
        <v>7</v>
      </c>
      <c r="GE578" s="27" t="s">
        <v>8</v>
      </c>
      <c r="GF578" s="27" t="s">
        <v>7</v>
      </c>
      <c r="GG578" s="27" t="s">
        <v>8</v>
      </c>
      <c r="GH578" s="27" t="s">
        <v>7</v>
      </c>
      <c r="GJ578" s="27" t="s">
        <v>7</v>
      </c>
      <c r="GK578" s="27" t="s">
        <v>8</v>
      </c>
      <c r="GL578" s="27" t="s">
        <v>7</v>
      </c>
      <c r="GR578" s="27" t="s">
        <v>7</v>
      </c>
      <c r="GS578" s="27" t="s">
        <v>8</v>
      </c>
      <c r="GT578" s="27" t="s">
        <v>7</v>
      </c>
      <c r="GU578" s="27" t="s">
        <v>8</v>
      </c>
      <c r="GV578" s="27" t="s">
        <v>7</v>
      </c>
      <c r="GW578" s="27" t="s">
        <v>8</v>
      </c>
      <c r="GX578" s="27" t="s">
        <v>7</v>
      </c>
      <c r="HC578" s="27" t="s">
        <v>8</v>
      </c>
      <c r="HD578" s="27" t="s">
        <v>7</v>
      </c>
      <c r="HI578" s="27" t="s">
        <v>8</v>
      </c>
      <c r="HJ578" s="27" t="s">
        <v>7</v>
      </c>
    </row>
    <row r="579" spans="1:236" x14ac:dyDescent="0.25">
      <c r="A579" s="7">
        <v>1.1716593810022657</v>
      </c>
      <c r="B579"/>
      <c r="C579"/>
      <c r="D579"/>
      <c r="E579"/>
      <c r="BC579" s="27" t="s">
        <v>8</v>
      </c>
      <c r="BD579" s="27" t="s">
        <v>7</v>
      </c>
      <c r="BE579" s="27" t="s">
        <v>8</v>
      </c>
      <c r="BF579" s="27" t="s">
        <v>7</v>
      </c>
      <c r="BG579" s="27" t="s">
        <v>8</v>
      </c>
      <c r="DL579" s="27" t="s">
        <v>7</v>
      </c>
      <c r="DN579" s="27" t="s">
        <v>7</v>
      </c>
      <c r="DO579" s="27" t="s">
        <v>8</v>
      </c>
      <c r="DP579" s="27" t="s">
        <v>7</v>
      </c>
      <c r="DQ579" s="27" t="s">
        <v>8</v>
      </c>
      <c r="DR579" s="27" t="s">
        <v>7</v>
      </c>
      <c r="DS579" s="27" t="s">
        <v>8</v>
      </c>
      <c r="DT579" s="27" t="s">
        <v>7</v>
      </c>
      <c r="DU579" s="27" t="s">
        <v>8</v>
      </c>
      <c r="DV579" s="27" t="s">
        <v>7</v>
      </c>
      <c r="FC579" s="27" t="s">
        <v>8</v>
      </c>
      <c r="FD579" s="27" t="s">
        <v>7</v>
      </c>
      <c r="FE579" s="27" t="s">
        <v>8</v>
      </c>
      <c r="FF579" s="27" t="s">
        <v>7</v>
      </c>
      <c r="FG579" s="27" t="s">
        <v>8</v>
      </c>
      <c r="FJ579" s="27" t="s">
        <v>7</v>
      </c>
      <c r="FL579" s="27" t="s">
        <v>7</v>
      </c>
      <c r="FM579" s="27" t="s">
        <v>8</v>
      </c>
      <c r="FZ579" s="27" t="s">
        <v>7</v>
      </c>
      <c r="GA579" s="27" t="s">
        <v>8</v>
      </c>
      <c r="GB579" s="27" t="s">
        <v>7</v>
      </c>
      <c r="GC579" s="27" t="s">
        <v>8</v>
      </c>
      <c r="GD579" s="27" t="s">
        <v>7</v>
      </c>
      <c r="GE579" s="27" t="s">
        <v>8</v>
      </c>
      <c r="GF579" s="27" t="s">
        <v>7</v>
      </c>
      <c r="GJ579" s="27" t="s">
        <v>7</v>
      </c>
      <c r="GR579" s="27" t="s">
        <v>7</v>
      </c>
      <c r="GS579" s="27" t="s">
        <v>8</v>
      </c>
      <c r="GT579" s="27" t="s">
        <v>7</v>
      </c>
      <c r="GU579" s="27" t="s">
        <v>8</v>
      </c>
      <c r="GV579" s="27" t="s">
        <v>7</v>
      </c>
      <c r="GW579" s="27" t="s">
        <v>8</v>
      </c>
      <c r="GX579" s="27" t="s">
        <v>7</v>
      </c>
      <c r="HC579" s="27" t="s">
        <v>8</v>
      </c>
      <c r="HD579" s="27" t="s">
        <v>7</v>
      </c>
      <c r="HI579" s="27" t="s">
        <v>8</v>
      </c>
      <c r="HJ579" s="27" t="s">
        <v>7</v>
      </c>
    </row>
    <row r="580" spans="1:236" x14ac:dyDescent="0.25">
      <c r="A580" s="7">
        <v>1.14868566764928</v>
      </c>
      <c r="B580"/>
      <c r="C580"/>
      <c r="D580"/>
      <c r="E580"/>
      <c r="BC580" s="27" t="s">
        <v>8</v>
      </c>
      <c r="BD580" s="27" t="s">
        <v>7</v>
      </c>
      <c r="BE580" s="27" t="s">
        <v>8</v>
      </c>
      <c r="BF580" s="27" t="s">
        <v>7</v>
      </c>
      <c r="BG580" s="27" t="s">
        <v>8</v>
      </c>
      <c r="DN580" s="27" t="s">
        <v>7</v>
      </c>
      <c r="DO580" s="27" t="s">
        <v>8</v>
      </c>
      <c r="DP580" s="27" t="s">
        <v>7</v>
      </c>
      <c r="DQ580" s="27" t="s">
        <v>8</v>
      </c>
      <c r="DR580" s="27" t="s">
        <v>7</v>
      </c>
      <c r="DS580" s="27" t="s">
        <v>8</v>
      </c>
      <c r="DT580" s="27" t="s">
        <v>7</v>
      </c>
      <c r="DV580" s="27" t="s">
        <v>7</v>
      </c>
      <c r="FC580" s="27" t="s">
        <v>8</v>
      </c>
      <c r="FD580" s="27" t="s">
        <v>7</v>
      </c>
      <c r="FE580" s="27" t="s">
        <v>8</v>
      </c>
      <c r="FF580" s="27" t="s">
        <v>7</v>
      </c>
      <c r="FL580" s="27" t="s">
        <v>7</v>
      </c>
      <c r="FM580" s="27" t="s">
        <v>8</v>
      </c>
      <c r="FZ580" s="27" t="s">
        <v>7</v>
      </c>
      <c r="GA580" s="27" t="s">
        <v>8</v>
      </c>
      <c r="GB580" s="27" t="s">
        <v>7</v>
      </c>
      <c r="GC580" s="27" t="s">
        <v>8</v>
      </c>
      <c r="GD580" s="27" t="s">
        <v>7</v>
      </c>
      <c r="GE580" s="27" t="s">
        <v>8</v>
      </c>
      <c r="GR580" s="27" t="s">
        <v>7</v>
      </c>
      <c r="GS580" s="27" t="s">
        <v>8</v>
      </c>
      <c r="GT580" s="27" t="s">
        <v>7</v>
      </c>
      <c r="GU580" s="27" t="s">
        <v>8</v>
      </c>
      <c r="GV580" s="27" t="s">
        <v>7</v>
      </c>
      <c r="GW580" s="27" t="s">
        <v>8</v>
      </c>
      <c r="GX580" s="27" t="s">
        <v>7</v>
      </c>
      <c r="HA580" s="27" t="s">
        <v>8</v>
      </c>
      <c r="HC580" s="27" t="s">
        <v>8</v>
      </c>
      <c r="HD580" s="27" t="s">
        <v>7</v>
      </c>
      <c r="HE580" s="27" t="s">
        <v>8</v>
      </c>
      <c r="HI580" s="27" t="s">
        <v>8</v>
      </c>
      <c r="HJ580" s="27" t="s">
        <v>7</v>
      </c>
    </row>
    <row r="581" spans="1:236" x14ac:dyDescent="0.25">
      <c r="A581" s="7">
        <v>1.1261624192640001</v>
      </c>
      <c r="B581"/>
      <c r="C581"/>
      <c r="D581"/>
      <c r="E581"/>
      <c r="BC581" s="27" t="s">
        <v>8</v>
      </c>
      <c r="BD581" s="27" t="s">
        <v>7</v>
      </c>
      <c r="BE581" s="27" t="s">
        <v>8</v>
      </c>
      <c r="BF581" s="27" t="s">
        <v>7</v>
      </c>
      <c r="DN581" s="27" t="s">
        <v>7</v>
      </c>
      <c r="DO581" s="27" t="s">
        <v>8</v>
      </c>
      <c r="DP581" s="27" t="s">
        <v>7</v>
      </c>
      <c r="DQ581" s="27" t="s">
        <v>8</v>
      </c>
      <c r="DR581" s="27" t="s">
        <v>7</v>
      </c>
      <c r="DS581" s="27" t="s">
        <v>8</v>
      </c>
      <c r="DV581" s="27" t="s">
        <v>7</v>
      </c>
      <c r="EC581" s="27" t="s">
        <v>8</v>
      </c>
      <c r="FC581" s="27" t="s">
        <v>8</v>
      </c>
      <c r="FD581" s="27" t="s">
        <v>7</v>
      </c>
      <c r="FE581" s="27" t="s">
        <v>8</v>
      </c>
      <c r="FL581" s="27" t="s">
        <v>7</v>
      </c>
      <c r="FZ581" s="27" t="s">
        <v>7</v>
      </c>
      <c r="GB581" s="27" t="s">
        <v>7</v>
      </c>
      <c r="GC581" s="27" t="s">
        <v>8</v>
      </c>
      <c r="GD581" s="27" t="s">
        <v>7</v>
      </c>
      <c r="GE581" s="27" t="s">
        <v>8</v>
      </c>
      <c r="GR581" s="27" t="s">
        <v>7</v>
      </c>
      <c r="GS581" s="27" t="s">
        <v>8</v>
      </c>
      <c r="GT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HA581" s="27" t="s">
        <v>8</v>
      </c>
      <c r="HB581" s="27" t="s">
        <v>7</v>
      </c>
      <c r="HC581" s="27" t="s">
        <v>8</v>
      </c>
      <c r="HD581" s="27" t="s">
        <v>7</v>
      </c>
      <c r="HE581" s="27" t="s">
        <v>8</v>
      </c>
      <c r="HF581" s="27" t="s">
        <v>7</v>
      </c>
      <c r="HI581" s="27" t="s">
        <v>8</v>
      </c>
      <c r="HJ581" s="27" t="s">
        <v>7</v>
      </c>
      <c r="IA581" s="27" t="s">
        <v>8</v>
      </c>
    </row>
    <row r="582" spans="1:236" x14ac:dyDescent="0.25">
      <c r="A582" s="7">
        <v>1.1040808032</v>
      </c>
      <c r="B582"/>
      <c r="C582"/>
      <c r="D582"/>
      <c r="E582"/>
      <c r="BC582" s="27" t="s">
        <v>8</v>
      </c>
      <c r="BD582" s="27" t="s">
        <v>7</v>
      </c>
      <c r="BE582" s="27" t="s">
        <v>8</v>
      </c>
      <c r="DN582" s="27" t="s">
        <v>7</v>
      </c>
      <c r="DP582" s="27" t="s">
        <v>7</v>
      </c>
      <c r="DQ582" s="27" t="s">
        <v>8</v>
      </c>
      <c r="DR582" s="27" t="s">
        <v>7</v>
      </c>
      <c r="DS582" s="27" t="s">
        <v>8</v>
      </c>
      <c r="DV582" s="27" t="s">
        <v>7</v>
      </c>
      <c r="EC582" s="27" t="s">
        <v>8</v>
      </c>
      <c r="ED582" s="27" t="s">
        <v>7</v>
      </c>
      <c r="FC582" s="27" t="s">
        <v>8</v>
      </c>
      <c r="FD582" s="27" t="s">
        <v>7</v>
      </c>
      <c r="FE582" s="27" t="s">
        <v>8</v>
      </c>
      <c r="GB582" s="27" t="s">
        <v>7</v>
      </c>
      <c r="GC582" s="27" t="s">
        <v>8</v>
      </c>
      <c r="GD582" s="27" t="s">
        <v>7</v>
      </c>
      <c r="GE582" s="27" t="s">
        <v>8</v>
      </c>
      <c r="GR582" s="27" t="s">
        <v>7</v>
      </c>
      <c r="GS582" s="27" t="s">
        <v>8</v>
      </c>
      <c r="GT582" s="27" t="s">
        <v>7</v>
      </c>
      <c r="GU582" s="27" t="s">
        <v>8</v>
      </c>
      <c r="GV582" s="27" t="s">
        <v>7</v>
      </c>
      <c r="GX582" s="27" t="s">
        <v>7</v>
      </c>
      <c r="GY582" s="27" t="s">
        <v>8</v>
      </c>
      <c r="HA582" s="27" t="s">
        <v>8</v>
      </c>
      <c r="HB582" s="27" t="s">
        <v>7</v>
      </c>
      <c r="HC582" s="27" t="s">
        <v>8</v>
      </c>
      <c r="HD582" s="27" t="s">
        <v>7</v>
      </c>
      <c r="HE582" s="27" t="s">
        <v>8</v>
      </c>
      <c r="HF582" s="27" t="s">
        <v>7</v>
      </c>
      <c r="HI582" s="27" t="s">
        <v>8</v>
      </c>
      <c r="HJ582" s="27" t="s">
        <v>7</v>
      </c>
      <c r="IA582" s="27" t="s">
        <v>8</v>
      </c>
      <c r="IB582" s="27" t="s">
        <v>7</v>
      </c>
    </row>
    <row r="583" spans="1:236" x14ac:dyDescent="0.25">
      <c r="A583" s="7">
        <v>1.08243216</v>
      </c>
      <c r="B583"/>
      <c r="C583"/>
      <c r="D583"/>
      <c r="E583"/>
      <c r="BC583" s="27" t="s">
        <v>8</v>
      </c>
      <c r="BD583" s="27" t="s">
        <v>7</v>
      </c>
      <c r="BE583" s="27" t="s">
        <v>8</v>
      </c>
      <c r="DP583" s="27" t="s">
        <v>7</v>
      </c>
      <c r="DQ583" s="27" t="s">
        <v>8</v>
      </c>
      <c r="DR583" s="27" t="s">
        <v>7</v>
      </c>
      <c r="DS583" s="27" t="s">
        <v>8</v>
      </c>
      <c r="DV583" s="27" t="s">
        <v>7</v>
      </c>
      <c r="DW583" s="27" t="s">
        <v>8</v>
      </c>
      <c r="EC583" s="27" t="s">
        <v>8</v>
      </c>
      <c r="ED583" s="27" t="s">
        <v>7</v>
      </c>
      <c r="FC583" s="27" t="s">
        <v>8</v>
      </c>
      <c r="FD583" s="27" t="s">
        <v>7</v>
      </c>
      <c r="FE583" s="27" t="s">
        <v>8</v>
      </c>
      <c r="GB583" s="27" t="s">
        <v>7</v>
      </c>
      <c r="GC583" s="27" t="s">
        <v>8</v>
      </c>
      <c r="GD583" s="27" t="s">
        <v>7</v>
      </c>
      <c r="GE583" s="27" t="s">
        <v>8</v>
      </c>
      <c r="GR583" s="27" t="s">
        <v>7</v>
      </c>
      <c r="GS583" s="27" t="s">
        <v>8</v>
      </c>
      <c r="GT583" s="27" t="s">
        <v>7</v>
      </c>
      <c r="GU583" s="27" t="s">
        <v>8</v>
      </c>
      <c r="GX583" s="27" t="s">
        <v>7</v>
      </c>
      <c r="GY583" s="27" t="s">
        <v>8</v>
      </c>
      <c r="GZ583" s="27" t="s">
        <v>7</v>
      </c>
      <c r="HA583" s="27" t="s">
        <v>8</v>
      </c>
      <c r="HB583" s="27" t="s">
        <v>7</v>
      </c>
      <c r="HC583" s="27" t="s">
        <v>8</v>
      </c>
      <c r="HD583" s="27" t="s">
        <v>7</v>
      </c>
      <c r="HE583" s="27" t="s">
        <v>8</v>
      </c>
      <c r="HF583" s="27" t="s">
        <v>7</v>
      </c>
      <c r="HI583" s="27" t="s">
        <v>8</v>
      </c>
      <c r="HJ583" s="27" t="s">
        <v>7</v>
      </c>
      <c r="IA583" s="27" t="s">
        <v>8</v>
      </c>
      <c r="IB583" s="27" t="s">
        <v>7</v>
      </c>
    </row>
    <row r="584" spans="1:236" x14ac:dyDescent="0.25">
      <c r="A584" s="7">
        <v>1.0612079999999999</v>
      </c>
      <c r="B584"/>
      <c r="C584"/>
      <c r="D584"/>
      <c r="E584"/>
      <c r="BC584" s="27" t="s">
        <v>8</v>
      </c>
      <c r="BD584" s="27" t="s">
        <v>7</v>
      </c>
      <c r="BE584" s="27" t="s">
        <v>8</v>
      </c>
      <c r="DP584" s="27" t="s">
        <v>7</v>
      </c>
      <c r="DQ584" s="27" t="s">
        <v>8</v>
      </c>
      <c r="DR584" s="27" t="s">
        <v>7</v>
      </c>
      <c r="DS584" s="27" t="s">
        <v>8</v>
      </c>
      <c r="DV584" s="27" t="s">
        <v>7</v>
      </c>
      <c r="DW584" s="27" t="s">
        <v>8</v>
      </c>
      <c r="DX584" s="27" t="s">
        <v>7</v>
      </c>
      <c r="EC584" s="27" t="s">
        <v>8</v>
      </c>
      <c r="ED584" s="27" t="s">
        <v>7</v>
      </c>
      <c r="FC584" s="27" t="s">
        <v>8</v>
      </c>
      <c r="FD584" s="27" t="s">
        <v>7</v>
      </c>
      <c r="FE584" s="27" t="s">
        <v>8</v>
      </c>
      <c r="GB584" s="27" t="s">
        <v>7</v>
      </c>
      <c r="GC584" s="27" t="s">
        <v>8</v>
      </c>
      <c r="GD584" s="27" t="s">
        <v>7</v>
      </c>
      <c r="GR584" s="27" t="s">
        <v>7</v>
      </c>
      <c r="GS584" s="27" t="s">
        <v>8</v>
      </c>
      <c r="GT584" s="27" t="s">
        <v>7</v>
      </c>
      <c r="GX584" s="27" t="s">
        <v>7</v>
      </c>
      <c r="GY584" s="27" t="s">
        <v>8</v>
      </c>
      <c r="GZ584" s="27" t="s">
        <v>7</v>
      </c>
      <c r="HA584" s="27" t="s">
        <v>8</v>
      </c>
      <c r="HB584" s="27" t="s">
        <v>7</v>
      </c>
      <c r="HC584" s="27" t="s">
        <v>8</v>
      </c>
      <c r="HD584" s="27" t="s">
        <v>7</v>
      </c>
      <c r="HE584" s="27" t="s">
        <v>8</v>
      </c>
      <c r="HF584" s="27" t="s">
        <v>7</v>
      </c>
      <c r="HI584" s="27" t="s">
        <v>8</v>
      </c>
      <c r="HJ584" s="27" t="s">
        <v>7</v>
      </c>
      <c r="IA584" s="27" t="s">
        <v>8</v>
      </c>
      <c r="IB584" s="27" t="s">
        <v>7</v>
      </c>
    </row>
    <row r="585" spans="1:236" x14ac:dyDescent="0.25">
      <c r="A585" s="7">
        <v>1.0404</v>
      </c>
      <c r="B585"/>
      <c r="C585"/>
      <c r="D585"/>
      <c r="E585"/>
      <c r="BC585" s="27" t="s">
        <v>8</v>
      </c>
      <c r="BD585" s="27" t="s">
        <v>7</v>
      </c>
      <c r="BE585" s="27" t="s">
        <v>8</v>
      </c>
      <c r="DP585" s="27" t="s">
        <v>7</v>
      </c>
      <c r="DQ585" s="27" t="s">
        <v>8</v>
      </c>
      <c r="DR585" s="27" t="s">
        <v>7</v>
      </c>
      <c r="DS585" s="27" t="s">
        <v>8</v>
      </c>
      <c r="DV585" s="27" t="s">
        <v>7</v>
      </c>
      <c r="DW585" s="27" t="s">
        <v>8</v>
      </c>
      <c r="DX585" s="27" t="s">
        <v>7</v>
      </c>
      <c r="EC585" s="27" t="s">
        <v>8</v>
      </c>
      <c r="ED585" s="27" t="s">
        <v>7</v>
      </c>
      <c r="FC585" s="27" t="s">
        <v>8</v>
      </c>
      <c r="FD585" s="27" t="s">
        <v>7</v>
      </c>
      <c r="FE585" s="27" t="s">
        <v>8</v>
      </c>
      <c r="GB585" s="27" t="s">
        <v>7</v>
      </c>
      <c r="GC585" s="27" t="s">
        <v>8</v>
      </c>
      <c r="GR585" s="27" t="s">
        <v>7</v>
      </c>
      <c r="GS585" s="27" t="s">
        <v>8</v>
      </c>
      <c r="GX585" s="27" t="s">
        <v>7</v>
      </c>
      <c r="GZ585" s="27" t="s">
        <v>7</v>
      </c>
      <c r="HA585" s="27" t="s">
        <v>8</v>
      </c>
      <c r="HB585" s="27" t="s">
        <v>7</v>
      </c>
      <c r="HC585" s="27" t="s">
        <v>8</v>
      </c>
      <c r="HD585" s="27" t="s">
        <v>7</v>
      </c>
      <c r="HF585" s="27" t="s">
        <v>7</v>
      </c>
      <c r="HG585" s="27" t="s">
        <v>8</v>
      </c>
      <c r="HI585" s="27" t="s">
        <v>8</v>
      </c>
      <c r="HJ585" s="27" t="s">
        <v>7</v>
      </c>
      <c r="HK585" s="27" t="s">
        <v>8</v>
      </c>
      <c r="IA585" s="27" t="s">
        <v>8</v>
      </c>
      <c r="IB585" s="27" t="s">
        <v>7</v>
      </c>
    </row>
    <row r="586" spans="1:236" x14ac:dyDescent="0.25">
      <c r="A586" s="7">
        <v>1.02</v>
      </c>
      <c r="B586"/>
      <c r="C586"/>
      <c r="D586"/>
      <c r="E586"/>
      <c r="BC586" s="27" t="s">
        <v>8</v>
      </c>
      <c r="BD586" s="27" t="s">
        <v>7</v>
      </c>
      <c r="BE586" s="27" t="s">
        <v>8</v>
      </c>
      <c r="DP586" s="27" t="s">
        <v>7</v>
      </c>
      <c r="DQ586" s="27" t="s">
        <v>8</v>
      </c>
      <c r="DR586" s="27" t="s">
        <v>7</v>
      </c>
      <c r="DS586" s="27" t="s">
        <v>8</v>
      </c>
      <c r="DV586" s="27" t="s">
        <v>7</v>
      </c>
      <c r="DW586" s="27" t="s">
        <v>8</v>
      </c>
      <c r="DX586" s="27" t="s">
        <v>7</v>
      </c>
      <c r="EC586" s="27" t="s">
        <v>8</v>
      </c>
      <c r="ED586" s="27" t="s">
        <v>7</v>
      </c>
      <c r="FC586" s="27" t="s">
        <v>8</v>
      </c>
      <c r="FD586" s="27" t="s">
        <v>7</v>
      </c>
      <c r="FE586" s="27" t="s">
        <v>8</v>
      </c>
      <c r="GB586" s="27" t="s">
        <v>7</v>
      </c>
      <c r="GR586" s="27" t="s">
        <v>7</v>
      </c>
      <c r="GS586" s="27" t="s">
        <v>8</v>
      </c>
      <c r="GZ586" s="27" t="s">
        <v>7</v>
      </c>
      <c r="HB586" s="27" t="s">
        <v>7</v>
      </c>
      <c r="HC586" s="27" t="s">
        <v>8</v>
      </c>
      <c r="HF586" s="27" t="s">
        <v>7</v>
      </c>
      <c r="HG586" s="27" t="s">
        <v>8</v>
      </c>
      <c r="HH586" s="27" t="s">
        <v>7</v>
      </c>
      <c r="HI586" s="27" t="s">
        <v>8</v>
      </c>
      <c r="HJ586" s="27" t="s">
        <v>7</v>
      </c>
      <c r="HK586" s="27" t="s">
        <v>8</v>
      </c>
      <c r="HL586" s="27" t="s">
        <v>7</v>
      </c>
      <c r="IA586" s="27" t="s">
        <v>8</v>
      </c>
      <c r="IB586" s="27" t="s">
        <v>7</v>
      </c>
    </row>
    <row r="587" spans="1:236" x14ac:dyDescent="0.25">
      <c r="A587" s="7">
        <v>1</v>
      </c>
      <c r="B587"/>
      <c r="C587"/>
      <c r="D587"/>
      <c r="E587" s="29" t="s">
        <v>8</v>
      </c>
      <c r="BC587" s="27" t="s">
        <v>8</v>
      </c>
      <c r="BD587" s="27" t="s">
        <v>7</v>
      </c>
      <c r="BE587" s="27" t="s">
        <v>8</v>
      </c>
      <c r="DP587" s="27" t="s">
        <v>7</v>
      </c>
      <c r="DQ587" s="27" t="s">
        <v>8</v>
      </c>
      <c r="DR587" s="27" t="s">
        <v>7</v>
      </c>
      <c r="DV587" s="27" t="s">
        <v>7</v>
      </c>
      <c r="DX587" s="27" t="s">
        <v>7</v>
      </c>
      <c r="EC587" s="27" t="s">
        <v>8</v>
      </c>
      <c r="ED587" s="27" t="s">
        <v>7</v>
      </c>
      <c r="FC587" s="27" t="s">
        <v>8</v>
      </c>
      <c r="FD587" s="27" t="s">
        <v>7</v>
      </c>
      <c r="FE587" s="27" t="s">
        <v>8</v>
      </c>
      <c r="GR587" s="27" t="s">
        <v>7</v>
      </c>
      <c r="GS587" s="27" t="s">
        <v>8</v>
      </c>
      <c r="HB587" s="27" t="s">
        <v>7</v>
      </c>
      <c r="HC587" s="27" t="s">
        <v>8</v>
      </c>
      <c r="HF587" s="27" t="s">
        <v>7</v>
      </c>
      <c r="HG587" s="27" t="s">
        <v>8</v>
      </c>
      <c r="HH587" s="27" t="s">
        <v>7</v>
      </c>
      <c r="HI587" s="27" t="s">
        <v>8</v>
      </c>
      <c r="HJ587" s="27" t="s">
        <v>7</v>
      </c>
      <c r="HK587" s="27" t="s">
        <v>8</v>
      </c>
      <c r="HL587" s="27" t="s">
        <v>7</v>
      </c>
      <c r="IA587" s="27" t="s">
        <v>8</v>
      </c>
      <c r="IB587" s="27" t="s">
        <v>7</v>
      </c>
    </row>
    <row r="588" spans="1:236" x14ac:dyDescent="0.25">
      <c r="A588" s="7">
        <v>0.98039215686274506</v>
      </c>
      <c r="B588"/>
      <c r="C588"/>
      <c r="D588"/>
      <c r="E588"/>
      <c r="F588" s="27" t="s">
        <v>7</v>
      </c>
      <c r="BC588" s="27" t="s">
        <v>8</v>
      </c>
      <c r="BD588" s="27" t="s">
        <v>7</v>
      </c>
      <c r="DP588" s="27" t="s">
        <v>7</v>
      </c>
      <c r="DQ588" s="27" t="s">
        <v>8</v>
      </c>
      <c r="DX588" s="27" t="s">
        <v>7</v>
      </c>
      <c r="EC588" s="27" t="s">
        <v>8</v>
      </c>
      <c r="ED588" s="27" t="s">
        <v>7</v>
      </c>
      <c r="FC588" s="27" t="s">
        <v>8</v>
      </c>
      <c r="FD588" s="27" t="s">
        <v>7</v>
      </c>
      <c r="FE588" s="27" t="s">
        <v>8</v>
      </c>
      <c r="GR588" s="27" t="s">
        <v>7</v>
      </c>
      <c r="GS588" s="27" t="s">
        <v>8</v>
      </c>
      <c r="HB588" s="27" t="s">
        <v>7</v>
      </c>
      <c r="HC588" s="27" t="s">
        <v>8</v>
      </c>
      <c r="HF588" s="27" t="s">
        <v>7</v>
      </c>
      <c r="HG588" s="27" t="s">
        <v>8</v>
      </c>
      <c r="HH588" s="27" t="s">
        <v>7</v>
      </c>
      <c r="HI588" s="27" t="s">
        <v>8</v>
      </c>
      <c r="HJ588" s="27" t="s">
        <v>7</v>
      </c>
      <c r="HK588" s="27" t="s">
        <v>8</v>
      </c>
      <c r="HL588" s="27" t="s">
        <v>7</v>
      </c>
      <c r="IA588" s="27" t="s">
        <v>8</v>
      </c>
      <c r="IB588" s="27" t="s">
        <v>7</v>
      </c>
    </row>
    <row r="589" spans="1:236" x14ac:dyDescent="0.25">
      <c r="A589" s="7">
        <v>0.96116878123798544</v>
      </c>
      <c r="B589"/>
      <c r="C589"/>
      <c r="D589"/>
      <c r="E589"/>
      <c r="F589" s="27" t="s">
        <v>7</v>
      </c>
      <c r="BC589" s="27" t="s">
        <v>8</v>
      </c>
      <c r="DP589" s="27" t="s">
        <v>7</v>
      </c>
      <c r="DQ589" s="27" t="s">
        <v>8</v>
      </c>
      <c r="DX589" s="27" t="s">
        <v>7</v>
      </c>
      <c r="EC589" s="27" t="s">
        <v>8</v>
      </c>
      <c r="ED589" s="27" t="s">
        <v>7</v>
      </c>
      <c r="FC589" s="27" t="s">
        <v>8</v>
      </c>
      <c r="FD589" s="27" t="s">
        <v>7</v>
      </c>
      <c r="FE589" s="27" t="s">
        <v>8</v>
      </c>
      <c r="GR589" s="27" t="s">
        <v>7</v>
      </c>
      <c r="GS589" s="27" t="s">
        <v>8</v>
      </c>
      <c r="HB589" s="27" t="s">
        <v>7</v>
      </c>
      <c r="HC589" s="27" t="s">
        <v>8</v>
      </c>
      <c r="HF589" s="27" t="s">
        <v>7</v>
      </c>
      <c r="HG589" s="27" t="s">
        <v>8</v>
      </c>
      <c r="HH589" s="27" t="s">
        <v>7</v>
      </c>
      <c r="HI589" s="27" t="s">
        <v>8</v>
      </c>
      <c r="HJ589" s="27" t="s">
        <v>7</v>
      </c>
      <c r="HK589" s="27" t="s">
        <v>8</v>
      </c>
      <c r="HL589" s="27" t="s">
        <v>7</v>
      </c>
      <c r="IA589" s="27" t="s">
        <v>8</v>
      </c>
      <c r="IB589" s="27" t="s">
        <v>7</v>
      </c>
    </row>
    <row r="590" spans="1:236" x14ac:dyDescent="0.25">
      <c r="A590" s="7">
        <v>0.94232233454704462</v>
      </c>
      <c r="B590"/>
      <c r="C590"/>
      <c r="D590"/>
      <c r="E590"/>
      <c r="F590" s="27" t="s">
        <v>7</v>
      </c>
      <c r="BC590" s="27" t="s">
        <v>8</v>
      </c>
      <c r="DP590" s="27" t="s">
        <v>7</v>
      </c>
      <c r="DQ590" s="27" t="s">
        <v>8</v>
      </c>
      <c r="DX590" s="27" t="s">
        <v>7</v>
      </c>
      <c r="EC590" s="27" t="s">
        <v>8</v>
      </c>
      <c r="ED590" s="27" t="s">
        <v>7</v>
      </c>
      <c r="FC590" s="27" t="s">
        <v>8</v>
      </c>
      <c r="FD590" s="27" t="s">
        <v>7</v>
      </c>
      <c r="FE590" s="27" t="s">
        <v>8</v>
      </c>
      <c r="GR590" s="27" t="s">
        <v>7</v>
      </c>
      <c r="HB590" s="27" t="s">
        <v>7</v>
      </c>
      <c r="HC590" s="27" t="s">
        <v>8</v>
      </c>
      <c r="HF590" s="27" t="s">
        <v>7</v>
      </c>
      <c r="HG590" s="27" t="s">
        <v>8</v>
      </c>
      <c r="HH590" s="27" t="s">
        <v>7</v>
      </c>
      <c r="HI590" s="27" t="s">
        <v>8</v>
      </c>
      <c r="HJ590" s="27" t="s">
        <v>7</v>
      </c>
      <c r="HK590" s="27" t="s">
        <v>8</v>
      </c>
      <c r="HL590" s="27" t="s">
        <v>7</v>
      </c>
      <c r="IA590" s="27" t="s">
        <v>8</v>
      </c>
      <c r="IB590" s="27" t="s">
        <v>7</v>
      </c>
    </row>
    <row r="591" spans="1:236" x14ac:dyDescent="0.25">
      <c r="A591" s="7">
        <v>0.92384542602651432</v>
      </c>
      <c r="B591"/>
      <c r="C591"/>
      <c r="D591"/>
      <c r="E591"/>
      <c r="F591" s="27" t="s">
        <v>7</v>
      </c>
      <c r="BC591" s="27" t="s">
        <v>8</v>
      </c>
      <c r="DP591" s="27" t="s">
        <v>7</v>
      </c>
      <c r="DQ591" s="27" t="s">
        <v>8</v>
      </c>
      <c r="DX591" s="27" t="s">
        <v>7</v>
      </c>
      <c r="DY591" s="27" t="s">
        <v>8</v>
      </c>
      <c r="EC591" s="27" t="s">
        <v>8</v>
      </c>
      <c r="ED591" s="27" t="s">
        <v>7</v>
      </c>
      <c r="FC591" s="27" t="s">
        <v>8</v>
      </c>
      <c r="FD591" s="27" t="s">
        <v>7</v>
      </c>
      <c r="HB591" s="27" t="s">
        <v>7</v>
      </c>
      <c r="HC591" s="27" t="s">
        <v>8</v>
      </c>
      <c r="HF591" s="27" t="s">
        <v>7</v>
      </c>
      <c r="HG591" s="27" t="s">
        <v>8</v>
      </c>
      <c r="HH591" s="27" t="s">
        <v>7</v>
      </c>
      <c r="HI591" s="27" t="s">
        <v>8</v>
      </c>
      <c r="HJ591" s="27" t="s">
        <v>7</v>
      </c>
      <c r="HL591" s="27" t="s">
        <v>7</v>
      </c>
      <c r="IA591" s="27" t="s">
        <v>8</v>
      </c>
      <c r="IB591" s="27" t="s">
        <v>7</v>
      </c>
    </row>
    <row r="592" spans="1:236" x14ac:dyDescent="0.25">
      <c r="A592" s="7">
        <v>0.90573080982991594</v>
      </c>
      <c r="B592"/>
      <c r="C592"/>
      <c r="D592"/>
      <c r="E592"/>
      <c r="F592" s="27" t="s">
        <v>7</v>
      </c>
      <c r="BA592" s="27" t="s">
        <v>8</v>
      </c>
      <c r="BC592" s="27" t="s">
        <v>8</v>
      </c>
      <c r="DP592" s="27" t="s">
        <v>7</v>
      </c>
      <c r="DQ592" s="27" t="s">
        <v>8</v>
      </c>
      <c r="DX592" s="27" t="s">
        <v>7</v>
      </c>
      <c r="DY592" s="27" t="s">
        <v>8</v>
      </c>
      <c r="DZ592" s="27" t="s">
        <v>7</v>
      </c>
      <c r="EC592" s="27" t="s">
        <v>8</v>
      </c>
      <c r="ED592" s="27" t="s">
        <v>7</v>
      </c>
      <c r="FC592" s="27" t="s">
        <v>8</v>
      </c>
      <c r="HB592" s="27" t="s">
        <v>7</v>
      </c>
      <c r="HC592" s="27" t="s">
        <v>8</v>
      </c>
      <c r="HF592" s="27" t="s">
        <v>7</v>
      </c>
      <c r="HG592" s="27" t="s">
        <v>8</v>
      </c>
      <c r="HH592" s="27" t="s">
        <v>7</v>
      </c>
      <c r="HI592" s="27" t="s">
        <v>8</v>
      </c>
      <c r="HL592" s="27" t="s">
        <v>7</v>
      </c>
      <c r="IA592" s="27" t="s">
        <v>8</v>
      </c>
      <c r="IB592" s="27" t="s">
        <v>7</v>
      </c>
    </row>
    <row r="593" spans="1:246" x14ac:dyDescent="0.25">
      <c r="A593" s="7">
        <v>0.8879713821861922</v>
      </c>
      <c r="B593"/>
      <c r="C593"/>
      <c r="D593"/>
      <c r="E593"/>
      <c r="F593" s="27" t="s">
        <v>7</v>
      </c>
      <c r="BA593" s="27" t="s">
        <v>8</v>
      </c>
      <c r="BB593" s="27" t="s">
        <v>7</v>
      </c>
      <c r="BC593" s="27" t="s">
        <v>8</v>
      </c>
      <c r="DP593" s="27" t="s">
        <v>7</v>
      </c>
      <c r="DQ593" s="27" t="s">
        <v>8</v>
      </c>
      <c r="DX593" s="27" t="s">
        <v>7</v>
      </c>
      <c r="DY593" s="27" t="s">
        <v>8</v>
      </c>
      <c r="DZ593" s="27" t="s">
        <v>7</v>
      </c>
      <c r="EC593" s="27" t="s">
        <v>8</v>
      </c>
      <c r="ED593" s="27" t="s">
        <v>7</v>
      </c>
      <c r="FC593" s="27" t="s">
        <v>8</v>
      </c>
      <c r="HB593" s="27" t="s">
        <v>7</v>
      </c>
      <c r="HC593" s="27" t="s">
        <v>8</v>
      </c>
      <c r="HF593" s="27" t="s">
        <v>7</v>
      </c>
      <c r="HH593" s="27" t="s">
        <v>7</v>
      </c>
      <c r="HI593" s="27" t="s">
        <v>8</v>
      </c>
      <c r="HL593" s="27" t="s">
        <v>7</v>
      </c>
      <c r="IA593" s="27" t="s">
        <v>8</v>
      </c>
      <c r="IB593" s="27" t="s">
        <v>7</v>
      </c>
    </row>
    <row r="594" spans="1:246" x14ac:dyDescent="0.25">
      <c r="A594" s="7">
        <v>0.87056017861391399</v>
      </c>
      <c r="B594"/>
      <c r="C594"/>
      <c r="D594"/>
      <c r="E594"/>
      <c r="F594" s="27" t="s">
        <v>7</v>
      </c>
      <c r="BA594" s="27" t="s">
        <v>8</v>
      </c>
      <c r="BB594" s="27" t="s">
        <v>7</v>
      </c>
      <c r="BC594" s="27" t="s">
        <v>8</v>
      </c>
      <c r="DP594" s="27" t="s">
        <v>7</v>
      </c>
      <c r="DQ594" s="27" t="s">
        <v>8</v>
      </c>
      <c r="DX594" s="27" t="s">
        <v>7</v>
      </c>
      <c r="DY594" s="27" t="s">
        <v>8</v>
      </c>
      <c r="DZ594" s="27" t="s">
        <v>7</v>
      </c>
      <c r="EC594" s="27" t="s">
        <v>8</v>
      </c>
      <c r="ED594" s="27" t="s">
        <v>7</v>
      </c>
      <c r="FC594" s="27" t="s">
        <v>8</v>
      </c>
      <c r="HB594" s="27" t="s">
        <v>7</v>
      </c>
      <c r="HC594" s="27" t="s">
        <v>8</v>
      </c>
      <c r="HH594" s="27" t="s">
        <v>7</v>
      </c>
      <c r="HI594" s="27" t="s">
        <v>8</v>
      </c>
      <c r="HL594" s="27" t="s">
        <v>7</v>
      </c>
      <c r="HM594" s="27" t="s">
        <v>8</v>
      </c>
      <c r="IA594" s="27" t="s">
        <v>8</v>
      </c>
      <c r="IB594" s="27" t="s">
        <v>7</v>
      </c>
    </row>
    <row r="595" spans="1:246" x14ac:dyDescent="0.25">
      <c r="A595" s="7">
        <v>0.85349037119011173</v>
      </c>
      <c r="B595"/>
      <c r="C595"/>
      <c r="D595"/>
      <c r="E595"/>
      <c r="F595" s="27" t="s">
        <v>7</v>
      </c>
      <c r="BA595" s="27" t="s">
        <v>8</v>
      </c>
      <c r="BB595" s="27" t="s">
        <v>7</v>
      </c>
      <c r="BC595" s="27" t="s">
        <v>8</v>
      </c>
      <c r="DP595" s="27" t="s">
        <v>7</v>
      </c>
      <c r="DQ595" s="27" t="s">
        <v>8</v>
      </c>
      <c r="DX595" s="27" t="s">
        <v>7</v>
      </c>
      <c r="DZ595" s="27" t="s">
        <v>7</v>
      </c>
      <c r="EA595" s="27" t="s">
        <v>8</v>
      </c>
      <c r="EC595" s="27" t="s">
        <v>8</v>
      </c>
      <c r="ED595" s="27" t="s">
        <v>7</v>
      </c>
      <c r="EW595" s="27" t="s">
        <v>8</v>
      </c>
      <c r="FC595" s="27" t="s">
        <v>8</v>
      </c>
      <c r="HB595" s="27" t="s">
        <v>7</v>
      </c>
      <c r="HC595" s="27" t="s">
        <v>8</v>
      </c>
      <c r="HH595" s="27" t="s">
        <v>7</v>
      </c>
      <c r="HL595" s="27" t="s">
        <v>7</v>
      </c>
      <c r="HM595" s="27" t="s">
        <v>8</v>
      </c>
      <c r="HN595" s="27" t="s">
        <v>7</v>
      </c>
      <c r="IA595" s="27" t="s">
        <v>8</v>
      </c>
      <c r="IB595" s="27" t="s">
        <v>7</v>
      </c>
    </row>
    <row r="596" spans="1:246" x14ac:dyDescent="0.25">
      <c r="A596" s="7">
        <v>0.83675526587265858</v>
      </c>
      <c r="B596"/>
      <c r="C596"/>
      <c r="D596"/>
      <c r="E596"/>
      <c r="F596" s="27" t="s">
        <v>7</v>
      </c>
      <c r="BA596" s="27" t="s">
        <v>8</v>
      </c>
      <c r="BB596" s="27" t="s">
        <v>7</v>
      </c>
      <c r="BC596" s="27" t="s">
        <v>8</v>
      </c>
      <c r="DP596" s="27" t="s">
        <v>7</v>
      </c>
      <c r="DQ596" s="27" t="s">
        <v>8</v>
      </c>
      <c r="DZ596" s="27" t="s">
        <v>7</v>
      </c>
      <c r="EA596" s="27" t="s">
        <v>8</v>
      </c>
      <c r="EB596" s="27" t="s">
        <v>7</v>
      </c>
      <c r="EC596" s="27" t="s">
        <v>8</v>
      </c>
      <c r="ED596" s="27" t="s">
        <v>7</v>
      </c>
      <c r="EW596" s="27" t="s">
        <v>8</v>
      </c>
      <c r="EX596" s="27" t="s">
        <v>7</v>
      </c>
      <c r="FC596" s="27" t="s">
        <v>8</v>
      </c>
      <c r="HB596" s="27" t="s">
        <v>7</v>
      </c>
      <c r="HL596" s="27" t="s">
        <v>7</v>
      </c>
      <c r="HM596" s="27" t="s">
        <v>8</v>
      </c>
      <c r="HN596" s="27" t="s">
        <v>7</v>
      </c>
      <c r="IA596" s="27" t="s">
        <v>8</v>
      </c>
      <c r="IB596" s="27" t="s">
        <v>7</v>
      </c>
      <c r="IC596" s="27" t="s">
        <v>8</v>
      </c>
    </row>
    <row r="597" spans="1:246" x14ac:dyDescent="0.25">
      <c r="A597" s="7">
        <v>0.82034829987515545</v>
      </c>
      <c r="B597"/>
      <c r="C597"/>
      <c r="D597"/>
      <c r="E597"/>
      <c r="F597" s="27" t="s">
        <v>7</v>
      </c>
      <c r="BA597" s="27" t="s">
        <v>8</v>
      </c>
      <c r="BB597" s="27" t="s">
        <v>7</v>
      </c>
      <c r="BC597" s="27" t="s">
        <v>8</v>
      </c>
      <c r="DP597" s="27" t="s">
        <v>7</v>
      </c>
      <c r="DQ597" s="27" t="s">
        <v>8</v>
      </c>
      <c r="DZ597" s="27" t="s">
        <v>7</v>
      </c>
      <c r="EA597" s="27" t="s">
        <v>8</v>
      </c>
      <c r="EB597" s="27" t="s">
        <v>7</v>
      </c>
      <c r="EC597" s="27" t="s">
        <v>8</v>
      </c>
      <c r="ED597" s="27" t="s">
        <v>7</v>
      </c>
      <c r="EQ597" s="27" t="s">
        <v>8</v>
      </c>
      <c r="EW597" s="27" t="s">
        <v>8</v>
      </c>
      <c r="EX597" s="27" t="s">
        <v>7</v>
      </c>
      <c r="FC597" s="27" t="s">
        <v>8</v>
      </c>
      <c r="HL597" s="27" t="s">
        <v>7</v>
      </c>
      <c r="HM597" s="27" t="s">
        <v>8</v>
      </c>
      <c r="HN597" s="27" t="s">
        <v>7</v>
      </c>
      <c r="HO597" s="27" t="s">
        <v>8</v>
      </c>
      <c r="HU597" s="27" t="s">
        <v>8</v>
      </c>
      <c r="IA597" s="27" t="s">
        <v>8</v>
      </c>
      <c r="IB597" s="27" t="s">
        <v>7</v>
      </c>
      <c r="IC597" s="27" t="s">
        <v>8</v>
      </c>
      <c r="ID597" s="27" t="s">
        <v>7</v>
      </c>
    </row>
    <row r="598" spans="1:246" x14ac:dyDescent="0.25">
      <c r="A598" s="7">
        <v>0.80426303909328967</v>
      </c>
      <c r="B598"/>
      <c r="C598"/>
      <c r="D598"/>
      <c r="E598"/>
      <c r="F598" s="27" t="s">
        <v>7</v>
      </c>
      <c r="BA598" s="27" t="s">
        <v>8</v>
      </c>
      <c r="BB598" s="27" t="s">
        <v>7</v>
      </c>
      <c r="BC598" s="27" t="s">
        <v>8</v>
      </c>
      <c r="DP598" s="27" t="s">
        <v>7</v>
      </c>
      <c r="DZ598" s="27" t="s">
        <v>7</v>
      </c>
      <c r="EB598" s="27" t="s">
        <v>7</v>
      </c>
      <c r="EC598" s="27" t="s">
        <v>8</v>
      </c>
      <c r="ED598" s="27" t="s">
        <v>7</v>
      </c>
      <c r="EQ598" s="27" t="s">
        <v>8</v>
      </c>
      <c r="ER598" s="27" t="s">
        <v>7</v>
      </c>
      <c r="EW598" s="27" t="s">
        <v>8</v>
      </c>
      <c r="EX598" s="27" t="s">
        <v>7</v>
      </c>
      <c r="FA598" s="27" t="s">
        <v>8</v>
      </c>
      <c r="FC598" s="27" t="s">
        <v>8</v>
      </c>
      <c r="HL598" s="27" t="s">
        <v>7</v>
      </c>
      <c r="HM598" s="27" t="s">
        <v>8</v>
      </c>
      <c r="HN598" s="27" t="s">
        <v>7</v>
      </c>
      <c r="HO598" s="27" t="s">
        <v>8</v>
      </c>
      <c r="HP598" s="27" t="s">
        <v>7</v>
      </c>
      <c r="HU598" s="27" t="s">
        <v>8</v>
      </c>
      <c r="HV598" s="27" t="s">
        <v>7</v>
      </c>
      <c r="HY598" s="27" t="s">
        <v>8</v>
      </c>
      <c r="IA598" s="27" t="s">
        <v>8</v>
      </c>
      <c r="IB598" s="27" t="s">
        <v>7</v>
      </c>
      <c r="IC598" s="27" t="s">
        <v>8</v>
      </c>
      <c r="ID598" s="27" t="s">
        <v>7</v>
      </c>
      <c r="IK598" s="27" t="s">
        <v>8</v>
      </c>
    </row>
    <row r="599" spans="1:246" x14ac:dyDescent="0.25">
      <c r="A599" s="7">
        <v>0.78849317558165644</v>
      </c>
      <c r="B599"/>
      <c r="C599"/>
      <c r="D599"/>
      <c r="E599"/>
      <c r="F599" s="27" t="s">
        <v>7</v>
      </c>
      <c r="AU599" s="27" t="s">
        <v>8</v>
      </c>
      <c r="BA599" s="27" t="s">
        <v>8</v>
      </c>
      <c r="BB599" s="27" t="s">
        <v>7</v>
      </c>
      <c r="BC599" s="27" t="s">
        <v>8</v>
      </c>
      <c r="EB599" s="27" t="s">
        <v>7</v>
      </c>
      <c r="EC599" s="27" t="s">
        <v>8</v>
      </c>
      <c r="ED599" s="27" t="s">
        <v>7</v>
      </c>
      <c r="EO599" s="27" t="s">
        <v>8</v>
      </c>
      <c r="EQ599" s="27" t="s">
        <v>8</v>
      </c>
      <c r="ER599" s="27" t="s">
        <v>7</v>
      </c>
      <c r="EW599" s="27" t="s">
        <v>8</v>
      </c>
      <c r="EX599" s="27" t="s">
        <v>7</v>
      </c>
      <c r="FA599" s="27" t="s">
        <v>8</v>
      </c>
      <c r="FB599" s="27" t="s">
        <v>7</v>
      </c>
      <c r="FC599" s="27" t="s">
        <v>8</v>
      </c>
      <c r="HL599" s="27" t="s">
        <v>7</v>
      </c>
      <c r="HM599" s="27" t="s">
        <v>8</v>
      </c>
      <c r="HN599" s="27" t="s">
        <v>7</v>
      </c>
      <c r="HO599" s="27" t="s">
        <v>8</v>
      </c>
      <c r="HP599" s="27" t="s">
        <v>7</v>
      </c>
      <c r="HU599" s="27" t="s">
        <v>8</v>
      </c>
      <c r="HV599" s="27" t="s">
        <v>7</v>
      </c>
      <c r="HY599" s="27" t="s">
        <v>8</v>
      </c>
      <c r="HZ599" s="27" t="s">
        <v>7</v>
      </c>
      <c r="IA599" s="27" t="s">
        <v>8</v>
      </c>
      <c r="IB599" s="27" t="s">
        <v>7</v>
      </c>
      <c r="IC599" s="27" t="s">
        <v>8</v>
      </c>
      <c r="ID599" s="27" t="s">
        <v>7</v>
      </c>
      <c r="IK599" s="27" t="s">
        <v>8</v>
      </c>
      <c r="IL599" s="27" t="s">
        <v>7</v>
      </c>
    </row>
    <row r="600" spans="1:246" x14ac:dyDescent="0.25">
      <c r="A600" s="7">
        <v>0.77303252508005538</v>
      </c>
      <c r="B600"/>
      <c r="C600"/>
      <c r="D600"/>
      <c r="E600"/>
      <c r="F600" s="27" t="s">
        <v>7</v>
      </c>
      <c r="AU600" s="27" t="s">
        <v>8</v>
      </c>
      <c r="AV600" s="27" t="s">
        <v>7</v>
      </c>
      <c r="AY600" s="27" t="s">
        <v>8</v>
      </c>
      <c r="BA600" s="27" t="s">
        <v>8</v>
      </c>
      <c r="BB600" s="27" t="s">
        <v>7</v>
      </c>
      <c r="BC600" s="27" t="s">
        <v>8</v>
      </c>
      <c r="EB600" s="27" t="s">
        <v>7</v>
      </c>
      <c r="EC600" s="27" t="s">
        <v>8</v>
      </c>
      <c r="ED600" s="27" t="s">
        <v>7</v>
      </c>
      <c r="EO600" s="27" t="s">
        <v>8</v>
      </c>
      <c r="EP600" s="27" t="s">
        <v>7</v>
      </c>
      <c r="EQ600" s="27" t="s">
        <v>8</v>
      </c>
      <c r="ER600" s="27" t="s">
        <v>7</v>
      </c>
      <c r="EW600" s="27" t="s">
        <v>8</v>
      </c>
      <c r="EX600" s="27" t="s">
        <v>7</v>
      </c>
      <c r="FA600" s="27" t="s">
        <v>8</v>
      </c>
      <c r="FB600" s="27" t="s">
        <v>7</v>
      </c>
      <c r="FC600" s="27" t="s">
        <v>8</v>
      </c>
      <c r="HL600" s="27" t="s">
        <v>7</v>
      </c>
      <c r="HM600" s="27" t="s">
        <v>8</v>
      </c>
      <c r="HN600" s="27" t="s">
        <v>7</v>
      </c>
      <c r="HO600" s="27" t="s">
        <v>8</v>
      </c>
      <c r="HP600" s="27" t="s">
        <v>7</v>
      </c>
      <c r="HU600" s="27" t="s">
        <v>8</v>
      </c>
      <c r="HV600" s="27" t="s">
        <v>7</v>
      </c>
      <c r="HY600" s="27" t="s">
        <v>8</v>
      </c>
      <c r="HZ600" s="27" t="s">
        <v>7</v>
      </c>
      <c r="IA600" s="27" t="s">
        <v>8</v>
      </c>
      <c r="IB600" s="27" t="s">
        <v>7</v>
      </c>
      <c r="IC600" s="27" t="s">
        <v>8</v>
      </c>
      <c r="ID600" s="27" t="s">
        <v>7</v>
      </c>
      <c r="IK600" s="27" t="s">
        <v>8</v>
      </c>
      <c r="IL600" s="27" t="s">
        <v>7</v>
      </c>
    </row>
    <row r="601" spans="1:246" x14ac:dyDescent="0.25">
      <c r="A601" s="7">
        <v>0.75787502458828959</v>
      </c>
      <c r="B601"/>
      <c r="C601"/>
      <c r="D601"/>
      <c r="E601"/>
      <c r="F601" s="27" t="s">
        <v>7</v>
      </c>
      <c r="AU601" s="27" t="s">
        <v>8</v>
      </c>
      <c r="AV601" s="27" t="s">
        <v>7</v>
      </c>
      <c r="AY601" s="27" t="s">
        <v>8</v>
      </c>
      <c r="AZ601" s="27" t="s">
        <v>7</v>
      </c>
      <c r="BA601" s="27" t="s">
        <v>8</v>
      </c>
      <c r="BB601" s="27" t="s">
        <v>7</v>
      </c>
      <c r="BC601" s="27" t="s">
        <v>8</v>
      </c>
      <c r="EB601" s="27" t="s">
        <v>7</v>
      </c>
      <c r="EC601" s="27" t="s">
        <v>8</v>
      </c>
      <c r="ED601" s="27" t="s">
        <v>7</v>
      </c>
      <c r="EO601" s="27" t="s">
        <v>8</v>
      </c>
      <c r="EP601" s="27" t="s">
        <v>7</v>
      </c>
      <c r="EQ601" s="27" t="s">
        <v>8</v>
      </c>
      <c r="ER601" s="27" t="s">
        <v>7</v>
      </c>
      <c r="EW601" s="27" t="s">
        <v>8</v>
      </c>
      <c r="EX601" s="27" t="s">
        <v>7</v>
      </c>
      <c r="FA601" s="27" t="s">
        <v>8</v>
      </c>
      <c r="FB601" s="27" t="s">
        <v>7</v>
      </c>
      <c r="FC601" s="27" t="s">
        <v>8</v>
      </c>
      <c r="HL601" s="27" t="s">
        <v>7</v>
      </c>
      <c r="HM601" s="27" t="s">
        <v>8</v>
      </c>
      <c r="HN601" s="27" t="s">
        <v>7</v>
      </c>
      <c r="HO601" s="27" t="s">
        <v>8</v>
      </c>
      <c r="HP601" s="27" t="s">
        <v>7</v>
      </c>
      <c r="HU601" s="27" t="s">
        <v>8</v>
      </c>
      <c r="HV601" s="27" t="s">
        <v>7</v>
      </c>
      <c r="HY601" s="27" t="s">
        <v>8</v>
      </c>
      <c r="HZ601" s="27" t="s">
        <v>7</v>
      </c>
      <c r="IB601" s="27" t="s">
        <v>7</v>
      </c>
      <c r="IC601" s="27" t="s">
        <v>8</v>
      </c>
      <c r="ID601" s="27" t="s">
        <v>7</v>
      </c>
      <c r="IK601" s="27" t="s">
        <v>8</v>
      </c>
      <c r="IL601" s="27" t="s">
        <v>7</v>
      </c>
    </row>
    <row r="602" spans="1:246" x14ac:dyDescent="0.25">
      <c r="A602" s="7">
        <v>0.74301472998851925</v>
      </c>
      <c r="B602"/>
      <c r="C602"/>
      <c r="D602"/>
      <c r="E602"/>
      <c r="F602" s="27" t="s">
        <v>7</v>
      </c>
      <c r="AU602" s="27" t="s">
        <v>8</v>
      </c>
      <c r="AV602" s="27" t="s">
        <v>7</v>
      </c>
      <c r="AY602" s="27" t="s">
        <v>8</v>
      </c>
      <c r="AZ602" s="27" t="s">
        <v>7</v>
      </c>
      <c r="BA602" s="27" t="s">
        <v>8</v>
      </c>
      <c r="BB602" s="27" t="s">
        <v>7</v>
      </c>
      <c r="BC602" s="27" t="s">
        <v>8</v>
      </c>
      <c r="EB602" s="27" t="s">
        <v>7</v>
      </c>
      <c r="EC602" s="27" t="s">
        <v>8</v>
      </c>
      <c r="ED602" s="27" t="s">
        <v>7</v>
      </c>
      <c r="EO602" s="27" t="s">
        <v>8</v>
      </c>
      <c r="EP602" s="27" t="s">
        <v>7</v>
      </c>
      <c r="EQ602" s="27" t="s">
        <v>8</v>
      </c>
      <c r="ER602" s="27" t="s">
        <v>7</v>
      </c>
      <c r="EW602" s="27" t="s">
        <v>8</v>
      </c>
      <c r="EX602" s="27" t="s">
        <v>7</v>
      </c>
      <c r="FA602" s="27" t="s">
        <v>8</v>
      </c>
      <c r="FB602" s="27" t="s">
        <v>7</v>
      </c>
      <c r="FC602" s="27" t="s">
        <v>8</v>
      </c>
      <c r="HL602" s="27" t="s">
        <v>7</v>
      </c>
      <c r="HM602" s="27" t="s">
        <v>8</v>
      </c>
      <c r="HN602" s="27" t="s">
        <v>7</v>
      </c>
      <c r="HO602" s="27" t="s">
        <v>8</v>
      </c>
      <c r="HP602" s="27" t="s">
        <v>7</v>
      </c>
      <c r="HU602" s="27" t="s">
        <v>8</v>
      </c>
      <c r="HV602" s="27" t="s">
        <v>7</v>
      </c>
      <c r="HW602" s="27" t="s">
        <v>8</v>
      </c>
      <c r="HY602" s="27" t="s">
        <v>8</v>
      </c>
      <c r="IB602" s="27" t="s">
        <v>7</v>
      </c>
      <c r="IC602" s="27" t="s">
        <v>8</v>
      </c>
      <c r="ID602" s="27" t="s">
        <v>7</v>
      </c>
      <c r="IK602" s="27" t="s">
        <v>8</v>
      </c>
      <c r="IL602" s="27" t="s">
        <v>7</v>
      </c>
    </row>
    <row r="603" spans="1:246" x14ac:dyDescent="0.25">
      <c r="A603" s="7">
        <v>0.72844581371423456</v>
      </c>
      <c r="B603"/>
      <c r="C603"/>
      <c r="D603"/>
      <c r="E603"/>
      <c r="F603" s="27" t="s">
        <v>7</v>
      </c>
      <c r="AU603" s="27" t="s">
        <v>8</v>
      </c>
      <c r="AV603" s="27" t="s">
        <v>7</v>
      </c>
      <c r="AW603" s="27" t="s">
        <v>8</v>
      </c>
      <c r="AY603" s="27" t="s">
        <v>8</v>
      </c>
      <c r="AZ603" s="27" t="s">
        <v>7</v>
      </c>
      <c r="BA603" s="27" t="s">
        <v>8</v>
      </c>
      <c r="BB603" s="27" t="s">
        <v>7</v>
      </c>
      <c r="EB603" s="27" t="s">
        <v>7</v>
      </c>
      <c r="EC603" s="27" t="s">
        <v>8</v>
      </c>
      <c r="ED603" s="27" t="s">
        <v>7</v>
      </c>
      <c r="EO603" s="27" t="s">
        <v>8</v>
      </c>
      <c r="EP603" s="27" t="s">
        <v>7</v>
      </c>
      <c r="EQ603" s="27" t="s">
        <v>8</v>
      </c>
      <c r="ER603" s="27" t="s">
        <v>7</v>
      </c>
      <c r="EW603" s="27" t="s">
        <v>8</v>
      </c>
      <c r="EX603" s="27" t="s">
        <v>7</v>
      </c>
      <c r="EY603" s="27" t="s">
        <v>8</v>
      </c>
      <c r="FA603" s="27" t="s">
        <v>8</v>
      </c>
      <c r="FB603" s="27" t="s">
        <v>7</v>
      </c>
      <c r="FC603" s="27" t="s">
        <v>8</v>
      </c>
      <c r="HL603" s="27" t="s">
        <v>7</v>
      </c>
      <c r="HM603" s="27" t="s">
        <v>8</v>
      </c>
      <c r="HN603" s="27" t="s">
        <v>7</v>
      </c>
      <c r="HO603" s="27" t="s">
        <v>8</v>
      </c>
      <c r="HP603" s="27" t="s">
        <v>7</v>
      </c>
      <c r="HU603" s="27" t="s">
        <v>8</v>
      </c>
      <c r="HV603" s="27" t="s">
        <v>7</v>
      </c>
      <c r="HW603" s="27" t="s">
        <v>8</v>
      </c>
      <c r="HX603" s="27" t="s">
        <v>7</v>
      </c>
      <c r="HY603" s="27" t="s">
        <v>8</v>
      </c>
      <c r="IB603" s="27" t="s">
        <v>7</v>
      </c>
      <c r="IC603" s="27" t="s">
        <v>8</v>
      </c>
      <c r="ID603" s="27" t="s">
        <v>7</v>
      </c>
      <c r="IK603" s="27" t="s">
        <v>8</v>
      </c>
      <c r="IL603" s="27" t="s">
        <v>7</v>
      </c>
    </row>
    <row r="604" spans="1:246" x14ac:dyDescent="0.25">
      <c r="A604" s="7">
        <v>0.71416256246493581</v>
      </c>
      <c r="B604"/>
      <c r="C604"/>
      <c r="D604"/>
      <c r="E604"/>
      <c r="F604" s="27" t="s">
        <v>7</v>
      </c>
      <c r="AU604" s="27" t="s">
        <v>8</v>
      </c>
      <c r="AV604" s="27" t="s">
        <v>7</v>
      </c>
      <c r="AW604" s="27" t="s">
        <v>8</v>
      </c>
      <c r="AX604" s="27" t="s">
        <v>7</v>
      </c>
      <c r="AY604" s="27" t="s">
        <v>8</v>
      </c>
      <c r="AZ604" s="27" t="s">
        <v>7</v>
      </c>
      <c r="BA604" s="27" t="s">
        <v>8</v>
      </c>
      <c r="EB604" s="27" t="s">
        <v>7</v>
      </c>
      <c r="EC604" s="27" t="s">
        <v>8</v>
      </c>
      <c r="ED604" s="27" t="s">
        <v>7</v>
      </c>
      <c r="EO604" s="27" t="s">
        <v>8</v>
      </c>
      <c r="EP604" s="27" t="s">
        <v>7</v>
      </c>
      <c r="EQ604" s="27" t="s">
        <v>8</v>
      </c>
      <c r="ER604" s="27" t="s">
        <v>7</v>
      </c>
      <c r="EW604" s="27" t="s">
        <v>8</v>
      </c>
      <c r="EX604" s="27" t="s">
        <v>7</v>
      </c>
      <c r="EY604" s="27" t="s">
        <v>8</v>
      </c>
      <c r="EZ604" s="27" t="s">
        <v>7</v>
      </c>
      <c r="FA604" s="27" t="s">
        <v>8</v>
      </c>
      <c r="FB604" s="27" t="s">
        <v>7</v>
      </c>
      <c r="FC604" s="27" t="s">
        <v>8</v>
      </c>
      <c r="HL604" s="27" t="s">
        <v>7</v>
      </c>
      <c r="HM604" s="27" t="s">
        <v>8</v>
      </c>
      <c r="HN604" s="27" t="s">
        <v>7</v>
      </c>
      <c r="HP604" s="27" t="s">
        <v>7</v>
      </c>
      <c r="HQ604" s="27" t="s">
        <v>8</v>
      </c>
      <c r="HU604" s="27" t="s">
        <v>8</v>
      </c>
      <c r="HV604" s="27" t="s">
        <v>7</v>
      </c>
      <c r="HW604" s="27" t="s">
        <v>8</v>
      </c>
      <c r="HX604" s="27" t="s">
        <v>7</v>
      </c>
      <c r="HY604" s="27" t="s">
        <v>8</v>
      </c>
      <c r="IB604" s="27" t="s">
        <v>7</v>
      </c>
      <c r="IC604" s="27" t="s">
        <v>8</v>
      </c>
      <c r="ID604" s="27" t="s">
        <v>7</v>
      </c>
      <c r="IK604" s="27" t="s">
        <v>8</v>
      </c>
      <c r="IL604" s="27" t="s">
        <v>7</v>
      </c>
    </row>
    <row r="605" spans="1:246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AS605" s="27" t="s">
        <v>8</v>
      </c>
      <c r="AU605" s="27" t="s">
        <v>8</v>
      </c>
      <c r="AV605" s="27" t="s">
        <v>7</v>
      </c>
      <c r="AW605" s="27" t="s">
        <v>8</v>
      </c>
      <c r="AX605" s="27" t="s">
        <v>7</v>
      </c>
      <c r="AY605" s="27" t="s">
        <v>8</v>
      </c>
      <c r="AZ605" s="27" t="s">
        <v>7</v>
      </c>
      <c r="EB605" s="27" t="s">
        <v>7</v>
      </c>
      <c r="ED605" s="27" t="s">
        <v>7</v>
      </c>
      <c r="EO605" s="27" t="s">
        <v>8</v>
      </c>
      <c r="EP605" s="27" t="s">
        <v>7</v>
      </c>
      <c r="EQ605" s="27" t="s">
        <v>8</v>
      </c>
      <c r="ER605" s="27" t="s">
        <v>7</v>
      </c>
      <c r="EW605" s="27" t="s">
        <v>8</v>
      </c>
      <c r="EX605" s="27" t="s">
        <v>7</v>
      </c>
      <c r="EY605" s="27" t="s">
        <v>8</v>
      </c>
      <c r="EZ605" s="27" t="s">
        <v>7</v>
      </c>
      <c r="FA605" s="27" t="s">
        <v>8</v>
      </c>
      <c r="FB605" s="27" t="s">
        <v>7</v>
      </c>
      <c r="HL605" s="27" t="s">
        <v>7</v>
      </c>
      <c r="HM605" s="27" t="s">
        <v>8</v>
      </c>
      <c r="HP605" s="27" t="s">
        <v>7</v>
      </c>
      <c r="HQ605" s="27" t="s">
        <v>8</v>
      </c>
      <c r="HR605" s="27" t="s">
        <v>7</v>
      </c>
      <c r="HS605" s="27" t="s">
        <v>8</v>
      </c>
      <c r="HU605" s="27" t="s">
        <v>8</v>
      </c>
      <c r="HV605" s="27" t="s">
        <v>7</v>
      </c>
      <c r="HW605" s="27" t="s">
        <v>8</v>
      </c>
      <c r="HX605" s="27" t="s">
        <v>7</v>
      </c>
      <c r="IB605" s="27" t="s">
        <v>7</v>
      </c>
      <c r="IC605" s="27" t="s">
        <v>8</v>
      </c>
      <c r="ID605" s="27" t="s">
        <v>7</v>
      </c>
      <c r="IK605" s="27" t="s">
        <v>8</v>
      </c>
      <c r="IL605" s="27" t="s">
        <v>7</v>
      </c>
    </row>
    <row r="606" spans="1:246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AS606" s="27" t="s">
        <v>8</v>
      </c>
      <c r="AT606" s="27" t="s">
        <v>7</v>
      </c>
      <c r="AU606" s="27" t="s">
        <v>8</v>
      </c>
      <c r="AV606" s="27" t="s">
        <v>7</v>
      </c>
      <c r="AW606" s="27" t="s">
        <v>8</v>
      </c>
      <c r="AX606" s="27" t="s">
        <v>7</v>
      </c>
      <c r="AY606" s="27" t="s">
        <v>8</v>
      </c>
      <c r="ED606" s="27" t="s">
        <v>7</v>
      </c>
      <c r="EO606" s="27" t="s">
        <v>8</v>
      </c>
      <c r="EP606" s="27" t="s">
        <v>7</v>
      </c>
      <c r="EQ606" s="27" t="s">
        <v>8</v>
      </c>
      <c r="ER606" s="27" t="s">
        <v>7</v>
      </c>
      <c r="EW606" s="27" t="s">
        <v>8</v>
      </c>
      <c r="EX606" s="27" t="s">
        <v>7</v>
      </c>
      <c r="EY606" s="27" t="s">
        <v>8</v>
      </c>
      <c r="EZ606" s="27" t="s">
        <v>7</v>
      </c>
      <c r="FA606" s="27" t="s">
        <v>8</v>
      </c>
      <c r="HL606" s="27" t="s">
        <v>7</v>
      </c>
      <c r="HM606" s="27" t="s">
        <v>8</v>
      </c>
      <c r="HP606" s="27" t="s">
        <v>7</v>
      </c>
      <c r="HQ606" s="27" t="s">
        <v>8</v>
      </c>
      <c r="HR606" s="27" t="s">
        <v>7</v>
      </c>
      <c r="HS606" s="27" t="s">
        <v>8</v>
      </c>
      <c r="HT606" s="27" t="s">
        <v>7</v>
      </c>
      <c r="HU606" s="27" t="s">
        <v>8</v>
      </c>
      <c r="HV606" s="27" t="s">
        <v>7</v>
      </c>
      <c r="HW606" s="27" t="s">
        <v>8</v>
      </c>
      <c r="IB606" s="27" t="s">
        <v>7</v>
      </c>
      <c r="IC606" s="27" t="s">
        <v>8</v>
      </c>
      <c r="ID606" s="27" t="s">
        <v>7</v>
      </c>
      <c r="IG606" s="27" t="s">
        <v>8</v>
      </c>
      <c r="IK606" s="27" t="s">
        <v>8</v>
      </c>
      <c r="IL606" s="27" t="s">
        <v>7</v>
      </c>
    </row>
    <row r="607" spans="1:246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AQ607" s="27" t="s">
        <v>8</v>
      </c>
      <c r="AS607" s="27" t="s">
        <v>8</v>
      </c>
      <c r="AT607" s="27" t="s">
        <v>7</v>
      </c>
      <c r="AU607" s="27" t="s">
        <v>8</v>
      </c>
      <c r="AV607" s="27" t="s">
        <v>7</v>
      </c>
      <c r="AW607" s="27" t="s">
        <v>8</v>
      </c>
      <c r="AX607" s="27" t="s">
        <v>7</v>
      </c>
      <c r="AY607" s="27" t="s">
        <v>8</v>
      </c>
      <c r="ED607" s="27" t="s">
        <v>7</v>
      </c>
      <c r="EO607" s="27" t="s">
        <v>8</v>
      </c>
      <c r="EP607" s="27" t="s">
        <v>7</v>
      </c>
      <c r="EQ607" s="27" t="s">
        <v>8</v>
      </c>
      <c r="ER607" s="27" t="s">
        <v>7</v>
      </c>
      <c r="EW607" s="27" t="s">
        <v>8</v>
      </c>
      <c r="EX607" s="27" t="s">
        <v>7</v>
      </c>
      <c r="EY607" s="27" t="s">
        <v>8</v>
      </c>
      <c r="EZ607" s="27" t="s">
        <v>7</v>
      </c>
      <c r="HL607" s="27" t="s">
        <v>7</v>
      </c>
      <c r="HM607" s="27" t="s">
        <v>8</v>
      </c>
      <c r="HP607" s="27" t="s">
        <v>7</v>
      </c>
      <c r="HR607" s="27" t="s">
        <v>7</v>
      </c>
      <c r="HS607" s="27" t="s">
        <v>8</v>
      </c>
      <c r="HT607" s="27" t="s">
        <v>7</v>
      </c>
      <c r="HU607" s="27" t="s">
        <v>8</v>
      </c>
      <c r="HV607" s="27" t="s">
        <v>7</v>
      </c>
      <c r="HW607" s="27" t="s">
        <v>8</v>
      </c>
      <c r="IB607" s="27" t="s">
        <v>7</v>
      </c>
      <c r="ID607" s="27" t="s">
        <v>7</v>
      </c>
      <c r="IG607" s="27" t="s">
        <v>8</v>
      </c>
      <c r="IH607" s="27" t="s">
        <v>7</v>
      </c>
      <c r="IK607" s="27" t="s">
        <v>8</v>
      </c>
      <c r="IL607" s="27" t="s">
        <v>7</v>
      </c>
    </row>
    <row r="608" spans="1:246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AQ608" s="27" t="s">
        <v>8</v>
      </c>
      <c r="AR608" s="27" t="s">
        <v>7</v>
      </c>
      <c r="AS608" s="27" t="s">
        <v>8</v>
      </c>
      <c r="AT608" s="27" t="s">
        <v>7</v>
      </c>
      <c r="AU608" s="27" t="s">
        <v>8</v>
      </c>
      <c r="AV608" s="27" t="s">
        <v>7</v>
      </c>
      <c r="AW608" s="27" t="s">
        <v>8</v>
      </c>
      <c r="AX608" s="27" t="s">
        <v>7</v>
      </c>
      <c r="ED608" s="27" t="s">
        <v>7</v>
      </c>
      <c r="EO608" s="27" t="s">
        <v>8</v>
      </c>
      <c r="EP608" s="27" t="s">
        <v>7</v>
      </c>
      <c r="EQ608" s="27" t="s">
        <v>8</v>
      </c>
      <c r="ER608" s="27" t="s">
        <v>7</v>
      </c>
      <c r="EW608" s="27" t="s">
        <v>8</v>
      </c>
      <c r="EX608" s="27" t="s">
        <v>7</v>
      </c>
      <c r="HL608" s="27" t="s">
        <v>7</v>
      </c>
      <c r="HM608" s="27" t="s">
        <v>8</v>
      </c>
      <c r="HR608" s="27" t="s">
        <v>7</v>
      </c>
      <c r="HS608" s="27" t="s">
        <v>8</v>
      </c>
      <c r="HT608" s="27" t="s">
        <v>7</v>
      </c>
      <c r="HU608" s="27" t="s">
        <v>8</v>
      </c>
      <c r="HV608" s="27" t="s">
        <v>7</v>
      </c>
      <c r="ID608" s="27" t="s">
        <v>7</v>
      </c>
      <c r="IE608" s="27" t="s">
        <v>8</v>
      </c>
      <c r="IG608" s="27" t="s">
        <v>8</v>
      </c>
      <c r="IH608" s="27" t="s">
        <v>7</v>
      </c>
      <c r="IK608" s="27" t="s">
        <v>8</v>
      </c>
      <c r="IL608" s="27" t="s">
        <v>7</v>
      </c>
    </row>
    <row r="609" spans="1:246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AQ609" s="27" t="s">
        <v>8</v>
      </c>
      <c r="AR609" s="27" t="s">
        <v>7</v>
      </c>
      <c r="AS609" s="27" t="s">
        <v>8</v>
      </c>
      <c r="AT609" s="27" t="s">
        <v>7</v>
      </c>
      <c r="AU609" s="27" t="s">
        <v>8</v>
      </c>
      <c r="AV609" s="27" t="s">
        <v>7</v>
      </c>
      <c r="AW609" s="27" t="s">
        <v>8</v>
      </c>
      <c r="ED609" s="27" t="s">
        <v>7</v>
      </c>
      <c r="EO609" s="27" t="s">
        <v>8</v>
      </c>
      <c r="EP609" s="27" t="s">
        <v>7</v>
      </c>
      <c r="EQ609" s="27" t="s">
        <v>8</v>
      </c>
      <c r="ER609" s="27" t="s">
        <v>7</v>
      </c>
      <c r="EW609" s="27" t="s">
        <v>8</v>
      </c>
      <c r="HL609" s="27" t="s">
        <v>7</v>
      </c>
      <c r="HR609" s="27" t="s">
        <v>7</v>
      </c>
      <c r="HS609" s="27" t="s">
        <v>8</v>
      </c>
      <c r="HT609" s="27" t="s">
        <v>7</v>
      </c>
      <c r="HU609" s="27" t="s">
        <v>8</v>
      </c>
      <c r="ID609" s="27" t="s">
        <v>7</v>
      </c>
      <c r="IE609" s="27" t="s">
        <v>8</v>
      </c>
      <c r="IF609" s="27" t="s">
        <v>7</v>
      </c>
      <c r="IG609" s="27" t="s">
        <v>8</v>
      </c>
      <c r="IH609" s="27" t="s">
        <v>7</v>
      </c>
      <c r="IK609" s="27" t="s">
        <v>8</v>
      </c>
      <c r="IL609" s="27" t="s">
        <v>7</v>
      </c>
    </row>
    <row r="610" spans="1:246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AQ610" s="27" t="s">
        <v>8</v>
      </c>
      <c r="AR610" s="27" t="s">
        <v>7</v>
      </c>
      <c r="AS610" s="27" t="s">
        <v>8</v>
      </c>
      <c r="AT610" s="27" t="s">
        <v>7</v>
      </c>
      <c r="AU610" s="27" t="s">
        <v>8</v>
      </c>
      <c r="AV610" s="27" t="s">
        <v>7</v>
      </c>
      <c r="AW610" s="27" t="s">
        <v>8</v>
      </c>
      <c r="ED610" s="27" t="s">
        <v>7</v>
      </c>
      <c r="EO610" s="27" t="s">
        <v>8</v>
      </c>
      <c r="EP610" s="27" t="s">
        <v>7</v>
      </c>
      <c r="EQ610" s="27" t="s">
        <v>8</v>
      </c>
      <c r="ER610" s="27" t="s">
        <v>7</v>
      </c>
      <c r="EW610" s="27" t="s">
        <v>8</v>
      </c>
      <c r="HR610" s="27" t="s">
        <v>7</v>
      </c>
      <c r="HS610" s="27" t="s">
        <v>8</v>
      </c>
      <c r="HT610" s="27" t="s">
        <v>7</v>
      </c>
      <c r="HU610" s="27" t="s">
        <v>8</v>
      </c>
      <c r="ID610" s="27" t="s">
        <v>7</v>
      </c>
      <c r="IE610" s="27" t="s">
        <v>8</v>
      </c>
      <c r="IF610" s="27" t="s">
        <v>7</v>
      </c>
      <c r="IG610" s="27" t="s">
        <v>8</v>
      </c>
      <c r="IH610" s="27" t="s">
        <v>7</v>
      </c>
      <c r="IK610" s="27" t="s">
        <v>8</v>
      </c>
      <c r="IL610" s="27" t="s">
        <v>7</v>
      </c>
    </row>
    <row r="611" spans="1:246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AQ611" s="27" t="s">
        <v>8</v>
      </c>
      <c r="AR611" s="27" t="s">
        <v>7</v>
      </c>
      <c r="AS611" s="27" t="s">
        <v>8</v>
      </c>
      <c r="AT611" s="27" t="s">
        <v>7</v>
      </c>
      <c r="AU611" s="27" t="s">
        <v>8</v>
      </c>
      <c r="AV611" s="27" t="s">
        <v>7</v>
      </c>
      <c r="AW611" s="27" t="s">
        <v>8</v>
      </c>
      <c r="ED611" s="27" t="s">
        <v>7</v>
      </c>
      <c r="EO611" s="27" t="s">
        <v>8</v>
      </c>
      <c r="EP611" s="27" t="s">
        <v>7</v>
      </c>
      <c r="EQ611" s="27" t="s">
        <v>8</v>
      </c>
      <c r="ER611" s="27" t="s">
        <v>7</v>
      </c>
      <c r="EW611" s="27" t="s">
        <v>8</v>
      </c>
      <c r="HR611" s="27" t="s">
        <v>7</v>
      </c>
      <c r="HS611" s="27" t="s">
        <v>8</v>
      </c>
      <c r="HT611" s="27" t="s">
        <v>7</v>
      </c>
      <c r="ID611" s="27" t="s">
        <v>7</v>
      </c>
      <c r="IE611" s="27" t="s">
        <v>8</v>
      </c>
      <c r="IF611" s="27" t="s">
        <v>7</v>
      </c>
      <c r="IG611" s="27" t="s">
        <v>8</v>
      </c>
      <c r="IH611" s="27" t="s">
        <v>7</v>
      </c>
      <c r="IK611" s="27" t="s">
        <v>8</v>
      </c>
      <c r="IL611" s="27" t="s">
        <v>7</v>
      </c>
    </row>
    <row r="612" spans="1:246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AQ612" s="27" t="s">
        <v>8</v>
      </c>
      <c r="AR612" s="27" t="s">
        <v>7</v>
      </c>
      <c r="AS612" s="27" t="s">
        <v>8</v>
      </c>
      <c r="AT612" s="27" t="s">
        <v>7</v>
      </c>
      <c r="AU612" s="27" t="s">
        <v>8</v>
      </c>
      <c r="AV612" s="27" t="s">
        <v>7</v>
      </c>
      <c r="AW612" s="27" t="s">
        <v>8</v>
      </c>
      <c r="ED612" s="27" t="s">
        <v>7</v>
      </c>
      <c r="EO612" s="27" t="s">
        <v>8</v>
      </c>
      <c r="EP612" s="27" t="s">
        <v>7</v>
      </c>
      <c r="EQ612" s="27" t="s">
        <v>8</v>
      </c>
      <c r="ER612" s="27" t="s">
        <v>7</v>
      </c>
      <c r="EW612" s="27" t="s">
        <v>8</v>
      </c>
      <c r="HR612" s="27" t="s">
        <v>7</v>
      </c>
      <c r="ID612" s="27" t="s">
        <v>7</v>
      </c>
      <c r="IE612" s="27" t="s">
        <v>8</v>
      </c>
      <c r="IF612" s="27" t="s">
        <v>7</v>
      </c>
      <c r="IG612" s="27" t="s">
        <v>8</v>
      </c>
      <c r="IH612" s="27" t="s">
        <v>7</v>
      </c>
      <c r="IK612" s="27" t="s">
        <v>8</v>
      </c>
      <c r="IL612" s="27" t="s">
        <v>7</v>
      </c>
    </row>
    <row r="613" spans="1:246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AQ613" s="27" t="s">
        <v>8</v>
      </c>
      <c r="AR613" s="27" t="s">
        <v>7</v>
      </c>
      <c r="AS613" s="27" t="s">
        <v>8</v>
      </c>
      <c r="AT613" s="27" t="s">
        <v>7</v>
      </c>
      <c r="AU613" s="27" t="s">
        <v>8</v>
      </c>
      <c r="AV613" s="27" t="s">
        <v>7</v>
      </c>
      <c r="AW613" s="27" t="s">
        <v>8</v>
      </c>
      <c r="ED613" s="27" t="s">
        <v>7</v>
      </c>
      <c r="EE613" s="27" t="s">
        <v>8</v>
      </c>
      <c r="EO613" s="27" t="s">
        <v>8</v>
      </c>
      <c r="EP613" s="27" t="s">
        <v>7</v>
      </c>
      <c r="EQ613" s="27" t="s">
        <v>8</v>
      </c>
      <c r="ER613" s="27" t="s">
        <v>7</v>
      </c>
      <c r="ES613" s="18" t="s">
        <v>8</v>
      </c>
      <c r="EW613" s="27" t="s">
        <v>8</v>
      </c>
      <c r="ID613" s="27" t="s">
        <v>7</v>
      </c>
      <c r="IE613" s="27" t="s">
        <v>8</v>
      </c>
      <c r="IF613" s="27" t="s">
        <v>7</v>
      </c>
      <c r="IG613" s="27" t="s">
        <v>8</v>
      </c>
      <c r="IH613" s="27" t="s">
        <v>7</v>
      </c>
      <c r="IK613" s="27" t="s">
        <v>8</v>
      </c>
      <c r="IL613" s="27" t="s">
        <v>7</v>
      </c>
    </row>
    <row r="614" spans="1:246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AQ614" s="27" t="s">
        <v>8</v>
      </c>
      <c r="AR614" s="27" t="s">
        <v>7</v>
      </c>
      <c r="AS614" s="27" t="s">
        <v>8</v>
      </c>
      <c r="AT614" s="27" t="s">
        <v>7</v>
      </c>
      <c r="AU614" s="27" t="s">
        <v>8</v>
      </c>
      <c r="AV614" s="27" t="s">
        <v>7</v>
      </c>
      <c r="AW614" s="27" t="s">
        <v>8</v>
      </c>
      <c r="ED614" s="27" t="s">
        <v>7</v>
      </c>
      <c r="EE614" s="27" t="s">
        <v>8</v>
      </c>
      <c r="EF614" s="27" t="s">
        <v>7</v>
      </c>
      <c r="EG614" s="27" t="s">
        <v>8</v>
      </c>
      <c r="EI614" s="27" t="s">
        <v>8</v>
      </c>
      <c r="EM614" s="27" t="s">
        <v>8</v>
      </c>
      <c r="EO614" s="27" t="s">
        <v>8</v>
      </c>
      <c r="EP614" s="27" t="s">
        <v>7</v>
      </c>
      <c r="ER614" s="27" t="s">
        <v>7</v>
      </c>
      <c r="ES614" s="27" t="s">
        <v>8</v>
      </c>
      <c r="ET614" s="27" t="s">
        <v>7</v>
      </c>
      <c r="EW614" s="27" t="s">
        <v>8</v>
      </c>
      <c r="ID614" s="27" t="s">
        <v>7</v>
      </c>
      <c r="IE614" s="27" t="s">
        <v>8</v>
      </c>
      <c r="IF614" s="27" t="s">
        <v>7</v>
      </c>
      <c r="IG614" s="27" t="s">
        <v>8</v>
      </c>
      <c r="IH614" s="27" t="s">
        <v>7</v>
      </c>
      <c r="IK614" s="27" t="s">
        <v>8</v>
      </c>
      <c r="IL614" s="27" t="s">
        <v>7</v>
      </c>
    </row>
    <row r="615" spans="1:246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AQ615" s="27" t="s">
        <v>8</v>
      </c>
      <c r="AR615" s="27" t="s">
        <v>7</v>
      </c>
      <c r="AT615" s="27" t="s">
        <v>7</v>
      </c>
      <c r="AV615" s="27" t="s">
        <v>7</v>
      </c>
      <c r="AW615" s="27" t="s">
        <v>8</v>
      </c>
      <c r="ED615" s="27" t="s">
        <v>7</v>
      </c>
      <c r="EE615" s="27" t="s">
        <v>8</v>
      </c>
      <c r="EF615" s="27" t="s">
        <v>7</v>
      </c>
      <c r="EG615" s="27" t="s">
        <v>8</v>
      </c>
      <c r="EH615" s="27" t="s">
        <v>7</v>
      </c>
      <c r="EI615" s="27" t="s">
        <v>8</v>
      </c>
      <c r="EJ615" s="27" t="s">
        <v>7</v>
      </c>
      <c r="EM615" s="27" t="s">
        <v>8</v>
      </c>
      <c r="EN615" s="27" t="s">
        <v>7</v>
      </c>
      <c r="EO615" s="27" t="s">
        <v>8</v>
      </c>
      <c r="ER615" s="27" t="s">
        <v>7</v>
      </c>
      <c r="ES615" s="27" t="s">
        <v>8</v>
      </c>
      <c r="ET615" s="27" t="s">
        <v>7</v>
      </c>
      <c r="EW615" s="27" t="s">
        <v>8</v>
      </c>
      <c r="ID615" s="27" t="s">
        <v>7</v>
      </c>
      <c r="IE615" s="27" t="s">
        <v>8</v>
      </c>
      <c r="IF615" s="27" t="s">
        <v>7</v>
      </c>
      <c r="IG615" s="27" t="s">
        <v>8</v>
      </c>
      <c r="IH615" s="27" t="s">
        <v>7</v>
      </c>
      <c r="IK615" s="27" t="s">
        <v>8</v>
      </c>
      <c r="IL615" s="27" t="s">
        <v>7</v>
      </c>
    </row>
    <row r="616" spans="1:246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AQ616" s="27" t="s">
        <v>8</v>
      </c>
      <c r="AV616" s="27" t="s">
        <v>7</v>
      </c>
      <c r="ED616" s="27" t="s">
        <v>7</v>
      </c>
      <c r="EE616" s="27" t="s">
        <v>8</v>
      </c>
      <c r="EF616" s="27" t="s">
        <v>7</v>
      </c>
      <c r="EG616" s="27" t="s">
        <v>8</v>
      </c>
      <c r="EH616" s="27" t="s">
        <v>7</v>
      </c>
      <c r="EI616" s="27" t="s">
        <v>8</v>
      </c>
      <c r="EJ616" s="27" t="s">
        <v>7</v>
      </c>
      <c r="EM616" s="27" t="s">
        <v>8</v>
      </c>
      <c r="EN616" s="27" t="s">
        <v>7</v>
      </c>
      <c r="EO616" s="27" t="s">
        <v>8</v>
      </c>
      <c r="ER616" s="27" t="s">
        <v>7</v>
      </c>
      <c r="ES616" s="27" t="s">
        <v>8</v>
      </c>
      <c r="ET616" s="27" t="s">
        <v>7</v>
      </c>
      <c r="EW616" s="27" t="s">
        <v>8</v>
      </c>
      <c r="ID616" s="27" t="s">
        <v>7</v>
      </c>
      <c r="IF616" s="27" t="s">
        <v>7</v>
      </c>
      <c r="IG616" s="27" t="s">
        <v>8</v>
      </c>
      <c r="IH616" s="27" t="s">
        <v>7</v>
      </c>
      <c r="IK616" s="27" t="s">
        <v>8</v>
      </c>
      <c r="IL616" s="27" t="s">
        <v>7</v>
      </c>
    </row>
    <row r="617" spans="1:246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AQ617" s="27" t="s">
        <v>8</v>
      </c>
      <c r="ED617" s="27" t="s">
        <v>7</v>
      </c>
      <c r="EE617" s="27" t="s">
        <v>8</v>
      </c>
      <c r="EF617" s="27" t="s">
        <v>7</v>
      </c>
      <c r="EG617" s="27" t="s">
        <v>8</v>
      </c>
      <c r="EH617" s="27" t="s">
        <v>7</v>
      </c>
      <c r="EI617" s="27" t="s">
        <v>8</v>
      </c>
      <c r="EJ617" s="27" t="s">
        <v>7</v>
      </c>
      <c r="EK617" s="27" t="s">
        <v>8</v>
      </c>
      <c r="EM617" s="27" t="s">
        <v>8</v>
      </c>
      <c r="EN617" s="27" t="s">
        <v>7</v>
      </c>
      <c r="ER617" s="27" t="s">
        <v>7</v>
      </c>
      <c r="ET617" s="27" t="s">
        <v>7</v>
      </c>
      <c r="EU617" s="27" t="s">
        <v>8</v>
      </c>
      <c r="EW617" s="27" t="s">
        <v>8</v>
      </c>
      <c r="IF617" s="27" t="s">
        <v>7</v>
      </c>
      <c r="IH617" s="27" t="s">
        <v>7</v>
      </c>
      <c r="IK617" s="27" t="s">
        <v>8</v>
      </c>
      <c r="IL617" s="27" t="s">
        <v>7</v>
      </c>
    </row>
    <row r="618" spans="1:246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AO618" s="27" t="s">
        <v>8</v>
      </c>
      <c r="AQ618" s="27" t="s">
        <v>8</v>
      </c>
      <c r="ED618" s="27" t="s">
        <v>7</v>
      </c>
      <c r="EE618" s="27" t="s">
        <v>8</v>
      </c>
      <c r="EF618" s="27" t="s">
        <v>7</v>
      </c>
      <c r="EG618" s="27" t="s">
        <v>8</v>
      </c>
      <c r="EH618" s="27" t="s">
        <v>7</v>
      </c>
      <c r="EI618" s="27" t="s">
        <v>8</v>
      </c>
      <c r="EJ618" s="27" t="s">
        <v>7</v>
      </c>
      <c r="EK618" s="27" t="s">
        <v>8</v>
      </c>
      <c r="EL618" s="27" t="s">
        <v>7</v>
      </c>
      <c r="EM618" s="27" t="s">
        <v>8</v>
      </c>
      <c r="ET618" s="27" t="s">
        <v>7</v>
      </c>
      <c r="EU618" s="27" t="s">
        <v>8</v>
      </c>
      <c r="EV618" s="27" t="s">
        <v>7</v>
      </c>
      <c r="EW618" s="27" t="s">
        <v>8</v>
      </c>
      <c r="IH618" s="27" t="s">
        <v>7</v>
      </c>
      <c r="IK618" s="27" t="s">
        <v>8</v>
      </c>
    </row>
    <row r="619" spans="1:246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AO619" s="27" t="s">
        <v>8</v>
      </c>
      <c r="AP619" s="27" t="s">
        <v>7</v>
      </c>
      <c r="AQ619" s="27" t="s">
        <v>8</v>
      </c>
      <c r="ED619" s="27" t="s">
        <v>7</v>
      </c>
      <c r="EE619" s="27" t="s">
        <v>8</v>
      </c>
      <c r="EF619" s="27" t="s">
        <v>7</v>
      </c>
      <c r="EG619" s="27" t="s">
        <v>8</v>
      </c>
      <c r="EH619" s="27" t="s">
        <v>7</v>
      </c>
      <c r="EJ619" s="27" t="s">
        <v>7</v>
      </c>
      <c r="EK619" s="27" t="s">
        <v>8</v>
      </c>
      <c r="EL619" s="27" t="s">
        <v>7</v>
      </c>
      <c r="EM619" s="27" t="s">
        <v>8</v>
      </c>
      <c r="ET619" s="27" t="s">
        <v>7</v>
      </c>
      <c r="EU619" s="27" t="s">
        <v>8</v>
      </c>
      <c r="EV619" s="27" t="s">
        <v>7</v>
      </c>
      <c r="EW619" s="27" t="s">
        <v>8</v>
      </c>
      <c r="IH619" s="27" t="s">
        <v>7</v>
      </c>
      <c r="IK619" s="27" t="s">
        <v>8</v>
      </c>
    </row>
    <row r="620" spans="1:246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AO620" s="27" t="s">
        <v>8</v>
      </c>
      <c r="AP620" s="27" t="s">
        <v>7</v>
      </c>
      <c r="AQ620" s="27" t="s">
        <v>8</v>
      </c>
      <c r="ED620" s="27" t="s">
        <v>7</v>
      </c>
      <c r="EE620" s="27" t="s">
        <v>8</v>
      </c>
      <c r="EF620" s="27" t="s">
        <v>7</v>
      </c>
      <c r="EG620" s="27" t="s">
        <v>8</v>
      </c>
      <c r="EJ620" s="27" t="s">
        <v>7</v>
      </c>
      <c r="EL620" s="27" t="s">
        <v>7</v>
      </c>
      <c r="ET620" s="27" t="s">
        <v>7</v>
      </c>
      <c r="EU620" s="27" t="s">
        <v>8</v>
      </c>
      <c r="EV620" s="27" t="s">
        <v>7</v>
      </c>
      <c r="IH620" s="27" t="s">
        <v>7</v>
      </c>
      <c r="IK620" s="27" t="s">
        <v>8</v>
      </c>
    </row>
    <row r="621" spans="1:246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AO621" s="27" t="s">
        <v>8</v>
      </c>
      <c r="AP621" s="27" t="s">
        <v>7</v>
      </c>
      <c r="AQ621" s="27" t="s">
        <v>8</v>
      </c>
      <c r="ED621" s="27" t="s">
        <v>7</v>
      </c>
      <c r="EE621" s="27" t="s">
        <v>8</v>
      </c>
      <c r="EF621" s="27" t="s">
        <v>7</v>
      </c>
      <c r="EG621" s="27" t="s">
        <v>8</v>
      </c>
      <c r="ET621" s="27" t="s">
        <v>7</v>
      </c>
      <c r="EU621" s="27" t="s">
        <v>8</v>
      </c>
      <c r="IH621" s="27" t="s">
        <v>7</v>
      </c>
      <c r="IK621" s="27" t="s">
        <v>8</v>
      </c>
    </row>
    <row r="622" spans="1:246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Q622" s="27" t="s">
        <v>8</v>
      </c>
      <c r="AM622" s="27" t="s">
        <v>8</v>
      </c>
      <c r="AO622" s="27" t="s">
        <v>8</v>
      </c>
      <c r="AP622" s="27" t="s">
        <v>7</v>
      </c>
      <c r="ED622" s="27" t="s">
        <v>7</v>
      </c>
      <c r="EE622" s="27" t="s">
        <v>8</v>
      </c>
      <c r="EF622" s="27" t="s">
        <v>7</v>
      </c>
      <c r="EG622" s="27" t="s">
        <v>8</v>
      </c>
      <c r="ET622" s="27" t="s">
        <v>7</v>
      </c>
      <c r="EU622" s="27" t="s">
        <v>8</v>
      </c>
      <c r="IH622" s="27" t="s">
        <v>7</v>
      </c>
      <c r="IK622" s="27" t="s">
        <v>8</v>
      </c>
    </row>
    <row r="623" spans="1:246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Q623" s="27" t="s">
        <v>8</v>
      </c>
      <c r="R623" s="27" t="s">
        <v>7</v>
      </c>
      <c r="AM623" s="27" t="s">
        <v>8</v>
      </c>
      <c r="AN623" s="27" t="s">
        <v>7</v>
      </c>
      <c r="AO623" s="27" t="s">
        <v>8</v>
      </c>
      <c r="ED623" s="27" t="s">
        <v>7</v>
      </c>
      <c r="EE623" s="27" t="s">
        <v>8</v>
      </c>
      <c r="EF623" s="27" t="s">
        <v>7</v>
      </c>
      <c r="EG623" s="27" t="s">
        <v>8</v>
      </c>
      <c r="ET623" s="27" t="s">
        <v>7</v>
      </c>
      <c r="EU623" s="27" t="s">
        <v>8</v>
      </c>
      <c r="IH623" s="27" t="s">
        <v>7</v>
      </c>
      <c r="IK623" s="27" t="s">
        <v>8</v>
      </c>
    </row>
    <row r="624" spans="1:246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Q624" s="27" t="s">
        <v>8</v>
      </c>
      <c r="R624" s="27" t="s">
        <v>7</v>
      </c>
      <c r="AM624" s="27" t="s">
        <v>8</v>
      </c>
      <c r="AN624" s="27" t="s">
        <v>7</v>
      </c>
      <c r="AO624" s="27" t="s">
        <v>8</v>
      </c>
      <c r="ED624" s="27" t="s">
        <v>7</v>
      </c>
      <c r="EE624" s="27" t="s">
        <v>8</v>
      </c>
      <c r="EF624" s="27" t="s">
        <v>7</v>
      </c>
      <c r="EG624" s="27" t="s">
        <v>8</v>
      </c>
      <c r="ET624" s="27" t="s">
        <v>7</v>
      </c>
      <c r="IH624" s="27" t="s">
        <v>7</v>
      </c>
      <c r="II624" s="27" t="s">
        <v>8</v>
      </c>
      <c r="IK624" s="27" t="s">
        <v>8</v>
      </c>
    </row>
    <row r="625" spans="1:245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Q625" s="27" t="s">
        <v>8</v>
      </c>
      <c r="R625" s="27" t="s">
        <v>7</v>
      </c>
      <c r="AM625" s="27" t="s">
        <v>8</v>
      </c>
      <c r="AN625" s="27" t="s">
        <v>7</v>
      </c>
      <c r="AO625" s="27" t="s">
        <v>8</v>
      </c>
      <c r="ED625" s="27" t="s">
        <v>7</v>
      </c>
      <c r="EE625" s="27" t="s">
        <v>8</v>
      </c>
      <c r="EF625" s="27" t="s">
        <v>7</v>
      </c>
      <c r="IH625" s="27" t="s">
        <v>7</v>
      </c>
      <c r="II625" s="27" t="s">
        <v>8</v>
      </c>
      <c r="IJ625" s="27" t="s">
        <v>7</v>
      </c>
      <c r="IK625" s="27" t="s">
        <v>8</v>
      </c>
    </row>
    <row r="626" spans="1:245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Q626" s="27" t="s">
        <v>8</v>
      </c>
      <c r="R626" s="27" t="s">
        <v>7</v>
      </c>
      <c r="AM626" s="27" t="s">
        <v>8</v>
      </c>
      <c r="AN626" s="27" t="s">
        <v>7</v>
      </c>
      <c r="AO626" s="27" t="s">
        <v>8</v>
      </c>
      <c r="ED626" s="27" t="s">
        <v>7</v>
      </c>
      <c r="IH626" s="27" t="s">
        <v>7</v>
      </c>
      <c r="II626" s="27" t="s">
        <v>8</v>
      </c>
      <c r="IJ626" s="27" t="s">
        <v>7</v>
      </c>
      <c r="IK626" s="27" t="s">
        <v>8</v>
      </c>
    </row>
    <row r="627" spans="1:245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Q627" s="27" t="s">
        <v>8</v>
      </c>
      <c r="R627" s="27" t="s">
        <v>7</v>
      </c>
      <c r="AM627" s="27" t="s">
        <v>8</v>
      </c>
      <c r="AN627" s="27" t="s">
        <v>7</v>
      </c>
      <c r="IH627" s="27" t="s">
        <v>7</v>
      </c>
      <c r="II627" s="27" t="s">
        <v>8</v>
      </c>
      <c r="IJ627" s="27" t="s">
        <v>7</v>
      </c>
      <c r="IK627" s="27" t="s">
        <v>8</v>
      </c>
    </row>
    <row r="628" spans="1:245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H628" s="27" t="s">
        <v>7</v>
      </c>
      <c r="Q628" s="27" t="s">
        <v>8</v>
      </c>
      <c r="R628" s="27" t="s">
        <v>7</v>
      </c>
      <c r="AM628" s="27" t="s">
        <v>8</v>
      </c>
      <c r="IH628" s="27" t="s">
        <v>7</v>
      </c>
      <c r="II628" s="27" t="s">
        <v>8</v>
      </c>
      <c r="IJ628" s="27" t="s">
        <v>7</v>
      </c>
      <c r="IK628" s="27" t="s">
        <v>8</v>
      </c>
    </row>
    <row r="629" spans="1:245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Q629" s="27" t="s">
        <v>8</v>
      </c>
      <c r="R629" s="27" t="s">
        <v>7</v>
      </c>
      <c r="S629" s="27" t="s">
        <v>8</v>
      </c>
      <c r="AM629" s="27" t="s">
        <v>8</v>
      </c>
      <c r="IH629" s="27" t="s">
        <v>7</v>
      </c>
      <c r="II629" s="27" t="s">
        <v>8</v>
      </c>
      <c r="IJ629" s="27" t="s">
        <v>7</v>
      </c>
      <c r="IK629" s="27" t="s">
        <v>8</v>
      </c>
    </row>
    <row r="630" spans="1:245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Q630" s="27" t="s">
        <v>8</v>
      </c>
      <c r="R630" s="27" t="s">
        <v>7</v>
      </c>
      <c r="S630" s="27" t="s">
        <v>8</v>
      </c>
      <c r="T630" s="27" t="s">
        <v>7</v>
      </c>
      <c r="AM630" s="27" t="s">
        <v>8</v>
      </c>
      <c r="IH630" s="27" t="s">
        <v>7</v>
      </c>
      <c r="II630" s="27" t="s">
        <v>8</v>
      </c>
      <c r="IJ630" s="27" t="s">
        <v>7</v>
      </c>
      <c r="IK630" s="27" t="s">
        <v>8</v>
      </c>
    </row>
    <row r="631" spans="1:245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Q631" s="27" t="s">
        <v>8</v>
      </c>
      <c r="R631" s="27" t="s">
        <v>7</v>
      </c>
      <c r="S631" s="27" t="s">
        <v>8</v>
      </c>
      <c r="T631" s="27" t="s">
        <v>7</v>
      </c>
      <c r="AM631" s="27" t="s">
        <v>8</v>
      </c>
      <c r="IH631" s="27" t="s">
        <v>7</v>
      </c>
      <c r="II631" s="27" t="s">
        <v>8</v>
      </c>
      <c r="IJ631" s="27" t="s">
        <v>7</v>
      </c>
      <c r="IK631" s="27" t="s">
        <v>8</v>
      </c>
    </row>
    <row r="632" spans="1:245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O632" s="27" t="s">
        <v>8</v>
      </c>
      <c r="Q632" s="27" t="s">
        <v>8</v>
      </c>
      <c r="R632" s="27" t="s">
        <v>7</v>
      </c>
      <c r="S632" s="27" t="s">
        <v>8</v>
      </c>
      <c r="T632" s="27" t="s">
        <v>7</v>
      </c>
      <c r="AI632" s="27" t="s">
        <v>8</v>
      </c>
      <c r="AM632" s="27" t="s">
        <v>8</v>
      </c>
      <c r="IH632" s="27" t="s">
        <v>7</v>
      </c>
      <c r="II632" s="27" t="s">
        <v>8</v>
      </c>
      <c r="IJ632" s="27" t="s">
        <v>7</v>
      </c>
      <c r="IK632" s="27" t="s">
        <v>8</v>
      </c>
    </row>
    <row r="633" spans="1:245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K633" s="27" t="s">
        <v>8</v>
      </c>
      <c r="O633" s="27" t="s">
        <v>8</v>
      </c>
      <c r="P633" s="27" t="s">
        <v>7</v>
      </c>
      <c r="Q633" s="27" t="s">
        <v>8</v>
      </c>
      <c r="R633" s="27" t="s">
        <v>7</v>
      </c>
      <c r="S633" s="27" t="s">
        <v>8</v>
      </c>
      <c r="T633" s="27" t="s">
        <v>7</v>
      </c>
      <c r="AI633" s="27" t="s">
        <v>8</v>
      </c>
      <c r="AJ633" s="27" t="s">
        <v>7</v>
      </c>
      <c r="AM633" s="27" t="s">
        <v>8</v>
      </c>
      <c r="IH633" s="27" t="s">
        <v>7</v>
      </c>
      <c r="II633" s="27" t="s">
        <v>8</v>
      </c>
      <c r="IJ633" s="27" t="s">
        <v>7</v>
      </c>
      <c r="IK633" s="27" t="s">
        <v>8</v>
      </c>
    </row>
    <row r="634" spans="1:245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K634" s="27" t="s">
        <v>8</v>
      </c>
      <c r="L634" s="27" t="s">
        <v>7</v>
      </c>
      <c r="M634" s="27" t="s">
        <v>8</v>
      </c>
      <c r="O634" s="27" t="s">
        <v>8</v>
      </c>
      <c r="P634" s="27" t="s">
        <v>7</v>
      </c>
      <c r="Q634" s="27" t="s">
        <v>8</v>
      </c>
      <c r="R634" s="27" t="s">
        <v>7</v>
      </c>
      <c r="S634" s="27" t="s">
        <v>8</v>
      </c>
      <c r="T634" s="27" t="s">
        <v>7</v>
      </c>
      <c r="AI634" s="27" t="s">
        <v>8</v>
      </c>
      <c r="AJ634" s="27" t="s">
        <v>7</v>
      </c>
      <c r="AM634" s="27" t="s">
        <v>8</v>
      </c>
      <c r="IH634" s="27" t="s">
        <v>7</v>
      </c>
      <c r="IJ634" s="27" t="s">
        <v>7</v>
      </c>
      <c r="IK634" s="27" t="s">
        <v>8</v>
      </c>
    </row>
    <row r="635" spans="1:245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K635" s="27" t="s">
        <v>8</v>
      </c>
      <c r="L635" s="27" t="s">
        <v>7</v>
      </c>
      <c r="M635" s="27" t="s">
        <v>8</v>
      </c>
      <c r="N635" s="27" t="s">
        <v>7</v>
      </c>
      <c r="O635" s="27" t="s">
        <v>8</v>
      </c>
      <c r="P635" s="27" t="s">
        <v>7</v>
      </c>
      <c r="Q635" s="27" t="s">
        <v>8</v>
      </c>
      <c r="R635" s="27" t="s">
        <v>7</v>
      </c>
      <c r="S635" s="27" t="s">
        <v>8</v>
      </c>
      <c r="T635" s="27" t="s">
        <v>7</v>
      </c>
      <c r="U635" s="27" t="s">
        <v>8</v>
      </c>
      <c r="AI635" s="27" t="s">
        <v>8</v>
      </c>
      <c r="AJ635" s="27" t="s">
        <v>7</v>
      </c>
      <c r="AM635" s="27" t="s">
        <v>8</v>
      </c>
      <c r="IJ635" s="27" t="s">
        <v>7</v>
      </c>
      <c r="IK635" s="27" t="s">
        <v>8</v>
      </c>
    </row>
    <row r="636" spans="1:245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H636" s="27" t="s">
        <v>7</v>
      </c>
      <c r="K636" s="27" t="s">
        <v>8</v>
      </c>
      <c r="L636" s="27" t="s">
        <v>7</v>
      </c>
      <c r="M636" s="27" t="s">
        <v>8</v>
      </c>
      <c r="N636" s="27" t="s">
        <v>7</v>
      </c>
      <c r="O636" s="27" t="s">
        <v>8</v>
      </c>
      <c r="P636" s="27" t="s">
        <v>7</v>
      </c>
      <c r="Q636" s="27" t="s">
        <v>8</v>
      </c>
      <c r="R636" s="27" t="s">
        <v>7</v>
      </c>
      <c r="S636" s="27" t="s">
        <v>8</v>
      </c>
      <c r="T636" s="27" t="s">
        <v>7</v>
      </c>
      <c r="U636" s="27" t="s">
        <v>8</v>
      </c>
      <c r="V636" s="27" t="s">
        <v>7</v>
      </c>
      <c r="AI636" s="27" t="s">
        <v>8</v>
      </c>
      <c r="AJ636" s="27" t="s">
        <v>7</v>
      </c>
      <c r="AK636" s="27" t="s">
        <v>8</v>
      </c>
      <c r="AM636" s="27" t="s">
        <v>8</v>
      </c>
      <c r="IJ636" s="27" t="s">
        <v>7</v>
      </c>
      <c r="IK636" s="27" t="s">
        <v>8</v>
      </c>
    </row>
    <row r="637" spans="1:245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H637" s="27" t="s">
        <v>7</v>
      </c>
      <c r="K637" s="27" t="s">
        <v>8</v>
      </c>
      <c r="L637" s="27" t="s">
        <v>7</v>
      </c>
      <c r="M637" s="27" t="s">
        <v>8</v>
      </c>
      <c r="N637" s="27" t="s">
        <v>7</v>
      </c>
      <c r="O637" s="27" t="s">
        <v>8</v>
      </c>
      <c r="P637" s="27" t="s">
        <v>7</v>
      </c>
      <c r="Q637" s="27" t="s">
        <v>8</v>
      </c>
      <c r="R637" s="27" t="s">
        <v>7</v>
      </c>
      <c r="S637" s="27" t="s">
        <v>8</v>
      </c>
      <c r="T637" s="27" t="s">
        <v>7</v>
      </c>
      <c r="U637" s="27" t="s">
        <v>8</v>
      </c>
      <c r="V637" s="27" t="s">
        <v>7</v>
      </c>
      <c r="AI637" s="27" t="s">
        <v>8</v>
      </c>
      <c r="AJ637" s="27" t="s">
        <v>7</v>
      </c>
      <c r="AK637" s="27" t="s">
        <v>8</v>
      </c>
      <c r="AL637" s="27" t="s">
        <v>7</v>
      </c>
      <c r="AM637" s="27" t="s">
        <v>8</v>
      </c>
      <c r="IJ637" s="27" t="s">
        <v>7</v>
      </c>
    </row>
    <row r="638" spans="1:245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I638" s="27" t="s">
        <v>8</v>
      </c>
      <c r="K638" s="27" t="s">
        <v>8</v>
      </c>
      <c r="L638" s="27" t="s">
        <v>7</v>
      </c>
      <c r="M638" s="27" t="s">
        <v>8</v>
      </c>
      <c r="N638" s="27" t="s">
        <v>7</v>
      </c>
      <c r="O638" s="27" t="s">
        <v>8</v>
      </c>
      <c r="P638" s="27" t="s">
        <v>7</v>
      </c>
      <c r="Q638" s="27" t="s">
        <v>8</v>
      </c>
      <c r="R638" s="27" t="s">
        <v>7</v>
      </c>
      <c r="S638" s="27" t="s">
        <v>8</v>
      </c>
      <c r="T638" s="27" t="s">
        <v>7</v>
      </c>
      <c r="U638" s="27" t="s">
        <v>8</v>
      </c>
      <c r="V638" s="27" t="s">
        <v>7</v>
      </c>
      <c r="AG638" s="27" t="s">
        <v>8</v>
      </c>
      <c r="AI638" s="27" t="s">
        <v>8</v>
      </c>
      <c r="AJ638" s="27" t="s">
        <v>7</v>
      </c>
      <c r="AK638" s="27" t="s">
        <v>8</v>
      </c>
      <c r="AL638" s="27" t="s">
        <v>7</v>
      </c>
      <c r="AM638" s="27" t="s">
        <v>8</v>
      </c>
    </row>
    <row r="639" spans="1:245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I639" s="27" t="s">
        <v>8</v>
      </c>
      <c r="J639" s="27" t="s">
        <v>7</v>
      </c>
      <c r="K639" s="27" t="s">
        <v>8</v>
      </c>
      <c r="L639" s="27" t="s">
        <v>7</v>
      </c>
      <c r="M639" s="27" t="s">
        <v>8</v>
      </c>
      <c r="N639" s="27" t="s">
        <v>7</v>
      </c>
      <c r="O639" s="27" t="s">
        <v>8</v>
      </c>
      <c r="P639" s="27" t="s">
        <v>7</v>
      </c>
      <c r="Q639" s="27" t="s">
        <v>8</v>
      </c>
      <c r="R639" s="27" t="s">
        <v>7</v>
      </c>
      <c r="S639" s="27" t="s">
        <v>8</v>
      </c>
      <c r="T639" s="27" t="s">
        <v>7</v>
      </c>
      <c r="U639" s="27" t="s">
        <v>8</v>
      </c>
      <c r="V639" s="27" t="s">
        <v>7</v>
      </c>
      <c r="AG639" s="27" t="s">
        <v>8</v>
      </c>
      <c r="AH639" s="27" t="s">
        <v>7</v>
      </c>
      <c r="AI639" s="27" t="s">
        <v>8</v>
      </c>
      <c r="AJ639" s="27" t="s">
        <v>7</v>
      </c>
      <c r="AK639" s="27" t="s">
        <v>8</v>
      </c>
      <c r="AL639" s="27" t="s">
        <v>7</v>
      </c>
      <c r="AM639" s="27" t="s">
        <v>8</v>
      </c>
    </row>
    <row r="640" spans="1:245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H640" s="27" t="s">
        <v>7</v>
      </c>
      <c r="I640" s="27" t="s">
        <v>8</v>
      </c>
      <c r="J640" s="27" t="s">
        <v>7</v>
      </c>
      <c r="K640" s="27" t="s">
        <v>8</v>
      </c>
      <c r="L640" s="27" t="s">
        <v>7</v>
      </c>
      <c r="M640" s="27" t="s">
        <v>8</v>
      </c>
      <c r="N640" s="27" t="s">
        <v>7</v>
      </c>
      <c r="O640" s="27" t="s">
        <v>8</v>
      </c>
      <c r="P640" s="27" t="s">
        <v>7</v>
      </c>
      <c r="R640" s="27" t="s">
        <v>7</v>
      </c>
      <c r="S640" s="27" t="s">
        <v>8</v>
      </c>
      <c r="T640" s="27" t="s">
        <v>7</v>
      </c>
      <c r="U640" s="27" t="s">
        <v>8</v>
      </c>
      <c r="V640" s="27" t="s">
        <v>7</v>
      </c>
      <c r="Y640" s="27" t="s">
        <v>8</v>
      </c>
      <c r="AG640" s="27" t="s">
        <v>8</v>
      </c>
      <c r="AH640" s="27" t="s">
        <v>7</v>
      </c>
      <c r="AI640" s="27" t="s">
        <v>8</v>
      </c>
      <c r="AJ640" s="27" t="s">
        <v>7</v>
      </c>
      <c r="AK640" s="27" t="s">
        <v>8</v>
      </c>
      <c r="AL640" s="27" t="s">
        <v>7</v>
      </c>
      <c r="AM640" s="27" t="s">
        <v>8</v>
      </c>
    </row>
    <row r="641" spans="1:39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H641" s="27" t="s">
        <v>7</v>
      </c>
      <c r="I641" s="27" t="s">
        <v>8</v>
      </c>
      <c r="J641" s="27" t="s">
        <v>7</v>
      </c>
      <c r="K641" s="27" t="s">
        <v>8</v>
      </c>
      <c r="L641" s="27" t="s">
        <v>7</v>
      </c>
      <c r="M641" s="27" t="s">
        <v>8</v>
      </c>
      <c r="N641" s="27" t="s">
        <v>7</v>
      </c>
      <c r="O641" s="27" t="s">
        <v>8</v>
      </c>
      <c r="R641" s="27" t="s">
        <v>7</v>
      </c>
      <c r="T641" s="27" t="s">
        <v>7</v>
      </c>
      <c r="U641" s="27" t="s">
        <v>8</v>
      </c>
      <c r="V641" s="27" t="s">
        <v>7</v>
      </c>
      <c r="W641" s="27" t="s">
        <v>8</v>
      </c>
      <c r="Y641" s="27" t="s">
        <v>8</v>
      </c>
      <c r="Z641" s="27" t="s">
        <v>7</v>
      </c>
      <c r="AG641" s="27" t="s">
        <v>8</v>
      </c>
      <c r="AH641" s="27" t="s">
        <v>7</v>
      </c>
      <c r="AI641" s="27" t="s">
        <v>8</v>
      </c>
      <c r="AJ641" s="27" t="s">
        <v>7</v>
      </c>
      <c r="AL641" s="27" t="s">
        <v>7</v>
      </c>
      <c r="AM641" s="27" t="s">
        <v>8</v>
      </c>
    </row>
    <row r="642" spans="1:39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H642" s="27" t="s">
        <v>7</v>
      </c>
      <c r="I642" s="27" t="s">
        <v>8</v>
      </c>
      <c r="J642" s="27" t="s">
        <v>7</v>
      </c>
      <c r="K642" s="27" t="s">
        <v>8</v>
      </c>
      <c r="L642" s="27" t="s">
        <v>7</v>
      </c>
      <c r="M642" s="27" t="s">
        <v>8</v>
      </c>
      <c r="N642" s="27" t="s">
        <v>7</v>
      </c>
      <c r="O642" s="27" t="s">
        <v>8</v>
      </c>
      <c r="T642" s="27" t="s">
        <v>7</v>
      </c>
      <c r="V642" s="27" t="s">
        <v>7</v>
      </c>
      <c r="W642" s="27" t="s">
        <v>8</v>
      </c>
      <c r="X642" s="27" t="s">
        <v>7</v>
      </c>
      <c r="Y642" s="27" t="s">
        <v>8</v>
      </c>
      <c r="Z642" s="27" t="s">
        <v>7</v>
      </c>
      <c r="AG642" s="27" t="s">
        <v>8</v>
      </c>
      <c r="AH642" s="27" t="s">
        <v>7</v>
      </c>
      <c r="AI642" s="27" t="s">
        <v>8</v>
      </c>
      <c r="AL642" s="27" t="s">
        <v>7</v>
      </c>
      <c r="AM642" s="27" t="s">
        <v>8</v>
      </c>
    </row>
    <row r="643" spans="1:39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H643" s="27" t="s">
        <v>7</v>
      </c>
      <c r="I643" s="27" t="s">
        <v>8</v>
      </c>
      <c r="J643" s="27" t="s">
        <v>7</v>
      </c>
      <c r="K643" s="27" t="s">
        <v>8</v>
      </c>
      <c r="L643" s="27" t="s">
        <v>7</v>
      </c>
      <c r="M643" s="27" t="s">
        <v>8</v>
      </c>
      <c r="N643" s="27" t="s">
        <v>7</v>
      </c>
      <c r="O643" s="27" t="s">
        <v>8</v>
      </c>
      <c r="V643" s="27" t="s">
        <v>7</v>
      </c>
      <c r="W643" s="27" t="s">
        <v>8</v>
      </c>
      <c r="X643" s="27" t="s">
        <v>7</v>
      </c>
      <c r="Y643" s="27" t="s">
        <v>8</v>
      </c>
      <c r="Z643" s="27" t="s">
        <v>7</v>
      </c>
      <c r="AG643" s="27" t="s">
        <v>8</v>
      </c>
      <c r="AH643" s="27" t="s">
        <v>7</v>
      </c>
      <c r="AI643" s="27" t="s">
        <v>8</v>
      </c>
      <c r="AL643" s="27" t="s">
        <v>7</v>
      </c>
      <c r="AM643" s="27" t="s">
        <v>8</v>
      </c>
    </row>
    <row r="644" spans="1:39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I644" s="27" t="s">
        <v>8</v>
      </c>
      <c r="J644" s="27" t="s">
        <v>7</v>
      </c>
      <c r="K644" s="27" t="s">
        <v>8</v>
      </c>
      <c r="L644" s="27" t="s">
        <v>7</v>
      </c>
      <c r="M644" s="27" t="s">
        <v>8</v>
      </c>
      <c r="N644" s="27" t="s">
        <v>7</v>
      </c>
      <c r="O644" s="27" t="s">
        <v>8</v>
      </c>
      <c r="V644" s="27" t="s">
        <v>7</v>
      </c>
      <c r="W644" s="27" t="s">
        <v>8</v>
      </c>
      <c r="X644" s="27" t="s">
        <v>7</v>
      </c>
      <c r="Y644" s="27" t="s">
        <v>8</v>
      </c>
      <c r="Z644" s="27" t="s">
        <v>7</v>
      </c>
      <c r="AG644" s="27" t="s">
        <v>8</v>
      </c>
      <c r="AH644" s="27" t="s">
        <v>7</v>
      </c>
      <c r="AI644" s="27" t="s">
        <v>8</v>
      </c>
      <c r="AL644" s="27" t="s">
        <v>7</v>
      </c>
      <c r="AM644" s="27" t="s">
        <v>8</v>
      </c>
    </row>
    <row r="645" spans="1:39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J645" s="27" t="s">
        <v>7</v>
      </c>
      <c r="K645" s="27" t="s">
        <v>8</v>
      </c>
      <c r="L645" s="27" t="s">
        <v>7</v>
      </c>
      <c r="M645" s="27" t="s">
        <v>8</v>
      </c>
      <c r="N645" s="27" t="s">
        <v>7</v>
      </c>
      <c r="V645" s="27" t="s">
        <v>7</v>
      </c>
      <c r="W645" s="27" t="s">
        <v>8</v>
      </c>
      <c r="X645" s="27" t="s">
        <v>7</v>
      </c>
      <c r="Y645" s="27" t="s">
        <v>8</v>
      </c>
      <c r="Z645" s="27" t="s">
        <v>7</v>
      </c>
      <c r="AG645" s="27" t="s">
        <v>8</v>
      </c>
      <c r="AH645" s="27" t="s">
        <v>7</v>
      </c>
      <c r="AI645" s="27" t="s">
        <v>8</v>
      </c>
      <c r="AL645" s="27" t="s">
        <v>7</v>
      </c>
      <c r="AM645" s="27" t="s">
        <v>8</v>
      </c>
    </row>
    <row r="646" spans="1:39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J646" s="27" t="s">
        <v>7</v>
      </c>
      <c r="K646" s="27" t="s">
        <v>8</v>
      </c>
      <c r="L646" s="27" t="s">
        <v>7</v>
      </c>
      <c r="M646" s="27" t="s">
        <v>8</v>
      </c>
      <c r="V646" s="27" t="s">
        <v>7</v>
      </c>
      <c r="X646" s="27" t="s">
        <v>7</v>
      </c>
      <c r="Y646" s="27" t="s">
        <v>8</v>
      </c>
      <c r="Z646" s="27" t="s">
        <v>7</v>
      </c>
      <c r="AC646" s="27" t="s">
        <v>8</v>
      </c>
      <c r="AG646" s="27" t="s">
        <v>8</v>
      </c>
      <c r="AH646" s="27" t="s">
        <v>7</v>
      </c>
      <c r="AL646" s="27" t="s">
        <v>7</v>
      </c>
      <c r="AM646" s="27" t="s">
        <v>8</v>
      </c>
    </row>
    <row r="647" spans="1:39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J647" s="27" t="s">
        <v>7</v>
      </c>
      <c r="K647" s="27" t="s">
        <v>8</v>
      </c>
      <c r="L647" s="27" t="s">
        <v>7</v>
      </c>
      <c r="M647" s="27" t="s">
        <v>8</v>
      </c>
      <c r="X647" s="27" t="s">
        <v>7</v>
      </c>
      <c r="Y647" s="27" t="s">
        <v>8</v>
      </c>
      <c r="Z647" s="27" t="s">
        <v>7</v>
      </c>
      <c r="AA647" s="27" t="s">
        <v>8</v>
      </c>
      <c r="AC647" s="27" t="s">
        <v>8</v>
      </c>
      <c r="AD647" s="27" t="s">
        <v>7</v>
      </c>
      <c r="AG647" s="27" t="s">
        <v>8</v>
      </c>
      <c r="AL647" s="27" t="s">
        <v>7</v>
      </c>
      <c r="AM647" s="27" t="s">
        <v>8</v>
      </c>
    </row>
    <row r="648" spans="1:39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J648" s="27" t="s">
        <v>7</v>
      </c>
      <c r="K648" s="27" t="s">
        <v>8</v>
      </c>
      <c r="L648" s="27" t="s">
        <v>7</v>
      </c>
      <c r="M648" s="27" t="s">
        <v>8</v>
      </c>
      <c r="X648" s="27" t="s">
        <v>7</v>
      </c>
      <c r="Y648" s="27" t="s">
        <v>8</v>
      </c>
      <c r="Z648" s="27" t="s">
        <v>7</v>
      </c>
      <c r="AA648" s="27" t="s">
        <v>8</v>
      </c>
      <c r="AB648" s="27" t="s">
        <v>7</v>
      </c>
      <c r="AC648" s="27" t="s">
        <v>8</v>
      </c>
      <c r="AD648" s="27" t="s">
        <v>7</v>
      </c>
      <c r="AG648" s="27" t="s">
        <v>8</v>
      </c>
      <c r="AL648" s="27" t="s">
        <v>7</v>
      </c>
      <c r="AM648" s="27" t="s">
        <v>8</v>
      </c>
    </row>
    <row r="649" spans="1:39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J649" s="27" t="s">
        <v>7</v>
      </c>
      <c r="K649" s="27" t="s">
        <v>8</v>
      </c>
      <c r="L649" s="27" t="s">
        <v>7</v>
      </c>
      <c r="X649" s="27" t="s">
        <v>7</v>
      </c>
      <c r="Y649" s="27" t="s">
        <v>8</v>
      </c>
      <c r="Z649" s="27" t="s">
        <v>7</v>
      </c>
      <c r="AA649" s="27" t="s">
        <v>8</v>
      </c>
      <c r="AB649" s="27" t="s">
        <v>7</v>
      </c>
      <c r="AC649" s="27" t="s">
        <v>8</v>
      </c>
      <c r="AD649" s="27" t="s">
        <v>7</v>
      </c>
      <c r="AG649" s="27" t="s">
        <v>8</v>
      </c>
      <c r="AL649" s="27" t="s">
        <v>7</v>
      </c>
      <c r="AM649" s="27" t="s">
        <v>8</v>
      </c>
    </row>
    <row r="650" spans="1:39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  <c r="J650" s="27" t="s">
        <v>7</v>
      </c>
      <c r="K650" s="27" t="s">
        <v>8</v>
      </c>
      <c r="X650" s="27" t="s">
        <v>7</v>
      </c>
      <c r="Z650" s="27" t="s">
        <v>7</v>
      </c>
      <c r="AA650" s="27" t="s">
        <v>8</v>
      </c>
      <c r="AB650" s="27" t="s">
        <v>7</v>
      </c>
      <c r="AC650" s="27" t="s">
        <v>8</v>
      </c>
      <c r="AD650" s="27" t="s">
        <v>7</v>
      </c>
      <c r="AG650" s="27" t="s">
        <v>8</v>
      </c>
      <c r="AL650" s="27" t="s">
        <v>7</v>
      </c>
    </row>
    <row r="651" spans="1:39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J651" s="27" t="s">
        <v>7</v>
      </c>
      <c r="K651" s="27" t="s">
        <v>8</v>
      </c>
      <c r="Z651" s="27" t="s">
        <v>7</v>
      </c>
      <c r="AA651" s="27" t="s">
        <v>8</v>
      </c>
      <c r="AB651" s="27" t="s">
        <v>7</v>
      </c>
      <c r="AC651" s="27" t="s">
        <v>8</v>
      </c>
      <c r="AD651" s="27" t="s">
        <v>7</v>
      </c>
      <c r="AG651" s="27" t="s">
        <v>8</v>
      </c>
    </row>
    <row r="652" spans="1:39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J652" s="27" t="s">
        <v>7</v>
      </c>
      <c r="K652" s="27" t="s">
        <v>8</v>
      </c>
      <c r="Z652" s="27" t="s">
        <v>7</v>
      </c>
      <c r="AA652" s="27" t="s">
        <v>8</v>
      </c>
      <c r="AB652" s="27" t="s">
        <v>7</v>
      </c>
      <c r="AC652" s="27" t="s">
        <v>8</v>
      </c>
      <c r="AD652" s="27" t="s">
        <v>7</v>
      </c>
      <c r="AG652" s="27" t="s">
        <v>8</v>
      </c>
    </row>
    <row r="653" spans="1:39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J653" s="27" t="s">
        <v>7</v>
      </c>
      <c r="K653" s="27" t="s">
        <v>8</v>
      </c>
      <c r="Z653" s="27" t="s">
        <v>7</v>
      </c>
      <c r="AA653" s="27" t="s">
        <v>8</v>
      </c>
      <c r="AB653" s="27" t="s">
        <v>7</v>
      </c>
      <c r="AC653" s="27" t="s">
        <v>8</v>
      </c>
      <c r="AD653" s="27" t="s">
        <v>7</v>
      </c>
      <c r="AG653" s="27" t="s">
        <v>8</v>
      </c>
    </row>
    <row r="654" spans="1:39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J654" s="27" t="s">
        <v>7</v>
      </c>
      <c r="Z654" s="27" t="s">
        <v>7</v>
      </c>
      <c r="AA654" s="27" t="s">
        <v>8</v>
      </c>
      <c r="AB654" s="27" t="s">
        <v>7</v>
      </c>
      <c r="AD654" s="27" t="s">
        <v>7</v>
      </c>
      <c r="AE654" s="27" t="s">
        <v>8</v>
      </c>
      <c r="AG654" s="27" t="s">
        <v>8</v>
      </c>
    </row>
    <row r="655" spans="1:39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Z655" s="27" t="s">
        <v>7</v>
      </c>
      <c r="AA655" s="27" t="s">
        <v>8</v>
      </c>
      <c r="AD655" s="27" t="s">
        <v>7</v>
      </c>
      <c r="AE655" s="27" t="s">
        <v>8</v>
      </c>
      <c r="AF655" s="27" t="s">
        <v>7</v>
      </c>
      <c r="AG655" s="27" t="s">
        <v>8</v>
      </c>
    </row>
    <row r="656" spans="1:39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Z656" s="27" t="s">
        <v>7</v>
      </c>
      <c r="AD656" s="27" t="s">
        <v>7</v>
      </c>
      <c r="AE656" s="27" t="s">
        <v>8</v>
      </c>
      <c r="AF656" s="27" t="s">
        <v>7</v>
      </c>
      <c r="AG656" s="27" t="s">
        <v>8</v>
      </c>
    </row>
    <row r="657" spans="1:32" x14ac:dyDescent="0.25">
      <c r="A657" s="7">
        <v>0.25002761412179503</v>
      </c>
      <c r="B657"/>
      <c r="C657"/>
      <c r="D657"/>
      <c r="E657"/>
      <c r="F657" s="27" t="s">
        <v>7</v>
      </c>
      <c r="AD657" s="27" t="s">
        <v>7</v>
      </c>
      <c r="AF657" s="27" t="s">
        <v>7</v>
      </c>
    </row>
    <row r="658" spans="1:32" x14ac:dyDescent="0.25">
      <c r="A658" s="7">
        <v>0.24512511188411276</v>
      </c>
      <c r="B658"/>
      <c r="C658"/>
      <c r="D658"/>
      <c r="E658"/>
    </row>
    <row r="659" spans="1:32" x14ac:dyDescent="0.25">
      <c r="A659" s="7">
        <v>0.24031873714128701</v>
      </c>
      <c r="B659"/>
      <c r="C659"/>
      <c r="D659"/>
      <c r="E659"/>
    </row>
    <row r="660" spans="1:32" x14ac:dyDescent="0.25">
      <c r="A660" s="7">
        <v>0.23560660504047748</v>
      </c>
      <c r="B660"/>
      <c r="C660"/>
      <c r="D660"/>
      <c r="E660"/>
    </row>
    <row r="661" spans="1:32" x14ac:dyDescent="0.25">
      <c r="A661" s="7">
        <v>0.23098686768674265</v>
      </c>
      <c r="B661"/>
      <c r="C661"/>
      <c r="D661"/>
      <c r="E661"/>
    </row>
    <row r="662" spans="1:32" x14ac:dyDescent="0.25">
      <c r="A662" s="7">
        <v>0.22645771341837515</v>
      </c>
      <c r="B662"/>
      <c r="C662"/>
      <c r="D662"/>
      <c r="E662"/>
    </row>
    <row r="663" spans="1:32" x14ac:dyDescent="0.25">
      <c r="A663" s="7">
        <v>0.22201736609644623</v>
      </c>
      <c r="B663"/>
      <c r="C663"/>
      <c r="D663"/>
      <c r="E663"/>
    </row>
    <row r="664" spans="1:32" x14ac:dyDescent="0.25">
      <c r="A664" s="7">
        <v>0.21766408440828061</v>
      </c>
      <c r="B664"/>
      <c r="C664"/>
      <c r="D664"/>
      <c r="E664"/>
    </row>
    <row r="665" spans="1:32" x14ac:dyDescent="0.25">
      <c r="A665" s="7">
        <v>0.21339616118458882</v>
      </c>
      <c r="B665"/>
      <c r="C665"/>
      <c r="D665"/>
      <c r="E665"/>
    </row>
    <row r="666" spans="1:32" x14ac:dyDescent="0.25">
      <c r="A666" s="7">
        <v>0.20921192272998904</v>
      </c>
      <c r="B666"/>
      <c r="C666"/>
      <c r="D666"/>
      <c r="E666"/>
    </row>
    <row r="667" spans="1:32" x14ac:dyDescent="0.25">
      <c r="A667" s="7">
        <v>0.20510972816665593</v>
      </c>
      <c r="B667"/>
      <c r="C667"/>
      <c r="D667"/>
      <c r="E667"/>
    </row>
    <row r="668" spans="1:32" x14ac:dyDescent="0.25">
      <c r="A668" s="7">
        <v>0.20108796879083912</v>
      </c>
      <c r="B668"/>
      <c r="C668"/>
      <c r="D668"/>
      <c r="E668"/>
    </row>
    <row r="669" spans="1:32" x14ac:dyDescent="0.25">
      <c r="A669" s="7">
        <v>0.19714506744199917</v>
      </c>
      <c r="B669"/>
      <c r="C669"/>
      <c r="D669"/>
      <c r="E669"/>
    </row>
    <row r="670" spans="1:32" x14ac:dyDescent="0.25">
      <c r="A670" s="7">
        <v>0.19327947788431293</v>
      </c>
      <c r="B670"/>
      <c r="C670"/>
      <c r="D670"/>
      <c r="E670"/>
    </row>
    <row r="671" spans="1:32" x14ac:dyDescent="0.25">
      <c r="A671" s="7">
        <v>0.18948968420030682</v>
      </c>
      <c r="B671"/>
      <c r="C671"/>
      <c r="D671"/>
      <c r="E671"/>
    </row>
    <row r="672" spans="1:32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1" operator="equal">
      <formula>$U$1</formula>
    </cfRule>
    <cfRule type="cellIs" dxfId="89" priority="842" operator="equal">
      <formula>$S$1</formula>
    </cfRule>
  </conditionalFormatting>
  <conditionalFormatting sqref="D27">
    <cfRule type="cellIs" dxfId="88" priority="839" operator="equal">
      <formula>$S$1</formula>
    </cfRule>
    <cfRule type="cellIs" dxfId="87" priority="840" operator="equal">
      <formula>$U$1</formula>
    </cfRule>
  </conditionalFormatting>
  <conditionalFormatting sqref="C164">
    <cfRule type="cellIs" dxfId="86" priority="837" operator="equal">
      <formula>$U$1</formula>
    </cfRule>
    <cfRule type="cellIs" dxfId="85" priority="838" operator="equal">
      <formula>$S$1</formula>
    </cfRule>
  </conditionalFormatting>
  <conditionalFormatting sqref="D164">
    <cfRule type="cellIs" dxfId="84" priority="835" operator="equal">
      <formula>$S$1</formula>
    </cfRule>
    <cfRule type="cellIs" dxfId="83" priority="836" operator="equal">
      <formula>$U$1</formula>
    </cfRule>
  </conditionalFormatting>
  <conditionalFormatting sqref="C55">
    <cfRule type="cellIs" dxfId="82" priority="833" operator="equal">
      <formula>$U$1</formula>
    </cfRule>
    <cfRule type="cellIs" dxfId="81" priority="834" operator="equal">
      <formula>$S$1</formula>
    </cfRule>
  </conditionalFormatting>
  <conditionalFormatting sqref="D55">
    <cfRule type="cellIs" dxfId="80" priority="831" operator="equal">
      <formula>$S$1</formula>
    </cfRule>
    <cfRule type="cellIs" dxfId="79" priority="832" operator="equal">
      <formula>$U$1</formula>
    </cfRule>
  </conditionalFormatting>
  <conditionalFormatting sqref="C89">
    <cfRule type="cellIs" dxfId="78" priority="829" operator="equal">
      <formula>$U$1</formula>
    </cfRule>
    <cfRule type="cellIs" dxfId="77" priority="830" operator="equal">
      <formula>$S$1</formula>
    </cfRule>
  </conditionalFormatting>
  <conditionalFormatting sqref="D89">
    <cfRule type="cellIs" dxfId="76" priority="827" operator="equal">
      <formula>$S$1</formula>
    </cfRule>
    <cfRule type="cellIs" dxfId="75" priority="828" operator="equal">
      <formula>$U$1</formula>
    </cfRule>
  </conditionalFormatting>
  <conditionalFormatting sqref="C136">
    <cfRule type="cellIs" dxfId="74" priority="825" operator="equal">
      <formula>$U$1</formula>
    </cfRule>
    <cfRule type="cellIs" dxfId="73" priority="826" operator="equal">
      <formula>$S$1</formula>
    </cfRule>
  </conditionalFormatting>
  <conditionalFormatting sqref="D136">
    <cfRule type="cellIs" dxfId="72" priority="823" operator="equal">
      <formula>$S$1</formula>
    </cfRule>
    <cfRule type="cellIs" dxfId="71" priority="824" operator="equal">
      <formula>$U$1</formula>
    </cfRule>
  </conditionalFormatting>
  <conditionalFormatting sqref="C1">
    <cfRule type="cellIs" dxfId="70" priority="82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412" zoomScale="90" zoomScaleNormal="90" workbookViewId="0">
      <pane xSplit="4" topLeftCell="G1" activePane="topRight" state="frozen"/>
      <selection activeCell="A109" sqref="A109"/>
      <selection pane="topRight" activeCell="EH252" sqref="EH2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$A$251</v>
      </c>
      <c r="D111" s="1" t="str">
        <f>ADDRESS(C121-1,D121,1,1)</f>
        <v>$EH$251</v>
      </c>
      <c r="E111"/>
    </row>
    <row r="112" spans="1:5" x14ac:dyDescent="0.25">
      <c r="A112" s="30">
        <v>515.50191262726139</v>
      </c>
      <c r="C112" s="1" t="str">
        <f>ADDRESS(C121,1,1,1)</f>
        <v>$A$252</v>
      </c>
      <c r="D112" s="1" t="str">
        <f>ADDRESS(C121,D121-1,1,1)</f>
        <v>$EG$252</v>
      </c>
      <c r="E112"/>
    </row>
    <row r="113" spans="1:5" x14ac:dyDescent="0.25">
      <c r="A113" s="30">
        <v>490.95420250215363</v>
      </c>
      <c r="C113" s="1" t="str">
        <f>ADDRESS(C121+1,1,1,1)</f>
        <v>$A$253</v>
      </c>
      <c r="D113" s="1" t="str">
        <f>ADDRESS(C121-1,D121+1,1,1)</f>
        <v>$EI$251</v>
      </c>
    </row>
    <row r="114" spans="1:5" x14ac:dyDescent="0.25">
      <c r="A114" s="30">
        <v>467.57543095443202</v>
      </c>
      <c r="C114" s="1" t="str">
        <f>ADDRESS(C121,D121,1,1)</f>
        <v>$EH$252</v>
      </c>
      <c r="D114" s="1" t="str">
        <f>ADDRESS(C121+1,D121+1,1,1)</f>
        <v>$EI$253</v>
      </c>
    </row>
    <row r="115" spans="1:5" x14ac:dyDescent="0.25">
      <c r="A115" s="30">
        <v>445.30993424231622</v>
      </c>
      <c r="C115" s="1" t="str">
        <f>ADDRESS(C121+1,D121,1,1)</f>
        <v>$EH$253</v>
      </c>
    </row>
    <row r="116" spans="1:5" x14ac:dyDescent="0.25">
      <c r="A116" s="30">
        <v>424.10469927839637</v>
      </c>
      <c r="C116" s="1">
        <f>C117-1</f>
        <v>251</v>
      </c>
    </row>
    <row r="117" spans="1:5" x14ac:dyDescent="0.25">
      <c r="A117" s="30">
        <v>403.9092374079965</v>
      </c>
      <c r="C117" s="1">
        <f>C121</f>
        <v>252</v>
      </c>
      <c r="D117" s="1">
        <f>D121</f>
        <v>138</v>
      </c>
    </row>
    <row r="118" spans="1:5" x14ac:dyDescent="0.25">
      <c r="A118" s="30">
        <v>384.6754641980919</v>
      </c>
      <c r="C118" s="1">
        <f>C117+1</f>
        <v>253</v>
      </c>
      <c r="D118" s="1">
        <f>D117+1</f>
        <v>139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252</v>
      </c>
      <c r="D121" s="19">
        <v>138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R252</v>
      </c>
      <c r="D123" s="1" t="str">
        <f>"C"&amp;D121</f>
        <v>C138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0.55683741817755672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46" x14ac:dyDescent="0.25">
      <c r="A193" s="30">
        <v>9.9059710923258422</v>
      </c>
      <c r="E193"/>
    </row>
    <row r="194" spans="1:46" x14ac:dyDescent="0.25">
      <c r="A194" s="30">
        <v>9.4342581831674686</v>
      </c>
      <c r="E194"/>
    </row>
    <row r="195" spans="1:46" x14ac:dyDescent="0.25">
      <c r="A195" s="30">
        <v>8.9850077934928265</v>
      </c>
      <c r="E195"/>
    </row>
    <row r="196" spans="1:46" x14ac:dyDescent="0.25">
      <c r="A196" s="30">
        <v>8.5571502795169767</v>
      </c>
      <c r="E196"/>
    </row>
    <row r="197" spans="1:46" x14ac:dyDescent="0.25">
      <c r="A197" s="30">
        <v>8.1496669328733109</v>
      </c>
      <c r="E197"/>
    </row>
    <row r="198" spans="1:46" x14ac:dyDescent="0.25">
      <c r="A198" s="30">
        <v>7.7615875551174378</v>
      </c>
      <c r="E198"/>
      <c r="AS198" s="27" t="s">
        <v>8</v>
      </c>
    </row>
    <row r="199" spans="1:46" x14ac:dyDescent="0.25">
      <c r="A199" s="30">
        <v>7.3919881477308929</v>
      </c>
      <c r="E199"/>
      <c r="AS199" s="27" t="s">
        <v>8</v>
      </c>
      <c r="AT199" s="27" t="s">
        <v>7</v>
      </c>
    </row>
    <row r="200" spans="1:46" x14ac:dyDescent="0.25">
      <c r="A200" s="30">
        <v>7.0399887121246598</v>
      </c>
      <c r="E200"/>
      <c r="AS200" s="27" t="s">
        <v>8</v>
      </c>
      <c r="AT200" s="27" t="s">
        <v>7</v>
      </c>
    </row>
    <row r="201" spans="1:46" x14ac:dyDescent="0.25">
      <c r="A201" s="30">
        <v>6.7047511544044376</v>
      </c>
      <c r="E201"/>
      <c r="AS201" s="27" t="s">
        <v>8</v>
      </c>
      <c r="AT201" s="27" t="s">
        <v>7</v>
      </c>
    </row>
    <row r="202" spans="1:46" x14ac:dyDescent="0.25">
      <c r="A202" s="30">
        <v>6.3854772899089882</v>
      </c>
      <c r="E202"/>
      <c r="AS202" s="27" t="s">
        <v>8</v>
      </c>
      <c r="AT202" s="27" t="s">
        <v>7</v>
      </c>
    </row>
    <row r="203" spans="1:46" x14ac:dyDescent="0.25">
      <c r="A203" s="30">
        <v>6.0814069427704647</v>
      </c>
      <c r="C203" s="7"/>
      <c r="D203"/>
      <c r="E203"/>
      <c r="AS203" s="27" t="s">
        <v>8</v>
      </c>
      <c r="AT203" s="27" t="s">
        <v>7</v>
      </c>
    </row>
    <row r="204" spans="1:46" x14ac:dyDescent="0.25">
      <c r="A204" s="30">
        <v>5.7918161359718709</v>
      </c>
      <c r="E204"/>
      <c r="AS204" s="27" t="s">
        <v>8</v>
      </c>
      <c r="AT204" s="27" t="s">
        <v>7</v>
      </c>
    </row>
    <row r="205" spans="1:46" x14ac:dyDescent="0.25">
      <c r="A205" s="30">
        <v>5.5160153675922574</v>
      </c>
      <c r="E205"/>
      <c r="AS205" s="27" t="s">
        <v>8</v>
      </c>
      <c r="AT205" s="27" t="s">
        <v>7</v>
      </c>
    </row>
    <row r="206" spans="1:46" x14ac:dyDescent="0.25">
      <c r="A206" s="30">
        <v>5.2533479691354827</v>
      </c>
      <c r="C206"/>
      <c r="D206"/>
      <c r="E206"/>
      <c r="AS206" s="27" t="s">
        <v>8</v>
      </c>
      <c r="AT206" s="27" t="s">
        <v>7</v>
      </c>
    </row>
    <row r="207" spans="1:46" x14ac:dyDescent="0.25">
      <c r="A207" s="30">
        <v>5.0031885420337927</v>
      </c>
      <c r="E207"/>
      <c r="AS207" s="27" t="s">
        <v>8</v>
      </c>
      <c r="AT207" s="27" t="s">
        <v>7</v>
      </c>
    </row>
    <row r="208" spans="1:46" x14ac:dyDescent="0.25">
      <c r="A208" s="30">
        <v>4.7649414686036122</v>
      </c>
      <c r="E208"/>
      <c r="AS208" s="27" t="s">
        <v>8</v>
      </c>
      <c r="AT208" s="27" t="s">
        <v>7</v>
      </c>
    </row>
    <row r="209" spans="1:105" x14ac:dyDescent="0.25">
      <c r="A209" s="30">
        <v>4.5380394939082018</v>
      </c>
      <c r="E209"/>
      <c r="AS209" s="27" t="s">
        <v>8</v>
      </c>
      <c r="AT209" s="27" t="s">
        <v>7</v>
      </c>
    </row>
    <row r="210" spans="1:105" x14ac:dyDescent="0.25">
      <c r="A210" s="30">
        <v>4.3219423751506678</v>
      </c>
      <c r="C210"/>
      <c r="E210"/>
      <c r="AS210" s="27" t="s">
        <v>8</v>
      </c>
      <c r="AT210" s="27" t="s">
        <v>7</v>
      </c>
      <c r="AU210" s="27" t="s">
        <v>8</v>
      </c>
      <c r="BE210" s="27" t="s">
        <v>8</v>
      </c>
    </row>
    <row r="211" spans="1:105" x14ac:dyDescent="0.25">
      <c r="A211" s="30">
        <v>4.1161355953815884</v>
      </c>
      <c r="E211"/>
      <c r="AS211" s="27" t="s">
        <v>8</v>
      </c>
      <c r="AT211" s="27" t="s">
        <v>7</v>
      </c>
      <c r="AU211" s="27" t="s">
        <v>8</v>
      </c>
      <c r="AV211" s="27" t="s">
        <v>7</v>
      </c>
      <c r="BE211" s="27" t="s">
        <v>8</v>
      </c>
      <c r="BF211" s="27" t="s">
        <v>7</v>
      </c>
    </row>
    <row r="212" spans="1:105" x14ac:dyDescent="0.25">
      <c r="A212" s="30">
        <v>3.9201291384586554</v>
      </c>
      <c r="E212"/>
      <c r="AS212" s="27" t="s">
        <v>8</v>
      </c>
      <c r="AT212" s="27" t="s">
        <v>7</v>
      </c>
      <c r="AU212" s="27" t="s">
        <v>8</v>
      </c>
      <c r="AV212" s="27" t="s">
        <v>7</v>
      </c>
      <c r="AW212" s="27" t="s">
        <v>8</v>
      </c>
      <c r="BE212" s="27" t="s">
        <v>8</v>
      </c>
      <c r="BF212" s="27" t="s">
        <v>7</v>
      </c>
    </row>
    <row r="213" spans="1:105" x14ac:dyDescent="0.25">
      <c r="A213" s="30">
        <v>3.7334563223415764</v>
      </c>
      <c r="E213"/>
      <c r="AS213" s="27" t="s">
        <v>8</v>
      </c>
      <c r="AT213" s="27" t="s">
        <v>7</v>
      </c>
      <c r="AU213" s="27" t="s">
        <v>8</v>
      </c>
      <c r="AV213" s="27" t="s">
        <v>7</v>
      </c>
      <c r="AW213" s="27" t="s">
        <v>8</v>
      </c>
      <c r="AX213" s="27" t="s">
        <v>7</v>
      </c>
      <c r="BE213" s="27" t="s">
        <v>8</v>
      </c>
      <c r="BF213" s="27" t="s">
        <v>7</v>
      </c>
      <c r="BM213" s="27" t="s">
        <v>8</v>
      </c>
    </row>
    <row r="214" spans="1:105" x14ac:dyDescent="0.25">
      <c r="A214" s="30">
        <v>3.5556726879443583</v>
      </c>
      <c r="E214"/>
      <c r="AS214" s="27" t="s">
        <v>8</v>
      </c>
      <c r="AT214" s="27" t="s">
        <v>7</v>
      </c>
      <c r="AU214" s="27" t="s">
        <v>8</v>
      </c>
      <c r="AV214" s="27" t="s">
        <v>7</v>
      </c>
      <c r="AW214" s="27" t="s">
        <v>8</v>
      </c>
      <c r="AX214" s="27" t="s">
        <v>7</v>
      </c>
      <c r="BE214" s="27" t="s">
        <v>8</v>
      </c>
      <c r="BF214" s="27" t="s">
        <v>7</v>
      </c>
      <c r="BM214" s="27" t="s">
        <v>8</v>
      </c>
      <c r="BN214" s="27" t="s">
        <v>7</v>
      </c>
    </row>
    <row r="215" spans="1:105" x14ac:dyDescent="0.25">
      <c r="A215" s="30">
        <v>3.3863549408993889</v>
      </c>
      <c r="E215"/>
      <c r="AS215" s="27" t="s">
        <v>8</v>
      </c>
      <c r="AT215" s="27" t="s">
        <v>7</v>
      </c>
      <c r="AV215" s="27" t="s">
        <v>7</v>
      </c>
      <c r="AW215" s="27" t="s">
        <v>8</v>
      </c>
      <c r="AX215" s="27" t="s">
        <v>7</v>
      </c>
      <c r="AY215" s="27" t="s">
        <v>8</v>
      </c>
      <c r="BE215" s="27" t="s">
        <v>8</v>
      </c>
      <c r="BF215" s="27" t="s">
        <v>7</v>
      </c>
      <c r="BK215" s="27" t="s">
        <v>8</v>
      </c>
      <c r="BM215" s="27" t="s">
        <v>8</v>
      </c>
      <c r="BN215" s="27" t="s">
        <v>7</v>
      </c>
      <c r="BS215" s="27" t="s">
        <v>8</v>
      </c>
    </row>
    <row r="216" spans="1:105" x14ac:dyDescent="0.25">
      <c r="A216" s="30">
        <v>3.2250999437137038</v>
      </c>
      <c r="E216"/>
      <c r="AS216" s="27" t="s">
        <v>8</v>
      </c>
      <c r="AV216" s="27" t="s">
        <v>7</v>
      </c>
      <c r="AW216" s="27" t="s">
        <v>8</v>
      </c>
      <c r="AX216" s="27" t="s">
        <v>7</v>
      </c>
      <c r="AY216" s="27" t="s">
        <v>8</v>
      </c>
      <c r="AZ216" s="27" t="s">
        <v>7</v>
      </c>
      <c r="BA216" s="27" t="s">
        <v>8</v>
      </c>
      <c r="BE216" s="27" t="s">
        <v>8</v>
      </c>
      <c r="BF216" s="27" t="s">
        <v>7</v>
      </c>
      <c r="BG216" s="27" t="s">
        <v>8</v>
      </c>
      <c r="BK216" s="27" t="s">
        <v>8</v>
      </c>
      <c r="BL216" s="27" t="s">
        <v>7</v>
      </c>
      <c r="BM216" s="27" t="s">
        <v>8</v>
      </c>
      <c r="BN216" s="27" t="s">
        <v>7</v>
      </c>
      <c r="BS216" s="27" t="s">
        <v>8</v>
      </c>
      <c r="BT216" s="27" t="s">
        <v>7</v>
      </c>
      <c r="BU216" s="27" t="s">
        <v>8</v>
      </c>
    </row>
    <row r="217" spans="1:105" x14ac:dyDescent="0.25">
      <c r="A217" s="30">
        <v>3.0715237559178128</v>
      </c>
      <c r="E217"/>
      <c r="AS217" s="27" t="s">
        <v>8</v>
      </c>
      <c r="AV217" s="27" t="s">
        <v>7</v>
      </c>
      <c r="AX217" s="27" t="s">
        <v>7</v>
      </c>
      <c r="AY217" s="27" t="s">
        <v>8</v>
      </c>
      <c r="AZ217" s="27" t="s">
        <v>7</v>
      </c>
      <c r="BA217" s="27" t="s">
        <v>8</v>
      </c>
      <c r="BB217" s="27" t="s">
        <v>7</v>
      </c>
      <c r="BE217" s="27" t="s">
        <v>8</v>
      </c>
      <c r="BF217" s="27" t="s">
        <v>7</v>
      </c>
      <c r="BG217" s="27" t="s">
        <v>8</v>
      </c>
      <c r="BH217" s="27" t="s">
        <v>7</v>
      </c>
      <c r="BK217" s="27" t="s">
        <v>8</v>
      </c>
      <c r="BL217" s="27" t="s">
        <v>7</v>
      </c>
      <c r="BM217" s="27" t="s">
        <v>8</v>
      </c>
      <c r="BN217" s="27" t="s">
        <v>7</v>
      </c>
      <c r="BS217" s="27" t="s">
        <v>8</v>
      </c>
      <c r="BT217" s="27" t="s">
        <v>7</v>
      </c>
      <c r="BU217" s="27" t="s">
        <v>8</v>
      </c>
      <c r="BV217" s="27" t="s">
        <v>7</v>
      </c>
    </row>
    <row r="218" spans="1:105" x14ac:dyDescent="0.25">
      <c r="A218" s="30">
        <v>2.9252607199217264</v>
      </c>
      <c r="E218"/>
      <c r="AS218" s="27" t="s">
        <v>8</v>
      </c>
      <c r="AX218" s="27" t="s">
        <v>7</v>
      </c>
      <c r="AY218" s="27" t="s">
        <v>8</v>
      </c>
      <c r="AZ218" s="27" t="s">
        <v>7</v>
      </c>
      <c r="BA218" s="27" t="s">
        <v>8</v>
      </c>
      <c r="BB218" s="27" t="s">
        <v>7</v>
      </c>
      <c r="BE218" s="27" t="s">
        <v>8</v>
      </c>
      <c r="BF218" s="27" t="s">
        <v>7</v>
      </c>
      <c r="BG218" s="27" t="s">
        <v>8</v>
      </c>
      <c r="BH218" s="27" t="s">
        <v>7</v>
      </c>
      <c r="BK218" s="27" t="s">
        <v>8</v>
      </c>
      <c r="BL218" s="27" t="s">
        <v>7</v>
      </c>
      <c r="BM218" s="27" t="s">
        <v>8</v>
      </c>
      <c r="BN218" s="27" t="s">
        <v>7</v>
      </c>
      <c r="BS218" s="27" t="s">
        <v>8</v>
      </c>
      <c r="BT218" s="27" t="s">
        <v>7</v>
      </c>
      <c r="BU218" s="27" t="s">
        <v>8</v>
      </c>
      <c r="BV218" s="27" t="s">
        <v>7</v>
      </c>
    </row>
    <row r="219" spans="1:105" x14ac:dyDescent="0.25">
      <c r="A219" s="30">
        <v>2.7859625904016441</v>
      </c>
      <c r="E219"/>
      <c r="AS219" s="27" t="s">
        <v>8</v>
      </c>
      <c r="AX219" s="27" t="s">
        <v>7</v>
      </c>
      <c r="AY219" s="27" t="s">
        <v>8</v>
      </c>
      <c r="AZ219" s="27" t="s">
        <v>7</v>
      </c>
      <c r="BA219" s="27" t="s">
        <v>8</v>
      </c>
      <c r="BB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  <c r="BI219" s="27" t="s">
        <v>8</v>
      </c>
      <c r="BK219" s="27" t="s">
        <v>8</v>
      </c>
      <c r="BL219" s="27" t="s">
        <v>7</v>
      </c>
      <c r="BM219" s="27" t="s">
        <v>8</v>
      </c>
      <c r="BN219" s="27" t="s">
        <v>7</v>
      </c>
      <c r="BS219" s="27" t="s">
        <v>8</v>
      </c>
      <c r="BT219" s="27" t="s">
        <v>7</v>
      </c>
      <c r="BU219" s="27" t="s">
        <v>8</v>
      </c>
      <c r="BV219" s="27" t="s">
        <v>7</v>
      </c>
    </row>
    <row r="220" spans="1:105" x14ac:dyDescent="0.25">
      <c r="A220" s="30">
        <v>2.6532977051444226</v>
      </c>
      <c r="E220"/>
      <c r="AS220" s="27" t="s">
        <v>8</v>
      </c>
      <c r="AX220" s="27" t="s">
        <v>7</v>
      </c>
      <c r="AY220" s="27" t="s">
        <v>8</v>
      </c>
      <c r="AZ220" s="27" t="s">
        <v>7</v>
      </c>
      <c r="BA220" s="27" t="s">
        <v>8</v>
      </c>
      <c r="BB220" s="27" t="s">
        <v>7</v>
      </c>
      <c r="BE220" s="27" t="s">
        <v>8</v>
      </c>
      <c r="BF220" s="27" t="s">
        <v>7</v>
      </c>
      <c r="BG220" s="27" t="s">
        <v>8</v>
      </c>
      <c r="BH220" s="27" t="s">
        <v>7</v>
      </c>
      <c r="BI220" s="27" t="s">
        <v>8</v>
      </c>
      <c r="BJ220" s="27" t="s">
        <v>7</v>
      </c>
      <c r="BK220" s="27" t="s">
        <v>8</v>
      </c>
      <c r="BL220" s="27" t="s">
        <v>7</v>
      </c>
      <c r="BM220" s="27" t="s">
        <v>8</v>
      </c>
      <c r="BN220" s="27" t="s">
        <v>7</v>
      </c>
      <c r="BS220" s="27" t="s">
        <v>8</v>
      </c>
      <c r="BT220" s="27" t="s">
        <v>7</v>
      </c>
      <c r="BU220" s="27" t="s">
        <v>8</v>
      </c>
      <c r="BV220" s="27" t="s">
        <v>7</v>
      </c>
    </row>
    <row r="221" spans="1:105" x14ac:dyDescent="0.25">
      <c r="A221" s="30">
        <v>2.5269501953756404</v>
      </c>
      <c r="E221"/>
      <c r="AS221" s="27" t="s">
        <v>8</v>
      </c>
      <c r="AX221" s="27" t="s">
        <v>7</v>
      </c>
      <c r="AY221" s="27" t="s">
        <v>8</v>
      </c>
      <c r="AZ221" s="27" t="s">
        <v>7</v>
      </c>
      <c r="BA221" s="27" t="s">
        <v>8</v>
      </c>
      <c r="BB221" s="27" t="s">
        <v>7</v>
      </c>
      <c r="BE221" s="27" t="s">
        <v>8</v>
      </c>
      <c r="BF221" s="27" t="s">
        <v>7</v>
      </c>
      <c r="BG221" s="27" t="s">
        <v>8</v>
      </c>
      <c r="BH221" s="27" t="s">
        <v>7</v>
      </c>
      <c r="BI221" s="27" t="s">
        <v>8</v>
      </c>
      <c r="BJ221" s="27" t="s">
        <v>7</v>
      </c>
      <c r="BK221" s="27" t="s">
        <v>8</v>
      </c>
      <c r="BL221" s="27" t="s">
        <v>7</v>
      </c>
      <c r="BN221" s="27" t="s">
        <v>7</v>
      </c>
      <c r="BO221" s="27" t="s">
        <v>8</v>
      </c>
      <c r="BS221" s="27" t="s">
        <v>8</v>
      </c>
      <c r="BT221" s="27" t="s">
        <v>7</v>
      </c>
      <c r="BV221" s="27" t="s">
        <v>7</v>
      </c>
    </row>
    <row r="222" spans="1:105" x14ac:dyDescent="0.25">
      <c r="A222" s="30">
        <v>2.4066192336910861</v>
      </c>
      <c r="E222"/>
      <c r="AS222" s="27" t="s">
        <v>8</v>
      </c>
      <c r="AX222" s="27" t="s">
        <v>7</v>
      </c>
      <c r="AY222" s="27" t="s">
        <v>8</v>
      </c>
      <c r="AZ222" s="27" t="s">
        <v>7</v>
      </c>
      <c r="BB222" s="27" t="s">
        <v>7</v>
      </c>
      <c r="BC222" s="27" t="s">
        <v>8</v>
      </c>
      <c r="BE222" s="27" t="s">
        <v>8</v>
      </c>
      <c r="BF222" s="27" t="s">
        <v>7</v>
      </c>
      <c r="BG222" s="27" t="s">
        <v>8</v>
      </c>
      <c r="BH222" s="27" t="s">
        <v>7</v>
      </c>
      <c r="BI222" s="27" t="s">
        <v>8</v>
      </c>
      <c r="BJ222" s="27" t="s">
        <v>7</v>
      </c>
      <c r="BK222" s="27" t="s">
        <v>8</v>
      </c>
      <c r="BN222" s="27" t="s">
        <v>7</v>
      </c>
      <c r="BO222" s="27" t="s">
        <v>8</v>
      </c>
      <c r="BP222" s="27" t="s">
        <v>7</v>
      </c>
      <c r="BQ222" s="27" t="s">
        <v>8</v>
      </c>
      <c r="BS222" s="27" t="s">
        <v>8</v>
      </c>
      <c r="BV222" s="27" t="s">
        <v>7</v>
      </c>
    </row>
    <row r="223" spans="1:105" x14ac:dyDescent="0.25">
      <c r="A223" s="30">
        <v>2.2920183178010345</v>
      </c>
      <c r="E223"/>
      <c r="AS223" s="27" t="s">
        <v>8</v>
      </c>
      <c r="AX223" s="27" t="s">
        <v>7</v>
      </c>
      <c r="AY223" s="27" t="s">
        <v>8</v>
      </c>
      <c r="BB223" s="27" t="s">
        <v>7</v>
      </c>
      <c r="BC223" s="27" t="s">
        <v>8</v>
      </c>
      <c r="BD223" s="27" t="s">
        <v>7</v>
      </c>
      <c r="BE223" s="27" t="s">
        <v>8</v>
      </c>
      <c r="BF223" s="27" t="s">
        <v>7</v>
      </c>
      <c r="BH223" s="27" t="s">
        <v>7</v>
      </c>
      <c r="BJ223" s="27" t="s">
        <v>7</v>
      </c>
      <c r="BK223" s="27" t="s">
        <v>8</v>
      </c>
      <c r="BN223" s="27" t="s">
        <v>7</v>
      </c>
      <c r="BO223" s="27" t="s">
        <v>8</v>
      </c>
      <c r="BP223" s="27" t="s">
        <v>7</v>
      </c>
      <c r="BQ223" s="27" t="s">
        <v>8</v>
      </c>
      <c r="BR223" s="27" t="s">
        <v>7</v>
      </c>
      <c r="BS223" s="27" t="s">
        <v>8</v>
      </c>
      <c r="BV223" s="27" t="s">
        <v>7</v>
      </c>
    </row>
    <row r="224" spans="1:105" x14ac:dyDescent="0.25">
      <c r="A224" s="30">
        <v>2.1828745883819374</v>
      </c>
      <c r="E224"/>
      <c r="AS224" s="27" t="s">
        <v>8</v>
      </c>
      <c r="AX224" s="27" t="s">
        <v>7</v>
      </c>
      <c r="BB224" s="27" t="s">
        <v>7</v>
      </c>
      <c r="BC224" s="27" t="s">
        <v>8</v>
      </c>
      <c r="BD224" s="27" t="s">
        <v>7</v>
      </c>
      <c r="BE224" s="27" t="s">
        <v>8</v>
      </c>
      <c r="BJ224" s="27" t="s">
        <v>7</v>
      </c>
      <c r="BN224" s="27" t="s">
        <v>7</v>
      </c>
      <c r="BP224" s="27" t="s">
        <v>7</v>
      </c>
      <c r="BQ224" s="27" t="s">
        <v>8</v>
      </c>
      <c r="BR224" s="27" t="s">
        <v>7</v>
      </c>
      <c r="BS224" s="27" t="s">
        <v>8</v>
      </c>
      <c r="BV224" s="27" t="s">
        <v>7</v>
      </c>
      <c r="BW224" s="27" t="s">
        <v>8</v>
      </c>
      <c r="BY224" s="27" t="s">
        <v>8</v>
      </c>
      <c r="CY224" s="27" t="s">
        <v>8</v>
      </c>
      <c r="DA224" s="27" t="s">
        <v>8</v>
      </c>
    </row>
    <row r="225" spans="1:130" x14ac:dyDescent="0.25">
      <c r="A225" s="30">
        <v>2.0789281794113688</v>
      </c>
      <c r="E225"/>
      <c r="AS225" s="27" t="s">
        <v>8</v>
      </c>
      <c r="BB225" s="27" t="s">
        <v>7</v>
      </c>
      <c r="BD225" s="27" t="s">
        <v>7</v>
      </c>
      <c r="BE225" s="27" t="s">
        <v>8</v>
      </c>
      <c r="BP225" s="27" t="s">
        <v>7</v>
      </c>
      <c r="BR225" s="27" t="s">
        <v>7</v>
      </c>
      <c r="BS225" s="27" t="s">
        <v>8</v>
      </c>
      <c r="BV225" s="27" t="s">
        <v>7</v>
      </c>
      <c r="BW225" s="27" t="s">
        <v>8</v>
      </c>
      <c r="BX225" s="27" t="s">
        <v>7</v>
      </c>
      <c r="BY225" s="27" t="s">
        <v>8</v>
      </c>
      <c r="BZ225" s="27" t="s">
        <v>7</v>
      </c>
      <c r="CY225" s="27" t="s">
        <v>8</v>
      </c>
      <c r="CZ225" s="27" t="s">
        <v>7</v>
      </c>
      <c r="DA225" s="27" t="s">
        <v>8</v>
      </c>
      <c r="DB225" s="27" t="s">
        <v>7</v>
      </c>
      <c r="DE225" s="27" t="s">
        <v>8</v>
      </c>
    </row>
    <row r="226" spans="1:130" x14ac:dyDescent="0.25">
      <c r="A226" s="30">
        <v>1.9799315994393987</v>
      </c>
      <c r="E226"/>
      <c r="AS226" s="27" t="s">
        <v>8</v>
      </c>
      <c r="BD226" s="27" t="s">
        <v>7</v>
      </c>
      <c r="BE226" s="27" t="s">
        <v>8</v>
      </c>
      <c r="BR226" s="27" t="s">
        <v>7</v>
      </c>
      <c r="BS226" s="27" t="s">
        <v>8</v>
      </c>
      <c r="BV226" s="27" t="s">
        <v>7</v>
      </c>
      <c r="BW226" s="27" t="s">
        <v>8</v>
      </c>
      <c r="BX226" s="27" t="s">
        <v>7</v>
      </c>
      <c r="BY226" s="27" t="s">
        <v>8</v>
      </c>
      <c r="BZ226" s="27" t="s">
        <v>7</v>
      </c>
      <c r="CY226" s="27" t="s">
        <v>8</v>
      </c>
      <c r="CZ226" s="27" t="s">
        <v>7</v>
      </c>
      <c r="DA226" s="27" t="s">
        <v>8</v>
      </c>
      <c r="DB226" s="27" t="s">
        <v>7</v>
      </c>
      <c r="DE226" s="27" t="s">
        <v>8</v>
      </c>
      <c r="DF226" s="27" t="s">
        <v>7</v>
      </c>
    </row>
    <row r="227" spans="1:130" x14ac:dyDescent="0.25">
      <c r="A227" s="30">
        <v>1.8856491423232367</v>
      </c>
      <c r="E227"/>
      <c r="AS227" s="27" t="s">
        <v>8</v>
      </c>
      <c r="BD227" s="27" t="s">
        <v>7</v>
      </c>
      <c r="BR227" s="27" t="s">
        <v>7</v>
      </c>
      <c r="BS227" s="27" t="s">
        <v>8</v>
      </c>
      <c r="BV227" s="27" t="s">
        <v>7</v>
      </c>
      <c r="BW227" s="27" t="s">
        <v>8</v>
      </c>
      <c r="BX227" s="27" t="s">
        <v>7</v>
      </c>
      <c r="BY227" s="27" t="s">
        <v>8</v>
      </c>
      <c r="BZ227" s="27" t="s">
        <v>7</v>
      </c>
      <c r="CY227" s="27" t="s">
        <v>8</v>
      </c>
      <c r="CZ227" s="27" t="s">
        <v>7</v>
      </c>
      <c r="DA227" s="27" t="s">
        <v>8</v>
      </c>
      <c r="DB227" s="27" t="s">
        <v>7</v>
      </c>
      <c r="DE227" s="27" t="s">
        <v>8</v>
      </c>
      <c r="DF227" s="27" t="s">
        <v>7</v>
      </c>
    </row>
    <row r="228" spans="1:130" x14ac:dyDescent="0.25">
      <c r="A228" s="30">
        <v>1.7958563260221301</v>
      </c>
      <c r="C228" s="7"/>
      <c r="D228"/>
      <c r="E228"/>
      <c r="AS228" s="27" t="s">
        <v>8</v>
      </c>
      <c r="BR228" s="27" t="s">
        <v>7</v>
      </c>
      <c r="BS228" s="27" t="s">
        <v>8</v>
      </c>
      <c r="BV228" s="27" t="s">
        <v>7</v>
      </c>
      <c r="BX228" s="27" t="s">
        <v>7</v>
      </c>
      <c r="BY228" s="27" t="s">
        <v>8</v>
      </c>
      <c r="BZ228" s="27" t="s">
        <v>7</v>
      </c>
      <c r="CY228" s="27" t="s">
        <v>8</v>
      </c>
      <c r="CZ228" s="27" t="s">
        <v>7</v>
      </c>
      <c r="DA228" s="27" t="s">
        <v>8</v>
      </c>
      <c r="DB228" s="27" t="s">
        <v>7</v>
      </c>
      <c r="DC228" s="27" t="s">
        <v>8</v>
      </c>
      <c r="DE228" s="27" t="s">
        <v>8</v>
      </c>
      <c r="DF228" s="27" t="s">
        <v>7</v>
      </c>
    </row>
    <row r="229" spans="1:130" x14ac:dyDescent="0.25">
      <c r="A229" s="30">
        <v>1.7103393581163142</v>
      </c>
      <c r="E229"/>
      <c r="AS229" s="27" t="s">
        <v>8</v>
      </c>
      <c r="BR229" s="27" t="s">
        <v>7</v>
      </c>
      <c r="BS229" s="27" t="s">
        <v>8</v>
      </c>
      <c r="BX229" s="27" t="s">
        <v>7</v>
      </c>
      <c r="BZ229" s="27" t="s">
        <v>7</v>
      </c>
      <c r="CY229" s="27" t="s">
        <v>8</v>
      </c>
      <c r="CZ229" s="27" t="s">
        <v>7</v>
      </c>
      <c r="DA229" s="27" t="s">
        <v>8</v>
      </c>
      <c r="DB229" s="27" t="s">
        <v>7</v>
      </c>
      <c r="DC229" s="27" t="s">
        <v>8</v>
      </c>
      <c r="DD229" s="27" t="s">
        <v>7</v>
      </c>
      <c r="DE229" s="27" t="s">
        <v>8</v>
      </c>
      <c r="DF229" s="27" t="s">
        <v>7</v>
      </c>
      <c r="DG229" s="27" t="s">
        <v>8</v>
      </c>
    </row>
    <row r="230" spans="1:130" x14ac:dyDescent="0.25">
      <c r="A230" s="30">
        <v>1.628894626777442</v>
      </c>
      <c r="E230"/>
      <c r="AS230" s="27" t="s">
        <v>8</v>
      </c>
      <c r="BR230" s="27" t="s">
        <v>7</v>
      </c>
      <c r="BZ230" s="27" t="s">
        <v>7</v>
      </c>
      <c r="CU230" s="27" t="s">
        <v>8</v>
      </c>
      <c r="CY230" s="27" t="s">
        <v>8</v>
      </c>
      <c r="CZ230" s="27" t="s">
        <v>7</v>
      </c>
      <c r="DA230" s="27" t="s">
        <v>8</v>
      </c>
      <c r="DB230" s="27" t="s">
        <v>7</v>
      </c>
      <c r="DC230" s="27" t="s">
        <v>8</v>
      </c>
      <c r="DD230" s="27" t="s">
        <v>7</v>
      </c>
      <c r="DE230" s="27" t="s">
        <v>8</v>
      </c>
      <c r="DF230" s="27" t="s">
        <v>7</v>
      </c>
      <c r="DG230" s="27" t="s">
        <v>8</v>
      </c>
      <c r="DH230" s="27" t="s">
        <v>7</v>
      </c>
    </row>
    <row r="231" spans="1:130" x14ac:dyDescent="0.25">
      <c r="A231" s="30">
        <v>1.5513282159785162</v>
      </c>
      <c r="C231"/>
      <c r="D231"/>
      <c r="E231"/>
      <c r="AS231" s="27" t="s">
        <v>8</v>
      </c>
      <c r="BZ231" s="27" t="s">
        <v>7</v>
      </c>
      <c r="CA231" s="27" t="s">
        <v>8</v>
      </c>
      <c r="CU231" s="27" t="s">
        <v>8</v>
      </c>
      <c r="CV231" s="27" t="s">
        <v>7</v>
      </c>
      <c r="CY231" s="27" t="s">
        <v>8</v>
      </c>
      <c r="CZ231" s="27" t="s">
        <v>7</v>
      </c>
      <c r="DA231" s="27" t="s">
        <v>8</v>
      </c>
      <c r="DB231" s="27" t="s">
        <v>7</v>
      </c>
      <c r="DD231" s="27" t="s">
        <v>7</v>
      </c>
      <c r="DE231" s="27" t="s">
        <v>8</v>
      </c>
      <c r="DF231" s="27" t="s">
        <v>7</v>
      </c>
      <c r="DG231" s="27" t="s">
        <v>8</v>
      </c>
      <c r="DH231" s="27" t="s">
        <v>7</v>
      </c>
    </row>
    <row r="232" spans="1:130" x14ac:dyDescent="0.25">
      <c r="A232" s="30">
        <v>1.477455443789063</v>
      </c>
      <c r="E232"/>
      <c r="AQ232" s="27" t="s">
        <v>8</v>
      </c>
      <c r="AS232" s="27" t="s">
        <v>8</v>
      </c>
      <c r="BZ232" s="27" t="s">
        <v>7</v>
      </c>
      <c r="CA232" s="27" t="s">
        <v>8</v>
      </c>
      <c r="CB232" s="27" t="s">
        <v>7</v>
      </c>
      <c r="CU232" s="27" t="s">
        <v>8</v>
      </c>
      <c r="CV232" s="27" t="s">
        <v>7</v>
      </c>
      <c r="CW232" s="27" t="s">
        <v>8</v>
      </c>
      <c r="CY232" s="27" t="s">
        <v>8</v>
      </c>
      <c r="CZ232" s="27" t="s">
        <v>7</v>
      </c>
      <c r="DA232" s="27" t="s">
        <v>8</v>
      </c>
      <c r="DD232" s="27" t="s">
        <v>7</v>
      </c>
      <c r="DE232" s="27" t="s">
        <v>8</v>
      </c>
      <c r="DF232" s="27" t="s">
        <v>7</v>
      </c>
      <c r="DG232" s="27" t="s">
        <v>8</v>
      </c>
      <c r="DH232" s="27" t="s">
        <v>7</v>
      </c>
      <c r="DI232" s="27" t="s">
        <v>8</v>
      </c>
      <c r="DO232" s="27" t="s">
        <v>8</v>
      </c>
    </row>
    <row r="233" spans="1:130" x14ac:dyDescent="0.25">
      <c r="A233" s="30">
        <v>1.4071004226562505</v>
      </c>
      <c r="E233"/>
      <c r="AQ233" s="27" t="s">
        <v>8</v>
      </c>
      <c r="AR233" s="27" t="s">
        <v>7</v>
      </c>
      <c r="AS233" s="27" t="s">
        <v>8</v>
      </c>
      <c r="BZ233" s="27" t="s">
        <v>7</v>
      </c>
      <c r="CA233" s="27" t="s">
        <v>8</v>
      </c>
      <c r="CB233" s="27" t="s">
        <v>7</v>
      </c>
      <c r="CU233" s="27" t="s">
        <v>8</v>
      </c>
      <c r="CV233" s="27" t="s">
        <v>7</v>
      </c>
      <c r="CW233" s="27" t="s">
        <v>8</v>
      </c>
      <c r="CX233" s="27" t="s">
        <v>7</v>
      </c>
      <c r="CY233" s="27" t="s">
        <v>8</v>
      </c>
      <c r="CZ233" s="27" t="s">
        <v>7</v>
      </c>
      <c r="DD233" s="27" t="s">
        <v>7</v>
      </c>
      <c r="DE233" s="27" t="s">
        <v>8</v>
      </c>
      <c r="DF233" s="27" t="s">
        <v>7</v>
      </c>
      <c r="DH233" s="27" t="s">
        <v>7</v>
      </c>
      <c r="DI233" s="27" t="s">
        <v>8</v>
      </c>
      <c r="DJ233" s="27" t="s">
        <v>7</v>
      </c>
      <c r="DK233" s="27" t="s">
        <v>8</v>
      </c>
      <c r="DO233" s="27" t="s">
        <v>8</v>
      </c>
      <c r="DP233" s="27" t="s">
        <v>7</v>
      </c>
    </row>
    <row r="234" spans="1:130" x14ac:dyDescent="0.25">
      <c r="A234" s="30">
        <v>1.3400956406250004</v>
      </c>
      <c r="E234"/>
      <c r="AO234" s="27" t="s">
        <v>8</v>
      </c>
      <c r="AQ234" s="27" t="s">
        <v>8</v>
      </c>
      <c r="AR234" s="27" t="s">
        <v>7</v>
      </c>
      <c r="AS234" s="27" t="s">
        <v>8</v>
      </c>
      <c r="BZ234" s="27" t="s">
        <v>7</v>
      </c>
      <c r="CA234" s="27" t="s">
        <v>8</v>
      </c>
      <c r="CB234" s="27" t="s">
        <v>7</v>
      </c>
      <c r="CC234" s="27" t="s">
        <v>8</v>
      </c>
      <c r="CQ234" s="27" t="s">
        <v>8</v>
      </c>
      <c r="CS234" s="27" t="s">
        <v>8</v>
      </c>
      <c r="CU234" s="27" t="s">
        <v>8</v>
      </c>
      <c r="CV234" s="27" t="s">
        <v>7</v>
      </c>
      <c r="CW234" s="27" t="s">
        <v>8</v>
      </c>
      <c r="CX234" s="27" t="s">
        <v>7</v>
      </c>
      <c r="CY234" s="27" t="s">
        <v>8</v>
      </c>
      <c r="DD234" s="27" t="s">
        <v>7</v>
      </c>
      <c r="DE234" s="27" t="s">
        <v>8</v>
      </c>
      <c r="DH234" s="27" t="s">
        <v>7</v>
      </c>
      <c r="DI234" s="27" t="s">
        <v>8</v>
      </c>
      <c r="DJ234" s="27" t="s">
        <v>7</v>
      </c>
      <c r="DK234" s="27" t="s">
        <v>8</v>
      </c>
      <c r="DL234" s="27" t="s">
        <v>7</v>
      </c>
      <c r="DO234" s="27" t="s">
        <v>8</v>
      </c>
      <c r="DP234" s="27" t="s">
        <v>7</v>
      </c>
    </row>
    <row r="235" spans="1:130" x14ac:dyDescent="0.25">
      <c r="A235" s="30">
        <v>1.2762815625000004</v>
      </c>
      <c r="C235"/>
      <c r="E235"/>
      <c r="AO235" s="27" t="s">
        <v>8</v>
      </c>
      <c r="AP235" s="27" t="s">
        <v>7</v>
      </c>
      <c r="AQ235" s="27" t="s">
        <v>8</v>
      </c>
      <c r="AR235" s="27" t="s">
        <v>7</v>
      </c>
      <c r="AS235" s="27" t="s">
        <v>8</v>
      </c>
      <c r="BZ235" s="27" t="s">
        <v>7</v>
      </c>
      <c r="CA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  <c r="CQ235" s="27" t="s">
        <v>8</v>
      </c>
      <c r="CR235" s="27" t="s">
        <v>7</v>
      </c>
      <c r="CS235" s="27" t="s">
        <v>8</v>
      </c>
      <c r="CT235" s="27" t="s">
        <v>7</v>
      </c>
      <c r="CU235" s="27" t="s">
        <v>8</v>
      </c>
      <c r="CV235" s="27" t="s">
        <v>7</v>
      </c>
      <c r="CX235" s="27" t="s">
        <v>7</v>
      </c>
      <c r="CY235" s="27" t="s">
        <v>8</v>
      </c>
      <c r="DD235" s="27" t="s">
        <v>7</v>
      </c>
      <c r="DH235" s="27" t="s">
        <v>7</v>
      </c>
      <c r="DI235" s="27" t="s">
        <v>8</v>
      </c>
      <c r="DJ235" s="27" t="s">
        <v>7</v>
      </c>
      <c r="DK235" s="27" t="s">
        <v>8</v>
      </c>
      <c r="DL235" s="27" t="s">
        <v>7</v>
      </c>
      <c r="DM235" s="27" t="s">
        <v>8</v>
      </c>
      <c r="DO235" s="27" t="s">
        <v>8</v>
      </c>
      <c r="DP235" s="27" t="s">
        <v>7</v>
      </c>
    </row>
    <row r="236" spans="1:130" x14ac:dyDescent="0.25">
      <c r="A236" s="30">
        <v>1.2155062500000002</v>
      </c>
      <c r="E236"/>
      <c r="AO236" s="27" t="s">
        <v>8</v>
      </c>
      <c r="AP236" s="27" t="s">
        <v>7</v>
      </c>
      <c r="AQ236" s="27" t="s">
        <v>8</v>
      </c>
      <c r="AR236" s="27" t="s">
        <v>7</v>
      </c>
      <c r="AS236" s="27" t="s">
        <v>8</v>
      </c>
      <c r="BZ236" s="27" t="s">
        <v>7</v>
      </c>
      <c r="CB236" s="27" t="s">
        <v>7</v>
      </c>
      <c r="CC236" s="27" t="s">
        <v>8</v>
      </c>
      <c r="CD236" s="27" t="s">
        <v>7</v>
      </c>
      <c r="CE236" s="27" t="s">
        <v>8</v>
      </c>
      <c r="CF236" s="27" t="s">
        <v>7</v>
      </c>
      <c r="CQ236" s="27" t="s">
        <v>8</v>
      </c>
      <c r="CR236" s="27" t="s">
        <v>7</v>
      </c>
      <c r="CS236" s="27" t="s">
        <v>8</v>
      </c>
      <c r="CT236" s="27" t="s">
        <v>7</v>
      </c>
      <c r="CU236" s="27" t="s">
        <v>8</v>
      </c>
      <c r="CX236" s="27" t="s">
        <v>7</v>
      </c>
      <c r="CY236" s="27" t="s">
        <v>8</v>
      </c>
      <c r="DH236" s="27" t="s">
        <v>7</v>
      </c>
      <c r="DI236" s="27" t="s">
        <v>8</v>
      </c>
      <c r="DJ236" s="27" t="s">
        <v>7</v>
      </c>
      <c r="DK236" s="27" t="s">
        <v>8</v>
      </c>
      <c r="DL236" s="27" t="s">
        <v>7</v>
      </c>
      <c r="DM236" s="27" t="s">
        <v>8</v>
      </c>
      <c r="DN236" s="27" t="s">
        <v>7</v>
      </c>
      <c r="DO236" s="27" t="s">
        <v>8</v>
      </c>
      <c r="DP236" s="27" t="s">
        <v>7</v>
      </c>
      <c r="DQ236" s="27" t="s">
        <v>8</v>
      </c>
    </row>
    <row r="237" spans="1:13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O237" s="27" t="s">
        <v>8</v>
      </c>
      <c r="AP237" s="27" t="s">
        <v>7</v>
      </c>
      <c r="AQ237" s="27" t="s">
        <v>8</v>
      </c>
      <c r="AR237" s="27" t="s">
        <v>7</v>
      </c>
      <c r="CB237" s="27" t="s">
        <v>7</v>
      </c>
      <c r="CC237" s="27" t="s">
        <v>8</v>
      </c>
      <c r="CD237" s="27" t="s">
        <v>7</v>
      </c>
      <c r="CE237" s="27" t="s">
        <v>8</v>
      </c>
      <c r="CF237" s="27" t="s">
        <v>7</v>
      </c>
      <c r="CQ237" s="27" t="s">
        <v>8</v>
      </c>
      <c r="CR237" s="27" t="s">
        <v>7</v>
      </c>
      <c r="CS237" s="27" t="s">
        <v>8</v>
      </c>
      <c r="CT237" s="27" t="s">
        <v>7</v>
      </c>
      <c r="CX237" s="27" t="s">
        <v>7</v>
      </c>
      <c r="DH237" s="27" t="s">
        <v>7</v>
      </c>
      <c r="DI237" s="27" t="s">
        <v>8</v>
      </c>
      <c r="DJ237" s="27" t="s">
        <v>7</v>
      </c>
      <c r="DL237" s="27" t="s">
        <v>7</v>
      </c>
      <c r="DM237" s="27" t="s">
        <v>8</v>
      </c>
      <c r="DN237" s="27" t="s">
        <v>7</v>
      </c>
      <c r="DO237" s="27" t="s">
        <v>8</v>
      </c>
      <c r="DP237" s="27" t="s">
        <v>7</v>
      </c>
      <c r="DQ237" s="27" t="s">
        <v>8</v>
      </c>
      <c r="DR237" s="27" t="s">
        <v>7</v>
      </c>
    </row>
    <row r="238" spans="1:130" x14ac:dyDescent="0.25">
      <c r="A238" s="30">
        <v>1.1025</v>
      </c>
      <c r="E238"/>
      <c r="AO238" s="27" t="s">
        <v>8</v>
      </c>
      <c r="AP238" s="27" t="s">
        <v>7</v>
      </c>
      <c r="AQ238" s="27" t="s">
        <v>8</v>
      </c>
      <c r="CB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G238" s="27" t="s">
        <v>8</v>
      </c>
      <c r="CQ238" s="27" t="s">
        <v>8</v>
      </c>
      <c r="CR238" s="27" t="s">
        <v>7</v>
      </c>
      <c r="CS238" s="27" t="s">
        <v>8</v>
      </c>
      <c r="DH238" s="27" t="s">
        <v>7</v>
      </c>
      <c r="DI238" s="27" t="s">
        <v>8</v>
      </c>
      <c r="DL238" s="27" t="s">
        <v>7</v>
      </c>
      <c r="DM238" s="27" t="s">
        <v>8</v>
      </c>
      <c r="DN238" s="27" t="s">
        <v>7</v>
      </c>
      <c r="DO238" s="27" t="s">
        <v>8</v>
      </c>
      <c r="DP238" s="27" t="s">
        <v>7</v>
      </c>
      <c r="DQ238" s="27" t="s">
        <v>8</v>
      </c>
      <c r="DR238" s="27" t="s">
        <v>7</v>
      </c>
      <c r="DY238" s="27" t="s">
        <v>8</v>
      </c>
    </row>
    <row r="239" spans="1:130" x14ac:dyDescent="0.25">
      <c r="A239" s="30">
        <v>1.05</v>
      </c>
      <c r="E239"/>
      <c r="AO239" s="27" t="s">
        <v>8</v>
      </c>
      <c r="AP239" s="27" t="s">
        <v>7</v>
      </c>
      <c r="AQ239" s="27" t="s">
        <v>8</v>
      </c>
      <c r="CB239" s="27" t="s">
        <v>7</v>
      </c>
      <c r="CC239" s="27" t="s">
        <v>8</v>
      </c>
      <c r="CD239" s="27" t="s">
        <v>7</v>
      </c>
      <c r="CE239" s="27" t="s">
        <v>8</v>
      </c>
      <c r="CF239" s="27" t="s">
        <v>7</v>
      </c>
      <c r="CG239" s="27" t="s">
        <v>8</v>
      </c>
      <c r="CH239" s="27" t="s">
        <v>7</v>
      </c>
      <c r="CQ239" s="27" t="s">
        <v>8</v>
      </c>
      <c r="CR239" s="27" t="s">
        <v>7</v>
      </c>
      <c r="CS239" s="27" t="s">
        <v>8</v>
      </c>
      <c r="DH239" s="27" t="s">
        <v>7</v>
      </c>
      <c r="DL239" s="27" t="s">
        <v>7</v>
      </c>
      <c r="DM239" s="27" t="s">
        <v>8</v>
      </c>
      <c r="DN239" s="27" t="s">
        <v>7</v>
      </c>
      <c r="DO239" s="27" t="s">
        <v>8</v>
      </c>
      <c r="DP239" s="27" t="s">
        <v>7</v>
      </c>
      <c r="DQ239" s="27" t="s">
        <v>8</v>
      </c>
      <c r="DR239" s="27" t="s">
        <v>7</v>
      </c>
      <c r="DY239" s="27" t="s">
        <v>8</v>
      </c>
      <c r="DZ239" s="27" t="s">
        <v>7</v>
      </c>
    </row>
    <row r="240" spans="1:130" x14ac:dyDescent="0.25">
      <c r="A240" s="30">
        <v>1</v>
      </c>
      <c r="E240" s="29" t="s">
        <v>8</v>
      </c>
      <c r="AO240" s="27" t="s">
        <v>8</v>
      </c>
      <c r="AP240" s="27" t="s">
        <v>7</v>
      </c>
      <c r="CB240" s="27" t="s">
        <v>7</v>
      </c>
      <c r="CC240" s="27" t="s">
        <v>8</v>
      </c>
      <c r="CD240" s="27" t="s">
        <v>7</v>
      </c>
      <c r="CF240" s="27" t="s">
        <v>7</v>
      </c>
      <c r="CG240" s="27" t="s">
        <v>8</v>
      </c>
      <c r="CH240" s="27" t="s">
        <v>7</v>
      </c>
      <c r="CQ240" s="27" t="s">
        <v>8</v>
      </c>
      <c r="CR240" s="27" t="s">
        <v>7</v>
      </c>
      <c r="CS240" s="27" t="s">
        <v>8</v>
      </c>
      <c r="DL240" s="27" t="s">
        <v>7</v>
      </c>
      <c r="DM240" s="27" t="s">
        <v>8</v>
      </c>
      <c r="DN240" s="27" t="s">
        <v>7</v>
      </c>
      <c r="DO240" s="27" t="s">
        <v>8</v>
      </c>
      <c r="DP240" s="27" t="s">
        <v>7</v>
      </c>
      <c r="DQ240" s="27" t="s">
        <v>8</v>
      </c>
      <c r="DR240" s="27" t="s">
        <v>7</v>
      </c>
      <c r="DY240" s="27" t="s">
        <v>8</v>
      </c>
      <c r="DZ240" s="27" t="s">
        <v>7</v>
      </c>
    </row>
    <row r="241" spans="1:138" x14ac:dyDescent="0.25">
      <c r="A241" s="30">
        <v>0.952380952380952</v>
      </c>
      <c r="B241"/>
      <c r="C241"/>
      <c r="D241"/>
      <c r="E241"/>
      <c r="F241" s="27" t="s">
        <v>7</v>
      </c>
      <c r="AO241" s="27" t="s">
        <v>8</v>
      </c>
      <c r="CB241" s="27" t="s">
        <v>7</v>
      </c>
      <c r="CC241" s="27" t="s">
        <v>8</v>
      </c>
      <c r="CF241" s="27" t="s">
        <v>7</v>
      </c>
      <c r="CG241" s="27" t="s">
        <v>8</v>
      </c>
      <c r="CH241" s="27" t="s">
        <v>7</v>
      </c>
      <c r="CQ241" s="27" t="s">
        <v>8</v>
      </c>
      <c r="CR241" s="27" t="s">
        <v>7</v>
      </c>
      <c r="DL241" s="27" t="s">
        <v>7</v>
      </c>
      <c r="DN241" s="27" t="s">
        <v>7</v>
      </c>
      <c r="DO241" s="27" t="s">
        <v>8</v>
      </c>
      <c r="DP241" s="27" t="s">
        <v>7</v>
      </c>
      <c r="DQ241" s="27" t="s">
        <v>8</v>
      </c>
      <c r="DR241" s="27" t="s">
        <v>7</v>
      </c>
      <c r="DY241" s="27" t="s">
        <v>8</v>
      </c>
      <c r="DZ241" s="27" t="s">
        <v>7</v>
      </c>
    </row>
    <row r="242" spans="1:138" x14ac:dyDescent="0.25">
      <c r="A242" s="30">
        <v>0.90702947845804915</v>
      </c>
      <c r="B242"/>
      <c r="C242"/>
      <c r="D242"/>
      <c r="E242"/>
      <c r="F242" s="27" t="s">
        <v>7</v>
      </c>
      <c r="AM242" s="27" t="s">
        <v>8</v>
      </c>
      <c r="AO242" s="27" t="s">
        <v>8</v>
      </c>
      <c r="CB242" s="27" t="s">
        <v>7</v>
      </c>
      <c r="CC242" s="27" t="s">
        <v>8</v>
      </c>
      <c r="CF242" s="27" t="s">
        <v>7</v>
      </c>
      <c r="CG242" s="27" t="s">
        <v>8</v>
      </c>
      <c r="CH242" s="27" t="s">
        <v>7</v>
      </c>
      <c r="CQ242" s="27" t="s">
        <v>8</v>
      </c>
      <c r="DN242" s="27" t="s">
        <v>7</v>
      </c>
      <c r="DO242" s="27" t="s">
        <v>8</v>
      </c>
      <c r="DP242" s="27" t="s">
        <v>7</v>
      </c>
      <c r="DQ242" s="27" t="s">
        <v>8</v>
      </c>
      <c r="DR242" s="27" t="s">
        <v>7</v>
      </c>
      <c r="DY242" s="27" t="s">
        <v>8</v>
      </c>
      <c r="DZ242" s="27" t="s">
        <v>7</v>
      </c>
    </row>
    <row r="243" spans="1:138" x14ac:dyDescent="0.25">
      <c r="A243" s="30">
        <v>0.86383759853147501</v>
      </c>
      <c r="B243"/>
      <c r="C243"/>
      <c r="D243"/>
      <c r="E243"/>
      <c r="F243" s="27" t="s">
        <v>7</v>
      </c>
      <c r="AM243" s="27" t="s">
        <v>8</v>
      </c>
      <c r="AN243" s="27" t="s">
        <v>7</v>
      </c>
      <c r="AO243" s="27" t="s">
        <v>8</v>
      </c>
      <c r="CB243" s="27" t="s">
        <v>7</v>
      </c>
      <c r="CC243" s="27" t="s">
        <v>8</v>
      </c>
      <c r="CF243" s="27" t="s">
        <v>7</v>
      </c>
      <c r="CG243" s="27" t="s">
        <v>8</v>
      </c>
      <c r="CH243" s="27" t="s">
        <v>7</v>
      </c>
      <c r="CQ243" s="27" t="s">
        <v>8</v>
      </c>
      <c r="DN243" s="27" t="s">
        <v>7</v>
      </c>
      <c r="DP243" s="27" t="s">
        <v>7</v>
      </c>
      <c r="DR243" s="27" t="s">
        <v>7</v>
      </c>
      <c r="DS243" s="27" t="s">
        <v>8</v>
      </c>
      <c r="DY243" s="27" t="s">
        <v>8</v>
      </c>
      <c r="DZ243" s="27" t="s">
        <v>7</v>
      </c>
    </row>
    <row r="244" spans="1:138" x14ac:dyDescent="0.25">
      <c r="A244" s="30">
        <v>0.82270247479188063</v>
      </c>
      <c r="B244"/>
      <c r="C244"/>
      <c r="D244"/>
      <c r="E244"/>
      <c r="F244" s="27" t="s">
        <v>7</v>
      </c>
      <c r="AM244" s="27" t="s">
        <v>8</v>
      </c>
      <c r="AN244" s="27" t="s">
        <v>7</v>
      </c>
      <c r="AO244" s="27" t="s">
        <v>8</v>
      </c>
      <c r="CB244" s="27" t="s">
        <v>7</v>
      </c>
      <c r="CF244" s="27" t="s">
        <v>7</v>
      </c>
      <c r="CG244" s="27" t="s">
        <v>8</v>
      </c>
      <c r="CH244" s="27" t="s">
        <v>7</v>
      </c>
      <c r="CM244" s="27" t="s">
        <v>8</v>
      </c>
      <c r="CO244" s="27" t="s">
        <v>8</v>
      </c>
      <c r="CQ244" s="27" t="s">
        <v>8</v>
      </c>
      <c r="DR244" s="27" t="s">
        <v>7</v>
      </c>
      <c r="DS244" s="27" t="s">
        <v>8</v>
      </c>
      <c r="DT244" s="27" t="s">
        <v>7</v>
      </c>
      <c r="DU244" s="27" t="s">
        <v>8</v>
      </c>
      <c r="DW244" s="27" t="s">
        <v>8</v>
      </c>
      <c r="DY244" s="27" t="s">
        <v>8</v>
      </c>
      <c r="DZ244" s="27" t="s">
        <v>7</v>
      </c>
      <c r="EA244" s="27" t="s">
        <v>8</v>
      </c>
    </row>
    <row r="245" spans="1:138" x14ac:dyDescent="0.25">
      <c r="A245" s="30">
        <v>0.78352616646845741</v>
      </c>
      <c r="B245"/>
      <c r="C245"/>
      <c r="D245"/>
      <c r="E245"/>
      <c r="F245" s="27" t="s">
        <v>7</v>
      </c>
      <c r="AK245" s="27" t="s">
        <v>8</v>
      </c>
      <c r="AM245" s="27" t="s">
        <v>8</v>
      </c>
      <c r="AN245" s="27" t="s">
        <v>7</v>
      </c>
      <c r="AO245" s="27" t="s">
        <v>8</v>
      </c>
      <c r="CF245" s="27" t="s">
        <v>7</v>
      </c>
      <c r="CG245" s="27" t="s">
        <v>8</v>
      </c>
      <c r="CH245" s="27" t="s">
        <v>7</v>
      </c>
      <c r="CK245" s="27" t="s">
        <v>8</v>
      </c>
      <c r="CM245" s="27" t="s">
        <v>8</v>
      </c>
      <c r="CN245" s="27" t="s">
        <v>7</v>
      </c>
      <c r="CO245" s="27" t="s">
        <v>8</v>
      </c>
      <c r="CP245" s="27" t="s">
        <v>7</v>
      </c>
      <c r="CQ245" s="27" t="s">
        <v>8</v>
      </c>
      <c r="DR245" s="27" t="s">
        <v>7</v>
      </c>
      <c r="DS245" s="27" t="s">
        <v>8</v>
      </c>
      <c r="DT245" s="27" t="s">
        <v>7</v>
      </c>
      <c r="DU245" s="27" t="s">
        <v>8</v>
      </c>
      <c r="DV245" s="27" t="s">
        <v>7</v>
      </c>
      <c r="DW245" s="27" t="s">
        <v>8</v>
      </c>
      <c r="DX245" s="27" t="s">
        <v>7</v>
      </c>
      <c r="DY245" s="27" t="s">
        <v>8</v>
      </c>
      <c r="DZ245" s="27" t="s">
        <v>7</v>
      </c>
      <c r="EA245" s="27" t="s">
        <v>8</v>
      </c>
      <c r="EB245" s="27" t="s">
        <v>7</v>
      </c>
      <c r="EG245" s="27" t="s">
        <v>8</v>
      </c>
    </row>
    <row r="246" spans="1:138" x14ac:dyDescent="0.25">
      <c r="A246" s="30">
        <v>0.74621539663662584</v>
      </c>
      <c r="B246"/>
      <c r="C246"/>
      <c r="D246"/>
      <c r="E246"/>
      <c r="F246" s="27" t="s">
        <v>7</v>
      </c>
      <c r="AK246" s="27" t="s">
        <v>8</v>
      </c>
      <c r="AL246" s="27" t="s">
        <v>7</v>
      </c>
      <c r="AM246" s="27" t="s">
        <v>8</v>
      </c>
      <c r="AN246" s="27" t="s">
        <v>7</v>
      </c>
      <c r="CF246" s="27" t="s">
        <v>7</v>
      </c>
      <c r="CG246" s="27" t="s">
        <v>8</v>
      </c>
      <c r="CH246" s="27" t="s">
        <v>7</v>
      </c>
      <c r="CK246" s="27" t="s">
        <v>8</v>
      </c>
      <c r="CL246" s="27" t="s">
        <v>7</v>
      </c>
      <c r="CM246" s="27" t="s">
        <v>8</v>
      </c>
      <c r="CN246" s="27" t="s">
        <v>7</v>
      </c>
      <c r="CO246" s="27" t="s">
        <v>8</v>
      </c>
      <c r="CP246" s="27" t="s">
        <v>7</v>
      </c>
      <c r="CQ246" s="27" t="s">
        <v>8</v>
      </c>
      <c r="DR246" s="27" t="s">
        <v>7</v>
      </c>
      <c r="DS246" s="27" t="s">
        <v>8</v>
      </c>
      <c r="DT246" s="27" t="s">
        <v>7</v>
      </c>
      <c r="DU246" s="27" t="s">
        <v>8</v>
      </c>
      <c r="DV246" s="27" t="s">
        <v>7</v>
      </c>
      <c r="DW246" s="27" t="s">
        <v>8</v>
      </c>
      <c r="DX246" s="27" t="s">
        <v>7</v>
      </c>
      <c r="DY246" s="27" t="s">
        <v>8</v>
      </c>
      <c r="DZ246" s="27" t="s">
        <v>7</v>
      </c>
      <c r="EA246" s="27" t="s">
        <v>8</v>
      </c>
      <c r="EB246" s="27" t="s">
        <v>7</v>
      </c>
      <c r="EG246" s="27" t="s">
        <v>8</v>
      </c>
      <c r="EH246" s="27" t="s">
        <v>7</v>
      </c>
    </row>
    <row r="247" spans="1:138" x14ac:dyDescent="0.25">
      <c r="A247" s="30">
        <v>0.71068133013011958</v>
      </c>
      <c r="B247"/>
      <c r="C247"/>
      <c r="D247"/>
      <c r="E247"/>
      <c r="F247" s="27" t="s">
        <v>7</v>
      </c>
      <c r="AK247" s="27" t="s">
        <v>8</v>
      </c>
      <c r="AL247" s="27" t="s">
        <v>7</v>
      </c>
      <c r="AM247" s="27" t="s">
        <v>8</v>
      </c>
      <c r="CF247" s="27" t="s">
        <v>7</v>
      </c>
      <c r="CH247" s="27" t="s">
        <v>7</v>
      </c>
      <c r="CK247" s="27" t="s">
        <v>8</v>
      </c>
      <c r="CL247" s="27" t="s">
        <v>7</v>
      </c>
      <c r="CM247" s="27" t="s">
        <v>8</v>
      </c>
      <c r="CN247" s="27" t="s">
        <v>7</v>
      </c>
      <c r="CO247" s="27" t="s">
        <v>8</v>
      </c>
      <c r="CP247" s="27" t="s">
        <v>7</v>
      </c>
      <c r="CQ247" s="27" t="s">
        <v>8</v>
      </c>
      <c r="DR247" s="27" t="s">
        <v>7</v>
      </c>
      <c r="DS247" s="27" t="s">
        <v>8</v>
      </c>
      <c r="DT247" s="27" t="s">
        <v>7</v>
      </c>
      <c r="DV247" s="27" t="s">
        <v>7</v>
      </c>
      <c r="DW247" s="27" t="s">
        <v>8</v>
      </c>
      <c r="DX247" s="27" t="s">
        <v>7</v>
      </c>
      <c r="DY247" s="27" t="s">
        <v>8</v>
      </c>
      <c r="DZ247" s="27" t="s">
        <v>7</v>
      </c>
      <c r="EA247" s="27" t="s">
        <v>8</v>
      </c>
      <c r="EB247" s="27" t="s">
        <v>7</v>
      </c>
      <c r="EG247" s="27" t="s">
        <v>8</v>
      </c>
      <c r="EH247" s="27" t="s">
        <v>7</v>
      </c>
    </row>
    <row r="248" spans="1:138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AG248" s="27" t="s">
        <v>8</v>
      </c>
      <c r="AI248" s="27" t="s">
        <v>8</v>
      </c>
      <c r="AK248" s="27" t="s">
        <v>8</v>
      </c>
      <c r="AL248" s="27" t="s">
        <v>7</v>
      </c>
      <c r="AM248" s="27" t="s">
        <v>8</v>
      </c>
      <c r="CH248" s="27" t="s">
        <v>7</v>
      </c>
      <c r="CK248" s="27" t="s">
        <v>8</v>
      </c>
      <c r="CL248" s="27" t="s">
        <v>7</v>
      </c>
      <c r="CM248" s="27" t="s">
        <v>8</v>
      </c>
      <c r="CN248" s="27" t="s">
        <v>7</v>
      </c>
      <c r="CO248" s="27" t="s">
        <v>8</v>
      </c>
      <c r="CP248" s="27" t="s">
        <v>7</v>
      </c>
      <c r="DR248" s="27" t="s">
        <v>7</v>
      </c>
      <c r="DS248" s="27" t="s">
        <v>8</v>
      </c>
      <c r="DV248" s="27" t="s">
        <v>7</v>
      </c>
      <c r="DW248" s="27" t="s">
        <v>8</v>
      </c>
      <c r="DX248" s="27" t="s">
        <v>7</v>
      </c>
      <c r="DZ248" s="27" t="s">
        <v>7</v>
      </c>
      <c r="EB248" s="27" t="s">
        <v>7</v>
      </c>
      <c r="EC248" s="27" t="s">
        <v>8</v>
      </c>
      <c r="EG248" s="27" t="s">
        <v>8</v>
      </c>
      <c r="EH248" s="27" t="s">
        <v>7</v>
      </c>
    </row>
    <row r="249" spans="1:138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AG249" s="27" t="s">
        <v>8</v>
      </c>
      <c r="AH249" s="27" t="s">
        <v>7</v>
      </c>
      <c r="AI249" s="27" t="s">
        <v>8</v>
      </c>
      <c r="AJ249" s="27" t="s">
        <v>7</v>
      </c>
      <c r="AK249" s="27" t="s">
        <v>8</v>
      </c>
      <c r="AL249" s="27" t="s">
        <v>7</v>
      </c>
      <c r="AM249" s="27" t="s">
        <v>8</v>
      </c>
      <c r="CH249" s="27" t="s">
        <v>7</v>
      </c>
      <c r="CK249" s="27" t="s">
        <v>8</v>
      </c>
      <c r="CL249" s="27" t="s">
        <v>7</v>
      </c>
      <c r="CM249" s="27" t="s">
        <v>8</v>
      </c>
      <c r="CN249" s="27" t="s">
        <v>7</v>
      </c>
      <c r="CO249" s="27" t="s">
        <v>8</v>
      </c>
      <c r="DR249" s="27" t="s">
        <v>7</v>
      </c>
      <c r="DV249" s="27" t="s">
        <v>7</v>
      </c>
      <c r="DW249" s="27" t="s">
        <v>8</v>
      </c>
      <c r="EB249" s="27" t="s">
        <v>7</v>
      </c>
      <c r="EC249" s="27" t="s">
        <v>8</v>
      </c>
      <c r="ED249" s="27" t="s">
        <v>7</v>
      </c>
      <c r="EG249" s="27" t="s">
        <v>8</v>
      </c>
      <c r="EH249" s="27" t="s">
        <v>7</v>
      </c>
    </row>
    <row r="250" spans="1:138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AG250" s="27" t="s">
        <v>8</v>
      </c>
      <c r="AH250" s="27" t="s">
        <v>7</v>
      </c>
      <c r="AI250" s="27" t="s">
        <v>8</v>
      </c>
      <c r="AJ250" s="27" t="s">
        <v>7</v>
      </c>
      <c r="AK250" s="27" t="s">
        <v>8</v>
      </c>
      <c r="AL250" s="27" t="s">
        <v>7</v>
      </c>
      <c r="AM250" s="27" t="s">
        <v>8</v>
      </c>
      <c r="CH250" s="27" t="s">
        <v>7</v>
      </c>
      <c r="CK250" s="27" t="s">
        <v>8</v>
      </c>
      <c r="CL250" s="27" t="s">
        <v>7</v>
      </c>
      <c r="CM250" s="27" t="s">
        <v>8</v>
      </c>
      <c r="CN250" s="27" t="s">
        <v>7</v>
      </c>
      <c r="CO250" s="27" t="s">
        <v>8</v>
      </c>
      <c r="DV250" s="27" t="s">
        <v>7</v>
      </c>
      <c r="EB250" s="27" t="s">
        <v>7</v>
      </c>
      <c r="EC250" s="27" t="s">
        <v>8</v>
      </c>
      <c r="ED250" s="27" t="s">
        <v>7</v>
      </c>
      <c r="EG250" s="27" t="s">
        <v>8</v>
      </c>
      <c r="EH250" s="27" t="s">
        <v>7</v>
      </c>
    </row>
    <row r="251" spans="1:138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O251" s="27" t="s">
        <v>8</v>
      </c>
      <c r="AG251" s="27" t="s">
        <v>8</v>
      </c>
      <c r="AH251" s="27" t="s">
        <v>7</v>
      </c>
      <c r="AJ251" s="27" t="s">
        <v>7</v>
      </c>
      <c r="AL251" s="27" t="s">
        <v>7</v>
      </c>
      <c r="AM251" s="27" t="s">
        <v>8</v>
      </c>
      <c r="CH251" s="27" t="s">
        <v>7</v>
      </c>
      <c r="CI251" s="27" t="s">
        <v>8</v>
      </c>
      <c r="CK251" s="27" t="s">
        <v>8</v>
      </c>
      <c r="CL251" s="27" t="s">
        <v>7</v>
      </c>
      <c r="CN251" s="27" t="s">
        <v>7</v>
      </c>
      <c r="CO251" s="27" t="s">
        <v>8</v>
      </c>
      <c r="EB251" s="27" t="s">
        <v>7</v>
      </c>
      <c r="EC251" s="27" t="s">
        <v>8</v>
      </c>
      <c r="ED251" s="27" t="s">
        <v>7</v>
      </c>
      <c r="EG251" s="27" t="s">
        <v>8</v>
      </c>
      <c r="EH251" s="27" t="s">
        <v>7</v>
      </c>
    </row>
    <row r="252" spans="1:138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O252" s="27" t="s">
        <v>8</v>
      </c>
      <c r="P252" s="27" t="s">
        <v>7</v>
      </c>
      <c r="AG252" s="27" t="s">
        <v>8</v>
      </c>
      <c r="AL252" s="27" t="s">
        <v>7</v>
      </c>
      <c r="CH252" s="27" t="s">
        <v>7</v>
      </c>
      <c r="CI252" s="27" t="s">
        <v>8</v>
      </c>
      <c r="CJ252" s="27" t="s">
        <v>7</v>
      </c>
      <c r="CK252" s="27" t="s">
        <v>8</v>
      </c>
      <c r="CN252" s="27" t="s">
        <v>7</v>
      </c>
      <c r="CO252" s="27" t="s">
        <v>8</v>
      </c>
      <c r="EB252" s="27" t="s">
        <v>7</v>
      </c>
      <c r="ED252" s="27" t="s">
        <v>7</v>
      </c>
      <c r="EG252" s="27" t="s">
        <v>8</v>
      </c>
      <c r="EH252" s="27" t="s">
        <v>7</v>
      </c>
    </row>
    <row r="253" spans="1:138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O253" s="27" t="s">
        <v>8</v>
      </c>
      <c r="P253" s="27" t="s">
        <v>7</v>
      </c>
      <c r="AG253" s="27" t="s">
        <v>8</v>
      </c>
      <c r="CH253" s="27" t="s">
        <v>7</v>
      </c>
      <c r="CI253" s="27" t="s">
        <v>8</v>
      </c>
      <c r="CJ253" s="27" t="s">
        <v>7</v>
      </c>
      <c r="CK253" s="27" t="s">
        <v>8</v>
      </c>
      <c r="CN253" s="18" t="s">
        <v>7</v>
      </c>
      <c r="CO253" s="27" t="s">
        <v>8</v>
      </c>
      <c r="ED253" s="27" t="s">
        <v>7</v>
      </c>
      <c r="EG253" s="27" t="s">
        <v>8</v>
      </c>
    </row>
    <row r="254" spans="1:138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O254" s="27" t="s">
        <v>8</v>
      </c>
      <c r="P254" s="27" t="s">
        <v>7</v>
      </c>
      <c r="AG254" s="27" t="s">
        <v>8</v>
      </c>
      <c r="CH254" s="27" t="s">
        <v>7</v>
      </c>
      <c r="CI254" s="27" t="s">
        <v>8</v>
      </c>
      <c r="CJ254" s="27" t="s">
        <v>7</v>
      </c>
      <c r="CK254" s="27" t="s">
        <v>8</v>
      </c>
      <c r="CN254" s="27" t="s">
        <v>7</v>
      </c>
      <c r="CO254" s="27" t="s">
        <v>8</v>
      </c>
      <c r="ED254" s="27" t="s">
        <v>7</v>
      </c>
      <c r="EG254" s="27" t="s">
        <v>8</v>
      </c>
    </row>
    <row r="255" spans="1:138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O255" s="27" t="s">
        <v>8</v>
      </c>
      <c r="P255" s="27" t="s">
        <v>7</v>
      </c>
      <c r="Q255" s="27" t="s">
        <v>8</v>
      </c>
      <c r="AE255" s="27" t="s">
        <v>8</v>
      </c>
      <c r="AG255" s="27" t="s">
        <v>8</v>
      </c>
      <c r="CH255" s="27" t="s">
        <v>7</v>
      </c>
      <c r="CI255" s="27" t="s">
        <v>8</v>
      </c>
      <c r="CJ255" s="27" t="s">
        <v>7</v>
      </c>
      <c r="CN255" s="27" t="s">
        <v>7</v>
      </c>
      <c r="ED255" s="27" t="s">
        <v>7</v>
      </c>
      <c r="EE255" s="27" t="s">
        <v>8</v>
      </c>
      <c r="EG255" s="27" t="s">
        <v>8</v>
      </c>
    </row>
    <row r="256" spans="1:138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O256" s="27" t="s">
        <v>8</v>
      </c>
      <c r="P256" s="27" t="s">
        <v>7</v>
      </c>
      <c r="Q256" s="27" t="s">
        <v>8</v>
      </c>
      <c r="R256" s="27" t="s">
        <v>7</v>
      </c>
      <c r="AE256" s="27" t="s">
        <v>8</v>
      </c>
      <c r="AF256" s="27" t="s">
        <v>7</v>
      </c>
      <c r="AG256" s="27" t="s">
        <v>8</v>
      </c>
      <c r="CH256" s="27" t="s">
        <v>7</v>
      </c>
      <c r="ED256" s="27" t="s">
        <v>7</v>
      </c>
      <c r="EE256" s="27" t="s">
        <v>8</v>
      </c>
      <c r="EF256" s="27" t="s">
        <v>7</v>
      </c>
      <c r="EG256" s="27" t="s">
        <v>8</v>
      </c>
    </row>
    <row r="257" spans="1:137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H257" s="27" t="s">
        <v>7</v>
      </c>
      <c r="O257" s="27" t="s">
        <v>8</v>
      </c>
      <c r="P257" s="27" t="s">
        <v>7</v>
      </c>
      <c r="Q257" s="27" t="s">
        <v>8</v>
      </c>
      <c r="R257" s="27" t="s">
        <v>7</v>
      </c>
      <c r="S257" s="27" t="s">
        <v>8</v>
      </c>
      <c r="AE257" s="27" t="s">
        <v>8</v>
      </c>
      <c r="AF257" s="27" t="s">
        <v>7</v>
      </c>
      <c r="AG257" s="27" t="s">
        <v>8</v>
      </c>
      <c r="ED257" s="27" t="s">
        <v>7</v>
      </c>
      <c r="EE257" s="27" t="s">
        <v>8</v>
      </c>
      <c r="EF257" s="27" t="s">
        <v>7</v>
      </c>
      <c r="EG257" s="27" t="s">
        <v>8</v>
      </c>
    </row>
    <row r="258" spans="1:137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O258" s="27" t="s">
        <v>8</v>
      </c>
      <c r="P258" s="27" t="s">
        <v>7</v>
      </c>
      <c r="Q258" s="27" t="s">
        <v>8</v>
      </c>
      <c r="R258" s="27" t="s">
        <v>7</v>
      </c>
      <c r="S258" s="27" t="s">
        <v>8</v>
      </c>
      <c r="T258" s="27" t="s">
        <v>7</v>
      </c>
      <c r="U258" s="27" t="s">
        <v>8</v>
      </c>
      <c r="AC258" s="27" t="s">
        <v>8</v>
      </c>
      <c r="AE258" s="27" t="s">
        <v>8</v>
      </c>
      <c r="AF258" s="27" t="s">
        <v>7</v>
      </c>
      <c r="AG258" s="27" t="s">
        <v>8</v>
      </c>
      <c r="ED258" s="27" t="s">
        <v>7</v>
      </c>
      <c r="EE258" s="27" t="s">
        <v>8</v>
      </c>
      <c r="EF258" s="27" t="s">
        <v>7</v>
      </c>
      <c r="EG258" s="27" t="s">
        <v>8</v>
      </c>
    </row>
    <row r="259" spans="1:137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H259" s="27" t="s">
        <v>7</v>
      </c>
      <c r="K259" s="27" t="s">
        <v>8</v>
      </c>
      <c r="M259" s="27" t="s">
        <v>8</v>
      </c>
      <c r="O259" s="27" t="s">
        <v>8</v>
      </c>
      <c r="P259" s="27" t="s">
        <v>7</v>
      </c>
      <c r="Q259" s="27" t="s">
        <v>8</v>
      </c>
      <c r="R259" s="27" t="s">
        <v>7</v>
      </c>
      <c r="S259" s="27" t="s">
        <v>8</v>
      </c>
      <c r="T259" s="27" t="s">
        <v>7</v>
      </c>
      <c r="U259" s="27" t="s">
        <v>8</v>
      </c>
      <c r="V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  <c r="ED259" s="27" t="s">
        <v>7</v>
      </c>
      <c r="EF259" s="27" t="s">
        <v>7</v>
      </c>
      <c r="EG259" s="27" t="s">
        <v>8</v>
      </c>
    </row>
    <row r="260" spans="1:137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H260" s="27" t="s">
        <v>7</v>
      </c>
      <c r="K260" s="27" t="s">
        <v>8</v>
      </c>
      <c r="L260" s="27" t="s">
        <v>7</v>
      </c>
      <c r="M260" s="27" t="s">
        <v>8</v>
      </c>
      <c r="N260" s="27" t="s">
        <v>7</v>
      </c>
      <c r="O260" s="27" t="s">
        <v>8</v>
      </c>
      <c r="P260" s="27" t="s">
        <v>7</v>
      </c>
      <c r="R260" s="27" t="s">
        <v>7</v>
      </c>
      <c r="S260" s="27" t="s">
        <v>8</v>
      </c>
      <c r="T260" s="27" t="s">
        <v>7</v>
      </c>
      <c r="U260" s="27" t="s">
        <v>8</v>
      </c>
      <c r="V260" s="27" t="s">
        <v>7</v>
      </c>
      <c r="AC260" s="27" t="s">
        <v>8</v>
      </c>
      <c r="AD260" s="27" t="s">
        <v>7</v>
      </c>
      <c r="AE260" s="27" t="s">
        <v>8</v>
      </c>
      <c r="EF260" s="27" t="s">
        <v>7</v>
      </c>
    </row>
    <row r="261" spans="1:137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H261" s="27" t="s">
        <v>7</v>
      </c>
      <c r="I261" s="27" t="s">
        <v>8</v>
      </c>
      <c r="K261" s="27" t="s">
        <v>8</v>
      </c>
      <c r="L261" s="27" t="s">
        <v>7</v>
      </c>
      <c r="M261" s="27" t="s">
        <v>8</v>
      </c>
      <c r="N261" s="27" t="s">
        <v>7</v>
      </c>
      <c r="O261" s="27" t="s">
        <v>8</v>
      </c>
      <c r="R261" s="27" t="s">
        <v>7</v>
      </c>
      <c r="S261" s="27" t="s">
        <v>8</v>
      </c>
      <c r="T261" s="27" t="s">
        <v>7</v>
      </c>
      <c r="V261" s="27" t="s">
        <v>7</v>
      </c>
      <c r="AA261" s="27" t="s">
        <v>8</v>
      </c>
      <c r="AC261" s="27" t="s">
        <v>8</v>
      </c>
      <c r="AD261" s="27" t="s">
        <v>7</v>
      </c>
      <c r="AE261" s="27" t="s">
        <v>8</v>
      </c>
    </row>
    <row r="262" spans="1:137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I262" s="27" t="s">
        <v>8</v>
      </c>
      <c r="J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O262" s="27" t="s">
        <v>8</v>
      </c>
      <c r="R262" s="27" t="s">
        <v>7</v>
      </c>
      <c r="V262" s="27" t="s">
        <v>7</v>
      </c>
      <c r="W262" s="27" t="s">
        <v>8</v>
      </c>
      <c r="AA262" s="27" t="s">
        <v>8</v>
      </c>
      <c r="AB262" s="27" t="s">
        <v>7</v>
      </c>
      <c r="AC262" s="27" t="s">
        <v>8</v>
      </c>
      <c r="AD262" s="27" t="s">
        <v>7</v>
      </c>
      <c r="AE262" s="27" t="s">
        <v>8</v>
      </c>
    </row>
    <row r="263" spans="1:137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I263" s="27" t="s">
        <v>8</v>
      </c>
      <c r="J263" s="27" t="s">
        <v>7</v>
      </c>
      <c r="K263" s="27" t="s">
        <v>8</v>
      </c>
      <c r="L263" s="27" t="s">
        <v>7</v>
      </c>
      <c r="M263" s="27" t="s">
        <v>8</v>
      </c>
      <c r="N263" s="27" t="s">
        <v>7</v>
      </c>
      <c r="V263" s="27" t="s">
        <v>7</v>
      </c>
      <c r="W263" s="27" t="s">
        <v>8</v>
      </c>
      <c r="X263" s="27" t="s">
        <v>7</v>
      </c>
      <c r="AA263" s="27" t="s">
        <v>8</v>
      </c>
      <c r="AB263" s="27" t="s">
        <v>7</v>
      </c>
      <c r="AC263" s="27" t="s">
        <v>8</v>
      </c>
      <c r="AD263" s="27" t="s">
        <v>7</v>
      </c>
      <c r="AE263" s="27" t="s">
        <v>8</v>
      </c>
    </row>
    <row r="264" spans="1:137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J264" s="27" t="s">
        <v>7</v>
      </c>
      <c r="K264" s="27" t="s">
        <v>8</v>
      </c>
      <c r="L264" s="27" t="s">
        <v>7</v>
      </c>
      <c r="M264" s="27" t="s">
        <v>8</v>
      </c>
      <c r="V264" s="27" t="s">
        <v>7</v>
      </c>
      <c r="W264" s="27" t="s">
        <v>8</v>
      </c>
      <c r="X264" s="27" t="s">
        <v>7</v>
      </c>
      <c r="Y264" s="27" t="s">
        <v>8</v>
      </c>
      <c r="AA264" s="27" t="s">
        <v>8</v>
      </c>
      <c r="AB264" s="27" t="s">
        <v>7</v>
      </c>
      <c r="AD264" s="27" t="s">
        <v>7</v>
      </c>
      <c r="AE264" s="27" t="s">
        <v>8</v>
      </c>
    </row>
    <row r="265" spans="1:137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J265" s="27" t="s">
        <v>7</v>
      </c>
      <c r="K265" s="27" t="s">
        <v>8</v>
      </c>
      <c r="L265" s="27" t="s">
        <v>7</v>
      </c>
      <c r="V265" s="27" t="s">
        <v>7</v>
      </c>
      <c r="X265" s="27" t="s">
        <v>7</v>
      </c>
      <c r="Y265" s="27" t="s">
        <v>8</v>
      </c>
      <c r="Z265" s="27" t="s">
        <v>7</v>
      </c>
      <c r="AA265" s="27" t="s">
        <v>8</v>
      </c>
      <c r="AD265" s="27" t="s">
        <v>7</v>
      </c>
    </row>
    <row r="266" spans="1:137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J266" s="27" t="s">
        <v>7</v>
      </c>
      <c r="K266" s="27" t="s">
        <v>8</v>
      </c>
      <c r="X266" s="27" t="s">
        <v>7</v>
      </c>
      <c r="Y266" s="27" t="s">
        <v>8</v>
      </c>
      <c r="Z266" s="27" t="s">
        <v>7</v>
      </c>
      <c r="AA266" s="27" t="s">
        <v>8</v>
      </c>
    </row>
    <row r="267" spans="1:137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J267" s="27" t="s">
        <v>7</v>
      </c>
      <c r="X267" s="27" t="s">
        <v>7</v>
      </c>
      <c r="Y267" s="27" t="s">
        <v>8</v>
      </c>
      <c r="Z267" s="27" t="s">
        <v>7</v>
      </c>
      <c r="AA267" s="27" t="s">
        <v>8</v>
      </c>
    </row>
    <row r="268" spans="1:137" x14ac:dyDescent="0.25">
      <c r="A268" s="30">
        <v>0.25509363714308075</v>
      </c>
      <c r="B268"/>
      <c r="C268"/>
      <c r="D268"/>
      <c r="E268"/>
      <c r="F268" s="27" t="s">
        <v>7</v>
      </c>
      <c r="X268" s="27" t="s">
        <v>7</v>
      </c>
      <c r="Z268" s="27" t="s">
        <v>7</v>
      </c>
    </row>
    <row r="269" spans="1:137" x14ac:dyDescent="0.25">
      <c r="A269" s="30">
        <v>0.24294632108864825</v>
      </c>
      <c r="B269"/>
      <c r="C269"/>
      <c r="D269"/>
      <c r="E269"/>
    </row>
    <row r="270" spans="1:137" x14ac:dyDescent="0.25">
      <c r="A270" s="30">
        <v>0.23137744865585538</v>
      </c>
      <c r="B270"/>
      <c r="C270"/>
      <c r="D270"/>
      <c r="E270"/>
    </row>
    <row r="271" spans="1:137" x14ac:dyDescent="0.25">
      <c r="A271" s="30">
        <v>0.22035947491033836</v>
      </c>
      <c r="B271"/>
      <c r="C271"/>
      <c r="D271"/>
      <c r="E271"/>
    </row>
    <row r="272" spans="1:137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6" operator="equal">
      <formula>$U$1</formula>
    </cfRule>
    <cfRule type="cellIs" dxfId="67" priority="857" operator="equal">
      <formula>$S$1</formula>
    </cfRule>
  </conditionalFormatting>
  <conditionalFormatting sqref="D136">
    <cfRule type="cellIs" dxfId="66" priority="854" operator="equal">
      <formula>$S$1</formula>
    </cfRule>
    <cfRule type="cellIs" dxfId="65" priority="855" operator="equal">
      <formula>$U$1</formula>
    </cfRule>
  </conditionalFormatting>
  <conditionalFormatting sqref="C162">
    <cfRule type="cellIs" dxfId="64" priority="852" operator="equal">
      <formula>$U$1</formula>
    </cfRule>
    <cfRule type="cellIs" dxfId="63" priority="853" operator="equal">
      <formula>$S$1</formula>
    </cfRule>
  </conditionalFormatting>
  <conditionalFormatting sqref="D162">
    <cfRule type="cellIs" dxfId="62" priority="850" operator="equal">
      <formula>$S$1</formula>
    </cfRule>
    <cfRule type="cellIs" dxfId="61" priority="851" operator="equal">
      <formula>$U$1</formula>
    </cfRule>
  </conditionalFormatting>
  <conditionalFormatting sqref="C187">
    <cfRule type="cellIs" dxfId="60" priority="848" operator="equal">
      <formula>$U$1</formula>
    </cfRule>
    <cfRule type="cellIs" dxfId="59" priority="849" operator="equal">
      <formula>$S$1</formula>
    </cfRule>
  </conditionalFormatting>
  <conditionalFormatting sqref="D187">
    <cfRule type="cellIs" dxfId="58" priority="846" operator="equal">
      <formula>$S$1</formula>
    </cfRule>
    <cfRule type="cellIs" dxfId="57" priority="847" operator="equal">
      <formula>$U$1</formula>
    </cfRule>
  </conditionalFormatting>
  <conditionalFormatting sqref="C212">
    <cfRule type="cellIs" dxfId="56" priority="844" operator="equal">
      <formula>$U$1</formula>
    </cfRule>
    <cfRule type="cellIs" dxfId="55" priority="845" operator="equal">
      <formula>$S$1</formula>
    </cfRule>
  </conditionalFormatting>
  <conditionalFormatting sqref="D212">
    <cfRule type="cellIs" dxfId="54" priority="842" operator="equal">
      <formula>$S$1</formula>
    </cfRule>
    <cfRule type="cellIs" dxfId="53" priority="843" operator="equal">
      <formula>$U$1</formula>
    </cfRule>
  </conditionalFormatting>
  <conditionalFormatting sqref="C237">
    <cfRule type="cellIs" dxfId="52" priority="840" operator="equal">
      <formula>$U$1</formula>
    </cfRule>
    <cfRule type="cellIs" dxfId="51" priority="841" operator="equal">
      <formula>$S$1</formula>
    </cfRule>
  </conditionalFormatting>
  <conditionalFormatting sqref="D237">
    <cfRule type="cellIs" dxfId="50" priority="838" operator="equal">
      <formula>$S$1</formula>
    </cfRule>
    <cfRule type="cellIs" dxfId="49" priority="839" operator="equal">
      <formula>$U$1</formula>
    </cfRule>
  </conditionalFormatting>
  <conditionalFormatting sqref="C106">
    <cfRule type="cellIs" dxfId="48" priority="836" operator="equal">
      <formula>$U$1</formula>
    </cfRule>
    <cfRule type="cellIs" dxfId="47" priority="837" operator="equal">
      <formula>$S$1</formula>
    </cfRule>
  </conditionalFormatting>
  <conditionalFormatting sqref="D106">
    <cfRule type="cellIs" dxfId="46" priority="834" operator="equal">
      <formula>$S$1</formula>
    </cfRule>
    <cfRule type="cellIs" dxfId="45" priority="835" operator="equal">
      <formula>$U$1</formula>
    </cfRule>
  </conditionalFormatting>
  <conditionalFormatting sqref="C81">
    <cfRule type="cellIs" dxfId="44" priority="832" operator="equal">
      <formula>$U$1</formula>
    </cfRule>
    <cfRule type="cellIs" dxfId="43" priority="833" operator="equal">
      <formula>$S$1</formula>
    </cfRule>
  </conditionalFormatting>
  <conditionalFormatting sqref="D81">
    <cfRule type="cellIs" dxfId="42" priority="830" operator="equal">
      <formula>$S$1</formula>
    </cfRule>
    <cfRule type="cellIs" dxfId="41" priority="831" operator="equal">
      <formula>$U$1</formula>
    </cfRule>
  </conditionalFormatting>
  <conditionalFormatting sqref="C56">
    <cfRule type="cellIs" dxfId="40" priority="828" operator="equal">
      <formula>$U$1</formula>
    </cfRule>
    <cfRule type="cellIs" dxfId="39" priority="829" operator="equal">
      <formula>$S$1</formula>
    </cfRule>
  </conditionalFormatting>
  <conditionalFormatting sqref="D56">
    <cfRule type="cellIs" dxfId="38" priority="826" operator="equal">
      <formula>$S$1</formula>
    </cfRule>
    <cfRule type="cellIs" dxfId="37" priority="827" operator="equal">
      <formula>$U$1</formula>
    </cfRule>
  </conditionalFormatting>
  <conditionalFormatting sqref="C31">
    <cfRule type="cellIs" dxfId="36" priority="824" operator="equal">
      <formula>$U$1</formula>
    </cfRule>
    <cfRule type="cellIs" dxfId="35" priority="825" operator="equal">
      <formula>$S$1</formula>
    </cfRule>
  </conditionalFormatting>
  <conditionalFormatting sqref="D31">
    <cfRule type="cellIs" dxfId="34" priority="822" operator="equal">
      <formula>$S$1</formula>
    </cfRule>
    <cfRule type="cellIs" dxfId="33" priority="82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F127" sqref="BF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2" x14ac:dyDescent="0.25">
      <c r="A97" s="30">
        <v>9.849732675807628</v>
      </c>
      <c r="E97"/>
    </row>
    <row r="98" spans="1:32" x14ac:dyDescent="0.25">
      <c r="A98" s="30">
        <v>8.9543024325523888</v>
      </c>
      <c r="C98" s="1" t="s">
        <v>13</v>
      </c>
      <c r="E98"/>
    </row>
    <row r="99" spans="1:32" x14ac:dyDescent="0.25">
      <c r="A99" s="30">
        <v>8.140274938683989</v>
      </c>
      <c r="C99" s="1">
        <f>C88</f>
        <v>0</v>
      </c>
      <c r="E99"/>
    </row>
    <row r="100" spans="1:32" x14ac:dyDescent="0.25">
      <c r="A100" s="30">
        <v>7.4002499442581717</v>
      </c>
      <c r="C100"/>
      <c r="D100"/>
      <c r="E100"/>
      <c r="S100" s="27" t="s">
        <v>8</v>
      </c>
    </row>
    <row r="101" spans="1:32" x14ac:dyDescent="0.25">
      <c r="A101" s="30">
        <v>6.72749994932561</v>
      </c>
      <c r="C101" s="1" t="s">
        <v>14</v>
      </c>
      <c r="E101"/>
      <c r="S101" s="27" t="s">
        <v>8</v>
      </c>
      <c r="T101" s="27" t="s">
        <v>7</v>
      </c>
    </row>
    <row r="102" spans="1:3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S102" s="27" t="s">
        <v>8</v>
      </c>
      <c r="T102" s="27" t="s">
        <v>7</v>
      </c>
    </row>
    <row r="103" spans="1:32" x14ac:dyDescent="0.25">
      <c r="A103" s="30">
        <v>5.5599173134922388</v>
      </c>
      <c r="E103"/>
      <c r="S103" s="27" t="s">
        <v>8</v>
      </c>
      <c r="T103" s="27" t="s">
        <v>7</v>
      </c>
    </row>
    <row r="104" spans="1:32" x14ac:dyDescent="0.25">
      <c r="A104" s="30">
        <v>5.0544702849929442</v>
      </c>
      <c r="E104"/>
      <c r="S104" s="27" t="s">
        <v>8</v>
      </c>
      <c r="T104" s="27" t="s">
        <v>7</v>
      </c>
    </row>
    <row r="105" spans="1:32" x14ac:dyDescent="0.25">
      <c r="A105" s="30">
        <v>4.594972986357222</v>
      </c>
      <c r="E105"/>
      <c r="S105" s="27" t="s">
        <v>8</v>
      </c>
      <c r="T105" s="27" t="s">
        <v>7</v>
      </c>
    </row>
    <row r="106" spans="1:32" x14ac:dyDescent="0.25">
      <c r="A106" s="30">
        <v>4.1772481694156562</v>
      </c>
      <c r="E106"/>
      <c r="S106" s="27" t="s">
        <v>8</v>
      </c>
      <c r="T106" s="27" t="s">
        <v>7</v>
      </c>
      <c r="W106" s="27" t="s">
        <v>8</v>
      </c>
    </row>
    <row r="107" spans="1:32" x14ac:dyDescent="0.25">
      <c r="A107" s="30">
        <v>3.7974983358324148</v>
      </c>
      <c r="E107"/>
      <c r="S107" s="27" t="s">
        <v>8</v>
      </c>
      <c r="T107" s="27" t="s">
        <v>7</v>
      </c>
      <c r="W107" s="27" t="s">
        <v>8</v>
      </c>
      <c r="X107" s="27" t="s">
        <v>7</v>
      </c>
      <c r="AC107" s="27" t="s">
        <v>8</v>
      </c>
    </row>
    <row r="108" spans="1:32" x14ac:dyDescent="0.25">
      <c r="A108" s="30">
        <v>3.4522712143931042</v>
      </c>
      <c r="E108"/>
      <c r="S108" s="27" t="s">
        <v>8</v>
      </c>
      <c r="T108" s="27" t="s">
        <v>7</v>
      </c>
      <c r="U108" s="27" t="s">
        <v>8</v>
      </c>
      <c r="W108" s="27" t="s">
        <v>8</v>
      </c>
      <c r="X108" s="27" t="s">
        <v>7</v>
      </c>
      <c r="AA108" s="27" t="s">
        <v>8</v>
      </c>
      <c r="AC108" s="27" t="s">
        <v>8</v>
      </c>
      <c r="AD108" s="27" t="s">
        <v>7</v>
      </c>
      <c r="AE108" s="27" t="s">
        <v>8</v>
      </c>
    </row>
    <row r="109" spans="1:32" x14ac:dyDescent="0.25">
      <c r="A109" s="30">
        <v>3.1384283767210035</v>
      </c>
      <c r="E109"/>
      <c r="S109" s="27" t="s">
        <v>8</v>
      </c>
      <c r="T109" s="27" t="s">
        <v>7</v>
      </c>
      <c r="U109" s="27" t="s">
        <v>8</v>
      </c>
      <c r="V109" s="27" t="s">
        <v>7</v>
      </c>
      <c r="W109" s="27" t="s">
        <v>8</v>
      </c>
      <c r="X109" s="27" t="s">
        <v>7</v>
      </c>
      <c r="Y109" s="27" t="s">
        <v>8</v>
      </c>
      <c r="AA109" s="27" t="s">
        <v>8</v>
      </c>
      <c r="AB109" s="27" t="s">
        <v>7</v>
      </c>
      <c r="AC109" s="27" t="s">
        <v>8</v>
      </c>
      <c r="AD109" s="27" t="s">
        <v>7</v>
      </c>
      <c r="AE109" s="27" t="s">
        <v>8</v>
      </c>
      <c r="AF109" s="27" t="s">
        <v>7</v>
      </c>
    </row>
    <row r="110" spans="1:32" x14ac:dyDescent="0.25">
      <c r="A110" s="30">
        <v>2.8531167061100029</v>
      </c>
      <c r="E110"/>
      <c r="S110" s="27" t="s">
        <v>8</v>
      </c>
      <c r="T110" s="27" t="s">
        <v>7</v>
      </c>
      <c r="U110" s="27" t="s">
        <v>8</v>
      </c>
      <c r="V110" s="27" t="s">
        <v>7</v>
      </c>
      <c r="W110" s="27" t="s">
        <v>8</v>
      </c>
      <c r="X110" s="27" t="s">
        <v>7</v>
      </c>
      <c r="Y110" s="27" t="s">
        <v>8</v>
      </c>
      <c r="Z110" s="27" t="s">
        <v>7</v>
      </c>
      <c r="AA110" s="27" t="s">
        <v>8</v>
      </c>
      <c r="AB110" s="27" t="s">
        <v>7</v>
      </c>
      <c r="AC110" s="27" t="s">
        <v>8</v>
      </c>
      <c r="AD110" s="27" t="s">
        <v>7</v>
      </c>
      <c r="AE110" s="27" t="s">
        <v>8</v>
      </c>
      <c r="AF110" s="27" t="s">
        <v>7</v>
      </c>
    </row>
    <row r="111" spans="1:32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$BF$126</v>
      </c>
      <c r="E111"/>
      <c r="S111" s="27" t="s">
        <v>8</v>
      </c>
      <c r="T111" s="27" t="s">
        <v>7</v>
      </c>
      <c r="U111" s="27" t="s">
        <v>8</v>
      </c>
      <c r="V111" s="27" t="s">
        <v>7</v>
      </c>
      <c r="W111" s="27" t="s">
        <v>8</v>
      </c>
      <c r="X111" s="27" t="s">
        <v>7</v>
      </c>
      <c r="Y111" s="27" t="s">
        <v>8</v>
      </c>
      <c r="Z111" s="27" t="s">
        <v>7</v>
      </c>
      <c r="AA111" s="27" t="s">
        <v>8</v>
      </c>
      <c r="AB111" s="27" t="s">
        <v>7</v>
      </c>
      <c r="AD111" s="27" t="s">
        <v>7</v>
      </c>
      <c r="AE111" s="27" t="s">
        <v>8</v>
      </c>
      <c r="AF111" s="27" t="s">
        <v>7</v>
      </c>
    </row>
    <row r="112" spans="1:32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$BE$127</v>
      </c>
      <c r="E112"/>
      <c r="S112" s="27" t="s">
        <v>8</v>
      </c>
      <c r="T112" s="27" t="s">
        <v>7</v>
      </c>
      <c r="V112" s="27" t="s">
        <v>7</v>
      </c>
      <c r="W112" s="27" t="s">
        <v>8</v>
      </c>
      <c r="X112" s="27" t="s">
        <v>7</v>
      </c>
      <c r="Z112" s="27" t="s">
        <v>7</v>
      </c>
      <c r="AD112" s="27" t="s">
        <v>7</v>
      </c>
      <c r="AE112" s="27" t="s">
        <v>8</v>
      </c>
      <c r="AF112" s="27" t="s">
        <v>7</v>
      </c>
    </row>
    <row r="113" spans="1:58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$BG$126</v>
      </c>
      <c r="S113" s="27" t="s">
        <v>8</v>
      </c>
      <c r="V113" s="27" t="s">
        <v>7</v>
      </c>
      <c r="W113" s="27" t="s">
        <v>8</v>
      </c>
      <c r="AD113" s="27" t="s">
        <v>7</v>
      </c>
      <c r="AE113" s="27" t="s">
        <v>8</v>
      </c>
      <c r="AF113" s="27" t="s">
        <v>7</v>
      </c>
      <c r="AQ113" s="27" t="s">
        <v>8</v>
      </c>
      <c r="AS113" s="27" t="s">
        <v>8</v>
      </c>
    </row>
    <row r="114" spans="1:58" x14ac:dyDescent="0.25">
      <c r="A114" s="30">
        <v>1.9487171000000014</v>
      </c>
      <c r="C114" s="1" t="str">
        <f>ADDRESS(C121,D121,1,1)</f>
        <v>$BF$127</v>
      </c>
      <c r="D114" s="1" t="str">
        <f>ADDRESS(C121+1,D121+1,1,1)</f>
        <v>$BG$128</v>
      </c>
      <c r="S114" s="27" t="s">
        <v>8</v>
      </c>
      <c r="V114" s="27" t="s">
        <v>7</v>
      </c>
      <c r="AD114" s="27" t="s">
        <v>7</v>
      </c>
      <c r="AE114" s="27" t="s">
        <v>8</v>
      </c>
      <c r="AF114" s="27" t="s">
        <v>7</v>
      </c>
      <c r="AQ114" s="27" t="s">
        <v>8</v>
      </c>
      <c r="AR114" s="27" t="s">
        <v>7</v>
      </c>
      <c r="AS114" s="27" t="s">
        <v>8</v>
      </c>
      <c r="AT114" s="27" t="s">
        <v>7</v>
      </c>
      <c r="AU114" s="27" t="s">
        <v>8</v>
      </c>
    </row>
    <row r="115" spans="1:58" x14ac:dyDescent="0.25">
      <c r="A115" s="30">
        <v>1.7715610000000011</v>
      </c>
      <c r="C115" s="1" t="str">
        <f>ADDRESS(C121+1,D121,1,1)</f>
        <v>$BF$128</v>
      </c>
      <c r="S115" s="27" t="s">
        <v>8</v>
      </c>
      <c r="AD115" s="27" t="s">
        <v>7</v>
      </c>
      <c r="AE115" s="27" t="s">
        <v>8</v>
      </c>
      <c r="AF115" s="27" t="s">
        <v>7</v>
      </c>
      <c r="AQ115" s="27" t="s">
        <v>8</v>
      </c>
      <c r="AR115" s="27" t="s">
        <v>7</v>
      </c>
      <c r="AS115" s="27" t="s">
        <v>8</v>
      </c>
      <c r="AT115" s="27" t="s">
        <v>7</v>
      </c>
      <c r="AU115" s="27" t="s">
        <v>8</v>
      </c>
      <c r="AV115" s="27" t="s">
        <v>7</v>
      </c>
    </row>
    <row r="116" spans="1:58" x14ac:dyDescent="0.25">
      <c r="A116" s="30">
        <v>1.6105100000000008</v>
      </c>
      <c r="C116" s="1">
        <f>C117-1</f>
        <v>126</v>
      </c>
      <c r="S116" s="27" t="s">
        <v>8</v>
      </c>
      <c r="AD116" s="27" t="s">
        <v>7</v>
      </c>
      <c r="AF116" s="27" t="s">
        <v>7</v>
      </c>
      <c r="AO116" s="27" t="s">
        <v>8</v>
      </c>
      <c r="AQ116" s="27" t="s">
        <v>8</v>
      </c>
      <c r="AR116" s="27" t="s">
        <v>7</v>
      </c>
      <c r="AS116" s="27" t="s">
        <v>8</v>
      </c>
      <c r="AT116" s="27" t="s">
        <v>7</v>
      </c>
      <c r="AU116" s="27" t="s">
        <v>8</v>
      </c>
      <c r="AV116" s="27" t="s">
        <v>7</v>
      </c>
    </row>
    <row r="117" spans="1:58" x14ac:dyDescent="0.25">
      <c r="A117" s="30">
        <v>1.4641000000000006</v>
      </c>
      <c r="C117" s="1">
        <f>C121</f>
        <v>127</v>
      </c>
      <c r="D117" s="1">
        <f>D121</f>
        <v>58</v>
      </c>
      <c r="S117" s="27" t="s">
        <v>8</v>
      </c>
      <c r="AF117" s="27" t="s">
        <v>7</v>
      </c>
      <c r="AO117" s="27" t="s">
        <v>8</v>
      </c>
      <c r="AP117" s="27" t="s">
        <v>7</v>
      </c>
      <c r="AQ117" s="27" t="s">
        <v>8</v>
      </c>
      <c r="AR117" s="27" t="s">
        <v>7</v>
      </c>
      <c r="AT117" s="27" t="s">
        <v>7</v>
      </c>
      <c r="AU117" s="27" t="s">
        <v>8</v>
      </c>
      <c r="AV117" s="27" t="s">
        <v>7</v>
      </c>
      <c r="AW117" s="27" t="s">
        <v>8</v>
      </c>
      <c r="AY117" s="27" t="s">
        <v>8</v>
      </c>
    </row>
    <row r="118" spans="1:58" x14ac:dyDescent="0.25">
      <c r="A118" s="30">
        <v>1.3310000000000004</v>
      </c>
      <c r="C118" s="1">
        <f>C117+1</f>
        <v>128</v>
      </c>
      <c r="D118" s="1">
        <f>D117+1</f>
        <v>59</v>
      </c>
      <c r="Q118" s="27" t="s">
        <v>8</v>
      </c>
      <c r="S118" s="27" t="s">
        <v>8</v>
      </c>
      <c r="AF118" s="27" t="s">
        <v>7</v>
      </c>
      <c r="AG118" s="27" t="s">
        <v>8</v>
      </c>
      <c r="AM118" s="27" t="s">
        <v>8</v>
      </c>
      <c r="AO118" s="27" t="s">
        <v>8</v>
      </c>
      <c r="AP118" s="27" t="s">
        <v>7</v>
      </c>
      <c r="AQ118" s="27" t="s">
        <v>8</v>
      </c>
      <c r="AT118" s="27" t="s">
        <v>7</v>
      </c>
      <c r="AV118" s="27" t="s">
        <v>7</v>
      </c>
      <c r="AW118" s="27" t="s">
        <v>8</v>
      </c>
      <c r="AX118" s="27" t="s">
        <v>7</v>
      </c>
      <c r="AY118" s="27" t="s">
        <v>8</v>
      </c>
      <c r="AZ118" s="27" t="s">
        <v>7</v>
      </c>
    </row>
    <row r="119" spans="1:58" x14ac:dyDescent="0.25">
      <c r="A119" s="30">
        <v>1.2100000000000002</v>
      </c>
      <c r="Q119" s="27" t="s">
        <v>8</v>
      </c>
      <c r="R119" s="27" t="s">
        <v>7</v>
      </c>
      <c r="S119" s="27" t="s">
        <v>8</v>
      </c>
      <c r="AF119" s="27" t="s">
        <v>7</v>
      </c>
      <c r="AG119" s="27" t="s">
        <v>8</v>
      </c>
      <c r="AH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  <c r="AV119" s="27" t="s">
        <v>7</v>
      </c>
      <c r="AW119" s="27" t="s">
        <v>8</v>
      </c>
      <c r="AX119" s="27" t="s">
        <v>7</v>
      </c>
      <c r="AY119" s="27" t="s">
        <v>8</v>
      </c>
      <c r="AZ119" s="27" t="s">
        <v>7</v>
      </c>
      <c r="BA119" s="27" t="s">
        <v>8</v>
      </c>
    </row>
    <row r="120" spans="1:58" x14ac:dyDescent="0.25">
      <c r="A120" s="30">
        <v>1.1000000000000001</v>
      </c>
      <c r="C120" s="1" t="s">
        <v>9</v>
      </c>
      <c r="Q120" s="27" t="s">
        <v>8</v>
      </c>
      <c r="R120" s="27" t="s">
        <v>7</v>
      </c>
      <c r="S120" s="27" t="s">
        <v>8</v>
      </c>
      <c r="AF120" s="27" t="s">
        <v>7</v>
      </c>
      <c r="AG120" s="27" t="s">
        <v>8</v>
      </c>
      <c r="AH120" s="27" t="s">
        <v>7</v>
      </c>
      <c r="AI120" s="27" t="s">
        <v>8</v>
      </c>
      <c r="AM120" s="27" t="s">
        <v>8</v>
      </c>
      <c r="AN120" s="27" t="s">
        <v>7</v>
      </c>
      <c r="AO120" s="27" t="s">
        <v>8</v>
      </c>
      <c r="AV120" s="27" t="s">
        <v>7</v>
      </c>
      <c r="AX120" s="27" t="s">
        <v>7</v>
      </c>
      <c r="AY120" s="27" t="s">
        <v>8</v>
      </c>
      <c r="AZ120" s="27" t="s">
        <v>7</v>
      </c>
      <c r="BA120" s="27" t="s">
        <v>8</v>
      </c>
      <c r="BB120" s="27" t="s">
        <v>7</v>
      </c>
      <c r="BC120" s="27" t="s">
        <v>8</v>
      </c>
    </row>
    <row r="121" spans="1:58" x14ac:dyDescent="0.25">
      <c r="A121" s="30">
        <v>1</v>
      </c>
      <c r="C121" s="18">
        <v>127</v>
      </c>
      <c r="D121" s="19">
        <v>58</v>
      </c>
      <c r="E121" s="18" t="s">
        <v>8</v>
      </c>
      <c r="Q121" s="27" t="s">
        <v>8</v>
      </c>
      <c r="R121" s="27" t="s">
        <v>7</v>
      </c>
      <c r="AF121" s="27" t="s">
        <v>7</v>
      </c>
      <c r="AG121" s="27" t="s">
        <v>8</v>
      </c>
      <c r="AH121" s="27" t="s">
        <v>7</v>
      </c>
      <c r="AI121" s="27" t="s">
        <v>8</v>
      </c>
      <c r="AJ121" s="27" t="s">
        <v>7</v>
      </c>
      <c r="AM121" s="27" t="s">
        <v>8</v>
      </c>
      <c r="AN121" s="27" t="s">
        <v>7</v>
      </c>
      <c r="AX121" s="27" t="s">
        <v>7</v>
      </c>
      <c r="AY121" s="27" t="s">
        <v>8</v>
      </c>
      <c r="AZ121" s="27" t="s">
        <v>7</v>
      </c>
      <c r="BA121" s="27" t="s">
        <v>8</v>
      </c>
      <c r="BB121" s="27" t="s">
        <v>7</v>
      </c>
      <c r="BC121" s="27" t="s">
        <v>8</v>
      </c>
      <c r="BD121" s="27" t="s">
        <v>7</v>
      </c>
    </row>
    <row r="122" spans="1:58" x14ac:dyDescent="0.25">
      <c r="A122" s="30">
        <v>0.90909090909090895</v>
      </c>
      <c r="C122" s="1" t="str">
        <f>INDEX(1:1048576,C117,D117)</f>
        <v>O</v>
      </c>
      <c r="F122" s="27" t="s">
        <v>7</v>
      </c>
      <c r="Q122" s="27" t="s">
        <v>8</v>
      </c>
      <c r="AF122" s="27" t="s">
        <v>7</v>
      </c>
      <c r="AG122" s="27" t="s">
        <v>8</v>
      </c>
      <c r="AH122" s="27" t="s">
        <v>7</v>
      </c>
      <c r="AI122" s="27" t="s">
        <v>8</v>
      </c>
      <c r="AJ122" s="27" t="s">
        <v>7</v>
      </c>
      <c r="AM122" s="27" t="s">
        <v>8</v>
      </c>
      <c r="AX122" s="27" t="s">
        <v>7</v>
      </c>
      <c r="AZ122" s="27" t="s">
        <v>7</v>
      </c>
      <c r="BB122" s="27" t="s">
        <v>7</v>
      </c>
      <c r="BC122" s="27" t="s">
        <v>8</v>
      </c>
      <c r="BD122" s="27" t="s">
        <v>7</v>
      </c>
    </row>
    <row r="123" spans="1:58" x14ac:dyDescent="0.25">
      <c r="A123" s="30">
        <v>0.82644628099173523</v>
      </c>
      <c r="C123" s="1" t="str">
        <f>"R"&amp;C121</f>
        <v>R127</v>
      </c>
      <c r="D123" s="1" t="str">
        <f>"C"&amp;D121</f>
        <v>C58</v>
      </c>
      <c r="F123" s="27" t="s">
        <v>7</v>
      </c>
      <c r="Q123" s="27" t="s">
        <v>8</v>
      </c>
      <c r="AF123" s="27" t="s">
        <v>7</v>
      </c>
      <c r="AH123" s="27" t="s">
        <v>7</v>
      </c>
      <c r="AI123" s="27" t="s">
        <v>8</v>
      </c>
      <c r="AJ123" s="27" t="s">
        <v>7</v>
      </c>
      <c r="AK123" s="27" t="s">
        <v>8</v>
      </c>
      <c r="AM123" s="27" t="s">
        <v>8</v>
      </c>
      <c r="BB123" s="27" t="s">
        <v>7</v>
      </c>
      <c r="BC123" s="27" t="s">
        <v>8</v>
      </c>
      <c r="BD123" s="27" t="s">
        <v>7</v>
      </c>
    </row>
    <row r="124" spans="1:5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O124" s="27" t="s">
        <v>8</v>
      </c>
      <c r="Q124" s="27" t="s">
        <v>8</v>
      </c>
      <c r="AH124" s="27" t="s">
        <v>7</v>
      </c>
      <c r="AJ124" s="27" t="s">
        <v>7</v>
      </c>
      <c r="AK124" s="27" t="s">
        <v>8</v>
      </c>
      <c r="AL124" s="27" t="s">
        <v>7</v>
      </c>
      <c r="AM124" s="27" t="s">
        <v>8</v>
      </c>
      <c r="BB124" s="27" t="s">
        <v>7</v>
      </c>
      <c r="BC124" s="27" t="s">
        <v>8</v>
      </c>
      <c r="BD124" s="27" t="s">
        <v>7</v>
      </c>
      <c r="BE124" s="27" t="s">
        <v>8</v>
      </c>
    </row>
    <row r="125" spans="1:58" x14ac:dyDescent="0.25">
      <c r="A125" s="30">
        <v>0.68301345536507019</v>
      </c>
      <c r="F125" s="27" t="s">
        <v>7</v>
      </c>
      <c r="G125" s="27" t="s">
        <v>8</v>
      </c>
      <c r="O125" s="27" t="s">
        <v>8</v>
      </c>
      <c r="P125" s="27" t="s">
        <v>7</v>
      </c>
      <c r="Q125" s="27" t="s">
        <v>8</v>
      </c>
      <c r="AJ125" s="27" t="s">
        <v>7</v>
      </c>
      <c r="AK125" s="27" t="s">
        <v>8</v>
      </c>
      <c r="AL125" s="27" t="s">
        <v>7</v>
      </c>
      <c r="AM125" s="27" t="s">
        <v>8</v>
      </c>
      <c r="BB125" s="27" t="s">
        <v>7</v>
      </c>
      <c r="BC125" s="27" t="s">
        <v>8</v>
      </c>
      <c r="BD125" s="27" t="s">
        <v>7</v>
      </c>
      <c r="BE125" s="27" t="s">
        <v>8</v>
      </c>
      <c r="BF125" s="27" t="s">
        <v>7</v>
      </c>
    </row>
    <row r="126" spans="1:5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O126" s="27" t="s">
        <v>8</v>
      </c>
      <c r="P126" s="27" t="s">
        <v>7</v>
      </c>
      <c r="Q126" s="27" t="s">
        <v>8</v>
      </c>
      <c r="AJ126" s="27" t="s">
        <v>7</v>
      </c>
      <c r="AK126" s="27" t="s">
        <v>8</v>
      </c>
      <c r="AL126" s="27" t="s">
        <v>7</v>
      </c>
      <c r="AM126" s="27" t="s">
        <v>8</v>
      </c>
      <c r="BB126" s="27" t="s">
        <v>7</v>
      </c>
      <c r="BD126" s="27" t="s">
        <v>7</v>
      </c>
      <c r="BE126" s="27" t="s">
        <v>8</v>
      </c>
      <c r="BF126" s="27" t="s">
        <v>7</v>
      </c>
    </row>
    <row r="127" spans="1:58" x14ac:dyDescent="0.25">
      <c r="A127" s="30">
        <v>0.56447393005377677</v>
      </c>
      <c r="C127" s="30">
        <v>0.56447393005377677</v>
      </c>
      <c r="D127"/>
      <c r="F127" s="27" t="s">
        <v>7</v>
      </c>
      <c r="G127" s="27" t="s">
        <v>8</v>
      </c>
      <c r="H127" s="27" t="s">
        <v>7</v>
      </c>
      <c r="K127" s="27" t="s">
        <v>8</v>
      </c>
      <c r="O127" s="27" t="s">
        <v>8</v>
      </c>
      <c r="P127" s="27" t="s">
        <v>7</v>
      </c>
      <c r="AJ127" s="27" t="s">
        <v>7</v>
      </c>
      <c r="AK127" s="27" t="s">
        <v>8</v>
      </c>
      <c r="AL127" s="27" t="s">
        <v>7</v>
      </c>
      <c r="AM127" s="27" t="s">
        <v>8</v>
      </c>
      <c r="BD127" s="27" t="s">
        <v>7</v>
      </c>
      <c r="BE127" s="27" t="s">
        <v>8</v>
      </c>
      <c r="BF127" s="27" t="s">
        <v>7</v>
      </c>
    </row>
    <row r="128" spans="1:58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K128" s="27" t="s">
        <v>8</v>
      </c>
      <c r="L128" s="27" t="s">
        <v>7</v>
      </c>
      <c r="O128" s="27" t="s">
        <v>8</v>
      </c>
      <c r="AJ128" s="27" t="s">
        <v>7</v>
      </c>
      <c r="AK128" s="27" t="s">
        <v>8</v>
      </c>
      <c r="AL128" s="18" t="s">
        <v>7</v>
      </c>
      <c r="BD128" s="27" t="s">
        <v>7</v>
      </c>
      <c r="BE128" s="27" t="s">
        <v>8</v>
      </c>
    </row>
    <row r="129" spans="1:5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K129" s="27" t="s">
        <v>8</v>
      </c>
      <c r="L129" s="27" t="s">
        <v>7</v>
      </c>
      <c r="O129" s="27" t="s">
        <v>8</v>
      </c>
      <c r="AJ129" s="27" t="s">
        <v>7</v>
      </c>
      <c r="BD129" s="27" t="s">
        <v>7</v>
      </c>
      <c r="BE129" s="27" t="s">
        <v>8</v>
      </c>
    </row>
    <row r="130" spans="1:57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K130" s="27" t="s">
        <v>8</v>
      </c>
      <c r="L130" s="27" t="s">
        <v>7</v>
      </c>
      <c r="O130" s="27" t="s">
        <v>8</v>
      </c>
      <c r="BD130" s="27" t="s">
        <v>7</v>
      </c>
      <c r="BE130" s="27" t="s">
        <v>8</v>
      </c>
    </row>
    <row r="131" spans="1:57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K131" s="27" t="s">
        <v>8</v>
      </c>
      <c r="L131" s="27" t="s">
        <v>7</v>
      </c>
      <c r="M131" s="27" t="s">
        <v>8</v>
      </c>
      <c r="O131" s="27" t="s">
        <v>8</v>
      </c>
      <c r="BD131" s="27" t="s">
        <v>7</v>
      </c>
    </row>
    <row r="132" spans="1:57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M132" s="27" t="s">
        <v>8</v>
      </c>
      <c r="N132" s="27" t="s">
        <v>7</v>
      </c>
      <c r="O132" s="27" t="s">
        <v>8</v>
      </c>
    </row>
    <row r="133" spans="1:57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O133" s="27" t="s">
        <v>8</v>
      </c>
    </row>
    <row r="134" spans="1:57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J134" s="27" t="s">
        <v>7</v>
      </c>
      <c r="L134" s="27" t="s">
        <v>7</v>
      </c>
      <c r="M134" s="27" t="s">
        <v>8</v>
      </c>
      <c r="N134" s="27" t="s">
        <v>7</v>
      </c>
    </row>
    <row r="135" spans="1:57" x14ac:dyDescent="0.25">
      <c r="A135" s="30">
        <v>0.2633312543060794</v>
      </c>
      <c r="C135" s="1" t="s">
        <v>14</v>
      </c>
      <c r="E135"/>
      <c r="F135" s="27" t="s">
        <v>7</v>
      </c>
      <c r="H135" s="27" t="s">
        <v>7</v>
      </c>
      <c r="L135" s="27" t="s">
        <v>7</v>
      </c>
    </row>
    <row r="136" spans="1:5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7" x14ac:dyDescent="0.25">
      <c r="A137" s="30">
        <v>0.2176291357901482</v>
      </c>
      <c r="E137"/>
    </row>
    <row r="138" spans="1:5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7" x14ac:dyDescent="0.25">
      <c r="A139" s="30">
        <v>0.17985878990921333</v>
      </c>
      <c r="E139"/>
    </row>
    <row r="140" spans="1:57" x14ac:dyDescent="0.25">
      <c r="A140" s="30">
        <v>0.16350799082655756</v>
      </c>
      <c r="C140" s="1">
        <v>0</v>
      </c>
      <c r="E140"/>
    </row>
    <row r="141" spans="1:57" x14ac:dyDescent="0.25">
      <c r="A141" s="30">
        <v>0.14864362802414322</v>
      </c>
      <c r="C141" s="1">
        <v>1</v>
      </c>
      <c r="E141"/>
    </row>
    <row r="142" spans="1:57" x14ac:dyDescent="0.25">
      <c r="A142" s="30">
        <v>0.13513057093103928</v>
      </c>
      <c r="C142" s="1">
        <v>2</v>
      </c>
      <c r="E142"/>
    </row>
    <row r="143" spans="1:57" x14ac:dyDescent="0.25">
      <c r="A143" s="30">
        <v>0.12284597357367205</v>
      </c>
      <c r="C143" s="1">
        <v>3</v>
      </c>
      <c r="E143"/>
    </row>
    <row r="144" spans="1:57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40" operator="equal">
      <formula>$U$1</formula>
    </cfRule>
    <cfRule type="cellIs" dxfId="30" priority="841" operator="equal">
      <formula>$S$1</formula>
    </cfRule>
  </conditionalFormatting>
  <conditionalFormatting sqref="D136">
    <cfRule type="cellIs" dxfId="29" priority="838" operator="equal">
      <formula>$S$1</formula>
    </cfRule>
    <cfRule type="cellIs" dxfId="28" priority="839" operator="equal">
      <formula>$U$1</formula>
    </cfRule>
  </conditionalFormatting>
  <conditionalFormatting sqref="C102">
    <cfRule type="cellIs" dxfId="27" priority="836" operator="equal">
      <formula>$U$1</formula>
    </cfRule>
    <cfRule type="cellIs" dxfId="26" priority="837" operator="equal">
      <formula>$S$1</formula>
    </cfRule>
  </conditionalFormatting>
  <conditionalFormatting sqref="D102">
    <cfRule type="cellIs" dxfId="25" priority="834" operator="equal">
      <formula>$S$1</formula>
    </cfRule>
    <cfRule type="cellIs" dxfId="24" priority="835" operator="equal">
      <formula>$U$1</formula>
    </cfRule>
  </conditionalFormatting>
  <conditionalFormatting sqref="C77">
    <cfRule type="cellIs" dxfId="23" priority="832" operator="equal">
      <formula>$U$1</formula>
    </cfRule>
    <cfRule type="cellIs" dxfId="22" priority="833" operator="equal">
      <formula>$S$1</formula>
    </cfRule>
  </conditionalFormatting>
  <conditionalFormatting sqref="D77">
    <cfRule type="cellIs" dxfId="21" priority="830" operator="equal">
      <formula>$S$1</formula>
    </cfRule>
    <cfRule type="cellIs" dxfId="20" priority="831" operator="equal">
      <formula>$U$1</formula>
    </cfRule>
  </conditionalFormatting>
  <conditionalFormatting sqref="C52">
    <cfRule type="cellIs" dxfId="19" priority="828" operator="equal">
      <formula>$U$1</formula>
    </cfRule>
    <cfRule type="cellIs" dxfId="18" priority="829" operator="equal">
      <formula>$S$1</formula>
    </cfRule>
  </conditionalFormatting>
  <conditionalFormatting sqref="D52">
    <cfRule type="cellIs" dxfId="17" priority="826" operator="equal">
      <formula>$S$1</formula>
    </cfRule>
    <cfRule type="cellIs" dxfId="16" priority="827" operator="equal">
      <formula>$U$1</formula>
    </cfRule>
  </conditionalFormatting>
  <conditionalFormatting sqref="C26">
    <cfRule type="cellIs" dxfId="15" priority="824" operator="equal">
      <formula>$U$1</formula>
    </cfRule>
    <cfRule type="cellIs" dxfId="14" priority="825" operator="equal">
      <formula>$S$1</formula>
    </cfRule>
  </conditionalFormatting>
  <conditionalFormatting sqref="D26">
    <cfRule type="cellIs" dxfId="13" priority="822" operator="equal">
      <formula>$S$1</formula>
    </cfRule>
    <cfRule type="cellIs" dxfId="12" priority="82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2022-01-28T01:16:52Z</dcterms:modified>
</cp:coreProperties>
</file>