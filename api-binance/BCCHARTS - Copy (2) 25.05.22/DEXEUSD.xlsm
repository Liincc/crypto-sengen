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15753395-77D8-4072-9AE7-AF038E9856C9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6" i="5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122" i="5"/>
  <c r="C133" i="5" s="1"/>
  <c r="C56" i="4"/>
  <c r="D136" i="2"/>
  <c r="C136" i="2"/>
  <c r="C138" i="2"/>
  <c r="C2" i="1" l="1"/>
  <c r="D2" i="1"/>
  <c r="C122" i="4"/>
  <c r="C133" i="4" s="1"/>
  <c r="D136" i="4" s="1"/>
  <c r="C118" i="4"/>
  <c r="C116" i="4"/>
  <c r="C116" i="3"/>
  <c r="D136" i="5"/>
  <c r="C136" i="5"/>
  <c r="C122" i="3"/>
  <c r="C133" i="3" s="1"/>
  <c r="D136" i="3" s="1"/>
  <c r="R765" i="1"/>
  <c r="C136" i="4" l="1"/>
  <c r="C138" i="4" s="1"/>
  <c r="C138" i="5"/>
  <c r="C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S251" i="1" l="1"/>
  <c r="T251" i="1" s="1"/>
  <c r="R250" i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S203" i="1" l="1"/>
  <c r="T203" i="1" s="1"/>
  <c r="R202" i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S192" i="1" l="1"/>
  <c r="T192" i="1" s="1"/>
  <c r="R191" i="1"/>
  <c r="R190" i="1" l="1"/>
  <c r="S191" i="1"/>
  <c r="T191" i="1" s="1"/>
  <c r="R189" i="1" l="1"/>
  <c r="S190" i="1"/>
  <c r="T190" i="1" s="1"/>
  <c r="R188" i="1" l="1"/>
  <c r="S189" i="1"/>
  <c r="T189" i="1" s="1"/>
  <c r="S188" i="1" l="1"/>
  <c r="T188" i="1" s="1"/>
  <c r="R187" i="1"/>
  <c r="S187" i="1" l="1"/>
  <c r="T187" i="1" s="1"/>
  <c r="R186" i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S180" i="1" l="1"/>
  <c r="T180" i="1" s="1"/>
  <c r="R179" i="1"/>
  <c r="S179" i="1" l="1"/>
  <c r="T179" i="1" s="1"/>
  <c r="R178" i="1"/>
  <c r="R177" i="1" l="1"/>
  <c r="S178" i="1"/>
  <c r="T178" i="1" s="1"/>
  <c r="R176" i="1" l="1"/>
  <c r="S177" i="1"/>
  <c r="T177" i="1" s="1"/>
  <c r="S176" i="1" l="1"/>
  <c r="T176" i="1" s="1"/>
  <c r="R175" i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S168" i="1" l="1"/>
  <c r="T168" i="1" s="1"/>
  <c r="R167" i="1"/>
  <c r="R166" i="1" l="1"/>
  <c r="S167" i="1"/>
  <c r="T167" i="1" s="1"/>
  <c r="R165" i="1" l="1"/>
  <c r="S166" i="1"/>
  <c r="T166" i="1" s="1"/>
  <c r="R164" i="1" l="1"/>
  <c r="S165" i="1"/>
  <c r="T165" i="1" s="1"/>
  <c r="S164" i="1" l="1"/>
  <c r="T164" i="1" s="1"/>
  <c r="R163" i="1"/>
  <c r="S163" i="1" l="1"/>
  <c r="T163" i="1" s="1"/>
  <c r="R162" i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S156" i="1" l="1"/>
  <c r="T156" i="1" s="1"/>
  <c r="R155" i="1"/>
  <c r="S155" i="1" l="1"/>
  <c r="T155" i="1" s="1"/>
  <c r="R154" i="1"/>
  <c r="R153" i="1" l="1"/>
  <c r="S154" i="1"/>
  <c r="T154" i="1" s="1"/>
  <c r="R152" i="1" l="1"/>
  <c r="S153" i="1"/>
  <c r="T153" i="1" s="1"/>
  <c r="S152" i="1" l="1"/>
  <c r="T152" i="1" s="1"/>
  <c r="R151" i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S144" i="1" l="1"/>
  <c r="T144" i="1" s="1"/>
  <c r="R143" i="1"/>
  <c r="R142" i="1" l="1"/>
  <c r="S143" i="1"/>
  <c r="T143" i="1" s="1"/>
  <c r="R141" i="1" l="1"/>
  <c r="S142" i="1"/>
  <c r="T142" i="1" s="1"/>
  <c r="R140" i="1" l="1"/>
  <c r="S141" i="1"/>
  <c r="T141" i="1" s="1"/>
  <c r="S140" i="1" l="1"/>
  <c r="T140" i="1" s="1"/>
  <c r="R139" i="1"/>
  <c r="S139" i="1" l="1"/>
  <c r="T139" i="1" s="1"/>
  <c r="R138" i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S132" i="1" l="1"/>
  <c r="T132" i="1" s="1"/>
  <c r="R131" i="1"/>
  <c r="S131" i="1" l="1"/>
  <c r="T131" i="1" s="1"/>
  <c r="R130" i="1"/>
  <c r="R129" i="1" l="1"/>
  <c r="S130" i="1"/>
  <c r="T130" i="1" s="1"/>
  <c r="R128" i="1" l="1"/>
  <c r="S129" i="1"/>
  <c r="T129" i="1" s="1"/>
  <c r="S128" i="1" l="1"/>
  <c r="T128" i="1" s="1"/>
  <c r="R127" i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S120" i="1" l="1"/>
  <c r="T120" i="1" s="1"/>
  <c r="R119" i="1"/>
  <c r="R118" i="1" l="1"/>
  <c r="S119" i="1"/>
  <c r="T119" i="1" s="1"/>
  <c r="R117" i="1" l="1"/>
  <c r="S118" i="1"/>
  <c r="T118" i="1" s="1"/>
  <c r="R116" i="1" l="1"/>
  <c r="S117" i="1"/>
  <c r="T117" i="1" s="1"/>
  <c r="S116" i="1" l="1"/>
  <c r="T116" i="1" s="1"/>
  <c r="R115" i="1"/>
  <c r="S115" i="1" l="1"/>
  <c r="T115" i="1" s="1"/>
  <c r="R114" i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S104" i="1" l="1"/>
  <c r="T104" i="1" s="1"/>
  <c r="R103" i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S96" i="1" l="1"/>
  <c r="T96" i="1" s="1"/>
  <c r="R95" i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S91" i="1" l="1"/>
  <c r="T91" i="1" s="1"/>
  <c r="R90" i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S85" i="1" l="1"/>
  <c r="T85" i="1" s="1"/>
  <c r="R84" i="1"/>
  <c r="S84" i="1" l="1"/>
  <c r="T84" i="1" s="1"/>
  <c r="R83" i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S67" i="1" l="1"/>
  <c r="T67" i="1" s="1"/>
  <c r="R66" i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S61" i="1" l="1"/>
  <c r="T61" i="1" s="1"/>
  <c r="R60" i="1"/>
  <c r="S60" i="1" l="1"/>
  <c r="T60" i="1" s="1"/>
  <c r="R59" i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S50" i="1" l="1"/>
  <c r="T50" i="1" s="1"/>
  <c r="R49" i="1"/>
  <c r="R48" i="1" l="1"/>
  <c r="S49" i="1"/>
  <c r="T49" i="1" s="1"/>
  <c r="S48" i="1" l="1"/>
  <c r="T48" i="1" s="1"/>
  <c r="R47" i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S34" i="1" l="1"/>
  <c r="T34" i="1" s="1"/>
  <c r="R33" i="1"/>
  <c r="S33" i="1" l="1"/>
  <c r="T33" i="1" s="1"/>
  <c r="R32" i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<sst xmlns="http://schemas.openxmlformats.org/spreadsheetml/2006/main" count="5126" uniqueCount="34">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</sst>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6.05</c:v>
                </c:pt>
                <c:pt idx="1">
                  <c:v>6.13</c:v>
                </c:pt>
                <c:pt idx="2">
                  <c:v>6.12</c:v>
                </c:pt>
                <c:pt idx="3">
                  <c:v>6.18</c:v>
                </c:pt>
                <c:pt idx="4">
                  <c:v>6.52</c:v>
                </c:pt>
                <c:pt idx="5">
                  <c:v>6.06</c:v>
                </c:pt>
                <c:pt idx="6">
                  <c:v>6.72</c:v>
                </c:pt>
                <c:pt idx="7">
                  <c:v>7.97</c:v>
                </c:pt>
                <c:pt idx="8">
                  <c:v>8.35</c:v>
                </c:pt>
                <c:pt idx="9">
                  <c:v>8.7899999999999991</c:v>
                </c:pt>
                <c:pt idx="10">
                  <c:v>9.3800000000000008</c:v>
                </c:pt>
                <c:pt idx="11">
                  <c:v>9.7100000000000009</c:v>
                </c:pt>
                <c:pt idx="12">
                  <c:v>9.81</c:v>
                </c:pt>
                <c:pt idx="13">
                  <c:v>9.84</c:v>
                </c:pt>
                <c:pt idx="14">
                  <c:v>9.58</c:v>
                </c:pt>
                <c:pt idx="15">
                  <c:v>10.07</c:v>
                </c:pt>
                <c:pt idx="16">
                  <c:v>9.73</c:v>
                </c:pt>
                <c:pt idx="17">
                  <c:v>9.5</c:v>
                </c:pt>
                <c:pt idx="18">
                  <c:v>10.01</c:v>
                </c:pt>
                <c:pt idx="19">
                  <c:v>9.4700000000000006</c:v>
                </c:pt>
                <c:pt idx="20">
                  <c:v>9.26</c:v>
                </c:pt>
                <c:pt idx="21">
                  <c:v>10.32</c:v>
                </c:pt>
                <c:pt idx="22">
                  <c:v>10.74</c:v>
                </c:pt>
                <c:pt idx="23">
                  <c:v>11.51</c:v>
                </c:pt>
                <c:pt idx="24">
                  <c:v>11.56</c:v>
                </c:pt>
                <c:pt idx="25">
                  <c:v>11.71</c:v>
                </c:pt>
                <c:pt idx="26">
                  <c:v>11.76</c:v>
                </c:pt>
                <c:pt idx="27">
                  <c:v>11.78</c:v>
                </c:pt>
                <c:pt idx="28">
                  <c:v>12.04</c:v>
                </c:pt>
                <c:pt idx="29">
                  <c:v>11.58</c:v>
                </c:pt>
                <c:pt idx="30">
                  <c:v>12.05</c:v>
                </c:pt>
                <c:pt idx="31">
                  <c:v>13.03</c:v>
                </c:pt>
                <c:pt idx="32">
                  <c:v>12.67</c:v>
                </c:pt>
                <c:pt idx="33">
                  <c:v>12.57</c:v>
                </c:pt>
                <c:pt idx="34">
                  <c:v>12.34</c:v>
                </c:pt>
                <c:pt idx="35">
                  <c:v>12.52</c:v>
                </c:pt>
                <c:pt idx="36">
                  <c:v>12.18</c:v>
                </c:pt>
                <c:pt idx="37">
                  <c:v>12.24</c:v>
                </c:pt>
                <c:pt idx="38">
                  <c:v>12.14</c:v>
                </c:pt>
                <c:pt idx="39">
                  <c:v>11.88</c:v>
                </c:pt>
                <c:pt idx="40">
                  <c:v>12.01</c:v>
                </c:pt>
                <c:pt idx="41">
                  <c:v>12.64</c:v>
                </c:pt>
                <c:pt idx="42">
                  <c:v>11.72</c:v>
                </c:pt>
                <c:pt idx="43">
                  <c:v>12.26</c:v>
                </c:pt>
                <c:pt idx="44">
                  <c:v>11.73</c:v>
                </c:pt>
                <c:pt idx="45">
                  <c:v>11.88</c:v>
                </c:pt>
                <c:pt idx="46">
                  <c:v>13.41</c:v>
                </c:pt>
                <c:pt idx="47">
                  <c:v>13.15</c:v>
                </c:pt>
                <c:pt idx="48">
                  <c:v>13.16</c:v>
                </c:pt>
                <c:pt idx="49">
                  <c:v>13.54</c:v>
                </c:pt>
                <c:pt idx="50">
                  <c:v>14.6</c:v>
                </c:pt>
                <c:pt idx="51">
                  <c:v>13.52</c:v>
                </c:pt>
                <c:pt idx="52">
                  <c:v>14.38</c:v>
                </c:pt>
                <c:pt idx="53">
                  <c:v>15.35</c:v>
                </c:pt>
                <c:pt idx="54">
                  <c:v>19.059999999999999</c:v>
                </c:pt>
                <c:pt idx="55">
                  <c:v>15.53</c:v>
                </c:pt>
                <c:pt idx="56">
                  <c:v>13.91</c:v>
                </c:pt>
                <c:pt idx="57">
                  <c:v>14.78</c:v>
                </c:pt>
                <c:pt idx="58">
                  <c:v>14.93</c:v>
                </c:pt>
                <c:pt idx="59">
                  <c:v>14.09</c:v>
                </c:pt>
                <c:pt idx="60">
                  <c:v>13.93</c:v>
                </c:pt>
                <c:pt idx="61">
                  <c:v>14.94</c:v>
                </c:pt>
                <c:pt idx="62">
                  <c:v>15.87</c:v>
                </c:pt>
                <c:pt idx="63">
                  <c:v>13.14</c:v>
                </c:pt>
                <c:pt idx="64">
                  <c:v>13.49</c:v>
                </c:pt>
                <c:pt idx="65">
                  <c:v>14.26</c:v>
                </c:pt>
                <c:pt idx="66">
                  <c:v>14.03</c:v>
                </c:pt>
                <c:pt idx="67">
                  <c:v>14.5</c:v>
                </c:pt>
                <c:pt idx="68">
                  <c:v>12.75</c:v>
                </c:pt>
                <c:pt idx="69">
                  <c:v>11.89</c:v>
                </c:pt>
                <c:pt idx="70">
                  <c:v>11.38</c:v>
                </c:pt>
                <c:pt idx="71">
                  <c:v>12.28</c:v>
                </c:pt>
                <c:pt idx="72">
                  <c:v>12.45</c:v>
                </c:pt>
                <c:pt idx="73">
                  <c:v>12.77</c:v>
                </c:pt>
                <c:pt idx="74">
                  <c:v>13.24</c:v>
                </c:pt>
                <c:pt idx="75">
                  <c:v>13.15</c:v>
                </c:pt>
                <c:pt idx="76">
                  <c:v>12.13</c:v>
                </c:pt>
                <c:pt idx="77">
                  <c:v>12.57</c:v>
                </c:pt>
                <c:pt idx="78">
                  <c:v>12.08</c:v>
                </c:pt>
                <c:pt idx="79">
                  <c:v>12.48</c:v>
                </c:pt>
                <c:pt idx="80">
                  <c:v>12.67</c:v>
                </c:pt>
                <c:pt idx="81">
                  <c:v>12.68</c:v>
                </c:pt>
                <c:pt idx="82">
                  <c:v>12.83</c:v>
                </c:pt>
                <c:pt idx="83">
                  <c:v>13.24</c:v>
                </c:pt>
                <c:pt idx="84">
                  <c:v>12.92</c:v>
                </c:pt>
                <c:pt idx="85">
                  <c:v>12.78</c:v>
                </c:pt>
                <c:pt idx="86">
                  <c:v>12.5</c:v>
                </c:pt>
                <c:pt idx="87">
                  <c:v>12.37</c:v>
                </c:pt>
                <c:pt idx="88">
                  <c:v>12.19</c:v>
                </c:pt>
                <c:pt idx="89">
                  <c:v>12.34</c:v>
                </c:pt>
                <c:pt idx="90">
                  <c:v>12.25</c:v>
                </c:pt>
                <c:pt idx="91">
                  <c:v>12.1</c:v>
                </c:pt>
                <c:pt idx="92">
                  <c:v>12</c:v>
                </c:pt>
                <c:pt idx="93">
                  <c:v>13.06</c:v>
                </c:pt>
                <c:pt idx="94">
                  <c:v>13.25</c:v>
                </c:pt>
                <c:pt idx="95">
                  <c:v>13.15</c:v>
                </c:pt>
                <c:pt idx="96">
                  <c:v>13.89</c:v>
                </c:pt>
                <c:pt idx="97">
                  <c:v>13.2</c:v>
                </c:pt>
                <c:pt idx="98">
                  <c:v>12.93</c:v>
                </c:pt>
                <c:pt idx="99">
                  <c:v>13.03</c:v>
                </c:pt>
                <c:pt idx="100">
                  <c:v>12.77</c:v>
                </c:pt>
                <c:pt idx="101">
                  <c:v>12.71</c:v>
                </c:pt>
                <c:pt idx="102">
                  <c:v>12.77</c:v>
                </c:pt>
                <c:pt idx="103">
                  <c:v>12.92</c:v>
                </c:pt>
                <c:pt idx="104">
                  <c:v>13.26</c:v>
                </c:pt>
                <c:pt idx="105">
                  <c:v>12.66</c:v>
                </c:pt>
                <c:pt idx="106">
                  <c:v>12.58</c:v>
                </c:pt>
                <c:pt idx="107">
                  <c:v>12.33</c:v>
                </c:pt>
                <c:pt idx="108">
                  <c:v>12.33</c:v>
                </c:pt>
                <c:pt idx="109">
                  <c:v>12.37</c:v>
                </c:pt>
                <c:pt idx="110">
                  <c:v>12.67</c:v>
                </c:pt>
                <c:pt idx="111">
                  <c:v>12.65</c:v>
                </c:pt>
                <c:pt idx="112">
                  <c:v>12.96</c:v>
                </c:pt>
                <c:pt idx="113">
                  <c:v>13.26</c:v>
                </c:pt>
                <c:pt idx="114">
                  <c:v>13.83</c:v>
                </c:pt>
                <c:pt idx="115">
                  <c:v>12.6</c:v>
                </c:pt>
                <c:pt idx="116">
                  <c:v>12.84</c:v>
                </c:pt>
                <c:pt idx="117">
                  <c:v>12.8</c:v>
                </c:pt>
                <c:pt idx="118">
                  <c:v>12.85</c:v>
                </c:pt>
                <c:pt idx="119">
                  <c:v>12.12</c:v>
                </c:pt>
                <c:pt idx="120">
                  <c:v>11.65</c:v>
                </c:pt>
                <c:pt idx="121">
                  <c:v>11.51</c:v>
                </c:pt>
                <c:pt idx="122">
                  <c:v>11.96</c:v>
                </c:pt>
                <c:pt idx="123">
                  <c:v>12.53</c:v>
                </c:pt>
                <c:pt idx="124">
                  <c:v>11.59</c:v>
                </c:pt>
                <c:pt idx="125">
                  <c:v>11.7</c:v>
                </c:pt>
                <c:pt idx="126">
                  <c:v>12.45</c:v>
                </c:pt>
                <c:pt idx="127">
                  <c:v>12.46</c:v>
                </c:pt>
                <c:pt idx="128">
                  <c:v>11.51</c:v>
                </c:pt>
                <c:pt idx="129">
                  <c:v>13.1</c:v>
                </c:pt>
                <c:pt idx="130">
                  <c:v>13.69</c:v>
                </c:pt>
                <c:pt idx="131">
                  <c:v>13.59</c:v>
                </c:pt>
                <c:pt idx="132">
                  <c:v>13.04</c:v>
                </c:pt>
                <c:pt idx="133">
                  <c:v>13.19</c:v>
                </c:pt>
                <c:pt idx="134">
                  <c:v>12.55</c:v>
                </c:pt>
                <c:pt idx="135">
                  <c:v>12.38</c:v>
                </c:pt>
                <c:pt idx="136">
                  <c:v>12.12</c:v>
                </c:pt>
                <c:pt idx="137">
                  <c:v>14.17</c:v>
                </c:pt>
                <c:pt idx="138">
                  <c:v>11.48</c:v>
                </c:pt>
                <c:pt idx="139">
                  <c:v>11.42</c:v>
                </c:pt>
                <c:pt idx="140">
                  <c:v>12.24</c:v>
                </c:pt>
                <c:pt idx="141">
                  <c:v>12.29</c:v>
                </c:pt>
                <c:pt idx="142">
                  <c:v>11.98</c:v>
                </c:pt>
                <c:pt idx="143">
                  <c:v>16.239999999999998</c:v>
                </c:pt>
                <c:pt idx="144">
                  <c:v>15.32</c:v>
                </c:pt>
                <c:pt idx="145">
                  <c:v>15.11</c:v>
                </c:pt>
                <c:pt idx="146">
                  <c:v>15.51</c:v>
                </c:pt>
                <c:pt idx="147">
                  <c:v>15.82</c:v>
                </c:pt>
                <c:pt idx="148">
                  <c:v>17.190000000000001</c:v>
                </c:pt>
                <c:pt idx="149">
                  <c:v>15.98</c:v>
                </c:pt>
                <c:pt idx="150">
                  <c:v>14.86</c:v>
                </c:pt>
                <c:pt idx="151">
                  <c:v>15.47</c:v>
                </c:pt>
                <c:pt idx="152">
                  <c:v>16.670000000000002</c:v>
                </c:pt>
                <c:pt idx="153">
                  <c:v>17.59</c:v>
                </c:pt>
                <c:pt idx="154">
                  <c:v>16.98</c:v>
                </c:pt>
                <c:pt idx="155">
                  <c:v>16.8</c:v>
                </c:pt>
                <c:pt idx="156">
                  <c:v>11.596</c:v>
                </c:pt>
                <c:pt idx="157">
                  <c:v>11.782</c:v>
                </c:pt>
                <c:pt idx="158">
                  <c:v>11.997999999999999</c:v>
                </c:pt>
                <c:pt idx="159">
                  <c:v>11.872999999999999</c:v>
                </c:pt>
                <c:pt idx="160">
                  <c:v>11.968999999999999</c:v>
                </c:pt>
                <c:pt idx="161">
                  <c:v>11.55</c:v>
                </c:pt>
                <c:pt idx="162">
                  <c:v>11.294</c:v>
                </c:pt>
                <c:pt idx="163">
                  <c:v>11.429</c:v>
                </c:pt>
                <c:pt idx="164">
                  <c:v>12.468999999999999</c:v>
                </c:pt>
                <c:pt idx="165">
                  <c:v>12.577999999999999</c:v>
                </c:pt>
                <c:pt idx="166">
                  <c:v>12.776999999999999</c:v>
                </c:pt>
                <c:pt idx="167">
                  <c:v>12.888999999999999</c:v>
                </c:pt>
                <c:pt idx="168">
                  <c:v>12.6</c:v>
                </c:pt>
                <c:pt idx="169">
                  <c:v>12.343999999999999</c:v>
                </c:pt>
                <c:pt idx="170">
                  <c:v>12.884</c:v>
                </c:pt>
                <c:pt idx="171">
                  <c:v>13.381</c:v>
                </c:pt>
                <c:pt idx="172">
                  <c:v>15.430999999999999</c:v>
                </c:pt>
                <c:pt idx="173">
                  <c:v>11.096</c:v>
                </c:pt>
                <c:pt idx="174">
                  <c:v>11.013999999999999</c:v>
                </c:pt>
                <c:pt idx="175">
                  <c:v>11.05</c:v>
                </c:pt>
                <c:pt idx="176">
                  <c:v>11.398999999999999</c:v>
                </c:pt>
                <c:pt idx="177">
                  <c:v>11.164999999999999</c:v>
                </c:pt>
                <c:pt idx="178">
                  <c:v>11.74</c:v>
                </c:pt>
                <c:pt idx="179">
                  <c:v>11.827999999999999</c:v>
                </c:pt>
                <c:pt idx="180">
                  <c:v>12.965</c:v>
                </c:pt>
                <c:pt idx="181">
                  <c:v>12.601000000000001</c:v>
                </c:pt>
                <c:pt idx="182">
                  <c:v>12.601000000000001</c:v>
                </c:pt>
                <c:pt idx="183">
                  <c:v>13.725</c:v>
                </c:pt>
                <c:pt idx="184">
                  <c:v>15.166</c:v>
                </c:pt>
                <c:pt idx="185">
                  <c:v>13.340999999999999</c:v>
                </c:pt>
                <c:pt idx="186">
                  <c:v>17.352</c:v>
                </c:pt>
                <c:pt idx="187">
                  <c:v>19.513999999999999</c:v>
                </c:pt>
                <c:pt idx="188">
                  <c:v>7.165</c:v>
                </c:pt>
                <c:pt idx="189">
                  <c:v>17.352</c:v>
                </c:pt>
                <c:pt idx="190">
                  <c:v>17.352</c:v>
                </c:pt>
                <c:pt idx="191">
                  <c:v>0</c:v>
                </c:pt>
                <c:pt idx="192">
                  <c:v>3.3420000000000001</c:v>
                </c:pt>
                <c:pt idx="193">
                  <c:v>3.5270000000000001</c:v>
                </c:pt>
                <c:pt idx="194">
                  <c:v>3.72</c:v>
                </c:pt>
                <c:pt idx="195">
                  <c:v>3.6349999999999998</c:v>
                </c:pt>
                <c:pt idx="196">
                  <c:v>3.8450000000000002</c:v>
                </c:pt>
                <c:pt idx="197">
                  <c:v>4.0709999999999997</c:v>
                </c:pt>
                <c:pt idx="198">
                  <c:v>4.1589999999999998</c:v>
                </c:pt>
                <c:pt idx="199">
                  <c:v>4.1710000000000003</c:v>
                </c:pt>
                <c:pt idx="200">
                  <c:v>4.2850000000000001</c:v>
                </c:pt>
                <c:pt idx="201">
                  <c:v>4.1669999999999998</c:v>
                </c:pt>
                <c:pt idx="202">
                  <c:v>4.4240000000000004</c:v>
                </c:pt>
                <c:pt idx="203">
                  <c:v>4.1879999999999997</c:v>
                </c:pt>
                <c:pt idx="204">
                  <c:v>4.6619999999999999</c:v>
                </c:pt>
                <c:pt idx="205">
                  <c:v>4.91</c:v>
                </c:pt>
                <c:pt idx="206">
                  <c:v>4.6360000000000001</c:v>
                </c:pt>
                <c:pt idx="207">
                  <c:v>4.8869999999999996</c:v>
                </c:pt>
                <c:pt idx="208">
                  <c:v>3.8420000000000001</c:v>
                </c:pt>
                <c:pt idx="209">
                  <c:v>3.5049999999999999</c:v>
                </c:pt>
                <c:pt idx="210">
                  <c:v>3.2029999999999998</c:v>
                </c:pt>
                <c:pt idx="211">
                  <c:v>3.488</c:v>
                </c:pt>
                <c:pt idx="212">
                  <c:v>3.484</c:v>
                </c:pt>
                <c:pt idx="213">
                  <c:v>3.512</c:v>
                </c:pt>
                <c:pt idx="214">
                  <c:v>3.3559999999999999</c:v>
                </c:pt>
                <c:pt idx="215">
                  <c:v>2.806</c:v>
                </c:pt>
                <c:pt idx="216">
                  <c:v>2.883</c:v>
                </c:pt>
                <c:pt idx="217">
                  <c:v>3.1190000000000002</c:v>
                </c:pt>
                <c:pt idx="218">
                  <c:v>3.0720000000000001</c:v>
                </c:pt>
                <c:pt idx="219">
                  <c:v>2.96</c:v>
                </c:pt>
                <c:pt idx="220">
                  <c:v>3.4889999999999999</c:v>
                </c:pt>
                <c:pt idx="221">
                  <c:v>4.4420000000000002</c:v>
                </c:pt>
                <c:pt idx="222">
                  <c:v>4.43</c:v>
                </c:pt>
                <c:pt idx="223">
                  <c:v>4.67</c:v>
                </c:pt>
                <c:pt idx="224">
                  <c:v>5.0389999999999997</c:v>
                </c:pt>
                <c:pt idx="225">
                  <c:v>5.0129999999999999</c:v>
                </c:pt>
                <c:pt idx="226">
                  <c:v>5.5529999999999999</c:v>
                </c:pt>
                <c:pt idx="227">
                  <c:v>5.93</c:v>
                </c:pt>
                <c:pt idx="228">
                  <c:v>4.8499999999999996</c:v>
                </c:pt>
                <c:pt idx="229">
                  <c:v>4.7240000000000002</c:v>
                </c:pt>
                <c:pt idx="230">
                  <c:v>4.9219999999999997</c:v>
                </c:pt>
                <c:pt idx="231">
                  <c:v>5.2949999999999999</c:v>
                </c:pt>
                <c:pt idx="232">
                  <c:v>5.54</c:v>
                </c:pt>
                <c:pt idx="233">
                  <c:v>5.1920000000000002</c:v>
                </c:pt>
                <c:pt idx="234">
                  <c:v>5.452</c:v>
                </c:pt>
                <c:pt idx="235">
                  <c:v>6.1769999999999996</c:v>
                </c:pt>
                <c:pt idx="236">
                  <c:v>6.3840000000000003</c:v>
                </c:pt>
                <c:pt idx="237">
                  <c:v>6.1680000000000001</c:v>
                </c:pt>
                <c:pt idx="238">
                  <c:v>6.7919999999999998</c:v>
                </c:pt>
                <c:pt idx="239">
                  <c:v>6.7560000000000002</c:v>
                </c:pt>
                <c:pt idx="240">
                  <c:v>6.3719999999999999</c:v>
                </c:pt>
                <c:pt idx="241">
                  <c:v>6.4390000000000001</c:v>
                </c:pt>
                <c:pt idx="242">
                  <c:v>5.6479999999999997</c:v>
                </c:pt>
                <c:pt idx="243">
                  <c:v>5.38</c:v>
                </c:pt>
                <c:pt idx="244">
                  <c:v>6.0430000000000001</c:v>
                </c:pt>
                <c:pt idx="245">
                  <c:v>7.069</c:v>
                </c:pt>
                <c:pt idx="246">
                  <c:v>7.2309999999999999</c:v>
                </c:pt>
                <c:pt idx="247">
                  <c:v>7.1</c:v>
                </c:pt>
                <c:pt idx="248">
                  <c:v>7.0250000000000004</c:v>
                </c:pt>
                <c:pt idx="249">
                  <c:v>5.24</c:v>
                </c:pt>
                <c:pt idx="250">
                  <c:v>6.7960000000000003</c:v>
                </c:pt>
                <c:pt idx="251">
                  <c:v>7.37</c:v>
                </c:pt>
                <c:pt idx="252">
                  <c:v>9.1</c:v>
                </c:pt>
                <c:pt idx="253">
                  <c:v>9.3650000000000002</c:v>
                </c:pt>
                <c:pt idx="254">
                  <c:v>15.773999999999999</c:v>
                </c:pt>
                <c:pt idx="255">
                  <c:v>15.414999999999999</c:v>
                </c:pt>
                <c:pt idx="256">
                  <c:v>15.641999999999999</c:v>
                </c:pt>
                <c:pt idx="257">
                  <c:v>15.664</c:v>
                </c:pt>
                <c:pt idx="258">
                  <c:v>16.488</c:v>
                </c:pt>
                <c:pt idx="259">
                  <c:v>15.420999999999999</c:v>
                </c:pt>
                <c:pt idx="260">
                  <c:v>16.273</c:v>
                </c:pt>
                <c:pt idx="261">
                  <c:v>19.010999999999999</c:v>
                </c:pt>
                <c:pt idx="262">
                  <c:v>18.506</c:v>
                </c:pt>
                <c:pt idx="263">
                  <c:v>20.135999999999999</c:v>
                </c:pt>
                <c:pt idx="264">
                  <c:v>19.666</c:v>
                </c:pt>
                <c:pt idx="265">
                  <c:v>19.895</c:v>
                </c:pt>
                <c:pt idx="266">
                  <c:v>20.527000000000001</c:v>
                </c:pt>
                <c:pt idx="267">
                  <c:v>19.931999999999999</c:v>
                </c:pt>
                <c:pt idx="268">
                  <c:v>18.817</c:v>
                </c:pt>
                <c:pt idx="269">
                  <c:v>20.350000000000001</c:v>
                </c:pt>
                <c:pt idx="270">
                  <c:v>19.503</c:v>
                </c:pt>
                <c:pt idx="271">
                  <c:v>20.3</c:v>
                </c:pt>
                <c:pt idx="272">
                  <c:v>21.193000000000001</c:v>
                </c:pt>
                <c:pt idx="273">
                  <c:v>20.515000000000001</c:v>
                </c:pt>
                <c:pt idx="274">
                  <c:v>22.039000000000001</c:v>
                </c:pt>
                <c:pt idx="275">
                  <c:v>21.007999999999999</c:v>
                </c:pt>
                <c:pt idx="276">
                  <c:v>20.763000000000002</c:v>
                </c:pt>
                <c:pt idx="277">
                  <c:v>18.524999999999999</c:v>
                </c:pt>
                <c:pt idx="278">
                  <c:v>18.739999999999998</c:v>
                </c:pt>
                <c:pt idx="279">
                  <c:v>18.628</c:v>
                </c:pt>
                <c:pt idx="280">
                  <c:v>20.533000000000001</c:v>
                </c:pt>
                <c:pt idx="281">
                  <c:v>21.698</c:v>
                </c:pt>
                <c:pt idx="282">
                  <c:v>21.97</c:v>
                </c:pt>
                <c:pt idx="283">
                  <c:v>22.167000000000002</c:v>
                </c:pt>
                <c:pt idx="284">
                  <c:v>21.747</c:v>
                </c:pt>
                <c:pt idx="285">
                  <c:v>25.315000000000001</c:v>
                </c:pt>
                <c:pt idx="286">
                  <c:v>25.126000000000001</c:v>
                </c:pt>
                <c:pt idx="287">
                  <c:v>25.571999999999999</c:v>
                </c:pt>
                <c:pt idx="288">
                  <c:v>25.375</c:v>
                </c:pt>
                <c:pt idx="289">
                  <c:v>24.395</c:v>
                </c:pt>
                <c:pt idx="290">
                  <c:v>24.488</c:v>
                </c:pt>
                <c:pt idx="291">
                  <c:v>23.891999999999999</c:v>
                </c:pt>
                <c:pt idx="292">
                  <c:v>23.84</c:v>
                </c:pt>
                <c:pt idx="293">
                  <c:v>24.597999999999999</c:v>
                </c:pt>
                <c:pt idx="294">
                  <c:v>26.056000000000001</c:v>
                </c:pt>
                <c:pt idx="295">
                  <c:v>25.172999999999998</c:v>
                </c:pt>
                <c:pt idx="296">
                  <c:v>25.661999999999999</c:v>
                </c:pt>
                <c:pt idx="297">
                  <c:v>22.759</c:v>
                </c:pt>
                <c:pt idx="298">
                  <c:v>23.248000000000001</c:v>
                </c:pt>
                <c:pt idx="299">
                  <c:v>22.693999999999999</c:v>
                </c:pt>
                <c:pt idx="300">
                  <c:v>22.919</c:v>
                </c:pt>
                <c:pt idx="301">
                  <c:v>22.484999999999999</c:v>
                </c:pt>
                <c:pt idx="302">
                  <c:v>22.821999999999999</c:v>
                </c:pt>
                <c:pt idx="303">
                  <c:v>23.655999999999999</c:v>
                </c:pt>
                <c:pt idx="304">
                  <c:v>24.207000000000001</c:v>
                </c:pt>
                <c:pt idx="305">
                  <c:v>22.968</c:v>
                </c:pt>
                <c:pt idx="306">
                  <c:v>22.696000000000002</c:v>
                </c:pt>
                <c:pt idx="307">
                  <c:v>24.966000000000001</c:v>
                </c:pt>
                <c:pt idx="308">
                  <c:v>21.37</c:v>
                </c:pt>
                <c:pt idx="309">
                  <c:v>23.018000000000001</c:v>
                </c:pt>
                <c:pt idx="310">
                  <c:v>23.940999999999999</c:v>
                </c:pt>
                <c:pt idx="311">
                  <c:v>24.463000000000001</c:v>
                </c:pt>
                <c:pt idx="312">
                  <c:v>22.675000000000001</c:v>
                </c:pt>
                <c:pt idx="313">
                  <c:v>23.062999999999999</c:v>
                </c:pt>
                <c:pt idx="314">
                  <c:v>24.349</c:v>
                </c:pt>
                <c:pt idx="315">
                  <c:v>25.725000000000001</c:v>
                </c:pt>
                <c:pt idx="316">
                  <c:v>26.245000000000001</c:v>
                </c:pt>
                <c:pt idx="317">
                  <c:v>27.8</c:v>
                </c:pt>
                <c:pt idx="318">
                  <c:v>26.93</c:v>
                </c:pt>
                <c:pt idx="319">
                  <c:v>28.927</c:v>
                </c:pt>
                <c:pt idx="320">
                  <c:v>26.425999999999998</c:v>
                </c:pt>
                <c:pt idx="321">
                  <c:v>25.58</c:v>
                </c:pt>
                <c:pt idx="322">
                  <c:v>23.100999999999999</c:v>
                </c:pt>
                <c:pt idx="323">
                  <c:v>24.591000000000001</c:v>
                </c:pt>
                <c:pt idx="324">
                  <c:v>29.524999999999999</c:v>
                </c:pt>
                <c:pt idx="325">
                  <c:v>22.532</c:v>
                </c:pt>
                <c:pt idx="326">
                  <c:v>21.265999999999998</c:v>
                </c:pt>
                <c:pt idx="327">
                  <c:v>14.5</c:v>
                </c:pt>
                <c:pt idx="328">
                  <c:v>10.794</c:v>
                </c:pt>
                <c:pt idx="329">
                  <c:v>9.516</c:v>
                </c:pt>
                <c:pt idx="330">
                  <c:v>9.2639999999999993</c:v>
                </c:pt>
                <c:pt idx="331">
                  <c:v>7.0250000000000004</c:v>
                </c:pt>
                <c:pt idx="332">
                  <c:v>7.4</c:v>
                </c:pt>
                <c:pt idx="333">
                  <c:v>6.4589999999999996</c:v>
                </c:pt>
                <c:pt idx="334">
                  <c:v>6.806</c:v>
                </c:pt>
                <c:pt idx="335">
                  <c:v>6.6920000000000002</c:v>
                </c:pt>
                <c:pt idx="336">
                  <c:v>7.09</c:v>
                </c:pt>
                <c:pt idx="337">
                  <c:v>7.2270000000000003</c:v>
                </c:pt>
                <c:pt idx="338">
                  <c:v>7.3079999999999998</c:v>
                </c:pt>
                <c:pt idx="339">
                  <c:v>9.4480000000000004</c:v>
                </c:pt>
                <c:pt idx="340">
                  <c:v>9.8369999999999997</c:v>
                </c:pt>
                <c:pt idx="341">
                  <c:v>8.9640000000000004</c:v>
                </c:pt>
                <c:pt idx="342">
                  <c:v>9.0920000000000005</c:v>
                </c:pt>
                <c:pt idx="343">
                  <c:v>9.24</c:v>
                </c:pt>
                <c:pt idx="344">
                  <c:v>10.355</c:v>
                </c:pt>
                <c:pt idx="345">
                  <c:v>7.1429999999999998</c:v>
                </c:pt>
                <c:pt idx="346">
                  <c:v>7.4589999999999996</c:v>
                </c:pt>
                <c:pt idx="347">
                  <c:v>7.7240000000000002</c:v>
                </c:pt>
                <c:pt idx="348">
                  <c:v>8.8629999999999995</c:v>
                </c:pt>
                <c:pt idx="349">
                  <c:v>8.5050000000000008</c:v>
                </c:pt>
                <c:pt idx="350">
                  <c:v>6.7539999999999996</c:v>
                </c:pt>
                <c:pt idx="351">
                  <c:v>5.6260000000000003</c:v>
                </c:pt>
                <c:pt idx="352">
                  <c:v>4.8</c:v>
                </c:pt>
                <c:pt idx="353">
                  <c:v>4.25</c:v>
                </c:pt>
                <c:pt idx="354">
                  <c:v>4.0949999999999998</c:v>
                </c:pt>
                <c:pt idx="355">
                  <c:v>4.2670000000000003</c:v>
                </c:pt>
                <c:pt idx="356">
                  <c:v>4.601</c:v>
                </c:pt>
                <c:pt idx="357">
                  <c:v>4.6029999999999998</c:v>
                </c:pt>
                <c:pt idx="358">
                  <c:v>4.899</c:v>
                </c:pt>
                <c:pt idx="359">
                  <c:v>4.4219999999999997</c:v>
                </c:pt>
                <c:pt idx="360">
                  <c:v>4.4189999999999996</c:v>
                </c:pt>
                <c:pt idx="361">
                  <c:v>3.85</c:v>
                </c:pt>
                <c:pt idx="362">
                  <c:v>3.7810000000000001</c:v>
                </c:pt>
                <c:pt idx="363">
                  <c:v>3.798</c:v>
                </c:pt>
                <c:pt idx="364">
                  <c:v>4.0960000000000001</c:v>
                </c:pt>
                <c:pt idx="365">
                  <c:v>3.786</c:v>
                </c:pt>
                <c:pt idx="366">
                  <c:v>4.1760000000000002</c:v>
                </c:pt>
                <c:pt idx="367">
                  <c:v>4.4930000000000003</c:v>
                </c:pt>
                <c:pt idx="368">
                  <c:v>4.76</c:v>
                </c:pt>
                <c:pt idx="369">
                  <c:v>4.476</c:v>
                </c:pt>
                <c:pt idx="370">
                  <c:v>4.4169999999999998</c:v>
                </c:pt>
                <c:pt idx="371">
                  <c:v>4.4989999999999997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F-41C2-8397-5A791FAC833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-0.79374137545463497</c:v>
                </c:pt>
                <c:pt idx="1">
                  <c:v>-0.79354803015463504</c:v>
                </c:pt>
                <c:pt idx="2">
                  <c:v>-0.7910017463225183</c:v>
                </c:pt>
                <c:pt idx="3">
                  <c:v>-0.79065000691482601</c:v>
                </c:pt>
                <c:pt idx="4">
                  <c:v>-0.79107819988149264</c:v>
                </c:pt>
                <c:pt idx="5">
                  <c:v>-0.79102672723681178</c:v>
                </c:pt>
                <c:pt idx="6">
                  <c:v>-0.78677461045082153</c:v>
                </c:pt>
                <c:pt idx="7">
                  <c:v>-0.78469768893216862</c:v>
                </c:pt>
                <c:pt idx="8">
                  <c:v>-0.78378452408601484</c:v>
                </c:pt>
                <c:pt idx="9">
                  <c:v>-0.78349244127289996</c:v>
                </c:pt>
                <c:pt idx="10">
                  <c:v>-0.7829892675350052</c:v>
                </c:pt>
                <c:pt idx="11">
                  <c:v>-0.78272945045881481</c:v>
                </c:pt>
                <c:pt idx="12">
                  <c:v>-0.78241646499517847</c:v>
                </c:pt>
                <c:pt idx="13">
                  <c:v>-0.78219272825232133</c:v>
                </c:pt>
                <c:pt idx="14">
                  <c:v>-0.78245606233962306</c:v>
                </c:pt>
                <c:pt idx="15">
                  <c:v>-0.78168507953962296</c:v>
                </c:pt>
                <c:pt idx="16">
                  <c:v>-0.78172001006689562</c:v>
                </c:pt>
                <c:pt idx="17">
                  <c:v>-0.78238821179405615</c:v>
                </c:pt>
                <c:pt idx="18">
                  <c:v>-0.78144494309405599</c:v>
                </c:pt>
                <c:pt idx="19">
                  <c:v>-0.78064649539464792</c:v>
                </c:pt>
                <c:pt idx="20">
                  <c:v>-0.77552523044892296</c:v>
                </c:pt>
                <c:pt idx="21">
                  <c:v>-0.77466619899019284</c:v>
                </c:pt>
                <c:pt idx="22">
                  <c:v>-0.77433511239019293</c:v>
                </c:pt>
                <c:pt idx="23">
                  <c:v>-0.77368494702407709</c:v>
                </c:pt>
                <c:pt idx="24">
                  <c:v>-0.77287104483836289</c:v>
                </c:pt>
                <c:pt idx="25">
                  <c:v>-0.77229192532440949</c:v>
                </c:pt>
                <c:pt idx="26">
                  <c:v>-0.77149503869583802</c:v>
                </c:pt>
                <c:pt idx="27">
                  <c:v>-0.771333526858338</c:v>
                </c:pt>
                <c:pt idx="28">
                  <c:v>-0.77102993098141492</c:v>
                </c:pt>
                <c:pt idx="29">
                  <c:v>-0.77121400167706711</c:v>
                </c:pt>
                <c:pt idx="30">
                  <c:v>-0.770653412655249</c:v>
                </c:pt>
                <c:pt idx="31">
                  <c:v>-0.76806429596416603</c:v>
                </c:pt>
                <c:pt idx="32">
                  <c:v>-0.76411160785060683</c:v>
                </c:pt>
                <c:pt idx="33">
                  <c:v>-0.76449813297560676</c:v>
                </c:pt>
                <c:pt idx="34">
                  <c:v>-0.76440313514597713</c:v>
                </c:pt>
                <c:pt idx="35">
                  <c:v>-0.76305672161694482</c:v>
                </c:pt>
                <c:pt idx="36">
                  <c:v>-0.76428665810343133</c:v>
                </c:pt>
                <c:pt idx="37">
                  <c:v>-0.76336147498578433</c:v>
                </c:pt>
                <c:pt idx="38">
                  <c:v>-0.76331162779882777</c:v>
                </c:pt>
                <c:pt idx="39">
                  <c:v>-0.76246703291988038</c:v>
                </c:pt>
                <c:pt idx="40">
                  <c:v>-0.76138202915738029</c:v>
                </c:pt>
                <c:pt idx="41">
                  <c:v>-0.75832402818986755</c:v>
                </c:pt>
                <c:pt idx="42">
                  <c:v>-0.75852433899806937</c:v>
                </c:pt>
                <c:pt idx="43">
                  <c:v>-0.75694381559806945</c:v>
                </c:pt>
                <c:pt idx="44">
                  <c:v>-0.75815891235161281</c:v>
                </c:pt>
                <c:pt idx="45">
                  <c:v>-0.75794251476935459</c:v>
                </c:pt>
                <c:pt idx="46">
                  <c:v>-0.75371363296201865</c:v>
                </c:pt>
                <c:pt idx="47">
                  <c:v>-0.7526339168548758</c:v>
                </c:pt>
                <c:pt idx="48">
                  <c:v>-0.75274678815720142</c:v>
                </c:pt>
                <c:pt idx="49">
                  <c:v>-0.74998077684725994</c:v>
                </c:pt>
                <c:pt idx="50">
                  <c:v>-0.74511677937721588</c:v>
                </c:pt>
                <c:pt idx="51">
                  <c:v>-0.74396491576966861</c:v>
                </c:pt>
                <c:pt idx="52">
                  <c:v>-0.74113392371278242</c:v>
                </c:pt>
                <c:pt idx="53">
                  <c:v>-0.7388478742639375</c:v>
                </c:pt>
                <c:pt idx="54">
                  <c:v>-0.71476903685749982</c:v>
                </c:pt>
                <c:pt idx="55">
                  <c:v>-0.70705490724428222</c:v>
                </c:pt>
                <c:pt idx="56">
                  <c:v>-0.7079141985702081</c:v>
                </c:pt>
                <c:pt idx="57">
                  <c:v>-0.70523543006859524</c:v>
                </c:pt>
                <c:pt idx="58">
                  <c:v>-0.69954966804632457</c:v>
                </c:pt>
                <c:pt idx="59">
                  <c:v>-0.69897317467635067</c:v>
                </c:pt>
                <c:pt idx="60">
                  <c:v>-0.69978326152635062</c:v>
                </c:pt>
                <c:pt idx="61">
                  <c:v>-0.69970949846374197</c:v>
                </c:pt>
                <c:pt idx="62">
                  <c:v>-0.6881086747734193</c:v>
                </c:pt>
                <c:pt idx="63">
                  <c:v>-0.69309959428781487</c:v>
                </c:pt>
                <c:pt idx="64">
                  <c:v>-0.69143222492932421</c:v>
                </c:pt>
                <c:pt idx="65">
                  <c:v>-0.69092247873900159</c:v>
                </c:pt>
                <c:pt idx="66">
                  <c:v>-0.69488318477210509</c:v>
                </c:pt>
                <c:pt idx="67">
                  <c:v>-0.67416336196860505</c:v>
                </c:pt>
                <c:pt idx="68">
                  <c:v>-0.65906906459333625</c:v>
                </c:pt>
                <c:pt idx="69">
                  <c:v>-0.66048002634063352</c:v>
                </c:pt>
                <c:pt idx="70">
                  <c:v>-0.66094571337140284</c:v>
                </c:pt>
                <c:pt idx="71">
                  <c:v>-0.65987294321510026</c:v>
                </c:pt>
                <c:pt idx="72">
                  <c:v>-0.65976327400081458</c:v>
                </c:pt>
                <c:pt idx="73">
                  <c:v>-0.66016756442748126</c:v>
                </c:pt>
                <c:pt idx="74">
                  <c:v>-0.65919690969343869</c:v>
                </c:pt>
                <c:pt idx="75">
                  <c:v>-0.65828890379021276</c:v>
                </c:pt>
                <c:pt idx="76">
                  <c:v>-0.65983912296829494</c:v>
                </c:pt>
                <c:pt idx="77">
                  <c:v>-0.65973515203647681</c:v>
                </c:pt>
                <c:pt idx="78">
                  <c:v>-0.66056228926071925</c:v>
                </c:pt>
                <c:pt idx="79">
                  <c:v>-0.65905239816195382</c:v>
                </c:pt>
                <c:pt idx="80">
                  <c:v>-0.65872446358087278</c:v>
                </c:pt>
                <c:pt idx="81">
                  <c:v>-0.65846696258087278</c:v>
                </c:pt>
                <c:pt idx="82">
                  <c:v>-0.65797776832702659</c:v>
                </c:pt>
                <c:pt idx="83">
                  <c:v>-0.65784951147502657</c:v>
                </c:pt>
                <c:pt idx="84">
                  <c:v>-0.65836388161173542</c:v>
                </c:pt>
                <c:pt idx="85">
                  <c:v>-0.65772136600062436</c:v>
                </c:pt>
                <c:pt idx="86">
                  <c:v>-0.6582457560429773</c:v>
                </c:pt>
                <c:pt idx="87">
                  <c:v>-0.65890186444297738</c:v>
                </c:pt>
                <c:pt idx="88">
                  <c:v>-0.65971564975693087</c:v>
                </c:pt>
                <c:pt idx="89">
                  <c:v>-0.65879051246516607</c:v>
                </c:pt>
                <c:pt idx="90">
                  <c:v>-0.65501244483575438</c:v>
                </c:pt>
                <c:pt idx="91">
                  <c:v>-0.65473899062325436</c:v>
                </c:pt>
                <c:pt idx="92">
                  <c:v>-0.65531320053293185</c:v>
                </c:pt>
                <c:pt idx="93">
                  <c:v>-0.65359284013153318</c:v>
                </c:pt>
                <c:pt idx="94">
                  <c:v>-0.6529618886648666</c:v>
                </c:pt>
                <c:pt idx="95">
                  <c:v>-0.65241535229819991</c:v>
                </c:pt>
                <c:pt idx="96">
                  <c:v>-0.6511981314366615</c:v>
                </c:pt>
                <c:pt idx="97">
                  <c:v>-0.65155714742724968</c:v>
                </c:pt>
                <c:pt idx="98">
                  <c:v>-0.65106546102724971</c:v>
                </c:pt>
                <c:pt idx="99">
                  <c:v>-0.65112282062461802</c:v>
                </c:pt>
                <c:pt idx="100">
                  <c:v>-0.65106772151672332</c:v>
                </c:pt>
                <c:pt idx="101">
                  <c:v>-0.65096805064053287</c:v>
                </c:pt>
                <c:pt idx="102">
                  <c:v>-0.65001229462719945</c:v>
                </c:pt>
                <c:pt idx="103">
                  <c:v>-0.64651841407164401</c:v>
                </c:pt>
                <c:pt idx="104">
                  <c:v>-0.64610811665164392</c:v>
                </c:pt>
                <c:pt idx="105">
                  <c:v>-0.6468049994643712</c:v>
                </c:pt>
                <c:pt idx="106">
                  <c:v>-0.64489557246437124</c:v>
                </c:pt>
                <c:pt idx="107">
                  <c:v>-0.64323630907134788</c:v>
                </c:pt>
                <c:pt idx="108">
                  <c:v>-0.64426686073134798</c:v>
                </c:pt>
                <c:pt idx="109">
                  <c:v>-0.64375029449268129</c:v>
                </c:pt>
                <c:pt idx="110">
                  <c:v>-0.64131053896410983</c:v>
                </c:pt>
                <c:pt idx="111">
                  <c:v>-0.6404941886757376</c:v>
                </c:pt>
                <c:pt idx="112">
                  <c:v>-0.63902568085617251</c:v>
                </c:pt>
                <c:pt idx="113">
                  <c:v>-0.63798149258367243</c:v>
                </c:pt>
                <c:pt idx="114">
                  <c:v>-0.636780190124553</c:v>
                </c:pt>
                <c:pt idx="115">
                  <c:v>-0.63699479164771899</c:v>
                </c:pt>
                <c:pt idx="116">
                  <c:v>-0.63664923906877169</c:v>
                </c:pt>
                <c:pt idx="117">
                  <c:v>-0.63643587034808191</c:v>
                </c:pt>
                <c:pt idx="118">
                  <c:v>-0.6343431195828646</c:v>
                </c:pt>
                <c:pt idx="119">
                  <c:v>-0.63558255882496983</c:v>
                </c:pt>
                <c:pt idx="120">
                  <c:v>-0.63658173243673455</c:v>
                </c:pt>
                <c:pt idx="121">
                  <c:v>-0.63582427570204059</c:v>
                </c:pt>
                <c:pt idx="122">
                  <c:v>-0.63431431065260246</c:v>
                </c:pt>
                <c:pt idx="123">
                  <c:v>-0.6278199005862759</c:v>
                </c:pt>
                <c:pt idx="124">
                  <c:v>-0.62861030141579965</c:v>
                </c:pt>
                <c:pt idx="125">
                  <c:v>-0.6282402580462344</c:v>
                </c:pt>
                <c:pt idx="126">
                  <c:v>-0.62792931758973736</c:v>
                </c:pt>
                <c:pt idx="127">
                  <c:v>-0.62781259630260866</c:v>
                </c:pt>
                <c:pt idx="128">
                  <c:v>-0.62979616788878745</c:v>
                </c:pt>
                <c:pt idx="129">
                  <c:v>-0.62833675028333291</c:v>
                </c:pt>
                <c:pt idx="130">
                  <c:v>-0.62400781186159382</c:v>
                </c:pt>
                <c:pt idx="131">
                  <c:v>-0.61876764012354502</c:v>
                </c:pt>
                <c:pt idx="132">
                  <c:v>-0.62020067477266783</c:v>
                </c:pt>
                <c:pt idx="133">
                  <c:v>-0.61167029308289889</c:v>
                </c:pt>
                <c:pt idx="134">
                  <c:v>-0.61112246266579362</c:v>
                </c:pt>
                <c:pt idx="135">
                  <c:v>-0.60987058879912692</c:v>
                </c:pt>
                <c:pt idx="136">
                  <c:v>-0.61011073456939735</c:v>
                </c:pt>
                <c:pt idx="137">
                  <c:v>-0.60023229643309828</c:v>
                </c:pt>
                <c:pt idx="138">
                  <c:v>-0.60328891151037101</c:v>
                </c:pt>
                <c:pt idx="139">
                  <c:v>-0.59970070764950156</c:v>
                </c:pt>
                <c:pt idx="140">
                  <c:v>-0.59515404776935965</c:v>
                </c:pt>
                <c:pt idx="141">
                  <c:v>-0.59279757036537961</c:v>
                </c:pt>
                <c:pt idx="142">
                  <c:v>-0.59365028641929252</c:v>
                </c:pt>
                <c:pt idx="143">
                  <c:v>-0.58985318150007238</c:v>
                </c:pt>
                <c:pt idx="144">
                  <c:v>-0.58859494099480925</c:v>
                </c:pt>
                <c:pt idx="145">
                  <c:v>-0.58662443339906467</c:v>
                </c:pt>
                <c:pt idx="146">
                  <c:v>-0.58033210953830505</c:v>
                </c:pt>
                <c:pt idx="147">
                  <c:v>-0.57525204000769292</c:v>
                </c:pt>
                <c:pt idx="148">
                  <c:v>-0.56730382140572233</c:v>
                </c:pt>
                <c:pt idx="149">
                  <c:v>-0.56995964127548981</c:v>
                </c:pt>
                <c:pt idx="150">
                  <c:v>-0.5581132420622118</c:v>
                </c:pt>
                <c:pt idx="151">
                  <c:v>-0.55477692719249083</c:v>
                </c:pt>
                <c:pt idx="152">
                  <c:v>-0.55240719809249084</c:v>
                </c:pt>
                <c:pt idx="153">
                  <c:v>-0.54686685039471306</c:v>
                </c:pt>
                <c:pt idx="154">
                  <c:v>-0.53236870216997956</c:v>
                </c:pt>
                <c:pt idx="155">
                  <c:v>-0.52437524315031847</c:v>
                </c:pt>
                <c:pt idx="156">
                  <c:v>-0.52069497477645776</c:v>
                </c:pt>
                <c:pt idx="157">
                  <c:v>-0.51771950090074814</c:v>
                </c:pt>
                <c:pt idx="158">
                  <c:v>-0.51755901740074806</c:v>
                </c:pt>
                <c:pt idx="159">
                  <c:v>-0.51740608505154173</c:v>
                </c:pt>
                <c:pt idx="160">
                  <c:v>-0.51113719235820099</c:v>
                </c:pt>
                <c:pt idx="161">
                  <c:v>-0.51210963943069809</c:v>
                </c:pt>
                <c:pt idx="162">
                  <c:v>-0.51355711807539972</c:v>
                </c:pt>
                <c:pt idx="163">
                  <c:v>-0.51243409480634994</c:v>
                </c:pt>
                <c:pt idx="164">
                  <c:v>-0.50897055282280113</c:v>
                </c:pt>
                <c:pt idx="165">
                  <c:v>-0.50510435177351121</c:v>
                </c:pt>
                <c:pt idx="166">
                  <c:v>-0.50548796809477814</c:v>
                </c:pt>
                <c:pt idx="167">
                  <c:v>-0.49707693196322733</c:v>
                </c:pt>
                <c:pt idx="168">
                  <c:v>-0.49743410246698672</c:v>
                </c:pt>
                <c:pt idx="169">
                  <c:v>-0.49666548771256624</c:v>
                </c:pt>
                <c:pt idx="170">
                  <c:v>-0.4896773205677481</c:v>
                </c:pt>
                <c:pt idx="171">
                  <c:v>-0.48684448017719845</c:v>
                </c:pt>
                <c:pt idx="172">
                  <c:v>-0.47650309701650978</c:v>
                </c:pt>
                <c:pt idx="173">
                  <c:v>-0.49405197938503914</c:v>
                </c:pt>
                <c:pt idx="174">
                  <c:v>-0.49019365946329996</c:v>
                </c:pt>
                <c:pt idx="175">
                  <c:v>-0.48599158895352934</c:v>
                </c:pt>
                <c:pt idx="176">
                  <c:v>-0.48285729135157579</c:v>
                </c:pt>
                <c:pt idx="177">
                  <c:v>-0.4822369204382424</c:v>
                </c:pt>
                <c:pt idx="178">
                  <c:v>-0.47982589472713127</c:v>
                </c:pt>
                <c:pt idx="179">
                  <c:v>-0.47785356948491675</c:v>
                </c:pt>
                <c:pt idx="180">
                  <c:v>-0.4735995916484993</c:v>
                </c:pt>
                <c:pt idx="181">
                  <c:v>-0.47072620453239444</c:v>
                </c:pt>
                <c:pt idx="182">
                  <c:v>-0.46091996438854171</c:v>
                </c:pt>
                <c:pt idx="183">
                  <c:v>-0.45597092850754239</c:v>
                </c:pt>
                <c:pt idx="184">
                  <c:v>-0.45054915873589224</c:v>
                </c:pt>
                <c:pt idx="185">
                  <c:v>-0.45912038989724796</c:v>
                </c:pt>
                <c:pt idx="186">
                  <c:v>-0.44041392111142813</c:v>
                </c:pt>
                <c:pt idx="187">
                  <c:v>-0.3906148169939701</c:v>
                </c:pt>
                <c:pt idx="188">
                  <c:v>-0.47181661354188337</c:v>
                </c:pt>
                <c:pt idx="189">
                  <c:v>-0.44848046215973203</c:v>
                </c:pt>
                <c:pt idx="190">
                  <c:v>-0.44848046215973203</c:v>
                </c:pt>
                <c:pt idx="191">
                  <c:v>-0.44848046215973203</c:v>
                </c:pt>
                <c:pt idx="192">
                  <c:v>-0.44848046215973203</c:v>
                </c:pt>
                <c:pt idx="193">
                  <c:v>-0.43730315395983282</c:v>
                </c:pt>
                <c:pt idx="194">
                  <c:v>-0.41350592034665407</c:v>
                </c:pt>
                <c:pt idx="195">
                  <c:v>-0.43425174338114686</c:v>
                </c:pt>
                <c:pt idx="196">
                  <c:v>-0.42915748791831065</c:v>
                </c:pt>
                <c:pt idx="197">
                  <c:v>-0.42289324929996208</c:v>
                </c:pt>
                <c:pt idx="198">
                  <c:v>-0.4271882539311665</c:v>
                </c:pt>
                <c:pt idx="199">
                  <c:v>-0.41665119494227759</c:v>
                </c:pt>
                <c:pt idx="200">
                  <c:v>-0.40319177452977761</c:v>
                </c:pt>
                <c:pt idx="201">
                  <c:v>-0.41089135176437447</c:v>
                </c:pt>
                <c:pt idx="202">
                  <c:v>-0.39118951315528355</c:v>
                </c:pt>
                <c:pt idx="203">
                  <c:v>-0.39057143335874811</c:v>
                </c:pt>
                <c:pt idx="204">
                  <c:v>-0.36446695075509344</c:v>
                </c:pt>
                <c:pt idx="205">
                  <c:v>-0.34456268499020137</c:v>
                </c:pt>
                <c:pt idx="206">
                  <c:v>-0.34741641502479764</c:v>
                </c:pt>
                <c:pt idx="207">
                  <c:v>-0.32608872420018586</c:v>
                </c:pt>
                <c:pt idx="208">
                  <c:v>-0.34486405458248676</c:v>
                </c:pt>
                <c:pt idx="209">
                  <c:v>-0.33652922969935722</c:v>
                </c:pt>
                <c:pt idx="210">
                  <c:v>-0.34411138088122872</c:v>
                </c:pt>
                <c:pt idx="211">
                  <c:v>-0.30824909811952539</c:v>
                </c:pt>
                <c:pt idx="212">
                  <c:v>-0.32679059104464164</c:v>
                </c:pt>
                <c:pt idx="213">
                  <c:v>-0.29781345620544081</c:v>
                </c:pt>
                <c:pt idx="214">
                  <c:v>-0.28665776835054718</c:v>
                </c:pt>
                <c:pt idx="215">
                  <c:v>-0.26786948092672602</c:v>
                </c:pt>
                <c:pt idx="216">
                  <c:v>-0.27432422315597604</c:v>
                </c:pt>
                <c:pt idx="217">
                  <c:v>-0.2425362166889812</c:v>
                </c:pt>
                <c:pt idx="218">
                  <c:v>-0.24647519669945606</c:v>
                </c:pt>
                <c:pt idx="219">
                  <c:v>-0.24947997424049959</c:v>
                </c:pt>
                <c:pt idx="220">
                  <c:v>-0.23723352872536363</c:v>
                </c:pt>
                <c:pt idx="221">
                  <c:v>-0.21222059900927667</c:v>
                </c:pt>
                <c:pt idx="222">
                  <c:v>-0.22747563026065726</c:v>
                </c:pt>
                <c:pt idx="223">
                  <c:v>-0.21259914738850988</c:v>
                </c:pt>
                <c:pt idx="224">
                  <c:v>-0.19929100291892651</c:v>
                </c:pt>
                <c:pt idx="225">
                  <c:v>-0.18690609767458191</c:v>
                </c:pt>
                <c:pt idx="226">
                  <c:v>-0.16574961340402877</c:v>
                </c:pt>
                <c:pt idx="227">
                  <c:v>-0.15263893129188016</c:v>
                </c:pt>
                <c:pt idx="228">
                  <c:v>-0.13145280330873016</c:v>
                </c:pt>
                <c:pt idx="229">
                  <c:v>-0.14558725201466843</c:v>
                </c:pt>
                <c:pt idx="230">
                  <c:v>-0.1364121794240645</c:v>
                </c:pt>
                <c:pt idx="231">
                  <c:v>-0.1204078817222463</c:v>
                </c:pt>
                <c:pt idx="232">
                  <c:v>-0.11310436025018991</c:v>
                </c:pt>
                <c:pt idx="233">
                  <c:v>-0.12516453651659826</c:v>
                </c:pt>
                <c:pt idx="234">
                  <c:v>-0.1231733018373648</c:v>
                </c:pt>
                <c:pt idx="235">
                  <c:v>-0.10691724227679369</c:v>
                </c:pt>
                <c:pt idx="236">
                  <c:v>-9.7496554315655001E-2</c:v>
                </c:pt>
                <c:pt idx="237">
                  <c:v>-0.1006667796652196</c:v>
                </c:pt>
                <c:pt idx="238">
                  <c:v>-8.7831206016894245E-2</c:v>
                </c:pt>
                <c:pt idx="239">
                  <c:v>-7.9368857683941849E-2</c:v>
                </c:pt>
                <c:pt idx="240">
                  <c:v>-9.9288468300726171E-2</c:v>
                </c:pt>
                <c:pt idx="241">
                  <c:v>-8.2651237858757248E-2</c:v>
                </c:pt>
                <c:pt idx="242">
                  <c:v>-0.10447365332312708</c:v>
                </c:pt>
                <c:pt idx="243">
                  <c:v>-0.11389310437185843</c:v>
                </c:pt>
                <c:pt idx="244">
                  <c:v>-9.9884549798033712E-2</c:v>
                </c:pt>
                <c:pt idx="245">
                  <c:v>-8.7973321483992617E-2</c:v>
                </c:pt>
                <c:pt idx="246">
                  <c:v>-8.3091746846864253E-2</c:v>
                </c:pt>
                <c:pt idx="247">
                  <c:v>-8.4022014132436013E-2</c:v>
                </c:pt>
                <c:pt idx="248">
                  <c:v>-8.6493569595095562E-2</c:v>
                </c:pt>
                <c:pt idx="249">
                  <c:v>-0.10383000189009559</c:v>
                </c:pt>
                <c:pt idx="250">
                  <c:v>-9.3993978853829402E-2</c:v>
                </c:pt>
                <c:pt idx="251">
                  <c:v>-8.9756860566986049E-2</c:v>
                </c:pt>
                <c:pt idx="252">
                  <c:v>-8.386659412575731E-2</c:v>
                </c:pt>
                <c:pt idx="253">
                  <c:v>-8.559541023790683E-2</c:v>
                </c:pt>
                <c:pt idx="254">
                  <c:v>-7.7680109758123145E-2</c:v>
                </c:pt>
                <c:pt idx="255">
                  <c:v>-7.4935430297542557E-2</c:v>
                </c:pt>
                <c:pt idx="256">
                  <c:v>-6.585429492153147E-2</c:v>
                </c:pt>
                <c:pt idx="257">
                  <c:v>-6.5152974162131977E-2</c:v>
                </c:pt>
                <c:pt idx="258">
                  <c:v>-5.7160375725948329E-2</c:v>
                </c:pt>
                <c:pt idx="259">
                  <c:v>-6.1115522448690958E-2</c:v>
                </c:pt>
                <c:pt idx="260">
                  <c:v>-5.4260537890806745E-2</c:v>
                </c:pt>
                <c:pt idx="261">
                  <c:v>-4.4901002420806746E-2</c:v>
                </c:pt>
                <c:pt idx="262">
                  <c:v>-4.7692005822660068E-2</c:v>
                </c:pt>
                <c:pt idx="263">
                  <c:v>-4.0249638970472908E-2</c:v>
                </c:pt>
                <c:pt idx="264">
                  <c:v>-3.8066298627479567E-2</c:v>
                </c:pt>
                <c:pt idx="265">
                  <c:v>-3.6005271377617505E-2</c:v>
                </c:pt>
                <c:pt idx="266">
                  <c:v>-2.7801394673177111E-2</c:v>
                </c:pt>
                <c:pt idx="267">
                  <c:v>-3.1408835318394786E-2</c:v>
                </c:pt>
                <c:pt idx="268">
                  <c:v>-3.1797669706906125E-2</c:v>
                </c:pt>
                <c:pt idx="269">
                  <c:v>-2.8595438482825978E-2</c:v>
                </c:pt>
                <c:pt idx="270">
                  <c:v>-3.1666998300965137E-2</c:v>
                </c:pt>
                <c:pt idx="271">
                  <c:v>-3.2922812282345025E-2</c:v>
                </c:pt>
                <c:pt idx="272">
                  <c:v>-3.2726883518741923E-2</c:v>
                </c:pt>
                <c:pt idx="273">
                  <c:v>-3.3284061658687893E-2</c:v>
                </c:pt>
                <c:pt idx="274">
                  <c:v>-2.0174655191698376E-2</c:v>
                </c:pt>
                <c:pt idx="275">
                  <c:v>-2.5213757416412002E-2</c:v>
                </c:pt>
                <c:pt idx="276">
                  <c:v>-3.1628567582698219E-2</c:v>
                </c:pt>
                <c:pt idx="277">
                  <c:v>-3.7083580041187517E-2</c:v>
                </c:pt>
                <c:pt idx="278">
                  <c:v>-3.643390012863932E-2</c:v>
                </c:pt>
                <c:pt idx="279">
                  <c:v>-3.8812656897744914E-2</c:v>
                </c:pt>
                <c:pt idx="280">
                  <c:v>-3.6045763973181842E-2</c:v>
                </c:pt>
                <c:pt idx="281">
                  <c:v>-3.281087802654651E-2</c:v>
                </c:pt>
                <c:pt idx="282">
                  <c:v>-3.2109581414172736E-2</c:v>
                </c:pt>
                <c:pt idx="283">
                  <c:v>-3.3378317242849523E-2</c:v>
                </c:pt>
                <c:pt idx="284">
                  <c:v>-3.1461409086847934E-2</c:v>
                </c:pt>
                <c:pt idx="285">
                  <c:v>-2.9180855977175173E-2</c:v>
                </c:pt>
                <c:pt idx="286">
                  <c:v>-2.8700686365585946E-2</c:v>
                </c:pt>
                <c:pt idx="287">
                  <c:v>-2.8129481581030978E-2</c:v>
                </c:pt>
                <c:pt idx="288">
                  <c:v>-2.8529737788365938E-2</c:v>
                </c:pt>
                <c:pt idx="289">
                  <c:v>-2.9119652310917586E-2</c:v>
                </c:pt>
                <c:pt idx="290">
                  <c:v>-2.9298246252599497E-2</c:v>
                </c:pt>
                <c:pt idx="291">
                  <c:v>-2.9745751636673343E-2</c:v>
                </c:pt>
                <c:pt idx="292">
                  <c:v>-2.9880104003283784E-2</c:v>
                </c:pt>
                <c:pt idx="293">
                  <c:v>-2.9519440248897817E-2</c:v>
                </c:pt>
                <c:pt idx="294">
                  <c:v>-2.8872702436178323E-2</c:v>
                </c:pt>
                <c:pt idx="295">
                  <c:v>-3.0172823202294027E-2</c:v>
                </c:pt>
                <c:pt idx="296">
                  <c:v>-2.7048814328588657E-2</c:v>
                </c:pt>
                <c:pt idx="297">
                  <c:v>-2.8808393899358801E-2</c:v>
                </c:pt>
                <c:pt idx="298">
                  <c:v>-2.7726367096731777E-2</c:v>
                </c:pt>
                <c:pt idx="299">
                  <c:v>-2.9105175268116398E-2</c:v>
                </c:pt>
                <c:pt idx="300">
                  <c:v>-2.8862109950502396E-2</c:v>
                </c:pt>
                <c:pt idx="301">
                  <c:v>-2.9417322666790108E-2</c:v>
                </c:pt>
                <c:pt idx="302">
                  <c:v>-2.9829118617607835E-2</c:v>
                </c:pt>
                <c:pt idx="303">
                  <c:v>-2.8837663656098397E-2</c:v>
                </c:pt>
                <c:pt idx="304">
                  <c:v>-2.8714840111279973E-2</c:v>
                </c:pt>
                <c:pt idx="305">
                  <c:v>-2.8302019220301379E-2</c:v>
                </c:pt>
                <c:pt idx="306">
                  <c:v>-2.9018656337528505E-2</c:v>
                </c:pt>
                <c:pt idx="307">
                  <c:v>-2.8631842918190844E-2</c:v>
                </c:pt>
                <c:pt idx="308">
                  <c:v>-3.0589599933434596E-2</c:v>
                </c:pt>
                <c:pt idx="309">
                  <c:v>-2.9743226258285582E-2</c:v>
                </c:pt>
                <c:pt idx="310">
                  <c:v>-2.8056140313938643E-2</c:v>
                </c:pt>
                <c:pt idx="311">
                  <c:v>-2.6079213297729914E-2</c:v>
                </c:pt>
                <c:pt idx="312">
                  <c:v>-2.4705794868566285E-2</c:v>
                </c:pt>
                <c:pt idx="313">
                  <c:v>-2.5194155062775933E-2</c:v>
                </c:pt>
                <c:pt idx="314">
                  <c:v>-2.5784959493317196E-2</c:v>
                </c:pt>
                <c:pt idx="315">
                  <c:v>-2.4224663042931648E-2</c:v>
                </c:pt>
                <c:pt idx="316">
                  <c:v>-2.3050442213543906E-2</c:v>
                </c:pt>
                <c:pt idx="317">
                  <c:v>-2.1755296002920636E-2</c:v>
                </c:pt>
                <c:pt idx="318">
                  <c:v>-2.2628580099264453E-2</c:v>
                </c:pt>
                <c:pt idx="319">
                  <c:v>-2.1025722295013486E-2</c:v>
                </c:pt>
                <c:pt idx="320">
                  <c:v>-1.9611465108536837E-2</c:v>
                </c:pt>
                <c:pt idx="321">
                  <c:v>-1.6978393209834131E-2</c:v>
                </c:pt>
                <c:pt idx="322">
                  <c:v>-1.9554642881914368E-2</c:v>
                </c:pt>
                <c:pt idx="323">
                  <c:v>-1.6794522598167813E-2</c:v>
                </c:pt>
                <c:pt idx="324">
                  <c:v>-1.281568930429759E-2</c:v>
                </c:pt>
                <c:pt idx="325">
                  <c:v>-1.8940939573534134E-2</c:v>
                </c:pt>
                <c:pt idx="326">
                  <c:v>-1.2067492652315775E-2</c:v>
                </c:pt>
                <c:pt idx="327">
                  <c:v>-1.4733505592231992E-2</c:v>
                </c:pt>
                <c:pt idx="328">
                  <c:v>-1.6577421701522876E-2</c:v>
                </c:pt>
                <c:pt idx="329">
                  <c:v>-1.8473589088795008E-2</c:v>
                </c:pt>
                <c:pt idx="330">
                  <c:v>-1.7896616454068141E-2</c:v>
                </c:pt>
                <c:pt idx="331">
                  <c:v>-1.7733115751549299E-2</c:v>
                </c:pt>
                <c:pt idx="332">
                  <c:v>-1.7153798871184279E-2</c:v>
                </c:pt>
                <c:pt idx="333">
                  <c:v>-1.9139991216577106E-2</c:v>
                </c:pt>
                <c:pt idx="334">
                  <c:v>-1.9192310674651037E-2</c:v>
                </c:pt>
                <c:pt idx="335">
                  <c:v>-1.7794613142568843E-2</c:v>
                </c:pt>
                <c:pt idx="336">
                  <c:v>-1.6834239843341234E-2</c:v>
                </c:pt>
                <c:pt idx="337">
                  <c:v>-1.5697114184141232E-2</c:v>
                </c:pt>
                <c:pt idx="338">
                  <c:v>-1.434666273063474E-2</c:v>
                </c:pt>
                <c:pt idx="339">
                  <c:v>-1.3535389662634742E-2</c:v>
                </c:pt>
                <c:pt idx="340">
                  <c:v>-1.3542277118823083E-2</c:v>
                </c:pt>
                <c:pt idx="341">
                  <c:v>-1.3391726891892976E-2</c:v>
                </c:pt>
                <c:pt idx="342">
                  <c:v>-1.09714770078228E-2</c:v>
                </c:pt>
                <c:pt idx="343">
                  <c:v>-1.1450963851294684E-2</c:v>
                </c:pt>
                <c:pt idx="344">
                  <c:v>-8.3086105177715558E-3</c:v>
                </c:pt>
                <c:pt idx="345">
                  <c:v>-7.4893693666892034E-3</c:v>
                </c:pt>
                <c:pt idx="346">
                  <c:v>-6.0460825672155188E-3</c:v>
                </c:pt>
                <c:pt idx="347">
                  <c:v>-4.5143949980714221E-3</c:v>
                </c:pt>
                <c:pt idx="348">
                  <c:v>-3.9042132061427827E-3</c:v>
                </c:pt>
                <c:pt idx="349">
                  <c:v>-2.6367008623329404E-3</c:v>
                </c:pt>
                <c:pt idx="350">
                  <c:v>-5.6443695495720352E-3</c:v>
                </c:pt>
                <c:pt idx="351">
                  <c:v>-7.5444215100553061E-3</c:v>
                </c:pt>
                <c:pt idx="352">
                  <c:v>-9.2980931613009399E-3</c:v>
                </c:pt>
                <c:pt idx="353">
                  <c:v>-1.0476242905197044E-2</c:v>
                </c:pt>
                <c:pt idx="354">
                  <c:v>-1.0174866938530378E-2</c:v>
                </c:pt>
                <c:pt idx="355">
                  <c:v>-9.6796886155303755E-3</c:v>
                </c:pt>
                <c:pt idx="356">
                  <c:v>-8.1802027202726463E-3</c:v>
                </c:pt>
                <c:pt idx="357">
                  <c:v>-9.5143440305703458E-3</c:v>
                </c:pt>
                <c:pt idx="358">
                  <c:v>-1.0431154038150519E-2</c:v>
                </c:pt>
                <c:pt idx="359">
                  <c:v>-1.2646377319415893E-2</c:v>
                </c:pt>
                <c:pt idx="360">
                  <c:v>-1.2586039000244111E-2</c:v>
                </c:pt>
                <c:pt idx="361">
                  <c:v>-1.4942480405321366E-2</c:v>
                </c:pt>
                <c:pt idx="362">
                  <c:v>-1.4206005398855975E-2</c:v>
                </c:pt>
                <c:pt idx="363">
                  <c:v>-1.3360788643004912E-2</c:v>
                </c:pt>
                <c:pt idx="364">
                  <c:v>-1.2806950189747181E-2</c:v>
                </c:pt>
                <c:pt idx="365">
                  <c:v>-1.3958914432346713E-2</c:v>
                </c:pt>
                <c:pt idx="366">
                  <c:v>-1.328577079827264E-2</c:v>
                </c:pt>
                <c:pt idx="367">
                  <c:v>-1.1395768482312708E-2</c:v>
                </c:pt>
                <c:pt idx="368">
                  <c:v>-9.0778504362567305E-3</c:v>
                </c:pt>
                <c:pt idx="369">
                  <c:v>-1.070018393225673E-2</c:v>
                </c:pt>
                <c:pt idx="370">
                  <c:v>-1.0959634874893091E-2</c:v>
                </c:pt>
                <c:pt idx="371">
                  <c:v>-1.033689937622642E-2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F-41C2-8397-5A791FAC83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833168"/>
        <c:axId val="937833584"/>
      </c:lineChart>
      <c:dateAx>
        <c:axId val="9378331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833584"/>
        <c:crosses val="autoZero"/>
        <c:auto val="1"/>
        <c:lblOffset val="100"/>
        <c:baseTimeUnit val="days"/>
      </c:dateAx>
      <c:valAx>
        <c:axId val="93783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833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046CFDB-5ED0-45DC-BD83-71C28D0094FD}">
  <sheetPr/>
  <sheetViews>
    <sheetView zoomScale="9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7228" cy="607736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CD4008-7A0F-4765-99F9-D83E515BFC0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36.570999999999998</v>
      </c>
      <c r="D2" s="4">
        <f>MIN(D3:D1912)</f>
        <v>0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6.1</v>
      </c>
      <c r="C5">
        <v>6.35</v>
      </c>
      <c r="D5">
        <v>6.05</v>
      </c>
      <c r="E5">
        <v>6.05</v>
      </c>
      <c r="F5">
        <v>19334.53</v>
      </c>
      <c r="G5">
        <v>6.05</v>
      </c>
      <c r="L5" t="s">
        <v>7</v>
      </c>
      <c r="M5" t="s">
        <v>7</v>
      </c>
      <c r="N5" t="s">
        <v>7</v>
      </c>
      <c r="P5">
        <f t="shared" ref="P5" si="0">IF(C5=D5,0,((E5-D5)-(C5-E5))/(C5-D5))</f>
        <v>-1</v>
      </c>
      <c r="Q5">
        <f t="shared" ref="Q5" si="1">F5*P5</f>
        <v>-19334.53</v>
      </c>
      <c r="R5">
        <f t="shared" ref="R5" si="2">R6+Q5</f>
        <v>-79374137.545463502</v>
      </c>
      <c r="S5">
        <f t="shared" ref="S5" si="3">R5/100000</f>
        <v>-793.74137545463498</v>
      </c>
      <c r="T5">
        <f t="shared" ref="T5" si="4">S5/1000</f>
        <v>-0.79374137545463497</v>
      </c>
    </row>
    <row r="6" spans="1:20" x14ac:dyDescent="0.25">
      <c r="A6" s="5">
        <v>44587</v>
      </c>
      <c r="B6">
        <v>6.14</v>
      </c>
      <c r="C6">
        <v>7.39</v>
      </c>
      <c r="D6">
        <v>6.02</v>
      </c>
      <c r="E6">
        <v>6.13</v>
      </c>
      <c r="F6">
        <v>303339.90000000002</v>
      </c>
      <c r="G6">
        <v>6.13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-0.83941605839416011</v>
      </c>
      <c r="Q6">
        <f t="shared" ref="Q6" si="6">F6*P6</f>
        <v>-254628.38321167871</v>
      </c>
      <c r="R6">
        <f t="shared" ref="R6" si="7">R7+Q6</f>
        <v>-79354803.015463501</v>
      </c>
      <c r="S6">
        <f t="shared" ref="S6" si="8">R6/100000</f>
        <v>-793.54803015463506</v>
      </c>
      <c r="T6">
        <f t="shared" ref="T6" si="9">S6/1000</f>
        <v>-0.79354803015463504</v>
      </c>
    </row>
    <row r="7" spans="1:20" x14ac:dyDescent="0.25">
      <c r="A7" s="5">
        <v>44586</v>
      </c>
      <c r="B7">
        <v>6.16</v>
      </c>
      <c r="C7">
        <v>6.44</v>
      </c>
      <c r="D7">
        <v>5.92</v>
      </c>
      <c r="E7">
        <v>6.12</v>
      </c>
      <c r="F7">
        <v>152420.41</v>
      </c>
      <c r="G7">
        <v>6.12</v>
      </c>
      <c r="L7" t="s">
        <v>8</v>
      </c>
      <c r="M7" t="s">
        <v>7</v>
      </c>
      <c r="N7" t="s">
        <v>7</v>
      </c>
      <c r="P7">
        <f t="shared" ref="P7" si="10">IF(C7=D7,0,((E7-D7)-(C7-E7))/(C7-D7))</f>
        <v>-0.23076923076923078</v>
      </c>
      <c r="Q7">
        <f t="shared" ref="Q7" si="11">F7*P7</f>
        <v>-35173.940769230772</v>
      </c>
      <c r="R7">
        <f t="shared" ref="R7" si="12">R8+Q7</f>
        <v>-79100174.632251829</v>
      </c>
      <c r="S7">
        <f t="shared" ref="S7" si="13">R7/100000</f>
        <v>-791.00174632251833</v>
      </c>
      <c r="T7">
        <f t="shared" ref="T7" si="14">S7/1000</f>
        <v>-0.7910017463225183</v>
      </c>
    </row>
    <row r="8" spans="1:20" x14ac:dyDescent="0.25">
      <c r="A8" s="5">
        <v>44585</v>
      </c>
      <c r="B8">
        <v>6.52</v>
      </c>
      <c r="C8">
        <v>6.7</v>
      </c>
      <c r="D8">
        <v>5.53</v>
      </c>
      <c r="E8">
        <v>6.18</v>
      </c>
      <c r="F8">
        <v>385373.67</v>
      </c>
      <c r="G8">
        <v>6.18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0.11111111111111027</v>
      </c>
      <c r="Q8">
        <f t="shared" ref="Q8" si="16">F8*P8</f>
        <v>42819.296666666341</v>
      </c>
      <c r="R8">
        <f t="shared" ref="R8" si="17">R9+Q8</f>
        <v>-79065000.691482604</v>
      </c>
      <c r="S8">
        <f t="shared" ref="S8" si="18">R8/100000</f>
        <v>-790.65000691482601</v>
      </c>
      <c r="T8">
        <f t="shared" ref="T8" si="19">S8/1000</f>
        <v>-0.79065000691482601</v>
      </c>
    </row>
    <row r="9" spans="1:20" x14ac:dyDescent="0.25">
      <c r="A9" s="5">
        <v>44584</v>
      </c>
      <c r="B9">
        <v>6.09</v>
      </c>
      <c r="C9">
        <v>7</v>
      </c>
      <c r="D9">
        <v>6.06</v>
      </c>
      <c r="E9">
        <v>6.52</v>
      </c>
      <c r="F9">
        <v>241921.43</v>
      </c>
      <c r="G9">
        <v>6.52</v>
      </c>
      <c r="L9" t="s">
        <v>8</v>
      </c>
      <c r="M9" t="s">
        <v>8</v>
      </c>
      <c r="N9" t="s">
        <v>7</v>
      </c>
      <c r="P9">
        <f t="shared" ref="P9" si="20">IF(C9=D9,0,((E9-D9)-(C9-E9))/(C9-D9))</f>
        <v>-2.1276595744681333E-2</v>
      </c>
      <c r="Q9">
        <f t="shared" ref="Q9" si="21">F9*P9</f>
        <v>-5147.2644680852227</v>
      </c>
      <c r="R9">
        <f t="shared" ref="R9" si="22">R10+Q9</f>
        <v>-79107819.98814927</v>
      </c>
      <c r="S9">
        <f t="shared" ref="S9" si="23">R9/100000</f>
        <v>-791.07819988149265</v>
      </c>
      <c r="T9">
        <f t="shared" ref="T9" si="24">S9/1000</f>
        <v>-0.79107819988149264</v>
      </c>
    </row>
    <row r="10" spans="1:20" x14ac:dyDescent="0.25">
      <c r="A10" s="5">
        <v>44583</v>
      </c>
      <c r="B10">
        <v>6.73</v>
      </c>
      <c r="C10">
        <v>7.75</v>
      </c>
      <c r="D10">
        <v>5.68</v>
      </c>
      <c r="E10">
        <v>6.06</v>
      </c>
      <c r="F10">
        <v>671899.37</v>
      </c>
      <c r="G10">
        <v>6.06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-0.63285024154589387</v>
      </c>
      <c r="Q10">
        <f t="shared" ref="Q10" si="26">F10*P10</f>
        <v>-425211.67859903391</v>
      </c>
      <c r="R10">
        <f t="shared" ref="R10" si="27">R11+Q10</f>
        <v>-79102672.723681182</v>
      </c>
      <c r="S10">
        <f t="shared" ref="S10" si="28">R10/100000</f>
        <v>-791.02672723681178</v>
      </c>
      <c r="T10">
        <f t="shared" ref="T10" si="29">S10/1000</f>
        <v>-0.79102672723681178</v>
      </c>
    </row>
    <row r="11" spans="1:20" x14ac:dyDescent="0.25">
      <c r="A11" s="5">
        <v>44582</v>
      </c>
      <c r="B11">
        <v>7.95</v>
      </c>
      <c r="C11">
        <v>8.4700000000000006</v>
      </c>
      <c r="D11">
        <v>6.54</v>
      </c>
      <c r="E11">
        <v>6.72</v>
      </c>
      <c r="F11">
        <v>255315.83</v>
      </c>
      <c r="G11">
        <v>6.72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-0.81347150259067391</v>
      </c>
      <c r="Q11">
        <f t="shared" ref="Q11" si="31">F11*P11</f>
        <v>-207692.15186528504</v>
      </c>
      <c r="R11">
        <f t="shared" ref="R11" si="32">R12+Q11</f>
        <v>-78677461.045082152</v>
      </c>
      <c r="S11">
        <f t="shared" ref="S11" si="33">R11/100000</f>
        <v>-786.77461045082157</v>
      </c>
      <c r="T11">
        <f t="shared" ref="T11" si="34">S11/1000</f>
        <v>-0.78677461045082153</v>
      </c>
    </row>
    <row r="12" spans="1:20" x14ac:dyDescent="0.25">
      <c r="A12" s="5">
        <v>44581</v>
      </c>
      <c r="B12">
        <v>8.33</v>
      </c>
      <c r="C12">
        <v>8.74</v>
      </c>
      <c r="D12">
        <v>7.96</v>
      </c>
      <c r="E12">
        <v>7.97</v>
      </c>
      <c r="F12">
        <v>93719.55</v>
      </c>
      <c r="G12">
        <v>7.97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-0.97435897435897489</v>
      </c>
      <c r="Q12">
        <f t="shared" ref="Q12" si="36">F12*P12</f>
        <v>-91316.484615384674</v>
      </c>
      <c r="R12">
        <f t="shared" ref="R12" si="37">R13+Q12</f>
        <v>-78469768.893216863</v>
      </c>
      <c r="S12">
        <f t="shared" ref="S12" si="38">R12/100000</f>
        <v>-784.6976889321686</v>
      </c>
      <c r="T12">
        <f t="shared" ref="T12" si="39">S12/1000</f>
        <v>-0.78469768893216862</v>
      </c>
    </row>
    <row r="13" spans="1:20" x14ac:dyDescent="0.25">
      <c r="A13" s="5">
        <v>44580</v>
      </c>
      <c r="B13">
        <v>8.77</v>
      </c>
      <c r="C13">
        <v>8.81</v>
      </c>
      <c r="D13">
        <v>8.1999999999999993</v>
      </c>
      <c r="E13">
        <v>8.35</v>
      </c>
      <c r="F13">
        <v>57474.36</v>
      </c>
      <c r="G13">
        <v>8.35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-0.5081967213114752</v>
      </c>
      <c r="Q13">
        <f t="shared" ref="Q13" si="41">F13*P13</f>
        <v>-29208.281311475399</v>
      </c>
      <c r="R13">
        <f t="shared" ref="R13" si="42">R14+Q13</f>
        <v>-78378452.408601478</v>
      </c>
      <c r="S13">
        <f t="shared" ref="S13" si="43">R13/100000</f>
        <v>-783.78452408601481</v>
      </c>
      <c r="T13">
        <f t="shared" ref="T13" si="44">S13/1000</f>
        <v>-0.78378452408601484</v>
      </c>
    </row>
    <row r="14" spans="1:20" x14ac:dyDescent="0.25">
      <c r="A14" s="5">
        <v>44579</v>
      </c>
      <c r="B14">
        <v>9.3800000000000008</v>
      </c>
      <c r="C14">
        <v>9.5</v>
      </c>
      <c r="D14">
        <v>8.5500000000000007</v>
      </c>
      <c r="E14">
        <v>8.7899999999999991</v>
      </c>
      <c r="F14">
        <v>101705.33</v>
      </c>
      <c r="G14">
        <v>8.7899999999999991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-0.49473684210526608</v>
      </c>
      <c r="Q14">
        <f t="shared" ref="Q14" si="46">F14*P14</f>
        <v>-50317.373789473982</v>
      </c>
      <c r="R14">
        <f t="shared" ref="R14" si="47">R15+Q14</f>
        <v>-78349244.127289996</v>
      </c>
      <c r="S14">
        <f t="shared" ref="S14" si="48">R14/100000</f>
        <v>-783.49244127290001</v>
      </c>
      <c r="T14">
        <f t="shared" ref="T14" si="49">S14/1000</f>
        <v>-0.78349244127289996</v>
      </c>
    </row>
    <row r="15" spans="1:20" x14ac:dyDescent="0.25">
      <c r="A15" s="5">
        <v>44578</v>
      </c>
      <c r="B15">
        <v>9.7100000000000009</v>
      </c>
      <c r="C15">
        <v>9.84</v>
      </c>
      <c r="D15">
        <v>9.2100000000000009</v>
      </c>
      <c r="E15">
        <v>9.3800000000000008</v>
      </c>
      <c r="F15">
        <v>56443.02</v>
      </c>
      <c r="G15">
        <v>9.3800000000000008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-0.46031746031745968</v>
      </c>
      <c r="Q15">
        <f t="shared" ref="Q15" si="51">F15*P15</f>
        <v>-25981.707619047582</v>
      </c>
      <c r="R15">
        <f t="shared" ref="R15" si="52">R16+Q15</f>
        <v>-78298926.753500521</v>
      </c>
      <c r="S15">
        <f t="shared" ref="S15" si="53">R15/100000</f>
        <v>-782.98926753500518</v>
      </c>
      <c r="T15">
        <f t="shared" ref="T15" si="54">S15/1000</f>
        <v>-0.7829892675350052</v>
      </c>
    </row>
    <row r="16" spans="1:20" x14ac:dyDescent="0.25">
      <c r="A16" s="5">
        <v>44577</v>
      </c>
      <c r="B16">
        <v>9.81</v>
      </c>
      <c r="C16">
        <v>9.99</v>
      </c>
      <c r="D16">
        <v>9.66</v>
      </c>
      <c r="E16">
        <v>9.7100000000000009</v>
      </c>
      <c r="F16">
        <v>44906.61</v>
      </c>
      <c r="G16">
        <v>9.7100000000000009</v>
      </c>
      <c r="L16" t="s">
        <v>8</v>
      </c>
      <c r="M16" t="s">
        <v>7</v>
      </c>
      <c r="N16" t="s">
        <v>7</v>
      </c>
      <c r="P16">
        <f t="shared" ref="P16" si="55">IF(C16=D16,0,((E16-D16)-(C16-E16))/(C16-D16))</f>
        <v>-0.69696969696969269</v>
      </c>
      <c r="Q16">
        <f t="shared" ref="Q16" si="56">F16*P16</f>
        <v>-31298.546363636171</v>
      </c>
      <c r="R16">
        <f t="shared" ref="R16" si="57">R17+Q16</f>
        <v>-78272945.04588148</v>
      </c>
      <c r="S16">
        <f t="shared" ref="S16" si="58">R16/100000</f>
        <v>-782.72945045881477</v>
      </c>
      <c r="T16">
        <f t="shared" ref="T16" si="59">S16/1000</f>
        <v>-0.78272945045881481</v>
      </c>
    </row>
    <row r="17" spans="1:20" x14ac:dyDescent="0.25">
      <c r="A17" s="5">
        <v>44576</v>
      </c>
      <c r="B17">
        <v>9.83</v>
      </c>
      <c r="C17">
        <v>10.17</v>
      </c>
      <c r="D17">
        <v>9.61</v>
      </c>
      <c r="E17">
        <v>9.81</v>
      </c>
      <c r="F17">
        <v>78307.86</v>
      </c>
      <c r="G17">
        <v>9.81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-0.28571428571428253</v>
      </c>
      <c r="Q17">
        <f t="shared" ref="Q17" si="61">F17*P17</f>
        <v>-22373.674285714038</v>
      </c>
      <c r="R17">
        <f t="shared" ref="R17" si="62">R18+Q17</f>
        <v>-78241646.499517843</v>
      </c>
      <c r="S17">
        <f t="shared" ref="S17" si="63">R17/100000</f>
        <v>-782.41646499517844</v>
      </c>
      <c r="T17">
        <f t="shared" ref="T17" si="64">S17/1000</f>
        <v>-0.78241646499517847</v>
      </c>
    </row>
    <row r="18" spans="1:20" x14ac:dyDescent="0.25">
      <c r="A18" s="5">
        <v>44575</v>
      </c>
      <c r="B18">
        <v>9.59</v>
      </c>
      <c r="C18">
        <v>10.029999999999999</v>
      </c>
      <c r="D18">
        <v>9.4</v>
      </c>
      <c r="E18">
        <v>9.84</v>
      </c>
      <c r="F18">
        <v>66360.19</v>
      </c>
      <c r="G18">
        <v>9.84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0.39682539682539747</v>
      </c>
      <c r="Q18">
        <f t="shared" ref="Q18" si="66">F18*P18</f>
        <v>26333.408730158775</v>
      </c>
      <c r="R18">
        <f t="shared" ref="R18" si="67">R19+Q18</f>
        <v>-78219272.825232133</v>
      </c>
      <c r="S18">
        <f t="shared" ref="S18" si="68">R18/100000</f>
        <v>-782.19272825232133</v>
      </c>
      <c r="T18">
        <f t="shared" ref="T18" si="69">S18/1000</f>
        <v>-0.78219272825232133</v>
      </c>
    </row>
    <row r="19" spans="1:20" x14ac:dyDescent="0.25">
      <c r="A19" s="5">
        <v>44574</v>
      </c>
      <c r="B19">
        <v>10.06</v>
      </c>
      <c r="C19">
        <v>10.25</v>
      </c>
      <c r="D19">
        <v>9.58</v>
      </c>
      <c r="E19">
        <v>9.58</v>
      </c>
      <c r="F19">
        <v>77098.28</v>
      </c>
      <c r="G19">
        <v>9.58</v>
      </c>
      <c r="L19" t="s">
        <v>7</v>
      </c>
      <c r="M19" t="s">
        <v>7</v>
      </c>
      <c r="N19" t="s">
        <v>7</v>
      </c>
      <c r="P19">
        <f t="shared" ref="P19" si="70">IF(C19=D19,0,((E19-D19)-(C19-E19))/(C19-D19))</f>
        <v>-1</v>
      </c>
      <c r="Q19">
        <f t="shared" ref="Q19" si="71">F19*P19</f>
        <v>-77098.28</v>
      </c>
      <c r="R19">
        <f t="shared" ref="R19" si="72">R20+Q19</f>
        <v>-78245606.233962297</v>
      </c>
      <c r="S19">
        <f t="shared" ref="S19" si="73">R19/100000</f>
        <v>-782.45606233962303</v>
      </c>
      <c r="T19">
        <f t="shared" ref="T19" si="74">S19/1000</f>
        <v>-0.78245606233962306</v>
      </c>
    </row>
    <row r="20" spans="1:20" x14ac:dyDescent="0.25">
      <c r="A20" s="5">
        <v>44573</v>
      </c>
      <c r="B20">
        <v>9.73</v>
      </c>
      <c r="C20">
        <v>10.5</v>
      </c>
      <c r="D20">
        <v>9.6199999999999992</v>
      </c>
      <c r="E20">
        <v>10.07</v>
      </c>
      <c r="F20">
        <v>153694.32</v>
      </c>
      <c r="G20">
        <v>10.07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2.2727272727274241E-2</v>
      </c>
      <c r="Q20">
        <f t="shared" ref="Q20" si="76">F20*P20</f>
        <v>3493.0527272729601</v>
      </c>
      <c r="R20">
        <f t="shared" ref="R20" si="77">R21+Q20</f>
        <v>-78168507.953962296</v>
      </c>
      <c r="S20">
        <f t="shared" ref="S20" si="78">R20/100000</f>
        <v>-781.68507953962296</v>
      </c>
      <c r="T20">
        <f t="shared" ref="T20" si="79">S20/1000</f>
        <v>-0.78168507953962296</v>
      </c>
    </row>
    <row r="21" spans="1:20" x14ac:dyDescent="0.25">
      <c r="A21" s="5">
        <v>44572</v>
      </c>
      <c r="B21">
        <v>9.5</v>
      </c>
      <c r="C21">
        <v>9.9</v>
      </c>
      <c r="D21">
        <v>9.09</v>
      </c>
      <c r="E21">
        <v>9.73</v>
      </c>
      <c r="F21">
        <v>115158.17</v>
      </c>
      <c r="G21">
        <v>9.73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0.58024691358024738</v>
      </c>
      <c r="Q21">
        <f t="shared" ref="Q21" si="81">F21*P21</f>
        <v>66820.172716049434</v>
      </c>
      <c r="R21">
        <f t="shared" ref="R21" si="82">R22+Q21</f>
        <v>-78172001.006689563</v>
      </c>
      <c r="S21">
        <f t="shared" ref="S21" si="83">R21/100000</f>
        <v>-781.72001006689561</v>
      </c>
      <c r="T21">
        <f t="shared" ref="T21" si="84">S21/1000</f>
        <v>-0.78172001006689562</v>
      </c>
    </row>
    <row r="22" spans="1:20" x14ac:dyDescent="0.25">
      <c r="A22" s="5">
        <v>44571</v>
      </c>
      <c r="B22">
        <v>10</v>
      </c>
      <c r="C22">
        <v>10.7</v>
      </c>
      <c r="D22">
        <v>9.02</v>
      </c>
      <c r="E22">
        <v>9.5</v>
      </c>
      <c r="F22">
        <v>220096.03</v>
      </c>
      <c r="G22">
        <v>9.5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-0.42857142857142799</v>
      </c>
      <c r="Q22">
        <f t="shared" ref="Q22" si="86">F22*P22</f>
        <v>-94326.869999999879</v>
      </c>
      <c r="R22">
        <f t="shared" ref="R22" si="87">R23+Q22</f>
        <v>-78238821.179405615</v>
      </c>
      <c r="S22">
        <f t="shared" ref="S22" si="88">R22/100000</f>
        <v>-782.38821179405613</v>
      </c>
      <c r="T22">
        <f t="shared" ref="T22" si="89">S22/1000</f>
        <v>-0.78238821179405615</v>
      </c>
    </row>
    <row r="23" spans="1:20" x14ac:dyDescent="0.25">
      <c r="A23" s="5">
        <v>44570</v>
      </c>
      <c r="B23">
        <v>9.48</v>
      </c>
      <c r="C23">
        <v>11</v>
      </c>
      <c r="D23">
        <v>9.31</v>
      </c>
      <c r="E23">
        <v>10.01</v>
      </c>
      <c r="F23">
        <v>465302.28</v>
      </c>
      <c r="G23">
        <v>10.01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-0.17159763313609527</v>
      </c>
      <c r="Q23">
        <f t="shared" ref="Q23" si="91">F23*P23</f>
        <v>-79844.769940828686</v>
      </c>
      <c r="R23">
        <f t="shared" ref="R23" si="92">R24+Q23</f>
        <v>-78144494.30940561</v>
      </c>
      <c r="S23">
        <f t="shared" ref="S23" si="93">R23/100000</f>
        <v>-781.44494309405604</v>
      </c>
      <c r="T23">
        <f t="shared" ref="T23" si="94">S23/1000</f>
        <v>-0.78144494309405599</v>
      </c>
    </row>
    <row r="24" spans="1:20" x14ac:dyDescent="0.25">
      <c r="A24" s="5">
        <v>44569</v>
      </c>
      <c r="B24">
        <v>9.27</v>
      </c>
      <c r="C24">
        <v>11.88</v>
      </c>
      <c r="D24">
        <v>9.19</v>
      </c>
      <c r="E24">
        <v>9.4700000000000006</v>
      </c>
      <c r="F24">
        <v>646770.07999999996</v>
      </c>
      <c r="G24">
        <v>9.4700000000000006</v>
      </c>
      <c r="L24" t="s">
        <v>8</v>
      </c>
      <c r="M24" t="s">
        <v>8</v>
      </c>
      <c r="N24" t="s">
        <v>7</v>
      </c>
      <c r="P24">
        <f t="shared" ref="P24" si="95">IF(C24=D24,0,((E24-D24)-(C24-E24))/(C24-D24))</f>
        <v>-0.79182156133828918</v>
      </c>
      <c r="Q24">
        <f t="shared" ref="Q24" si="96">F24*P24</f>
        <v>-512126.49457249016</v>
      </c>
      <c r="R24">
        <f t="shared" ref="R24" si="97">R25+Q24</f>
        <v>-78064649.539464787</v>
      </c>
      <c r="S24">
        <f t="shared" ref="S24" si="98">R24/100000</f>
        <v>-780.6464953946479</v>
      </c>
      <c r="T24">
        <f t="shared" ref="T24" si="99">S24/1000</f>
        <v>-0.78064649539464792</v>
      </c>
    </row>
    <row r="25" spans="1:20" x14ac:dyDescent="0.25">
      <c r="A25" s="5">
        <v>44568</v>
      </c>
      <c r="B25">
        <v>10.32</v>
      </c>
      <c r="C25">
        <v>10.36</v>
      </c>
      <c r="D25">
        <v>9.1</v>
      </c>
      <c r="E25">
        <v>9.26</v>
      </c>
      <c r="F25">
        <v>115146.77</v>
      </c>
      <c r="G25">
        <v>9.26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-0.74603174603174571</v>
      </c>
      <c r="Q25">
        <f t="shared" ref="Q25" si="101">F25*P25</f>
        <v>-85903.145873015834</v>
      </c>
      <c r="R25">
        <f t="shared" ref="R25" si="102">R26+Q25</f>
        <v>-77552523.044892296</v>
      </c>
      <c r="S25">
        <f t="shared" ref="S25" si="103">R25/100000</f>
        <v>-775.52523044892291</v>
      </c>
      <c r="T25">
        <f t="shared" ref="T25" si="104">S25/1000</f>
        <v>-0.77552523044892296</v>
      </c>
    </row>
    <row r="26" spans="1:20" x14ac:dyDescent="0.25">
      <c r="A26" s="5">
        <v>44567</v>
      </c>
      <c r="B26">
        <v>10.74</v>
      </c>
      <c r="C26">
        <v>10.97</v>
      </c>
      <c r="D26">
        <v>9.93</v>
      </c>
      <c r="E26">
        <v>10.32</v>
      </c>
      <c r="F26">
        <v>132434.64000000001</v>
      </c>
      <c r="G26">
        <v>10.32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-0.24999999999999958</v>
      </c>
      <c r="Q26">
        <f t="shared" ref="Q26" si="106">F26*P26</f>
        <v>-33108.659999999945</v>
      </c>
      <c r="R26">
        <f t="shared" ref="R26" si="107">R27+Q26</f>
        <v>-77466619.899019286</v>
      </c>
      <c r="S26">
        <f t="shared" ref="S26" si="108">R26/100000</f>
        <v>-774.66619899019281</v>
      </c>
      <c r="T26">
        <f t="shared" ref="T26" si="109">S26/1000</f>
        <v>-0.77466619899019284</v>
      </c>
    </row>
    <row r="27" spans="1:20" x14ac:dyDescent="0.25">
      <c r="A27" s="5">
        <v>44566</v>
      </c>
      <c r="B27">
        <v>11.51</v>
      </c>
      <c r="C27">
        <v>11.7</v>
      </c>
      <c r="D27">
        <v>10.49</v>
      </c>
      <c r="E27">
        <v>10.74</v>
      </c>
      <c r="F27">
        <v>110802.83</v>
      </c>
      <c r="G27">
        <v>10.74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-0.58677685950413194</v>
      </c>
      <c r="Q27">
        <f t="shared" ref="Q27" si="111">F27*P27</f>
        <v>-65016.53661157022</v>
      </c>
      <c r="R27">
        <f t="shared" ref="R27" si="112">R28+Q27</f>
        <v>-77433511.23901929</v>
      </c>
      <c r="S27">
        <f t="shared" ref="S27" si="113">R27/100000</f>
        <v>-774.33511239019288</v>
      </c>
      <c r="T27">
        <f t="shared" ref="T27" si="114">S27/1000</f>
        <v>-0.77433511239019293</v>
      </c>
    </row>
    <row r="28" spans="1:20" x14ac:dyDescent="0.25">
      <c r="A28" s="5">
        <v>44565</v>
      </c>
      <c r="B28">
        <v>11.56</v>
      </c>
      <c r="C28">
        <v>11.91</v>
      </c>
      <c r="D28">
        <v>11.49</v>
      </c>
      <c r="E28">
        <v>11.51</v>
      </c>
      <c r="F28">
        <v>89957.61</v>
      </c>
      <c r="G28">
        <v>11.51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-0.90476190476190677</v>
      </c>
      <c r="Q28">
        <f t="shared" ref="Q28" si="116">F28*P28</f>
        <v>-81390.218571428748</v>
      </c>
      <c r="R28">
        <f t="shared" ref="R28" si="117">R29+Q28</f>
        <v>-77368494.702407718</v>
      </c>
      <c r="S28">
        <f t="shared" ref="S28" si="118">R28/100000</f>
        <v>-773.68494702407713</v>
      </c>
      <c r="T28">
        <f t="shared" ref="T28" si="119">S28/1000</f>
        <v>-0.77368494702407709</v>
      </c>
    </row>
    <row r="29" spans="1:20" x14ac:dyDescent="0.25">
      <c r="A29" s="5">
        <v>44564</v>
      </c>
      <c r="B29">
        <v>11.73</v>
      </c>
      <c r="C29">
        <v>11.89</v>
      </c>
      <c r="D29">
        <v>11.46</v>
      </c>
      <c r="E29">
        <v>11.56</v>
      </c>
      <c r="F29">
        <v>108270.17</v>
      </c>
      <c r="G29">
        <v>11.56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-0.53488372093023395</v>
      </c>
      <c r="Q29">
        <f t="shared" ref="Q29" si="121">F29*P29</f>
        <v>-57911.951395348988</v>
      </c>
      <c r="R29">
        <f t="shared" ref="R29" si="122">R30+Q29</f>
        <v>-77287104.483836293</v>
      </c>
      <c r="S29">
        <f t="shared" ref="S29" si="123">R29/100000</f>
        <v>-772.87104483836288</v>
      </c>
      <c r="T29">
        <f t="shared" ref="T29" si="124">S29/1000</f>
        <v>-0.77287104483836289</v>
      </c>
    </row>
    <row r="30" spans="1:20" x14ac:dyDescent="0.25">
      <c r="A30" s="5">
        <v>44563</v>
      </c>
      <c r="B30">
        <v>11.77</v>
      </c>
      <c r="C30">
        <v>12.15</v>
      </c>
      <c r="D30">
        <v>11.59</v>
      </c>
      <c r="E30">
        <v>11.71</v>
      </c>
      <c r="F30">
        <v>139455.16</v>
      </c>
      <c r="G30">
        <v>11.71</v>
      </c>
      <c r="L30" t="s">
        <v>7</v>
      </c>
      <c r="M30" t="s">
        <v>7</v>
      </c>
      <c r="N30" t="s">
        <v>7</v>
      </c>
      <c r="P30">
        <f t="shared" ref="P30" si="125">IF(C30=D30,0,((E30-D30)-(C30-E30))/(C30-D30))</f>
        <v>-0.57142857142856829</v>
      </c>
      <c r="Q30">
        <f t="shared" ref="Q30" si="126">F30*P30</f>
        <v>-79688.662857142423</v>
      </c>
      <c r="R30">
        <f t="shared" ref="R30" si="127">R31+Q30</f>
        <v>-77229192.532440946</v>
      </c>
      <c r="S30">
        <f t="shared" ref="S30" si="128">R30/100000</f>
        <v>-772.29192532440948</v>
      </c>
      <c r="T30">
        <f t="shared" ref="T30" si="129">S30/1000</f>
        <v>-0.77229192532440949</v>
      </c>
    </row>
    <row r="31" spans="1:20" x14ac:dyDescent="0.25">
      <c r="A31" s="5">
        <v>44562</v>
      </c>
      <c r="B31">
        <v>11.79</v>
      </c>
      <c r="C31">
        <v>12.12</v>
      </c>
      <c r="D31">
        <v>11.48</v>
      </c>
      <c r="E31">
        <v>11.76</v>
      </c>
      <c r="F31">
        <v>129209.47</v>
      </c>
      <c r="G31">
        <v>11.76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-0.12500000000000033</v>
      </c>
      <c r="Q31">
        <f t="shared" ref="Q31" si="131">F31*P31</f>
        <v>-16151.183750000044</v>
      </c>
      <c r="R31">
        <f t="shared" ref="R31" si="132">R32+Q31</f>
        <v>-77149503.8695838</v>
      </c>
      <c r="S31">
        <f t="shared" ref="S31" si="133">R31/100000</f>
        <v>-771.49503869583805</v>
      </c>
      <c r="T31">
        <f t="shared" ref="T31" si="134">S31/1000</f>
        <v>-0.77149503869583802</v>
      </c>
    </row>
    <row r="32" spans="1:20" x14ac:dyDescent="0.25">
      <c r="A32" s="5">
        <v>44561</v>
      </c>
      <c r="B32">
        <v>12.06</v>
      </c>
      <c r="C32">
        <v>12.26</v>
      </c>
      <c r="D32">
        <v>11.61</v>
      </c>
      <c r="E32">
        <v>11.78</v>
      </c>
      <c r="F32">
        <v>63657.2</v>
      </c>
      <c r="G32">
        <v>11.78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-0.47692307692307745</v>
      </c>
      <c r="Q32">
        <f t="shared" ref="Q32" si="136">F32*P32</f>
        <v>-30359.587692307723</v>
      </c>
      <c r="R32">
        <f t="shared" ref="R32" si="137">R33+Q32</f>
        <v>-77133352.685833797</v>
      </c>
      <c r="S32">
        <f t="shared" ref="S32" si="138">R32/100000</f>
        <v>-771.33352685833802</v>
      </c>
      <c r="T32">
        <f t="shared" ref="T32" si="139">S32/1000</f>
        <v>-0.771333526858338</v>
      </c>
    </row>
    <row r="33" spans="1:20" x14ac:dyDescent="0.25">
      <c r="A33" s="5">
        <v>44560</v>
      </c>
      <c r="B33">
        <v>11.58</v>
      </c>
      <c r="C33">
        <v>12.4</v>
      </c>
      <c r="D33">
        <v>11.48</v>
      </c>
      <c r="E33">
        <v>12.04</v>
      </c>
      <c r="F33">
        <v>84672.52</v>
      </c>
      <c r="G33">
        <v>12.04</v>
      </c>
      <c r="L33" t="s">
        <v>8</v>
      </c>
      <c r="M33" t="s">
        <v>7</v>
      </c>
      <c r="N33" t="s">
        <v>7</v>
      </c>
      <c r="P33">
        <f t="shared" ref="P33" si="140">IF(C33=D33,0,((E33-D33)-(C33-E33))/(C33-D33))</f>
        <v>0.21739130434782339</v>
      </c>
      <c r="Q33">
        <f t="shared" ref="Q33" si="141">F33*P33</f>
        <v>18407.069565217163</v>
      </c>
      <c r="R33">
        <f t="shared" ref="R33" si="142">R34+Q33</f>
        <v>-77102993.098141491</v>
      </c>
      <c r="S33">
        <f t="shared" ref="S33" si="143">R33/100000</f>
        <v>-771.02993098141496</v>
      </c>
      <c r="T33">
        <f t="shared" ref="T33" si="144">S33/1000</f>
        <v>-0.77102993098141492</v>
      </c>
    </row>
    <row r="34" spans="1:20" x14ac:dyDescent="0.25">
      <c r="A34" s="5">
        <v>44559</v>
      </c>
      <c r="B34">
        <v>12.09</v>
      </c>
      <c r="C34">
        <v>12.4</v>
      </c>
      <c r="D34">
        <v>11.3</v>
      </c>
      <c r="E34">
        <v>11.58</v>
      </c>
      <c r="F34">
        <v>114194.06</v>
      </c>
      <c r="G34">
        <v>11.58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-0.49090909090909191</v>
      </c>
      <c r="Q34">
        <f t="shared" ref="Q34" si="146">F34*P34</f>
        <v>-56058.902181818296</v>
      </c>
      <c r="R34">
        <f t="shared" ref="R34" si="147">R35+Q34</f>
        <v>-77121400.167706713</v>
      </c>
      <c r="S34">
        <f t="shared" ref="S34" si="148">R34/100000</f>
        <v>-771.21400167706713</v>
      </c>
      <c r="T34">
        <f t="shared" ref="T34" si="149">S34/1000</f>
        <v>-0.77121400167706711</v>
      </c>
    </row>
    <row r="35" spans="1:20" x14ac:dyDescent="0.25">
      <c r="A35" s="5">
        <v>44558</v>
      </c>
      <c r="B35">
        <v>13.06</v>
      </c>
      <c r="C35">
        <v>13.59</v>
      </c>
      <c r="D35">
        <v>12.02</v>
      </c>
      <c r="E35">
        <v>12.05</v>
      </c>
      <c r="F35">
        <v>269199.55</v>
      </c>
      <c r="G35">
        <v>12.05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-0.96178343949044443</v>
      </c>
      <c r="Q35">
        <f t="shared" ref="Q35" si="151">F35*P35</f>
        <v>-258911.66910827986</v>
      </c>
      <c r="R35">
        <f t="shared" ref="R35" si="152">R36+Q35</f>
        <v>-77065341.265524894</v>
      </c>
      <c r="S35">
        <f t="shared" ref="S35" si="153">R35/100000</f>
        <v>-770.65341265524899</v>
      </c>
      <c r="T35">
        <f t="shared" ref="T35" si="154">S35/1000</f>
        <v>-0.770653412655249</v>
      </c>
    </row>
    <row r="36" spans="1:20" x14ac:dyDescent="0.25">
      <c r="A36" s="5">
        <v>44557</v>
      </c>
      <c r="B36">
        <v>12.67</v>
      </c>
      <c r="C36">
        <v>14.95</v>
      </c>
      <c r="D36">
        <v>12.59</v>
      </c>
      <c r="E36">
        <v>13.03</v>
      </c>
      <c r="F36">
        <v>630293.51</v>
      </c>
      <c r="G36">
        <v>13.03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-0.62711864406779694</v>
      </c>
      <c r="Q36">
        <f t="shared" ref="Q36" si="156">F36*P36</f>
        <v>-395268.81135593244</v>
      </c>
      <c r="R36">
        <f t="shared" ref="R36" si="157">R37+Q36</f>
        <v>-76806429.596416607</v>
      </c>
      <c r="S36">
        <f t="shared" ref="S36" si="158">R36/100000</f>
        <v>-768.06429596416604</v>
      </c>
      <c r="T36">
        <f t="shared" ref="T36" si="159">S36/1000</f>
        <v>-0.76806429596416603</v>
      </c>
    </row>
    <row r="37" spans="1:20" x14ac:dyDescent="0.25">
      <c r="A37" s="5">
        <v>44556</v>
      </c>
      <c r="B37">
        <v>12.55</v>
      </c>
      <c r="C37">
        <v>12.81</v>
      </c>
      <c r="D37">
        <v>12.33</v>
      </c>
      <c r="E37">
        <v>12.67</v>
      </c>
      <c r="F37">
        <v>92766.03</v>
      </c>
      <c r="G37">
        <v>12.67</v>
      </c>
      <c r="L37" t="s">
        <v>8</v>
      </c>
      <c r="M37" t="s">
        <v>7</v>
      </c>
      <c r="N37" t="s">
        <v>7</v>
      </c>
      <c r="P37">
        <f t="shared" ref="P37" si="160">IF(C37=D37,0,((E37-D37)-(C37-E37))/(C37-D37))</f>
        <v>0.4166666666666648</v>
      </c>
      <c r="Q37">
        <f t="shared" ref="Q37" si="161">F37*P37</f>
        <v>38652.51249999983</v>
      </c>
      <c r="R37">
        <f t="shared" ref="R37" si="162">R38+Q37</f>
        <v>-76411160.785060674</v>
      </c>
      <c r="S37">
        <f t="shared" ref="S37" si="163">R37/100000</f>
        <v>-764.11160785060679</v>
      </c>
      <c r="T37">
        <f t="shared" ref="T37" si="164">S37/1000</f>
        <v>-0.76411160785060683</v>
      </c>
    </row>
    <row r="38" spans="1:20" x14ac:dyDescent="0.25">
      <c r="A38" s="5">
        <v>44555</v>
      </c>
      <c r="B38">
        <v>12.35</v>
      </c>
      <c r="C38">
        <v>12.86</v>
      </c>
      <c r="D38">
        <v>12.32</v>
      </c>
      <c r="E38">
        <v>12.57</v>
      </c>
      <c r="F38">
        <v>128247.07</v>
      </c>
      <c r="G38">
        <v>12.57</v>
      </c>
      <c r="L38" t="s">
        <v>8</v>
      </c>
      <c r="M38" t="s">
        <v>7</v>
      </c>
      <c r="N38" t="s">
        <v>7</v>
      </c>
      <c r="P38">
        <f t="shared" ref="P38" si="165">IF(C38=D38,0,((E38-D38)-(C38-E38))/(C38-D38))</f>
        <v>-7.4074074074072613E-2</v>
      </c>
      <c r="Q38">
        <f t="shared" ref="Q38" si="166">F38*P38</f>
        <v>-9499.7829629627759</v>
      </c>
      <c r="R38">
        <f t="shared" ref="R38" si="167">R39+Q38</f>
        <v>-76449813.297560677</v>
      </c>
      <c r="S38">
        <f t="shared" ref="S38" si="168">R38/100000</f>
        <v>-764.49813297560672</v>
      </c>
      <c r="T38">
        <f t="shared" ref="T38" si="169">S38/1000</f>
        <v>-0.76449813297560676</v>
      </c>
    </row>
    <row r="39" spans="1:20" x14ac:dyDescent="0.25">
      <c r="A39" s="5">
        <v>44554</v>
      </c>
      <c r="B39">
        <v>12.52</v>
      </c>
      <c r="C39">
        <v>12.92</v>
      </c>
      <c r="D39">
        <v>12.3</v>
      </c>
      <c r="E39">
        <v>12.34</v>
      </c>
      <c r="F39">
        <v>154588.22</v>
      </c>
      <c r="G39">
        <v>12.34</v>
      </c>
      <c r="L39" t="s">
        <v>8</v>
      </c>
      <c r="M39" t="s">
        <v>7</v>
      </c>
      <c r="N39" t="s">
        <v>7</v>
      </c>
      <c r="P39">
        <f t="shared" ref="P39" si="170">IF(C39=D39,0,((E39-D39)-(C39-E39))/(C39-D39))</f>
        <v>-0.87096774193548643</v>
      </c>
      <c r="Q39">
        <f t="shared" ref="Q39" si="171">F39*P39</f>
        <v>-134641.35290322622</v>
      </c>
      <c r="R39">
        <f t="shared" ref="R39" si="172">R40+Q39</f>
        <v>-76440313.514597714</v>
      </c>
      <c r="S39">
        <f t="shared" ref="S39" si="173">R39/100000</f>
        <v>-764.4031351459771</v>
      </c>
      <c r="T39">
        <f t="shared" ref="T39" si="174">S39/1000</f>
        <v>-0.76440313514597713</v>
      </c>
    </row>
    <row r="40" spans="1:20" x14ac:dyDescent="0.25">
      <c r="A40" s="5">
        <v>44553</v>
      </c>
      <c r="B40">
        <v>12.19</v>
      </c>
      <c r="C40">
        <v>12.64</v>
      </c>
      <c r="D40">
        <v>11.9</v>
      </c>
      <c r="E40">
        <v>12.52</v>
      </c>
      <c r="F40">
        <v>182030.6</v>
      </c>
      <c r="G40">
        <v>12.52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0.6756756756756731</v>
      </c>
      <c r="Q40">
        <f t="shared" ref="Q40" si="176">F40*P40</f>
        <v>122993.64864864819</v>
      </c>
      <c r="R40">
        <f t="shared" ref="R40" si="177">R41+Q40</f>
        <v>-76305672.161694482</v>
      </c>
      <c r="S40">
        <f t="shared" ref="S40" si="178">R40/100000</f>
        <v>-763.05672161694486</v>
      </c>
      <c r="T40">
        <f t="shared" ref="T40" si="179">S40/1000</f>
        <v>-0.76305672161694482</v>
      </c>
    </row>
    <row r="41" spans="1:20" x14ac:dyDescent="0.25">
      <c r="A41" s="5">
        <v>44552</v>
      </c>
      <c r="B41">
        <v>12.24</v>
      </c>
      <c r="C41">
        <v>12.75</v>
      </c>
      <c r="D41">
        <v>12.07</v>
      </c>
      <c r="E41">
        <v>12.18</v>
      </c>
      <c r="F41">
        <v>136766.20000000001</v>
      </c>
      <c r="G41">
        <v>12.18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-0.6764705882352956</v>
      </c>
      <c r="Q41">
        <f t="shared" ref="Q41" si="181">F41*P41</f>
        <v>-92518.311764706086</v>
      </c>
      <c r="R41">
        <f t="shared" ref="R41" si="182">R42+Q41</f>
        <v>-76428665.810343131</v>
      </c>
      <c r="S41">
        <f t="shared" ref="S41" si="183">R41/100000</f>
        <v>-764.28665810343136</v>
      </c>
      <c r="T41">
        <f t="shared" ref="T41" si="184">S41/1000</f>
        <v>-0.76428665810343133</v>
      </c>
    </row>
    <row r="42" spans="1:20" x14ac:dyDescent="0.25">
      <c r="A42" s="5">
        <v>44551</v>
      </c>
      <c r="B42">
        <v>12.15</v>
      </c>
      <c r="C42">
        <v>12.48</v>
      </c>
      <c r="D42">
        <v>12.02</v>
      </c>
      <c r="E42">
        <v>12.24</v>
      </c>
      <c r="F42">
        <v>114648.53</v>
      </c>
      <c r="G42">
        <v>12.24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-4.347826086956421E-2</v>
      </c>
      <c r="Q42">
        <f t="shared" ref="Q42" si="186">F42*P42</f>
        <v>-4984.7186956520582</v>
      </c>
      <c r="R42">
        <f t="shared" ref="R42" si="187">R43+Q42</f>
        <v>-76336147.498578429</v>
      </c>
      <c r="S42">
        <f t="shared" ref="S42" si="188">R42/100000</f>
        <v>-763.3614749857843</v>
      </c>
      <c r="T42">
        <f t="shared" ref="T42" si="189">S42/1000</f>
        <v>-0.76336147498578433</v>
      </c>
    </row>
    <row r="43" spans="1:20" x14ac:dyDescent="0.25">
      <c r="A43" s="5">
        <v>44550</v>
      </c>
      <c r="B43">
        <v>11.88</v>
      </c>
      <c r="C43">
        <v>13.16</v>
      </c>
      <c r="D43">
        <v>11.45</v>
      </c>
      <c r="E43">
        <v>12.14</v>
      </c>
      <c r="F43">
        <v>437653.71</v>
      </c>
      <c r="G43">
        <v>12.14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-0.19298245614034978</v>
      </c>
      <c r="Q43">
        <f t="shared" ref="Q43" si="191">F43*P43</f>
        <v>-84459.487894736361</v>
      </c>
      <c r="R43">
        <f t="shared" ref="R43" si="192">R44+Q43</f>
        <v>-76331162.779882774</v>
      </c>
      <c r="S43">
        <f t="shared" ref="S43" si="193">R43/100000</f>
        <v>-763.31162779882777</v>
      </c>
      <c r="T43">
        <f t="shared" ref="T43" si="194">S43/1000</f>
        <v>-0.76331162779882777</v>
      </c>
    </row>
    <row r="44" spans="1:20" x14ac:dyDescent="0.25">
      <c r="A44" s="5">
        <v>44549</v>
      </c>
      <c r="B44">
        <v>12.02</v>
      </c>
      <c r="C44">
        <v>12.48</v>
      </c>
      <c r="D44">
        <v>11.84</v>
      </c>
      <c r="E44">
        <v>11.88</v>
      </c>
      <c r="F44">
        <v>124000.43</v>
      </c>
      <c r="G44">
        <v>11.88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-0.87499999999999722</v>
      </c>
      <c r="Q44">
        <f t="shared" ref="Q44" si="196">F44*P44</f>
        <v>-108500.37624999965</v>
      </c>
      <c r="R44">
        <f t="shared" ref="R44" si="197">R45+Q44</f>
        <v>-76246703.29198803</v>
      </c>
      <c r="S44">
        <f t="shared" ref="S44" si="198">R44/100000</f>
        <v>-762.46703291988035</v>
      </c>
      <c r="T44">
        <f t="shared" ref="T44" si="199">S44/1000</f>
        <v>-0.76246703291988038</v>
      </c>
    </row>
    <row r="45" spans="1:20" x14ac:dyDescent="0.25">
      <c r="A45" s="5">
        <v>44548</v>
      </c>
      <c r="B45">
        <v>12.64</v>
      </c>
      <c r="C45">
        <v>13.88</v>
      </c>
      <c r="D45">
        <v>11.91</v>
      </c>
      <c r="E45">
        <v>12.01</v>
      </c>
      <c r="F45">
        <v>340353.78</v>
      </c>
      <c r="G45">
        <v>12.01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-0.89847715736040645</v>
      </c>
      <c r="Q45">
        <f t="shared" ref="Q45" si="201">F45*P45</f>
        <v>-305800.09675126919</v>
      </c>
      <c r="R45">
        <f t="shared" ref="R45" si="202">R46+Q45</f>
        <v>-76138202.915738031</v>
      </c>
      <c r="S45">
        <f t="shared" ref="S45" si="203">R45/100000</f>
        <v>-761.38202915738032</v>
      </c>
      <c r="T45">
        <f t="shared" ref="T45" si="204">S45/1000</f>
        <v>-0.76138202915738029</v>
      </c>
    </row>
    <row r="46" spans="1:20" x14ac:dyDescent="0.25">
      <c r="A46" s="5">
        <v>44547</v>
      </c>
      <c r="B46">
        <v>11.72</v>
      </c>
      <c r="C46">
        <v>14.18</v>
      </c>
      <c r="D46">
        <v>11.01</v>
      </c>
      <c r="E46">
        <v>12.64</v>
      </c>
      <c r="F46">
        <v>705539.18</v>
      </c>
      <c r="G46">
        <v>12.64</v>
      </c>
      <c r="L46" t="s">
        <v>8</v>
      </c>
      <c r="M46" t="s">
        <v>8</v>
      </c>
      <c r="N46" t="s">
        <v>7</v>
      </c>
      <c r="P46">
        <f t="shared" ref="P46" si="205">IF(C46=D46,0,((E46-D46)-(C46-E46))/(C46-D46))</f>
        <v>2.8391167192429539E-2</v>
      </c>
      <c r="Q46">
        <f t="shared" ref="Q46" si="206">F46*P46</f>
        <v>20031.08082018964</v>
      </c>
      <c r="R46">
        <f t="shared" ref="R46" si="207">R47+Q46</f>
        <v>-75832402.818986759</v>
      </c>
      <c r="S46">
        <f t="shared" ref="S46" si="208">R46/100000</f>
        <v>-758.32402818986759</v>
      </c>
      <c r="T46">
        <f t="shared" ref="T46" si="209">S46/1000</f>
        <v>-0.75832402818986755</v>
      </c>
    </row>
    <row r="47" spans="1:20" x14ac:dyDescent="0.25">
      <c r="A47" s="5">
        <v>44546</v>
      </c>
      <c r="B47">
        <v>12.26</v>
      </c>
      <c r="C47">
        <v>12.55</v>
      </c>
      <c r="D47">
        <v>11.72</v>
      </c>
      <c r="E47">
        <v>11.72</v>
      </c>
      <c r="F47">
        <v>158052.34</v>
      </c>
      <c r="G47">
        <v>11.72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-1</v>
      </c>
      <c r="Q47">
        <f t="shared" ref="Q47" si="211">F47*P47</f>
        <v>-158052.34</v>
      </c>
      <c r="R47">
        <f t="shared" ref="R47" si="212">R48+Q47</f>
        <v>-75852433.899806947</v>
      </c>
      <c r="S47">
        <f t="shared" ref="S47" si="213">R47/100000</f>
        <v>-758.52433899806942</v>
      </c>
      <c r="T47">
        <f t="shared" ref="T47" si="214">S47/1000</f>
        <v>-0.75852433899806937</v>
      </c>
    </row>
    <row r="48" spans="1:20" x14ac:dyDescent="0.25">
      <c r="A48" s="5">
        <v>44545</v>
      </c>
      <c r="B48">
        <v>11.76</v>
      </c>
      <c r="C48">
        <v>12.49</v>
      </c>
      <c r="D48">
        <v>11.22</v>
      </c>
      <c r="E48">
        <v>12.26</v>
      </c>
      <c r="F48">
        <v>190515.17</v>
      </c>
      <c r="G48">
        <v>12.26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0.63779527559055038</v>
      </c>
      <c r="Q48">
        <f t="shared" ref="Q48" si="216">F48*P48</f>
        <v>121509.67535433057</v>
      </c>
      <c r="R48">
        <f t="shared" ref="R48" si="217">R49+Q48</f>
        <v>-75694381.559806943</v>
      </c>
      <c r="S48">
        <f t="shared" ref="S48" si="218">R48/100000</f>
        <v>-756.94381559806948</v>
      </c>
      <c r="T48">
        <f t="shared" ref="T48" si="219">S48/1000</f>
        <v>-0.75694381559806945</v>
      </c>
    </row>
    <row r="49" spans="1:20" x14ac:dyDescent="0.25">
      <c r="A49" s="5">
        <v>44544</v>
      </c>
      <c r="B49">
        <v>11.86</v>
      </c>
      <c r="C49">
        <v>12.42</v>
      </c>
      <c r="D49">
        <v>11.18</v>
      </c>
      <c r="E49">
        <v>11.73</v>
      </c>
      <c r="F49">
        <v>191666.43</v>
      </c>
      <c r="G49">
        <v>11.73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-0.11290322580645062</v>
      </c>
      <c r="Q49">
        <f t="shared" ref="Q49" si="221">F49*P49</f>
        <v>-21639.758225806261</v>
      </c>
      <c r="R49">
        <f t="shared" ref="R49" si="222">R50+Q49</f>
        <v>-75815891.235161275</v>
      </c>
      <c r="S49">
        <f t="shared" ref="S49" si="223">R49/100000</f>
        <v>-758.1589123516128</v>
      </c>
      <c r="T49">
        <f t="shared" ref="T49" si="224">S49/1000</f>
        <v>-0.75815891235161281</v>
      </c>
    </row>
    <row r="50" spans="1:20" x14ac:dyDescent="0.25">
      <c r="A50" s="5">
        <v>44543</v>
      </c>
      <c r="B50">
        <v>13.41</v>
      </c>
      <c r="C50">
        <v>14.39</v>
      </c>
      <c r="D50">
        <v>11.8</v>
      </c>
      <c r="E50">
        <v>11.88</v>
      </c>
      <c r="F50">
        <v>450732.67</v>
      </c>
      <c r="G50">
        <v>11.88</v>
      </c>
      <c r="L50" t="s">
        <v>8</v>
      </c>
      <c r="M50" t="s">
        <v>7</v>
      </c>
      <c r="N50" t="s">
        <v>7</v>
      </c>
      <c r="P50">
        <f t="shared" ref="P50" si="225">IF(C50=D50,0,((E50-D50)-(C50-E50))/(C50-D50))</f>
        <v>-0.93822393822393813</v>
      </c>
      <c r="Q50">
        <f t="shared" ref="Q50" si="226">F50*P50</f>
        <v>-422888.18073359068</v>
      </c>
      <c r="R50">
        <f t="shared" ref="R50" si="227">R51+Q50</f>
        <v>-75794251.476935461</v>
      </c>
      <c r="S50">
        <f t="shared" ref="S50" si="228">R50/100000</f>
        <v>-757.9425147693546</v>
      </c>
      <c r="T50">
        <f t="shared" ref="T50" si="229">S50/1000</f>
        <v>-0.75794251476935459</v>
      </c>
    </row>
    <row r="51" spans="1:20" x14ac:dyDescent="0.25">
      <c r="A51" s="5">
        <v>44542</v>
      </c>
      <c r="B51">
        <v>13.18</v>
      </c>
      <c r="C51">
        <v>14.2</v>
      </c>
      <c r="D51">
        <v>13.08</v>
      </c>
      <c r="E51">
        <v>13.41</v>
      </c>
      <c r="F51">
        <v>262887.40000000002</v>
      </c>
      <c r="G51">
        <v>13.41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-0.4107142857142852</v>
      </c>
      <c r="Q51">
        <f t="shared" ref="Q51" si="231">F51*P51</f>
        <v>-107971.61071428559</v>
      </c>
      <c r="R51">
        <f t="shared" ref="R51" si="232">R52+Q51</f>
        <v>-75371363.29620187</v>
      </c>
      <c r="S51">
        <f t="shared" ref="S51" si="233">R51/100000</f>
        <v>-753.71363296201866</v>
      </c>
      <c r="T51">
        <f t="shared" ref="T51" si="234">S51/1000</f>
        <v>-0.75371363296201865</v>
      </c>
    </row>
    <row r="52" spans="1:20" x14ac:dyDescent="0.25">
      <c r="A52" s="5">
        <v>44541</v>
      </c>
      <c r="B52">
        <v>13.18</v>
      </c>
      <c r="C52">
        <v>13.23</v>
      </c>
      <c r="D52">
        <v>12.8</v>
      </c>
      <c r="E52">
        <v>13.15</v>
      </c>
      <c r="F52">
        <v>17975.8</v>
      </c>
      <c r="G52">
        <v>13.15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0.6279069767441855</v>
      </c>
      <c r="Q52">
        <f t="shared" ref="Q52" si="236">F52*P52</f>
        <v>11287.130232558129</v>
      </c>
      <c r="R52">
        <f t="shared" ref="R52" si="237">R53+Q52</f>
        <v>-75263391.685487583</v>
      </c>
      <c r="S52">
        <f t="shared" ref="S52" si="238">R52/100000</f>
        <v>-752.63391685487579</v>
      </c>
      <c r="T52">
        <f t="shared" ref="T52" si="239">S52/1000</f>
        <v>-0.7526339168548758</v>
      </c>
    </row>
    <row r="53" spans="1:20" x14ac:dyDescent="0.25">
      <c r="A53" s="5">
        <v>44540</v>
      </c>
      <c r="B53">
        <v>13.54</v>
      </c>
      <c r="C53">
        <v>14.8</v>
      </c>
      <c r="D53">
        <v>13.09</v>
      </c>
      <c r="E53">
        <v>13.16</v>
      </c>
      <c r="F53">
        <v>301266.2</v>
      </c>
      <c r="G53">
        <v>13.16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-0.91812865497075991</v>
      </c>
      <c r="Q53">
        <f t="shared" ref="Q53" si="241">F53*P53</f>
        <v>-276601.13099415199</v>
      </c>
      <c r="R53">
        <f t="shared" ref="R53" si="242">R54+Q53</f>
        <v>-75274678.815720141</v>
      </c>
      <c r="S53">
        <f t="shared" ref="S53" si="243">R53/100000</f>
        <v>-752.74678815720142</v>
      </c>
      <c r="T53">
        <f t="shared" ref="T53" si="244">S53/1000</f>
        <v>-0.75274678815720142</v>
      </c>
    </row>
    <row r="54" spans="1:20" x14ac:dyDescent="0.25">
      <c r="A54" s="5">
        <v>44539</v>
      </c>
      <c r="B54">
        <v>14.6</v>
      </c>
      <c r="C54">
        <v>15.78</v>
      </c>
      <c r="D54">
        <v>13.51</v>
      </c>
      <c r="E54">
        <v>13.54</v>
      </c>
      <c r="F54">
        <v>499605.17</v>
      </c>
      <c r="G54">
        <v>13.54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-0.97356828193832656</v>
      </c>
      <c r="Q54">
        <f t="shared" ref="Q54" si="246">F54*P54</f>
        <v>-486399.74700440554</v>
      </c>
      <c r="R54">
        <f t="shared" ref="R54" si="247">R55+Q54</f>
        <v>-74998077.684725985</v>
      </c>
      <c r="S54">
        <f t="shared" ref="S54" si="248">R54/100000</f>
        <v>-749.9807768472599</v>
      </c>
      <c r="T54">
        <f t="shared" ref="T54" si="249">S54/1000</f>
        <v>-0.74998077684725994</v>
      </c>
    </row>
    <row r="55" spans="1:20" x14ac:dyDescent="0.25">
      <c r="A55" s="5">
        <v>44538</v>
      </c>
      <c r="B55">
        <v>13.49</v>
      </c>
      <c r="C55">
        <v>16.350000000000001</v>
      </c>
      <c r="D55">
        <v>13.17</v>
      </c>
      <c r="E55">
        <v>14.6</v>
      </c>
      <c r="F55">
        <v>1144664.46</v>
      </c>
      <c r="G55">
        <v>14.6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-0.10062893081761067</v>
      </c>
      <c r="Q55">
        <f t="shared" ref="Q55" si="251">F55*P55</f>
        <v>-115186.36075471767</v>
      </c>
      <c r="R55">
        <f t="shared" ref="R55" si="252">R56+Q55</f>
        <v>-74511677.93772158</v>
      </c>
      <c r="S55">
        <f t="shared" ref="S55" si="253">R55/100000</f>
        <v>-745.11677937721583</v>
      </c>
      <c r="T55">
        <f t="shared" ref="T55" si="254">S55/1000</f>
        <v>-0.74511677937721588</v>
      </c>
    </row>
    <row r="56" spans="1:20" x14ac:dyDescent="0.25">
      <c r="A56" s="5">
        <v>44537</v>
      </c>
      <c r="B56">
        <v>14.42</v>
      </c>
      <c r="C56">
        <v>14.9</v>
      </c>
      <c r="D56">
        <v>13.23</v>
      </c>
      <c r="E56">
        <v>13.52</v>
      </c>
      <c r="F56">
        <v>433739.15</v>
      </c>
      <c r="G56">
        <v>13.52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-0.65269461077844415</v>
      </c>
      <c r="Q56">
        <f t="shared" ref="Q56" si="256">F56*P56</f>
        <v>-283099.20568862325</v>
      </c>
      <c r="R56">
        <f t="shared" ref="R56" si="257">R57+Q56</f>
        <v>-74396491.576966867</v>
      </c>
      <c r="S56">
        <f t="shared" ref="S56" si="258">R56/100000</f>
        <v>-743.96491576966866</v>
      </c>
      <c r="T56">
        <f t="shared" ref="T56" si="259">S56/1000</f>
        <v>-0.74396491576966861</v>
      </c>
    </row>
    <row r="57" spans="1:20" x14ac:dyDescent="0.25">
      <c r="A57" s="5">
        <v>44536</v>
      </c>
      <c r="B57">
        <v>15.31</v>
      </c>
      <c r="C57">
        <v>16.260000000000002</v>
      </c>
      <c r="D57">
        <v>13.23</v>
      </c>
      <c r="E57">
        <v>14.38</v>
      </c>
      <c r="F57">
        <v>948867.1</v>
      </c>
      <c r="G57">
        <v>14.38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-0.24092409240924098</v>
      </c>
      <c r="Q57">
        <f t="shared" ref="Q57" si="261">F57*P57</f>
        <v>-228604.9448844885</v>
      </c>
      <c r="R57">
        <f t="shared" ref="R57" si="262">R58+Q57</f>
        <v>-74113392.371278241</v>
      </c>
      <c r="S57">
        <f t="shared" ref="S57" si="263">R57/100000</f>
        <v>-741.13392371278246</v>
      </c>
      <c r="T57">
        <f t="shared" ref="T57" si="264">S57/1000</f>
        <v>-0.74113392371278242</v>
      </c>
    </row>
    <row r="58" spans="1:20" x14ac:dyDescent="0.25">
      <c r="A58" s="5">
        <v>44535</v>
      </c>
      <c r="B58">
        <v>19.059999999999999</v>
      </c>
      <c r="C58">
        <v>19.91</v>
      </c>
      <c r="D58">
        <v>15.25</v>
      </c>
      <c r="E58">
        <v>15.35</v>
      </c>
      <c r="F58">
        <v>2515860.59</v>
      </c>
      <c r="G58">
        <v>15.35</v>
      </c>
      <c r="L58" t="s">
        <v>8</v>
      </c>
      <c r="M58" t="s">
        <v>7</v>
      </c>
      <c r="N58" t="s">
        <v>7</v>
      </c>
      <c r="P58">
        <f t="shared" ref="P58" si="265">IF(C58=D58,0,((E58-D58)-(C58-E58))/(C58-D58))</f>
        <v>-0.95708154506437781</v>
      </c>
      <c r="Q58">
        <f t="shared" ref="Q58" si="266">F58*P58</f>
        <v>-2407883.740643777</v>
      </c>
      <c r="R58">
        <f t="shared" ref="R58" si="267">R59+Q58</f>
        <v>-73884787.426393747</v>
      </c>
      <c r="S58">
        <f t="shared" ref="S58" si="268">R58/100000</f>
        <v>-738.84787426393746</v>
      </c>
      <c r="T58">
        <f t="shared" ref="T58" si="269">S58/1000</f>
        <v>-0.7388478742639375</v>
      </c>
    </row>
    <row r="59" spans="1:20" x14ac:dyDescent="0.25">
      <c r="A59" s="5">
        <v>44534</v>
      </c>
      <c r="B59">
        <v>15.53</v>
      </c>
      <c r="C59">
        <v>27.22</v>
      </c>
      <c r="D59">
        <v>12.24</v>
      </c>
      <c r="E59">
        <v>19.059999999999999</v>
      </c>
      <c r="F59">
        <v>8623706.0899999999</v>
      </c>
      <c r="G59">
        <v>19.059999999999999</v>
      </c>
      <c r="L59" t="s">
        <v>7</v>
      </c>
      <c r="M59" t="s">
        <v>8</v>
      </c>
      <c r="N59" t="s">
        <v>8</v>
      </c>
      <c r="P59">
        <f t="shared" ref="P59" si="270">IF(C59=D59,0,((E59-D59)-(C59-E59))/(C59-D59))</f>
        <v>-8.9452603471295175E-2</v>
      </c>
      <c r="Q59">
        <f t="shared" ref="Q59" si="271">F59*P59</f>
        <v>-771412.96132176335</v>
      </c>
      <c r="R59">
        <f t="shared" ref="R59" si="272">R60+Q59</f>
        <v>-71476903.685749978</v>
      </c>
      <c r="S59">
        <f t="shared" ref="S59" si="273">R59/100000</f>
        <v>-714.76903685749983</v>
      </c>
      <c r="T59">
        <f t="shared" ref="T59" si="274">S59/1000</f>
        <v>-0.71476903685749982</v>
      </c>
    </row>
    <row r="60" spans="1:20" x14ac:dyDescent="0.25">
      <c r="A60" s="5">
        <v>44533</v>
      </c>
      <c r="B60">
        <v>13.94</v>
      </c>
      <c r="C60">
        <v>17.28</v>
      </c>
      <c r="D60">
        <v>13.5</v>
      </c>
      <c r="E60">
        <v>15.53</v>
      </c>
      <c r="F60">
        <v>1160043.29</v>
      </c>
      <c r="G60">
        <v>15.53</v>
      </c>
      <c r="L60" t="s">
        <v>7</v>
      </c>
      <c r="M60" t="s">
        <v>8</v>
      </c>
      <c r="N60" t="s">
        <v>7</v>
      </c>
      <c r="P60">
        <f t="shared" ref="P60" si="275">IF(C60=D60,0,((E60-D60)-(C60-E60))/(C60-D60))</f>
        <v>7.4074074074073418E-2</v>
      </c>
      <c r="Q60">
        <f t="shared" ref="Q60" si="276">F60*P60</f>
        <v>85929.132592591835</v>
      </c>
      <c r="R60">
        <f t="shared" ref="R60" si="277">R61+Q60</f>
        <v>-70705490.724428222</v>
      </c>
      <c r="S60">
        <f t="shared" ref="S60" si="278">R60/100000</f>
        <v>-707.05490724428216</v>
      </c>
      <c r="T60">
        <f t="shared" ref="T60" si="279">S60/1000</f>
        <v>-0.70705490724428222</v>
      </c>
    </row>
    <row r="61" spans="1:20" x14ac:dyDescent="0.25">
      <c r="A61" s="5">
        <v>44532</v>
      </c>
      <c r="B61">
        <v>14.77</v>
      </c>
      <c r="C61">
        <v>15.04</v>
      </c>
      <c r="D61">
        <v>13.8</v>
      </c>
      <c r="E61">
        <v>13.91</v>
      </c>
      <c r="F61">
        <v>325654.21000000002</v>
      </c>
      <c r="G61">
        <v>13.91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-0.82258064516129104</v>
      </c>
      <c r="Q61">
        <f t="shared" ref="Q61" si="281">F61*P61</f>
        <v>-267876.85016129055</v>
      </c>
      <c r="R61">
        <f t="shared" ref="R61" si="282">R62+Q61</f>
        <v>-70791419.85702081</v>
      </c>
      <c r="S61">
        <f t="shared" ref="S61" si="283">R61/100000</f>
        <v>-707.9141985702081</v>
      </c>
      <c r="T61">
        <f t="shared" ref="T61" si="284">S61/1000</f>
        <v>-0.7079141985702081</v>
      </c>
    </row>
    <row r="62" spans="1:20" x14ac:dyDescent="0.25">
      <c r="A62" s="5">
        <v>44531</v>
      </c>
      <c r="B62">
        <v>14.93</v>
      </c>
      <c r="C62">
        <v>16.87</v>
      </c>
      <c r="D62">
        <v>14.58</v>
      </c>
      <c r="E62">
        <v>14.78</v>
      </c>
      <c r="F62">
        <v>688909.79</v>
      </c>
      <c r="G62">
        <v>14.78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-0.82532751091703127</v>
      </c>
      <c r="Q62">
        <f t="shared" ref="Q62" si="286">F62*P62</f>
        <v>-568576.20222707477</v>
      </c>
      <c r="R62">
        <f t="shared" ref="R62" si="287">R63+Q62</f>
        <v>-70523543.006859526</v>
      </c>
      <c r="S62">
        <f t="shared" ref="S62" si="288">R62/100000</f>
        <v>-705.23543006859529</v>
      </c>
      <c r="T62">
        <f t="shared" ref="T62" si="289">S62/1000</f>
        <v>-0.70523543006859524</v>
      </c>
    </row>
    <row r="63" spans="1:20" x14ac:dyDescent="0.25">
      <c r="A63" s="5">
        <v>44530</v>
      </c>
      <c r="B63">
        <v>14.08</v>
      </c>
      <c r="C63">
        <v>16.989999999999998</v>
      </c>
      <c r="D63">
        <v>13.16</v>
      </c>
      <c r="E63">
        <v>14.93</v>
      </c>
      <c r="F63">
        <v>761368.83</v>
      </c>
      <c r="G63">
        <v>14.93</v>
      </c>
      <c r="L63" t="s">
        <v>8</v>
      </c>
      <c r="M63" t="s">
        <v>8</v>
      </c>
      <c r="N63" t="s">
        <v>7</v>
      </c>
      <c r="P63">
        <f t="shared" ref="P63" si="290">IF(C63=D63,0,((E63-D63)-(C63-E63))/(C63-D63))</f>
        <v>-7.5718015665796154E-2</v>
      </c>
      <c r="Q63">
        <f t="shared" ref="Q63" si="291">F63*P63</f>
        <v>-57649.336997388884</v>
      </c>
      <c r="R63">
        <f t="shared" ref="R63" si="292">R64+Q63</f>
        <v>-69954966.804632455</v>
      </c>
      <c r="S63">
        <f t="shared" ref="S63" si="293">R63/100000</f>
        <v>-699.54966804632454</v>
      </c>
      <c r="T63">
        <f t="shared" ref="T63" si="294">S63/1000</f>
        <v>-0.69954966804632457</v>
      </c>
    </row>
    <row r="64" spans="1:20" x14ac:dyDescent="0.25">
      <c r="A64" s="5">
        <v>44529</v>
      </c>
      <c r="B64">
        <v>13.93</v>
      </c>
      <c r="C64">
        <v>14.48</v>
      </c>
      <c r="D64">
        <v>13.44</v>
      </c>
      <c r="E64">
        <v>14.09</v>
      </c>
      <c r="F64">
        <v>324034.74</v>
      </c>
      <c r="G64">
        <v>14.09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0.24999999999999958</v>
      </c>
      <c r="Q64">
        <f t="shared" ref="Q64" si="296">F64*P64</f>
        <v>81008.684999999867</v>
      </c>
      <c r="R64">
        <f t="shared" ref="R64" si="297">R65+Q64</f>
        <v>-69897317.467635065</v>
      </c>
      <c r="S64">
        <f t="shared" ref="S64" si="298">R64/100000</f>
        <v>-698.97317467635071</v>
      </c>
      <c r="T64">
        <f t="shared" ref="T64" si="299">S64/1000</f>
        <v>-0.69897317467635067</v>
      </c>
    </row>
    <row r="65" spans="1:20" x14ac:dyDescent="0.25">
      <c r="A65" s="5">
        <v>44528</v>
      </c>
      <c r="B65">
        <v>14.91</v>
      </c>
      <c r="C65">
        <v>15.1</v>
      </c>
      <c r="D65">
        <v>12.8</v>
      </c>
      <c r="E65">
        <v>13.93</v>
      </c>
      <c r="F65">
        <v>424137.61</v>
      </c>
      <c r="G65">
        <v>13.93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-1.7391304347826497E-2</v>
      </c>
      <c r="Q65">
        <f t="shared" ref="Q65" si="301">F65*P65</f>
        <v>-7376.3062608697383</v>
      </c>
      <c r="R65">
        <f t="shared" ref="R65" si="302">R66+Q65</f>
        <v>-69978326.152635068</v>
      </c>
      <c r="S65">
        <f t="shared" ref="S65" si="303">R65/100000</f>
        <v>-699.78326152635066</v>
      </c>
      <c r="T65">
        <f t="shared" ref="T65" si="304">S65/1000</f>
        <v>-0.69978326152635062</v>
      </c>
    </row>
    <row r="66" spans="1:20" x14ac:dyDescent="0.25">
      <c r="A66" s="5">
        <v>44527</v>
      </c>
      <c r="B66">
        <v>15.81</v>
      </c>
      <c r="C66">
        <v>19.53</v>
      </c>
      <c r="D66">
        <v>14.26</v>
      </c>
      <c r="E66">
        <v>14.94</v>
      </c>
      <c r="F66">
        <v>1563589.28</v>
      </c>
      <c r="G66">
        <v>14.94</v>
      </c>
      <c r="L66" t="s">
        <v>8</v>
      </c>
      <c r="M66" t="s">
        <v>8</v>
      </c>
      <c r="N66" t="s">
        <v>8</v>
      </c>
      <c r="P66">
        <f t="shared" ref="P66" si="305">IF(C66=D66,0,((E66-D66)-(C66-E66))/(C66-D66))</f>
        <v>-0.74193548387096797</v>
      </c>
      <c r="Q66">
        <f t="shared" ref="Q66" si="306">F66*P66</f>
        <v>-1160082.3690322584</v>
      </c>
      <c r="R66">
        <f t="shared" ref="R66" si="307">R67+Q66</f>
        <v>-69970949.846374199</v>
      </c>
      <c r="S66">
        <f t="shared" ref="S66" si="308">R66/100000</f>
        <v>-699.70949846374197</v>
      </c>
      <c r="T66">
        <f t="shared" ref="T66" si="309">S66/1000</f>
        <v>-0.69970949846374197</v>
      </c>
    </row>
    <row r="67" spans="1:20" x14ac:dyDescent="0.25">
      <c r="A67" s="5">
        <v>44526</v>
      </c>
      <c r="B67">
        <v>13.15</v>
      </c>
      <c r="C67">
        <v>17.87</v>
      </c>
      <c r="D67">
        <v>12.66</v>
      </c>
      <c r="E67">
        <v>15.87</v>
      </c>
      <c r="F67">
        <v>2148982.7000000002</v>
      </c>
      <c r="G67">
        <v>15.87</v>
      </c>
      <c r="L67" t="s">
        <v>7</v>
      </c>
      <c r="M67" t="s">
        <v>8</v>
      </c>
      <c r="N67" t="s">
        <v>8</v>
      </c>
      <c r="P67">
        <f t="shared" ref="P67" si="310">IF(C67=D67,0,((E67-D67)-(C67-E67))/(C67-D67))</f>
        <v>0.23224568138195723</v>
      </c>
      <c r="Q67">
        <f t="shared" ref="Q67" si="311">F67*P67</f>
        <v>499091.95143953821</v>
      </c>
      <c r="R67">
        <f t="shared" ref="R67" si="312">R68+Q67</f>
        <v>-68810867.477341935</v>
      </c>
      <c r="S67">
        <f t="shared" ref="S67" si="313">R67/100000</f>
        <v>-688.10867477341935</v>
      </c>
      <c r="T67">
        <f t="shared" ref="T67" si="314">S67/1000</f>
        <v>-0.6881086747734193</v>
      </c>
    </row>
    <row r="68" spans="1:20" x14ac:dyDescent="0.25">
      <c r="A68" s="5">
        <v>44525</v>
      </c>
      <c r="B68">
        <v>13.1</v>
      </c>
      <c r="C68">
        <v>13.95</v>
      </c>
      <c r="D68">
        <v>12.89</v>
      </c>
      <c r="E68">
        <v>13.14</v>
      </c>
      <c r="F68">
        <v>315609.2</v>
      </c>
      <c r="G68">
        <v>13.14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-0.52830188679245227</v>
      </c>
      <c r="Q68">
        <f t="shared" ref="Q68" si="316">F68*P68</f>
        <v>-166736.93584905643</v>
      </c>
      <c r="R68">
        <f t="shared" ref="R68" si="317">R69+Q68</f>
        <v>-69309959.42878148</v>
      </c>
      <c r="S68">
        <f t="shared" ref="S68" si="318">R68/100000</f>
        <v>-693.09959428781485</v>
      </c>
      <c r="T68">
        <f t="shared" ref="T68" si="319">S68/1000</f>
        <v>-0.69309959428781487</v>
      </c>
    </row>
    <row r="69" spans="1:20" x14ac:dyDescent="0.25">
      <c r="A69" s="5">
        <v>44524</v>
      </c>
      <c r="B69">
        <v>14.26</v>
      </c>
      <c r="C69">
        <v>14.4</v>
      </c>
      <c r="D69">
        <v>13.16</v>
      </c>
      <c r="E69">
        <v>13.49</v>
      </c>
      <c r="F69">
        <v>108980.22</v>
      </c>
      <c r="G69">
        <v>13.49</v>
      </c>
      <c r="L69" t="s">
        <v>8</v>
      </c>
      <c r="M69" t="s">
        <v>7</v>
      </c>
      <c r="N69" t="s">
        <v>7</v>
      </c>
      <c r="P69">
        <f t="shared" ref="P69" si="320">IF(C69=D69,0,((E69-D69)-(C69-E69))/(C69-D69))</f>
        <v>-0.46774193548387094</v>
      </c>
      <c r="Q69">
        <f t="shared" ref="Q69" si="321">F69*P69</f>
        <v>-50974.619032258059</v>
      </c>
      <c r="R69">
        <f t="shared" ref="R69" si="322">R70+Q69</f>
        <v>-69143222.492932424</v>
      </c>
      <c r="S69">
        <f t="shared" ref="S69" si="323">R69/100000</f>
        <v>-691.43222492932421</v>
      </c>
      <c r="T69">
        <f t="shared" ref="T69" si="324">S69/1000</f>
        <v>-0.69143222492932421</v>
      </c>
    </row>
    <row r="70" spans="1:20" x14ac:dyDescent="0.25">
      <c r="A70" s="5">
        <v>44523</v>
      </c>
      <c r="B70">
        <v>14</v>
      </c>
      <c r="C70">
        <v>14.6</v>
      </c>
      <c r="D70">
        <v>13.15</v>
      </c>
      <c r="E70">
        <v>14.26</v>
      </c>
      <c r="F70">
        <v>745847.24</v>
      </c>
      <c r="G70">
        <v>14.26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0.53103448275862064</v>
      </c>
      <c r="Q70">
        <f t="shared" ref="Q70" si="326">F70*P70</f>
        <v>396070.6033103448</v>
      </c>
      <c r="R70">
        <f t="shared" ref="R70" si="327">R71+Q70</f>
        <v>-69092247.87390016</v>
      </c>
      <c r="S70">
        <f t="shared" ref="S70" si="328">R70/100000</f>
        <v>-690.92247873900158</v>
      </c>
      <c r="T70">
        <f t="shared" ref="T70" si="329">S70/1000</f>
        <v>-0.69092247873900159</v>
      </c>
    </row>
    <row r="71" spans="1:20" x14ac:dyDescent="0.25">
      <c r="A71" s="5">
        <v>44522</v>
      </c>
      <c r="B71">
        <v>14.51</v>
      </c>
      <c r="C71">
        <v>18</v>
      </c>
      <c r="D71">
        <v>14</v>
      </c>
      <c r="E71">
        <v>14.03</v>
      </c>
      <c r="F71">
        <v>2103535.31</v>
      </c>
      <c r="G71">
        <v>14.03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-0.98500000000000032</v>
      </c>
      <c r="Q71">
        <f t="shared" ref="Q71" si="331">F71*P71</f>
        <v>-2071982.2803500008</v>
      </c>
      <c r="R71">
        <f t="shared" ref="R71" si="332">R72+Q71</f>
        <v>-69488318.477210507</v>
      </c>
      <c r="S71">
        <f t="shared" ref="S71" si="333">R71/100000</f>
        <v>-694.8831847721051</v>
      </c>
      <c r="T71">
        <f t="shared" ref="T71" si="334">S71/1000</f>
        <v>-0.69488318477210509</v>
      </c>
    </row>
    <row r="72" spans="1:20" x14ac:dyDescent="0.25">
      <c r="A72" s="5">
        <v>44521</v>
      </c>
      <c r="B72">
        <v>12.75</v>
      </c>
      <c r="C72">
        <v>20.65</v>
      </c>
      <c r="D72">
        <v>12.28</v>
      </c>
      <c r="E72">
        <v>14.5</v>
      </c>
      <c r="F72">
        <v>3214739.67</v>
      </c>
      <c r="G72">
        <v>14.5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-0.46953405017921129</v>
      </c>
      <c r="Q72">
        <f t="shared" ref="Q72" si="336">F72*P72</f>
        <v>-1509429.737526881</v>
      </c>
      <c r="R72">
        <f t="shared" ref="R72" si="337">R73+Q72</f>
        <v>-67416336.196860507</v>
      </c>
      <c r="S72">
        <f t="shared" ref="S72" si="338">R72/100000</f>
        <v>-674.16336196860505</v>
      </c>
      <c r="T72">
        <f t="shared" ref="T72" si="339">S72/1000</f>
        <v>-0.67416336196860505</v>
      </c>
    </row>
    <row r="73" spans="1:20" x14ac:dyDescent="0.25">
      <c r="A73" s="5">
        <v>44520</v>
      </c>
      <c r="B73">
        <v>11.92</v>
      </c>
      <c r="C73">
        <v>12.92</v>
      </c>
      <c r="D73">
        <v>11.44</v>
      </c>
      <c r="E73">
        <v>12.75</v>
      </c>
      <c r="F73">
        <v>183177.49</v>
      </c>
      <c r="G73">
        <v>12.75</v>
      </c>
      <c r="L73" t="s">
        <v>8</v>
      </c>
      <c r="M73" t="s">
        <v>7</v>
      </c>
      <c r="N73" t="s">
        <v>8</v>
      </c>
      <c r="P73">
        <f t="shared" ref="P73" si="340">IF(C73=D73,0,((E73-D73)-(C73-E73))/(C73-D73))</f>
        <v>0.7702702702702704</v>
      </c>
      <c r="Q73">
        <f t="shared" ref="Q73" si="341">F73*P73</f>
        <v>141096.17472972974</v>
      </c>
      <c r="R73">
        <f t="shared" ref="R73" si="342">R74+Q73</f>
        <v>-65906906.459333628</v>
      </c>
      <c r="S73">
        <f t="shared" ref="S73" si="343">R73/100000</f>
        <v>-659.06906459333629</v>
      </c>
      <c r="T73">
        <f t="shared" ref="T73" si="344">S73/1000</f>
        <v>-0.65906906459333625</v>
      </c>
    </row>
    <row r="74" spans="1:20" x14ac:dyDescent="0.25">
      <c r="A74" s="5">
        <v>44519</v>
      </c>
      <c r="B74">
        <v>11.41</v>
      </c>
      <c r="C74">
        <v>12.06</v>
      </c>
      <c r="D74">
        <v>11.28</v>
      </c>
      <c r="E74">
        <v>11.89</v>
      </c>
      <c r="F74">
        <v>82553.61</v>
      </c>
      <c r="G74">
        <v>11.89</v>
      </c>
      <c r="L74" t="s">
        <v>7</v>
      </c>
      <c r="M74" t="s">
        <v>7</v>
      </c>
      <c r="N74" t="s">
        <v>8</v>
      </c>
      <c r="P74">
        <f t="shared" ref="P74" si="345">IF(C74=D74,0,((E74-D74)-(C74-E74))/(C74-D74))</f>
        <v>0.56410256410256487</v>
      </c>
      <c r="Q74">
        <f t="shared" ref="Q74" si="346">F74*P74</f>
        <v>46568.703076923142</v>
      </c>
      <c r="R74">
        <f t="shared" ref="R74" si="347">R75+Q74</f>
        <v>-66048002.634063356</v>
      </c>
      <c r="S74">
        <f t="shared" ref="S74" si="348">R74/100000</f>
        <v>-660.48002634063357</v>
      </c>
      <c r="T74">
        <f t="shared" ref="T74" si="349">S74/1000</f>
        <v>-0.66048002634063352</v>
      </c>
    </row>
    <row r="75" spans="1:20" x14ac:dyDescent="0.25">
      <c r="A75" s="5">
        <v>44518</v>
      </c>
      <c r="B75">
        <v>12.27</v>
      </c>
      <c r="C75">
        <v>12.47</v>
      </c>
      <c r="D75">
        <v>11.28</v>
      </c>
      <c r="E75">
        <v>11.38</v>
      </c>
      <c r="F75">
        <v>128949.14</v>
      </c>
      <c r="G75">
        <v>11.38</v>
      </c>
      <c r="L75" t="s">
        <v>7</v>
      </c>
      <c r="M75" t="s">
        <v>7</v>
      </c>
      <c r="N75" t="s">
        <v>8</v>
      </c>
      <c r="P75">
        <f t="shared" ref="P75" si="350">IF(C75=D75,0,((E75-D75)-(C75-E75))/(C75-D75))</f>
        <v>-0.83193277310924152</v>
      </c>
      <c r="Q75">
        <f t="shared" ref="Q75" si="351">F75*P75</f>
        <v>-107277.01563025182</v>
      </c>
      <c r="R75">
        <f t="shared" ref="R75" si="352">R76+Q75</f>
        <v>-66094571.337140277</v>
      </c>
      <c r="S75">
        <f t="shared" ref="S75" si="353">R75/100000</f>
        <v>-660.9457133714028</v>
      </c>
      <c r="T75">
        <f t="shared" ref="T75" si="354">S75/1000</f>
        <v>-0.66094571337140284</v>
      </c>
    </row>
    <row r="76" spans="1:20" x14ac:dyDescent="0.25">
      <c r="A76" s="5">
        <v>44517</v>
      </c>
      <c r="B76">
        <v>12.44</v>
      </c>
      <c r="C76">
        <v>12.56</v>
      </c>
      <c r="D76">
        <v>12.07</v>
      </c>
      <c r="E76">
        <v>12.28</v>
      </c>
      <c r="F76">
        <v>76768.45</v>
      </c>
      <c r="G76">
        <v>12.28</v>
      </c>
      <c r="L76" t="s">
        <v>7</v>
      </c>
      <c r="M76" t="s">
        <v>7</v>
      </c>
      <c r="N76" t="s">
        <v>8</v>
      </c>
      <c r="P76">
        <f t="shared" ref="P76" si="355">IF(C76=D76,0,((E76-D76)-(C76-E76))/(C76-D76))</f>
        <v>-0.14285714285714701</v>
      </c>
      <c r="Q76">
        <f t="shared" ref="Q76" si="356">F76*P76</f>
        <v>-10966.921428571748</v>
      </c>
      <c r="R76">
        <f t="shared" ref="R76" si="357">R77+Q76</f>
        <v>-65987294.321510024</v>
      </c>
      <c r="S76">
        <f t="shared" ref="S76" si="358">R76/100000</f>
        <v>-659.87294321510024</v>
      </c>
      <c r="T76">
        <f t="shared" ref="T76" si="359">S76/1000</f>
        <v>-0.65987294321510026</v>
      </c>
    </row>
    <row r="77" spans="1:20" x14ac:dyDescent="0.25">
      <c r="A77" s="5">
        <v>44516</v>
      </c>
      <c r="B77">
        <v>12.75</v>
      </c>
      <c r="C77">
        <v>12.78</v>
      </c>
      <c r="D77">
        <v>11.88</v>
      </c>
      <c r="E77">
        <v>12.45</v>
      </c>
      <c r="F77">
        <v>151608.91</v>
      </c>
      <c r="G77">
        <v>12.45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0.26666666666666533</v>
      </c>
      <c r="Q77">
        <f t="shared" ref="Q77" si="361">F77*P77</f>
        <v>40429.042666666464</v>
      </c>
      <c r="R77">
        <f t="shared" ref="R77" si="362">R78+Q77</f>
        <v>-65976327.400081456</v>
      </c>
      <c r="S77">
        <f t="shared" ref="S77" si="363">R77/100000</f>
        <v>-659.76327400081459</v>
      </c>
      <c r="T77">
        <f t="shared" ref="T77" si="364">S77/1000</f>
        <v>-0.65976327400081458</v>
      </c>
    </row>
    <row r="78" spans="1:20" x14ac:dyDescent="0.25">
      <c r="A78" s="5">
        <v>44515</v>
      </c>
      <c r="B78">
        <v>13.25</v>
      </c>
      <c r="C78">
        <v>13.49</v>
      </c>
      <c r="D78">
        <v>12.55</v>
      </c>
      <c r="E78">
        <v>12.77</v>
      </c>
      <c r="F78">
        <v>182483.09</v>
      </c>
      <c r="G78">
        <v>12.77</v>
      </c>
      <c r="L78" t="s">
        <v>7</v>
      </c>
      <c r="M78" t="s">
        <v>8</v>
      </c>
      <c r="N78" t="s">
        <v>8</v>
      </c>
      <c r="P78">
        <f t="shared" ref="P78" si="365">IF(C78=D78,0,((E78-D78)-(C78-E78))/(C78-D78))</f>
        <v>-0.53191489361702349</v>
      </c>
      <c r="Q78">
        <f t="shared" ref="Q78" si="366">F78*P78</f>
        <v>-97065.473404255725</v>
      </c>
      <c r="R78">
        <f t="shared" ref="R78" si="367">R79+Q78</f>
        <v>-66016756.442748122</v>
      </c>
      <c r="S78">
        <f t="shared" ref="S78" si="368">R78/100000</f>
        <v>-660.16756442748124</v>
      </c>
      <c r="T78">
        <f t="shared" ref="T78" si="369">S78/1000</f>
        <v>-0.66016756442748126</v>
      </c>
    </row>
    <row r="79" spans="1:20" x14ac:dyDescent="0.25">
      <c r="A79" s="5">
        <v>44514</v>
      </c>
      <c r="B79">
        <v>13.15</v>
      </c>
      <c r="C79">
        <v>13.96</v>
      </c>
      <c r="D79">
        <v>12.72</v>
      </c>
      <c r="E79">
        <v>13.24</v>
      </c>
      <c r="F79">
        <v>562963.66</v>
      </c>
      <c r="G79">
        <v>13.24</v>
      </c>
      <c r="L79" t="s">
        <v>8</v>
      </c>
      <c r="M79" t="s">
        <v>8</v>
      </c>
      <c r="N79" t="s">
        <v>8</v>
      </c>
      <c r="P79">
        <f t="shared" ref="P79" si="370">IF(C79=D79,0,((E79-D79)-(C79-E79))/(C79-D79))</f>
        <v>-0.16129032258064599</v>
      </c>
      <c r="Q79">
        <f t="shared" ref="Q79" si="371">F79*P79</f>
        <v>-90800.59032258112</v>
      </c>
      <c r="R79">
        <f t="shared" ref="R79" si="372">R80+Q79</f>
        <v>-65919690.969343863</v>
      </c>
      <c r="S79">
        <f t="shared" ref="S79" si="373">R79/100000</f>
        <v>-659.19690969343867</v>
      </c>
      <c r="T79">
        <f t="shared" ref="T79" si="374">S79/1000</f>
        <v>-0.65919690969343869</v>
      </c>
    </row>
    <row r="80" spans="1:20" x14ac:dyDescent="0.25">
      <c r="A80" s="5">
        <v>44513</v>
      </c>
      <c r="B80">
        <v>12.1</v>
      </c>
      <c r="C80">
        <v>13.4</v>
      </c>
      <c r="D80">
        <v>11.94</v>
      </c>
      <c r="E80">
        <v>13.15</v>
      </c>
      <c r="F80">
        <v>235762.5</v>
      </c>
      <c r="G80">
        <v>13.15</v>
      </c>
      <c r="L80" t="s">
        <v>8</v>
      </c>
      <c r="M80" t="s">
        <v>7</v>
      </c>
      <c r="N80" t="s">
        <v>8</v>
      </c>
      <c r="P80">
        <f t="shared" ref="P80" si="375">IF(C80=D80,0,((E80-D80)-(C80-E80))/(C80-D80))</f>
        <v>0.65753424657534265</v>
      </c>
      <c r="Q80">
        <f t="shared" ref="Q80" si="376">F80*P80</f>
        <v>155021.91780821921</v>
      </c>
      <c r="R80">
        <f t="shared" ref="R80" si="377">R81+Q80</f>
        <v>-65828890.37902128</v>
      </c>
      <c r="S80">
        <f t="shared" ref="S80" si="378">R80/100000</f>
        <v>-658.28890379021277</v>
      </c>
      <c r="T80">
        <f t="shared" ref="T80" si="379">S80/1000</f>
        <v>-0.65828890379021276</v>
      </c>
    </row>
    <row r="81" spans="1:20" x14ac:dyDescent="0.25">
      <c r="A81" s="5">
        <v>44512</v>
      </c>
      <c r="B81">
        <v>12.58</v>
      </c>
      <c r="C81">
        <v>12.62</v>
      </c>
      <c r="D81">
        <v>11.74</v>
      </c>
      <c r="E81">
        <v>12.13</v>
      </c>
      <c r="F81">
        <v>91494.42</v>
      </c>
      <c r="G81">
        <v>12.13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-0.11363636363636134</v>
      </c>
      <c r="Q81">
        <f t="shared" ref="Q81" si="381">F81*P81</f>
        <v>-10397.093181817972</v>
      </c>
      <c r="R81">
        <f t="shared" ref="R81" si="382">R82+Q81</f>
        <v>-65983912.296829499</v>
      </c>
      <c r="S81">
        <f t="shared" ref="S81" si="383">R81/100000</f>
        <v>-659.83912296829499</v>
      </c>
      <c r="T81">
        <f t="shared" ref="T81" si="384">S81/1000</f>
        <v>-0.65983912296829494</v>
      </c>
    </row>
    <row r="82" spans="1:20" x14ac:dyDescent="0.25">
      <c r="A82" s="5">
        <v>44511</v>
      </c>
      <c r="B82">
        <v>12.09</v>
      </c>
      <c r="C82">
        <v>12.62</v>
      </c>
      <c r="D82">
        <v>11.96</v>
      </c>
      <c r="E82">
        <v>12.57</v>
      </c>
      <c r="F82">
        <v>97484.03</v>
      </c>
      <c r="G82">
        <v>12.57</v>
      </c>
      <c r="L82" t="s">
        <v>7</v>
      </c>
      <c r="M82" t="s">
        <v>7</v>
      </c>
      <c r="N82" t="s">
        <v>8</v>
      </c>
      <c r="P82">
        <f t="shared" ref="P82" si="385">IF(C82=D82,0,((E82-D82)-(C82-E82))/(C82-D82))</f>
        <v>0.84848484848485128</v>
      </c>
      <c r="Q82">
        <f t="shared" ref="Q82" si="386">F82*P82</f>
        <v>82713.722424242689</v>
      </c>
      <c r="R82">
        <f t="shared" ref="R82" si="387">R83+Q82</f>
        <v>-65973515.203647681</v>
      </c>
      <c r="S82">
        <f t="shared" ref="S82" si="388">R82/100000</f>
        <v>-659.73515203647685</v>
      </c>
      <c r="T82">
        <f t="shared" ref="T82" si="389">S82/1000</f>
        <v>-0.65973515203647681</v>
      </c>
    </row>
    <row r="83" spans="1:20" x14ac:dyDescent="0.25">
      <c r="A83" s="5">
        <v>44510</v>
      </c>
      <c r="B83">
        <v>12.48</v>
      </c>
      <c r="C83">
        <v>12.87</v>
      </c>
      <c r="D83">
        <v>12.06</v>
      </c>
      <c r="E83">
        <v>12.08</v>
      </c>
      <c r="F83">
        <v>158832.70000000001</v>
      </c>
      <c r="G83">
        <v>12.08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-0.95061728395061829</v>
      </c>
      <c r="Q83">
        <f t="shared" ref="Q83" si="391">F83*P83</f>
        <v>-150989.10987654337</v>
      </c>
      <c r="R83">
        <f t="shared" ref="R83" si="392">R84+Q83</f>
        <v>-66056228.926071927</v>
      </c>
      <c r="S83">
        <f t="shared" ref="S83" si="393">R83/100000</f>
        <v>-660.56228926071924</v>
      </c>
      <c r="T83">
        <f t="shared" ref="T83" si="394">S83/1000</f>
        <v>-0.66056228926071925</v>
      </c>
    </row>
    <row r="84" spans="1:20" x14ac:dyDescent="0.25">
      <c r="A84" s="5">
        <v>44509</v>
      </c>
      <c r="B84">
        <v>12.67</v>
      </c>
      <c r="C84">
        <v>12.74</v>
      </c>
      <c r="D84">
        <v>12.37</v>
      </c>
      <c r="E84">
        <v>12.48</v>
      </c>
      <c r="F84">
        <v>80890.53</v>
      </c>
      <c r="G84">
        <v>12.48</v>
      </c>
      <c r="L84" t="s">
        <v>7</v>
      </c>
      <c r="M84" t="s">
        <v>7</v>
      </c>
      <c r="N84" t="s">
        <v>8</v>
      </c>
      <c r="P84">
        <f t="shared" ref="P84" si="395">IF(C84=D84,0,((E84-D84)-(C84-E84))/(C84-D84))</f>
        <v>-0.40540540540540049</v>
      </c>
      <c r="Q84">
        <f t="shared" ref="Q84" si="396">F84*P84</f>
        <v>-32793.458108107712</v>
      </c>
      <c r="R84">
        <f t="shared" ref="R84" si="397">R85+Q84</f>
        <v>-65905239.816195384</v>
      </c>
      <c r="S84">
        <f t="shared" ref="S84" si="398">R84/100000</f>
        <v>-659.05239816195387</v>
      </c>
      <c r="T84">
        <f t="shared" ref="T84" si="399">S84/1000</f>
        <v>-0.65905239816195382</v>
      </c>
    </row>
    <row r="85" spans="1:20" x14ac:dyDescent="0.25">
      <c r="A85" s="5">
        <v>44508</v>
      </c>
      <c r="B85">
        <v>12.67</v>
      </c>
      <c r="C85">
        <v>12.94</v>
      </c>
      <c r="D85">
        <v>12.5</v>
      </c>
      <c r="E85">
        <v>12.67</v>
      </c>
      <c r="F85">
        <v>113300.44</v>
      </c>
      <c r="G85">
        <v>12.67</v>
      </c>
      <c r="L85" t="s">
        <v>7</v>
      </c>
      <c r="M85" t="s">
        <v>7</v>
      </c>
      <c r="N85" t="s">
        <v>8</v>
      </c>
      <c r="P85">
        <f t="shared" ref="P85" si="400">IF(C85=D85,0,((E85-D85)-(C85-E85))/(C85-D85))</f>
        <v>-0.22727272727272671</v>
      </c>
      <c r="Q85">
        <f t="shared" ref="Q85" si="401">F85*P85</f>
        <v>-25750.099999999937</v>
      </c>
      <c r="R85">
        <f t="shared" ref="R85" si="402">R86+Q85</f>
        <v>-65872446.358087279</v>
      </c>
      <c r="S85">
        <f t="shared" ref="S85" si="403">R85/100000</f>
        <v>-658.72446358087279</v>
      </c>
      <c r="T85">
        <f t="shared" ref="T85" si="404">S85/1000</f>
        <v>-0.65872446358087278</v>
      </c>
    </row>
    <row r="86" spans="1:20" x14ac:dyDescent="0.25">
      <c r="A86" s="5">
        <v>44507</v>
      </c>
      <c r="B86">
        <v>12.86</v>
      </c>
      <c r="C86">
        <v>12.99</v>
      </c>
      <c r="D86">
        <v>12.6</v>
      </c>
      <c r="E86">
        <v>12.68</v>
      </c>
      <c r="F86">
        <v>82950.33</v>
      </c>
      <c r="G86">
        <v>12.68</v>
      </c>
      <c r="L86" t="s">
        <v>7</v>
      </c>
      <c r="M86" t="s">
        <v>7</v>
      </c>
      <c r="N86" t="s">
        <v>8</v>
      </c>
      <c r="P86">
        <f t="shared" ref="P86" si="405">IF(C86=D86,0,((E86-D86)-(C86-E86))/(C86-D86))</f>
        <v>-0.58974358974358998</v>
      </c>
      <c r="Q86">
        <f t="shared" ref="Q86" si="406">F86*P86</f>
        <v>-48919.425384615402</v>
      </c>
      <c r="R86">
        <f t="shared" ref="R86" si="407">R87+Q86</f>
        <v>-65846696.258087277</v>
      </c>
      <c r="S86">
        <f t="shared" ref="S86" si="408">R86/100000</f>
        <v>-658.46696258087275</v>
      </c>
      <c r="T86">
        <f t="shared" ref="T86" si="409">S86/1000</f>
        <v>-0.65846696258087278</v>
      </c>
    </row>
    <row r="87" spans="1:20" x14ac:dyDescent="0.25">
      <c r="A87" s="5">
        <v>44506</v>
      </c>
      <c r="B87">
        <v>13.24</v>
      </c>
      <c r="C87">
        <v>13.25</v>
      </c>
      <c r="D87">
        <v>12.5</v>
      </c>
      <c r="E87">
        <v>12.83</v>
      </c>
      <c r="F87">
        <v>106880.71</v>
      </c>
      <c r="G87">
        <v>12.83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-0.11999999999999982</v>
      </c>
      <c r="Q87">
        <f t="shared" ref="Q87" si="411">F87*P87</f>
        <v>-12825.685199999982</v>
      </c>
      <c r="R87">
        <f t="shared" ref="R87" si="412">R88+Q87</f>
        <v>-65797776.832702659</v>
      </c>
      <c r="S87">
        <f t="shared" ref="S87" si="413">R87/100000</f>
        <v>-657.97776832702664</v>
      </c>
      <c r="T87">
        <f t="shared" ref="T87" si="414">S87/1000</f>
        <v>-0.65797776832702659</v>
      </c>
    </row>
    <row r="88" spans="1:20" x14ac:dyDescent="0.25">
      <c r="A88" s="5">
        <v>44505</v>
      </c>
      <c r="B88">
        <v>12.92</v>
      </c>
      <c r="C88">
        <v>13.52</v>
      </c>
      <c r="D88">
        <v>12.73</v>
      </c>
      <c r="E88">
        <v>13.24</v>
      </c>
      <c r="F88">
        <v>176674.96</v>
      </c>
      <c r="G88">
        <v>13.24</v>
      </c>
      <c r="L88" t="s">
        <v>8</v>
      </c>
      <c r="M88" t="s">
        <v>7</v>
      </c>
      <c r="N88" t="s">
        <v>8</v>
      </c>
      <c r="P88">
        <f t="shared" ref="P88" si="415">IF(C88=D88,0,((E88-D88)-(C88-E88))/(C88-D88))</f>
        <v>0.29113924050632994</v>
      </c>
      <c r="Q88">
        <f t="shared" ref="Q88" si="416">F88*P88</f>
        <v>51437.013670886219</v>
      </c>
      <c r="R88">
        <f t="shared" ref="R88" si="417">R89+Q88</f>
        <v>-65784951.147502661</v>
      </c>
      <c r="S88">
        <f t="shared" ref="S88" si="418">R88/100000</f>
        <v>-657.84951147502659</v>
      </c>
      <c r="T88">
        <f t="shared" ref="T88" si="419">S88/1000</f>
        <v>-0.65784951147502657</v>
      </c>
    </row>
    <row r="89" spans="1:20" x14ac:dyDescent="0.25">
      <c r="A89" s="5">
        <v>44504</v>
      </c>
      <c r="B89">
        <v>12.79</v>
      </c>
      <c r="C89">
        <v>13.42</v>
      </c>
      <c r="D89">
        <v>12.61</v>
      </c>
      <c r="E89">
        <v>12.92</v>
      </c>
      <c r="F89">
        <v>273914.55</v>
      </c>
      <c r="G89">
        <v>12.92</v>
      </c>
      <c r="L89" t="s">
        <v>8</v>
      </c>
      <c r="M89" t="s">
        <v>7</v>
      </c>
      <c r="N89" t="s">
        <v>8</v>
      </c>
      <c r="P89">
        <f t="shared" ref="P89" si="420">IF(C89=D89,0,((E89-D89)-(C89-E89))/(C89-D89))</f>
        <v>-0.23456790123456714</v>
      </c>
      <c r="Q89">
        <f t="shared" ref="Q89" si="421">F89*P89</f>
        <v>-64251.561111110903</v>
      </c>
      <c r="R89">
        <f t="shared" ref="R89" si="422">R90+Q89</f>
        <v>-65836388.161173545</v>
      </c>
      <c r="S89">
        <f t="shared" ref="S89" si="423">R89/100000</f>
        <v>-658.36388161173545</v>
      </c>
      <c r="T89">
        <f t="shared" ref="T89" si="424">S89/1000</f>
        <v>-0.65836388161173542</v>
      </c>
    </row>
    <row r="90" spans="1:20" x14ac:dyDescent="0.25">
      <c r="A90" s="5">
        <v>44503</v>
      </c>
      <c r="B90">
        <v>12.5</v>
      </c>
      <c r="C90">
        <v>13.09</v>
      </c>
      <c r="D90">
        <v>12.24</v>
      </c>
      <c r="E90">
        <v>12.78</v>
      </c>
      <c r="F90">
        <v>193796.32</v>
      </c>
      <c r="G90">
        <v>12.78</v>
      </c>
      <c r="L90" t="s">
        <v>8</v>
      </c>
      <c r="M90" t="s">
        <v>7</v>
      </c>
      <c r="N90" t="s">
        <v>8</v>
      </c>
      <c r="P90">
        <f t="shared" ref="P90" si="425">IF(C90=D90,0,((E90-D90)-(C90-E90))/(C90-D90))</f>
        <v>0.27058823529411619</v>
      </c>
      <c r="Q90">
        <f t="shared" ref="Q90" si="426">F90*P90</f>
        <v>52439.00423529384</v>
      </c>
      <c r="R90">
        <f t="shared" ref="R90" si="427">R91+Q90</f>
        <v>-65772136.600062437</v>
      </c>
      <c r="S90">
        <f t="shared" ref="S90" si="428">R90/100000</f>
        <v>-657.72136600062436</v>
      </c>
      <c r="T90">
        <f t="shared" ref="T90" si="429">S90/1000</f>
        <v>-0.65772136600062436</v>
      </c>
    </row>
    <row r="91" spans="1:20" x14ac:dyDescent="0.25">
      <c r="A91" s="5">
        <v>44502</v>
      </c>
      <c r="B91">
        <v>12.36</v>
      </c>
      <c r="C91">
        <v>12.6</v>
      </c>
      <c r="D91">
        <v>12.16</v>
      </c>
      <c r="E91">
        <v>12.5</v>
      </c>
      <c r="F91">
        <v>120286.54</v>
      </c>
      <c r="G91">
        <v>12.5</v>
      </c>
      <c r="L91" t="s">
        <v>7</v>
      </c>
      <c r="M91" t="s">
        <v>7</v>
      </c>
      <c r="N91" t="s">
        <v>8</v>
      </c>
      <c r="P91">
        <f t="shared" ref="P91" si="430">IF(C91=D91,0,((E91-D91)-(C91-E91))/(C91-D91))</f>
        <v>0.54545454545454652</v>
      </c>
      <c r="Q91">
        <f t="shared" ref="Q91" si="431">F91*P91</f>
        <v>65610.840000000127</v>
      </c>
      <c r="R91">
        <f t="shared" ref="R91" si="432">R92+Q91</f>
        <v>-65824575.604297735</v>
      </c>
      <c r="S91">
        <f t="shared" ref="S91" si="433">R91/100000</f>
        <v>-658.24575604297729</v>
      </c>
      <c r="T91">
        <f t="shared" ref="T91" si="434">S91/1000</f>
        <v>-0.6582457560429773</v>
      </c>
    </row>
    <row r="92" spans="1:20" x14ac:dyDescent="0.25">
      <c r="A92" s="5">
        <v>44501</v>
      </c>
      <c r="B92">
        <v>12.2</v>
      </c>
      <c r="C92">
        <v>12.4</v>
      </c>
      <c r="D92">
        <v>11.97</v>
      </c>
      <c r="E92">
        <v>12.37</v>
      </c>
      <c r="F92">
        <v>94575.05</v>
      </c>
      <c r="G92">
        <v>12.37</v>
      </c>
      <c r="L92" t="s">
        <v>7</v>
      </c>
      <c r="M92" t="s">
        <v>7</v>
      </c>
      <c r="N92" t="s">
        <v>8</v>
      </c>
      <c r="P92">
        <f t="shared" ref="P92" si="435">IF(C92=D92,0,((E92-D92)-(C92-E92))/(C92-D92))</f>
        <v>0.86046511627906441</v>
      </c>
      <c r="Q92">
        <f t="shared" ref="Q92" si="436">F92*P92</f>
        <v>81378.531395348327</v>
      </c>
      <c r="R92">
        <f t="shared" ref="R92" si="437">R93+Q92</f>
        <v>-65890186.444297738</v>
      </c>
      <c r="S92">
        <f t="shared" ref="S92" si="438">R92/100000</f>
        <v>-658.9018644429774</v>
      </c>
      <c r="T92">
        <f t="shared" ref="T92" si="439">S92/1000</f>
        <v>-0.65890186444297738</v>
      </c>
    </row>
    <row r="93" spans="1:20" x14ac:dyDescent="0.25">
      <c r="A93" s="5">
        <v>44500</v>
      </c>
      <c r="B93">
        <v>12.34</v>
      </c>
      <c r="C93">
        <v>12.8</v>
      </c>
      <c r="D93">
        <v>11.95</v>
      </c>
      <c r="E93">
        <v>12.19</v>
      </c>
      <c r="F93">
        <v>212531.54</v>
      </c>
      <c r="G93">
        <v>12.19</v>
      </c>
      <c r="L93" t="s">
        <v>7</v>
      </c>
      <c r="M93" t="s">
        <v>7</v>
      </c>
      <c r="N93" t="s">
        <v>8</v>
      </c>
      <c r="P93">
        <f t="shared" ref="P93" si="440">IF(C93=D93,0,((E93-D93)-(C93-E93))/(C93-D93))</f>
        <v>-0.43529411764705928</v>
      </c>
      <c r="Q93">
        <f t="shared" ref="Q93" si="441">F93*P93</f>
        <v>-92513.72917647069</v>
      </c>
      <c r="R93">
        <f t="shared" ref="R93" si="442">R94+Q93</f>
        <v>-65971564.975693084</v>
      </c>
      <c r="S93">
        <f t="shared" ref="S93" si="443">R93/100000</f>
        <v>-659.71564975693082</v>
      </c>
      <c r="T93">
        <f t="shared" ref="T93" si="444">S93/1000</f>
        <v>-0.65971564975693087</v>
      </c>
    </row>
    <row r="94" spans="1:20" x14ac:dyDescent="0.25">
      <c r="A94" s="5">
        <v>44499</v>
      </c>
      <c r="B94">
        <v>12.3</v>
      </c>
      <c r="C94">
        <v>13.05</v>
      </c>
      <c r="D94">
        <v>12.2</v>
      </c>
      <c r="E94">
        <v>12.34</v>
      </c>
      <c r="F94">
        <v>563396.05000000005</v>
      </c>
      <c r="G94">
        <v>12.34</v>
      </c>
      <c r="L94" t="s">
        <v>8</v>
      </c>
      <c r="M94" t="s">
        <v>7</v>
      </c>
      <c r="N94" t="s">
        <v>8</v>
      </c>
      <c r="P94">
        <f t="shared" ref="P94" si="445">IF(C94=D94,0,((E94-D94)-(C94-E94))/(C94-D94))</f>
        <v>-0.67058823529411682</v>
      </c>
      <c r="Q94">
        <f t="shared" ref="Q94" si="446">F94*P94</f>
        <v>-377806.76294117601</v>
      </c>
      <c r="R94">
        <f t="shared" ref="R94" si="447">R95+Q94</f>
        <v>-65879051.246516615</v>
      </c>
      <c r="S94">
        <f t="shared" ref="S94" si="448">R94/100000</f>
        <v>-658.7905124651661</v>
      </c>
      <c r="T94">
        <f t="shared" ref="T94" si="449">S94/1000</f>
        <v>-0.65879051246516607</v>
      </c>
    </row>
    <row r="95" spans="1:20" x14ac:dyDescent="0.25">
      <c r="A95" s="5">
        <v>44498</v>
      </c>
      <c r="B95">
        <v>12.1</v>
      </c>
      <c r="C95">
        <v>12.64</v>
      </c>
      <c r="D95">
        <v>12</v>
      </c>
      <c r="E95">
        <v>12.25</v>
      </c>
      <c r="F95">
        <v>125007.64</v>
      </c>
      <c r="G95">
        <v>12.25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-0.21875000000000069</v>
      </c>
      <c r="Q95">
        <f t="shared" ref="Q95" si="451">F95*P95</f>
        <v>-27345.421250000087</v>
      </c>
      <c r="R95">
        <f t="shared" ref="R95" si="452">R96+Q95</f>
        <v>-65501244.483575441</v>
      </c>
      <c r="S95">
        <f t="shared" ref="S95" si="453">R95/100000</f>
        <v>-655.01244483575442</v>
      </c>
      <c r="T95">
        <f t="shared" ref="T95" si="454">S95/1000</f>
        <v>-0.65501244483575438</v>
      </c>
    </row>
    <row r="96" spans="1:20" x14ac:dyDescent="0.25">
      <c r="A96" s="5">
        <v>44497</v>
      </c>
      <c r="B96">
        <v>12</v>
      </c>
      <c r="C96">
        <v>12.27</v>
      </c>
      <c r="D96">
        <v>11.65</v>
      </c>
      <c r="E96">
        <v>12.1</v>
      </c>
      <c r="F96">
        <v>127146.48</v>
      </c>
      <c r="G96">
        <v>12.1</v>
      </c>
      <c r="L96" t="s">
        <v>7</v>
      </c>
      <c r="M96" t="s">
        <v>7</v>
      </c>
      <c r="N96" t="s">
        <v>8</v>
      </c>
      <c r="P96">
        <f t="shared" ref="P96" si="455">IF(C96=D96,0,((E96-D96)-(C96-E96))/(C96-D96))</f>
        <v>0.45161290322580599</v>
      </c>
      <c r="Q96">
        <f t="shared" ref="Q96" si="456">F96*P96</f>
        <v>57420.990967741876</v>
      </c>
      <c r="R96">
        <f t="shared" ref="R96" si="457">R97+Q96</f>
        <v>-65473899.06232544</v>
      </c>
      <c r="S96">
        <f t="shared" ref="S96" si="458">R96/100000</f>
        <v>-654.73899062325438</v>
      </c>
      <c r="T96">
        <f t="shared" ref="T96" si="459">S96/1000</f>
        <v>-0.65473899062325436</v>
      </c>
    </row>
    <row r="97" spans="1:20" x14ac:dyDescent="0.25">
      <c r="A97" s="5">
        <v>44496</v>
      </c>
      <c r="B97">
        <v>13.03</v>
      </c>
      <c r="C97">
        <v>13.33</v>
      </c>
      <c r="D97">
        <v>11.9</v>
      </c>
      <c r="E97">
        <v>12</v>
      </c>
      <c r="F97">
        <v>200009.38</v>
      </c>
      <c r="G97">
        <v>12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-0.86013986013986066</v>
      </c>
      <c r="Q97">
        <f t="shared" ref="Q97" si="461">F97*P97</f>
        <v>-172036.04013986024</v>
      </c>
      <c r="R97">
        <f t="shared" ref="R97" si="462">R98+Q97</f>
        <v>-65531320.053293183</v>
      </c>
      <c r="S97">
        <f t="shared" ref="S97" si="463">R97/100000</f>
        <v>-655.31320053293189</v>
      </c>
      <c r="T97">
        <f t="shared" ref="T97" si="464">S97/1000</f>
        <v>-0.65531320053293185</v>
      </c>
    </row>
    <row r="98" spans="1:20" x14ac:dyDescent="0.25">
      <c r="A98" s="5">
        <v>44495</v>
      </c>
      <c r="B98">
        <v>13.26</v>
      </c>
      <c r="C98">
        <v>13.32</v>
      </c>
      <c r="D98">
        <v>12.96</v>
      </c>
      <c r="E98">
        <v>13.06</v>
      </c>
      <c r="F98">
        <v>141964.07999999999</v>
      </c>
      <c r="G98">
        <v>13.06</v>
      </c>
      <c r="L98" t="s">
        <v>7</v>
      </c>
      <c r="M98" t="s">
        <v>8</v>
      </c>
      <c r="N98" t="s">
        <v>8</v>
      </c>
      <c r="P98">
        <f t="shared" ref="P98" si="465">IF(C98=D98,0,((E98-D98)-(C98-E98))/(C98-D98))</f>
        <v>-0.44444444444444553</v>
      </c>
      <c r="Q98">
        <f t="shared" ref="Q98" si="466">F98*P98</f>
        <v>-63095.146666666813</v>
      </c>
      <c r="R98">
        <f t="shared" ref="R98" si="467">R99+Q98</f>
        <v>-65359284.013153322</v>
      </c>
      <c r="S98">
        <f t="shared" ref="S98" si="468">R98/100000</f>
        <v>-653.59284013153319</v>
      </c>
      <c r="T98">
        <f t="shared" ref="T98" si="469">S98/1000</f>
        <v>-0.65359284013153318</v>
      </c>
    </row>
    <row r="99" spans="1:20" x14ac:dyDescent="0.25">
      <c r="A99" s="5">
        <v>44494</v>
      </c>
      <c r="B99">
        <v>13.15</v>
      </c>
      <c r="C99">
        <v>13.69</v>
      </c>
      <c r="D99">
        <v>13.03</v>
      </c>
      <c r="E99">
        <v>13.25</v>
      </c>
      <c r="F99">
        <v>163960.91</v>
      </c>
      <c r="G99">
        <v>13.25</v>
      </c>
      <c r="L99" t="s">
        <v>7</v>
      </c>
      <c r="M99" t="s">
        <v>8</v>
      </c>
      <c r="N99" t="s">
        <v>8</v>
      </c>
      <c r="P99">
        <f t="shared" ref="P99" si="470">IF(C99=D99,0,((E99-D99)-(C99-E99))/(C99-D99))</f>
        <v>-0.33333333333333154</v>
      </c>
      <c r="Q99">
        <f t="shared" ref="Q99" si="471">F99*P99</f>
        <v>-54653.636666666374</v>
      </c>
      <c r="R99">
        <f t="shared" ref="R99" si="472">R100+Q99</f>
        <v>-65296188.866486654</v>
      </c>
      <c r="S99">
        <f t="shared" ref="S99" si="473">R99/100000</f>
        <v>-652.96188866486659</v>
      </c>
      <c r="T99">
        <f t="shared" ref="T99" si="474">S99/1000</f>
        <v>-0.6529618886648666</v>
      </c>
    </row>
    <row r="100" spans="1:20" x14ac:dyDescent="0.25">
      <c r="A100" s="5">
        <v>44493</v>
      </c>
      <c r="B100">
        <v>13.88</v>
      </c>
      <c r="C100">
        <v>14.2</v>
      </c>
      <c r="D100">
        <v>12.9</v>
      </c>
      <c r="E100">
        <v>13.15</v>
      </c>
      <c r="F100">
        <v>197798.39</v>
      </c>
      <c r="G100">
        <v>13.15</v>
      </c>
      <c r="L100" t="s">
        <v>7</v>
      </c>
      <c r="M100" t="s">
        <v>8</v>
      </c>
      <c r="N100" t="s">
        <v>8</v>
      </c>
      <c r="P100">
        <f t="shared" ref="P100" si="475">IF(C100=D100,0,((E100-D100)-(C100-E100))/(C100-D100))</f>
        <v>-0.61538461538461509</v>
      </c>
      <c r="Q100">
        <f t="shared" ref="Q100" si="476">F100*P100</f>
        <v>-121722.0861538461</v>
      </c>
      <c r="R100">
        <f t="shared" ref="R100" si="477">R101+Q100</f>
        <v>-65241535.229819991</v>
      </c>
      <c r="S100">
        <f t="shared" ref="S100" si="478">R100/100000</f>
        <v>-652.41535229819988</v>
      </c>
      <c r="T100">
        <f t="shared" ref="T100" si="479">S100/1000</f>
        <v>-0.65241535229819991</v>
      </c>
    </row>
    <row r="101" spans="1:20" x14ac:dyDescent="0.25">
      <c r="A101" s="5">
        <v>44492</v>
      </c>
      <c r="B101">
        <v>13.23</v>
      </c>
      <c r="C101">
        <v>14.7</v>
      </c>
      <c r="D101">
        <v>13</v>
      </c>
      <c r="E101">
        <v>13.89</v>
      </c>
      <c r="F101">
        <v>762908.98</v>
      </c>
      <c r="G101">
        <v>13.89</v>
      </c>
      <c r="L101" t="s">
        <v>8</v>
      </c>
      <c r="M101" t="s">
        <v>8</v>
      </c>
      <c r="N101" t="s">
        <v>8</v>
      </c>
      <c r="P101">
        <f t="shared" ref="P101" si="480">IF(C101=D101,0,((E101-D101)-(C101-E101))/(C101-D101))</f>
        <v>4.7058823529412874E-2</v>
      </c>
      <c r="Q101">
        <f t="shared" ref="Q101" si="481">F101*P101</f>
        <v>35901.599058824373</v>
      </c>
      <c r="R101">
        <f t="shared" ref="R101" si="482">R102+Q101</f>
        <v>-65119813.143666148</v>
      </c>
      <c r="S101">
        <f t="shared" ref="S101" si="483">R101/100000</f>
        <v>-651.19813143666147</v>
      </c>
      <c r="T101">
        <f t="shared" ref="T101" si="484">S101/1000</f>
        <v>-0.6511981314366615</v>
      </c>
    </row>
    <row r="102" spans="1:20" x14ac:dyDescent="0.25">
      <c r="A102" s="5">
        <v>44491</v>
      </c>
      <c r="B102">
        <v>12.94</v>
      </c>
      <c r="C102">
        <v>13.76</v>
      </c>
      <c r="D102">
        <v>12.8</v>
      </c>
      <c r="E102">
        <v>13.2</v>
      </c>
      <c r="F102">
        <v>295011.84000000003</v>
      </c>
      <c r="G102">
        <v>13.2</v>
      </c>
      <c r="L102" t="s">
        <v>8</v>
      </c>
      <c r="M102" t="s">
        <v>8</v>
      </c>
      <c r="N102" t="s">
        <v>8</v>
      </c>
      <c r="P102">
        <f t="shared" ref="P102" si="485">IF(C102=D102,0,((E102-D102)-(C102-E102))/(C102-D102))</f>
        <v>-0.16666666666666882</v>
      </c>
      <c r="Q102">
        <f t="shared" ref="Q102" si="486">F102*P102</f>
        <v>-49168.64000000064</v>
      </c>
      <c r="R102">
        <f t="shared" ref="R102" si="487">R103+Q102</f>
        <v>-65155714.74272497</v>
      </c>
      <c r="S102">
        <f t="shared" ref="S102" si="488">R102/100000</f>
        <v>-651.55714742724967</v>
      </c>
      <c r="T102">
        <f t="shared" ref="T102" si="489">S102/1000</f>
        <v>-0.65155714742724968</v>
      </c>
    </row>
    <row r="103" spans="1:20" x14ac:dyDescent="0.25">
      <c r="A103" s="5">
        <v>44490</v>
      </c>
      <c r="B103">
        <v>13.02</v>
      </c>
      <c r="C103">
        <v>13.3</v>
      </c>
      <c r="D103">
        <v>12.54</v>
      </c>
      <c r="E103">
        <v>12.93</v>
      </c>
      <c r="F103">
        <v>217966.47</v>
      </c>
      <c r="G103">
        <v>12.93</v>
      </c>
      <c r="L103" t="s">
        <v>7</v>
      </c>
      <c r="M103" t="s">
        <v>8</v>
      </c>
      <c r="N103" t="s">
        <v>8</v>
      </c>
      <c r="P103">
        <f t="shared" ref="P103" si="490">IF(C103=D103,0,((E103-D103)-(C103-E103))/(C103-D103))</f>
        <v>2.6315789473683595E-2</v>
      </c>
      <c r="Q103">
        <f t="shared" ref="Q103" si="491">F103*P103</f>
        <v>5735.9597368419709</v>
      </c>
      <c r="R103">
        <f t="shared" ref="R103" si="492">R104+Q103</f>
        <v>-65106546.102724969</v>
      </c>
      <c r="S103">
        <f t="shared" ref="S103" si="493">R103/100000</f>
        <v>-651.06546102724974</v>
      </c>
      <c r="T103">
        <f t="shared" ref="T103" si="494">S103/1000</f>
        <v>-0.65106546102724971</v>
      </c>
    </row>
    <row r="104" spans="1:20" x14ac:dyDescent="0.25">
      <c r="A104" s="5">
        <v>44489</v>
      </c>
      <c r="B104">
        <v>12.77</v>
      </c>
      <c r="C104">
        <v>13.42</v>
      </c>
      <c r="D104">
        <v>12.66</v>
      </c>
      <c r="E104">
        <v>13.03</v>
      </c>
      <c r="F104">
        <v>209376.61</v>
      </c>
      <c r="G104">
        <v>13.03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-2.6315789473685996E-2</v>
      </c>
      <c r="Q104">
        <f t="shared" ref="Q104" si="496">F104*P104</f>
        <v>-5509.9107894740573</v>
      </c>
      <c r="R104">
        <f t="shared" ref="R104" si="497">R105+Q104</f>
        <v>-65112282.062461808</v>
      </c>
      <c r="S104">
        <f t="shared" ref="S104" si="498">R104/100000</f>
        <v>-651.12282062461804</v>
      </c>
      <c r="T104">
        <f t="shared" ref="T104" si="499">S104/1000</f>
        <v>-0.65112282062461802</v>
      </c>
    </row>
    <row r="105" spans="1:20" x14ac:dyDescent="0.25">
      <c r="A105" s="5">
        <v>44488</v>
      </c>
      <c r="B105">
        <v>12.68</v>
      </c>
      <c r="C105">
        <v>13</v>
      </c>
      <c r="D105">
        <v>12.58</v>
      </c>
      <c r="E105">
        <v>12.77</v>
      </c>
      <c r="F105">
        <v>104654.42</v>
      </c>
      <c r="G105">
        <v>12.77</v>
      </c>
      <c r="L105" t="s">
        <v>7</v>
      </c>
      <c r="M105" t="s">
        <v>8</v>
      </c>
      <c r="N105" t="s">
        <v>8</v>
      </c>
      <c r="P105">
        <f t="shared" ref="P105" si="500">IF(C105=D105,0,((E105-D105)-(C105-E105))/(C105-D105))</f>
        <v>-9.5238095238097453E-2</v>
      </c>
      <c r="Q105">
        <f t="shared" ref="Q105" si="501">F105*P105</f>
        <v>-9967.0876190478502</v>
      </c>
      <c r="R105">
        <f t="shared" ref="R105" si="502">R106+Q105</f>
        <v>-65106772.151672333</v>
      </c>
      <c r="S105">
        <f t="shared" ref="S105" si="503">R105/100000</f>
        <v>-651.06772151672328</v>
      </c>
      <c r="T105">
        <f t="shared" ref="T105" si="504">S105/1000</f>
        <v>-0.65106772151672332</v>
      </c>
    </row>
    <row r="106" spans="1:20" x14ac:dyDescent="0.25">
      <c r="A106" s="5">
        <v>44487</v>
      </c>
      <c r="B106">
        <v>12.78</v>
      </c>
      <c r="C106">
        <v>13.26</v>
      </c>
      <c r="D106">
        <v>12.51</v>
      </c>
      <c r="E106">
        <v>12.71</v>
      </c>
      <c r="F106">
        <v>204804.86</v>
      </c>
      <c r="G106">
        <v>12.71</v>
      </c>
      <c r="L106" t="s">
        <v>7</v>
      </c>
      <c r="M106" t="s">
        <v>8</v>
      </c>
      <c r="N106" t="s">
        <v>8</v>
      </c>
      <c r="P106">
        <f t="shared" ref="P106" si="505">IF(C106=D106,0,((E106-D106)-(C106-E106))/(C106-D106))</f>
        <v>-0.46666666666666384</v>
      </c>
      <c r="Q106">
        <f t="shared" ref="Q106" si="506">F106*P106</f>
        <v>-95575.601333332743</v>
      </c>
      <c r="R106">
        <f t="shared" ref="R106" si="507">R107+Q106</f>
        <v>-65096805.064053282</v>
      </c>
      <c r="S106">
        <f t="shared" ref="S106" si="508">R106/100000</f>
        <v>-650.96805064053285</v>
      </c>
      <c r="T106">
        <f t="shared" ref="T106" si="509">S106/1000</f>
        <v>-0.65096805064053287</v>
      </c>
    </row>
    <row r="107" spans="1:20" x14ac:dyDescent="0.25">
      <c r="A107" s="5">
        <v>44486</v>
      </c>
      <c r="B107">
        <v>12.89</v>
      </c>
      <c r="C107">
        <v>14.6</v>
      </c>
      <c r="D107">
        <v>12.44</v>
      </c>
      <c r="E107">
        <v>12.77</v>
      </c>
      <c r="F107">
        <v>503118.8</v>
      </c>
      <c r="G107">
        <v>12.77</v>
      </c>
      <c r="L107" t="s">
        <v>8</v>
      </c>
      <c r="M107" t="s">
        <v>8</v>
      </c>
      <c r="N107" t="s">
        <v>8</v>
      </c>
      <c r="P107">
        <f t="shared" ref="P107" si="510">IF(C107=D107,0,((E107-D107)-(C107-E107))/(C107-D107))</f>
        <v>-0.69444444444444442</v>
      </c>
      <c r="Q107">
        <f t="shared" ref="Q107" si="511">F107*P107</f>
        <v>-349388.05555555556</v>
      </c>
      <c r="R107">
        <f t="shared" ref="R107" si="512">R108+Q107</f>
        <v>-65001229.462719947</v>
      </c>
      <c r="S107">
        <f t="shared" ref="S107" si="513">R107/100000</f>
        <v>-650.01229462719948</v>
      </c>
      <c r="T107">
        <f t="shared" ref="T107" si="514">S107/1000</f>
        <v>-0.65001229462719945</v>
      </c>
    </row>
    <row r="108" spans="1:20" x14ac:dyDescent="0.25">
      <c r="A108" s="5">
        <v>44485</v>
      </c>
      <c r="B108">
        <v>13.26</v>
      </c>
      <c r="C108">
        <v>13.26</v>
      </c>
      <c r="D108">
        <v>12.71</v>
      </c>
      <c r="E108">
        <v>12.92</v>
      </c>
      <c r="F108">
        <v>173587.37</v>
      </c>
      <c r="G108">
        <v>12.92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-0.23636363636363825</v>
      </c>
      <c r="Q108">
        <f t="shared" ref="Q108" si="516">F108*P108</f>
        <v>-41029.742000000326</v>
      </c>
      <c r="R108">
        <f t="shared" ref="R108" si="517">R109+Q108</f>
        <v>-64651841.407164395</v>
      </c>
      <c r="S108">
        <f t="shared" ref="S108" si="518">R108/100000</f>
        <v>-646.51841407164397</v>
      </c>
      <c r="T108">
        <f t="shared" ref="T108" si="519">S108/1000</f>
        <v>-0.64651841407164401</v>
      </c>
    </row>
    <row r="109" spans="1:20" x14ac:dyDescent="0.25">
      <c r="A109" s="5">
        <v>44484</v>
      </c>
      <c r="B109">
        <v>12.65</v>
      </c>
      <c r="C109">
        <v>13.95</v>
      </c>
      <c r="D109">
        <v>12.3</v>
      </c>
      <c r="E109">
        <v>13.26</v>
      </c>
      <c r="F109">
        <v>425872.83</v>
      </c>
      <c r="G109">
        <v>13.26</v>
      </c>
      <c r="L109" t="s">
        <v>7</v>
      </c>
      <c r="M109" t="s">
        <v>8</v>
      </c>
      <c r="N109" t="s">
        <v>8</v>
      </c>
      <c r="P109">
        <f t="shared" ref="P109" si="520">IF(C109=D109,0,((E109-D109)-(C109-E109))/(C109-D109))</f>
        <v>0.16363636363636352</v>
      </c>
      <c r="Q109">
        <f t="shared" ref="Q109" si="521">F109*P109</f>
        <v>69688.281272727225</v>
      </c>
      <c r="R109">
        <f t="shared" ref="R109" si="522">R110+Q109</f>
        <v>-64610811.665164396</v>
      </c>
      <c r="S109">
        <f t="shared" ref="S109" si="523">R109/100000</f>
        <v>-646.10811665164397</v>
      </c>
      <c r="T109">
        <f t="shared" ref="T109" si="524">S109/1000</f>
        <v>-0.64610811665164392</v>
      </c>
    </row>
    <row r="110" spans="1:20" x14ac:dyDescent="0.25">
      <c r="A110" s="5">
        <v>44483</v>
      </c>
      <c r="B110">
        <v>12.58</v>
      </c>
      <c r="C110">
        <v>13.28</v>
      </c>
      <c r="D110">
        <v>12.56</v>
      </c>
      <c r="E110">
        <v>12.66</v>
      </c>
      <c r="F110">
        <v>264382.2</v>
      </c>
      <c r="G110">
        <v>12.66</v>
      </c>
      <c r="L110" t="s">
        <v>7</v>
      </c>
      <c r="M110" t="s">
        <v>8</v>
      </c>
      <c r="N110" t="s">
        <v>8</v>
      </c>
      <c r="P110">
        <f t="shared" ref="P110" si="525">IF(C110=D110,0,((E110-D110)-(C110-E110))/(C110-D110))</f>
        <v>-0.72222222222222276</v>
      </c>
      <c r="Q110">
        <f t="shared" ref="Q110" si="526">F110*P110</f>
        <v>-190942.70000000016</v>
      </c>
      <c r="R110">
        <f t="shared" ref="R110" si="527">R111+Q110</f>
        <v>-64680499.94643712</v>
      </c>
      <c r="S110">
        <f t="shared" ref="S110" si="528">R110/100000</f>
        <v>-646.80499946437124</v>
      </c>
      <c r="T110">
        <f t="shared" ref="T110" si="529">S110/1000</f>
        <v>-0.6468049994643712</v>
      </c>
    </row>
    <row r="111" spans="1:20" x14ac:dyDescent="0.25">
      <c r="A111" s="5">
        <v>44482</v>
      </c>
      <c r="B111">
        <v>12.34</v>
      </c>
      <c r="C111">
        <v>14.09</v>
      </c>
      <c r="D111">
        <v>11.94</v>
      </c>
      <c r="E111">
        <v>12.58</v>
      </c>
      <c r="F111">
        <v>410047.85</v>
      </c>
      <c r="G111">
        <v>12.58</v>
      </c>
      <c r="L111" t="s">
        <v>8</v>
      </c>
      <c r="M111" t="s">
        <v>8</v>
      </c>
      <c r="N111" t="s">
        <v>8</v>
      </c>
      <c r="P111">
        <f t="shared" ref="P111" si="530">IF(C111=D111,0,((E111-D111)-(C111-E111))/(C111-D111))</f>
        <v>-0.40465116279069724</v>
      </c>
      <c r="Q111">
        <f t="shared" ref="Q111" si="531">F111*P111</f>
        <v>-165926.33930232539</v>
      </c>
      <c r="R111">
        <f t="shared" ref="R111" si="532">R112+Q111</f>
        <v>-64489557.246437117</v>
      </c>
      <c r="S111">
        <f t="shared" ref="S111" si="533">R111/100000</f>
        <v>-644.89557246437118</v>
      </c>
      <c r="T111">
        <f t="shared" ref="T111" si="534">S111/1000</f>
        <v>-0.64489557246437124</v>
      </c>
    </row>
    <row r="112" spans="1:20" x14ac:dyDescent="0.25">
      <c r="A112" s="5">
        <v>44481</v>
      </c>
      <c r="B112">
        <v>12.29</v>
      </c>
      <c r="C112">
        <v>12.5</v>
      </c>
      <c r="D112">
        <v>11.65</v>
      </c>
      <c r="E112">
        <v>12.33</v>
      </c>
      <c r="F112">
        <v>171758.61</v>
      </c>
      <c r="G112">
        <v>12.33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0.6</v>
      </c>
      <c r="Q112">
        <f t="shared" ref="Q112" si="536">F112*P112</f>
        <v>103055.16599999998</v>
      </c>
      <c r="R112">
        <f t="shared" ref="R112" si="537">R113+Q112</f>
        <v>-64323630.907134794</v>
      </c>
      <c r="S112">
        <f t="shared" ref="S112" si="538">R112/100000</f>
        <v>-643.23630907134793</v>
      </c>
      <c r="T112">
        <f t="shared" ref="T112" si="539">S112/1000</f>
        <v>-0.64323630907134788</v>
      </c>
    </row>
    <row r="113" spans="1:20" x14ac:dyDescent="0.25">
      <c r="A113" s="5">
        <v>44480</v>
      </c>
      <c r="B113">
        <v>12.34</v>
      </c>
      <c r="C113">
        <v>12.79</v>
      </c>
      <c r="D113">
        <v>12.04</v>
      </c>
      <c r="E113">
        <v>12.33</v>
      </c>
      <c r="F113">
        <v>227896.87</v>
      </c>
      <c r="G113">
        <v>12.33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-0.22666666666666421</v>
      </c>
      <c r="Q113">
        <f t="shared" ref="Q113" si="541">F113*P113</f>
        <v>-51656.623866666108</v>
      </c>
      <c r="R113">
        <f t="shared" ref="R113" si="542">R114+Q113</f>
        <v>-64426686.073134795</v>
      </c>
      <c r="S113">
        <f t="shared" ref="S113" si="543">R113/100000</f>
        <v>-644.26686073134795</v>
      </c>
      <c r="T113">
        <f t="shared" ref="T113" si="544">S113/1000</f>
        <v>-0.64426686073134798</v>
      </c>
    </row>
    <row r="114" spans="1:20" x14ac:dyDescent="0.25">
      <c r="A114" s="5">
        <v>44479</v>
      </c>
      <c r="B114">
        <v>12.68</v>
      </c>
      <c r="C114">
        <v>13.37</v>
      </c>
      <c r="D114">
        <v>12.32</v>
      </c>
      <c r="E114">
        <v>12.37</v>
      </c>
      <c r="F114">
        <v>269657.19</v>
      </c>
      <c r="G114">
        <v>12.37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-0.90476190476190665</v>
      </c>
      <c r="Q114">
        <f t="shared" ref="Q114" si="546">F114*P114</f>
        <v>-243975.55285714337</v>
      </c>
      <c r="R114">
        <f t="shared" ref="R114" si="547">R115+Q114</f>
        <v>-64375029.449268125</v>
      </c>
      <c r="S114">
        <f t="shared" ref="S114" si="548">R114/100000</f>
        <v>-643.75029449268129</v>
      </c>
      <c r="T114">
        <f t="shared" ref="T114" si="549">S114/1000</f>
        <v>-0.64375029449268129</v>
      </c>
    </row>
    <row r="115" spans="1:20" x14ac:dyDescent="0.25">
      <c r="A115" s="5">
        <v>44478</v>
      </c>
      <c r="B115">
        <v>12.61</v>
      </c>
      <c r="C115">
        <v>12.99</v>
      </c>
      <c r="D115">
        <v>12.56</v>
      </c>
      <c r="E115">
        <v>12.67</v>
      </c>
      <c r="F115">
        <v>167157.44</v>
      </c>
      <c r="G115">
        <v>12.67</v>
      </c>
      <c r="L115" t="s">
        <v>7</v>
      </c>
      <c r="M115" t="s">
        <v>7</v>
      </c>
      <c r="N115" t="s">
        <v>8</v>
      </c>
      <c r="P115">
        <f t="shared" ref="P115" si="550">IF(C115=D115,0,((E115-D115)-(C115-E115))/(C115-D115))</f>
        <v>-0.48837209302325812</v>
      </c>
      <c r="Q115">
        <f t="shared" ref="Q115" si="551">F115*P115</f>
        <v>-81635.028837209684</v>
      </c>
      <c r="R115">
        <f t="shared" ref="R115" si="552">R116+Q115</f>
        <v>-64131053.896410979</v>
      </c>
      <c r="S115">
        <f t="shared" ref="S115" si="553">R115/100000</f>
        <v>-641.31053896410981</v>
      </c>
      <c r="T115">
        <f t="shared" ref="T115" si="554">S115/1000</f>
        <v>-0.64131053896410983</v>
      </c>
    </row>
    <row r="116" spans="1:20" x14ac:dyDescent="0.25">
      <c r="A116" s="5">
        <v>44477</v>
      </c>
      <c r="B116">
        <v>12.98</v>
      </c>
      <c r="C116">
        <v>13.44</v>
      </c>
      <c r="D116">
        <v>12.52</v>
      </c>
      <c r="E116">
        <v>12.65</v>
      </c>
      <c r="F116">
        <v>204701.09</v>
      </c>
      <c r="G116">
        <v>12.65</v>
      </c>
      <c r="L116" t="s">
        <v>7</v>
      </c>
      <c r="M116" t="s">
        <v>7</v>
      </c>
      <c r="N116" t="s">
        <v>8</v>
      </c>
      <c r="P116">
        <f t="shared" ref="P116" si="555">IF(C116=D116,0,((E116-D116)-(C116-E116))/(C116-D116))</f>
        <v>-0.71739130434782439</v>
      </c>
      <c r="Q116">
        <f t="shared" ref="Q116" si="556">F116*P116</f>
        <v>-146850.78195652139</v>
      </c>
      <c r="R116">
        <f t="shared" ref="R116" si="557">R117+Q116</f>
        <v>-64049418.867573768</v>
      </c>
      <c r="S116">
        <f t="shared" ref="S116" si="558">R116/100000</f>
        <v>-640.49418867573763</v>
      </c>
      <c r="T116">
        <f t="shared" ref="T116" si="559">S116/1000</f>
        <v>-0.6404941886757376</v>
      </c>
    </row>
    <row r="117" spans="1:20" x14ac:dyDescent="0.25">
      <c r="A117" s="5">
        <v>44476</v>
      </c>
      <c r="B117">
        <v>13.23</v>
      </c>
      <c r="C117">
        <v>13.55</v>
      </c>
      <c r="D117">
        <v>12.75</v>
      </c>
      <c r="E117">
        <v>12.96</v>
      </c>
      <c r="F117">
        <v>219829.11</v>
      </c>
      <c r="G117">
        <v>12.96</v>
      </c>
      <c r="L117" t="s">
        <v>7</v>
      </c>
      <c r="M117" t="s">
        <v>8</v>
      </c>
      <c r="N117" t="s">
        <v>8</v>
      </c>
      <c r="P117">
        <f t="shared" ref="P117" si="560">IF(C117=D117,0,((E117-D117)-(C117-E117))/(C117-D117))</f>
        <v>-0.47499999999999831</v>
      </c>
      <c r="Q117">
        <f t="shared" ref="Q117" si="561">F117*P117</f>
        <v>-104418.82724999962</v>
      </c>
      <c r="R117">
        <f t="shared" ref="R117" si="562">R118+Q117</f>
        <v>-63902568.085617244</v>
      </c>
      <c r="S117">
        <f t="shared" ref="S117" si="563">R117/100000</f>
        <v>-639.02568085617247</v>
      </c>
      <c r="T117">
        <f t="shared" ref="T117" si="564">S117/1000</f>
        <v>-0.63902568085617251</v>
      </c>
    </row>
    <row r="118" spans="1:20" x14ac:dyDescent="0.25">
      <c r="A118" s="5">
        <v>44475</v>
      </c>
      <c r="B118">
        <v>13.84</v>
      </c>
      <c r="C118">
        <v>14.33</v>
      </c>
      <c r="D118">
        <v>12.74</v>
      </c>
      <c r="E118">
        <v>13.26</v>
      </c>
      <c r="F118">
        <v>347285.62</v>
      </c>
      <c r="G118">
        <v>13.26</v>
      </c>
      <c r="L118" t="s">
        <v>7</v>
      </c>
      <c r="M118" t="s">
        <v>8</v>
      </c>
      <c r="N118" t="s">
        <v>8</v>
      </c>
      <c r="P118">
        <f t="shared" ref="P118" si="565">IF(C118=D118,0,((E118-D118)-(C118-E118))/(C118-D118))</f>
        <v>-0.34591194968553507</v>
      </c>
      <c r="Q118">
        <f t="shared" ref="Q118" si="566">F118*P118</f>
        <v>-120130.24591194985</v>
      </c>
      <c r="R118">
        <f t="shared" ref="R118" si="567">R119+Q118</f>
        <v>-63798149.258367248</v>
      </c>
      <c r="S118">
        <f t="shared" ref="S118" si="568">R118/100000</f>
        <v>-637.98149258367243</v>
      </c>
      <c r="T118">
        <f t="shared" ref="T118" si="569">S118/1000</f>
        <v>-0.63798149258367243</v>
      </c>
    </row>
    <row r="119" spans="1:20" x14ac:dyDescent="0.25">
      <c r="A119" s="5">
        <v>44474</v>
      </c>
      <c r="B119">
        <v>12.6</v>
      </c>
      <c r="C119">
        <v>15.1</v>
      </c>
      <c r="D119">
        <v>12.51</v>
      </c>
      <c r="E119">
        <v>13.83</v>
      </c>
      <c r="F119">
        <v>1111635.8899999999</v>
      </c>
      <c r="G119">
        <v>13.83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1.9305019305019579E-2</v>
      </c>
      <c r="Q119">
        <f t="shared" ref="Q119" si="571">F119*P119</f>
        <v>21460.15231660262</v>
      </c>
      <c r="R119">
        <f t="shared" ref="R119" si="572">R120+Q119</f>
        <v>-63678019.012455299</v>
      </c>
      <c r="S119">
        <f t="shared" ref="S119" si="573">R119/100000</f>
        <v>-636.78019012455297</v>
      </c>
      <c r="T119">
        <f t="shared" ref="T119" si="574">S119/1000</f>
        <v>-0.636780190124553</v>
      </c>
    </row>
    <row r="120" spans="1:20" x14ac:dyDescent="0.25">
      <c r="A120" s="5">
        <v>44473</v>
      </c>
      <c r="B120">
        <v>12.89</v>
      </c>
      <c r="C120">
        <v>13.03</v>
      </c>
      <c r="D120">
        <v>12.27</v>
      </c>
      <c r="E120">
        <v>12.6</v>
      </c>
      <c r="F120">
        <v>262619.96000000002</v>
      </c>
      <c r="G120">
        <v>12.6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-0.13157894736842063</v>
      </c>
      <c r="Q120">
        <f t="shared" ref="Q120" si="576">F120*P120</f>
        <v>-34555.257894736736</v>
      </c>
      <c r="R120">
        <f t="shared" ref="R120" si="577">R121+Q120</f>
        <v>-63699479.1647719</v>
      </c>
      <c r="S120">
        <f t="shared" ref="S120" si="578">R120/100000</f>
        <v>-636.99479164771901</v>
      </c>
      <c r="T120">
        <f t="shared" ref="T120" si="579">S120/1000</f>
        <v>-0.63699479164771899</v>
      </c>
    </row>
    <row r="121" spans="1:20" x14ac:dyDescent="0.25">
      <c r="A121" s="5">
        <v>44472</v>
      </c>
      <c r="B121">
        <v>12.79</v>
      </c>
      <c r="C121">
        <v>13.16</v>
      </c>
      <c r="D121">
        <v>12.58</v>
      </c>
      <c r="E121">
        <v>12.84</v>
      </c>
      <c r="F121">
        <v>206256.43</v>
      </c>
      <c r="G121">
        <v>12.84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-0.10344827586206981</v>
      </c>
      <c r="Q121">
        <f t="shared" ref="Q121" si="581">F121*P121</f>
        <v>-21336.872068965691</v>
      </c>
      <c r="R121">
        <f t="shared" ref="R121" si="582">R122+Q121</f>
        <v>-63664923.90687716</v>
      </c>
      <c r="S121">
        <f t="shared" ref="S121" si="583">R121/100000</f>
        <v>-636.64923906877164</v>
      </c>
      <c r="T121">
        <f t="shared" ref="T121" si="584">S121/1000</f>
        <v>-0.63664923906877169</v>
      </c>
    </row>
    <row r="122" spans="1:20" x14ac:dyDescent="0.25">
      <c r="A122" s="5">
        <v>44471</v>
      </c>
      <c r="B122">
        <v>12.87</v>
      </c>
      <c r="C122">
        <v>13.93</v>
      </c>
      <c r="D122">
        <v>12.55</v>
      </c>
      <c r="E122">
        <v>12.8</v>
      </c>
      <c r="F122">
        <v>328181.37</v>
      </c>
      <c r="G122">
        <v>12.8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-0.63768115942028958</v>
      </c>
      <c r="Q122">
        <f t="shared" ref="Q122" si="586">F122*P122</f>
        <v>-209275.07652173904</v>
      </c>
      <c r="R122">
        <f t="shared" ref="R122" si="587">R123+Q122</f>
        <v>-63643587.034808196</v>
      </c>
      <c r="S122">
        <f t="shared" ref="S122" si="588">R122/100000</f>
        <v>-636.43587034808195</v>
      </c>
      <c r="T122">
        <f t="shared" ref="T122" si="589">S122/1000</f>
        <v>-0.63643587034808191</v>
      </c>
    </row>
    <row r="123" spans="1:20" x14ac:dyDescent="0.25">
      <c r="A123" s="5">
        <v>44470</v>
      </c>
      <c r="B123">
        <v>12.11</v>
      </c>
      <c r="C123">
        <v>13.2</v>
      </c>
      <c r="D123">
        <v>12.06</v>
      </c>
      <c r="E123">
        <v>12.85</v>
      </c>
      <c r="F123">
        <v>321127.44</v>
      </c>
      <c r="G123">
        <v>12.85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0.38596491228070173</v>
      </c>
      <c r="Q123">
        <f t="shared" ref="Q123" si="591">F123*P123</f>
        <v>123943.92421052631</v>
      </c>
      <c r="R123">
        <f t="shared" ref="R123" si="592">R124+Q123</f>
        <v>-63434311.958286457</v>
      </c>
      <c r="S123">
        <f t="shared" ref="S123" si="593">R123/100000</f>
        <v>-634.34311958286457</v>
      </c>
      <c r="T123">
        <f t="shared" ref="T123" si="594">S123/1000</f>
        <v>-0.6343431195828646</v>
      </c>
    </row>
    <row r="124" spans="1:20" x14ac:dyDescent="0.25">
      <c r="A124" s="5">
        <v>44469</v>
      </c>
      <c r="B124">
        <v>11.65</v>
      </c>
      <c r="C124">
        <v>12.24</v>
      </c>
      <c r="D124">
        <v>11.56</v>
      </c>
      <c r="E124">
        <v>12.12</v>
      </c>
      <c r="F124">
        <v>154417.74</v>
      </c>
      <c r="G124">
        <v>12.12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0.64705882352940869</v>
      </c>
      <c r="Q124">
        <f t="shared" ref="Q124" si="596">F124*P124</f>
        <v>99917.361176470105</v>
      </c>
      <c r="R124">
        <f t="shared" ref="R124" si="597">R125+Q124</f>
        <v>-63558255.882496983</v>
      </c>
      <c r="S124">
        <f t="shared" ref="S124" si="598">R124/100000</f>
        <v>-635.58255882496985</v>
      </c>
      <c r="T124">
        <f t="shared" ref="T124" si="599">S124/1000</f>
        <v>-0.63558255882496983</v>
      </c>
    </row>
    <row r="125" spans="1:20" x14ac:dyDescent="0.25">
      <c r="A125" s="5">
        <v>44468</v>
      </c>
      <c r="B125">
        <v>11.54</v>
      </c>
      <c r="C125">
        <v>12.39</v>
      </c>
      <c r="D125">
        <v>11.41</v>
      </c>
      <c r="E125">
        <v>11.65</v>
      </c>
      <c r="F125">
        <v>148461.51999999999</v>
      </c>
      <c r="G125">
        <v>11.65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-0.51020408163265285</v>
      </c>
      <c r="Q125">
        <f t="shared" ref="Q125" si="601">F125*P125</f>
        <v>-75745.673469387722</v>
      </c>
      <c r="R125">
        <f t="shared" ref="R125" si="602">R126+Q125</f>
        <v>-63658173.243673451</v>
      </c>
      <c r="S125">
        <f t="shared" ref="S125" si="603">R125/100000</f>
        <v>-636.58173243673457</v>
      </c>
      <c r="T125">
        <f t="shared" ref="T125" si="604">S125/1000</f>
        <v>-0.63658173243673455</v>
      </c>
    </row>
    <row r="126" spans="1:20" x14ac:dyDescent="0.25">
      <c r="A126" s="5">
        <v>44467</v>
      </c>
      <c r="B126">
        <v>11.97</v>
      </c>
      <c r="C126">
        <v>12.36</v>
      </c>
      <c r="D126">
        <v>11.47</v>
      </c>
      <c r="E126">
        <v>11.51</v>
      </c>
      <c r="F126">
        <v>165909.74</v>
      </c>
      <c r="G126">
        <v>11.51</v>
      </c>
      <c r="L126" t="s">
        <v>7</v>
      </c>
      <c r="M126" t="s">
        <v>8</v>
      </c>
      <c r="N126" t="s">
        <v>7</v>
      </c>
      <c r="P126">
        <f t="shared" ref="P126" si="605">IF(C126=D126,0,((E126-D126)-(C126-E126))/(C126-D126))</f>
        <v>-0.91011235955056358</v>
      </c>
      <c r="Q126">
        <f t="shared" ref="Q126" si="606">F126*P126</f>
        <v>-150996.5049438205</v>
      </c>
      <c r="R126">
        <f t="shared" ref="R126" si="607">R127+Q126</f>
        <v>-63582427.570204064</v>
      </c>
      <c r="S126">
        <f t="shared" ref="S126" si="608">R126/100000</f>
        <v>-635.82427570204061</v>
      </c>
      <c r="T126">
        <f t="shared" ref="T126" si="609">S126/1000</f>
        <v>-0.63582427570204059</v>
      </c>
    </row>
    <row r="127" spans="1:20" x14ac:dyDescent="0.25">
      <c r="A127" s="5">
        <v>44466</v>
      </c>
      <c r="B127">
        <v>12.54</v>
      </c>
      <c r="C127">
        <v>13.89</v>
      </c>
      <c r="D127">
        <v>11.93</v>
      </c>
      <c r="E127">
        <v>11.96</v>
      </c>
      <c r="F127">
        <v>669949.67000000004</v>
      </c>
      <c r="G127">
        <v>11.96</v>
      </c>
      <c r="L127" t="s">
        <v>7</v>
      </c>
      <c r="M127" t="s">
        <v>8</v>
      </c>
      <c r="N127" t="s">
        <v>7</v>
      </c>
      <c r="P127">
        <f t="shared" ref="P127" si="610">IF(C127=D127,0,((E127-D127)-(C127-E127))/(C127-D127))</f>
        <v>-0.96938775510203967</v>
      </c>
      <c r="Q127">
        <f t="shared" ref="Q127" si="611">F127*P127</f>
        <v>-649441.00663265237</v>
      </c>
      <c r="R127">
        <f t="shared" ref="R127" si="612">R128+Q127</f>
        <v>-63431431.065260246</v>
      </c>
      <c r="S127">
        <f t="shared" ref="S127" si="613">R127/100000</f>
        <v>-634.31431065260244</v>
      </c>
      <c r="T127">
        <f t="shared" ref="T127" si="614">S127/1000</f>
        <v>-0.63431431065260246</v>
      </c>
    </row>
    <row r="128" spans="1:20" x14ac:dyDescent="0.25">
      <c r="A128" s="5">
        <v>44465</v>
      </c>
      <c r="B128">
        <v>11.57</v>
      </c>
      <c r="C128">
        <v>13.95</v>
      </c>
      <c r="D128">
        <v>10.8</v>
      </c>
      <c r="E128">
        <v>12.53</v>
      </c>
      <c r="F128">
        <v>803149.23</v>
      </c>
      <c r="G128">
        <v>12.53</v>
      </c>
      <c r="L128" t="s">
        <v>8</v>
      </c>
      <c r="M128" t="s">
        <v>7</v>
      </c>
      <c r="N128" t="s">
        <v>7</v>
      </c>
      <c r="P128">
        <f t="shared" ref="P128" si="615">IF(C128=D128,0,((E128-D128)-(C128-E128))/(C128-D128))</f>
        <v>9.8412698412698049E-2</v>
      </c>
      <c r="Q128">
        <f t="shared" ref="Q128" si="616">F128*P128</f>
        <v>79040.082952380661</v>
      </c>
      <c r="R128">
        <f t="shared" ref="R128" si="617">R129+Q128</f>
        <v>-62781990.058627591</v>
      </c>
      <c r="S128">
        <f t="shared" ref="S128" si="618">R128/100000</f>
        <v>-627.81990058627593</v>
      </c>
      <c r="T128">
        <f t="shared" ref="T128" si="619">S128/1000</f>
        <v>-0.6278199005862759</v>
      </c>
    </row>
    <row r="129" spans="1:20" x14ac:dyDescent="0.25">
      <c r="A129" s="5">
        <v>44464</v>
      </c>
      <c r="B129">
        <v>11.69</v>
      </c>
      <c r="C129">
        <v>12.15</v>
      </c>
      <c r="D129">
        <v>11.23</v>
      </c>
      <c r="E129">
        <v>11.59</v>
      </c>
      <c r="F129">
        <v>170219.95</v>
      </c>
      <c r="G129">
        <v>11.59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-0.21739130434782727</v>
      </c>
      <c r="Q129">
        <f t="shared" ref="Q129" si="621">F129*P129</f>
        <v>-37004.336956521947</v>
      </c>
      <c r="R129">
        <f t="shared" ref="R129" si="622">R130+Q129</f>
        <v>-62861030.141579971</v>
      </c>
      <c r="S129">
        <f t="shared" ref="S129" si="623">R129/100000</f>
        <v>-628.61030141579965</v>
      </c>
      <c r="T129">
        <f t="shared" ref="T129" si="624">S129/1000</f>
        <v>-0.62861030141579965</v>
      </c>
    </row>
    <row r="130" spans="1:20" x14ac:dyDescent="0.25">
      <c r="A130" s="5">
        <v>44463</v>
      </c>
      <c r="B130">
        <v>12.47</v>
      </c>
      <c r="C130">
        <v>12.7</v>
      </c>
      <c r="D130">
        <v>10.93</v>
      </c>
      <c r="E130">
        <v>11.7</v>
      </c>
      <c r="F130">
        <v>239288.95999999999</v>
      </c>
      <c r="G130">
        <v>11.7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-0.12994350282485903</v>
      </c>
      <c r="Q130">
        <f t="shared" ref="Q130" si="626">F130*P130</f>
        <v>-31094.04564971758</v>
      </c>
      <c r="R130">
        <f t="shared" ref="R130" si="627">R131+Q130</f>
        <v>-62824025.804623447</v>
      </c>
      <c r="S130">
        <f t="shared" ref="S130" si="628">R130/100000</f>
        <v>-628.24025804623443</v>
      </c>
      <c r="T130">
        <f t="shared" ref="T130" si="629">S130/1000</f>
        <v>-0.6282402580462344</v>
      </c>
    </row>
    <row r="131" spans="1:20" x14ac:dyDescent="0.25">
      <c r="A131" s="5">
        <v>44462</v>
      </c>
      <c r="B131">
        <v>12.49</v>
      </c>
      <c r="C131">
        <v>12.98</v>
      </c>
      <c r="D131">
        <v>11.97</v>
      </c>
      <c r="E131">
        <v>12.45</v>
      </c>
      <c r="F131">
        <v>235777</v>
      </c>
      <c r="G131">
        <v>12.45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-4.9504950495051978E-2</v>
      </c>
      <c r="Q131">
        <f t="shared" ref="Q131" si="631">F131*P131</f>
        <v>-11672.12871287187</v>
      </c>
      <c r="R131">
        <f t="shared" ref="R131" si="632">R132+Q131</f>
        <v>-62792931.758973733</v>
      </c>
      <c r="S131">
        <f t="shared" ref="S131" si="633">R131/100000</f>
        <v>-627.92931758973737</v>
      </c>
      <c r="T131">
        <f t="shared" ref="T131" si="634">S131/1000</f>
        <v>-0.62792931758973736</v>
      </c>
    </row>
    <row r="132" spans="1:20" x14ac:dyDescent="0.25">
      <c r="A132" s="5">
        <v>44461</v>
      </c>
      <c r="B132">
        <v>11.54</v>
      </c>
      <c r="C132">
        <v>12.66</v>
      </c>
      <c r="D132">
        <v>11.43</v>
      </c>
      <c r="E132">
        <v>12.46</v>
      </c>
      <c r="F132">
        <v>293950.96999999997</v>
      </c>
      <c r="G132">
        <v>12.46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0.6747967479674809</v>
      </c>
      <c r="Q132">
        <f t="shared" ref="Q132" si="636">F132*P132</f>
        <v>198357.15861788651</v>
      </c>
      <c r="R132">
        <f t="shared" ref="R132" si="637">R133+Q132</f>
        <v>-62781259.630260862</v>
      </c>
      <c r="S132">
        <f t="shared" ref="S132" si="638">R132/100000</f>
        <v>-627.81259630260865</v>
      </c>
      <c r="T132">
        <f t="shared" ref="T132" si="639">S132/1000</f>
        <v>-0.62781259630260866</v>
      </c>
    </row>
    <row r="133" spans="1:20" x14ac:dyDescent="0.25">
      <c r="A133" s="5">
        <v>44460</v>
      </c>
      <c r="B133">
        <v>11.87</v>
      </c>
      <c r="C133">
        <v>12.8</v>
      </c>
      <c r="D133">
        <v>11.15</v>
      </c>
      <c r="E133">
        <v>11.51</v>
      </c>
      <c r="F133">
        <v>258928.93</v>
      </c>
      <c r="G133">
        <v>11.51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-0.56363636363636438</v>
      </c>
      <c r="Q133">
        <f t="shared" ref="Q133" si="641">F133*P133</f>
        <v>-145941.76054545474</v>
      </c>
      <c r="R133">
        <f t="shared" ref="R133" si="642">R134+Q133</f>
        <v>-62979616.788878746</v>
      </c>
      <c r="S133">
        <f t="shared" ref="S133" si="643">R133/100000</f>
        <v>-629.79616788878741</v>
      </c>
      <c r="T133">
        <f t="shared" ref="T133" si="644">S133/1000</f>
        <v>-0.62979616788878745</v>
      </c>
    </row>
    <row r="134" spans="1:20" x14ac:dyDescent="0.25">
      <c r="A134" s="5">
        <v>44459</v>
      </c>
      <c r="B134">
        <v>13.7</v>
      </c>
      <c r="C134">
        <v>15.47</v>
      </c>
      <c r="D134">
        <v>12.71</v>
      </c>
      <c r="E134">
        <v>13.1</v>
      </c>
      <c r="F134">
        <v>603427.78</v>
      </c>
      <c r="G134">
        <v>13.1</v>
      </c>
      <c r="L134" t="s">
        <v>8</v>
      </c>
      <c r="M134" t="s">
        <v>8</v>
      </c>
      <c r="N134" t="s">
        <v>7</v>
      </c>
      <c r="P134">
        <f t="shared" ref="P134" si="645">IF(C134=D134,0,((E134-D134)-(C134-E134))/(C134-D134))</f>
        <v>-0.71739130434782694</v>
      </c>
      <c r="Q134">
        <f t="shared" ref="Q134" si="646">F134*P134</f>
        <v>-432893.84217391355</v>
      </c>
      <c r="R134">
        <f t="shared" ref="R134" si="647">R135+Q134</f>
        <v>-62833675.028333291</v>
      </c>
      <c r="S134">
        <f t="shared" ref="S134" si="648">R134/100000</f>
        <v>-628.33675028333289</v>
      </c>
      <c r="T134">
        <f t="shared" ref="T134" si="649">S134/1000</f>
        <v>-0.62833675028333291</v>
      </c>
    </row>
    <row r="135" spans="1:20" x14ac:dyDescent="0.25">
      <c r="A135" s="5">
        <v>44458</v>
      </c>
      <c r="B135">
        <v>13.61</v>
      </c>
      <c r="C135">
        <v>15.36</v>
      </c>
      <c r="D135">
        <v>13.31</v>
      </c>
      <c r="E135">
        <v>13.69</v>
      </c>
      <c r="F135">
        <v>832740.47</v>
      </c>
      <c r="G135">
        <v>13.69</v>
      </c>
      <c r="L135" t="s">
        <v>8</v>
      </c>
      <c r="M135" t="s">
        <v>7</v>
      </c>
      <c r="N135" t="s">
        <v>7</v>
      </c>
      <c r="P135">
        <f t="shared" ref="P135" si="650">IF(C135=D135,0,((E135-D135)-(C135-E135))/(C135-D135))</f>
        <v>-0.62926829268292761</v>
      </c>
      <c r="Q135">
        <f t="shared" ref="Q135" si="651">F135*P135</f>
        <v>-524017.17380487866</v>
      </c>
      <c r="R135">
        <f t="shared" ref="R135" si="652">R136+Q135</f>
        <v>-62400781.18615938</v>
      </c>
      <c r="S135">
        <f t="shared" ref="S135" si="653">R135/100000</f>
        <v>-624.00781186159384</v>
      </c>
      <c r="T135">
        <f t="shared" ref="T135" si="654">S135/1000</f>
        <v>-0.62400781186159382</v>
      </c>
    </row>
    <row r="136" spans="1:20" x14ac:dyDescent="0.25">
      <c r="A136" s="5">
        <v>44457</v>
      </c>
      <c r="B136">
        <v>12.98</v>
      </c>
      <c r="C136">
        <v>13.94</v>
      </c>
      <c r="D136">
        <v>12.8</v>
      </c>
      <c r="E136">
        <v>13.59</v>
      </c>
      <c r="F136">
        <v>371286.25</v>
      </c>
      <c r="G136">
        <v>13.59</v>
      </c>
      <c r="L136" t="s">
        <v>7</v>
      </c>
      <c r="M136" t="s">
        <v>7</v>
      </c>
      <c r="N136" t="s">
        <v>7</v>
      </c>
      <c r="P136">
        <f t="shared" ref="P136" si="655">IF(C136=D136,0,((E136-D136)-(C136-E136))/(C136-D136))</f>
        <v>0.38596491228070173</v>
      </c>
      <c r="Q136">
        <f t="shared" ref="Q136" si="656">F136*P136</f>
        <v>143303.4649122807</v>
      </c>
      <c r="R136">
        <f t="shared" ref="R136" si="657">R137+Q136</f>
        <v>-61876764.012354501</v>
      </c>
      <c r="S136">
        <f t="shared" ref="S136" si="658">R136/100000</f>
        <v>-618.76764012354499</v>
      </c>
      <c r="T136">
        <f t="shared" ref="T136" si="659">S136/1000</f>
        <v>-0.61876764012354502</v>
      </c>
    </row>
    <row r="137" spans="1:20" x14ac:dyDescent="0.25">
      <c r="A137" s="5">
        <v>44456</v>
      </c>
      <c r="B137">
        <v>13.19</v>
      </c>
      <c r="C137">
        <v>15.75</v>
      </c>
      <c r="D137">
        <v>12.72</v>
      </c>
      <c r="E137">
        <v>13.04</v>
      </c>
      <c r="F137">
        <v>1081466.8</v>
      </c>
      <c r="G137">
        <v>13.04</v>
      </c>
      <c r="L137" t="s">
        <v>8</v>
      </c>
      <c r="M137" t="s">
        <v>8</v>
      </c>
      <c r="N137" t="s">
        <v>7</v>
      </c>
      <c r="P137">
        <f t="shared" ref="P137" si="660">IF(C137=D137,0,((E137-D137)-(C137-E137))/(C137-D137))</f>
        <v>-0.78877887788778966</v>
      </c>
      <c r="Q137">
        <f t="shared" ref="Q137" si="661">F137*P137</f>
        <v>-853038.16897689865</v>
      </c>
      <c r="R137">
        <f t="shared" ref="R137" si="662">R138+Q137</f>
        <v>-62020067.477266781</v>
      </c>
      <c r="S137">
        <f t="shared" ref="S137" si="663">R137/100000</f>
        <v>-620.20067477266787</v>
      </c>
      <c r="T137">
        <f t="shared" ref="T137" si="664">S137/1000</f>
        <v>-0.62020067477266783</v>
      </c>
    </row>
    <row r="138" spans="1:20" x14ac:dyDescent="0.25">
      <c r="A138" s="5">
        <v>44455</v>
      </c>
      <c r="B138">
        <v>12.59</v>
      </c>
      <c r="C138">
        <v>14.02</v>
      </c>
      <c r="D138">
        <v>12.5</v>
      </c>
      <c r="E138">
        <v>13.19</v>
      </c>
      <c r="F138">
        <v>594787.31000000006</v>
      </c>
      <c r="G138">
        <v>13.19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-9.2105263157895134E-2</v>
      </c>
      <c r="Q138">
        <f t="shared" ref="Q138" si="666">F138*P138</f>
        <v>-54783.041710526559</v>
      </c>
      <c r="R138">
        <f t="shared" ref="R138" si="667">R139+Q138</f>
        <v>-61167029.308289886</v>
      </c>
      <c r="S138">
        <f t="shared" ref="S138" si="668">R138/100000</f>
        <v>-611.67029308289887</v>
      </c>
      <c r="T138">
        <f t="shared" ref="T138" si="669">S138/1000</f>
        <v>-0.61167029308289889</v>
      </c>
    </row>
    <row r="139" spans="1:20" x14ac:dyDescent="0.25">
      <c r="A139" s="5">
        <v>44454</v>
      </c>
      <c r="B139">
        <v>12.38</v>
      </c>
      <c r="C139">
        <v>13.31</v>
      </c>
      <c r="D139">
        <v>12.17</v>
      </c>
      <c r="E139">
        <v>12.55</v>
      </c>
      <c r="F139">
        <v>375562.16</v>
      </c>
      <c r="G139">
        <v>12.55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-0.33333333333333232</v>
      </c>
      <c r="Q139">
        <f t="shared" ref="Q139" si="671">F139*P139</f>
        <v>-125187.38666666628</v>
      </c>
      <c r="R139">
        <f t="shared" ref="R139" si="672">R140+Q139</f>
        <v>-61112246.26657936</v>
      </c>
      <c r="S139">
        <f t="shared" ref="S139" si="673">R139/100000</f>
        <v>-611.12246266579359</v>
      </c>
      <c r="T139">
        <f t="shared" ref="T139" si="674">S139/1000</f>
        <v>-0.61112246266579362</v>
      </c>
    </row>
    <row r="140" spans="1:20" x14ac:dyDescent="0.25">
      <c r="A140" s="5">
        <v>44453</v>
      </c>
      <c r="B140">
        <v>12.09</v>
      </c>
      <c r="C140">
        <v>12.74</v>
      </c>
      <c r="D140">
        <v>12</v>
      </c>
      <c r="E140">
        <v>12.38</v>
      </c>
      <c r="F140">
        <v>888539.35</v>
      </c>
      <c r="G140">
        <v>12.38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2.7027027027028843E-2</v>
      </c>
      <c r="Q140">
        <f t="shared" ref="Q140" si="676">F140*P140</f>
        <v>24014.577027028641</v>
      </c>
      <c r="R140">
        <f t="shared" ref="R140" si="677">R141+Q140</f>
        <v>-60987058.879912697</v>
      </c>
      <c r="S140">
        <f t="shared" ref="S140" si="678">R140/100000</f>
        <v>-609.87058879912695</v>
      </c>
      <c r="T140">
        <f t="shared" ref="T140" si="679">S140/1000</f>
        <v>-0.60987058879912692</v>
      </c>
    </row>
    <row r="141" spans="1:20" x14ac:dyDescent="0.25">
      <c r="A141" s="5">
        <v>44452</v>
      </c>
      <c r="B141">
        <v>14.17</v>
      </c>
      <c r="C141">
        <v>14.34</v>
      </c>
      <c r="D141">
        <v>11.53</v>
      </c>
      <c r="E141">
        <v>12.12</v>
      </c>
      <c r="F141">
        <v>1702970.01</v>
      </c>
      <c r="G141">
        <v>12.12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-0.58007117437722433</v>
      </c>
      <c r="Q141">
        <f t="shared" ref="Q141" si="681">F141*P141</f>
        <v>-987843.81362989347</v>
      </c>
      <c r="R141">
        <f t="shared" ref="R141" si="682">R142+Q141</f>
        <v>-61011073.456939727</v>
      </c>
      <c r="S141">
        <f t="shared" ref="S141" si="683">R141/100000</f>
        <v>-610.11073456939732</v>
      </c>
      <c r="T141">
        <f t="shared" ref="T141" si="684">S141/1000</f>
        <v>-0.61011073456939735</v>
      </c>
    </row>
    <row r="142" spans="1:20" x14ac:dyDescent="0.25">
      <c r="A142" s="5">
        <v>44451</v>
      </c>
      <c r="B142">
        <v>11.48</v>
      </c>
      <c r="C142">
        <v>16.5</v>
      </c>
      <c r="D142">
        <v>11.22</v>
      </c>
      <c r="E142">
        <v>14.17</v>
      </c>
      <c r="F142">
        <v>2603052.84</v>
      </c>
      <c r="G142">
        <v>14.17</v>
      </c>
      <c r="L142" t="s">
        <v>8</v>
      </c>
      <c r="M142" t="s">
        <v>8</v>
      </c>
      <c r="N142" t="s">
        <v>8</v>
      </c>
      <c r="P142">
        <f t="shared" ref="P142" si="685">IF(C142=D142,0,((E142-D142)-(C142-E142))/(C142-D142))</f>
        <v>0.11742424242424229</v>
      </c>
      <c r="Q142">
        <f t="shared" ref="Q142" si="686">F142*P142</f>
        <v>305661.50772727234</v>
      </c>
      <c r="R142">
        <f t="shared" ref="R142" si="687">R143+Q142</f>
        <v>-60023229.643309832</v>
      </c>
      <c r="S142">
        <f t="shared" ref="S142" si="688">R142/100000</f>
        <v>-600.23229643309833</v>
      </c>
      <c r="T142">
        <f t="shared" ref="T142" si="689">S142/1000</f>
        <v>-0.60023229643309828</v>
      </c>
    </row>
    <row r="143" spans="1:20" x14ac:dyDescent="0.25">
      <c r="A143" s="5">
        <v>44450</v>
      </c>
      <c r="B143">
        <v>11.44</v>
      </c>
      <c r="C143">
        <v>12.41</v>
      </c>
      <c r="D143">
        <v>11.03</v>
      </c>
      <c r="E143">
        <v>11.48</v>
      </c>
      <c r="F143">
        <v>1031608.61</v>
      </c>
      <c r="G143">
        <v>11.48</v>
      </c>
      <c r="L143" t="s">
        <v>8</v>
      </c>
      <c r="M143" t="s">
        <v>7</v>
      </c>
      <c r="N143" t="s">
        <v>8</v>
      </c>
      <c r="P143">
        <f t="shared" ref="P143" si="690">IF(C143=D143,0,((E143-D143)-(C143-E143))/(C143-D143))</f>
        <v>-0.34782608695652056</v>
      </c>
      <c r="Q143">
        <f t="shared" ref="Q143" si="691">F143*P143</f>
        <v>-358820.38608695532</v>
      </c>
      <c r="R143">
        <f t="shared" ref="R143" si="692">R144+Q143</f>
        <v>-60328891.151037104</v>
      </c>
      <c r="S143">
        <f t="shared" ref="S143" si="693">R143/100000</f>
        <v>-603.28891151037101</v>
      </c>
      <c r="T143">
        <f t="shared" ref="T143" si="694">S143/1000</f>
        <v>-0.60328891151037101</v>
      </c>
    </row>
    <row r="144" spans="1:20" x14ac:dyDescent="0.25">
      <c r="A144" s="5">
        <v>44449</v>
      </c>
      <c r="B144">
        <v>12.23</v>
      </c>
      <c r="C144">
        <v>12.49</v>
      </c>
      <c r="D144">
        <v>11.08</v>
      </c>
      <c r="E144">
        <v>11.42</v>
      </c>
      <c r="F144">
        <v>878190.47</v>
      </c>
      <c r="G144">
        <v>11.42</v>
      </c>
      <c r="L144" t="s">
        <v>7</v>
      </c>
      <c r="M144" t="s">
        <v>7</v>
      </c>
      <c r="N144" t="s">
        <v>8</v>
      </c>
      <c r="P144">
        <f t="shared" ref="P144" si="695">IF(C144=D144,0,((E144-D144)-(C144-E144))/(C144-D144))</f>
        <v>-0.51773049645390101</v>
      </c>
      <c r="Q144">
        <f t="shared" ref="Q144" si="696">F144*P144</f>
        <v>-454665.98801418464</v>
      </c>
      <c r="R144">
        <f t="shared" ref="R144" si="697">R145+Q144</f>
        <v>-59970070.764950149</v>
      </c>
      <c r="S144">
        <f t="shared" ref="S144" si="698">R144/100000</f>
        <v>-599.70070764950151</v>
      </c>
      <c r="T144">
        <f t="shared" ref="T144" si="699">S144/1000</f>
        <v>-0.59970070764950156</v>
      </c>
    </row>
    <row r="145" spans="1:20" x14ac:dyDescent="0.25">
      <c r="A145" s="5">
        <v>44448</v>
      </c>
      <c r="B145">
        <v>12.26</v>
      </c>
      <c r="C145">
        <v>13.51</v>
      </c>
      <c r="D145">
        <v>11.5</v>
      </c>
      <c r="E145">
        <v>12.24</v>
      </c>
      <c r="F145">
        <v>893682.94</v>
      </c>
      <c r="G145">
        <v>12.24</v>
      </c>
      <c r="L145" t="s">
        <v>8</v>
      </c>
      <c r="M145" t="s">
        <v>8</v>
      </c>
      <c r="N145" t="s">
        <v>8</v>
      </c>
      <c r="P145">
        <f t="shared" ref="P145" si="700">IF(C145=D145,0,((E145-D145)-(C145-E145))/(C145-D145))</f>
        <v>-0.26368159203980068</v>
      </c>
      <c r="Q145">
        <f t="shared" ref="Q145" si="701">F145*P145</f>
        <v>-235647.74039800966</v>
      </c>
      <c r="R145">
        <f t="shared" ref="R145" si="702">R146+Q145</f>
        <v>-59515404.776935965</v>
      </c>
      <c r="S145">
        <f t="shared" ref="S145" si="703">R145/100000</f>
        <v>-595.15404776935964</v>
      </c>
      <c r="T145">
        <f t="shared" ref="T145" si="704">S145/1000</f>
        <v>-0.59515404776935965</v>
      </c>
    </row>
    <row r="146" spans="1:20" x14ac:dyDescent="0.25">
      <c r="A146" s="5">
        <v>44447</v>
      </c>
      <c r="B146">
        <v>12.03</v>
      </c>
      <c r="C146">
        <v>13.3</v>
      </c>
      <c r="D146">
        <v>11</v>
      </c>
      <c r="E146">
        <v>12.29</v>
      </c>
      <c r="F146">
        <v>700445.33</v>
      </c>
      <c r="G146">
        <v>12.29</v>
      </c>
      <c r="L146" t="s">
        <v>8</v>
      </c>
      <c r="M146" t="s">
        <v>8</v>
      </c>
      <c r="N146" t="s">
        <v>8</v>
      </c>
      <c r="P146">
        <f t="shared" ref="P146" si="705">IF(C146=D146,0,((E146-D146)-(C146-E146))/(C146-D146))</f>
        <v>0.12173913043478152</v>
      </c>
      <c r="Q146">
        <f t="shared" ref="Q146" si="706">F146*P146</f>
        <v>85271.605391303572</v>
      </c>
      <c r="R146">
        <f t="shared" ref="R146" si="707">R147+Q146</f>
        <v>-59279757.036537953</v>
      </c>
      <c r="S146">
        <f t="shared" ref="S146" si="708">R146/100000</f>
        <v>-592.79757036537956</v>
      </c>
      <c r="T146">
        <f t="shared" ref="T146" si="709">S146/1000</f>
        <v>-0.59279757036537961</v>
      </c>
    </row>
    <row r="147" spans="1:20" x14ac:dyDescent="0.25">
      <c r="A147" s="5">
        <v>44446</v>
      </c>
      <c r="B147">
        <v>16.239999999999998</v>
      </c>
      <c r="C147">
        <v>16.989999999999998</v>
      </c>
      <c r="D147">
        <v>9.81</v>
      </c>
      <c r="E147">
        <v>11.98</v>
      </c>
      <c r="F147">
        <v>959972.3</v>
      </c>
      <c r="G147">
        <v>11.98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-0.39554317548746504</v>
      </c>
      <c r="Q147">
        <f t="shared" ref="Q147" si="711">F147*P147</f>
        <v>-379710.49192200543</v>
      </c>
      <c r="R147">
        <f t="shared" ref="R147" si="712">R148+Q147</f>
        <v>-59365028.641929254</v>
      </c>
      <c r="S147">
        <f t="shared" ref="S147" si="713">R147/100000</f>
        <v>-593.65028641929257</v>
      </c>
      <c r="T147">
        <f t="shared" ref="T147" si="714">S147/1000</f>
        <v>-0.59365028641929252</v>
      </c>
    </row>
    <row r="148" spans="1:20" x14ac:dyDescent="0.25">
      <c r="A148" s="5">
        <v>44445</v>
      </c>
      <c r="B148">
        <v>15.33</v>
      </c>
      <c r="C148">
        <v>17.73</v>
      </c>
      <c r="D148">
        <v>15.07</v>
      </c>
      <c r="E148">
        <v>16.239999999999998</v>
      </c>
      <c r="F148">
        <v>1045912.42</v>
      </c>
      <c r="G148">
        <v>16.239999999999998</v>
      </c>
      <c r="L148" t="s">
        <v>8</v>
      </c>
      <c r="M148" t="s">
        <v>7</v>
      </c>
      <c r="N148" t="s">
        <v>8</v>
      </c>
      <c r="P148">
        <f t="shared" ref="P148" si="715">IF(C148=D148,0,((E148-D148)-(C148-E148))/(C148-D148))</f>
        <v>-0.12030075187970068</v>
      </c>
      <c r="Q148">
        <f t="shared" ref="Q148" si="716">F148*P148</f>
        <v>-125824.0505263173</v>
      </c>
      <c r="R148">
        <f t="shared" ref="R148" si="717">R149+Q148</f>
        <v>-58985318.150007248</v>
      </c>
      <c r="S148">
        <f t="shared" ref="S148" si="718">R148/100000</f>
        <v>-589.85318150007242</v>
      </c>
      <c r="T148">
        <f t="shared" ref="T148" si="719">S148/1000</f>
        <v>-0.58985318150007238</v>
      </c>
    </row>
    <row r="149" spans="1:20" x14ac:dyDescent="0.25">
      <c r="A149" s="5">
        <v>44444</v>
      </c>
      <c r="B149">
        <v>15.11</v>
      </c>
      <c r="C149">
        <v>16.2</v>
      </c>
      <c r="D149">
        <v>14.79</v>
      </c>
      <c r="E149">
        <v>15.32</v>
      </c>
      <c r="F149">
        <v>793833.06</v>
      </c>
      <c r="G149">
        <v>15.32</v>
      </c>
      <c r="L149" t="s">
        <v>8</v>
      </c>
      <c r="M149" t="s">
        <v>7</v>
      </c>
      <c r="N149" t="s">
        <v>8</v>
      </c>
      <c r="P149">
        <f t="shared" ref="P149" si="720">IF(C149=D149,0,((E149-D149)-(C149-E149))/(C149-D149))</f>
        <v>-0.2482269503546084</v>
      </c>
      <c r="Q149">
        <f t="shared" ref="Q149" si="721">F149*P149</f>
        <v>-197050.75957446688</v>
      </c>
      <c r="R149">
        <f t="shared" ref="R149" si="722">R150+Q149</f>
        <v>-58859494.099480927</v>
      </c>
      <c r="S149">
        <f t="shared" ref="S149" si="723">R149/100000</f>
        <v>-588.59494099480924</v>
      </c>
      <c r="T149">
        <f t="shared" ref="T149" si="724">S149/1000</f>
        <v>-0.58859494099480925</v>
      </c>
    </row>
    <row r="150" spans="1:20" x14ac:dyDescent="0.25">
      <c r="A150" s="5">
        <v>44443</v>
      </c>
      <c r="B150">
        <v>15.49</v>
      </c>
      <c r="C150">
        <v>15.8</v>
      </c>
      <c r="D150">
        <v>15.01</v>
      </c>
      <c r="E150">
        <v>15.11</v>
      </c>
      <c r="F150">
        <v>842531.5</v>
      </c>
      <c r="G150">
        <v>15.11</v>
      </c>
      <c r="L150" t="s">
        <v>7</v>
      </c>
      <c r="M150" t="s">
        <v>7</v>
      </c>
      <c r="N150" t="s">
        <v>8</v>
      </c>
      <c r="P150">
        <f t="shared" ref="P150" si="725">IF(C150=D150,0,((E150-D150)-(C150-E150))/(C150-D150))</f>
        <v>-0.74683544303797589</v>
      </c>
      <c r="Q150">
        <f t="shared" ref="Q150" si="726">F150*P150</f>
        <v>-629232.38607595034</v>
      </c>
      <c r="R150">
        <f t="shared" ref="R150" si="727">R151+Q150</f>
        <v>-58662443.339906462</v>
      </c>
      <c r="S150">
        <f t="shared" ref="S150" si="728">R150/100000</f>
        <v>-586.62443339906463</v>
      </c>
      <c r="T150">
        <f t="shared" ref="T150" si="729">S150/1000</f>
        <v>-0.58662443339906467</v>
      </c>
    </row>
    <row r="151" spans="1:20" x14ac:dyDescent="0.25">
      <c r="A151" s="5">
        <v>44442</v>
      </c>
      <c r="B151">
        <v>15.82</v>
      </c>
      <c r="C151">
        <v>16.3</v>
      </c>
      <c r="D151">
        <v>15.32</v>
      </c>
      <c r="E151">
        <v>15.51</v>
      </c>
      <c r="F151">
        <v>829744.69</v>
      </c>
      <c r="G151">
        <v>15.51</v>
      </c>
      <c r="L151" t="s">
        <v>7</v>
      </c>
      <c r="M151" t="s">
        <v>7</v>
      </c>
      <c r="N151" t="s">
        <v>8</v>
      </c>
      <c r="P151">
        <f t="shared" ref="P151" si="730">IF(C151=D151,0,((E151-D151)-(C151-E151))/(C151-D151))</f>
        <v>-0.61224489795918491</v>
      </c>
      <c r="Q151">
        <f t="shared" ref="Q151" si="731">F151*P151</f>
        <v>-508006.95306122547</v>
      </c>
      <c r="R151">
        <f t="shared" ref="R151" si="732">R152+Q151</f>
        <v>-58033210.95383051</v>
      </c>
      <c r="S151">
        <f t="shared" ref="S151" si="733">R151/100000</f>
        <v>-580.33210953830508</v>
      </c>
      <c r="T151">
        <f t="shared" ref="T151" si="734">S151/1000</f>
        <v>-0.58033210953830505</v>
      </c>
    </row>
    <row r="152" spans="1:20" x14ac:dyDescent="0.25">
      <c r="A152" s="5">
        <v>44441</v>
      </c>
      <c r="B152">
        <v>17.14</v>
      </c>
      <c r="C152">
        <v>17.8</v>
      </c>
      <c r="D152">
        <v>15.77</v>
      </c>
      <c r="E152">
        <v>15.82</v>
      </c>
      <c r="F152">
        <v>836004.34</v>
      </c>
      <c r="G152">
        <v>15.82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-0.95073891625615692</v>
      </c>
      <c r="Q152">
        <f t="shared" ref="Q152" si="736">F152*P152</f>
        <v>-794821.86019704374</v>
      </c>
      <c r="R152">
        <f t="shared" ref="R152" si="737">R153+Q152</f>
        <v>-57525204.000769287</v>
      </c>
      <c r="S152">
        <f t="shared" ref="S152" si="738">R152/100000</f>
        <v>-575.25204000769293</v>
      </c>
      <c r="T152">
        <f t="shared" ref="T152" si="739">S152/1000</f>
        <v>-0.57525204000769292</v>
      </c>
    </row>
    <row r="153" spans="1:20" x14ac:dyDescent="0.25">
      <c r="A153" s="5">
        <v>44440</v>
      </c>
      <c r="B153">
        <v>15.96</v>
      </c>
      <c r="C153">
        <v>18</v>
      </c>
      <c r="D153">
        <v>15.42</v>
      </c>
      <c r="E153">
        <v>17.190000000000001</v>
      </c>
      <c r="F153">
        <v>713751.59</v>
      </c>
      <c r="G153">
        <v>17.190000000000001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0.37209302325581495</v>
      </c>
      <c r="Q153">
        <f t="shared" ref="Q153" si="741">F153*P153</f>
        <v>265581.9869767449</v>
      </c>
      <c r="R153">
        <f t="shared" ref="R153" si="742">R154+Q153</f>
        <v>-56730382.140572242</v>
      </c>
      <c r="S153">
        <f t="shared" ref="S153" si="743">R153/100000</f>
        <v>-567.30382140572237</v>
      </c>
      <c r="T153">
        <f t="shared" ref="T153" si="744">S153/1000</f>
        <v>-0.56730382140572233</v>
      </c>
    </row>
    <row r="154" spans="1:20" x14ac:dyDescent="0.25">
      <c r="A154" s="5">
        <v>44439</v>
      </c>
      <c r="B154">
        <v>14.86</v>
      </c>
      <c r="C154">
        <v>19.53</v>
      </c>
      <c r="D154">
        <v>14.71</v>
      </c>
      <c r="E154">
        <v>15.98</v>
      </c>
      <c r="F154">
        <v>2504370.36</v>
      </c>
      <c r="G154">
        <v>15.98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-0.47302904564315373</v>
      </c>
      <c r="Q154">
        <f t="shared" ref="Q154" si="746">F154*P154</f>
        <v>-1184639.9213278012</v>
      </c>
      <c r="R154">
        <f t="shared" ref="R154" si="747">R155+Q154</f>
        <v>-56995964.127548985</v>
      </c>
      <c r="S154">
        <f t="shared" ref="S154" si="748">R154/100000</f>
        <v>-569.95964127548984</v>
      </c>
      <c r="T154">
        <f t="shared" ref="T154" si="749">S154/1000</f>
        <v>-0.56995964127548981</v>
      </c>
    </row>
    <row r="155" spans="1:20" x14ac:dyDescent="0.25">
      <c r="A155" s="5">
        <v>44438</v>
      </c>
      <c r="B155">
        <v>15.49</v>
      </c>
      <c r="C155">
        <v>16.5</v>
      </c>
      <c r="D155">
        <v>13.99</v>
      </c>
      <c r="E155">
        <v>14.86</v>
      </c>
      <c r="F155">
        <v>1087551.99</v>
      </c>
      <c r="G155">
        <v>14.86</v>
      </c>
      <c r="L155" t="s">
        <v>7</v>
      </c>
      <c r="M155" t="s">
        <v>7</v>
      </c>
      <c r="N155" t="s">
        <v>7</v>
      </c>
      <c r="P155">
        <f t="shared" ref="P155" si="750">IF(C155=D155,0,((E155-D155)-(C155-E155))/(C155-D155))</f>
        <v>-0.30677290836653442</v>
      </c>
      <c r="Q155">
        <f t="shared" ref="Q155" si="751">F155*P155</f>
        <v>-333631.48697211215</v>
      </c>
      <c r="R155">
        <f t="shared" ref="R155" si="752">R156+Q155</f>
        <v>-55811324.206221186</v>
      </c>
      <c r="S155">
        <f t="shared" ref="S155" si="753">R155/100000</f>
        <v>-558.11324206221184</v>
      </c>
      <c r="T155">
        <f t="shared" ref="T155" si="754">S155/1000</f>
        <v>-0.5581132420622118</v>
      </c>
    </row>
    <row r="156" spans="1:20" x14ac:dyDescent="0.25">
      <c r="A156" s="5">
        <v>44437</v>
      </c>
      <c r="B156">
        <v>16.600000000000001</v>
      </c>
      <c r="C156">
        <v>16.7</v>
      </c>
      <c r="D156">
        <v>14.7</v>
      </c>
      <c r="E156">
        <v>15.47</v>
      </c>
      <c r="F156">
        <v>1030317</v>
      </c>
      <c r="G156">
        <v>15.47</v>
      </c>
      <c r="L156" t="s">
        <v>7</v>
      </c>
      <c r="M156" t="s">
        <v>7</v>
      </c>
      <c r="N156" t="s">
        <v>7</v>
      </c>
      <c r="P156">
        <f t="shared" ref="P156" si="755">IF(C156=D156,0,((E156-D156)-(C156-E156))/(C156-D156))</f>
        <v>-0.22999999999999865</v>
      </c>
      <c r="Q156">
        <f t="shared" ref="Q156" si="756">F156*P156</f>
        <v>-236972.90999999861</v>
      </c>
      <c r="R156">
        <f t="shared" ref="R156" si="757">R157+Q156</f>
        <v>-55477692.719249077</v>
      </c>
      <c r="S156">
        <f t="shared" ref="S156" si="758">R156/100000</f>
        <v>-554.7769271924908</v>
      </c>
      <c r="T156">
        <f t="shared" ref="T156" si="759">S156/1000</f>
        <v>-0.55477692719249083</v>
      </c>
    </row>
    <row r="157" spans="1:20" x14ac:dyDescent="0.25">
      <c r="A157" s="5">
        <v>44436</v>
      </c>
      <c r="B157">
        <v>17.579999999999998</v>
      </c>
      <c r="C157">
        <v>18.100000000000001</v>
      </c>
      <c r="D157">
        <v>16.3</v>
      </c>
      <c r="E157">
        <v>16.670000000000002</v>
      </c>
      <c r="F157">
        <v>940813.76</v>
      </c>
      <c r="G157">
        <v>16.670000000000002</v>
      </c>
      <c r="L157" t="s">
        <v>7</v>
      </c>
      <c r="M157" t="s">
        <v>7</v>
      </c>
      <c r="N157" t="s">
        <v>8</v>
      </c>
      <c r="P157">
        <f t="shared" ref="P157" si="760">IF(C157=D157,0,((E157-D157)-(C157-E157))/(C157-D157))</f>
        <v>-0.58888888888888791</v>
      </c>
      <c r="Q157">
        <f t="shared" ref="Q157" si="761">F157*P157</f>
        <v>-554034.76977777691</v>
      </c>
      <c r="R157">
        <f t="shared" ref="R157" si="762">R158+Q157</f>
        <v>-55240719.809249081</v>
      </c>
      <c r="S157">
        <f t="shared" ref="S157" si="763">R157/100000</f>
        <v>-552.40719809249083</v>
      </c>
      <c r="T157">
        <f t="shared" ref="T157" si="764">S157/1000</f>
        <v>-0.55240719809249084</v>
      </c>
    </row>
    <row r="158" spans="1:20" x14ac:dyDescent="0.25">
      <c r="A158" s="5">
        <v>44435</v>
      </c>
      <c r="B158">
        <v>16.989999999999998</v>
      </c>
      <c r="C158">
        <v>21.32</v>
      </c>
      <c r="D158">
        <v>16.63</v>
      </c>
      <c r="E158">
        <v>17.59</v>
      </c>
      <c r="F158">
        <v>2454740.62</v>
      </c>
      <c r="G158">
        <v>17.59</v>
      </c>
      <c r="L158" t="s">
        <v>8</v>
      </c>
      <c r="M158" t="s">
        <v>8</v>
      </c>
      <c r="N158" t="s">
        <v>8</v>
      </c>
      <c r="P158">
        <f t="shared" ref="P158" si="765">IF(C158=D158,0,((E158-D158)-(C158-E158))/(C158-D158))</f>
        <v>-0.59061833688699339</v>
      </c>
      <c r="Q158">
        <f t="shared" ref="Q158" si="766">F158*P158</f>
        <v>-1449814.8224733472</v>
      </c>
      <c r="R158">
        <f t="shared" ref="R158" si="767">R159+Q158</f>
        <v>-54686685.039471306</v>
      </c>
      <c r="S158">
        <f t="shared" ref="S158" si="768">R158/100000</f>
        <v>-546.86685039471308</v>
      </c>
      <c r="T158">
        <f t="shared" ref="T158" si="769">S158/1000</f>
        <v>-0.54686685039471306</v>
      </c>
    </row>
    <row r="159" spans="1:20" x14ac:dyDescent="0.25">
      <c r="A159" s="5">
        <v>44434</v>
      </c>
      <c r="B159">
        <v>16.838000000000001</v>
      </c>
      <c r="C159">
        <v>20.45</v>
      </c>
      <c r="D159">
        <v>14.55</v>
      </c>
      <c r="E159">
        <v>16.98</v>
      </c>
      <c r="F159">
        <v>4534750.79</v>
      </c>
      <c r="G159">
        <v>16.98</v>
      </c>
      <c r="L159" t="s">
        <v>7</v>
      </c>
      <c r="M159" t="s">
        <v>7</v>
      </c>
      <c r="N159" t="s">
        <v>7</v>
      </c>
      <c r="P159">
        <f t="shared" ref="P159" si="770">IF(C159=D159,0,((E159-D159)-(C159-E159))/(C159-D159))</f>
        <v>-0.17627118644067785</v>
      </c>
      <c r="Q159">
        <f t="shared" ref="Q159" si="771">F159*P159</f>
        <v>-799345.90196610114</v>
      </c>
      <c r="R159">
        <f t="shared" ref="R159" si="772">R160+Q159</f>
        <v>-53236870.216997959</v>
      </c>
      <c r="S159">
        <f t="shared" ref="S159" si="773">R159/100000</f>
        <v>-532.36870216997954</v>
      </c>
      <c r="T159">
        <f t="shared" ref="T159" si="774">S159/1000</f>
        <v>-0.53236870216997956</v>
      </c>
    </row>
    <row r="160" spans="1:20" x14ac:dyDescent="0.25">
      <c r="A160" s="5">
        <v>44433</v>
      </c>
      <c r="B160">
        <v>11.595000000000001</v>
      </c>
      <c r="C160">
        <v>22.721</v>
      </c>
      <c r="D160">
        <v>11.42</v>
      </c>
      <c r="E160">
        <v>16.8</v>
      </c>
      <c r="F160">
        <v>7687747.2999999998</v>
      </c>
      <c r="G160">
        <v>16.8</v>
      </c>
      <c r="L160" t="s">
        <v>8</v>
      </c>
      <c r="M160" t="s">
        <v>8</v>
      </c>
      <c r="N160" t="s">
        <v>8</v>
      </c>
      <c r="P160">
        <f t="shared" ref="P160" si="775">IF(C160=D160,0,((E160-D160)-(C160-E160))/(C160-D160))</f>
        <v>-4.7871869746040047E-2</v>
      </c>
      <c r="Q160">
        <f t="shared" ref="Q160" si="776">F160*P160</f>
        <v>-368026.83738607104</v>
      </c>
      <c r="R160">
        <f t="shared" ref="R160" si="777">R161+Q160</f>
        <v>-52437524.315031856</v>
      </c>
      <c r="S160">
        <f t="shared" ref="S160" si="778">R160/100000</f>
        <v>-524.37524315031851</v>
      </c>
      <c r="T160">
        <f t="shared" ref="T160" si="779">S160/1000</f>
        <v>-0.52437524315031847</v>
      </c>
    </row>
    <row r="161" spans="1:20" x14ac:dyDescent="0.25">
      <c r="A161" s="5">
        <v>44432</v>
      </c>
      <c r="B161">
        <v>11.802</v>
      </c>
      <c r="C161">
        <v>12.84</v>
      </c>
      <c r="D161">
        <v>11.255000000000001</v>
      </c>
      <c r="E161">
        <v>11.596</v>
      </c>
      <c r="F161">
        <v>522273.1</v>
      </c>
      <c r="G161">
        <v>11.596</v>
      </c>
      <c r="L161" t="s">
        <v>7</v>
      </c>
      <c r="M161" t="s">
        <v>7</v>
      </c>
      <c r="N161" t="s">
        <v>7</v>
      </c>
      <c r="P161">
        <f t="shared" ref="P161" si="780">IF(C161=D161,0,((E161-D161)-(C161-E161))/(C161-D161))</f>
        <v>-0.5697160883280763</v>
      </c>
      <c r="Q161">
        <f t="shared" ref="Q161" si="781">F161*P161</f>
        <v>-297547.3875709782</v>
      </c>
      <c r="R161">
        <f t="shared" ref="R161" si="782">R162+Q161</f>
        <v>-52069497.477645785</v>
      </c>
      <c r="S161">
        <f t="shared" ref="S161" si="783">R161/100000</f>
        <v>-520.6949747764578</v>
      </c>
      <c r="T161">
        <f t="shared" ref="T161" si="784">S161/1000</f>
        <v>-0.52069497477645776</v>
      </c>
    </row>
    <row r="162" spans="1:20" x14ac:dyDescent="0.25">
      <c r="A162" s="5">
        <v>44431</v>
      </c>
      <c r="B162">
        <v>11.709</v>
      </c>
      <c r="C162">
        <v>12.08</v>
      </c>
      <c r="D162">
        <v>11.52</v>
      </c>
      <c r="E162">
        <v>11.782</v>
      </c>
      <c r="F162">
        <v>249641</v>
      </c>
      <c r="G162">
        <v>11.782</v>
      </c>
      <c r="L162" t="s">
        <v>7</v>
      </c>
      <c r="M162" t="s">
        <v>8</v>
      </c>
      <c r="N162" t="s">
        <v>7</v>
      </c>
      <c r="P162">
        <f t="shared" ref="P162" si="785">IF(C162=D162,0,((E162-D162)-(C162-E162))/(C162-D162))</f>
        <v>-6.4285714285713488E-2</v>
      </c>
      <c r="Q162">
        <f t="shared" ref="Q162" si="786">F162*P162</f>
        <v>-16048.3499999998</v>
      </c>
      <c r="R162">
        <f t="shared" ref="R162" si="787">R163+Q162</f>
        <v>-51771950.090074807</v>
      </c>
      <c r="S162">
        <f t="shared" ref="S162" si="788">R162/100000</f>
        <v>-517.71950090074813</v>
      </c>
      <c r="T162">
        <f t="shared" ref="T162" si="789">S162/1000</f>
        <v>-0.51771950090074814</v>
      </c>
    </row>
    <row r="163" spans="1:20" x14ac:dyDescent="0.25">
      <c r="A163" s="5">
        <v>44430</v>
      </c>
      <c r="B163">
        <v>11.897</v>
      </c>
      <c r="C163">
        <v>12.375</v>
      </c>
      <c r="D163">
        <v>11.744999999999999</v>
      </c>
      <c r="E163">
        <v>11.997999999999999</v>
      </c>
      <c r="F163">
        <v>77699.5</v>
      </c>
      <c r="G163">
        <v>11.997999999999999</v>
      </c>
      <c r="L163" t="s">
        <v>7</v>
      </c>
      <c r="M163" t="s">
        <v>8</v>
      </c>
      <c r="N163" t="s">
        <v>7</v>
      </c>
      <c r="P163">
        <f t="shared" ref="P163" si="790">IF(C163=D163,0,((E163-D163)-(C163-E163))/(C163-D163))</f>
        <v>-0.19682539682539746</v>
      </c>
      <c r="Q163">
        <f t="shared" ref="Q163" si="791">F163*P163</f>
        <v>-15293.23492063497</v>
      </c>
      <c r="R163">
        <f t="shared" ref="R163" si="792">R164+Q163</f>
        <v>-51755901.740074806</v>
      </c>
      <c r="S163">
        <f t="shared" ref="S163" si="793">R163/100000</f>
        <v>-517.55901740074808</v>
      </c>
      <c r="T163">
        <f t="shared" ref="T163" si="794">S163/1000</f>
        <v>-0.51755901740074806</v>
      </c>
    </row>
    <row r="164" spans="1:20" x14ac:dyDescent="0.25">
      <c r="A164" s="5">
        <v>44429</v>
      </c>
      <c r="B164">
        <v>11.965999999999999</v>
      </c>
      <c r="C164">
        <v>13.487</v>
      </c>
      <c r="D164">
        <v>11.7</v>
      </c>
      <c r="E164">
        <v>11.872999999999999</v>
      </c>
      <c r="F164">
        <v>777412.3</v>
      </c>
      <c r="G164">
        <v>11.872999999999999</v>
      </c>
      <c r="L164" t="s">
        <v>8</v>
      </c>
      <c r="M164" t="s">
        <v>8</v>
      </c>
      <c r="N164" t="s">
        <v>7</v>
      </c>
      <c r="P164">
        <f t="shared" ref="P164" si="795">IF(C164=D164,0,((E164-D164)-(C164-E164))/(C164-D164))</f>
        <v>-0.80637940682708453</v>
      </c>
      <c r="Q164">
        <f t="shared" ref="Q164" si="796">F164*P164</f>
        <v>-626889.26933407958</v>
      </c>
      <c r="R164">
        <f t="shared" ref="R164" si="797">R165+Q164</f>
        <v>-51740608.50515417</v>
      </c>
      <c r="S164">
        <f t="shared" ref="S164" si="798">R164/100000</f>
        <v>-517.40608505154171</v>
      </c>
      <c r="T164">
        <f t="shared" ref="T164" si="799">S164/1000</f>
        <v>-0.51740608505154173</v>
      </c>
    </row>
    <row r="165" spans="1:20" x14ac:dyDescent="0.25">
      <c r="A165" s="5">
        <v>44428</v>
      </c>
      <c r="B165">
        <v>11.585000000000001</v>
      </c>
      <c r="C165">
        <v>12.269</v>
      </c>
      <c r="D165">
        <v>11.4</v>
      </c>
      <c r="E165">
        <v>11.968999999999999</v>
      </c>
      <c r="F165">
        <v>314147.40000000002</v>
      </c>
      <c r="G165">
        <v>11.968999999999999</v>
      </c>
      <c r="L165" t="s">
        <v>8</v>
      </c>
      <c r="M165" t="s">
        <v>7</v>
      </c>
      <c r="N165" t="s">
        <v>7</v>
      </c>
      <c r="P165">
        <f t="shared" ref="P165" si="800">IF(C165=D165,0,((E165-D165)-(C165-E165))/(C165-D165))</f>
        <v>0.30955120828538368</v>
      </c>
      <c r="Q165">
        <f t="shared" ref="Q165" si="801">F165*P165</f>
        <v>97244.707249711748</v>
      </c>
      <c r="R165">
        <f t="shared" ref="R165" si="802">R166+Q165</f>
        <v>-51113719.235820092</v>
      </c>
      <c r="S165">
        <f t="shared" ref="S165" si="803">R165/100000</f>
        <v>-511.13719235820093</v>
      </c>
      <c r="T165">
        <f t="shared" ref="T165" si="804">S165/1000</f>
        <v>-0.51113719235820099</v>
      </c>
    </row>
    <row r="166" spans="1:20" x14ac:dyDescent="0.25">
      <c r="A166" s="5">
        <v>44427</v>
      </c>
      <c r="B166">
        <v>11.294</v>
      </c>
      <c r="C166">
        <v>11.85</v>
      </c>
      <c r="D166">
        <v>10.727</v>
      </c>
      <c r="E166">
        <v>11.55</v>
      </c>
      <c r="F166">
        <v>310806.59999999998</v>
      </c>
      <c r="G166">
        <v>11.55</v>
      </c>
      <c r="L166" t="s">
        <v>7</v>
      </c>
      <c r="M166" t="s">
        <v>7</v>
      </c>
      <c r="N166" t="s">
        <v>7</v>
      </c>
      <c r="P166">
        <f t="shared" ref="P166" si="805">IF(C166=D166,0,((E166-D166)-(C166-E166))/(C166-D166))</f>
        <v>0.46571682991985913</v>
      </c>
      <c r="Q166">
        <f t="shared" ref="Q166" si="806">F166*P166</f>
        <v>144747.86447016968</v>
      </c>
      <c r="R166">
        <f t="shared" ref="R166" si="807">R167+Q166</f>
        <v>-51210963.943069801</v>
      </c>
      <c r="S166">
        <f t="shared" ref="S166" si="808">R166/100000</f>
        <v>-512.10963943069805</v>
      </c>
      <c r="T166">
        <f t="shared" ref="T166" si="809">S166/1000</f>
        <v>-0.51210963943069809</v>
      </c>
    </row>
    <row r="167" spans="1:20" x14ac:dyDescent="0.25">
      <c r="A167" s="5">
        <v>44426</v>
      </c>
      <c r="B167">
        <v>11.436</v>
      </c>
      <c r="C167">
        <v>12.057</v>
      </c>
      <c r="D167">
        <v>10.994</v>
      </c>
      <c r="E167">
        <v>11.294</v>
      </c>
      <c r="F167">
        <v>257834.5</v>
      </c>
      <c r="G167">
        <v>11.294</v>
      </c>
      <c r="L167" t="s">
        <v>7</v>
      </c>
      <c r="M167" t="s">
        <v>7</v>
      </c>
      <c r="N167" t="s">
        <v>7</v>
      </c>
      <c r="P167">
        <f t="shared" ref="P167" si="810">IF(C167=D167,0,((E167-D167)-(C167-E167))/(C167-D167))</f>
        <v>-0.43555973659454272</v>
      </c>
      <c r="Q167">
        <f t="shared" ref="Q167" si="811">F167*P167</f>
        <v>-112302.32690498563</v>
      </c>
      <c r="R167">
        <f t="shared" ref="R167" si="812">R168+Q167</f>
        <v>-51355711.80753997</v>
      </c>
      <c r="S167">
        <f t="shared" ref="S167" si="813">R167/100000</f>
        <v>-513.55711807539967</v>
      </c>
      <c r="T167">
        <f t="shared" ref="T167" si="814">S167/1000</f>
        <v>-0.51355711807539972</v>
      </c>
    </row>
    <row r="168" spans="1:20" x14ac:dyDescent="0.25">
      <c r="A168" s="5">
        <v>44425</v>
      </c>
      <c r="B168">
        <v>12.445</v>
      </c>
      <c r="C168">
        <v>13.004</v>
      </c>
      <c r="D168">
        <v>11.302</v>
      </c>
      <c r="E168">
        <v>11.429</v>
      </c>
      <c r="F168">
        <v>407109.7</v>
      </c>
      <c r="G168">
        <v>11.429</v>
      </c>
      <c r="L168" t="s">
        <v>7</v>
      </c>
      <c r="M168" t="s">
        <v>7</v>
      </c>
      <c r="N168" t="s">
        <v>7</v>
      </c>
      <c r="P168">
        <f t="shared" ref="P168" si="815">IF(C168=D168,0,((E168-D168)-(C168-E168))/(C168-D168))</f>
        <v>-0.85076380728554568</v>
      </c>
      <c r="Q168">
        <f t="shared" ref="Q168" si="816">F168*P168</f>
        <v>-346354.19835487631</v>
      </c>
      <c r="R168">
        <f t="shared" ref="R168" si="817">R169+Q168</f>
        <v>-51243409.480634987</v>
      </c>
      <c r="S168">
        <f t="shared" ref="S168" si="818">R168/100000</f>
        <v>-512.43409480634989</v>
      </c>
      <c r="T168">
        <f t="shared" ref="T168" si="819">S168/1000</f>
        <v>-0.51243409480634994</v>
      </c>
    </row>
    <row r="169" spans="1:20" x14ac:dyDescent="0.25">
      <c r="A169" s="5">
        <v>44424</v>
      </c>
      <c r="B169">
        <v>12.561999999999999</v>
      </c>
      <c r="C169">
        <v>13.436999999999999</v>
      </c>
      <c r="D169">
        <v>12.24</v>
      </c>
      <c r="E169">
        <v>12.468999999999999</v>
      </c>
      <c r="F169">
        <v>626230.4</v>
      </c>
      <c r="G169">
        <v>12.468999999999999</v>
      </c>
      <c r="L169" t="s">
        <v>8</v>
      </c>
      <c r="M169" t="s">
        <v>7</v>
      </c>
      <c r="N169" t="s">
        <v>7</v>
      </c>
      <c r="P169">
        <f t="shared" ref="P169" si="820">IF(C169=D169,0,((E169-D169)-(C169-E169))/(C169-D169))</f>
        <v>-0.61737677527151313</v>
      </c>
      <c r="Q169">
        <f t="shared" ref="Q169" si="821">F169*P169</f>
        <v>-386620.10492898978</v>
      </c>
      <c r="R169">
        <f t="shared" ref="R169" si="822">R170+Q169</f>
        <v>-50897055.28228011</v>
      </c>
      <c r="S169">
        <f t="shared" ref="S169" si="823">R169/100000</f>
        <v>-508.9705528228011</v>
      </c>
      <c r="T169">
        <f t="shared" ref="T169" si="824">S169/1000</f>
        <v>-0.50897055282280113</v>
      </c>
    </row>
    <row r="170" spans="1:20" x14ac:dyDescent="0.25">
      <c r="A170" s="5">
        <v>44423</v>
      </c>
      <c r="B170">
        <v>12.776</v>
      </c>
      <c r="C170">
        <v>12.872999999999999</v>
      </c>
      <c r="D170">
        <v>12.21</v>
      </c>
      <c r="E170">
        <v>12.577999999999999</v>
      </c>
      <c r="F170">
        <v>348407.7</v>
      </c>
      <c r="G170">
        <v>12.577999999999999</v>
      </c>
      <c r="L170" t="s">
        <v>7</v>
      </c>
      <c r="M170" t="s">
        <v>7</v>
      </c>
      <c r="N170" t="s">
        <v>7</v>
      </c>
      <c r="P170">
        <f t="shared" ref="P170" si="825">IF(C170=D170,0,((E170-D170)-(C170-E170))/(C170-D170))</f>
        <v>0.11010558069381417</v>
      </c>
      <c r="Q170">
        <f t="shared" ref="Q170" si="826">F170*P170</f>
        <v>38361.632126696197</v>
      </c>
      <c r="R170">
        <f t="shared" ref="R170" si="827">R171+Q170</f>
        <v>-50510435.177351117</v>
      </c>
      <c r="S170">
        <f t="shared" ref="S170" si="828">R170/100000</f>
        <v>-505.10435177351115</v>
      </c>
      <c r="T170">
        <f t="shared" ref="T170" si="829">S170/1000</f>
        <v>-0.50510435177351121</v>
      </c>
    </row>
    <row r="171" spans="1:20" x14ac:dyDescent="0.25">
      <c r="A171" s="5">
        <v>44422</v>
      </c>
      <c r="B171">
        <v>12.891</v>
      </c>
      <c r="C171">
        <v>14.99</v>
      </c>
      <c r="D171">
        <v>12.185</v>
      </c>
      <c r="E171">
        <v>12.776999999999999</v>
      </c>
      <c r="F171">
        <v>1455456.9</v>
      </c>
      <c r="G171">
        <v>12.776999999999999</v>
      </c>
      <c r="L171" t="s">
        <v>8</v>
      </c>
      <c r="M171" t="s">
        <v>8</v>
      </c>
      <c r="N171" t="s">
        <v>7</v>
      </c>
      <c r="P171">
        <f t="shared" ref="P171" si="830">IF(C171=D171,0,((E171-D171)-(C171-E171))/(C171-D171))</f>
        <v>-0.57789661319073171</v>
      </c>
      <c r="Q171">
        <f t="shared" ref="Q171" si="831">F171*P171</f>
        <v>-841103.6131550814</v>
      </c>
      <c r="R171">
        <f t="shared" ref="R171" si="832">R172+Q171</f>
        <v>-50548796.809477814</v>
      </c>
      <c r="S171">
        <f t="shared" ref="S171" si="833">R171/100000</f>
        <v>-505.48796809477813</v>
      </c>
      <c r="T171">
        <f t="shared" ref="T171" si="834">S171/1000</f>
        <v>-0.50548796809477814</v>
      </c>
    </row>
    <row r="172" spans="1:20" x14ac:dyDescent="0.25">
      <c r="A172" s="5">
        <v>44421</v>
      </c>
      <c r="B172">
        <v>12.6</v>
      </c>
      <c r="C172">
        <v>13.249000000000001</v>
      </c>
      <c r="D172">
        <v>12.451000000000001</v>
      </c>
      <c r="E172">
        <v>12.888999999999999</v>
      </c>
      <c r="F172">
        <v>365412.9</v>
      </c>
      <c r="G172">
        <v>12.888999999999999</v>
      </c>
      <c r="L172" t="s">
        <v>8</v>
      </c>
      <c r="M172" t="s">
        <v>7</v>
      </c>
      <c r="N172" t="s">
        <v>7</v>
      </c>
      <c r="P172">
        <f t="shared" ref="P172" si="835">IF(C172=D172,0,((E172-D172)-(C172-E172))/(C172-D172))</f>
        <v>9.7744360902252664E-2</v>
      </c>
      <c r="Q172">
        <f t="shared" ref="Q172" si="836">F172*P172</f>
        <v>35717.050375938765</v>
      </c>
      <c r="R172">
        <f t="shared" ref="R172" si="837">R173+Q172</f>
        <v>-49707693.196322732</v>
      </c>
      <c r="S172">
        <f t="shared" ref="S172" si="838">R172/100000</f>
        <v>-497.07693196322731</v>
      </c>
      <c r="T172">
        <f t="shared" ref="T172" si="839">S172/1000</f>
        <v>-0.49707693196322733</v>
      </c>
    </row>
    <row r="173" spans="1:20" x14ac:dyDescent="0.25">
      <c r="A173" s="5">
        <v>44420</v>
      </c>
      <c r="B173">
        <v>12.31</v>
      </c>
      <c r="C173">
        <v>13.18</v>
      </c>
      <c r="D173">
        <v>12.162000000000001</v>
      </c>
      <c r="E173">
        <v>12.6</v>
      </c>
      <c r="F173">
        <v>551021</v>
      </c>
      <c r="G173">
        <v>12.6</v>
      </c>
      <c r="L173" t="s">
        <v>8</v>
      </c>
      <c r="M173" t="s">
        <v>7</v>
      </c>
      <c r="N173" t="s">
        <v>7</v>
      </c>
      <c r="P173">
        <f t="shared" ref="P173" si="840">IF(C173=D173,0,((E173-D173)-(C173-E173))/(C173-D173))</f>
        <v>-0.13948919449901906</v>
      </c>
      <c r="Q173">
        <f t="shared" ref="Q173" si="841">F173*P173</f>
        <v>-76861.475442043986</v>
      </c>
      <c r="R173">
        <f t="shared" ref="R173" si="842">R174+Q173</f>
        <v>-49743410.24669867</v>
      </c>
      <c r="S173">
        <f t="shared" ref="S173" si="843">R173/100000</f>
        <v>-497.4341024669867</v>
      </c>
      <c r="T173">
        <f t="shared" ref="T173" si="844">S173/1000</f>
        <v>-0.49743410246698672</v>
      </c>
    </row>
    <row r="174" spans="1:20" x14ac:dyDescent="0.25">
      <c r="A174" s="5">
        <v>44419</v>
      </c>
      <c r="B174">
        <v>12.853</v>
      </c>
      <c r="C174">
        <v>13.757</v>
      </c>
      <c r="D174">
        <v>12.3</v>
      </c>
      <c r="E174">
        <v>12.343999999999999</v>
      </c>
      <c r="F174">
        <v>743737</v>
      </c>
      <c r="G174">
        <v>12.343999999999999</v>
      </c>
      <c r="L174" t="s">
        <v>7</v>
      </c>
      <c r="M174" t="s">
        <v>7</v>
      </c>
      <c r="N174" t="s">
        <v>7</v>
      </c>
      <c r="P174">
        <f t="shared" ref="P174" si="845">IF(C174=D174,0,((E174-D174)-(C174-E174))/(C174-D174))</f>
        <v>-0.93960192175703672</v>
      </c>
      <c r="Q174">
        <f t="shared" ref="Q174" si="846">F174*P174</f>
        <v>-698816.71448181325</v>
      </c>
      <c r="R174">
        <f t="shared" ref="R174" si="847">R175+Q174</f>
        <v>-49666548.771256626</v>
      </c>
      <c r="S174">
        <f t="shared" ref="S174" si="848">R174/100000</f>
        <v>-496.66548771256623</v>
      </c>
      <c r="T174">
        <f t="shared" ref="T174" si="849">S174/1000</f>
        <v>-0.49666548771256624</v>
      </c>
    </row>
    <row r="175" spans="1:20" x14ac:dyDescent="0.25">
      <c r="A175" s="5">
        <v>44418</v>
      </c>
      <c r="B175">
        <v>13.381</v>
      </c>
      <c r="C175">
        <v>13.62</v>
      </c>
      <c r="D175">
        <v>12.583</v>
      </c>
      <c r="E175">
        <v>12.884</v>
      </c>
      <c r="F175">
        <v>675323.1</v>
      </c>
      <c r="G175">
        <v>12.884</v>
      </c>
      <c r="L175" t="s">
        <v>7</v>
      </c>
      <c r="M175" t="s">
        <v>7</v>
      </c>
      <c r="N175" t="s">
        <v>7</v>
      </c>
      <c r="P175">
        <f t="shared" ref="P175" si="850">IF(C175=D175,0,((E175-D175)-(C175-E175))/(C175-D175))</f>
        <v>-0.41947926711668188</v>
      </c>
      <c r="Q175">
        <f t="shared" ref="Q175" si="851">F175*P175</f>
        <v>-283284.03905496566</v>
      </c>
      <c r="R175">
        <f t="shared" ref="R175" si="852">R176+Q175</f>
        <v>-48967732.05677481</v>
      </c>
      <c r="S175">
        <f t="shared" ref="S175" si="853">R175/100000</f>
        <v>-489.6773205677481</v>
      </c>
      <c r="T175">
        <f t="shared" ref="T175" si="854">S175/1000</f>
        <v>-0.4896773205677481</v>
      </c>
    </row>
    <row r="176" spans="1:20" x14ac:dyDescent="0.25">
      <c r="A176" s="5">
        <v>44417</v>
      </c>
      <c r="B176">
        <v>15.476000000000001</v>
      </c>
      <c r="C176">
        <v>15.478</v>
      </c>
      <c r="D176">
        <v>12.69</v>
      </c>
      <c r="E176">
        <v>13.381</v>
      </c>
      <c r="F176">
        <v>2050624.2</v>
      </c>
      <c r="G176">
        <v>13.381</v>
      </c>
      <c r="L176" t="s">
        <v>7</v>
      </c>
      <c r="M176" t="s">
        <v>7</v>
      </c>
      <c r="N176" t="s">
        <v>7</v>
      </c>
      <c r="P176">
        <f t="shared" ref="P176" si="855">IF(C176=D176,0,((E176-D176)-(C176-E176))/(C176-D176))</f>
        <v>-0.50430416068866524</v>
      </c>
      <c r="Q176">
        <f t="shared" ref="Q176" si="856">F176*P176</f>
        <v>-1034138.3160688656</v>
      </c>
      <c r="R176">
        <f t="shared" ref="R176" si="857">R177+Q176</f>
        <v>-48684448.017719842</v>
      </c>
      <c r="S176">
        <f t="shared" ref="S176" si="858">R176/100000</f>
        <v>-486.84448017719842</v>
      </c>
      <c r="T176">
        <f t="shared" ref="T176" si="859">S176/1000</f>
        <v>-0.48684448017719845</v>
      </c>
    </row>
    <row r="177" spans="1:20" x14ac:dyDescent="0.25">
      <c r="A177" s="5">
        <v>44416</v>
      </c>
      <c r="B177">
        <v>11.112</v>
      </c>
      <c r="C177">
        <v>17.8</v>
      </c>
      <c r="D177">
        <v>11</v>
      </c>
      <c r="E177">
        <v>15.430999999999999</v>
      </c>
      <c r="F177">
        <v>5787216.2999999998</v>
      </c>
      <c r="G177">
        <v>15.430999999999999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0.30323529411764666</v>
      </c>
      <c r="Q177">
        <f t="shared" ref="Q177" si="861">F177*P177</f>
        <v>1754888.2368529388</v>
      </c>
      <c r="R177">
        <f t="shared" ref="R177" si="862">R178+Q177</f>
        <v>-47650309.701650977</v>
      </c>
      <c r="S177">
        <f t="shared" ref="S177" si="863">R177/100000</f>
        <v>-476.5030970165098</v>
      </c>
      <c r="T177">
        <f t="shared" ref="T177" si="864">S177/1000</f>
        <v>-0.47650309701650978</v>
      </c>
    </row>
    <row r="178" spans="1:20" x14ac:dyDescent="0.25">
      <c r="A178" s="5">
        <v>44415</v>
      </c>
      <c r="B178">
        <v>11.044</v>
      </c>
      <c r="C178">
        <v>11.65</v>
      </c>
      <c r="D178">
        <v>10.96</v>
      </c>
      <c r="E178">
        <v>11.096</v>
      </c>
      <c r="F178">
        <v>636899.69999999995</v>
      </c>
      <c r="G178">
        <v>11.096</v>
      </c>
      <c r="L178" t="s">
        <v>8</v>
      </c>
      <c r="M178" t="s">
        <v>7</v>
      </c>
      <c r="N178" t="s">
        <v>7</v>
      </c>
      <c r="P178">
        <f t="shared" ref="P178" si="865">IF(C178=D178,0,((E178-D178)-(C178-E178))/(C178-D178))</f>
        <v>-0.60579710144927734</v>
      </c>
      <c r="Q178">
        <f t="shared" ref="Q178" si="866">F178*P178</f>
        <v>-385831.99217391427</v>
      </c>
      <c r="R178">
        <f t="shared" ref="R178" si="867">R179+Q178</f>
        <v>-49405197.938503914</v>
      </c>
      <c r="S178">
        <f t="shared" ref="S178" si="868">R178/100000</f>
        <v>-494.05197938503915</v>
      </c>
      <c r="T178">
        <f t="shared" ref="T178" si="869">S178/1000</f>
        <v>-0.49405197938503914</v>
      </c>
    </row>
    <row r="179" spans="1:20" x14ac:dyDescent="0.25">
      <c r="A179" s="5">
        <v>44414</v>
      </c>
      <c r="B179">
        <v>11.071999999999999</v>
      </c>
      <c r="C179">
        <v>11.88</v>
      </c>
      <c r="D179">
        <v>10.702999999999999</v>
      </c>
      <c r="E179">
        <v>11.013999999999999</v>
      </c>
      <c r="F179">
        <v>891141.8</v>
      </c>
      <c r="G179">
        <v>11.013999999999999</v>
      </c>
      <c r="L179" t="s">
        <v>7</v>
      </c>
      <c r="M179" t="s">
        <v>7</v>
      </c>
      <c r="N179" t="s">
        <v>7</v>
      </c>
      <c r="P179">
        <f t="shared" ref="P179" si="870">IF(C179=D179,0,((E179-D179)-(C179-E179))/(C179-D179))</f>
        <v>-0.47153780798640682</v>
      </c>
      <c r="Q179">
        <f t="shared" ref="Q179" si="871">F179*P179</f>
        <v>-420207.05097706098</v>
      </c>
      <c r="R179">
        <f t="shared" ref="R179" si="872">R180+Q179</f>
        <v>-49019365.946329996</v>
      </c>
      <c r="S179">
        <f t="shared" ref="S179" si="873">R179/100000</f>
        <v>-490.19365946329998</v>
      </c>
      <c r="T179">
        <f t="shared" ref="T179" si="874">S179/1000</f>
        <v>-0.49019365946329996</v>
      </c>
    </row>
    <row r="180" spans="1:20" x14ac:dyDescent="0.25">
      <c r="A180" s="5">
        <v>44413</v>
      </c>
      <c r="B180">
        <v>11.398</v>
      </c>
      <c r="C180">
        <v>12.2</v>
      </c>
      <c r="D180">
        <v>10.561999999999999</v>
      </c>
      <c r="E180">
        <v>11.05</v>
      </c>
      <c r="F180">
        <v>775525.6</v>
      </c>
      <c r="G180">
        <v>11.05</v>
      </c>
      <c r="L180" t="s">
        <v>8</v>
      </c>
      <c r="M180" t="s">
        <v>7</v>
      </c>
      <c r="N180" t="s">
        <v>7</v>
      </c>
      <c r="P180">
        <f t="shared" ref="P180" si="875">IF(C180=D180,0,((E180-D180)-(C180-E180))/(C180-D180))</f>
        <v>-0.40415140415140249</v>
      </c>
      <c r="Q180">
        <f t="shared" ref="Q180" si="876">F180*P180</f>
        <v>-313429.76019535889</v>
      </c>
      <c r="R180">
        <f t="shared" ref="R180" si="877">R181+Q180</f>
        <v>-48599158.895352937</v>
      </c>
      <c r="S180">
        <f t="shared" ref="S180" si="878">R180/100000</f>
        <v>-485.99158895352934</v>
      </c>
      <c r="T180">
        <f t="shared" ref="T180" si="879">S180/1000</f>
        <v>-0.48599158895352934</v>
      </c>
    </row>
    <row r="181" spans="1:20" x14ac:dyDescent="0.25">
      <c r="A181" s="5">
        <v>44412</v>
      </c>
      <c r="B181">
        <v>11.164</v>
      </c>
      <c r="C181">
        <v>11.9</v>
      </c>
      <c r="D181">
        <v>11</v>
      </c>
      <c r="E181">
        <v>11.398999999999999</v>
      </c>
      <c r="F181">
        <v>547386.1</v>
      </c>
      <c r="G181">
        <v>11.398999999999999</v>
      </c>
      <c r="L181" t="s">
        <v>8</v>
      </c>
      <c r="M181" t="s">
        <v>7</v>
      </c>
      <c r="N181" t="s">
        <v>7</v>
      </c>
      <c r="P181">
        <f t="shared" ref="P181" si="880">IF(C181=D181,0,((E181-D181)-(C181-E181))/(C181-D181))</f>
        <v>-0.1133333333333356</v>
      </c>
      <c r="Q181">
        <f t="shared" ref="Q181" si="881">F181*P181</f>
        <v>-62037.091333334574</v>
      </c>
      <c r="R181">
        <f t="shared" ref="R181" si="882">R182+Q181</f>
        <v>-48285729.135157578</v>
      </c>
      <c r="S181">
        <f t="shared" ref="S181" si="883">R181/100000</f>
        <v>-482.85729135157578</v>
      </c>
      <c r="T181">
        <f t="shared" ref="T181" si="884">S181/1000</f>
        <v>-0.48285729135157579</v>
      </c>
    </row>
    <row r="182" spans="1:20" x14ac:dyDescent="0.25">
      <c r="A182" s="5">
        <v>44411</v>
      </c>
      <c r="B182">
        <v>11.74</v>
      </c>
      <c r="C182">
        <v>12.285</v>
      </c>
      <c r="D182">
        <v>10.484999999999999</v>
      </c>
      <c r="E182">
        <v>11.164999999999999</v>
      </c>
      <c r="F182">
        <v>986328.7</v>
      </c>
      <c r="G182">
        <v>11.164999999999999</v>
      </c>
      <c r="L182" t="s">
        <v>7</v>
      </c>
      <c r="M182" t="s">
        <v>7</v>
      </c>
      <c r="N182" t="s">
        <v>7</v>
      </c>
      <c r="P182">
        <f t="shared" ref="P182" si="885">IF(C182=D182,0,((E182-D182)-(C182-E182))/(C182-D182))</f>
        <v>-0.24444444444444505</v>
      </c>
      <c r="Q182">
        <f t="shared" ref="Q182" si="886">F182*P182</f>
        <v>-241102.5711111117</v>
      </c>
      <c r="R182">
        <f t="shared" ref="R182" si="887">R183+Q182</f>
        <v>-48223692.043824241</v>
      </c>
      <c r="S182">
        <f t="shared" ref="S182" si="888">R182/100000</f>
        <v>-482.23692043824241</v>
      </c>
      <c r="T182">
        <f t="shared" ref="T182" si="889">S182/1000</f>
        <v>-0.4822369204382424</v>
      </c>
    </row>
    <row r="183" spans="1:20" x14ac:dyDescent="0.25">
      <c r="A183" s="5">
        <v>44410</v>
      </c>
      <c r="B183">
        <v>11.83</v>
      </c>
      <c r="C183">
        <v>12.2</v>
      </c>
      <c r="D183">
        <v>11.622</v>
      </c>
      <c r="E183">
        <v>11.74</v>
      </c>
      <c r="F183">
        <v>333334.5</v>
      </c>
      <c r="G183">
        <v>11.74</v>
      </c>
      <c r="L183" t="s">
        <v>7</v>
      </c>
      <c r="M183" t="s">
        <v>8</v>
      </c>
      <c r="N183" t="s">
        <v>7</v>
      </c>
      <c r="P183">
        <f t="shared" ref="P183" si="890">IF(C183=D183,0,((E183-D183)-(C183-E183))/(C183-D183))</f>
        <v>-0.59169550173010221</v>
      </c>
      <c r="Q183">
        <f t="shared" ref="Q183" si="891">F183*P183</f>
        <v>-197232.52422145277</v>
      </c>
      <c r="R183">
        <f t="shared" ref="R183" si="892">R184+Q183</f>
        <v>-47982589.472713128</v>
      </c>
      <c r="S183">
        <f t="shared" ref="S183" si="893">R183/100000</f>
        <v>-479.8258947271313</v>
      </c>
      <c r="T183">
        <f t="shared" ref="T183" si="894">S183/1000</f>
        <v>-0.47982589472713127</v>
      </c>
    </row>
    <row r="184" spans="1:20" x14ac:dyDescent="0.25">
      <c r="A184" s="5">
        <v>44409</v>
      </c>
      <c r="B184">
        <v>13.037000000000001</v>
      </c>
      <c r="C184">
        <v>13.09</v>
      </c>
      <c r="D184">
        <v>11.739000000000001</v>
      </c>
      <c r="E184">
        <v>11.827999999999999</v>
      </c>
      <c r="F184">
        <v>489950.9</v>
      </c>
      <c r="G184">
        <v>11.827999999999999</v>
      </c>
      <c r="L184" t="s">
        <v>7</v>
      </c>
      <c r="M184" t="s">
        <v>8</v>
      </c>
      <c r="N184" t="s">
        <v>7</v>
      </c>
      <c r="P184">
        <f t="shared" ref="P184" si="895">IF(C184=D184,0,((E184-D184)-(C184-E184))/(C184-D184))</f>
        <v>-0.86824574389341425</v>
      </c>
      <c r="Q184">
        <f t="shared" ref="Q184" si="896">F184*P184</f>
        <v>-425397.78364174784</v>
      </c>
      <c r="R184">
        <f t="shared" ref="R184" si="897">R185+Q184</f>
        <v>-47785356.948491678</v>
      </c>
      <c r="S184">
        <f t="shared" ref="S184" si="898">R184/100000</f>
        <v>-477.85356948491676</v>
      </c>
      <c r="T184">
        <f t="shared" ref="T184" si="899">S184/1000</f>
        <v>-0.47785356948491675</v>
      </c>
    </row>
    <row r="185" spans="1:20" x14ac:dyDescent="0.25">
      <c r="A185" s="5">
        <v>44408</v>
      </c>
      <c r="B185">
        <v>12.606999999999999</v>
      </c>
      <c r="C185">
        <v>13.669</v>
      </c>
      <c r="D185">
        <v>12.601000000000001</v>
      </c>
      <c r="E185">
        <v>12.965</v>
      </c>
      <c r="F185">
        <v>902581.6</v>
      </c>
      <c r="G185">
        <v>12.965</v>
      </c>
      <c r="L185" t="s">
        <v>8</v>
      </c>
      <c r="M185" t="s">
        <v>8</v>
      </c>
      <c r="N185" t="s">
        <v>7</v>
      </c>
      <c r="P185">
        <f t="shared" ref="P185" si="900">IF(C185=D185,0,((E185-D185)-(C185-E185))/(C185-D185))</f>
        <v>-0.3183520599250953</v>
      </c>
      <c r="Q185">
        <f t="shared" ref="Q185" si="901">F185*P185</f>
        <v>-287338.71161048836</v>
      </c>
      <c r="R185">
        <f t="shared" ref="R185" si="902">R186+Q185</f>
        <v>-47359959.16484993</v>
      </c>
      <c r="S185">
        <f t="shared" ref="S185" si="903">R185/100000</f>
        <v>-473.59959164849931</v>
      </c>
      <c r="T185">
        <f t="shared" ref="T185" si="904">S185/1000</f>
        <v>-0.4735995916484993</v>
      </c>
    </row>
    <row r="186" spans="1:20" x14ac:dyDescent="0.25">
      <c r="A186" s="5">
        <v>44407</v>
      </c>
      <c r="B186">
        <v>12.602</v>
      </c>
      <c r="C186">
        <v>15.419</v>
      </c>
      <c r="D186">
        <v>11.401</v>
      </c>
      <c r="E186">
        <v>12.601000000000001</v>
      </c>
      <c r="F186">
        <v>2435196.1</v>
      </c>
      <c r="G186">
        <v>12.601000000000001</v>
      </c>
      <c r="L186" t="s">
        <v>7</v>
      </c>
      <c r="M186" t="s">
        <v>7</v>
      </c>
      <c r="N186" t="s">
        <v>7</v>
      </c>
      <c r="P186">
        <f t="shared" ref="P186" si="905">IF(C186=D186,0,((E186-D186)-(C186-E186))/(C186-D186))</f>
        <v>-0.4026879044300643</v>
      </c>
      <c r="Q186">
        <f t="shared" ref="Q186" si="906">F186*P186</f>
        <v>-980624.0143852653</v>
      </c>
      <c r="R186">
        <f t="shared" ref="R186" si="907">R187+Q186</f>
        <v>-47072620.453239441</v>
      </c>
      <c r="S186">
        <f t="shared" ref="S186" si="908">R186/100000</f>
        <v>-470.72620453239443</v>
      </c>
      <c r="T186">
        <f t="shared" ref="T186" si="909">S186/1000</f>
        <v>-0.47072620453239444</v>
      </c>
    </row>
    <row r="187" spans="1:20" x14ac:dyDescent="0.25">
      <c r="A187" s="5">
        <v>44406</v>
      </c>
      <c r="B187">
        <v>13.724</v>
      </c>
      <c r="C187">
        <v>13.949</v>
      </c>
      <c r="D187">
        <v>12.428000000000001</v>
      </c>
      <c r="E187">
        <v>12.601000000000001</v>
      </c>
      <c r="F187">
        <v>640636.9</v>
      </c>
      <c r="G187">
        <v>12.601000000000001</v>
      </c>
      <c r="L187" t="s">
        <v>7</v>
      </c>
      <c r="M187" t="s">
        <v>7</v>
      </c>
      <c r="N187" t="s">
        <v>7</v>
      </c>
      <c r="P187">
        <f t="shared" ref="P187" si="910">IF(C187=D187,0,((E187-D187)-(C187-E187))/(C187-D187))</f>
        <v>-0.7725180802103877</v>
      </c>
      <c r="Q187">
        <f t="shared" ref="Q187" si="911">F187*P187</f>
        <v>-494903.58809993416</v>
      </c>
      <c r="R187">
        <f t="shared" ref="R187" si="912">R188+Q187</f>
        <v>-46091996.438854173</v>
      </c>
      <c r="S187">
        <f t="shared" ref="S187" si="913">R187/100000</f>
        <v>-460.9199643885417</v>
      </c>
      <c r="T187">
        <f t="shared" ref="T187" si="914">S187/1000</f>
        <v>-0.46091996438854171</v>
      </c>
    </row>
    <row r="188" spans="1:20" x14ac:dyDescent="0.25">
      <c r="A188" s="5">
        <v>44405</v>
      </c>
      <c r="B188">
        <v>15.128</v>
      </c>
      <c r="C188">
        <v>15.5</v>
      </c>
      <c r="D188">
        <v>13.179</v>
      </c>
      <c r="E188">
        <v>13.725</v>
      </c>
      <c r="F188">
        <v>1023916</v>
      </c>
      <c r="G188">
        <v>13.725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-0.52951314088754897</v>
      </c>
      <c r="Q188">
        <f t="shared" ref="Q188" si="916">F188*P188</f>
        <v>-542176.97716501565</v>
      </c>
      <c r="R188">
        <f t="shared" ref="R188" si="917">R189+Q188</f>
        <v>-45597092.850754239</v>
      </c>
      <c r="S188">
        <f t="shared" ref="S188" si="918">R188/100000</f>
        <v>-455.9709285075424</v>
      </c>
      <c r="T188">
        <f t="shared" ref="T188" si="919">S188/1000</f>
        <v>-0.45597092850754239</v>
      </c>
    </row>
    <row r="189" spans="1:20" x14ac:dyDescent="0.25">
      <c r="A189" s="5">
        <v>44404</v>
      </c>
      <c r="B189">
        <v>13.284000000000001</v>
      </c>
      <c r="C189">
        <v>17.13</v>
      </c>
      <c r="D189">
        <v>11.701000000000001</v>
      </c>
      <c r="E189">
        <v>15.166</v>
      </c>
      <c r="F189">
        <v>3100147.5</v>
      </c>
      <c r="G189">
        <v>15.166</v>
      </c>
      <c r="L189" t="s">
        <v>7</v>
      </c>
      <c r="M189" t="s">
        <v>7</v>
      </c>
      <c r="N189" t="s">
        <v>7</v>
      </c>
      <c r="P189">
        <f t="shared" ref="P189" si="920">IF(C189=D189,0,((E189-D189)-(C189-E189))/(C189-D189))</f>
        <v>0.27647817277583381</v>
      </c>
      <c r="Q189">
        <f t="shared" ref="Q189" si="921">F189*P189</f>
        <v>857123.11613556929</v>
      </c>
      <c r="R189">
        <f t="shared" ref="R189" si="922">R190+Q189</f>
        <v>-45054915.873589225</v>
      </c>
      <c r="S189">
        <f t="shared" ref="S189" si="923">R189/100000</f>
        <v>-450.54915873589226</v>
      </c>
      <c r="T189">
        <f t="shared" ref="T189" si="924">S189/1000</f>
        <v>-0.45054915873589224</v>
      </c>
    </row>
    <row r="190" spans="1:20" x14ac:dyDescent="0.25">
      <c r="A190" s="5">
        <v>44403</v>
      </c>
      <c r="B190">
        <v>17.350999999999999</v>
      </c>
      <c r="C190">
        <v>18.617999999999999</v>
      </c>
      <c r="D190">
        <v>12.525</v>
      </c>
      <c r="E190">
        <v>13.340999999999999</v>
      </c>
      <c r="F190">
        <v>2554999.2000000002</v>
      </c>
      <c r="G190">
        <v>13.340999999999999</v>
      </c>
      <c r="L190" t="s">
        <v>7</v>
      </c>
      <c r="M190" t="s">
        <v>7</v>
      </c>
      <c r="N190" t="s">
        <v>7</v>
      </c>
      <c r="P190">
        <f t="shared" ref="P190" si="925">IF(C190=D190,0,((E190-D190)-(C190-E190))/(C190-D190))</f>
        <v>-0.73215164943377675</v>
      </c>
      <c r="Q190">
        <f t="shared" ref="Q190" si="926">F190*P190</f>
        <v>-1870646.8785819802</v>
      </c>
      <c r="R190">
        <f t="shared" ref="R190" si="927">R191+Q190</f>
        <v>-45912038.989724793</v>
      </c>
      <c r="S190">
        <f t="shared" ref="S190" si="928">R190/100000</f>
        <v>-459.12038989724795</v>
      </c>
      <c r="T190">
        <f t="shared" ref="T190" si="929">S190/1000</f>
        <v>-0.45912038989724796</v>
      </c>
    </row>
    <row r="191" spans="1:20" x14ac:dyDescent="0.25">
      <c r="A191" s="5">
        <v>44402</v>
      </c>
      <c r="B191">
        <v>19.515999999999998</v>
      </c>
      <c r="C191">
        <v>23</v>
      </c>
      <c r="D191">
        <v>16.155000000000001</v>
      </c>
      <c r="E191">
        <v>17.352</v>
      </c>
      <c r="F191">
        <v>7658388.4000000004</v>
      </c>
      <c r="G191">
        <v>17.352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-0.65025566106647203</v>
      </c>
      <c r="Q191">
        <f t="shared" ref="Q191" si="931">F191*P191</f>
        <v>-4979910.4117458016</v>
      </c>
      <c r="R191">
        <f t="shared" ref="R191" si="932">R192+Q191</f>
        <v>-44041392.111142814</v>
      </c>
      <c r="S191">
        <f t="shared" ref="S191" si="933">R191/100000</f>
        <v>-440.41392111142812</v>
      </c>
      <c r="T191">
        <f t="shared" ref="T191:T197" si="934">S191/1000</f>
        <v>-0.44041392111142813</v>
      </c>
    </row>
    <row r="192" spans="1:20" x14ac:dyDescent="0.25">
      <c r="A192" s="5">
        <v>44401</v>
      </c>
      <c r="B192">
        <v>7.165</v>
      </c>
      <c r="C192">
        <v>23.6</v>
      </c>
      <c r="D192">
        <v>6.444</v>
      </c>
      <c r="E192">
        <v>19.513999999999999</v>
      </c>
      <c r="F192">
        <v>15506433.9</v>
      </c>
      <c r="G192">
        <v>19.513999999999999</v>
      </c>
      <c r="L192" t="s">
        <v>7</v>
      </c>
      <c r="M192" t="s">
        <v>7</v>
      </c>
      <c r="N192" t="s">
        <v>7</v>
      </c>
      <c r="P192">
        <f t="shared" ref="P192" si="935">IF(C192=D192,0,((E192-D192)-(C192-E192))/(C192-D192))</f>
        <v>0.52366519002098377</v>
      </c>
      <c r="Q192">
        <f t="shared" ref="Q192" si="936">F192*P192</f>
        <v>8120179.6547913244</v>
      </c>
      <c r="R192">
        <f t="shared" ref="R192" si="937">R193+Q192</f>
        <v>-39061481.699397013</v>
      </c>
      <c r="S192">
        <f t="shared" ref="S192" si="938">R192/100000</f>
        <v>-390.61481699397012</v>
      </c>
      <c r="T192">
        <f t="shared" si="934"/>
        <v>-0.3906148169939701</v>
      </c>
    </row>
    <row r="193" spans="1:20" x14ac:dyDescent="0.25">
      <c r="A193" s="5">
        <v>44400</v>
      </c>
      <c r="B193">
        <v>3.9670000000000001</v>
      </c>
      <c r="C193">
        <v>33</v>
      </c>
      <c r="D193">
        <v>3.9670000000000001</v>
      </c>
      <c r="E193">
        <v>7.165</v>
      </c>
      <c r="F193">
        <v>2992969.4</v>
      </c>
      <c r="G193">
        <v>7.165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-0.77969896324871701</v>
      </c>
      <c r="Q193">
        <f t="shared" ref="Q193" si="940">F193*P193</f>
        <v>-2333615.1382151344</v>
      </c>
      <c r="R193">
        <f t="shared" ref="R193" si="941">R194+Q193</f>
        <v>-47181661.354188338</v>
      </c>
      <c r="S193">
        <f t="shared" ref="S193" si="942">R193/100000</f>
        <v>-471.81661354188338</v>
      </c>
      <c r="T193">
        <f t="shared" si="934"/>
        <v>-0.47181661354188337</v>
      </c>
    </row>
    <row r="194" spans="1:20" x14ac:dyDescent="0.25">
      <c r="A194" s="5">
        <v>44399</v>
      </c>
      <c r="B194">
        <v>17.352</v>
      </c>
      <c r="C194">
        <v>17.352</v>
      </c>
      <c r="D194">
        <v>17.352</v>
      </c>
      <c r="E194">
        <v>17.352</v>
      </c>
      <c r="F194">
        <v>0</v>
      </c>
      <c r="G194">
        <v>17.352</v>
      </c>
      <c r="L194" t="s">
        <v>8</v>
      </c>
      <c r="M194" t="s">
        <v>8</v>
      </c>
      <c r="N194" t="s">
        <v>8</v>
      </c>
      <c r="P194">
        <f t="shared" ref="P194" si="943">IF(C194=D194,0,((E194-D194)-(C194-E194))/(C194-D194))</f>
        <v>0</v>
      </c>
      <c r="Q194">
        <f t="shared" ref="Q194" si="944">F194*P194</f>
        <v>0</v>
      </c>
      <c r="R194">
        <f t="shared" ref="R194" si="945">R195+Q194</f>
        <v>-44848046.215973206</v>
      </c>
      <c r="S194">
        <f t="shared" ref="S194" si="946">R194/100000</f>
        <v>-448.48046215973204</v>
      </c>
      <c r="T194">
        <f t="shared" si="934"/>
        <v>-0.44848046215973203</v>
      </c>
    </row>
    <row r="195" spans="1:20" x14ac:dyDescent="0.25">
      <c r="A195" s="5">
        <v>44398</v>
      </c>
      <c r="B195">
        <v>17.352</v>
      </c>
      <c r="C195">
        <v>17.352</v>
      </c>
      <c r="D195">
        <v>17.352</v>
      </c>
      <c r="E195">
        <v>17.352</v>
      </c>
      <c r="F195">
        <v>0</v>
      </c>
      <c r="G195">
        <v>17.352</v>
      </c>
      <c r="P195">
        <f t="shared" ref="P195" si="947">IF(C195=D195,0,((E195-D195)-(C195-E195))/(C195-D195))</f>
        <v>0</v>
      </c>
      <c r="Q195">
        <f t="shared" ref="Q195" si="948">F195*P195</f>
        <v>0</v>
      </c>
      <c r="R195">
        <f t="shared" ref="R195" si="949">R196+Q195</f>
        <v>-44848046.215973206</v>
      </c>
      <c r="S195">
        <f t="shared" ref="S195" si="950">R195/100000</f>
        <v>-448.48046215973204</v>
      </c>
      <c r="T195">
        <f t="shared" si="934"/>
        <v>-0.44848046215973203</v>
      </c>
    </row>
    <row r="196" spans="1:20" x14ac:dyDescent="0.25">
      <c r="A196" s="5">
        <v>44397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0</v>
      </c>
      <c r="Q196">
        <f t="shared" ref="Q196" si="952">F196*P196</f>
        <v>0</v>
      </c>
      <c r="R196">
        <f t="shared" ref="R196" si="953">R197+Q196</f>
        <v>-44848046.215973206</v>
      </c>
      <c r="S196">
        <f t="shared" ref="S196" si="954">R196/100000</f>
        <v>-448.48046215973204</v>
      </c>
      <c r="T196">
        <f t="shared" si="934"/>
        <v>-0.44848046215973203</v>
      </c>
    </row>
    <row r="197" spans="1:20" x14ac:dyDescent="0.25">
      <c r="A197" s="5">
        <v>44396</v>
      </c>
      <c r="B197">
        <v>3.5209999999999999</v>
      </c>
      <c r="C197">
        <v>3.63</v>
      </c>
      <c r="D197">
        <v>3.2330000000000001</v>
      </c>
      <c r="E197">
        <v>3.3420000000000001</v>
      </c>
      <c r="F197">
        <v>2478989.5839999998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-0.4508816120906799</v>
      </c>
      <c r="Q197">
        <f t="shared" ref="Q197" si="956">F197*P197</f>
        <v>-1117730.8199899239</v>
      </c>
      <c r="R197">
        <f t="shared" ref="R197" si="957">R198+Q197</f>
        <v>-44848046.215973206</v>
      </c>
      <c r="S197">
        <f t="shared" ref="S197" si="958">R197/100000</f>
        <v>-448.48046215973204</v>
      </c>
      <c r="T197">
        <f t="shared" si="934"/>
        <v>-0.44848046215973203</v>
      </c>
    </row>
    <row r="198" spans="1:20" x14ac:dyDescent="0.25">
      <c r="A198" s="5">
        <v>44395</v>
      </c>
      <c r="B198">
        <v>3.7189999999999999</v>
      </c>
      <c r="C198">
        <v>4.1950000000000003</v>
      </c>
      <c r="D198">
        <v>3.4620000000000002</v>
      </c>
      <c r="E198">
        <v>3.5270000000000001</v>
      </c>
      <c r="F198">
        <v>2892764.8820000002</v>
      </c>
      <c r="G198">
        <v>0</v>
      </c>
      <c r="L198" t="s">
        <v>8</v>
      </c>
      <c r="M198" t="s">
        <v>8</v>
      </c>
      <c r="N198" t="s">
        <v>7</v>
      </c>
      <c r="P198">
        <f t="shared" ref="P198:P261" si="959">IF(C198=D198,0,((E198-D198)-(C198-E198))/(C198-D198))</f>
        <v>-0.82264665757162359</v>
      </c>
      <c r="Q198">
        <f t="shared" ref="Q198:Q261" si="960">F198*P198</f>
        <v>-2379723.3613178721</v>
      </c>
      <c r="R198">
        <f t="shared" ref="R198:R261" si="961">R199+Q198</f>
        <v>-43730315.395983279</v>
      </c>
      <c r="S198">
        <f t="shared" ref="S198:S261" si="962">R198/100000</f>
        <v>-437.3031539598328</v>
      </c>
      <c r="T198">
        <f t="shared" ref="T198:T261" si="963">S198/1000</f>
        <v>-0.43730315395983282</v>
      </c>
    </row>
    <row r="199" spans="1:20" x14ac:dyDescent="0.25">
      <c r="A199" s="5">
        <v>44394</v>
      </c>
      <c r="B199">
        <v>3.6349999999999998</v>
      </c>
      <c r="C199">
        <v>3.7490000000000001</v>
      </c>
      <c r="D199">
        <v>3.4039999999999999</v>
      </c>
      <c r="E199">
        <v>3.72</v>
      </c>
      <c r="F199">
        <v>2493835.87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0.83188405797101506</v>
      </c>
      <c r="Q199">
        <f t="shared" si="960"/>
        <v>2074582.3034492768</v>
      </c>
      <c r="R199">
        <f t="shared" si="961"/>
        <v>-41350592.034665406</v>
      </c>
      <c r="S199">
        <f t="shared" si="962"/>
        <v>-413.50592034665408</v>
      </c>
      <c r="T199">
        <f t="shared" si="963"/>
        <v>-0.41350592034665407</v>
      </c>
    </row>
    <row r="200" spans="1:20" x14ac:dyDescent="0.25">
      <c r="A200" s="5">
        <v>44393</v>
      </c>
      <c r="B200">
        <v>3.8439999999999999</v>
      </c>
      <c r="C200">
        <v>3.8879999999999999</v>
      </c>
      <c r="D200">
        <v>3.4790000000000001</v>
      </c>
      <c r="E200">
        <v>3.6349999999999998</v>
      </c>
      <c r="F200">
        <v>2147990.19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-0.23716381418093024</v>
      </c>
      <c r="Q200">
        <f t="shared" si="960"/>
        <v>-509425.54628362105</v>
      </c>
      <c r="R200">
        <f t="shared" si="961"/>
        <v>-43425174.338114686</v>
      </c>
      <c r="S200">
        <f t="shared" si="962"/>
        <v>-434.25174338114687</v>
      </c>
      <c r="T200">
        <f t="shared" si="963"/>
        <v>-0.43425174338114686</v>
      </c>
    </row>
    <row r="201" spans="1:20" x14ac:dyDescent="0.25">
      <c r="A201" s="5">
        <v>44392</v>
      </c>
      <c r="B201">
        <v>4.077</v>
      </c>
      <c r="C201">
        <v>4.133</v>
      </c>
      <c r="D201">
        <v>3.6970000000000001</v>
      </c>
      <c r="E201">
        <v>3.8450000000000002</v>
      </c>
      <c r="F201">
        <v>1950862.8840000001</v>
      </c>
      <c r="G201">
        <v>0</v>
      </c>
      <c r="L201" t="s">
        <v>7</v>
      </c>
      <c r="M201" t="s">
        <v>7</v>
      </c>
      <c r="N201" t="s">
        <v>7</v>
      </c>
      <c r="P201">
        <f t="shared" si="959"/>
        <v>-0.32110091743119196</v>
      </c>
      <c r="Q201">
        <f t="shared" si="960"/>
        <v>-626423.86183486099</v>
      </c>
      <c r="R201">
        <f t="shared" si="961"/>
        <v>-42915748.791831069</v>
      </c>
      <c r="S201">
        <f t="shared" si="962"/>
        <v>-429.15748791831066</v>
      </c>
      <c r="T201">
        <f t="shared" si="963"/>
        <v>-0.42915748791831065</v>
      </c>
    </row>
    <row r="202" spans="1:20" x14ac:dyDescent="0.25">
      <c r="A202" s="5">
        <v>44391</v>
      </c>
      <c r="B202">
        <v>4.17</v>
      </c>
      <c r="C202">
        <v>4.1950000000000003</v>
      </c>
      <c r="D202">
        <v>3.8380000000000001</v>
      </c>
      <c r="E202">
        <v>4.0709999999999997</v>
      </c>
      <c r="F202">
        <v>1406712.5260000001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0.30532212885153792</v>
      </c>
      <c r="Q202">
        <f t="shared" si="960"/>
        <v>429500.46312044439</v>
      </c>
      <c r="R202">
        <f t="shared" si="961"/>
        <v>-42289324.929996207</v>
      </c>
      <c r="S202">
        <f t="shared" si="962"/>
        <v>-422.89324929996206</v>
      </c>
      <c r="T202">
        <f t="shared" si="963"/>
        <v>-0.42289324929996208</v>
      </c>
    </row>
    <row r="203" spans="1:20" x14ac:dyDescent="0.25">
      <c r="A203" s="5">
        <v>44390</v>
      </c>
      <c r="B203">
        <v>4.17</v>
      </c>
      <c r="C203">
        <v>4.4050000000000002</v>
      </c>
      <c r="D203">
        <v>4.0540000000000003</v>
      </c>
      <c r="E203">
        <v>4.1589999999999998</v>
      </c>
      <c r="F203">
        <v>2623055.11</v>
      </c>
      <c r="G203">
        <v>0</v>
      </c>
      <c r="L203" t="s">
        <v>8</v>
      </c>
      <c r="M203" t="s">
        <v>7</v>
      </c>
      <c r="N203" t="s">
        <v>8</v>
      </c>
      <c r="P203">
        <f t="shared" si="959"/>
        <v>-0.40170940170940428</v>
      </c>
      <c r="Q203">
        <f t="shared" si="960"/>
        <v>-1053705.8988888955</v>
      </c>
      <c r="R203">
        <f t="shared" si="961"/>
        <v>-42718825.393116653</v>
      </c>
      <c r="S203">
        <f t="shared" si="962"/>
        <v>-427.18825393116651</v>
      </c>
      <c r="T203">
        <f t="shared" si="963"/>
        <v>-0.4271882539311665</v>
      </c>
    </row>
    <row r="204" spans="1:20" x14ac:dyDescent="0.25">
      <c r="A204" s="5">
        <v>44389</v>
      </c>
      <c r="B204">
        <v>4.2919999999999998</v>
      </c>
      <c r="C204">
        <v>4.6479999999999997</v>
      </c>
      <c r="D204">
        <v>4</v>
      </c>
      <c r="E204">
        <v>4.1710000000000003</v>
      </c>
      <c r="F204">
        <v>2850230.2050000001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-0.47222222222222116</v>
      </c>
      <c r="Q204">
        <f t="shared" si="960"/>
        <v>-1345942.041249997</v>
      </c>
      <c r="R204">
        <f t="shared" si="961"/>
        <v>-41665119.49422776</v>
      </c>
      <c r="S204">
        <f t="shared" si="962"/>
        <v>-416.65119494227758</v>
      </c>
      <c r="T204">
        <f t="shared" si="963"/>
        <v>-0.41665119494227759</v>
      </c>
    </row>
    <row r="205" spans="1:20" x14ac:dyDescent="0.25">
      <c r="A205" s="5">
        <v>44388</v>
      </c>
      <c r="B205">
        <v>4.1689999999999996</v>
      </c>
      <c r="C205">
        <v>4.3719999999999999</v>
      </c>
      <c r="D205">
        <v>4.1239999999999997</v>
      </c>
      <c r="E205">
        <v>4.2850000000000001</v>
      </c>
      <c r="F205">
        <v>2580398.8569999998</v>
      </c>
      <c r="G205">
        <v>0</v>
      </c>
      <c r="L205" t="s">
        <v>7</v>
      </c>
      <c r="M205" t="s">
        <v>7</v>
      </c>
      <c r="N205" t="s">
        <v>8</v>
      </c>
      <c r="P205">
        <f t="shared" si="959"/>
        <v>0.29838709677419623</v>
      </c>
      <c r="Q205">
        <f t="shared" si="960"/>
        <v>769957.72345968429</v>
      </c>
      <c r="R205">
        <f t="shared" si="961"/>
        <v>-40319177.452977762</v>
      </c>
      <c r="S205">
        <f t="shared" si="962"/>
        <v>-403.1917745297776</v>
      </c>
      <c r="T205">
        <f t="shared" si="963"/>
        <v>-0.40319177452977761</v>
      </c>
    </row>
    <row r="206" spans="1:20" x14ac:dyDescent="0.25">
      <c r="A206" s="5">
        <v>44387</v>
      </c>
      <c r="B206">
        <v>4.4240000000000004</v>
      </c>
      <c r="C206">
        <v>4.5270000000000001</v>
      </c>
      <c r="D206">
        <v>4.0869999999999997</v>
      </c>
      <c r="E206">
        <v>4.1669999999999998</v>
      </c>
      <c r="F206">
        <v>3096003.21</v>
      </c>
      <c r="G206">
        <v>0</v>
      </c>
      <c r="L206" t="s">
        <v>7</v>
      </c>
      <c r="M206" t="s">
        <v>7</v>
      </c>
      <c r="N206" t="s">
        <v>8</v>
      </c>
      <c r="P206">
        <f t="shared" si="959"/>
        <v>-0.63636363636363635</v>
      </c>
      <c r="Q206">
        <f t="shared" si="960"/>
        <v>-1970183.8609090908</v>
      </c>
      <c r="R206">
        <f t="shared" si="961"/>
        <v>-41089135.176437445</v>
      </c>
      <c r="S206">
        <f t="shared" si="962"/>
        <v>-410.89135176437446</v>
      </c>
      <c r="T206">
        <f t="shared" si="963"/>
        <v>-0.41089135176437447</v>
      </c>
    </row>
    <row r="207" spans="1:20" x14ac:dyDescent="0.25">
      <c r="A207" s="5">
        <v>44386</v>
      </c>
      <c r="B207">
        <v>4.1909999999999998</v>
      </c>
      <c r="C207">
        <v>4.8109999999999999</v>
      </c>
      <c r="D207">
        <v>4.0490000000000004</v>
      </c>
      <c r="E207">
        <v>4.4240000000000004</v>
      </c>
      <c r="F207">
        <v>3924806.7080000001</v>
      </c>
      <c r="G207">
        <v>0</v>
      </c>
      <c r="L207" t="s">
        <v>8</v>
      </c>
      <c r="M207" t="s">
        <v>8</v>
      </c>
      <c r="N207" t="s">
        <v>8</v>
      </c>
      <c r="P207">
        <f t="shared" si="959"/>
        <v>-1.5748031496062433E-2</v>
      </c>
      <c r="Q207">
        <f t="shared" si="960"/>
        <v>-61807.979653541115</v>
      </c>
      <c r="R207">
        <f t="shared" si="961"/>
        <v>-39118951.315528356</v>
      </c>
      <c r="S207">
        <f t="shared" si="962"/>
        <v>-391.18951315528358</v>
      </c>
      <c r="T207">
        <f t="shared" si="963"/>
        <v>-0.39118951315528355</v>
      </c>
    </row>
    <row r="208" spans="1:20" x14ac:dyDescent="0.25">
      <c r="A208" s="5">
        <v>44385</v>
      </c>
      <c r="B208">
        <v>4.6630000000000003</v>
      </c>
      <c r="C208">
        <v>4.7770000000000001</v>
      </c>
      <c r="D208">
        <v>4.03</v>
      </c>
      <c r="E208">
        <v>4.1879999999999997</v>
      </c>
      <c r="F208">
        <v>4524373.2029999997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-0.57697456492637345</v>
      </c>
      <c r="Q208">
        <f t="shared" si="960"/>
        <v>-2610448.2603654675</v>
      </c>
      <c r="R208">
        <f t="shared" si="961"/>
        <v>-39057143.335874811</v>
      </c>
      <c r="S208">
        <f t="shared" si="962"/>
        <v>-390.5714333587481</v>
      </c>
      <c r="T208">
        <f t="shared" si="963"/>
        <v>-0.39057143335874811</v>
      </c>
    </row>
    <row r="209" spans="1:20" x14ac:dyDescent="0.25">
      <c r="A209" s="5">
        <v>44384</v>
      </c>
      <c r="B209">
        <v>4.9009999999999998</v>
      </c>
      <c r="C209">
        <v>5.0090000000000003</v>
      </c>
      <c r="D209">
        <v>4.5919999999999996</v>
      </c>
      <c r="E209">
        <v>4.6619999999999999</v>
      </c>
      <c r="F209">
        <v>2996418.3480000002</v>
      </c>
      <c r="G209">
        <v>0</v>
      </c>
      <c r="L209" t="s">
        <v>7</v>
      </c>
      <c r="M209" t="s">
        <v>7</v>
      </c>
      <c r="N209" t="s">
        <v>8</v>
      </c>
      <c r="P209">
        <f t="shared" si="959"/>
        <v>-0.66426858513189369</v>
      </c>
      <c r="Q209">
        <f t="shared" si="960"/>
        <v>-1990426.5764892064</v>
      </c>
      <c r="R209">
        <f t="shared" si="961"/>
        <v>-36446695.07550934</v>
      </c>
      <c r="S209">
        <f t="shared" si="962"/>
        <v>-364.46695075509342</v>
      </c>
      <c r="T209">
        <f t="shared" si="963"/>
        <v>-0.36446695075509344</v>
      </c>
    </row>
    <row r="210" spans="1:20" x14ac:dyDescent="0.25">
      <c r="A210" s="5">
        <v>44383</v>
      </c>
      <c r="B210">
        <v>4.6360000000000001</v>
      </c>
      <c r="C210">
        <v>5.2060000000000004</v>
      </c>
      <c r="D210">
        <v>4.5620000000000003</v>
      </c>
      <c r="E210">
        <v>4.91</v>
      </c>
      <c r="F210">
        <v>3534234.889</v>
      </c>
      <c r="G210">
        <v>0</v>
      </c>
      <c r="L210" t="s">
        <v>8</v>
      </c>
      <c r="M210" t="s">
        <v>7</v>
      </c>
      <c r="N210" t="s">
        <v>8</v>
      </c>
      <c r="P210">
        <f t="shared" si="959"/>
        <v>8.0745341614906194E-2</v>
      </c>
      <c r="Q210">
        <f t="shared" si="960"/>
        <v>285373.00345962506</v>
      </c>
      <c r="R210">
        <f t="shared" si="961"/>
        <v>-34456268.499020137</v>
      </c>
      <c r="S210">
        <f t="shared" si="962"/>
        <v>-344.56268499020138</v>
      </c>
      <c r="T210">
        <f t="shared" si="963"/>
        <v>-0.34456268499020137</v>
      </c>
    </row>
    <row r="211" spans="1:20" x14ac:dyDescent="0.25">
      <c r="A211" s="5">
        <v>44382</v>
      </c>
      <c r="B211">
        <v>4.8869999999999996</v>
      </c>
      <c r="C211">
        <v>5.28</v>
      </c>
      <c r="D211">
        <v>4.43</v>
      </c>
      <c r="E211">
        <v>4.6360000000000001</v>
      </c>
      <c r="F211">
        <v>4138935.4339999999</v>
      </c>
      <c r="G211">
        <v>0</v>
      </c>
      <c r="L211" t="s">
        <v>7</v>
      </c>
      <c r="M211" t="s">
        <v>7</v>
      </c>
      <c r="N211" t="s">
        <v>8</v>
      </c>
      <c r="P211">
        <f t="shared" si="959"/>
        <v>-0.51529411764705813</v>
      </c>
      <c r="Q211">
        <f t="shared" si="960"/>
        <v>-2132769.0824611736</v>
      </c>
      <c r="R211">
        <f t="shared" si="961"/>
        <v>-34741641.502479762</v>
      </c>
      <c r="S211">
        <f t="shared" si="962"/>
        <v>-347.41641502479763</v>
      </c>
      <c r="T211">
        <f t="shared" si="963"/>
        <v>-0.34741641502479764</v>
      </c>
    </row>
    <row r="212" spans="1:20" x14ac:dyDescent="0.25">
      <c r="A212" s="5">
        <v>44381</v>
      </c>
      <c r="B212">
        <v>3.8340000000000001</v>
      </c>
      <c r="C212">
        <v>5.3979999999999997</v>
      </c>
      <c r="D212">
        <v>3.8159999999999998</v>
      </c>
      <c r="E212">
        <v>4.8869999999999996</v>
      </c>
      <c r="F212">
        <v>5304030.8329999996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0.35398230088495553</v>
      </c>
      <c r="Q212">
        <f t="shared" si="960"/>
        <v>1877533.0382300871</v>
      </c>
      <c r="R212">
        <f t="shared" si="961"/>
        <v>-32608872.420018587</v>
      </c>
      <c r="S212">
        <f t="shared" si="962"/>
        <v>-326.08872420018588</v>
      </c>
      <c r="T212">
        <f t="shared" si="963"/>
        <v>-0.32608872420018586</v>
      </c>
    </row>
    <row r="213" spans="1:20" x14ac:dyDescent="0.25">
      <c r="A213" s="5">
        <v>44380</v>
      </c>
      <c r="B213">
        <v>3.504</v>
      </c>
      <c r="C213">
        <v>4.5</v>
      </c>
      <c r="D213">
        <v>3.3879999999999999</v>
      </c>
      <c r="E213">
        <v>3.8420000000000001</v>
      </c>
      <c r="F213">
        <v>4543296.7010000004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-0.18345323741007169</v>
      </c>
      <c r="Q213">
        <f t="shared" si="960"/>
        <v>-833482.48831294861</v>
      </c>
      <c r="R213">
        <f t="shared" si="961"/>
        <v>-34486405.458248675</v>
      </c>
      <c r="S213">
        <f t="shared" si="962"/>
        <v>-344.86405458248674</v>
      </c>
      <c r="T213">
        <f t="shared" si="963"/>
        <v>-0.34486405458248676</v>
      </c>
    </row>
    <row r="214" spans="1:20" x14ac:dyDescent="0.25">
      <c r="A214" s="5">
        <v>44379</v>
      </c>
      <c r="B214">
        <v>3.1909999999999998</v>
      </c>
      <c r="C214">
        <v>3.8</v>
      </c>
      <c r="D214">
        <v>3.0840000000000001</v>
      </c>
      <c r="E214">
        <v>3.5049999999999999</v>
      </c>
      <c r="F214">
        <v>4308587.4970000004</v>
      </c>
      <c r="G214">
        <v>0</v>
      </c>
      <c r="L214" t="s">
        <v>7</v>
      </c>
      <c r="M214" t="s">
        <v>8</v>
      </c>
      <c r="N214" t="s">
        <v>7</v>
      </c>
      <c r="P214">
        <f t="shared" si="959"/>
        <v>0.17597765363128481</v>
      </c>
      <c r="Q214">
        <f t="shared" si="960"/>
        <v>758215.11818715045</v>
      </c>
      <c r="R214">
        <f t="shared" si="961"/>
        <v>-33652922.969935723</v>
      </c>
      <c r="S214">
        <f t="shared" si="962"/>
        <v>-336.52922969935724</v>
      </c>
      <c r="T214">
        <f t="shared" si="963"/>
        <v>-0.33652922969935722</v>
      </c>
    </row>
    <row r="215" spans="1:20" x14ac:dyDescent="0.25">
      <c r="A215" s="5">
        <v>44378</v>
      </c>
      <c r="B215">
        <v>3.4790000000000001</v>
      </c>
      <c r="C215">
        <v>3.5259999999999998</v>
      </c>
      <c r="D215">
        <v>3.1619999999999999</v>
      </c>
      <c r="E215">
        <v>3.2029999999999998</v>
      </c>
      <c r="F215">
        <v>4629032.2429999998</v>
      </c>
      <c r="G215">
        <v>0</v>
      </c>
      <c r="L215" t="s">
        <v>7</v>
      </c>
      <c r="M215" t="s">
        <v>7</v>
      </c>
      <c r="N215" t="s">
        <v>8</v>
      </c>
      <c r="P215">
        <f t="shared" si="959"/>
        <v>-0.77472527472527508</v>
      </c>
      <c r="Q215">
        <f t="shared" si="960"/>
        <v>-3586228.2761703311</v>
      </c>
      <c r="R215">
        <f t="shared" si="961"/>
        <v>-34411138.088122874</v>
      </c>
      <c r="S215">
        <f t="shared" si="962"/>
        <v>-344.11138088122874</v>
      </c>
      <c r="T215">
        <f t="shared" si="963"/>
        <v>-0.34411138088122872</v>
      </c>
    </row>
    <row r="216" spans="1:20" x14ac:dyDescent="0.25">
      <c r="A216" s="5">
        <v>44377</v>
      </c>
      <c r="B216">
        <v>3.4950000000000001</v>
      </c>
      <c r="C216">
        <v>3.544</v>
      </c>
      <c r="D216">
        <v>3.3290000000000002</v>
      </c>
      <c r="E216">
        <v>3.488</v>
      </c>
      <c r="F216">
        <v>3870311.63</v>
      </c>
      <c r="G216">
        <v>0</v>
      </c>
      <c r="L216" t="s">
        <v>7</v>
      </c>
      <c r="M216" t="s">
        <v>7</v>
      </c>
      <c r="N216" t="s">
        <v>8</v>
      </c>
      <c r="P216">
        <f t="shared" si="959"/>
        <v>0.47906976744185964</v>
      </c>
      <c r="Q216">
        <f t="shared" si="960"/>
        <v>1854149.2925116247</v>
      </c>
      <c r="R216">
        <f t="shared" si="961"/>
        <v>-30824909.811952543</v>
      </c>
      <c r="S216">
        <f t="shared" si="962"/>
        <v>-308.2490981195254</v>
      </c>
      <c r="T216">
        <f t="shared" si="963"/>
        <v>-0.30824909811952539</v>
      </c>
    </row>
    <row r="217" spans="1:20" x14ac:dyDescent="0.25">
      <c r="A217" s="5">
        <v>44376</v>
      </c>
      <c r="B217">
        <v>3.5139999999999998</v>
      </c>
      <c r="C217">
        <v>3.8889999999999998</v>
      </c>
      <c r="D217">
        <v>3.4260000000000002</v>
      </c>
      <c r="E217">
        <v>3.484</v>
      </c>
      <c r="F217">
        <v>3866401.5649999999</v>
      </c>
      <c r="G217">
        <v>0</v>
      </c>
      <c r="L217" t="s">
        <v>8</v>
      </c>
      <c r="M217" t="s">
        <v>7</v>
      </c>
      <c r="N217" t="s">
        <v>8</v>
      </c>
      <c r="P217">
        <f t="shared" si="959"/>
        <v>-0.7494600431965448</v>
      </c>
      <c r="Q217">
        <f t="shared" si="960"/>
        <v>-2897713.4839200885</v>
      </c>
      <c r="R217">
        <f t="shared" si="961"/>
        <v>-32679059.104464166</v>
      </c>
      <c r="S217">
        <f t="shared" si="962"/>
        <v>-326.79059104464164</v>
      </c>
      <c r="T217">
        <f t="shared" si="963"/>
        <v>-0.32679059104464164</v>
      </c>
    </row>
    <row r="218" spans="1:20" x14ac:dyDescent="0.25">
      <c r="A218" s="5">
        <v>44375</v>
      </c>
      <c r="B218">
        <v>3.3650000000000002</v>
      </c>
      <c r="C218">
        <v>3.88</v>
      </c>
      <c r="D218">
        <v>3.3159999999999998</v>
      </c>
      <c r="E218">
        <v>3.512</v>
      </c>
      <c r="F218">
        <v>3658027.878</v>
      </c>
      <c r="G218">
        <v>0</v>
      </c>
      <c r="L218" t="s">
        <v>7</v>
      </c>
      <c r="M218" t="s">
        <v>7</v>
      </c>
      <c r="N218" t="s">
        <v>8</v>
      </c>
      <c r="P218">
        <f t="shared" si="959"/>
        <v>-0.30496453900709164</v>
      </c>
      <c r="Q218">
        <f t="shared" si="960"/>
        <v>-1115568.7854893596</v>
      </c>
      <c r="R218">
        <f t="shared" si="961"/>
        <v>-29781345.620544076</v>
      </c>
      <c r="S218">
        <f t="shared" si="962"/>
        <v>-297.81345620544079</v>
      </c>
      <c r="T218">
        <f t="shared" si="963"/>
        <v>-0.29781345620544081</v>
      </c>
    </row>
    <row r="219" spans="1:20" x14ac:dyDescent="0.25">
      <c r="A219" s="5">
        <v>44374</v>
      </c>
      <c r="B219">
        <v>2.7949999999999999</v>
      </c>
      <c r="C219">
        <v>4.5</v>
      </c>
      <c r="D219">
        <v>2.778</v>
      </c>
      <c r="E219">
        <v>3.3559999999999999</v>
      </c>
      <c r="F219">
        <v>5716153.8770000003</v>
      </c>
      <c r="G219">
        <v>0</v>
      </c>
      <c r="L219" t="s">
        <v>8</v>
      </c>
      <c r="M219" t="s">
        <v>8</v>
      </c>
      <c r="N219" t="s">
        <v>8</v>
      </c>
      <c r="P219">
        <f t="shared" si="959"/>
        <v>-0.3286875725900118</v>
      </c>
      <c r="Q219">
        <f t="shared" si="960"/>
        <v>-1878828.742382115</v>
      </c>
      <c r="R219">
        <f t="shared" si="961"/>
        <v>-28665776.835054718</v>
      </c>
      <c r="S219">
        <f t="shared" si="962"/>
        <v>-286.6577683505472</v>
      </c>
      <c r="T219">
        <f t="shared" si="963"/>
        <v>-0.28665776835054718</v>
      </c>
    </row>
    <row r="220" spans="1:20" x14ac:dyDescent="0.25">
      <c r="A220" s="5">
        <v>44373</v>
      </c>
      <c r="B220">
        <v>2.883</v>
      </c>
      <c r="C220">
        <v>2.9380000000000002</v>
      </c>
      <c r="D220">
        <v>2.6179999999999999</v>
      </c>
      <c r="E220">
        <v>2.806</v>
      </c>
      <c r="F220">
        <v>3688424.1310000001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0.17499999999999999</v>
      </c>
      <c r="Q220">
        <f t="shared" si="960"/>
        <v>645474.22292500001</v>
      </c>
      <c r="R220">
        <f t="shared" si="961"/>
        <v>-26786948.092672601</v>
      </c>
      <c r="S220">
        <f t="shared" si="962"/>
        <v>-267.869480926726</v>
      </c>
      <c r="T220">
        <f t="shared" si="963"/>
        <v>-0.26786948092672602</v>
      </c>
    </row>
    <row r="221" spans="1:20" x14ac:dyDescent="0.25">
      <c r="A221" s="5">
        <v>44372</v>
      </c>
      <c r="B221">
        <v>3.1190000000000002</v>
      </c>
      <c r="C221">
        <v>3.399</v>
      </c>
      <c r="D221">
        <v>2.82</v>
      </c>
      <c r="E221">
        <v>2.883</v>
      </c>
      <c r="F221">
        <v>4062970.3629999999</v>
      </c>
      <c r="G221">
        <v>0</v>
      </c>
      <c r="L221" t="s">
        <v>7</v>
      </c>
      <c r="M221" t="s">
        <v>8</v>
      </c>
      <c r="N221" t="s">
        <v>7</v>
      </c>
      <c r="P221">
        <f t="shared" si="959"/>
        <v>-0.78238341968911862</v>
      </c>
      <c r="Q221">
        <f t="shared" si="960"/>
        <v>-3178800.6466994793</v>
      </c>
      <c r="R221">
        <f t="shared" si="961"/>
        <v>-27432422.315597601</v>
      </c>
      <c r="S221">
        <f t="shared" si="962"/>
        <v>-274.32422315597603</v>
      </c>
      <c r="T221">
        <f t="shared" si="963"/>
        <v>-0.27432422315597604</v>
      </c>
    </row>
    <row r="222" spans="1:20" x14ac:dyDescent="0.25">
      <c r="A222" s="5">
        <v>44371</v>
      </c>
      <c r="B222">
        <v>3.0790000000000002</v>
      </c>
      <c r="C222">
        <v>3.2719999999999998</v>
      </c>
      <c r="D222">
        <v>2.9350000000000001</v>
      </c>
      <c r="E222">
        <v>3.1190000000000002</v>
      </c>
      <c r="F222">
        <v>4282052.4630000005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9.1988130563800022E-2</v>
      </c>
      <c r="Q222">
        <f t="shared" si="960"/>
        <v>393898.00104748551</v>
      </c>
      <c r="R222">
        <f t="shared" si="961"/>
        <v>-24253621.668898121</v>
      </c>
      <c r="S222">
        <f t="shared" si="962"/>
        <v>-242.5362166889812</v>
      </c>
      <c r="T222">
        <f t="shared" si="963"/>
        <v>-0.2425362166889812</v>
      </c>
    </row>
    <row r="223" spans="1:20" x14ac:dyDescent="0.25">
      <c r="A223" s="5">
        <v>44370</v>
      </c>
      <c r="B223">
        <v>2.9510000000000001</v>
      </c>
      <c r="C223">
        <v>3.2879999999999998</v>
      </c>
      <c r="D223">
        <v>2.8279999999999998</v>
      </c>
      <c r="E223">
        <v>3.0720000000000001</v>
      </c>
      <c r="F223">
        <v>4936420.2460000003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6.0869565217392327E-2</v>
      </c>
      <c r="Q223">
        <f t="shared" si="960"/>
        <v>300477.75410435291</v>
      </c>
      <c r="R223">
        <f t="shared" si="961"/>
        <v>-24647519.669945605</v>
      </c>
      <c r="S223">
        <f t="shared" si="962"/>
        <v>-246.47519669945606</v>
      </c>
      <c r="T223">
        <f t="shared" si="963"/>
        <v>-0.24647519669945606</v>
      </c>
    </row>
    <row r="224" spans="1:20" x14ac:dyDescent="0.25">
      <c r="A224" s="5">
        <v>44369</v>
      </c>
      <c r="B224">
        <v>3.4710000000000001</v>
      </c>
      <c r="C224">
        <v>3.62</v>
      </c>
      <c r="D224">
        <v>2.6269999999999998</v>
      </c>
      <c r="E224">
        <v>2.96</v>
      </c>
      <c r="F224">
        <v>3718874.7390000001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-0.3293051359516615</v>
      </c>
      <c r="Q224">
        <f t="shared" si="960"/>
        <v>-1224644.5515135946</v>
      </c>
      <c r="R224">
        <f t="shared" si="961"/>
        <v>-24947997.424049959</v>
      </c>
      <c r="S224">
        <f t="shared" si="962"/>
        <v>-249.47997424049959</v>
      </c>
      <c r="T224">
        <f t="shared" si="963"/>
        <v>-0.24947997424049959</v>
      </c>
    </row>
    <row r="225" spans="1:20" x14ac:dyDescent="0.25">
      <c r="A225" s="5">
        <v>44368</v>
      </c>
      <c r="B225">
        <v>4.444</v>
      </c>
      <c r="C225">
        <v>4.4530000000000003</v>
      </c>
      <c r="D225">
        <v>3.3490000000000002</v>
      </c>
      <c r="E225">
        <v>3.4889999999999999</v>
      </c>
      <c r="F225">
        <v>3351246.8939999999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-0.74637681159420355</v>
      </c>
      <c r="Q225">
        <f t="shared" si="960"/>
        <v>-2501292.9716086979</v>
      </c>
      <c r="R225">
        <f t="shared" si="961"/>
        <v>-23723352.872536365</v>
      </c>
      <c r="S225">
        <f t="shared" si="962"/>
        <v>-237.23352872536364</v>
      </c>
      <c r="T225">
        <f t="shared" si="963"/>
        <v>-0.23723352872536363</v>
      </c>
    </row>
    <row r="226" spans="1:20" x14ac:dyDescent="0.25">
      <c r="A226" s="5">
        <v>44367</v>
      </c>
      <c r="B226">
        <v>4.4029999999999996</v>
      </c>
      <c r="C226">
        <v>4.5490000000000004</v>
      </c>
      <c r="D226">
        <v>4.0129999999999999</v>
      </c>
      <c r="E226">
        <v>4.4420000000000002</v>
      </c>
      <c r="F226">
        <v>2539346.8169999998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0.60074626865671599</v>
      </c>
      <c r="Q226">
        <f t="shared" si="960"/>
        <v>1525503.1251380586</v>
      </c>
      <c r="R226">
        <f t="shared" si="961"/>
        <v>-21222059.900927667</v>
      </c>
      <c r="S226">
        <f t="shared" si="962"/>
        <v>-212.22059900927667</v>
      </c>
      <c r="T226">
        <f t="shared" si="963"/>
        <v>-0.21222059900927667</v>
      </c>
    </row>
    <row r="227" spans="1:20" x14ac:dyDescent="0.25">
      <c r="A227" s="5">
        <v>44366</v>
      </c>
      <c r="B227">
        <v>4.6689999999999996</v>
      </c>
      <c r="C227">
        <v>4.7939999999999996</v>
      </c>
      <c r="D227">
        <v>4.319</v>
      </c>
      <c r="E227">
        <v>4.43</v>
      </c>
      <c r="F227">
        <v>2793015.5589999999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-0.53263157894736901</v>
      </c>
      <c r="Q227">
        <f t="shared" si="960"/>
        <v>-1487648.2872147383</v>
      </c>
      <c r="R227">
        <f t="shared" si="961"/>
        <v>-22747563.026065726</v>
      </c>
      <c r="S227">
        <f t="shared" si="962"/>
        <v>-227.47563026065725</v>
      </c>
      <c r="T227">
        <f t="shared" si="963"/>
        <v>-0.22747563026065726</v>
      </c>
    </row>
    <row r="228" spans="1:20" x14ac:dyDescent="0.25">
      <c r="A228" s="5">
        <v>44365</v>
      </c>
      <c r="B228">
        <v>5.0309999999999997</v>
      </c>
      <c r="C228">
        <v>5.09</v>
      </c>
      <c r="D228">
        <v>4.5140000000000002</v>
      </c>
      <c r="E228">
        <v>4.67</v>
      </c>
      <c r="F228">
        <v>2903595.1570000001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-0.45833333333333404</v>
      </c>
      <c r="Q228">
        <f t="shared" si="960"/>
        <v>-1330814.4469583353</v>
      </c>
      <c r="R228">
        <f t="shared" si="961"/>
        <v>-21259914.738850988</v>
      </c>
      <c r="S228">
        <f t="shared" si="962"/>
        <v>-212.59914738850989</v>
      </c>
      <c r="T228">
        <f t="shared" si="963"/>
        <v>-0.21259914738850988</v>
      </c>
    </row>
    <row r="229" spans="1:20" x14ac:dyDescent="0.25">
      <c r="A229" s="5">
        <v>44364</v>
      </c>
      <c r="B229">
        <v>5.0129999999999999</v>
      </c>
      <c r="C229">
        <v>5.4420000000000002</v>
      </c>
      <c r="D229">
        <v>4.9080000000000004</v>
      </c>
      <c r="E229">
        <v>5.0389999999999997</v>
      </c>
      <c r="F229">
        <v>2431448.3089999999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-0.50936329588015206</v>
      </c>
      <c r="Q229">
        <f t="shared" si="960"/>
        <v>-1238490.5244344624</v>
      </c>
      <c r="R229">
        <f t="shared" si="961"/>
        <v>-19929100.291892651</v>
      </c>
      <c r="S229">
        <f t="shared" si="962"/>
        <v>-199.29100291892652</v>
      </c>
      <c r="T229">
        <f t="shared" si="963"/>
        <v>-0.19929100291892651</v>
      </c>
    </row>
    <row r="230" spans="1:20" x14ac:dyDescent="0.25">
      <c r="A230" s="5">
        <v>44363</v>
      </c>
      <c r="B230">
        <v>5.55</v>
      </c>
      <c r="C230">
        <v>5.69</v>
      </c>
      <c r="D230">
        <v>5.0030000000000001</v>
      </c>
      <c r="E230">
        <v>5.0129999999999999</v>
      </c>
      <c r="F230">
        <v>2179086.1609999998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-0.9708879184861724</v>
      </c>
      <c r="Q230">
        <f t="shared" si="960"/>
        <v>-2115648.4270553142</v>
      </c>
      <c r="R230">
        <f t="shared" si="961"/>
        <v>-18690609.767458189</v>
      </c>
      <c r="S230">
        <f t="shared" si="962"/>
        <v>-186.9060976745819</v>
      </c>
      <c r="T230">
        <f t="shared" si="963"/>
        <v>-0.18690609767458191</v>
      </c>
    </row>
    <row r="231" spans="1:20" x14ac:dyDescent="0.25">
      <c r="A231" s="5">
        <v>44362</v>
      </c>
      <c r="B231">
        <v>5.9249999999999998</v>
      </c>
      <c r="C231">
        <v>6.2960000000000003</v>
      </c>
      <c r="D231">
        <v>5.3</v>
      </c>
      <c r="E231">
        <v>5.5529999999999999</v>
      </c>
      <c r="F231">
        <v>2664946.8130000001</v>
      </c>
      <c r="G231">
        <v>0</v>
      </c>
      <c r="L231" t="s">
        <v>7</v>
      </c>
      <c r="M231" t="s">
        <v>7</v>
      </c>
      <c r="N231" t="s">
        <v>7</v>
      </c>
      <c r="P231">
        <f t="shared" si="959"/>
        <v>-0.49196787148594379</v>
      </c>
      <c r="Q231">
        <f t="shared" si="960"/>
        <v>-1311068.2112148595</v>
      </c>
      <c r="R231">
        <f t="shared" si="961"/>
        <v>-16574961.340402875</v>
      </c>
      <c r="S231">
        <f t="shared" si="962"/>
        <v>-165.74961340402876</v>
      </c>
      <c r="T231">
        <f t="shared" si="963"/>
        <v>-0.16574961340402877</v>
      </c>
    </row>
    <row r="232" spans="1:20" x14ac:dyDescent="0.25">
      <c r="A232" s="5">
        <v>44361</v>
      </c>
      <c r="B232">
        <v>4.8639999999999999</v>
      </c>
      <c r="C232">
        <v>8.8000000000000007</v>
      </c>
      <c r="D232">
        <v>4.8</v>
      </c>
      <c r="E232">
        <v>5.93</v>
      </c>
      <c r="F232">
        <v>4870374.2489999998</v>
      </c>
      <c r="G232">
        <v>0</v>
      </c>
      <c r="L232" t="s">
        <v>8</v>
      </c>
      <c r="M232" t="s">
        <v>8</v>
      </c>
      <c r="N232" t="s">
        <v>8</v>
      </c>
      <c r="P232">
        <f t="shared" si="959"/>
        <v>-0.43500000000000016</v>
      </c>
      <c r="Q232">
        <f t="shared" si="960"/>
        <v>-2118612.7983150007</v>
      </c>
      <c r="R232">
        <f t="shared" si="961"/>
        <v>-15263893.129188016</v>
      </c>
      <c r="S232">
        <f t="shared" si="962"/>
        <v>-152.63893129188017</v>
      </c>
      <c r="T232">
        <f t="shared" si="963"/>
        <v>-0.15263893129188016</v>
      </c>
    </row>
    <row r="233" spans="1:20" x14ac:dyDescent="0.25">
      <c r="A233" s="5">
        <v>44360</v>
      </c>
      <c r="B233">
        <v>4.7350000000000003</v>
      </c>
      <c r="C233">
        <v>4.9349999999999996</v>
      </c>
      <c r="D233">
        <v>4.5460000000000003</v>
      </c>
      <c r="E233">
        <v>4.8499999999999996</v>
      </c>
      <c r="F233">
        <v>2510639.5189999999</v>
      </c>
      <c r="G233">
        <v>0</v>
      </c>
      <c r="L233" t="s">
        <v>7</v>
      </c>
      <c r="M233" t="s">
        <v>7</v>
      </c>
      <c r="N233" t="s">
        <v>7</v>
      </c>
      <c r="P233">
        <f t="shared" si="959"/>
        <v>0.56298200514138763</v>
      </c>
      <c r="Q233">
        <f t="shared" si="960"/>
        <v>1413444.8705938288</v>
      </c>
      <c r="R233">
        <f t="shared" si="961"/>
        <v>-13145280.330873014</v>
      </c>
      <c r="S233">
        <f t="shared" si="962"/>
        <v>-131.45280330873015</v>
      </c>
      <c r="T233">
        <f t="shared" si="963"/>
        <v>-0.13145280330873016</v>
      </c>
    </row>
    <row r="234" spans="1:20" x14ac:dyDescent="0.25">
      <c r="A234" s="5">
        <v>44359</v>
      </c>
      <c r="B234">
        <v>4.9080000000000004</v>
      </c>
      <c r="C234">
        <v>4.9269999999999996</v>
      </c>
      <c r="D234">
        <v>4.6289999999999996</v>
      </c>
      <c r="E234">
        <v>4.7240000000000002</v>
      </c>
      <c r="F234">
        <v>2531640.4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-0.36241610738254615</v>
      </c>
      <c r="Q234">
        <f t="shared" si="960"/>
        <v>-917507.25906039204</v>
      </c>
      <c r="R234">
        <f t="shared" si="961"/>
        <v>-14558725.201466843</v>
      </c>
      <c r="S234">
        <f t="shared" si="962"/>
        <v>-145.58725201466842</v>
      </c>
      <c r="T234">
        <f t="shared" si="963"/>
        <v>-0.14558725201466843</v>
      </c>
    </row>
    <row r="235" spans="1:20" x14ac:dyDescent="0.25">
      <c r="A235" s="5">
        <v>44358</v>
      </c>
      <c r="B235">
        <v>5.2949999999999999</v>
      </c>
      <c r="C235">
        <v>5.327</v>
      </c>
      <c r="D235">
        <v>4.8650000000000002</v>
      </c>
      <c r="E235">
        <v>4.9219999999999997</v>
      </c>
      <c r="F235">
        <v>2124708.4879999999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-0.75324675324675527</v>
      </c>
      <c r="Q235">
        <f t="shared" si="960"/>
        <v>-1600429.7701818224</v>
      </c>
      <c r="R235">
        <f t="shared" si="961"/>
        <v>-13641217.942406451</v>
      </c>
      <c r="S235">
        <f t="shared" si="962"/>
        <v>-136.4121794240645</v>
      </c>
      <c r="T235">
        <f t="shared" si="963"/>
        <v>-0.1364121794240645</v>
      </c>
    </row>
    <row r="236" spans="1:20" x14ac:dyDescent="0.25">
      <c r="A236" s="5">
        <v>44357</v>
      </c>
      <c r="B236">
        <v>5.556</v>
      </c>
      <c r="C236">
        <v>5.7220000000000004</v>
      </c>
      <c r="D236">
        <v>5.1189999999999998</v>
      </c>
      <c r="E236">
        <v>5.2949999999999999</v>
      </c>
      <c r="F236">
        <v>1754591.0149999999</v>
      </c>
      <c r="G236">
        <v>0</v>
      </c>
      <c r="L236" t="s">
        <v>8</v>
      </c>
      <c r="M236" t="s">
        <v>7</v>
      </c>
      <c r="N236" t="s">
        <v>7</v>
      </c>
      <c r="P236">
        <f t="shared" si="959"/>
        <v>-0.41625207296849098</v>
      </c>
      <c r="Q236">
        <f t="shared" si="960"/>
        <v>-730352.14720563858</v>
      </c>
      <c r="R236">
        <f t="shared" si="961"/>
        <v>-12040788.17222463</v>
      </c>
      <c r="S236">
        <f t="shared" si="962"/>
        <v>-120.4078817222463</v>
      </c>
      <c r="T236">
        <f t="shared" si="963"/>
        <v>-0.1204078817222463</v>
      </c>
    </row>
    <row r="237" spans="1:20" x14ac:dyDescent="0.25">
      <c r="A237" s="5">
        <v>44356</v>
      </c>
      <c r="B237">
        <v>5.1890000000000001</v>
      </c>
      <c r="C237">
        <v>5.7</v>
      </c>
      <c r="D237">
        <v>5.0289999999999999</v>
      </c>
      <c r="E237">
        <v>5.54</v>
      </c>
      <c r="F237">
        <v>2305520.8760000002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0.52309985096870315</v>
      </c>
      <c r="Q237">
        <f t="shared" si="960"/>
        <v>1206017.6266408339</v>
      </c>
      <c r="R237">
        <f t="shared" si="961"/>
        <v>-11310436.025018992</v>
      </c>
      <c r="S237">
        <f t="shared" si="962"/>
        <v>-113.10436025018991</v>
      </c>
      <c r="T237">
        <f t="shared" si="963"/>
        <v>-0.11310436025018991</v>
      </c>
    </row>
    <row r="238" spans="1:20" x14ac:dyDescent="0.25">
      <c r="A238" s="5">
        <v>44355</v>
      </c>
      <c r="B238">
        <v>5.4390000000000001</v>
      </c>
      <c r="C238">
        <v>5.657</v>
      </c>
      <c r="D238">
        <v>4.7960000000000003</v>
      </c>
      <c r="E238">
        <v>5.1920000000000002</v>
      </c>
      <c r="F238">
        <v>2484714.5780000002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-8.0139372822299618E-2</v>
      </c>
      <c r="Q238">
        <f t="shared" si="960"/>
        <v>-199123.46792334487</v>
      </c>
      <c r="R238">
        <f t="shared" si="961"/>
        <v>-12516453.651659826</v>
      </c>
      <c r="S238">
        <f t="shared" si="962"/>
        <v>-125.16453651659826</v>
      </c>
      <c r="T238">
        <f t="shared" si="963"/>
        <v>-0.12516453651659826</v>
      </c>
    </row>
    <row r="239" spans="1:20" x14ac:dyDescent="0.25">
      <c r="A239" s="5">
        <v>44354</v>
      </c>
      <c r="B239">
        <v>6.1749999999999998</v>
      </c>
      <c r="C239">
        <v>6.2969999999999997</v>
      </c>
      <c r="D239">
        <v>5.4039999999999999</v>
      </c>
      <c r="E239">
        <v>5.452</v>
      </c>
      <c r="F239">
        <v>1821412.9469999999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-0.89249720044792824</v>
      </c>
      <c r="Q239">
        <f t="shared" si="960"/>
        <v>-1625605.9560571106</v>
      </c>
      <c r="R239">
        <f t="shared" si="961"/>
        <v>-12317330.183736481</v>
      </c>
      <c r="S239">
        <f t="shared" si="962"/>
        <v>-123.1733018373648</v>
      </c>
      <c r="T239">
        <f t="shared" si="963"/>
        <v>-0.1231733018373648</v>
      </c>
    </row>
    <row r="240" spans="1:20" x14ac:dyDescent="0.25">
      <c r="A240" s="5">
        <v>44353</v>
      </c>
      <c r="B240">
        <v>6.3849999999999998</v>
      </c>
      <c r="C240">
        <v>6.8369999999999997</v>
      </c>
      <c r="D240">
        <v>5.95</v>
      </c>
      <c r="E240">
        <v>6.1769999999999996</v>
      </c>
      <c r="F240">
        <v>1929826.841</v>
      </c>
      <c r="G240">
        <v>0</v>
      </c>
      <c r="L240" t="s">
        <v>8</v>
      </c>
      <c r="M240" t="s">
        <v>7</v>
      </c>
      <c r="N240" t="s">
        <v>7</v>
      </c>
      <c r="P240">
        <f t="shared" si="959"/>
        <v>-0.48816234498309014</v>
      </c>
      <c r="Q240">
        <f t="shared" si="960"/>
        <v>-942068.79611386906</v>
      </c>
      <c r="R240">
        <f t="shared" si="961"/>
        <v>-10691724.22767937</v>
      </c>
      <c r="S240">
        <f t="shared" si="962"/>
        <v>-106.9172422767937</v>
      </c>
      <c r="T240">
        <f t="shared" si="963"/>
        <v>-0.10691724227679369</v>
      </c>
    </row>
    <row r="241" spans="1:20" x14ac:dyDescent="0.25">
      <c r="A241" s="5">
        <v>44352</v>
      </c>
      <c r="B241">
        <v>6.1689999999999996</v>
      </c>
      <c r="C241">
        <v>6.6870000000000003</v>
      </c>
      <c r="D241">
        <v>5.9980000000000002</v>
      </c>
      <c r="E241">
        <v>6.3840000000000003</v>
      </c>
      <c r="F241">
        <v>2631668.9950000001</v>
      </c>
      <c r="G241">
        <v>0</v>
      </c>
      <c r="L241" t="s">
        <v>8</v>
      </c>
      <c r="M241" t="s">
        <v>7</v>
      </c>
      <c r="N241" t="s">
        <v>7</v>
      </c>
      <c r="P241">
        <f t="shared" si="959"/>
        <v>0.12046444121915846</v>
      </c>
      <c r="Q241">
        <f t="shared" si="960"/>
        <v>317022.53495645936</v>
      </c>
      <c r="R241">
        <f t="shared" si="961"/>
        <v>-9749655.4315655008</v>
      </c>
      <c r="S241">
        <f t="shared" si="962"/>
        <v>-97.496554315655004</v>
      </c>
      <c r="T241">
        <f t="shared" si="963"/>
        <v>-9.7496554315655001E-2</v>
      </c>
    </row>
    <row r="242" spans="1:20" x14ac:dyDescent="0.25">
      <c r="A242" s="5">
        <v>44351</v>
      </c>
      <c r="B242">
        <v>6.7990000000000004</v>
      </c>
      <c r="C242">
        <v>6.8360000000000003</v>
      </c>
      <c r="D242">
        <v>6</v>
      </c>
      <c r="E242">
        <v>6.1680000000000001</v>
      </c>
      <c r="F242">
        <v>2146107.9139999999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-0.59808612440191367</v>
      </c>
      <c r="Q242">
        <f t="shared" si="960"/>
        <v>-1283557.3648325354</v>
      </c>
      <c r="R242">
        <f t="shared" si="961"/>
        <v>-10066677.96652196</v>
      </c>
      <c r="S242">
        <f t="shared" si="962"/>
        <v>-100.66677966521959</v>
      </c>
      <c r="T242">
        <f t="shared" si="963"/>
        <v>-0.1006667796652196</v>
      </c>
    </row>
    <row r="243" spans="1:20" x14ac:dyDescent="0.25">
      <c r="A243" s="5">
        <v>44350</v>
      </c>
      <c r="B243">
        <v>6.7519999999999998</v>
      </c>
      <c r="C243">
        <v>7.3879999999999999</v>
      </c>
      <c r="D243">
        <v>6.548</v>
      </c>
      <c r="E243">
        <v>6.7919999999999998</v>
      </c>
      <c r="F243">
        <v>2019424.034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-0.4190476190476195</v>
      </c>
      <c r="Q243">
        <f t="shared" si="960"/>
        <v>-846234.83329523902</v>
      </c>
      <c r="R243">
        <f t="shared" si="961"/>
        <v>-8783120.6016894244</v>
      </c>
      <c r="S243">
        <f t="shared" si="962"/>
        <v>-87.831206016894242</v>
      </c>
      <c r="T243">
        <f t="shared" si="963"/>
        <v>-8.7831206016894245E-2</v>
      </c>
    </row>
    <row r="244" spans="1:20" x14ac:dyDescent="0.25">
      <c r="A244" s="5">
        <v>44349</v>
      </c>
      <c r="B244">
        <v>6.3730000000000002</v>
      </c>
      <c r="C244">
        <v>6.7930000000000001</v>
      </c>
      <c r="D244">
        <v>6.2830000000000004</v>
      </c>
      <c r="E244">
        <v>6.7560000000000002</v>
      </c>
      <c r="F244">
        <v>2330046.196</v>
      </c>
      <c r="G244">
        <v>0</v>
      </c>
      <c r="L244" t="s">
        <v>7</v>
      </c>
      <c r="M244" t="s">
        <v>8</v>
      </c>
      <c r="N244" t="s">
        <v>7</v>
      </c>
      <c r="P244">
        <f t="shared" si="959"/>
        <v>0.85490196078431402</v>
      </c>
      <c r="Q244">
        <f t="shared" si="960"/>
        <v>1991961.0616784322</v>
      </c>
      <c r="R244">
        <f t="shared" si="961"/>
        <v>-7936885.7683941852</v>
      </c>
      <c r="S244">
        <f t="shared" si="962"/>
        <v>-79.368857683941854</v>
      </c>
      <c r="T244">
        <f t="shared" si="963"/>
        <v>-7.9368857683941849E-2</v>
      </c>
    </row>
    <row r="245" spans="1:20" x14ac:dyDescent="0.25">
      <c r="A245" s="5">
        <v>44348</v>
      </c>
      <c r="B245">
        <v>6.4320000000000004</v>
      </c>
      <c r="C245">
        <v>6.9930000000000003</v>
      </c>
      <c r="D245">
        <v>6.2210000000000001</v>
      </c>
      <c r="E245">
        <v>6.3719999999999999</v>
      </c>
      <c r="F245">
        <v>2732753.5959999999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-0.60880829015544102</v>
      </c>
      <c r="Q245">
        <f t="shared" si="960"/>
        <v>-1663723.0441968928</v>
      </c>
      <c r="R245">
        <f t="shared" si="961"/>
        <v>-9928846.8300726172</v>
      </c>
      <c r="S245">
        <f t="shared" si="962"/>
        <v>-99.288468300726166</v>
      </c>
      <c r="T245">
        <f t="shared" si="963"/>
        <v>-9.9288468300726171E-2</v>
      </c>
    </row>
    <row r="246" spans="1:20" x14ac:dyDescent="0.25">
      <c r="A246" s="5">
        <v>44347</v>
      </c>
      <c r="B246">
        <v>5.6470000000000002</v>
      </c>
      <c r="C246">
        <v>6.4859999999999998</v>
      </c>
      <c r="D246">
        <v>5.399</v>
      </c>
      <c r="E246">
        <v>6.4390000000000001</v>
      </c>
      <c r="F246">
        <v>2388818.2889999999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0.91352345906163801</v>
      </c>
      <c r="Q246">
        <f t="shared" si="960"/>
        <v>2182241.5464369836</v>
      </c>
      <c r="R246">
        <f t="shared" si="961"/>
        <v>-8265123.7858757246</v>
      </c>
      <c r="S246">
        <f t="shared" si="962"/>
        <v>-82.651237858757241</v>
      </c>
      <c r="T246">
        <f t="shared" si="963"/>
        <v>-8.2651237858757248E-2</v>
      </c>
    </row>
    <row r="247" spans="1:20" x14ac:dyDescent="0.25">
      <c r="A247" s="5">
        <v>44346</v>
      </c>
      <c r="B247">
        <v>5.3849999999999998</v>
      </c>
      <c r="C247">
        <v>5.7889999999999997</v>
      </c>
      <c r="D247">
        <v>5.2530000000000001</v>
      </c>
      <c r="E247">
        <v>5.6479999999999997</v>
      </c>
      <c r="F247">
        <v>1987726.6780000001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0.47388059701492491</v>
      </c>
      <c r="Q247">
        <f t="shared" si="960"/>
        <v>941945.10487313347</v>
      </c>
      <c r="R247">
        <f t="shared" si="961"/>
        <v>-10447365.332312709</v>
      </c>
      <c r="S247">
        <f t="shared" si="962"/>
        <v>-104.47365332312708</v>
      </c>
      <c r="T247">
        <f t="shared" si="963"/>
        <v>-0.10447365332312708</v>
      </c>
    </row>
    <row r="248" spans="1:20" x14ac:dyDescent="0.25">
      <c r="A248" s="5">
        <v>44345</v>
      </c>
      <c r="B248">
        <v>6.0380000000000003</v>
      </c>
      <c r="C248">
        <v>6.3040000000000003</v>
      </c>
      <c r="D248">
        <v>5.3</v>
      </c>
      <c r="E248">
        <v>5.38</v>
      </c>
      <c r="F248">
        <v>1666420.473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-0.84063745019920311</v>
      </c>
      <c r="Q248">
        <f t="shared" si="960"/>
        <v>-1400855.4573824699</v>
      </c>
      <c r="R248">
        <f t="shared" si="961"/>
        <v>-11389310.437185843</v>
      </c>
      <c r="S248">
        <f t="shared" si="962"/>
        <v>-113.89310437185843</v>
      </c>
      <c r="T248">
        <f t="shared" si="963"/>
        <v>-0.11389310437185843</v>
      </c>
    </row>
    <row r="249" spans="1:20" x14ac:dyDescent="0.25">
      <c r="A249" s="5">
        <v>44344</v>
      </c>
      <c r="B249">
        <v>7.0679999999999996</v>
      </c>
      <c r="C249">
        <v>7.0679999999999996</v>
      </c>
      <c r="D249">
        <v>5.9</v>
      </c>
      <c r="E249">
        <v>6.0430000000000001</v>
      </c>
      <c r="F249">
        <v>1577359.94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-0.75513698630137005</v>
      </c>
      <c r="Q249">
        <f t="shared" si="960"/>
        <v>-1191122.83140411</v>
      </c>
      <c r="R249">
        <f t="shared" si="961"/>
        <v>-9988454.9798033722</v>
      </c>
      <c r="S249">
        <f t="shared" si="962"/>
        <v>-99.884549798033717</v>
      </c>
      <c r="T249">
        <f t="shared" si="963"/>
        <v>-9.9884549798033712E-2</v>
      </c>
    </row>
    <row r="250" spans="1:20" x14ac:dyDescent="0.25">
      <c r="A250" s="5">
        <v>44343</v>
      </c>
      <c r="B250">
        <v>7.2309999999999999</v>
      </c>
      <c r="C250">
        <v>7.4420000000000002</v>
      </c>
      <c r="D250">
        <v>6.85</v>
      </c>
      <c r="E250">
        <v>7.069</v>
      </c>
      <c r="F250">
        <v>1876553.3670000001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-0.26013513513513475</v>
      </c>
      <c r="Q250">
        <f t="shared" si="960"/>
        <v>-488157.46371283714</v>
      </c>
      <c r="R250">
        <f t="shared" si="961"/>
        <v>-8797332.1483992618</v>
      </c>
      <c r="S250">
        <f t="shared" si="962"/>
        <v>-87.973321483992621</v>
      </c>
      <c r="T250">
        <f t="shared" si="963"/>
        <v>-8.7973321483992617E-2</v>
      </c>
    </row>
    <row r="251" spans="1:20" x14ac:dyDescent="0.25">
      <c r="A251" s="5">
        <v>44342</v>
      </c>
      <c r="B251">
        <v>7.1</v>
      </c>
      <c r="C251">
        <v>7.6230000000000002</v>
      </c>
      <c r="D251">
        <v>6.8010000000000002</v>
      </c>
      <c r="E251">
        <v>7.2309999999999999</v>
      </c>
      <c r="F251">
        <v>2012315.023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4.6228710462286333E-2</v>
      </c>
      <c r="Q251">
        <f t="shared" si="960"/>
        <v>93026.728557176073</v>
      </c>
      <c r="R251">
        <f t="shared" si="961"/>
        <v>-8309174.6846864251</v>
      </c>
      <c r="S251">
        <f t="shared" si="962"/>
        <v>-83.091746846864254</v>
      </c>
      <c r="T251">
        <f t="shared" si="963"/>
        <v>-8.3091746846864253E-2</v>
      </c>
    </row>
    <row r="252" spans="1:20" x14ac:dyDescent="0.25">
      <c r="A252" s="5">
        <v>44341</v>
      </c>
      <c r="B252">
        <v>7.0209999999999999</v>
      </c>
      <c r="C252">
        <v>7.4989999999999997</v>
      </c>
      <c r="D252">
        <v>6.5590000000000002</v>
      </c>
      <c r="E252">
        <v>7.1</v>
      </c>
      <c r="F252">
        <v>1636100.095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0.15106382978723354</v>
      </c>
      <c r="Q252">
        <f t="shared" si="960"/>
        <v>247155.54626595663</v>
      </c>
      <c r="R252">
        <f t="shared" si="961"/>
        <v>-8402201.4132436011</v>
      </c>
      <c r="S252">
        <f t="shared" si="962"/>
        <v>-84.022014132436013</v>
      </c>
      <c r="T252">
        <f t="shared" si="963"/>
        <v>-8.4022014132436013E-2</v>
      </c>
    </row>
    <row r="253" spans="1:20" x14ac:dyDescent="0.25">
      <c r="A253" s="5">
        <v>44340</v>
      </c>
      <c r="B253">
        <v>5.2279999999999998</v>
      </c>
      <c r="C253">
        <v>7.14</v>
      </c>
      <c r="D253">
        <v>5.2</v>
      </c>
      <c r="E253">
        <v>7.0250000000000004</v>
      </c>
      <c r="F253">
        <v>1966823.3130000001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0.88144329896907281</v>
      </c>
      <c r="Q253">
        <f t="shared" si="960"/>
        <v>1733643.2295000013</v>
      </c>
      <c r="R253">
        <f t="shared" si="961"/>
        <v>-8649356.9595095571</v>
      </c>
      <c r="S253">
        <f t="shared" si="962"/>
        <v>-86.493569595095565</v>
      </c>
      <c r="T253">
        <f t="shared" si="963"/>
        <v>-8.6493569595095562E-2</v>
      </c>
    </row>
    <row r="254" spans="1:20" x14ac:dyDescent="0.25">
      <c r="A254" s="5">
        <v>44339</v>
      </c>
      <c r="B254">
        <v>6.7839999999999998</v>
      </c>
      <c r="C254">
        <v>6.9980000000000002</v>
      </c>
      <c r="D254">
        <v>4.8339999999999996</v>
      </c>
      <c r="E254">
        <v>5.24</v>
      </c>
      <c r="F254">
        <v>1574345.699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-0.62476894639556335</v>
      </c>
      <c r="Q254">
        <f t="shared" si="960"/>
        <v>-983602.30362661672</v>
      </c>
      <c r="R254">
        <f t="shared" si="961"/>
        <v>-10383000.189009558</v>
      </c>
      <c r="S254">
        <f t="shared" si="962"/>
        <v>-103.83000189009559</v>
      </c>
      <c r="T254">
        <f t="shared" si="963"/>
        <v>-0.10383000189009559</v>
      </c>
    </row>
    <row r="255" spans="1:20" x14ac:dyDescent="0.25">
      <c r="A255" s="5">
        <v>44338</v>
      </c>
      <c r="B255">
        <v>7.3419999999999996</v>
      </c>
      <c r="C255">
        <v>7.4379999999999997</v>
      </c>
      <c r="D255">
        <v>6.6079999999999997</v>
      </c>
      <c r="E255">
        <v>6.7960000000000003</v>
      </c>
      <c r="F255">
        <v>774627.35199999996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-0.54698795180722748</v>
      </c>
      <c r="Q255">
        <f t="shared" si="960"/>
        <v>-423711.82868433621</v>
      </c>
      <c r="R255">
        <f t="shared" si="961"/>
        <v>-9399397.885382941</v>
      </c>
      <c r="S255">
        <f t="shared" si="962"/>
        <v>-93.993978853829404</v>
      </c>
      <c r="T255">
        <f t="shared" si="963"/>
        <v>-9.3993978853829402E-2</v>
      </c>
    </row>
    <row r="256" spans="1:20" x14ac:dyDescent="0.25">
      <c r="A256" s="5">
        <v>44337</v>
      </c>
      <c r="B256">
        <v>9.0890000000000004</v>
      </c>
      <c r="C256">
        <v>9.3490000000000002</v>
      </c>
      <c r="D256">
        <v>6.7610000000000001</v>
      </c>
      <c r="E256">
        <v>7.37</v>
      </c>
      <c r="F256">
        <v>1112701.4269999999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-0.52936630602782075</v>
      </c>
      <c r="Q256">
        <f t="shared" si="960"/>
        <v>-589026.64412287483</v>
      </c>
      <c r="R256">
        <f t="shared" si="961"/>
        <v>-8975686.0566986054</v>
      </c>
      <c r="S256">
        <f t="shared" si="962"/>
        <v>-89.756860566986049</v>
      </c>
      <c r="T256">
        <f t="shared" si="963"/>
        <v>-8.9756860566986049E-2</v>
      </c>
    </row>
    <row r="257" spans="1:20" x14ac:dyDescent="0.25">
      <c r="A257" s="5">
        <v>44336</v>
      </c>
      <c r="B257">
        <v>9.3930000000000007</v>
      </c>
      <c r="C257">
        <v>10</v>
      </c>
      <c r="D257">
        <v>7.86</v>
      </c>
      <c r="E257">
        <v>9.1</v>
      </c>
      <c r="F257">
        <v>1088137.2</v>
      </c>
      <c r="G257">
        <v>0</v>
      </c>
      <c r="L257" t="s">
        <v>7</v>
      </c>
      <c r="M257" t="s">
        <v>7</v>
      </c>
      <c r="N257" t="s">
        <v>7</v>
      </c>
      <c r="P257">
        <f t="shared" si="959"/>
        <v>0.15887850467289674</v>
      </c>
      <c r="Q257">
        <f t="shared" si="960"/>
        <v>172881.61121495278</v>
      </c>
      <c r="R257">
        <f t="shared" si="961"/>
        <v>-8386659.4125757311</v>
      </c>
      <c r="S257">
        <f t="shared" si="962"/>
        <v>-83.866594125757317</v>
      </c>
      <c r="T257">
        <f t="shared" si="963"/>
        <v>-8.386659412575731E-2</v>
      </c>
    </row>
    <row r="258" spans="1:20" x14ac:dyDescent="0.25">
      <c r="A258" s="5">
        <v>44335</v>
      </c>
      <c r="B258">
        <v>15.773999999999999</v>
      </c>
      <c r="C258">
        <v>15.804</v>
      </c>
      <c r="D258">
        <v>8.5</v>
      </c>
      <c r="E258">
        <v>9.3650000000000002</v>
      </c>
      <c r="F258">
        <v>1037196.8909999999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-0.76314348302300106</v>
      </c>
      <c r="Q258">
        <f t="shared" si="960"/>
        <v>-791530.04797836789</v>
      </c>
      <c r="R258">
        <f t="shared" si="961"/>
        <v>-8559541.0237906836</v>
      </c>
      <c r="S258">
        <f t="shared" si="962"/>
        <v>-85.595410237906833</v>
      </c>
      <c r="T258">
        <f t="shared" si="963"/>
        <v>-8.559541023790683E-2</v>
      </c>
    </row>
    <row r="259" spans="1:20" x14ac:dyDescent="0.25">
      <c r="A259" s="5">
        <v>44334</v>
      </c>
      <c r="B259">
        <v>15.412000000000001</v>
      </c>
      <c r="C259">
        <v>16.843</v>
      </c>
      <c r="D259">
        <v>15</v>
      </c>
      <c r="E259">
        <v>15.773999999999999</v>
      </c>
      <c r="F259">
        <v>1714726.8629999999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-0.1600651112316884</v>
      </c>
      <c r="Q259">
        <f t="shared" si="960"/>
        <v>-274467.94605805911</v>
      </c>
      <c r="R259">
        <f t="shared" si="961"/>
        <v>-7768010.975812315</v>
      </c>
      <c r="S259">
        <f t="shared" si="962"/>
        <v>-77.680109758123152</v>
      </c>
      <c r="T259">
        <f t="shared" si="963"/>
        <v>-7.7680109758123145E-2</v>
      </c>
    </row>
    <row r="260" spans="1:20" x14ac:dyDescent="0.25">
      <c r="A260" s="5">
        <v>44333</v>
      </c>
      <c r="B260">
        <v>15.680999999999999</v>
      </c>
      <c r="C260">
        <v>18.309999999999999</v>
      </c>
      <c r="D260">
        <v>14.7</v>
      </c>
      <c r="E260">
        <v>15.414999999999999</v>
      </c>
      <c r="F260">
        <v>1503802.693</v>
      </c>
      <c r="G260">
        <v>0</v>
      </c>
      <c r="L260" t="s">
        <v>7</v>
      </c>
      <c r="M260" t="s">
        <v>8</v>
      </c>
      <c r="N260" t="s">
        <v>7</v>
      </c>
      <c r="P260">
        <f t="shared" si="959"/>
        <v>-0.60387811634349031</v>
      </c>
      <c r="Q260">
        <f t="shared" si="960"/>
        <v>-908113.53760110808</v>
      </c>
      <c r="R260">
        <f t="shared" si="961"/>
        <v>-7493543.0297542559</v>
      </c>
      <c r="S260">
        <f t="shared" si="962"/>
        <v>-74.935430297542553</v>
      </c>
      <c r="T260">
        <f t="shared" si="963"/>
        <v>-7.4935430297542557E-2</v>
      </c>
    </row>
    <row r="261" spans="1:20" x14ac:dyDescent="0.25">
      <c r="A261" s="5">
        <v>44332</v>
      </c>
      <c r="B261">
        <v>15.648</v>
      </c>
      <c r="C261">
        <v>16.25</v>
      </c>
      <c r="D261">
        <v>15.101000000000001</v>
      </c>
      <c r="E261">
        <v>15.641999999999999</v>
      </c>
      <c r="F261">
        <v>1202712.7649999999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-5.8311575282856395E-2</v>
      </c>
      <c r="Q261">
        <f t="shared" si="960"/>
        <v>-70132.075939949864</v>
      </c>
      <c r="R261">
        <f t="shared" si="961"/>
        <v>-6585429.4921531482</v>
      </c>
      <c r="S261">
        <f t="shared" si="962"/>
        <v>-65.854294921531476</v>
      </c>
      <c r="T261">
        <f t="shared" si="963"/>
        <v>-6.585429492153147E-2</v>
      </c>
    </row>
    <row r="262" spans="1:20" x14ac:dyDescent="0.25">
      <c r="A262" s="5">
        <v>44331</v>
      </c>
      <c r="B262">
        <v>16.494</v>
      </c>
      <c r="C262">
        <v>16.745000000000001</v>
      </c>
      <c r="D262">
        <v>15.558</v>
      </c>
      <c r="E262">
        <v>15.664</v>
      </c>
      <c r="F262">
        <v>973047.625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-0.82139848357203071</v>
      </c>
      <c r="Q262">
        <f t="shared" ref="Q262:Q325" si="965">F262*P262</f>
        <v>-799259.84361836605</v>
      </c>
      <c r="R262">
        <f t="shared" ref="R262:R325" si="966">R263+Q262</f>
        <v>-6515297.4162131986</v>
      </c>
      <c r="S262">
        <f t="shared" ref="S262:S325" si="967">R262/100000</f>
        <v>-65.152974162131983</v>
      </c>
      <c r="T262">
        <f t="shared" ref="T262:T325" si="968">S262/1000</f>
        <v>-6.5152974162131977E-2</v>
      </c>
    </row>
    <row r="263" spans="1:20" x14ac:dyDescent="0.25">
      <c r="A263" s="5">
        <v>44330</v>
      </c>
      <c r="B263">
        <v>15.571999999999999</v>
      </c>
      <c r="C263">
        <v>17</v>
      </c>
      <c r="D263">
        <v>15.403</v>
      </c>
      <c r="E263">
        <v>16.488</v>
      </c>
      <c r="F263">
        <v>1102333.2139999999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0.35879774577332424</v>
      </c>
      <c r="Q263">
        <f t="shared" si="965"/>
        <v>395514.6722742634</v>
      </c>
      <c r="R263">
        <f t="shared" si="966"/>
        <v>-5716037.5725948326</v>
      </c>
      <c r="S263">
        <f t="shared" si="967"/>
        <v>-57.160375725948327</v>
      </c>
      <c r="T263">
        <f t="shared" si="968"/>
        <v>-5.7160375725948329E-2</v>
      </c>
    </row>
    <row r="264" spans="1:20" x14ac:dyDescent="0.25">
      <c r="A264" s="5">
        <v>44329</v>
      </c>
      <c r="B264">
        <v>16.274999999999999</v>
      </c>
      <c r="C264">
        <v>17</v>
      </c>
      <c r="D264">
        <v>15.1</v>
      </c>
      <c r="E264">
        <v>15.420999999999999</v>
      </c>
      <c r="F264">
        <v>1035331.531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-0.66210526315789509</v>
      </c>
      <c r="Q264">
        <f t="shared" si="965"/>
        <v>-685498.45578842133</v>
      </c>
      <c r="R264">
        <f t="shared" si="966"/>
        <v>-6111552.2448690962</v>
      </c>
      <c r="S264">
        <f t="shared" si="967"/>
        <v>-61.11552244869096</v>
      </c>
      <c r="T264">
        <f t="shared" si="968"/>
        <v>-6.1115522448690958E-2</v>
      </c>
    </row>
    <row r="265" spans="1:20" x14ac:dyDescent="0.25">
      <c r="A265" s="5">
        <v>44328</v>
      </c>
      <c r="B265">
        <v>19.010000000000002</v>
      </c>
      <c r="C265">
        <v>19.215</v>
      </c>
      <c r="D265">
        <v>16.273</v>
      </c>
      <c r="E265">
        <v>16.273</v>
      </c>
      <c r="F265">
        <v>935953.54700000002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-1</v>
      </c>
      <c r="Q265">
        <f t="shared" si="965"/>
        <v>-935953.54700000002</v>
      </c>
      <c r="R265">
        <f t="shared" si="966"/>
        <v>-5426053.7890806748</v>
      </c>
      <c r="S265">
        <f t="shared" si="967"/>
        <v>-54.260537890806745</v>
      </c>
      <c r="T265">
        <f t="shared" si="968"/>
        <v>-5.4260537890806745E-2</v>
      </c>
    </row>
    <row r="266" spans="1:20" x14ac:dyDescent="0.25">
      <c r="A266" s="5">
        <v>44327</v>
      </c>
      <c r="B266">
        <v>18.512</v>
      </c>
      <c r="C266">
        <v>19.710999999999999</v>
      </c>
      <c r="D266">
        <v>17.693000000000001</v>
      </c>
      <c r="E266">
        <v>19.010999999999999</v>
      </c>
      <c r="F266">
        <v>911366.48300000001</v>
      </c>
      <c r="G266">
        <v>0</v>
      </c>
      <c r="L266" t="s">
        <v>7</v>
      </c>
      <c r="M266" t="s">
        <v>7</v>
      </c>
      <c r="N266" t="s">
        <v>7</v>
      </c>
      <c r="P266">
        <f t="shared" si="964"/>
        <v>0.30624380574826532</v>
      </c>
      <c r="Q266">
        <f t="shared" si="965"/>
        <v>279100.34018533176</v>
      </c>
      <c r="R266">
        <f t="shared" si="966"/>
        <v>-4490100.2420806745</v>
      </c>
      <c r="S266">
        <f t="shared" si="967"/>
        <v>-44.901002420806748</v>
      </c>
      <c r="T266">
        <f t="shared" si="968"/>
        <v>-4.4901002420806746E-2</v>
      </c>
    </row>
    <row r="267" spans="1:20" x14ac:dyDescent="0.25">
      <c r="A267" s="5">
        <v>44326</v>
      </c>
      <c r="B267">
        <v>20.07</v>
      </c>
      <c r="C267">
        <v>20.184000000000001</v>
      </c>
      <c r="D267">
        <v>18.346</v>
      </c>
      <c r="E267">
        <v>18.506</v>
      </c>
      <c r="F267">
        <v>901124.52399999998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-0.82589771490750807</v>
      </c>
      <c r="Q267">
        <f t="shared" si="965"/>
        <v>-744236.68521871592</v>
      </c>
      <c r="R267">
        <f t="shared" si="966"/>
        <v>-4769200.5822660066</v>
      </c>
      <c r="S267">
        <f t="shared" si="967"/>
        <v>-47.692005822660064</v>
      </c>
      <c r="T267">
        <f t="shared" si="968"/>
        <v>-4.7692005822660068E-2</v>
      </c>
    </row>
    <row r="268" spans="1:20" x14ac:dyDescent="0.25">
      <c r="A268" s="5">
        <v>44325</v>
      </c>
      <c r="B268">
        <v>19.667000000000002</v>
      </c>
      <c r="C268">
        <v>21.8</v>
      </c>
      <c r="D268">
        <v>19.251000000000001</v>
      </c>
      <c r="E268">
        <v>20.135999999999999</v>
      </c>
      <c r="F268">
        <v>714420.35100000002</v>
      </c>
      <c r="G268">
        <v>0</v>
      </c>
      <c r="L268" t="s">
        <v>8</v>
      </c>
      <c r="M268" t="s">
        <v>8</v>
      </c>
      <c r="N268" t="s">
        <v>7</v>
      </c>
      <c r="P268">
        <f t="shared" si="964"/>
        <v>-0.30561004315417956</v>
      </c>
      <c r="Q268">
        <f t="shared" si="965"/>
        <v>-218334.0342993341</v>
      </c>
      <c r="R268">
        <f t="shared" si="966"/>
        <v>-4024963.897047291</v>
      </c>
      <c r="S268">
        <f t="shared" si="967"/>
        <v>-40.249638970472908</v>
      </c>
      <c r="T268">
        <f t="shared" si="968"/>
        <v>-4.0249638970472908E-2</v>
      </c>
    </row>
    <row r="269" spans="1:20" x14ac:dyDescent="0.25">
      <c r="A269" s="5">
        <v>44324</v>
      </c>
      <c r="B269">
        <v>19.890999999999998</v>
      </c>
      <c r="C269">
        <v>20.042000000000002</v>
      </c>
      <c r="D269">
        <v>19.462</v>
      </c>
      <c r="E269">
        <v>19.666</v>
      </c>
      <c r="F269">
        <v>694997.56099999999</v>
      </c>
      <c r="G269">
        <v>0</v>
      </c>
      <c r="L269" t="s">
        <v>7</v>
      </c>
      <c r="M269" t="s">
        <v>7</v>
      </c>
      <c r="N269" t="s">
        <v>7</v>
      </c>
      <c r="P269">
        <f t="shared" si="964"/>
        <v>-0.29655172413793113</v>
      </c>
      <c r="Q269">
        <f t="shared" si="965"/>
        <v>-206102.72498620694</v>
      </c>
      <c r="R269">
        <f t="shared" si="966"/>
        <v>-3806629.862747957</v>
      </c>
      <c r="S269">
        <f t="shared" si="967"/>
        <v>-38.066298627479568</v>
      </c>
      <c r="T269">
        <f t="shared" si="968"/>
        <v>-3.8066298627479567E-2</v>
      </c>
    </row>
    <row r="270" spans="1:20" x14ac:dyDescent="0.25">
      <c r="A270" s="5">
        <v>44323</v>
      </c>
      <c r="B270">
        <v>20.579000000000001</v>
      </c>
      <c r="C270">
        <v>20.832000000000001</v>
      </c>
      <c r="D270">
        <v>19.742000000000001</v>
      </c>
      <c r="E270">
        <v>19.895</v>
      </c>
      <c r="F270">
        <v>1140590.0009999999</v>
      </c>
      <c r="G270">
        <v>0</v>
      </c>
      <c r="L270" t="s">
        <v>7</v>
      </c>
      <c r="M270" t="s">
        <v>7</v>
      </c>
      <c r="N270" t="s">
        <v>7</v>
      </c>
      <c r="P270">
        <f t="shared" si="964"/>
        <v>-0.71926605504587393</v>
      </c>
      <c r="Q270">
        <f t="shared" si="965"/>
        <v>-820387.6704440394</v>
      </c>
      <c r="R270">
        <f t="shared" si="966"/>
        <v>-3600527.1377617503</v>
      </c>
      <c r="S270">
        <f t="shared" si="967"/>
        <v>-36.005271377617504</v>
      </c>
      <c r="T270">
        <f t="shared" si="968"/>
        <v>-3.6005271377617505E-2</v>
      </c>
    </row>
    <row r="271" spans="1:20" x14ac:dyDescent="0.25">
      <c r="A271" s="5">
        <v>44322</v>
      </c>
      <c r="B271">
        <v>19.902000000000001</v>
      </c>
      <c r="C271">
        <v>21.12</v>
      </c>
      <c r="D271">
        <v>19.535</v>
      </c>
      <c r="E271">
        <v>20.527000000000001</v>
      </c>
      <c r="F271">
        <v>1433030.933</v>
      </c>
      <c r="G271">
        <v>0</v>
      </c>
      <c r="L271" t="s">
        <v>7</v>
      </c>
      <c r="M271" t="s">
        <v>7</v>
      </c>
      <c r="N271" t="s">
        <v>7</v>
      </c>
      <c r="P271">
        <f t="shared" si="964"/>
        <v>0.25173501577287111</v>
      </c>
      <c r="Q271">
        <f t="shared" si="965"/>
        <v>360744.0645217672</v>
      </c>
      <c r="R271">
        <f t="shared" si="966"/>
        <v>-2780139.4673177111</v>
      </c>
      <c r="S271">
        <f t="shared" si="967"/>
        <v>-27.801394673177111</v>
      </c>
      <c r="T271">
        <f t="shared" si="968"/>
        <v>-2.7801394673177111E-2</v>
      </c>
    </row>
    <row r="272" spans="1:20" x14ac:dyDescent="0.25">
      <c r="A272" s="5">
        <v>44321</v>
      </c>
      <c r="B272">
        <v>18.800999999999998</v>
      </c>
      <c r="C272">
        <v>21.221</v>
      </c>
      <c r="D272">
        <v>18.533999999999999</v>
      </c>
      <c r="E272">
        <v>19.931999999999999</v>
      </c>
      <c r="F272">
        <v>958530.277</v>
      </c>
      <c r="G272">
        <v>0</v>
      </c>
      <c r="L272" t="s">
        <v>8</v>
      </c>
      <c r="M272" t="s">
        <v>7</v>
      </c>
      <c r="N272" t="s">
        <v>7</v>
      </c>
      <c r="P272">
        <f t="shared" si="964"/>
        <v>4.0565686639374085E-2</v>
      </c>
      <c r="Q272">
        <f t="shared" si="965"/>
        <v>38883.438851134444</v>
      </c>
      <c r="R272">
        <f t="shared" si="966"/>
        <v>-3140883.5318394783</v>
      </c>
      <c r="S272">
        <f t="shared" si="967"/>
        <v>-31.408835318394782</v>
      </c>
      <c r="T272">
        <f t="shared" si="968"/>
        <v>-3.1408835318394786E-2</v>
      </c>
    </row>
    <row r="273" spans="1:20" x14ac:dyDescent="0.25">
      <c r="A273" s="5">
        <v>44320</v>
      </c>
      <c r="B273">
        <v>20.326000000000001</v>
      </c>
      <c r="C273">
        <v>20.367999999999999</v>
      </c>
      <c r="D273">
        <v>18.297000000000001</v>
      </c>
      <c r="E273">
        <v>18.817</v>
      </c>
      <c r="F273">
        <v>643241.59699999995</v>
      </c>
      <c r="G273">
        <v>0</v>
      </c>
      <c r="L273" t="s">
        <v>7</v>
      </c>
      <c r="M273" t="s">
        <v>7</v>
      </c>
      <c r="N273" t="s">
        <v>7</v>
      </c>
      <c r="P273">
        <f t="shared" si="964"/>
        <v>-0.49782713664896178</v>
      </c>
      <c r="Q273">
        <f t="shared" si="965"/>
        <v>-320223.12240801536</v>
      </c>
      <c r="R273">
        <f t="shared" si="966"/>
        <v>-3179766.9706906127</v>
      </c>
      <c r="S273">
        <f t="shared" si="967"/>
        <v>-31.797669706906127</v>
      </c>
      <c r="T273">
        <f t="shared" si="968"/>
        <v>-3.1797669706906125E-2</v>
      </c>
    </row>
    <row r="274" spans="1:20" x14ac:dyDescent="0.25">
      <c r="A274" s="5">
        <v>44319</v>
      </c>
      <c r="B274">
        <v>19.501999999999999</v>
      </c>
      <c r="C274">
        <v>20.631</v>
      </c>
      <c r="D274">
        <v>19.437999999999999</v>
      </c>
      <c r="E274">
        <v>20.350000000000001</v>
      </c>
      <c r="F274">
        <v>580724.38399999996</v>
      </c>
      <c r="G274">
        <v>0</v>
      </c>
      <c r="L274" t="s">
        <v>8</v>
      </c>
      <c r="M274" t="s">
        <v>7</v>
      </c>
      <c r="N274" t="s">
        <v>7</v>
      </c>
      <c r="P274">
        <f t="shared" si="964"/>
        <v>0.52891869237217359</v>
      </c>
      <c r="Q274">
        <f t="shared" si="965"/>
        <v>307155.98181391601</v>
      </c>
      <c r="R274">
        <f t="shared" si="966"/>
        <v>-2859543.8482825975</v>
      </c>
      <c r="S274">
        <f t="shared" si="967"/>
        <v>-28.595438482825976</v>
      </c>
      <c r="T274">
        <f t="shared" si="968"/>
        <v>-2.8595438482825978E-2</v>
      </c>
    </row>
    <row r="275" spans="1:20" x14ac:dyDescent="0.25">
      <c r="A275" s="5">
        <v>44318</v>
      </c>
      <c r="B275">
        <v>20.321000000000002</v>
      </c>
      <c r="C275">
        <v>20.425999999999998</v>
      </c>
      <c r="D275">
        <v>18.02</v>
      </c>
      <c r="E275">
        <v>19.503</v>
      </c>
      <c r="F275">
        <v>539551.50699999998</v>
      </c>
      <c r="G275">
        <v>0</v>
      </c>
      <c r="L275" t="s">
        <v>7</v>
      </c>
      <c r="M275" t="s">
        <v>7</v>
      </c>
      <c r="N275" t="s">
        <v>7</v>
      </c>
      <c r="P275">
        <f t="shared" si="964"/>
        <v>0.23275145469659292</v>
      </c>
      <c r="Q275">
        <f t="shared" si="965"/>
        <v>125581.39813798893</v>
      </c>
      <c r="R275">
        <f t="shared" si="966"/>
        <v>-3166699.8300965135</v>
      </c>
      <c r="S275">
        <f t="shared" si="967"/>
        <v>-31.666998300965133</v>
      </c>
      <c r="T275">
        <f t="shared" si="968"/>
        <v>-3.1666998300965137E-2</v>
      </c>
    </row>
    <row r="276" spans="1:20" x14ac:dyDescent="0.25">
      <c r="A276" s="5">
        <v>44317</v>
      </c>
      <c r="B276">
        <v>21.193000000000001</v>
      </c>
      <c r="C276">
        <v>21.225000000000001</v>
      </c>
      <c r="D276">
        <v>19.420999999999999</v>
      </c>
      <c r="E276">
        <v>20.3</v>
      </c>
      <c r="F276">
        <v>768381.49899999995</v>
      </c>
      <c r="G276">
        <v>0</v>
      </c>
      <c r="L276" t="s">
        <v>7</v>
      </c>
      <c r="M276" t="s">
        <v>7</v>
      </c>
      <c r="N276" t="s">
        <v>8</v>
      </c>
      <c r="P276">
        <f t="shared" si="964"/>
        <v>-2.5498891352549513E-2</v>
      </c>
      <c r="Q276">
        <f t="shared" si="965"/>
        <v>-19592.876360310132</v>
      </c>
      <c r="R276">
        <f t="shared" si="966"/>
        <v>-3292281.2282345025</v>
      </c>
      <c r="S276">
        <f t="shared" si="967"/>
        <v>-32.922812282345028</v>
      </c>
      <c r="T276">
        <f t="shared" si="968"/>
        <v>-3.2922812282345025E-2</v>
      </c>
    </row>
    <row r="277" spans="1:20" x14ac:dyDescent="0.25">
      <c r="A277" s="5">
        <v>44316</v>
      </c>
      <c r="B277">
        <v>20.5</v>
      </c>
      <c r="C277">
        <v>22</v>
      </c>
      <c r="D277">
        <v>20.335000000000001</v>
      </c>
      <c r="E277">
        <v>21.193000000000001</v>
      </c>
      <c r="F277">
        <v>1819022.7509999999</v>
      </c>
      <c r="G277">
        <v>0</v>
      </c>
      <c r="L277" t="s">
        <v>7</v>
      </c>
      <c r="M277" t="s">
        <v>7</v>
      </c>
      <c r="N277" t="s">
        <v>8</v>
      </c>
      <c r="P277">
        <f t="shared" si="964"/>
        <v>3.0630630630631806E-2</v>
      </c>
      <c r="Q277">
        <f t="shared" si="965"/>
        <v>55717.813994596734</v>
      </c>
      <c r="R277">
        <f t="shared" si="966"/>
        <v>-3272688.3518741922</v>
      </c>
      <c r="S277">
        <f t="shared" si="967"/>
        <v>-32.726883518741921</v>
      </c>
      <c r="T277">
        <f t="shared" si="968"/>
        <v>-3.2726883518741923E-2</v>
      </c>
    </row>
    <row r="278" spans="1:20" x14ac:dyDescent="0.25">
      <c r="A278" s="5">
        <v>44315</v>
      </c>
      <c r="B278">
        <v>21.986000000000001</v>
      </c>
      <c r="C278">
        <v>25.635999999999999</v>
      </c>
      <c r="D278">
        <v>20.102</v>
      </c>
      <c r="E278">
        <v>20.515000000000001</v>
      </c>
      <c r="F278">
        <v>1540940.004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-0.8507408745934224</v>
      </c>
      <c r="Q278">
        <f t="shared" si="965"/>
        <v>-1310940.6466989517</v>
      </c>
      <c r="R278">
        <f t="shared" si="966"/>
        <v>-3328406.165868789</v>
      </c>
      <c r="S278">
        <f t="shared" si="967"/>
        <v>-33.284061658687889</v>
      </c>
      <c r="T278">
        <f t="shared" si="968"/>
        <v>-3.3284061658687893E-2</v>
      </c>
    </row>
    <row r="279" spans="1:20" x14ac:dyDescent="0.25">
      <c r="A279" s="5">
        <v>44314</v>
      </c>
      <c r="B279">
        <v>20.957000000000001</v>
      </c>
      <c r="C279">
        <v>22.254999999999999</v>
      </c>
      <c r="D279">
        <v>20.352</v>
      </c>
      <c r="E279">
        <v>22.039000000000001</v>
      </c>
      <c r="F279">
        <v>651897.45299999998</v>
      </c>
      <c r="G279">
        <v>0</v>
      </c>
      <c r="L279" t="s">
        <v>8</v>
      </c>
      <c r="M279" t="s">
        <v>8</v>
      </c>
      <c r="N279" t="s">
        <v>7</v>
      </c>
      <c r="P279">
        <f t="shared" si="964"/>
        <v>0.7729900157645847</v>
      </c>
      <c r="Q279">
        <f t="shared" si="965"/>
        <v>503910.22247136262</v>
      </c>
      <c r="R279">
        <f t="shared" si="966"/>
        <v>-2017465.5191698375</v>
      </c>
      <c r="S279">
        <f t="shared" si="967"/>
        <v>-20.174655191698374</v>
      </c>
      <c r="T279">
        <f t="shared" si="968"/>
        <v>-2.0174655191698376E-2</v>
      </c>
    </row>
    <row r="280" spans="1:20" x14ac:dyDescent="0.25">
      <c r="A280" s="5">
        <v>44313</v>
      </c>
      <c r="B280">
        <v>20.707999999999998</v>
      </c>
      <c r="C280">
        <v>21.009</v>
      </c>
      <c r="D280">
        <v>19.905000000000001</v>
      </c>
      <c r="E280">
        <v>21.007999999999999</v>
      </c>
      <c r="F280">
        <v>642645.22900000005</v>
      </c>
      <c r="G280">
        <v>0</v>
      </c>
      <c r="L280" t="s">
        <v>8</v>
      </c>
      <c r="M280" t="s">
        <v>7</v>
      </c>
      <c r="N280" t="s">
        <v>7</v>
      </c>
      <c r="P280">
        <f t="shared" si="964"/>
        <v>0.99818840579709922</v>
      </c>
      <c r="Q280">
        <f t="shared" si="965"/>
        <v>641481.01662862184</v>
      </c>
      <c r="R280">
        <f t="shared" si="966"/>
        <v>-2521375.7416412001</v>
      </c>
      <c r="S280">
        <f t="shared" si="967"/>
        <v>-25.213757416412001</v>
      </c>
      <c r="T280">
        <f t="shared" si="968"/>
        <v>-2.5213757416412002E-2</v>
      </c>
    </row>
    <row r="281" spans="1:20" x14ac:dyDescent="0.25">
      <c r="A281" s="5">
        <v>44312</v>
      </c>
      <c r="B281">
        <v>18.640999999999998</v>
      </c>
      <c r="C281">
        <v>21.05</v>
      </c>
      <c r="D281">
        <v>18.388999999999999</v>
      </c>
      <c r="E281">
        <v>20.763000000000002</v>
      </c>
      <c r="F281">
        <v>695533.69200000004</v>
      </c>
      <c r="G281">
        <v>0</v>
      </c>
      <c r="L281" t="s">
        <v>8</v>
      </c>
      <c r="M281" t="s">
        <v>7</v>
      </c>
      <c r="N281" t="s">
        <v>7</v>
      </c>
      <c r="P281">
        <f t="shared" si="964"/>
        <v>0.78429161969184602</v>
      </c>
      <c r="Q281">
        <f t="shared" si="965"/>
        <v>545501.24584892963</v>
      </c>
      <c r="R281">
        <f t="shared" si="966"/>
        <v>-3162856.7582698222</v>
      </c>
      <c r="S281">
        <f t="shared" si="967"/>
        <v>-31.628567582698221</v>
      </c>
      <c r="T281">
        <f t="shared" si="968"/>
        <v>-3.1628567582698219E-2</v>
      </c>
    </row>
    <row r="282" spans="1:20" x14ac:dyDescent="0.25">
      <c r="A282" s="5">
        <v>44311</v>
      </c>
      <c r="B282">
        <v>18.878</v>
      </c>
      <c r="C282">
        <v>19.038</v>
      </c>
      <c r="D282">
        <v>18.103999999999999</v>
      </c>
      <c r="E282">
        <v>18.524999999999999</v>
      </c>
      <c r="F282">
        <v>659566.34600000002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-9.8501070663813917E-2</v>
      </c>
      <c r="Q282">
        <f t="shared" si="965"/>
        <v>-64967.991254819543</v>
      </c>
      <c r="R282">
        <f t="shared" si="966"/>
        <v>-3708358.0041187517</v>
      </c>
      <c r="S282">
        <f t="shared" si="967"/>
        <v>-37.083580041187517</v>
      </c>
      <c r="T282">
        <f t="shared" si="968"/>
        <v>-3.7083580041187517E-2</v>
      </c>
    </row>
    <row r="283" spans="1:20" x14ac:dyDescent="0.25">
      <c r="A283" s="5">
        <v>44310</v>
      </c>
      <c r="B283">
        <v>18.626000000000001</v>
      </c>
      <c r="C283">
        <v>19.081</v>
      </c>
      <c r="D283">
        <v>18.03</v>
      </c>
      <c r="E283">
        <v>18.739999999999998</v>
      </c>
      <c r="F283">
        <v>677526.65700000001</v>
      </c>
      <c r="G283">
        <v>0</v>
      </c>
      <c r="L283" t="s">
        <v>7</v>
      </c>
      <c r="M283" t="s">
        <v>7</v>
      </c>
      <c r="N283" t="s">
        <v>7</v>
      </c>
      <c r="P283">
        <f t="shared" si="964"/>
        <v>0.35109419600380282</v>
      </c>
      <c r="Q283">
        <f t="shared" si="965"/>
        <v>237875.6769105593</v>
      </c>
      <c r="R283">
        <f t="shared" si="966"/>
        <v>-3643390.0128639322</v>
      </c>
      <c r="S283">
        <f t="shared" si="967"/>
        <v>-36.433900128639323</v>
      </c>
      <c r="T283">
        <f t="shared" si="968"/>
        <v>-3.643390012863932E-2</v>
      </c>
    </row>
    <row r="284" spans="1:20" x14ac:dyDescent="0.25">
      <c r="A284" s="5">
        <v>44309</v>
      </c>
      <c r="B284">
        <v>20.533000000000001</v>
      </c>
      <c r="C284">
        <v>20.66</v>
      </c>
      <c r="D284">
        <v>17.925000000000001</v>
      </c>
      <c r="E284">
        <v>18.628</v>
      </c>
      <c r="F284">
        <v>569409.49199999997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-0.48592321755027457</v>
      </c>
      <c r="Q284">
        <f t="shared" si="965"/>
        <v>-276689.29245630733</v>
      </c>
      <c r="R284">
        <f t="shared" si="966"/>
        <v>-3881265.6897744914</v>
      </c>
      <c r="S284">
        <f t="shared" si="967"/>
        <v>-38.812656897744915</v>
      </c>
      <c r="T284">
        <f t="shared" si="968"/>
        <v>-3.8812656897744914E-2</v>
      </c>
    </row>
    <row r="285" spans="1:20" x14ac:dyDescent="0.25">
      <c r="A285" s="5">
        <v>44308</v>
      </c>
      <c r="B285">
        <v>21.768999999999998</v>
      </c>
      <c r="C285">
        <v>22.187999999999999</v>
      </c>
      <c r="D285">
        <v>20.059999999999999</v>
      </c>
      <c r="E285">
        <v>20.533000000000001</v>
      </c>
      <c r="F285">
        <v>582388.94200000004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-0.55545112781954653</v>
      </c>
      <c r="Q285">
        <f t="shared" si="965"/>
        <v>-323488.59466353251</v>
      </c>
      <c r="R285">
        <f t="shared" si="966"/>
        <v>-3604576.3973181839</v>
      </c>
      <c r="S285">
        <f t="shared" si="967"/>
        <v>-36.045763973181842</v>
      </c>
      <c r="T285">
        <f t="shared" si="968"/>
        <v>-3.6045763973181842E-2</v>
      </c>
    </row>
    <row r="286" spans="1:20" x14ac:dyDescent="0.25">
      <c r="A286" s="5">
        <v>44307</v>
      </c>
      <c r="B286">
        <v>21.969000000000001</v>
      </c>
      <c r="C286">
        <v>22.338999999999999</v>
      </c>
      <c r="D286">
        <v>21.21</v>
      </c>
      <c r="E286">
        <v>21.698</v>
      </c>
      <c r="F286">
        <v>517492.72899999999</v>
      </c>
      <c r="G286">
        <v>0</v>
      </c>
      <c r="L286" t="s">
        <v>7</v>
      </c>
      <c r="M286" t="s">
        <v>7</v>
      </c>
      <c r="N286" t="s">
        <v>7</v>
      </c>
      <c r="P286">
        <f t="shared" si="964"/>
        <v>-0.13551815766164657</v>
      </c>
      <c r="Q286">
        <f t="shared" si="965"/>
        <v>-70129.661237377746</v>
      </c>
      <c r="R286">
        <f t="shared" si="966"/>
        <v>-3281087.8026546515</v>
      </c>
      <c r="S286">
        <f t="shared" si="967"/>
        <v>-32.810878026546511</v>
      </c>
      <c r="T286">
        <f t="shared" si="968"/>
        <v>-3.281087802654651E-2</v>
      </c>
    </row>
    <row r="287" spans="1:20" x14ac:dyDescent="0.25">
      <c r="A287" s="5">
        <v>44306</v>
      </c>
      <c r="B287">
        <v>22.166</v>
      </c>
      <c r="C287">
        <v>22.56</v>
      </c>
      <c r="D287">
        <v>20.716000000000001</v>
      </c>
      <c r="E287">
        <v>21.97</v>
      </c>
      <c r="F287">
        <v>352341.69699999999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0.36008676789587785</v>
      </c>
      <c r="Q287">
        <f t="shared" si="965"/>
        <v>126873.58286767872</v>
      </c>
      <c r="R287">
        <f t="shared" si="966"/>
        <v>-3210958.1414172738</v>
      </c>
      <c r="S287">
        <f t="shared" si="967"/>
        <v>-32.109581414172737</v>
      </c>
      <c r="T287">
        <f t="shared" si="968"/>
        <v>-3.2109581414172736E-2</v>
      </c>
    </row>
    <row r="288" spans="1:20" x14ac:dyDescent="0.25">
      <c r="A288" s="5">
        <v>44305</v>
      </c>
      <c r="B288">
        <v>21.747</v>
      </c>
      <c r="C288">
        <v>24</v>
      </c>
      <c r="D288">
        <v>21.484000000000002</v>
      </c>
      <c r="E288">
        <v>22.167000000000002</v>
      </c>
      <c r="F288">
        <v>419386.16700000002</v>
      </c>
      <c r="G288">
        <v>0</v>
      </c>
      <c r="L288" t="s">
        <v>8</v>
      </c>
      <c r="M288" t="s">
        <v>7</v>
      </c>
      <c r="N288" t="s">
        <v>7</v>
      </c>
      <c r="P288">
        <f t="shared" si="964"/>
        <v>-0.45707472178060388</v>
      </c>
      <c r="Q288">
        <f t="shared" si="965"/>
        <v>-191690.81560015888</v>
      </c>
      <c r="R288">
        <f t="shared" si="966"/>
        <v>-3337831.7242849525</v>
      </c>
      <c r="S288">
        <f t="shared" si="967"/>
        <v>-33.378317242849526</v>
      </c>
      <c r="T288">
        <f t="shared" si="968"/>
        <v>-3.3378317242849523E-2</v>
      </c>
    </row>
    <row r="289" spans="1:20" x14ac:dyDescent="0.25">
      <c r="A289" s="5">
        <v>44304</v>
      </c>
      <c r="B289">
        <v>25.306000000000001</v>
      </c>
      <c r="C289">
        <v>25.706</v>
      </c>
      <c r="D289">
        <v>21</v>
      </c>
      <c r="E289">
        <v>21.747</v>
      </c>
      <c r="F289">
        <v>334130.85100000002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-0.6825329366765831</v>
      </c>
      <c r="Q289">
        <f t="shared" si="965"/>
        <v>-228055.31096727584</v>
      </c>
      <c r="R289">
        <f t="shared" si="966"/>
        <v>-3146140.9086847934</v>
      </c>
      <c r="S289">
        <f t="shared" si="967"/>
        <v>-31.461409086847933</v>
      </c>
      <c r="T289">
        <f t="shared" si="968"/>
        <v>-3.1461409086847934E-2</v>
      </c>
    </row>
    <row r="290" spans="1:20" x14ac:dyDescent="0.25">
      <c r="A290" s="5">
        <v>44303</v>
      </c>
      <c r="B290">
        <v>25.126000000000001</v>
      </c>
      <c r="C290">
        <v>26.803000000000001</v>
      </c>
      <c r="D290">
        <v>24.5</v>
      </c>
      <c r="E290">
        <v>25.315000000000001</v>
      </c>
      <c r="F290">
        <v>164313.61300000001</v>
      </c>
      <c r="G290">
        <v>0</v>
      </c>
      <c r="L290" t="s">
        <v>8</v>
      </c>
      <c r="M290" t="s">
        <v>8</v>
      </c>
      <c r="N290" t="s">
        <v>7</v>
      </c>
      <c r="P290">
        <f t="shared" si="964"/>
        <v>-0.29222752930959534</v>
      </c>
      <c r="Q290">
        <f t="shared" si="965"/>
        <v>-48016.961158923012</v>
      </c>
      <c r="R290">
        <f t="shared" si="966"/>
        <v>-2918085.5977175175</v>
      </c>
      <c r="S290">
        <f t="shared" si="967"/>
        <v>-29.180855977175174</v>
      </c>
      <c r="T290">
        <f t="shared" si="968"/>
        <v>-2.9180855977175173E-2</v>
      </c>
    </row>
    <row r="291" spans="1:20" x14ac:dyDescent="0.25">
      <c r="A291" s="5">
        <v>44302</v>
      </c>
      <c r="B291">
        <v>25.622</v>
      </c>
      <c r="C291">
        <v>25.69</v>
      </c>
      <c r="D291">
        <v>24.925999999999998</v>
      </c>
      <c r="E291">
        <v>25.126000000000001</v>
      </c>
      <c r="F291">
        <v>119890.235</v>
      </c>
      <c r="G291">
        <v>0</v>
      </c>
      <c r="L291" t="s">
        <v>8</v>
      </c>
      <c r="M291" t="s">
        <v>7</v>
      </c>
      <c r="N291" t="s">
        <v>7</v>
      </c>
      <c r="P291">
        <f t="shared" si="964"/>
        <v>-0.47643979057591079</v>
      </c>
      <c r="Q291">
        <f t="shared" si="965"/>
        <v>-57120.478455496734</v>
      </c>
      <c r="R291">
        <f t="shared" si="966"/>
        <v>-2870068.6365585946</v>
      </c>
      <c r="S291">
        <f t="shared" si="967"/>
        <v>-28.700686365585945</v>
      </c>
      <c r="T291">
        <f t="shared" si="968"/>
        <v>-2.8700686365585946E-2</v>
      </c>
    </row>
    <row r="292" spans="1:20" x14ac:dyDescent="0.25">
      <c r="A292" s="5">
        <v>44301</v>
      </c>
      <c r="B292">
        <v>25.396000000000001</v>
      </c>
      <c r="C292">
        <v>26</v>
      </c>
      <c r="D292">
        <v>24.773</v>
      </c>
      <c r="E292">
        <v>25.571999999999999</v>
      </c>
      <c r="F292">
        <v>132375.84</v>
      </c>
      <c r="G292">
        <v>0</v>
      </c>
      <c r="L292" t="s">
        <v>8</v>
      </c>
      <c r="M292" t="s">
        <v>7</v>
      </c>
      <c r="N292" t="s">
        <v>7</v>
      </c>
      <c r="P292">
        <f t="shared" si="964"/>
        <v>0.30236348818255793</v>
      </c>
      <c r="Q292">
        <f t="shared" si="965"/>
        <v>40025.62073349618</v>
      </c>
      <c r="R292">
        <f t="shared" si="966"/>
        <v>-2812948.1581030977</v>
      </c>
      <c r="S292">
        <f t="shared" si="967"/>
        <v>-28.129481581030976</v>
      </c>
      <c r="T292">
        <f t="shared" si="968"/>
        <v>-2.8129481581030978E-2</v>
      </c>
    </row>
    <row r="293" spans="1:20" x14ac:dyDescent="0.25">
      <c r="A293" s="5">
        <v>44300</v>
      </c>
      <c r="B293">
        <v>24.463999999999999</v>
      </c>
      <c r="C293">
        <v>26</v>
      </c>
      <c r="D293">
        <v>24.209</v>
      </c>
      <c r="E293">
        <v>25.375</v>
      </c>
      <c r="F293">
        <v>195293.329</v>
      </c>
      <c r="G293">
        <v>0</v>
      </c>
      <c r="L293" t="s">
        <v>8</v>
      </c>
      <c r="M293" t="s">
        <v>7</v>
      </c>
      <c r="N293" t="s">
        <v>7</v>
      </c>
      <c r="P293">
        <f t="shared" si="964"/>
        <v>0.302065884980458</v>
      </c>
      <c r="Q293">
        <f t="shared" si="965"/>
        <v>58991.452255164739</v>
      </c>
      <c r="R293">
        <f t="shared" si="966"/>
        <v>-2852973.778836594</v>
      </c>
      <c r="S293">
        <f t="shared" si="967"/>
        <v>-28.529737788365939</v>
      </c>
      <c r="T293">
        <f t="shared" si="968"/>
        <v>-2.8529737788365938E-2</v>
      </c>
    </row>
    <row r="294" spans="1:20" x14ac:dyDescent="0.25">
      <c r="A294" s="5">
        <v>44299</v>
      </c>
      <c r="B294">
        <v>24.550999999999998</v>
      </c>
      <c r="C294">
        <v>24.98</v>
      </c>
      <c r="D294">
        <v>23.559000000000001</v>
      </c>
      <c r="E294">
        <v>24.395</v>
      </c>
      <c r="F294">
        <v>101108.363</v>
      </c>
      <c r="G294">
        <v>0</v>
      </c>
      <c r="L294" t="s">
        <v>8</v>
      </c>
      <c r="M294" t="s">
        <v>7</v>
      </c>
      <c r="N294" t="s">
        <v>7</v>
      </c>
      <c r="P294">
        <f t="shared" si="964"/>
        <v>0.17663617171006177</v>
      </c>
      <c r="Q294">
        <f t="shared" si="965"/>
        <v>17859.394168191255</v>
      </c>
      <c r="R294">
        <f t="shared" si="966"/>
        <v>-2911965.2310917587</v>
      </c>
      <c r="S294">
        <f t="shared" si="967"/>
        <v>-29.119652310917587</v>
      </c>
      <c r="T294">
        <f t="shared" si="968"/>
        <v>-2.9119652310917586E-2</v>
      </c>
    </row>
    <row r="295" spans="1:20" x14ac:dyDescent="0.25">
      <c r="A295" s="5">
        <v>44298</v>
      </c>
      <c r="B295">
        <v>23.870999999999999</v>
      </c>
      <c r="C295">
        <v>25</v>
      </c>
      <c r="D295">
        <v>23.375</v>
      </c>
      <c r="E295">
        <v>24.488</v>
      </c>
      <c r="F295">
        <v>120997.712</v>
      </c>
      <c r="G295">
        <v>0</v>
      </c>
      <c r="L295" t="s">
        <v>8</v>
      </c>
      <c r="M295" t="s">
        <v>7</v>
      </c>
      <c r="N295" t="s">
        <v>7</v>
      </c>
      <c r="P295">
        <f t="shared" si="964"/>
        <v>0.36984615384615327</v>
      </c>
      <c r="Q295">
        <f t="shared" si="965"/>
        <v>44750.538407384549</v>
      </c>
      <c r="R295">
        <f t="shared" si="966"/>
        <v>-2929824.6252599498</v>
      </c>
      <c r="S295">
        <f t="shared" si="967"/>
        <v>-29.298246252599498</v>
      </c>
      <c r="T295">
        <f t="shared" si="968"/>
        <v>-2.9298246252599497E-2</v>
      </c>
    </row>
    <row r="296" spans="1:20" x14ac:dyDescent="0.25">
      <c r="A296" s="5">
        <v>44297</v>
      </c>
      <c r="B296">
        <v>23.838000000000001</v>
      </c>
      <c r="C296">
        <v>25</v>
      </c>
      <c r="D296">
        <v>22.51</v>
      </c>
      <c r="E296">
        <v>23.891999999999999</v>
      </c>
      <c r="F296">
        <v>122093.939</v>
      </c>
      <c r="G296">
        <v>0</v>
      </c>
      <c r="L296" t="s">
        <v>7</v>
      </c>
      <c r="M296" t="s">
        <v>7</v>
      </c>
      <c r="N296" t="s">
        <v>7</v>
      </c>
      <c r="P296">
        <f t="shared" si="964"/>
        <v>0.11004016064256929</v>
      </c>
      <c r="Q296">
        <f t="shared" si="965"/>
        <v>13435.236661044055</v>
      </c>
      <c r="R296">
        <f t="shared" si="966"/>
        <v>-2974575.1636673342</v>
      </c>
      <c r="S296">
        <f t="shared" si="967"/>
        <v>-29.745751636673344</v>
      </c>
      <c r="T296">
        <f t="shared" si="968"/>
        <v>-2.9745751636673343E-2</v>
      </c>
    </row>
    <row r="297" spans="1:20" x14ac:dyDescent="0.25">
      <c r="A297" s="5">
        <v>44296</v>
      </c>
      <c r="B297">
        <v>24.597999999999999</v>
      </c>
      <c r="C297">
        <v>25.535</v>
      </c>
      <c r="D297">
        <v>22.97</v>
      </c>
      <c r="E297">
        <v>23.84</v>
      </c>
      <c r="F297">
        <v>112133.64</v>
      </c>
      <c r="G297">
        <v>0</v>
      </c>
      <c r="L297" t="s">
        <v>7</v>
      </c>
      <c r="M297" t="s">
        <v>7</v>
      </c>
      <c r="N297" t="s">
        <v>7</v>
      </c>
      <c r="P297">
        <f t="shared" si="964"/>
        <v>-0.32163742690058433</v>
      </c>
      <c r="Q297">
        <f t="shared" si="965"/>
        <v>-36066.375438596442</v>
      </c>
      <c r="R297">
        <f t="shared" si="966"/>
        <v>-2988010.4003283782</v>
      </c>
      <c r="S297">
        <f t="shared" si="967"/>
        <v>-29.880104003283783</v>
      </c>
      <c r="T297">
        <f t="shared" si="968"/>
        <v>-2.9880104003283784E-2</v>
      </c>
    </row>
    <row r="298" spans="1:20" x14ac:dyDescent="0.25">
      <c r="A298" s="5">
        <v>44295</v>
      </c>
      <c r="B298">
        <v>26.056000000000001</v>
      </c>
      <c r="C298">
        <v>26.286999999999999</v>
      </c>
      <c r="D298">
        <v>24.065999999999999</v>
      </c>
      <c r="E298">
        <v>24.597999999999999</v>
      </c>
      <c r="F298">
        <v>124149.065</v>
      </c>
      <c r="G298">
        <v>0</v>
      </c>
      <c r="L298" t="s">
        <v>8</v>
      </c>
      <c r="M298" t="s">
        <v>7</v>
      </c>
      <c r="N298" t="s">
        <v>7</v>
      </c>
      <c r="P298">
        <f t="shared" si="964"/>
        <v>-0.52093651508329586</v>
      </c>
      <c r="Q298">
        <f t="shared" si="965"/>
        <v>-64673.781271949578</v>
      </c>
      <c r="R298">
        <f t="shared" si="966"/>
        <v>-2951944.0248897816</v>
      </c>
      <c r="S298">
        <f t="shared" si="967"/>
        <v>-29.519440248897816</v>
      </c>
      <c r="T298">
        <f t="shared" si="968"/>
        <v>-2.9519440248897817E-2</v>
      </c>
    </row>
    <row r="299" spans="1:20" x14ac:dyDescent="0.25">
      <c r="A299" s="5">
        <v>44294</v>
      </c>
      <c r="B299">
        <v>25.172999999999998</v>
      </c>
      <c r="C299">
        <v>26.378</v>
      </c>
      <c r="D299">
        <v>22.99</v>
      </c>
      <c r="E299">
        <v>26.056000000000001</v>
      </c>
      <c r="F299">
        <v>160525.11499999999</v>
      </c>
      <c r="G299">
        <v>0</v>
      </c>
      <c r="L299" t="s">
        <v>7</v>
      </c>
      <c r="M299" t="s">
        <v>7</v>
      </c>
      <c r="N299" t="s">
        <v>7</v>
      </c>
      <c r="P299">
        <f t="shared" si="964"/>
        <v>0.80991735537190146</v>
      </c>
      <c r="Q299">
        <f t="shared" si="965"/>
        <v>130012.07661157034</v>
      </c>
      <c r="R299">
        <f t="shared" si="966"/>
        <v>-2887270.2436178322</v>
      </c>
      <c r="S299">
        <f t="shared" si="967"/>
        <v>-28.872702436178322</v>
      </c>
      <c r="T299">
        <f t="shared" si="968"/>
        <v>-2.8872702436178323E-2</v>
      </c>
    </row>
    <row r="300" spans="1:20" x14ac:dyDescent="0.25">
      <c r="A300" s="5">
        <v>44293</v>
      </c>
      <c r="B300">
        <v>25.661999999999999</v>
      </c>
      <c r="C300">
        <v>31.873000000000001</v>
      </c>
      <c r="D300">
        <v>23.414999999999999</v>
      </c>
      <c r="E300">
        <v>25.172999999999998</v>
      </c>
      <c r="F300">
        <v>534659.39</v>
      </c>
      <c r="G300">
        <v>0</v>
      </c>
      <c r="L300" t="s">
        <v>8</v>
      </c>
      <c r="M300" t="s">
        <v>8</v>
      </c>
      <c r="N300" t="s">
        <v>8</v>
      </c>
      <c r="P300">
        <f t="shared" si="964"/>
        <v>-0.58429888862615309</v>
      </c>
      <c r="Q300">
        <f t="shared" si="965"/>
        <v>-312400.88737053698</v>
      </c>
      <c r="R300">
        <f t="shared" si="966"/>
        <v>-3017282.3202294027</v>
      </c>
      <c r="S300">
        <f t="shared" si="967"/>
        <v>-30.172823202294026</v>
      </c>
      <c r="T300">
        <f t="shared" si="968"/>
        <v>-3.0172823202294027E-2</v>
      </c>
    </row>
    <row r="301" spans="1:20" x14ac:dyDescent="0.25">
      <c r="A301" s="5">
        <v>44292</v>
      </c>
      <c r="B301">
        <v>22.759</v>
      </c>
      <c r="C301">
        <v>25.675999999999998</v>
      </c>
      <c r="D301">
        <v>22.3</v>
      </c>
      <c r="E301">
        <v>25.661999999999999</v>
      </c>
      <c r="F301">
        <v>177429.52900000001</v>
      </c>
      <c r="G301">
        <v>0</v>
      </c>
      <c r="L301" t="s">
        <v>8</v>
      </c>
      <c r="M301" t="s">
        <v>8</v>
      </c>
      <c r="N301" t="s">
        <v>7</v>
      </c>
      <c r="P301">
        <f t="shared" si="964"/>
        <v>0.99170616113744114</v>
      </c>
      <c r="Q301">
        <f t="shared" si="965"/>
        <v>175957.95707701429</v>
      </c>
      <c r="R301">
        <f t="shared" si="966"/>
        <v>-2704881.4328588657</v>
      </c>
      <c r="S301">
        <f t="shared" si="967"/>
        <v>-27.048814328588659</v>
      </c>
      <c r="T301">
        <f t="shared" si="968"/>
        <v>-2.7048814328588657E-2</v>
      </c>
    </row>
    <row r="302" spans="1:20" x14ac:dyDescent="0.25">
      <c r="A302" s="5">
        <v>44291</v>
      </c>
      <c r="B302">
        <v>23.247</v>
      </c>
      <c r="C302">
        <v>23.52</v>
      </c>
      <c r="D302">
        <v>22.594999999999999</v>
      </c>
      <c r="E302">
        <v>22.759</v>
      </c>
      <c r="F302">
        <v>167650.71900000001</v>
      </c>
      <c r="G302">
        <v>0</v>
      </c>
      <c r="L302" t="s">
        <v>8</v>
      </c>
      <c r="M302" t="s">
        <v>7</v>
      </c>
      <c r="N302" t="s">
        <v>7</v>
      </c>
      <c r="P302">
        <f t="shared" si="964"/>
        <v>-0.64540540540540248</v>
      </c>
      <c r="Q302">
        <f t="shared" si="965"/>
        <v>-108202.68026270223</v>
      </c>
      <c r="R302">
        <f t="shared" si="966"/>
        <v>-2880839.38993588</v>
      </c>
      <c r="S302">
        <f t="shared" si="967"/>
        <v>-28.808393899358801</v>
      </c>
      <c r="T302">
        <f t="shared" si="968"/>
        <v>-2.8808393899358801E-2</v>
      </c>
    </row>
    <row r="303" spans="1:20" x14ac:dyDescent="0.25">
      <c r="A303" s="5">
        <v>44290</v>
      </c>
      <c r="B303">
        <v>22.616</v>
      </c>
      <c r="C303">
        <v>23.25</v>
      </c>
      <c r="D303">
        <v>22.47</v>
      </c>
      <c r="E303">
        <v>23.248000000000001</v>
      </c>
      <c r="F303">
        <v>138591.54300000001</v>
      </c>
      <c r="G303">
        <v>0</v>
      </c>
      <c r="L303" t="s">
        <v>8</v>
      </c>
      <c r="M303" t="s">
        <v>7</v>
      </c>
      <c r="N303" t="s">
        <v>7</v>
      </c>
      <c r="P303">
        <f t="shared" si="964"/>
        <v>0.99487179487179778</v>
      </c>
      <c r="Q303">
        <f t="shared" si="965"/>
        <v>137880.81713846195</v>
      </c>
      <c r="R303">
        <f t="shared" si="966"/>
        <v>-2772636.7096731779</v>
      </c>
      <c r="S303">
        <f t="shared" si="967"/>
        <v>-27.726367096731778</v>
      </c>
      <c r="T303">
        <f t="shared" si="968"/>
        <v>-2.7726367096731777E-2</v>
      </c>
    </row>
    <row r="304" spans="1:20" x14ac:dyDescent="0.25">
      <c r="A304" s="5">
        <v>44289</v>
      </c>
      <c r="B304">
        <v>22.99</v>
      </c>
      <c r="C304">
        <v>23.248999999999999</v>
      </c>
      <c r="D304">
        <v>22.306000000000001</v>
      </c>
      <c r="E304">
        <v>22.693999999999999</v>
      </c>
      <c r="F304">
        <v>137251.853</v>
      </c>
      <c r="G304">
        <v>0</v>
      </c>
      <c r="L304" t="s">
        <v>8</v>
      </c>
      <c r="M304" t="s">
        <v>7</v>
      </c>
      <c r="N304" t="s">
        <v>7</v>
      </c>
      <c r="P304">
        <f t="shared" si="964"/>
        <v>-0.17709437963945066</v>
      </c>
      <c r="Q304">
        <f t="shared" si="965"/>
        <v>-24306.531761400074</v>
      </c>
      <c r="R304">
        <f t="shared" si="966"/>
        <v>-2910517.5268116398</v>
      </c>
      <c r="S304">
        <f t="shared" si="967"/>
        <v>-29.105175268116398</v>
      </c>
      <c r="T304">
        <f t="shared" si="968"/>
        <v>-2.9105175268116398E-2</v>
      </c>
    </row>
    <row r="305" spans="1:20" x14ac:dyDescent="0.25">
      <c r="A305" s="5">
        <v>44288</v>
      </c>
      <c r="B305">
        <v>22.486999999999998</v>
      </c>
      <c r="C305">
        <v>23.175999999999998</v>
      </c>
      <c r="D305">
        <v>22.314</v>
      </c>
      <c r="E305">
        <v>22.919</v>
      </c>
      <c r="F305">
        <v>137526.82800000001</v>
      </c>
      <c r="G305">
        <v>0</v>
      </c>
      <c r="L305" t="s">
        <v>8</v>
      </c>
      <c r="M305" t="s">
        <v>7</v>
      </c>
      <c r="N305" t="s">
        <v>7</v>
      </c>
      <c r="P305">
        <f t="shared" si="964"/>
        <v>0.40371229698376243</v>
      </c>
      <c r="Q305">
        <f t="shared" si="965"/>
        <v>55521.271628770817</v>
      </c>
      <c r="R305">
        <f t="shared" si="966"/>
        <v>-2886210.9950502398</v>
      </c>
      <c r="S305">
        <f t="shared" si="967"/>
        <v>-28.862109950502397</v>
      </c>
      <c r="T305">
        <f t="shared" si="968"/>
        <v>-2.8862109950502396E-2</v>
      </c>
    </row>
    <row r="306" spans="1:20" x14ac:dyDescent="0.25">
      <c r="A306" s="5">
        <v>44287</v>
      </c>
      <c r="B306">
        <v>22.821999999999999</v>
      </c>
      <c r="C306">
        <v>23.190999999999999</v>
      </c>
      <c r="D306">
        <v>21.001999999999999</v>
      </c>
      <c r="E306">
        <v>22.484999999999999</v>
      </c>
      <c r="F306">
        <v>116013.042</v>
      </c>
      <c r="G306">
        <v>0</v>
      </c>
      <c r="L306" t="s">
        <v>7</v>
      </c>
      <c r="M306" t="s">
        <v>7</v>
      </c>
      <c r="N306" t="s">
        <v>7</v>
      </c>
      <c r="P306">
        <f t="shared" si="964"/>
        <v>0.3549566011877574</v>
      </c>
      <c r="Q306">
        <f t="shared" si="965"/>
        <v>41179.595081772553</v>
      </c>
      <c r="R306">
        <f t="shared" si="966"/>
        <v>-2941732.2666790108</v>
      </c>
      <c r="S306">
        <f t="shared" si="967"/>
        <v>-29.41732266679011</v>
      </c>
      <c r="T306">
        <f t="shared" si="968"/>
        <v>-2.9417322666790108E-2</v>
      </c>
    </row>
    <row r="307" spans="1:20" x14ac:dyDescent="0.25">
      <c r="A307" s="5">
        <v>44286</v>
      </c>
      <c r="B307">
        <v>23.745000000000001</v>
      </c>
      <c r="C307">
        <v>23.817</v>
      </c>
      <c r="D307">
        <v>22.757000000000001</v>
      </c>
      <c r="E307">
        <v>22.821999999999999</v>
      </c>
      <c r="F307">
        <v>113004.54399999999</v>
      </c>
      <c r="G307">
        <v>0</v>
      </c>
      <c r="L307" t="s">
        <v>7</v>
      </c>
      <c r="M307" t="s">
        <v>8</v>
      </c>
      <c r="N307" t="s">
        <v>7</v>
      </c>
      <c r="P307">
        <f t="shared" si="964"/>
        <v>-0.87735849056604187</v>
      </c>
      <c r="Q307">
        <f t="shared" si="965"/>
        <v>-99145.496150943858</v>
      </c>
      <c r="R307">
        <f t="shared" si="966"/>
        <v>-2982911.8617607835</v>
      </c>
      <c r="S307">
        <f t="shared" si="967"/>
        <v>-29.829118617607836</v>
      </c>
      <c r="T307">
        <f t="shared" si="968"/>
        <v>-2.9829118617607835E-2</v>
      </c>
    </row>
    <row r="308" spans="1:20" x14ac:dyDescent="0.25">
      <c r="A308" s="5">
        <v>44285</v>
      </c>
      <c r="B308">
        <v>24.207999999999998</v>
      </c>
      <c r="C308">
        <v>24.283999999999999</v>
      </c>
      <c r="D308">
        <v>23.155000000000001</v>
      </c>
      <c r="E308">
        <v>23.655999999999999</v>
      </c>
      <c r="F308">
        <v>109187.23</v>
      </c>
      <c r="G308">
        <v>0</v>
      </c>
      <c r="L308" t="s">
        <v>7</v>
      </c>
      <c r="M308" t="s">
        <v>8</v>
      </c>
      <c r="N308" t="s">
        <v>7</v>
      </c>
      <c r="P308">
        <f t="shared" si="964"/>
        <v>-0.11248892825509539</v>
      </c>
      <c r="Q308">
        <f t="shared" si="965"/>
        <v>-12282.354481842598</v>
      </c>
      <c r="R308">
        <f t="shared" si="966"/>
        <v>-2883766.3656098396</v>
      </c>
      <c r="S308">
        <f t="shared" si="967"/>
        <v>-28.837663656098396</v>
      </c>
      <c r="T308">
        <f t="shared" si="968"/>
        <v>-2.8837663656098397E-2</v>
      </c>
    </row>
    <row r="309" spans="1:20" x14ac:dyDescent="0.25">
      <c r="A309" s="5">
        <v>44284</v>
      </c>
      <c r="B309">
        <v>22.966999999999999</v>
      </c>
      <c r="C309">
        <v>27.405000000000001</v>
      </c>
      <c r="D309">
        <v>22.5</v>
      </c>
      <c r="E309">
        <v>24.207000000000001</v>
      </c>
      <c r="F309">
        <v>135807.27499999999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-0.30397553516819559</v>
      </c>
      <c r="Q309">
        <f t="shared" si="965"/>
        <v>-41282.089097859309</v>
      </c>
      <c r="R309">
        <f t="shared" si="966"/>
        <v>-2871484.0111279972</v>
      </c>
      <c r="S309">
        <f t="shared" si="967"/>
        <v>-28.714840111279972</v>
      </c>
      <c r="T309">
        <f t="shared" si="968"/>
        <v>-2.8714840111279973E-2</v>
      </c>
    </row>
    <row r="310" spans="1:20" x14ac:dyDescent="0.25">
      <c r="A310" s="5">
        <v>44283</v>
      </c>
      <c r="B310">
        <v>22.716999999999999</v>
      </c>
      <c r="C310">
        <v>23.5</v>
      </c>
      <c r="D310">
        <v>21.347000000000001</v>
      </c>
      <c r="E310">
        <v>22.968</v>
      </c>
      <c r="F310">
        <v>141682.25099999999</v>
      </c>
      <c r="G310">
        <v>0</v>
      </c>
      <c r="L310" t="s">
        <v>7</v>
      </c>
      <c r="M310" t="s">
        <v>7</v>
      </c>
      <c r="N310" t="s">
        <v>7</v>
      </c>
      <c r="P310">
        <f t="shared" si="964"/>
        <v>0.50580585229911723</v>
      </c>
      <c r="Q310">
        <f t="shared" si="965"/>
        <v>71663.711722712455</v>
      </c>
      <c r="R310">
        <f t="shared" si="966"/>
        <v>-2830201.9220301379</v>
      </c>
      <c r="S310">
        <f t="shared" si="967"/>
        <v>-28.302019220301379</v>
      </c>
      <c r="T310">
        <f t="shared" si="968"/>
        <v>-2.8302019220301379E-2</v>
      </c>
    </row>
    <row r="311" spans="1:20" x14ac:dyDescent="0.25">
      <c r="A311" s="5">
        <v>44282</v>
      </c>
      <c r="B311">
        <v>24.971</v>
      </c>
      <c r="C311">
        <v>25.463999999999999</v>
      </c>
      <c r="D311">
        <v>20.995000000000001</v>
      </c>
      <c r="E311">
        <v>22.696000000000002</v>
      </c>
      <c r="F311">
        <v>162012.106</v>
      </c>
      <c r="G311">
        <v>0</v>
      </c>
      <c r="L311" t="s">
        <v>8</v>
      </c>
      <c r="M311" t="s">
        <v>7</v>
      </c>
      <c r="N311" t="s">
        <v>7</v>
      </c>
      <c r="P311">
        <f t="shared" si="964"/>
        <v>-0.23875587379726945</v>
      </c>
      <c r="Q311">
        <f t="shared" si="965"/>
        <v>-38681.341933765842</v>
      </c>
      <c r="R311">
        <f t="shared" si="966"/>
        <v>-2901865.6337528503</v>
      </c>
      <c r="S311">
        <f t="shared" si="967"/>
        <v>-29.018656337528505</v>
      </c>
      <c r="T311">
        <f t="shared" si="968"/>
        <v>-2.9018656337528505E-2</v>
      </c>
    </row>
    <row r="312" spans="1:20" x14ac:dyDescent="0.25">
      <c r="A312" s="5">
        <v>44281</v>
      </c>
      <c r="B312">
        <v>21.369</v>
      </c>
      <c r="C312">
        <v>25.050999999999998</v>
      </c>
      <c r="D312">
        <v>21.091999999999999</v>
      </c>
      <c r="E312">
        <v>24.966000000000001</v>
      </c>
      <c r="F312">
        <v>204559.51500000001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0.95705986360192108</v>
      </c>
      <c r="Q312">
        <f t="shared" si="965"/>
        <v>195775.70152437515</v>
      </c>
      <c r="R312">
        <f t="shared" si="966"/>
        <v>-2863184.2918190844</v>
      </c>
      <c r="S312">
        <f t="shared" si="967"/>
        <v>-28.631842918190845</v>
      </c>
      <c r="T312">
        <f t="shared" si="968"/>
        <v>-2.8631842918190844E-2</v>
      </c>
    </row>
    <row r="313" spans="1:20" x14ac:dyDescent="0.25">
      <c r="A313" s="5">
        <v>44280</v>
      </c>
      <c r="B313">
        <v>23.012</v>
      </c>
      <c r="C313">
        <v>23.56</v>
      </c>
      <c r="D313">
        <v>20.405999999999999</v>
      </c>
      <c r="E313">
        <v>21.37</v>
      </c>
      <c r="F313">
        <v>217737.56700000001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-0.38871274571971959</v>
      </c>
      <c r="Q313">
        <f t="shared" si="965"/>
        <v>-84637.367514901416</v>
      </c>
      <c r="R313">
        <f t="shared" si="966"/>
        <v>-3058959.9933434594</v>
      </c>
      <c r="S313">
        <f t="shared" si="967"/>
        <v>-30.589599933434595</v>
      </c>
      <c r="T313">
        <f t="shared" si="968"/>
        <v>-3.0589599933434596E-2</v>
      </c>
    </row>
    <row r="314" spans="1:20" x14ac:dyDescent="0.25">
      <c r="A314" s="5">
        <v>44279</v>
      </c>
      <c r="B314">
        <v>23.86</v>
      </c>
      <c r="C314">
        <v>26.6</v>
      </c>
      <c r="D314">
        <v>22.68</v>
      </c>
      <c r="E314">
        <v>23.018000000000001</v>
      </c>
      <c r="F314">
        <v>203864.886</v>
      </c>
      <c r="G314">
        <v>0</v>
      </c>
      <c r="L314" t="s">
        <v>7</v>
      </c>
      <c r="M314" t="s">
        <v>7</v>
      </c>
      <c r="N314" t="s">
        <v>8</v>
      </c>
      <c r="P314">
        <f t="shared" si="964"/>
        <v>-0.82755102040816286</v>
      </c>
      <c r="Q314">
        <f t="shared" si="965"/>
        <v>-168708.5944346938</v>
      </c>
      <c r="R314">
        <f t="shared" si="966"/>
        <v>-2974322.6258285581</v>
      </c>
      <c r="S314">
        <f t="shared" si="967"/>
        <v>-29.743226258285581</v>
      </c>
      <c r="T314">
        <f t="shared" si="968"/>
        <v>-2.9743226258285582E-2</v>
      </c>
    </row>
    <row r="315" spans="1:20" x14ac:dyDescent="0.25">
      <c r="A315" s="5">
        <v>44278</v>
      </c>
      <c r="B315">
        <v>24.463000000000001</v>
      </c>
      <c r="C315">
        <v>27.998999999999999</v>
      </c>
      <c r="D315">
        <v>23.667999999999999</v>
      </c>
      <c r="E315">
        <v>23.940999999999999</v>
      </c>
      <c r="F315">
        <v>226210.592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-0.87393211729392761</v>
      </c>
      <c r="Q315">
        <f t="shared" si="965"/>
        <v>-197692.7016208728</v>
      </c>
      <c r="R315">
        <f t="shared" si="966"/>
        <v>-2805614.0313938642</v>
      </c>
      <c r="S315">
        <f t="shared" si="967"/>
        <v>-28.056140313938641</v>
      </c>
      <c r="T315">
        <f t="shared" si="968"/>
        <v>-2.8056140313938643E-2</v>
      </c>
    </row>
    <row r="316" spans="1:20" x14ac:dyDescent="0.25">
      <c r="A316" s="5">
        <v>44277</v>
      </c>
      <c r="B316">
        <v>22.681999999999999</v>
      </c>
      <c r="C316">
        <v>29</v>
      </c>
      <c r="D316">
        <v>22.4</v>
      </c>
      <c r="E316">
        <v>24.463000000000001</v>
      </c>
      <c r="F316">
        <v>366392.95199999999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-0.37484848484848426</v>
      </c>
      <c r="Q316">
        <f t="shared" si="965"/>
        <v>-137341.84291636341</v>
      </c>
      <c r="R316">
        <f t="shared" si="966"/>
        <v>-2607921.3297729916</v>
      </c>
      <c r="S316">
        <f t="shared" si="967"/>
        <v>-26.079213297729915</v>
      </c>
      <c r="T316">
        <f t="shared" si="968"/>
        <v>-2.6079213297729914E-2</v>
      </c>
    </row>
    <row r="317" spans="1:20" x14ac:dyDescent="0.25">
      <c r="A317" s="5">
        <v>44276</v>
      </c>
      <c r="B317">
        <v>23.064</v>
      </c>
      <c r="C317">
        <v>23.484999999999999</v>
      </c>
      <c r="D317">
        <v>21.081</v>
      </c>
      <c r="E317">
        <v>22.675000000000001</v>
      </c>
      <c r="F317">
        <v>149747.182</v>
      </c>
      <c r="G317">
        <v>0</v>
      </c>
      <c r="L317" t="s">
        <v>8</v>
      </c>
      <c r="M317" t="s">
        <v>7</v>
      </c>
      <c r="N317" t="s">
        <v>7</v>
      </c>
      <c r="P317">
        <f t="shared" si="964"/>
        <v>0.32612312811980138</v>
      </c>
      <c r="Q317">
        <f t="shared" si="965"/>
        <v>48836.019420965218</v>
      </c>
      <c r="R317">
        <f t="shared" si="966"/>
        <v>-2470579.4868566282</v>
      </c>
      <c r="S317">
        <f t="shared" si="967"/>
        <v>-24.705794868566283</v>
      </c>
      <c r="T317">
        <f t="shared" si="968"/>
        <v>-2.4705794868566285E-2</v>
      </c>
    </row>
    <row r="318" spans="1:20" x14ac:dyDescent="0.25">
      <c r="A318" s="5">
        <v>44275</v>
      </c>
      <c r="B318">
        <v>24.349</v>
      </c>
      <c r="C318">
        <v>24.507999999999999</v>
      </c>
      <c r="D318">
        <v>20</v>
      </c>
      <c r="E318">
        <v>23.062999999999999</v>
      </c>
      <c r="F318">
        <v>164607.31599999999</v>
      </c>
      <c r="G318">
        <v>0</v>
      </c>
      <c r="L318" t="s">
        <v>7</v>
      </c>
      <c r="M318" t="s">
        <v>7</v>
      </c>
      <c r="N318" t="s">
        <v>7</v>
      </c>
      <c r="P318">
        <f t="shared" si="964"/>
        <v>0.35891748003549223</v>
      </c>
      <c r="Q318">
        <f t="shared" si="965"/>
        <v>59080.443054125957</v>
      </c>
      <c r="R318">
        <f t="shared" si="966"/>
        <v>-2519415.5062775933</v>
      </c>
      <c r="S318">
        <f t="shared" si="967"/>
        <v>-25.194155062775934</v>
      </c>
      <c r="T318">
        <f t="shared" si="968"/>
        <v>-2.5194155062775933E-2</v>
      </c>
    </row>
    <row r="319" spans="1:20" x14ac:dyDescent="0.25">
      <c r="A319" s="5">
        <v>44274</v>
      </c>
      <c r="B319">
        <v>25.826000000000001</v>
      </c>
      <c r="C319">
        <v>26.207000000000001</v>
      </c>
      <c r="D319">
        <v>24.132000000000001</v>
      </c>
      <c r="E319">
        <v>24.349</v>
      </c>
      <c r="F319">
        <v>197295.255</v>
      </c>
      <c r="G319">
        <v>0</v>
      </c>
      <c r="L319" t="s">
        <v>7</v>
      </c>
      <c r="M319" t="s">
        <v>7</v>
      </c>
      <c r="N319" t="s">
        <v>7</v>
      </c>
      <c r="P319">
        <f t="shared" si="964"/>
        <v>-0.79084337349397704</v>
      </c>
      <c r="Q319">
        <f t="shared" si="965"/>
        <v>-156029.64503855444</v>
      </c>
      <c r="R319">
        <f t="shared" si="966"/>
        <v>-2578495.9493317194</v>
      </c>
      <c r="S319">
        <f t="shared" si="967"/>
        <v>-25.784959493317196</v>
      </c>
      <c r="T319">
        <f t="shared" si="968"/>
        <v>-2.5784959493317196E-2</v>
      </c>
    </row>
    <row r="320" spans="1:20" x14ac:dyDescent="0.25">
      <c r="A320" s="5">
        <v>44273</v>
      </c>
      <c r="B320">
        <v>26.244</v>
      </c>
      <c r="C320">
        <v>26.7</v>
      </c>
      <c r="D320">
        <v>25.425999999999998</v>
      </c>
      <c r="E320">
        <v>25.725000000000001</v>
      </c>
      <c r="F320">
        <v>221295.46400000001</v>
      </c>
      <c r="G320">
        <v>0</v>
      </c>
      <c r="L320" t="s">
        <v>7</v>
      </c>
      <c r="M320" t="s">
        <v>7</v>
      </c>
      <c r="N320" t="s">
        <v>7</v>
      </c>
      <c r="P320">
        <f t="shared" si="964"/>
        <v>-0.53061224489795478</v>
      </c>
      <c r="Q320">
        <f t="shared" si="965"/>
        <v>-117422.08293877453</v>
      </c>
      <c r="R320">
        <f t="shared" si="966"/>
        <v>-2422466.304293165</v>
      </c>
      <c r="S320">
        <f t="shared" si="967"/>
        <v>-24.224663042931649</v>
      </c>
      <c r="T320">
        <f t="shared" si="968"/>
        <v>-2.4224663042931648E-2</v>
      </c>
    </row>
    <row r="321" spans="1:20" x14ac:dyDescent="0.25">
      <c r="A321" s="5">
        <v>44272</v>
      </c>
      <c r="B321">
        <v>27.800999999999998</v>
      </c>
      <c r="C321">
        <v>28.457999999999998</v>
      </c>
      <c r="D321">
        <v>25.57</v>
      </c>
      <c r="E321">
        <v>26.245000000000001</v>
      </c>
      <c r="F321">
        <v>243197.80600000001</v>
      </c>
      <c r="G321">
        <v>0</v>
      </c>
      <c r="L321" t="s">
        <v>7</v>
      </c>
      <c r="M321" t="s">
        <v>7</v>
      </c>
      <c r="N321" t="s">
        <v>8</v>
      </c>
      <c r="P321">
        <f t="shared" si="964"/>
        <v>-0.53254847645429282</v>
      </c>
      <c r="Q321">
        <f t="shared" si="965"/>
        <v>-129514.62106232668</v>
      </c>
      <c r="R321">
        <f t="shared" si="966"/>
        <v>-2305044.2213543905</v>
      </c>
      <c r="S321">
        <f t="shared" si="967"/>
        <v>-23.050442213543906</v>
      </c>
      <c r="T321">
        <f t="shared" si="968"/>
        <v>-2.3050442213543906E-2</v>
      </c>
    </row>
    <row r="322" spans="1:20" x14ac:dyDescent="0.25">
      <c r="A322" s="5">
        <v>44271</v>
      </c>
      <c r="B322">
        <v>26.928000000000001</v>
      </c>
      <c r="C322">
        <v>28.9</v>
      </c>
      <c r="D322">
        <v>25.782</v>
      </c>
      <c r="E322">
        <v>27.8</v>
      </c>
      <c r="F322">
        <v>296612.18</v>
      </c>
      <c r="G322">
        <v>0</v>
      </c>
      <c r="L322" t="s">
        <v>8</v>
      </c>
      <c r="M322" t="s">
        <v>7</v>
      </c>
      <c r="N322" t="s">
        <v>8</v>
      </c>
      <c r="P322">
        <f t="shared" si="964"/>
        <v>0.2944194996792826</v>
      </c>
      <c r="Q322">
        <f t="shared" si="965"/>
        <v>87328.409634381314</v>
      </c>
      <c r="R322">
        <f t="shared" si="966"/>
        <v>-2175529.6002920638</v>
      </c>
      <c r="S322">
        <f t="shared" si="967"/>
        <v>-21.755296002920637</v>
      </c>
      <c r="T322">
        <f t="shared" si="968"/>
        <v>-2.1755296002920636E-2</v>
      </c>
    </row>
    <row r="323" spans="1:20" x14ac:dyDescent="0.25">
      <c r="A323" s="5">
        <v>44270</v>
      </c>
      <c r="B323">
        <v>29.039000000000001</v>
      </c>
      <c r="C323">
        <v>30</v>
      </c>
      <c r="D323">
        <v>25.600999999999999</v>
      </c>
      <c r="E323">
        <v>26.93</v>
      </c>
      <c r="F323">
        <v>404995.49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-0.39577176631052496</v>
      </c>
      <c r="Q323">
        <f t="shared" si="965"/>
        <v>-160285.78042509654</v>
      </c>
      <c r="R323">
        <f t="shared" si="966"/>
        <v>-2262858.0099264453</v>
      </c>
      <c r="S323">
        <f t="shared" si="967"/>
        <v>-22.628580099264454</v>
      </c>
      <c r="T323">
        <f t="shared" si="968"/>
        <v>-2.2628580099264453E-2</v>
      </c>
    </row>
    <row r="324" spans="1:20" x14ac:dyDescent="0.25">
      <c r="A324" s="5">
        <v>44269</v>
      </c>
      <c r="B324">
        <v>26.381</v>
      </c>
      <c r="C324">
        <v>36.570999999999998</v>
      </c>
      <c r="D324">
        <v>25.027999999999999</v>
      </c>
      <c r="E324">
        <v>28.927</v>
      </c>
      <c r="F324">
        <v>435908.43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-0.3244390539721041</v>
      </c>
      <c r="Q324">
        <f t="shared" si="965"/>
        <v>-141425.71864766517</v>
      </c>
      <c r="R324">
        <f t="shared" si="966"/>
        <v>-2102572.2295013489</v>
      </c>
      <c r="S324">
        <f t="shared" si="967"/>
        <v>-21.025722295013487</v>
      </c>
      <c r="T324">
        <f t="shared" si="968"/>
        <v>-2.1025722295013486E-2</v>
      </c>
    </row>
    <row r="325" spans="1:20" x14ac:dyDescent="0.25">
      <c r="A325" s="5">
        <v>44268</v>
      </c>
      <c r="B325">
        <v>25.581</v>
      </c>
      <c r="C325">
        <v>30.81</v>
      </c>
      <c r="D325">
        <v>24.89</v>
      </c>
      <c r="E325">
        <v>26.425999999999998</v>
      </c>
      <c r="F325">
        <v>547323.93400000001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-0.48108108108108166</v>
      </c>
      <c r="Q325">
        <f t="shared" si="965"/>
        <v>-263307.18987027061</v>
      </c>
      <c r="R325">
        <f t="shared" si="966"/>
        <v>-1961146.5108536838</v>
      </c>
      <c r="S325">
        <f t="shared" si="967"/>
        <v>-19.611465108536837</v>
      </c>
      <c r="T325">
        <f t="shared" si="968"/>
        <v>-1.9611465108536837E-2</v>
      </c>
    </row>
    <row r="326" spans="1:20" x14ac:dyDescent="0.25">
      <c r="A326" s="5">
        <v>44267</v>
      </c>
      <c r="B326">
        <v>23.23</v>
      </c>
      <c r="C326">
        <v>26.669</v>
      </c>
      <c r="D326">
        <v>20.611999999999998</v>
      </c>
      <c r="E326">
        <v>25.58</v>
      </c>
      <c r="F326">
        <v>402277.50099999999</v>
      </c>
      <c r="G326">
        <v>0</v>
      </c>
      <c r="L326" t="s">
        <v>7</v>
      </c>
      <c r="M326" t="s">
        <v>7</v>
      </c>
      <c r="N326" t="s">
        <v>7</v>
      </c>
      <c r="P326">
        <f t="shared" ref="P326:P389" si="969">IF(C326=D326,0,((E326-D326)-(C326-E326))/(C326-D326))</f>
        <v>0.64041604754829062</v>
      </c>
      <c r="Q326">
        <f t="shared" ref="Q326:Q389" si="970">F326*P326</f>
        <v>257624.96720802353</v>
      </c>
      <c r="R326">
        <f t="shared" ref="R326:R389" si="971">R327+Q326</f>
        <v>-1697839.3209834131</v>
      </c>
      <c r="S326">
        <f t="shared" ref="S326:S389" si="972">R326/100000</f>
        <v>-16.978393209834131</v>
      </c>
      <c r="T326">
        <f t="shared" ref="T326:T389" si="973">S326/1000</f>
        <v>-1.6978393209834131E-2</v>
      </c>
    </row>
    <row r="327" spans="1:20" x14ac:dyDescent="0.25">
      <c r="A327" s="5">
        <v>44266</v>
      </c>
      <c r="B327">
        <v>24.491</v>
      </c>
      <c r="C327">
        <v>26.390999999999998</v>
      </c>
      <c r="D327">
        <v>22.760999999999999</v>
      </c>
      <c r="E327">
        <v>23.100999999999999</v>
      </c>
      <c r="F327">
        <v>339635.14</v>
      </c>
      <c r="G327">
        <v>0</v>
      </c>
      <c r="L327" t="s">
        <v>7</v>
      </c>
      <c r="M327" t="s">
        <v>7</v>
      </c>
      <c r="N327" t="s">
        <v>7</v>
      </c>
      <c r="P327">
        <f t="shared" si="969"/>
        <v>-0.81267217630853994</v>
      </c>
      <c r="Q327">
        <f t="shared" si="970"/>
        <v>-276012.02837465564</v>
      </c>
      <c r="R327">
        <f t="shared" si="971"/>
        <v>-1955464.2881914368</v>
      </c>
      <c r="S327">
        <f t="shared" si="972"/>
        <v>-19.554642881914369</v>
      </c>
      <c r="T327">
        <f t="shared" si="973"/>
        <v>-1.9554642881914368E-2</v>
      </c>
    </row>
    <row r="328" spans="1:20" x14ac:dyDescent="0.25">
      <c r="A328" s="5">
        <v>44265</v>
      </c>
      <c r="B328">
        <v>29.460999999999999</v>
      </c>
      <c r="C328">
        <v>31.806999999999999</v>
      </c>
      <c r="D328">
        <v>24.009</v>
      </c>
      <c r="E328">
        <v>24.591000000000001</v>
      </c>
      <c r="F328">
        <v>467695.84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-0.85073095665555243</v>
      </c>
      <c r="Q328">
        <f t="shared" si="970"/>
        <v>-397883.32938702218</v>
      </c>
      <c r="R328">
        <f t="shared" si="971"/>
        <v>-1679452.2598167812</v>
      </c>
      <c r="S328">
        <f t="shared" si="972"/>
        <v>-16.794522598167813</v>
      </c>
      <c r="T328">
        <f t="shared" si="973"/>
        <v>-1.6794522598167813E-2</v>
      </c>
    </row>
    <row r="329" spans="1:20" x14ac:dyDescent="0.25">
      <c r="A329" s="5">
        <v>44264</v>
      </c>
      <c r="B329">
        <v>22.542000000000002</v>
      </c>
      <c r="C329">
        <v>30</v>
      </c>
      <c r="D329">
        <v>22.01</v>
      </c>
      <c r="E329">
        <v>29.524999999999999</v>
      </c>
      <c r="F329">
        <v>695181.103</v>
      </c>
      <c r="G329">
        <v>0</v>
      </c>
      <c r="L329" t="s">
        <v>7</v>
      </c>
      <c r="M329" t="s">
        <v>7</v>
      </c>
      <c r="N329" t="s">
        <v>7</v>
      </c>
      <c r="P329">
        <f t="shared" si="969"/>
        <v>0.88110137672090072</v>
      </c>
      <c r="Q329">
        <f t="shared" si="970"/>
        <v>612525.02692365425</v>
      </c>
      <c r="R329">
        <f t="shared" si="971"/>
        <v>-1281568.930429759</v>
      </c>
      <c r="S329">
        <f t="shared" si="972"/>
        <v>-12.815689304297591</v>
      </c>
      <c r="T329">
        <f t="shared" si="973"/>
        <v>-1.281568930429759E-2</v>
      </c>
    </row>
    <row r="330" spans="1:20" x14ac:dyDescent="0.25">
      <c r="A330" s="5">
        <v>44263</v>
      </c>
      <c r="B330">
        <v>21.265999999999998</v>
      </c>
      <c r="C330">
        <v>35</v>
      </c>
      <c r="D330">
        <v>20.62</v>
      </c>
      <c r="E330">
        <v>22.532</v>
      </c>
      <c r="F330">
        <v>936341.10199999996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-0.73407510431154388</v>
      </c>
      <c r="Q330">
        <f t="shared" si="970"/>
        <v>-687344.69212183589</v>
      </c>
      <c r="R330">
        <f t="shared" si="971"/>
        <v>-1894093.9573534133</v>
      </c>
      <c r="S330">
        <f t="shared" si="972"/>
        <v>-18.940939573534134</v>
      </c>
      <c r="T330">
        <f t="shared" si="973"/>
        <v>-1.8940939573534134E-2</v>
      </c>
    </row>
    <row r="331" spans="1:20" x14ac:dyDescent="0.25">
      <c r="A331" s="5">
        <v>44262</v>
      </c>
      <c r="B331">
        <v>14.47</v>
      </c>
      <c r="C331">
        <v>22.5</v>
      </c>
      <c r="D331">
        <v>13.19</v>
      </c>
      <c r="E331">
        <v>21.265999999999998</v>
      </c>
      <c r="F331">
        <v>362767.91100000002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0.73490870032223377</v>
      </c>
      <c r="Q331">
        <f t="shared" si="970"/>
        <v>266601.29399162176</v>
      </c>
      <c r="R331">
        <f t="shared" si="971"/>
        <v>-1206749.2652315774</v>
      </c>
      <c r="S331">
        <f t="shared" si="972"/>
        <v>-12.067492652315774</v>
      </c>
      <c r="T331">
        <f t="shared" si="973"/>
        <v>-1.2067492652315775E-2</v>
      </c>
    </row>
    <row r="332" spans="1:20" x14ac:dyDescent="0.25">
      <c r="A332" s="5">
        <v>44261</v>
      </c>
      <c r="B332">
        <v>10.795</v>
      </c>
      <c r="C332">
        <v>15.747999999999999</v>
      </c>
      <c r="D332">
        <v>10.220000000000001</v>
      </c>
      <c r="E332">
        <v>14.5</v>
      </c>
      <c r="F332">
        <v>336186.288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0.54848046309696108</v>
      </c>
      <c r="Q332">
        <f t="shared" si="970"/>
        <v>184391.61092908832</v>
      </c>
      <c r="R332">
        <f t="shared" si="971"/>
        <v>-1473350.5592231993</v>
      </c>
      <c r="S332">
        <f t="shared" si="972"/>
        <v>-14.733505592231992</v>
      </c>
      <c r="T332">
        <f t="shared" si="973"/>
        <v>-1.4733505592231992E-2</v>
      </c>
    </row>
    <row r="333" spans="1:20" x14ac:dyDescent="0.25">
      <c r="A333" s="5">
        <v>44260</v>
      </c>
      <c r="B333">
        <v>9.516</v>
      </c>
      <c r="C333">
        <v>11.5</v>
      </c>
      <c r="D333">
        <v>8.4499999999999993</v>
      </c>
      <c r="E333">
        <v>10.794</v>
      </c>
      <c r="F333">
        <v>353071.46100000001</v>
      </c>
      <c r="G333">
        <v>0</v>
      </c>
      <c r="L333" t="s">
        <v>8</v>
      </c>
      <c r="M333" t="s">
        <v>8</v>
      </c>
      <c r="N333" t="s">
        <v>8</v>
      </c>
      <c r="P333">
        <f t="shared" si="969"/>
        <v>0.5370491803278693</v>
      </c>
      <c r="Q333">
        <f t="shared" si="970"/>
        <v>189616.73872721329</v>
      </c>
      <c r="R333">
        <f t="shared" si="971"/>
        <v>-1657742.1701522877</v>
      </c>
      <c r="S333">
        <f t="shared" si="972"/>
        <v>-16.577421701522876</v>
      </c>
      <c r="T333">
        <f t="shared" si="973"/>
        <v>-1.6577421701522876E-2</v>
      </c>
    </row>
    <row r="334" spans="1:20" x14ac:dyDescent="0.25">
      <c r="A334" s="5">
        <v>44259</v>
      </c>
      <c r="B334">
        <v>9.2240000000000002</v>
      </c>
      <c r="C334">
        <v>11.129</v>
      </c>
      <c r="D334">
        <v>8.4380000000000006</v>
      </c>
      <c r="E334">
        <v>9.516</v>
      </c>
      <c r="F334">
        <v>290211.84299999999</v>
      </c>
      <c r="G334">
        <v>0</v>
      </c>
      <c r="L334" t="s">
        <v>7</v>
      </c>
      <c r="M334" t="s">
        <v>7</v>
      </c>
      <c r="N334" t="s">
        <v>8</v>
      </c>
      <c r="P334">
        <f t="shared" si="969"/>
        <v>-0.19881085098476417</v>
      </c>
      <c r="Q334">
        <f t="shared" si="970"/>
        <v>-57697.263472686776</v>
      </c>
      <c r="R334">
        <f t="shared" si="971"/>
        <v>-1847358.908879501</v>
      </c>
      <c r="S334">
        <f t="shared" si="972"/>
        <v>-18.473589088795009</v>
      </c>
      <c r="T334">
        <f t="shared" si="973"/>
        <v>-1.8473589088795008E-2</v>
      </c>
    </row>
    <row r="335" spans="1:20" x14ac:dyDescent="0.25">
      <c r="A335" s="5">
        <v>44258</v>
      </c>
      <c r="B335">
        <v>7.0250000000000004</v>
      </c>
      <c r="C335">
        <v>11.89</v>
      </c>
      <c r="D335">
        <v>6.8479999999999999</v>
      </c>
      <c r="E335">
        <v>9.2639999999999993</v>
      </c>
      <c r="F335">
        <v>392557.40100000001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-4.1650138833796452E-2</v>
      </c>
      <c r="Q335">
        <f t="shared" si="970"/>
        <v>-16350.070251884306</v>
      </c>
      <c r="R335">
        <f t="shared" si="971"/>
        <v>-1789661.6454068143</v>
      </c>
      <c r="S335">
        <f t="shared" si="972"/>
        <v>-17.896616454068141</v>
      </c>
      <c r="T335">
        <f t="shared" si="973"/>
        <v>-1.7896616454068141E-2</v>
      </c>
    </row>
    <row r="336" spans="1:20" x14ac:dyDescent="0.25">
      <c r="A336" s="5">
        <v>44257</v>
      </c>
      <c r="B336">
        <v>7.4</v>
      </c>
      <c r="C336">
        <v>7.8769999999999998</v>
      </c>
      <c r="D336">
        <v>6.5620000000000003</v>
      </c>
      <c r="E336">
        <v>7.0250000000000004</v>
      </c>
      <c r="F336">
        <v>195835.91200000001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-0.29581749049429618</v>
      </c>
      <c r="Q336">
        <f t="shared" si="970"/>
        <v>-57931.688036501822</v>
      </c>
      <c r="R336">
        <f t="shared" si="971"/>
        <v>-1773311.5751549299</v>
      </c>
      <c r="S336">
        <f t="shared" si="972"/>
        <v>-17.733115751549299</v>
      </c>
      <c r="T336">
        <f t="shared" si="973"/>
        <v>-1.7733115751549299E-2</v>
      </c>
    </row>
    <row r="337" spans="1:20" x14ac:dyDescent="0.25">
      <c r="A337" s="5">
        <v>44256</v>
      </c>
      <c r="B337">
        <v>6.52</v>
      </c>
      <c r="C337">
        <v>7.4379999999999997</v>
      </c>
      <c r="D337">
        <v>6.407</v>
      </c>
      <c r="E337">
        <v>7.4</v>
      </c>
      <c r="F337">
        <v>214425.58199999999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0.92628516003879846</v>
      </c>
      <c r="Q337">
        <f t="shared" si="970"/>
        <v>198619.23453928251</v>
      </c>
      <c r="R337">
        <f t="shared" si="971"/>
        <v>-1715379.887118428</v>
      </c>
      <c r="S337">
        <f t="shared" si="972"/>
        <v>-17.153798871184279</v>
      </c>
      <c r="T337">
        <f t="shared" si="973"/>
        <v>-1.7153798871184279E-2</v>
      </c>
    </row>
    <row r="338" spans="1:20" x14ac:dyDescent="0.25">
      <c r="A338" s="5">
        <v>44255</v>
      </c>
      <c r="B338">
        <v>6.79</v>
      </c>
      <c r="C338">
        <v>6.9580000000000002</v>
      </c>
      <c r="D338">
        <v>5.93</v>
      </c>
      <c r="E338">
        <v>6.4589999999999996</v>
      </c>
      <c r="F338">
        <v>179281.34299999999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2.9182879377431272E-2</v>
      </c>
      <c r="Q338">
        <f t="shared" si="970"/>
        <v>5231.9458073928818</v>
      </c>
      <c r="R338">
        <f t="shared" si="971"/>
        <v>-1913999.1216577105</v>
      </c>
      <c r="S338">
        <f t="shared" si="972"/>
        <v>-19.139991216577105</v>
      </c>
      <c r="T338">
        <f t="shared" si="973"/>
        <v>-1.9139991216577106E-2</v>
      </c>
    </row>
    <row r="339" spans="1:20" x14ac:dyDescent="0.25">
      <c r="A339" s="5">
        <v>44254</v>
      </c>
      <c r="B339">
        <v>6.6989999999999998</v>
      </c>
      <c r="C339">
        <v>7.4119999999999999</v>
      </c>
      <c r="D339">
        <v>6.6820000000000004</v>
      </c>
      <c r="E339">
        <v>6.806</v>
      </c>
      <c r="F339">
        <v>211684.481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-0.66027397260274046</v>
      </c>
      <c r="Q339">
        <f t="shared" si="970"/>
        <v>-139769.75320821934</v>
      </c>
      <c r="R339">
        <f t="shared" si="971"/>
        <v>-1919231.0674651035</v>
      </c>
      <c r="S339">
        <f t="shared" si="972"/>
        <v>-19.192310674651036</v>
      </c>
      <c r="T339">
        <f t="shared" si="973"/>
        <v>-1.9192310674651037E-2</v>
      </c>
    </row>
    <row r="340" spans="1:20" x14ac:dyDescent="0.25">
      <c r="A340" s="5">
        <v>44253</v>
      </c>
      <c r="B340">
        <v>7.0830000000000002</v>
      </c>
      <c r="C340">
        <v>7.556</v>
      </c>
      <c r="D340">
        <v>6.3390000000000004</v>
      </c>
      <c r="E340">
        <v>6.6920000000000002</v>
      </c>
      <c r="F340">
        <v>228722.95600000001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-0.41988496302382933</v>
      </c>
      <c r="Q340">
        <f t="shared" si="970"/>
        <v>-96037.329922760939</v>
      </c>
      <c r="R340">
        <f t="shared" si="971"/>
        <v>-1779461.3142568842</v>
      </c>
      <c r="S340">
        <f t="shared" si="972"/>
        <v>-17.794613142568842</v>
      </c>
      <c r="T340">
        <f t="shared" si="973"/>
        <v>-1.7794613142568843E-2</v>
      </c>
    </row>
    <row r="341" spans="1:20" x14ac:dyDescent="0.25">
      <c r="A341" s="5">
        <v>44252</v>
      </c>
      <c r="B341">
        <v>7.2770000000000001</v>
      </c>
      <c r="C341">
        <v>8.1280000000000001</v>
      </c>
      <c r="D341">
        <v>6.8529999999999998</v>
      </c>
      <c r="E341">
        <v>7.09</v>
      </c>
      <c r="F341">
        <v>181003.14799999999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-0.628235294117647</v>
      </c>
      <c r="Q341">
        <f t="shared" si="970"/>
        <v>-113712.56591999998</v>
      </c>
      <c r="R341">
        <f t="shared" si="971"/>
        <v>-1683423.9843341233</v>
      </c>
      <c r="S341">
        <f t="shared" si="972"/>
        <v>-16.834239843341233</v>
      </c>
      <c r="T341">
        <f t="shared" si="973"/>
        <v>-1.6834239843341234E-2</v>
      </c>
    </row>
    <row r="342" spans="1:20" x14ac:dyDescent="0.25">
      <c r="A342" s="5">
        <v>44251</v>
      </c>
      <c r="B342">
        <v>7.468</v>
      </c>
      <c r="C342">
        <v>8.4990000000000006</v>
      </c>
      <c r="D342">
        <v>6.9589999999999996</v>
      </c>
      <c r="E342">
        <v>7.2270000000000003</v>
      </c>
      <c r="F342">
        <v>207140.96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-0.65194805194805128</v>
      </c>
      <c r="Q342">
        <f t="shared" si="970"/>
        <v>-135045.1453506492</v>
      </c>
      <c r="R342">
        <f t="shared" si="971"/>
        <v>-1569711.4184141234</v>
      </c>
      <c r="S342">
        <f t="shared" si="972"/>
        <v>-15.697114184141233</v>
      </c>
      <c r="T342">
        <f t="shared" si="973"/>
        <v>-1.5697114184141232E-2</v>
      </c>
    </row>
    <row r="343" spans="1:20" x14ac:dyDescent="0.25">
      <c r="A343" s="5">
        <v>44250</v>
      </c>
      <c r="B343">
        <v>9.4469999999999992</v>
      </c>
      <c r="C343">
        <v>9.5</v>
      </c>
      <c r="D343">
        <v>6.1</v>
      </c>
      <c r="E343">
        <v>7.3079999999999998</v>
      </c>
      <c r="F343">
        <v>280317.93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-0.28941176470588231</v>
      </c>
      <c r="Q343">
        <f t="shared" si="970"/>
        <v>-81127.306799999991</v>
      </c>
      <c r="R343">
        <f t="shared" si="971"/>
        <v>-1434666.2730634741</v>
      </c>
      <c r="S343">
        <f t="shared" si="972"/>
        <v>-14.346662730634741</v>
      </c>
      <c r="T343">
        <f t="shared" si="973"/>
        <v>-1.434666273063474E-2</v>
      </c>
    </row>
    <row r="344" spans="1:20" x14ac:dyDescent="0.25">
      <c r="A344" s="5">
        <v>44249</v>
      </c>
      <c r="B344">
        <v>9.8409999999999993</v>
      </c>
      <c r="C344">
        <v>11.228</v>
      </c>
      <c r="D344">
        <v>7.66</v>
      </c>
      <c r="E344">
        <v>9.4480000000000004</v>
      </c>
      <c r="F344">
        <v>307180.54599999997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2.2421524663679641E-3</v>
      </c>
      <c r="Q344">
        <f t="shared" si="970"/>
        <v>688.74561883415777</v>
      </c>
      <c r="R344">
        <f t="shared" si="971"/>
        <v>-1353538.9662634742</v>
      </c>
      <c r="S344">
        <f t="shared" si="972"/>
        <v>-13.535389662634742</v>
      </c>
      <c r="T344">
        <f t="shared" si="973"/>
        <v>-1.3535389662634742E-2</v>
      </c>
    </row>
    <row r="345" spans="1:20" x14ac:dyDescent="0.25">
      <c r="A345" s="5">
        <v>44248</v>
      </c>
      <c r="B345">
        <v>8.9260000000000002</v>
      </c>
      <c r="C345">
        <v>10.999000000000001</v>
      </c>
      <c r="D345">
        <v>8.81</v>
      </c>
      <c r="E345">
        <v>9.8369999999999997</v>
      </c>
      <c r="F345">
        <v>244114.405</v>
      </c>
      <c r="G345">
        <v>0</v>
      </c>
      <c r="L345" t="s">
        <v>7</v>
      </c>
      <c r="M345" t="s">
        <v>7</v>
      </c>
      <c r="N345" t="s">
        <v>7</v>
      </c>
      <c r="P345">
        <f t="shared" si="969"/>
        <v>-6.167199634536389E-2</v>
      </c>
      <c r="Q345">
        <f t="shared" si="970"/>
        <v>-15055.02269301068</v>
      </c>
      <c r="R345">
        <f t="shared" si="971"/>
        <v>-1354227.7118823084</v>
      </c>
      <c r="S345">
        <f t="shared" si="972"/>
        <v>-13.542277118823083</v>
      </c>
      <c r="T345">
        <f t="shared" si="973"/>
        <v>-1.3542277118823083E-2</v>
      </c>
    </row>
    <row r="346" spans="1:20" x14ac:dyDescent="0.25">
      <c r="A346" s="5">
        <v>44247</v>
      </c>
      <c r="B346">
        <v>9.0920000000000005</v>
      </c>
      <c r="C346">
        <v>11</v>
      </c>
      <c r="D346">
        <v>8.7200000000000006</v>
      </c>
      <c r="E346">
        <v>8.9640000000000004</v>
      </c>
      <c r="F346">
        <v>307933.57900000003</v>
      </c>
      <c r="G346">
        <v>0</v>
      </c>
      <c r="L346" t="s">
        <v>8</v>
      </c>
      <c r="M346" t="s">
        <v>8</v>
      </c>
      <c r="N346" t="s">
        <v>7</v>
      </c>
      <c r="P346">
        <f t="shared" si="969"/>
        <v>-0.78596491228070187</v>
      </c>
      <c r="Q346">
        <f t="shared" si="970"/>
        <v>-242024.9884070176</v>
      </c>
      <c r="R346">
        <f t="shared" si="971"/>
        <v>-1339172.6891892976</v>
      </c>
      <c r="S346">
        <f t="shared" si="972"/>
        <v>-13.391726891892976</v>
      </c>
      <c r="T346">
        <f t="shared" si="973"/>
        <v>-1.3391726891892976E-2</v>
      </c>
    </row>
    <row r="347" spans="1:20" x14ac:dyDescent="0.25">
      <c r="A347" s="5">
        <v>44246</v>
      </c>
      <c r="B347">
        <v>9.1630000000000003</v>
      </c>
      <c r="C347">
        <v>9.42</v>
      </c>
      <c r="D347">
        <v>8.6020000000000003</v>
      </c>
      <c r="E347">
        <v>9.0920000000000005</v>
      </c>
      <c r="F347">
        <v>242111.258</v>
      </c>
      <c r="G347">
        <v>0</v>
      </c>
      <c r="L347" t="s">
        <v>7</v>
      </c>
      <c r="M347" t="s">
        <v>7</v>
      </c>
      <c r="N347" t="s">
        <v>7</v>
      </c>
      <c r="P347">
        <f t="shared" si="969"/>
        <v>0.19804400977995218</v>
      </c>
      <c r="Q347">
        <f t="shared" si="970"/>
        <v>47948.684347188522</v>
      </c>
      <c r="R347">
        <f t="shared" si="971"/>
        <v>-1097147.7007822799</v>
      </c>
      <c r="S347">
        <f t="shared" si="972"/>
        <v>-10.9714770078228</v>
      </c>
      <c r="T347">
        <f t="shared" si="973"/>
        <v>-1.09714770078228E-2</v>
      </c>
    </row>
    <row r="348" spans="1:20" x14ac:dyDescent="0.25">
      <c r="A348" s="5">
        <v>44245</v>
      </c>
      <c r="B348">
        <v>10.334</v>
      </c>
      <c r="C348">
        <v>13</v>
      </c>
      <c r="D348">
        <v>8.5039999999999996</v>
      </c>
      <c r="E348">
        <v>9.24</v>
      </c>
      <c r="F348">
        <v>467196.44799999997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-0.672597864768683</v>
      </c>
      <c r="Q348">
        <f t="shared" si="970"/>
        <v>-314235.33335231303</v>
      </c>
      <c r="R348">
        <f t="shared" si="971"/>
        <v>-1145096.3851294685</v>
      </c>
      <c r="S348">
        <f t="shared" si="972"/>
        <v>-11.450963851294684</v>
      </c>
      <c r="T348">
        <f t="shared" si="973"/>
        <v>-1.1450963851294684E-2</v>
      </c>
    </row>
    <row r="349" spans="1:20" x14ac:dyDescent="0.25">
      <c r="A349" s="5">
        <v>44244</v>
      </c>
      <c r="B349">
        <v>7.1420000000000003</v>
      </c>
      <c r="C349">
        <v>15</v>
      </c>
      <c r="D349">
        <v>6.5</v>
      </c>
      <c r="E349">
        <v>10.355</v>
      </c>
      <c r="F349">
        <v>881461.99800000002</v>
      </c>
      <c r="G349">
        <v>0</v>
      </c>
      <c r="L349" t="s">
        <v>7</v>
      </c>
      <c r="M349" t="s">
        <v>7</v>
      </c>
      <c r="N349" t="s">
        <v>7</v>
      </c>
      <c r="P349">
        <f t="shared" si="969"/>
        <v>-9.2941176470588138E-2</v>
      </c>
      <c r="Q349">
        <f t="shared" si="970"/>
        <v>-81924.115108235215</v>
      </c>
      <c r="R349">
        <f t="shared" si="971"/>
        <v>-830861.0517771556</v>
      </c>
      <c r="S349">
        <f t="shared" si="972"/>
        <v>-8.3086105177715552</v>
      </c>
      <c r="T349">
        <f t="shared" si="973"/>
        <v>-8.3086105177715558E-3</v>
      </c>
    </row>
    <row r="350" spans="1:20" x14ac:dyDescent="0.25">
      <c r="A350" s="5">
        <v>44243</v>
      </c>
      <c r="B350">
        <v>7.4619999999999997</v>
      </c>
      <c r="C350">
        <v>8.1750000000000007</v>
      </c>
      <c r="D350">
        <v>6.8449999999999998</v>
      </c>
      <c r="E350">
        <v>7.1429999999999998</v>
      </c>
      <c r="F350">
        <v>261521.995</v>
      </c>
      <c r="G350">
        <v>0</v>
      </c>
      <c r="L350" t="s">
        <v>7</v>
      </c>
      <c r="M350" t="s">
        <v>7</v>
      </c>
      <c r="N350" t="s">
        <v>7</v>
      </c>
      <c r="P350">
        <f t="shared" si="969"/>
        <v>-0.55187969924812053</v>
      </c>
      <c r="Q350">
        <f t="shared" si="970"/>
        <v>-144328.67994736848</v>
      </c>
      <c r="R350">
        <f t="shared" si="971"/>
        <v>-748936.93666892033</v>
      </c>
      <c r="S350">
        <f t="shared" si="972"/>
        <v>-7.4893693666892034</v>
      </c>
      <c r="T350">
        <f t="shared" si="973"/>
        <v>-7.4893693666892034E-3</v>
      </c>
    </row>
    <row r="351" spans="1:20" x14ac:dyDescent="0.25">
      <c r="A351" s="5">
        <v>44242</v>
      </c>
      <c r="B351">
        <v>7.73</v>
      </c>
      <c r="C351">
        <v>8.9659999999999993</v>
      </c>
      <c r="D351">
        <v>7.12</v>
      </c>
      <c r="E351">
        <v>7.4589999999999996</v>
      </c>
      <c r="F351">
        <v>242080.073</v>
      </c>
      <c r="G351">
        <v>0</v>
      </c>
      <c r="L351" t="s">
        <v>8</v>
      </c>
      <c r="M351" t="s">
        <v>8</v>
      </c>
      <c r="N351" t="s">
        <v>7</v>
      </c>
      <c r="P351">
        <f t="shared" si="969"/>
        <v>-0.63271939328277393</v>
      </c>
      <c r="Q351">
        <f t="shared" si="970"/>
        <v>-153168.75691440963</v>
      </c>
      <c r="R351">
        <f t="shared" si="971"/>
        <v>-604608.25672155188</v>
      </c>
      <c r="S351">
        <f t="shared" si="972"/>
        <v>-6.0460825672155192</v>
      </c>
      <c r="T351">
        <f t="shared" si="973"/>
        <v>-6.0460825672155188E-3</v>
      </c>
    </row>
    <row r="352" spans="1:20" x14ac:dyDescent="0.25">
      <c r="A352" s="5">
        <v>44241</v>
      </c>
      <c r="B352">
        <v>8.9250000000000007</v>
      </c>
      <c r="C352">
        <v>9.0739999999999998</v>
      </c>
      <c r="D352">
        <v>7</v>
      </c>
      <c r="E352">
        <v>7.7240000000000002</v>
      </c>
      <c r="F352">
        <v>202159.27100000001</v>
      </c>
      <c r="G352">
        <v>0</v>
      </c>
      <c r="L352" t="s">
        <v>7</v>
      </c>
      <c r="M352" t="s">
        <v>7</v>
      </c>
      <c r="N352" t="s">
        <v>7</v>
      </c>
      <c r="P352">
        <f t="shared" si="969"/>
        <v>-0.3018322082931531</v>
      </c>
      <c r="Q352">
        <f t="shared" si="970"/>
        <v>-61018.179192863987</v>
      </c>
      <c r="R352">
        <f t="shared" si="971"/>
        <v>-451439.49980714225</v>
      </c>
      <c r="S352">
        <f t="shared" si="972"/>
        <v>-4.5143949980714222</v>
      </c>
      <c r="T352">
        <f t="shared" si="973"/>
        <v>-4.5143949980714221E-3</v>
      </c>
    </row>
    <row r="353" spans="1:20" x14ac:dyDescent="0.25">
      <c r="A353" s="5">
        <v>44240</v>
      </c>
      <c r="B353">
        <v>8.5020000000000007</v>
      </c>
      <c r="C353">
        <v>11.99</v>
      </c>
      <c r="D353">
        <v>7.4989999999999997</v>
      </c>
      <c r="E353">
        <v>8.8629999999999995</v>
      </c>
      <c r="F353">
        <v>322881.33500000002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-0.39256290358494778</v>
      </c>
      <c r="Q353">
        <f t="shared" si="970"/>
        <v>-126751.23438098423</v>
      </c>
      <c r="R353">
        <f t="shared" si="971"/>
        <v>-390421.32061427826</v>
      </c>
      <c r="S353">
        <f t="shared" si="972"/>
        <v>-3.9042132061427828</v>
      </c>
      <c r="T353">
        <f t="shared" si="973"/>
        <v>-3.9042132061427827E-3</v>
      </c>
    </row>
    <row r="354" spans="1:20" x14ac:dyDescent="0.25">
      <c r="A354" s="5">
        <v>44239</v>
      </c>
      <c r="B354">
        <v>6.7560000000000002</v>
      </c>
      <c r="C354">
        <v>8.5079999999999991</v>
      </c>
      <c r="D354">
        <v>6.4</v>
      </c>
      <c r="E354">
        <v>8.5050000000000008</v>
      </c>
      <c r="F354">
        <v>301625.38500000001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0.99715370018975491</v>
      </c>
      <c r="Q354">
        <f t="shared" si="970"/>
        <v>300766.86872390943</v>
      </c>
      <c r="R354">
        <f t="shared" si="971"/>
        <v>-263670.08623329405</v>
      </c>
      <c r="S354">
        <f t="shared" si="972"/>
        <v>-2.6367008623329404</v>
      </c>
      <c r="T354">
        <f t="shared" si="973"/>
        <v>-2.6367008623329404E-3</v>
      </c>
    </row>
    <row r="355" spans="1:20" x14ac:dyDescent="0.25">
      <c r="A355" s="5">
        <v>44238</v>
      </c>
      <c r="B355">
        <v>5.6440000000000001</v>
      </c>
      <c r="C355">
        <v>7.0919999999999996</v>
      </c>
      <c r="D355">
        <v>4.9400000000000004</v>
      </c>
      <c r="E355">
        <v>6.7539999999999996</v>
      </c>
      <c r="F355">
        <v>277026.54599999997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0.68587360594795521</v>
      </c>
      <c r="Q355">
        <f t="shared" si="970"/>
        <v>190005.19604832708</v>
      </c>
      <c r="R355">
        <f t="shared" si="971"/>
        <v>-564436.95495720347</v>
      </c>
      <c r="S355">
        <f t="shared" si="972"/>
        <v>-5.6443695495720352</v>
      </c>
      <c r="T355">
        <f t="shared" si="973"/>
        <v>-5.6443695495720352E-3</v>
      </c>
    </row>
    <row r="356" spans="1:20" x14ac:dyDescent="0.25">
      <c r="A356" s="5">
        <v>44237</v>
      </c>
      <c r="B356">
        <v>4.8019999999999996</v>
      </c>
      <c r="C356">
        <v>5.9880000000000004</v>
      </c>
      <c r="D356">
        <v>4.2699999999999996</v>
      </c>
      <c r="E356">
        <v>5.6260000000000003</v>
      </c>
      <c r="F356">
        <v>303099.386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0.57857974388824218</v>
      </c>
      <c r="Q356">
        <f t="shared" si="970"/>
        <v>175367.16512456347</v>
      </c>
      <c r="R356">
        <f t="shared" si="971"/>
        <v>-754442.15100553061</v>
      </c>
      <c r="S356">
        <f t="shared" si="972"/>
        <v>-7.5444215100553063</v>
      </c>
      <c r="T356">
        <f t="shared" si="973"/>
        <v>-7.5444215100553061E-3</v>
      </c>
    </row>
    <row r="357" spans="1:20" x14ac:dyDescent="0.25">
      <c r="A357" s="5">
        <v>44236</v>
      </c>
      <c r="B357">
        <v>4.2629999999999999</v>
      </c>
      <c r="C357">
        <v>4.99</v>
      </c>
      <c r="D357">
        <v>4.22</v>
      </c>
      <c r="E357">
        <v>4.8</v>
      </c>
      <c r="F357">
        <v>232609.052</v>
      </c>
      <c r="G357">
        <v>0</v>
      </c>
      <c r="L357" t="s">
        <v>8</v>
      </c>
      <c r="M357" t="s">
        <v>8</v>
      </c>
      <c r="N357" t="s">
        <v>7</v>
      </c>
      <c r="P357">
        <f t="shared" si="969"/>
        <v>0.50649350649350577</v>
      </c>
      <c r="Q357">
        <f t="shared" si="970"/>
        <v>117814.97438961022</v>
      </c>
      <c r="R357">
        <f t="shared" si="971"/>
        <v>-929809.31613009411</v>
      </c>
      <c r="S357">
        <f t="shared" si="972"/>
        <v>-9.2980931613009403</v>
      </c>
      <c r="T357">
        <f t="shared" si="973"/>
        <v>-9.2980931613009399E-3</v>
      </c>
    </row>
    <row r="358" spans="1:20" x14ac:dyDescent="0.25">
      <c r="A358" s="5">
        <v>44235</v>
      </c>
      <c r="B358">
        <v>4.093</v>
      </c>
      <c r="C358">
        <v>4.5999999999999996</v>
      </c>
      <c r="D358">
        <v>4</v>
      </c>
      <c r="E358">
        <v>4.25</v>
      </c>
      <c r="F358">
        <v>180825.58</v>
      </c>
      <c r="G358">
        <v>0</v>
      </c>
      <c r="L358" t="s">
        <v>8</v>
      </c>
      <c r="M358" t="s">
        <v>7</v>
      </c>
      <c r="N358" t="s">
        <v>7</v>
      </c>
      <c r="P358">
        <f t="shared" si="969"/>
        <v>-0.16666666666666619</v>
      </c>
      <c r="Q358">
        <f t="shared" si="970"/>
        <v>-30137.596666666577</v>
      </c>
      <c r="R358">
        <f t="shared" si="971"/>
        <v>-1047624.2905197043</v>
      </c>
      <c r="S358">
        <f t="shared" si="972"/>
        <v>-10.476242905197044</v>
      </c>
      <c r="T358">
        <f t="shared" si="973"/>
        <v>-1.0476242905197044E-2</v>
      </c>
    </row>
    <row r="359" spans="1:20" x14ac:dyDescent="0.25">
      <c r="A359" s="5">
        <v>44234</v>
      </c>
      <c r="B359">
        <v>4.28</v>
      </c>
      <c r="C359">
        <v>4.3019999999999996</v>
      </c>
      <c r="D359">
        <v>3.9820000000000002</v>
      </c>
      <c r="E359">
        <v>4.0949999999999998</v>
      </c>
      <c r="F359">
        <v>168571.34400000001</v>
      </c>
      <c r="G359">
        <v>0</v>
      </c>
      <c r="L359" t="s">
        <v>7</v>
      </c>
      <c r="M359" t="s">
        <v>7</v>
      </c>
      <c r="N359" t="s">
        <v>7</v>
      </c>
      <c r="P359">
        <f t="shared" si="969"/>
        <v>-0.29375000000000151</v>
      </c>
      <c r="Q359">
        <f t="shared" si="970"/>
        <v>-49517.832300000257</v>
      </c>
      <c r="R359">
        <f t="shared" si="971"/>
        <v>-1017486.6938530378</v>
      </c>
      <c r="S359">
        <f t="shared" si="972"/>
        <v>-10.174866938530378</v>
      </c>
      <c r="T359">
        <f t="shared" si="973"/>
        <v>-1.0174866938530378E-2</v>
      </c>
    </row>
    <row r="360" spans="1:20" x14ac:dyDescent="0.25">
      <c r="A360" s="5">
        <v>44233</v>
      </c>
      <c r="B360">
        <v>4.6059999999999999</v>
      </c>
      <c r="C360">
        <v>4.617</v>
      </c>
      <c r="D360">
        <v>4.2290000000000001</v>
      </c>
      <c r="E360">
        <v>4.2670000000000003</v>
      </c>
      <c r="F360">
        <v>186474.52799999999</v>
      </c>
      <c r="G360">
        <v>0</v>
      </c>
      <c r="L360" t="s">
        <v>8</v>
      </c>
      <c r="M360" t="s">
        <v>7</v>
      </c>
      <c r="N360" t="s">
        <v>7</v>
      </c>
      <c r="P360">
        <f t="shared" si="969"/>
        <v>-0.80412371134020477</v>
      </c>
      <c r="Q360">
        <f t="shared" si="970"/>
        <v>-149948.58952577293</v>
      </c>
      <c r="R360">
        <f t="shared" si="971"/>
        <v>-967968.86155303754</v>
      </c>
      <c r="S360">
        <f t="shared" si="972"/>
        <v>-9.6796886155303756</v>
      </c>
      <c r="T360">
        <f t="shared" si="973"/>
        <v>-9.6796886155303755E-3</v>
      </c>
    </row>
    <row r="361" spans="1:20" x14ac:dyDescent="0.25">
      <c r="A361" s="5">
        <v>44232</v>
      </c>
      <c r="B361">
        <v>4.641</v>
      </c>
      <c r="C361">
        <v>4.7389999999999999</v>
      </c>
      <c r="D361">
        <v>4</v>
      </c>
      <c r="E361">
        <v>4.601</v>
      </c>
      <c r="F361">
        <v>212943.93700000001</v>
      </c>
      <c r="G361">
        <v>0</v>
      </c>
      <c r="L361" t="s">
        <v>7</v>
      </c>
      <c r="M361" t="s">
        <v>7</v>
      </c>
      <c r="N361" t="s">
        <v>7</v>
      </c>
      <c r="P361">
        <f t="shared" si="969"/>
        <v>0.62652232746955361</v>
      </c>
      <c r="Q361">
        <f t="shared" si="970"/>
        <v>133414.13102976998</v>
      </c>
      <c r="R361">
        <f t="shared" si="971"/>
        <v>-818020.27202726458</v>
      </c>
      <c r="S361">
        <f t="shared" si="972"/>
        <v>-8.1802027202726464</v>
      </c>
      <c r="T361">
        <f t="shared" si="973"/>
        <v>-8.1802027202726463E-3</v>
      </c>
    </row>
    <row r="362" spans="1:20" x14ac:dyDescent="0.25">
      <c r="A362" s="5">
        <v>44231</v>
      </c>
      <c r="B362">
        <v>4.7960000000000003</v>
      </c>
      <c r="C362">
        <v>4.8010000000000002</v>
      </c>
      <c r="D362">
        <v>4.1150000000000002</v>
      </c>
      <c r="E362">
        <v>4.6029999999999998</v>
      </c>
      <c r="F362">
        <v>216872.98800000001</v>
      </c>
      <c r="G362">
        <v>0</v>
      </c>
      <c r="L362" t="s">
        <v>7</v>
      </c>
      <c r="M362" t="s">
        <v>7</v>
      </c>
      <c r="N362" t="s">
        <v>7</v>
      </c>
      <c r="P362">
        <f t="shared" si="969"/>
        <v>0.42274052478133989</v>
      </c>
      <c r="Q362">
        <f t="shared" si="970"/>
        <v>91681.000758017239</v>
      </c>
      <c r="R362">
        <f t="shared" si="971"/>
        <v>-951434.40305703459</v>
      </c>
      <c r="S362">
        <f t="shared" si="972"/>
        <v>-9.5143440305703457</v>
      </c>
      <c r="T362">
        <f t="shared" si="973"/>
        <v>-9.5143440305703458E-3</v>
      </c>
    </row>
    <row r="363" spans="1:20" x14ac:dyDescent="0.25">
      <c r="A363" s="5">
        <v>44230</v>
      </c>
      <c r="B363">
        <v>4.4240000000000004</v>
      </c>
      <c r="C363">
        <v>4.9000000000000004</v>
      </c>
      <c r="D363">
        <v>4.3310000000000004</v>
      </c>
      <c r="E363">
        <v>4.899</v>
      </c>
      <c r="F363">
        <v>222303.712</v>
      </c>
      <c r="G363">
        <v>0</v>
      </c>
      <c r="L363" t="s">
        <v>8</v>
      </c>
      <c r="M363" t="s">
        <v>8</v>
      </c>
      <c r="N363" t="s">
        <v>7</v>
      </c>
      <c r="P363">
        <f t="shared" si="969"/>
        <v>0.99648506151142235</v>
      </c>
      <c r="Q363">
        <f t="shared" si="970"/>
        <v>221522.32812653753</v>
      </c>
      <c r="R363">
        <f t="shared" si="971"/>
        <v>-1043115.4038150519</v>
      </c>
      <c r="S363">
        <f t="shared" si="972"/>
        <v>-10.431154038150519</v>
      </c>
      <c r="T363">
        <f t="shared" si="973"/>
        <v>-1.0431154038150519E-2</v>
      </c>
    </row>
    <row r="364" spans="1:20" x14ac:dyDescent="0.25">
      <c r="A364" s="5">
        <v>44229</v>
      </c>
      <c r="B364">
        <v>4.4210000000000003</v>
      </c>
      <c r="C364">
        <v>4.7530000000000001</v>
      </c>
      <c r="D364">
        <v>4.101</v>
      </c>
      <c r="E364">
        <v>4.4219999999999997</v>
      </c>
      <c r="F364">
        <v>393405.84100000001</v>
      </c>
      <c r="G364">
        <v>0</v>
      </c>
      <c r="L364" t="s">
        <v>8</v>
      </c>
      <c r="M364" t="s">
        <v>8</v>
      </c>
      <c r="N364" t="s">
        <v>7</v>
      </c>
      <c r="P364">
        <f t="shared" si="969"/>
        <v>-1.5337423312884468E-2</v>
      </c>
      <c r="Q364">
        <f t="shared" si="970"/>
        <v>-6033.8319171783205</v>
      </c>
      <c r="R364">
        <f t="shared" si="971"/>
        <v>-1264637.7319415894</v>
      </c>
      <c r="S364">
        <f t="shared" si="972"/>
        <v>-12.646377319415894</v>
      </c>
      <c r="T364">
        <f t="shared" si="973"/>
        <v>-1.2646377319415893E-2</v>
      </c>
    </row>
    <row r="365" spans="1:20" x14ac:dyDescent="0.25">
      <c r="A365" s="5">
        <v>44228</v>
      </c>
      <c r="B365">
        <v>3.8340000000000001</v>
      </c>
      <c r="C365">
        <v>4.6180000000000003</v>
      </c>
      <c r="D365">
        <v>3.7120000000000002</v>
      </c>
      <c r="E365">
        <v>4.4189999999999996</v>
      </c>
      <c r="F365">
        <v>420262.97499999998</v>
      </c>
      <c r="G365">
        <v>0</v>
      </c>
      <c r="L365" t="s">
        <v>8</v>
      </c>
      <c r="M365" t="s">
        <v>8</v>
      </c>
      <c r="N365" t="s">
        <v>7</v>
      </c>
      <c r="P365">
        <f t="shared" si="969"/>
        <v>0.56070640176600284</v>
      </c>
      <c r="Q365">
        <f t="shared" si="970"/>
        <v>235644.14050772559</v>
      </c>
      <c r="R365">
        <f t="shared" si="971"/>
        <v>-1258603.900024411</v>
      </c>
      <c r="S365">
        <f t="shared" si="972"/>
        <v>-12.58603900024411</v>
      </c>
      <c r="T365">
        <f t="shared" si="973"/>
        <v>-1.2586039000244111E-2</v>
      </c>
    </row>
    <row r="366" spans="1:20" x14ac:dyDescent="0.25">
      <c r="A366" s="5">
        <v>44227</v>
      </c>
      <c r="B366">
        <v>3.8050000000000002</v>
      </c>
      <c r="C366">
        <v>4.2990000000000004</v>
      </c>
      <c r="D366">
        <v>3.62</v>
      </c>
      <c r="E366">
        <v>3.85</v>
      </c>
      <c r="F366">
        <v>228340.88099999999</v>
      </c>
      <c r="G366">
        <v>0</v>
      </c>
      <c r="L366" t="s">
        <v>7</v>
      </c>
      <c r="M366" t="s">
        <v>7</v>
      </c>
      <c r="N366" t="s">
        <v>7</v>
      </c>
      <c r="P366">
        <f t="shared" si="969"/>
        <v>-0.32253313696612695</v>
      </c>
      <c r="Q366">
        <f t="shared" si="970"/>
        <v>-73647.500646539091</v>
      </c>
      <c r="R366">
        <f t="shared" si="971"/>
        <v>-1494248.0405321366</v>
      </c>
      <c r="S366">
        <f t="shared" si="972"/>
        <v>-14.942480405321366</v>
      </c>
      <c r="T366">
        <f t="shared" si="973"/>
        <v>-1.4942480405321366E-2</v>
      </c>
    </row>
    <row r="367" spans="1:20" x14ac:dyDescent="0.25">
      <c r="A367" s="5">
        <v>44226</v>
      </c>
      <c r="B367">
        <v>3.8290000000000002</v>
      </c>
      <c r="C367">
        <v>4.3</v>
      </c>
      <c r="D367">
        <v>3.7360000000000002</v>
      </c>
      <c r="E367">
        <v>3.7810000000000001</v>
      </c>
      <c r="F367">
        <v>100570.095</v>
      </c>
      <c r="G367">
        <v>0</v>
      </c>
      <c r="L367" t="s">
        <v>8</v>
      </c>
      <c r="M367" t="s">
        <v>7</v>
      </c>
      <c r="N367" t="s">
        <v>7</v>
      </c>
      <c r="P367">
        <f t="shared" si="969"/>
        <v>-0.84042553191489378</v>
      </c>
      <c r="Q367">
        <f t="shared" si="970"/>
        <v>-84521.675585106394</v>
      </c>
      <c r="R367">
        <f t="shared" si="971"/>
        <v>-1420600.5398855975</v>
      </c>
      <c r="S367">
        <f t="shared" si="972"/>
        <v>-14.206005398855975</v>
      </c>
      <c r="T367">
        <f t="shared" si="973"/>
        <v>-1.4206005398855975E-2</v>
      </c>
    </row>
    <row r="368" spans="1:20" x14ac:dyDescent="0.25">
      <c r="A368" s="5">
        <v>44225</v>
      </c>
      <c r="B368">
        <v>4.0949999999999998</v>
      </c>
      <c r="C368">
        <v>4.1870000000000003</v>
      </c>
      <c r="D368">
        <v>3.702</v>
      </c>
      <c r="E368">
        <v>3.798</v>
      </c>
      <c r="F368">
        <v>91676.331000000006</v>
      </c>
      <c r="G368">
        <v>0</v>
      </c>
      <c r="L368" t="s">
        <v>8</v>
      </c>
      <c r="M368" t="s">
        <v>7</v>
      </c>
      <c r="N368" t="s">
        <v>7</v>
      </c>
      <c r="P368">
        <f t="shared" si="969"/>
        <v>-0.60412371134020615</v>
      </c>
      <c r="Q368">
        <f t="shared" si="970"/>
        <v>-55383.845325773196</v>
      </c>
      <c r="R368">
        <f t="shared" si="971"/>
        <v>-1336078.8643004911</v>
      </c>
      <c r="S368">
        <f t="shared" si="972"/>
        <v>-13.360788643004911</v>
      </c>
      <c r="T368">
        <f t="shared" si="973"/>
        <v>-1.3360788643004912E-2</v>
      </c>
    </row>
    <row r="369" spans="1:20" x14ac:dyDescent="0.25">
      <c r="A369" s="5">
        <v>44224</v>
      </c>
      <c r="B369">
        <v>3.7839999999999998</v>
      </c>
      <c r="C369">
        <v>4.1479999999999997</v>
      </c>
      <c r="D369">
        <v>3.7210000000000001</v>
      </c>
      <c r="E369">
        <v>4.0960000000000001</v>
      </c>
      <c r="F369">
        <v>152287.533</v>
      </c>
      <c r="G369">
        <v>0</v>
      </c>
      <c r="L369" t="s">
        <v>8</v>
      </c>
      <c r="M369" t="s">
        <v>7</v>
      </c>
      <c r="N369" t="s">
        <v>7</v>
      </c>
      <c r="P369">
        <f t="shared" si="969"/>
        <v>0.75644028103044658</v>
      </c>
      <c r="Q369">
        <f t="shared" si="970"/>
        <v>115196.4242599534</v>
      </c>
      <c r="R369">
        <f t="shared" si="971"/>
        <v>-1280695.0189747179</v>
      </c>
      <c r="S369">
        <f t="shared" si="972"/>
        <v>-12.80695018974718</v>
      </c>
      <c r="T369">
        <f t="shared" si="973"/>
        <v>-1.2806950189747181E-2</v>
      </c>
    </row>
    <row r="370" spans="1:20" x14ac:dyDescent="0.25">
      <c r="A370" s="5">
        <v>44223</v>
      </c>
      <c r="B370">
        <v>4.1779999999999999</v>
      </c>
      <c r="C370">
        <v>4.2220000000000004</v>
      </c>
      <c r="D370">
        <v>3.5739999999999998</v>
      </c>
      <c r="E370">
        <v>3.786</v>
      </c>
      <c r="F370">
        <v>194730.837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-0.34567901234567899</v>
      </c>
      <c r="Q370">
        <f t="shared" si="970"/>
        <v>-67314.363407407407</v>
      </c>
      <c r="R370">
        <f t="shared" si="971"/>
        <v>-1395891.4432346714</v>
      </c>
      <c r="S370">
        <f t="shared" si="972"/>
        <v>-13.958914432346713</v>
      </c>
      <c r="T370">
        <f t="shared" si="973"/>
        <v>-1.3958914432346713E-2</v>
      </c>
    </row>
    <row r="371" spans="1:20" x14ac:dyDescent="0.25">
      <c r="A371" s="5">
        <v>44222</v>
      </c>
      <c r="B371">
        <v>4.4930000000000003</v>
      </c>
      <c r="C371">
        <v>4.66</v>
      </c>
      <c r="D371">
        <v>4.0609999999999999</v>
      </c>
      <c r="E371">
        <v>4.1760000000000002</v>
      </c>
      <c r="F371">
        <v>306805.25400000002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-0.61602671118530827</v>
      </c>
      <c r="Q371">
        <f t="shared" si="970"/>
        <v>-189000.23159599316</v>
      </c>
      <c r="R371">
        <f t="shared" si="971"/>
        <v>-1328577.079827264</v>
      </c>
      <c r="S371">
        <f t="shared" si="972"/>
        <v>-13.28577079827264</v>
      </c>
      <c r="T371">
        <f t="shared" si="973"/>
        <v>-1.328577079827264E-2</v>
      </c>
    </row>
    <row r="372" spans="1:20" x14ac:dyDescent="0.25">
      <c r="A372" s="5">
        <v>44221</v>
      </c>
      <c r="B372">
        <v>4.7690000000000001</v>
      </c>
      <c r="C372">
        <v>5.1959999999999997</v>
      </c>
      <c r="D372">
        <v>4.41</v>
      </c>
      <c r="E372">
        <v>4.4930000000000003</v>
      </c>
      <c r="F372">
        <v>293852.19099999999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-0.78880407124681873</v>
      </c>
      <c r="Q372">
        <f t="shared" si="970"/>
        <v>-231791.80460559778</v>
      </c>
      <c r="R372">
        <f t="shared" si="971"/>
        <v>-1139576.8482312707</v>
      </c>
      <c r="S372">
        <f t="shared" si="972"/>
        <v>-11.395768482312707</v>
      </c>
      <c r="T372">
        <f t="shared" si="973"/>
        <v>-1.1395768482312708E-2</v>
      </c>
    </row>
    <row r="373" spans="1:20" x14ac:dyDescent="0.25">
      <c r="A373" s="5">
        <v>44220</v>
      </c>
      <c r="B373">
        <v>4.476</v>
      </c>
      <c r="C373">
        <v>4.8</v>
      </c>
      <c r="D373">
        <v>4.4000000000000004</v>
      </c>
      <c r="E373">
        <v>4.76</v>
      </c>
      <c r="F373">
        <v>202791.68700000001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0.7999999999999996</v>
      </c>
      <c r="Q373">
        <f t="shared" si="970"/>
        <v>162233.34959999993</v>
      </c>
      <c r="R373">
        <f t="shared" si="971"/>
        <v>-907785.04362567293</v>
      </c>
      <c r="S373">
        <f t="shared" si="972"/>
        <v>-9.07785043625673</v>
      </c>
      <c r="T373">
        <f t="shared" si="973"/>
        <v>-9.0778504362567305E-3</v>
      </c>
    </row>
    <row r="374" spans="1:20" x14ac:dyDescent="0.25">
      <c r="A374" s="5">
        <v>44219</v>
      </c>
      <c r="B374">
        <v>4.4290000000000003</v>
      </c>
      <c r="C374">
        <v>4.67</v>
      </c>
      <c r="D374">
        <v>4.2300000000000004</v>
      </c>
      <c r="E374">
        <v>4.476</v>
      </c>
      <c r="F374">
        <v>219535.413</v>
      </c>
      <c r="G374">
        <v>0</v>
      </c>
      <c r="L374" t="s">
        <v>7</v>
      </c>
      <c r="M374" t="s">
        <v>8</v>
      </c>
      <c r="N374" t="s">
        <v>8</v>
      </c>
      <c r="P374">
        <f t="shared" si="969"/>
        <v>0.11818181818181742</v>
      </c>
      <c r="Q374">
        <f t="shared" si="970"/>
        <v>25945.094263636194</v>
      </c>
      <c r="R374">
        <f t="shared" si="971"/>
        <v>-1070018.3932256729</v>
      </c>
      <c r="S374">
        <f t="shared" si="972"/>
        <v>-10.70018393225673</v>
      </c>
      <c r="T374">
        <f t="shared" si="973"/>
        <v>-1.070018393225673E-2</v>
      </c>
    </row>
    <row r="375" spans="1:20" x14ac:dyDescent="0.25">
      <c r="A375" s="5">
        <v>44218</v>
      </c>
      <c r="B375">
        <v>4.4809999999999999</v>
      </c>
      <c r="C375">
        <v>4.74</v>
      </c>
      <c r="D375">
        <v>4.2300000000000004</v>
      </c>
      <c r="E375">
        <v>4.4169999999999998</v>
      </c>
      <c r="F375">
        <v>233525.81200000001</v>
      </c>
      <c r="G375">
        <v>0</v>
      </c>
      <c r="L375" t="s">
        <v>8</v>
      </c>
      <c r="M375" t="s">
        <v>8</v>
      </c>
      <c r="N375" t="s">
        <v>8</v>
      </c>
      <c r="P375">
        <f t="shared" si="969"/>
        <v>-0.26666666666666877</v>
      </c>
      <c r="Q375">
        <f t="shared" si="970"/>
        <v>-62273.549866667163</v>
      </c>
      <c r="R375">
        <f t="shared" si="971"/>
        <v>-1095963.4874893092</v>
      </c>
      <c r="S375">
        <f t="shared" si="972"/>
        <v>-10.959634874893091</v>
      </c>
      <c r="T375">
        <f t="shared" si="973"/>
        <v>-1.0959634874893091E-2</v>
      </c>
    </row>
    <row r="376" spans="1:20" x14ac:dyDescent="0.25">
      <c r="A376" s="5">
        <v>44217</v>
      </c>
      <c r="B376">
        <v>5.44</v>
      </c>
      <c r="C376">
        <v>8.4</v>
      </c>
      <c r="D376">
        <v>4.0010000000000003</v>
      </c>
      <c r="E376">
        <v>4.4989999999999997</v>
      </c>
      <c r="F376">
        <v>1336233.334</v>
      </c>
      <c r="G376">
        <v>0</v>
      </c>
      <c r="P376">
        <f t="shared" si="969"/>
        <v>-0.77358490566037763</v>
      </c>
      <c r="Q376">
        <f t="shared" si="970"/>
        <v>-1033689.9376226419</v>
      </c>
      <c r="R376">
        <f t="shared" si="971"/>
        <v>-1033689.9376226419</v>
      </c>
      <c r="S376">
        <f t="shared" si="972"/>
        <v>-10.33689937622642</v>
      </c>
      <c r="T376">
        <f t="shared" si="973"/>
        <v>-1.033689937622642E-2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FV496" sqref="FV496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$A$495</v>
      </c>
      <c r="D111" s="1" t="str">
        <f>ADDRESS(C121-1,D121,1,1)</f>
        <v>$FV$495</v>
      </c>
      <c r="E111"/>
    </row>
    <row r="112" spans="1:5" x14ac:dyDescent="0.25">
      <c r="A112" s="7">
        <v>12164.144957890772</v>
      </c>
      <c r="C112" s="1" t="str">
        <f>ADDRESS(C121,1,1,1)</f>
        <v>$A$496</v>
      </c>
      <c r="D112" s="1" t="str">
        <f>ADDRESS(C121,D121-1,1,1)</f>
        <v>$FU$496</v>
      </c>
      <c r="E112"/>
    </row>
    <row r="113" spans="1:5" x14ac:dyDescent="0.25">
      <c r="A113" s="7">
        <v>11925.63231165762</v>
      </c>
      <c r="C113" s="1" t="str">
        <f>ADDRESS(C121+1,1,1,1)</f>
        <v>$A$497</v>
      </c>
      <c r="D113" s="1" t="str">
        <f>ADDRESS(C121-1,D121+1,1,1)</f>
        <v>$FW$495</v>
      </c>
    </row>
    <row r="114" spans="1:5" x14ac:dyDescent="0.25">
      <c r="A114" s="7">
        <v>11691.796383978059</v>
      </c>
      <c r="C114" s="1" t="str">
        <f>ADDRESS(C121,D121,1,1)</f>
        <v>$FV$496</v>
      </c>
      <c r="D114" s="1" t="str">
        <f>ADDRESS(C121+1,D121+1,1,1)</f>
        <v>$FW$497</v>
      </c>
    </row>
    <row r="115" spans="1:5" x14ac:dyDescent="0.25">
      <c r="A115" s="7">
        <v>11462.545474488292</v>
      </c>
      <c r="C115" s="1" t="str">
        <f>ADDRESS(C121+1,D121,1,1)</f>
        <v>$FV$497</v>
      </c>
    </row>
    <row r="116" spans="1:5" x14ac:dyDescent="0.25">
      <c r="A116" s="7">
        <v>11237.789680870874</v>
      </c>
      <c r="C116" s="1">
        <f>C117-1</f>
        <v>495</v>
      </c>
    </row>
    <row r="117" spans="1:5" x14ac:dyDescent="0.25">
      <c r="A117" s="7">
        <v>11017.440863598895</v>
      </c>
      <c r="C117" s="1">
        <f>C121</f>
        <v>496</v>
      </c>
      <c r="D117" s="1">
        <f>D121</f>
        <v>178</v>
      </c>
    </row>
    <row r="118" spans="1:5" x14ac:dyDescent="0.25">
      <c r="A118" s="7">
        <v>10801.412611371465</v>
      </c>
      <c r="C118" s="1">
        <f>C117+1</f>
        <v>497</v>
      </c>
      <c r="D118" s="1">
        <f>D117+1</f>
        <v>179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496</v>
      </c>
      <c r="D121" s="19">
        <v>178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R496</v>
      </c>
      <c r="D123" s="1" t="str">
        <f>"C"&amp;D121</f>
        <v>C178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6.0619957888315641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92" x14ac:dyDescent="0.25">
      <c r="A401" s="7">
        <v>39.776992891402749</v>
      </c>
      <c r="B401"/>
      <c r="C401"/>
      <c r="D401"/>
      <c r="E401"/>
    </row>
    <row r="402" spans="1:92" x14ac:dyDescent="0.25">
      <c r="A402" s="7">
        <v>38.997051854316418</v>
      </c>
      <c r="B402"/>
      <c r="C402"/>
      <c r="D402"/>
      <c r="E402"/>
    </row>
    <row r="403" spans="1:92" x14ac:dyDescent="0.25">
      <c r="A403" s="7">
        <v>38.232403778741585</v>
      </c>
      <c r="B403"/>
      <c r="C403"/>
      <c r="D403"/>
      <c r="E403"/>
    </row>
    <row r="404" spans="1:92" x14ac:dyDescent="0.25">
      <c r="A404" s="7">
        <v>37.48274880268783</v>
      </c>
      <c r="B404"/>
      <c r="C404"/>
      <c r="D404"/>
      <c r="E404"/>
    </row>
    <row r="405" spans="1:92" x14ac:dyDescent="0.25">
      <c r="A405" s="7">
        <v>36.747792943811596</v>
      </c>
      <c r="B405"/>
      <c r="C405"/>
      <c r="D405"/>
      <c r="E405"/>
    </row>
    <row r="406" spans="1:92" x14ac:dyDescent="0.25">
      <c r="A406" s="7">
        <v>36.027247984129012</v>
      </c>
      <c r="B406"/>
      <c r="C406"/>
      <c r="D406"/>
      <c r="E406"/>
      <c r="AG406" s="27" t="s">
        <v>8</v>
      </c>
    </row>
    <row r="407" spans="1:92" x14ac:dyDescent="0.25">
      <c r="A407" s="7">
        <v>35.320831356989224</v>
      </c>
      <c r="B407"/>
      <c r="C407"/>
      <c r="D407"/>
      <c r="E407"/>
      <c r="AG407" s="27" t="s">
        <v>8</v>
      </c>
      <c r="AH407" s="27" t="s">
        <v>7</v>
      </c>
    </row>
    <row r="408" spans="1:92" x14ac:dyDescent="0.25">
      <c r="A408" s="7">
        <v>34.628266036263945</v>
      </c>
      <c r="B408"/>
      <c r="C408"/>
      <c r="D408"/>
      <c r="E408"/>
      <c r="AC408" s="27" t="s">
        <v>8</v>
      </c>
      <c r="AG408" s="27" t="s">
        <v>8</v>
      </c>
      <c r="AH408" s="27" t="s">
        <v>7</v>
      </c>
    </row>
    <row r="409" spans="1:92" x14ac:dyDescent="0.25">
      <c r="A409" s="7">
        <v>33.949280427709752</v>
      </c>
      <c r="B409"/>
      <c r="C409"/>
      <c r="D409"/>
      <c r="E409"/>
      <c r="AC409" s="27" t="s">
        <v>8</v>
      </c>
      <c r="AD409" s="27" t="s">
        <v>7</v>
      </c>
      <c r="AG409" s="27" t="s">
        <v>8</v>
      </c>
      <c r="AH409" s="27" t="s">
        <v>7</v>
      </c>
    </row>
    <row r="410" spans="1:92" x14ac:dyDescent="0.25">
      <c r="A410" s="7">
        <v>33.28360826246054</v>
      </c>
      <c r="B410"/>
      <c r="C410"/>
      <c r="D410"/>
      <c r="E410"/>
      <c r="AC410" s="27" t="s">
        <v>8</v>
      </c>
      <c r="AD410" s="27" t="s">
        <v>7</v>
      </c>
      <c r="AG410" s="27" t="s">
        <v>8</v>
      </c>
      <c r="AH410" s="27" t="s">
        <v>7</v>
      </c>
    </row>
    <row r="411" spans="1:92" x14ac:dyDescent="0.25">
      <c r="A411" s="7">
        <v>32.630988492608374</v>
      </c>
      <c r="B411"/>
      <c r="C411"/>
      <c r="D411"/>
      <c r="E411"/>
      <c r="AC411" s="27" t="s">
        <v>8</v>
      </c>
      <c r="AD411" s="27" t="s">
        <v>7</v>
      </c>
      <c r="AG411" s="27" t="s">
        <v>8</v>
      </c>
      <c r="AH411" s="27" t="s">
        <v>7</v>
      </c>
      <c r="CM411" s="27" t="s">
        <v>8</v>
      </c>
    </row>
    <row r="412" spans="1:92" x14ac:dyDescent="0.25">
      <c r="A412" s="7">
        <v>31.99116518883174</v>
      </c>
      <c r="B412"/>
      <c r="C412"/>
      <c r="D412"/>
      <c r="E412"/>
      <c r="AC412" s="27" t="s">
        <v>8</v>
      </c>
      <c r="AD412" s="27" t="s">
        <v>7</v>
      </c>
      <c r="AG412" s="27" t="s">
        <v>8</v>
      </c>
      <c r="AH412" s="27" t="s">
        <v>7</v>
      </c>
      <c r="CM412" s="27" t="s">
        <v>8</v>
      </c>
      <c r="CN412" s="27" t="s">
        <v>7</v>
      </c>
    </row>
    <row r="413" spans="1:92" x14ac:dyDescent="0.25">
      <c r="A413" s="7">
        <v>31.363887440031117</v>
      </c>
      <c r="B413"/>
      <c r="C413"/>
      <c r="D413"/>
      <c r="E413"/>
      <c r="AC413" s="27" t="s">
        <v>8</v>
      </c>
      <c r="AD413" s="27" t="s">
        <v>7</v>
      </c>
      <c r="AE413" s="27" t="s">
        <v>8</v>
      </c>
      <c r="AG413" s="27" t="s">
        <v>8</v>
      </c>
      <c r="AH413" s="27" t="s">
        <v>7</v>
      </c>
      <c r="AQ413" s="27" t="s">
        <v>8</v>
      </c>
      <c r="CM413" s="27" t="s">
        <v>8</v>
      </c>
      <c r="CN413" s="27" t="s">
        <v>7</v>
      </c>
    </row>
    <row r="414" spans="1:92" x14ac:dyDescent="0.25">
      <c r="A414" s="7">
        <v>30.748909254932467</v>
      </c>
      <c r="B414"/>
      <c r="C414"/>
      <c r="D414"/>
      <c r="E414"/>
      <c r="AC414" s="27" t="s">
        <v>8</v>
      </c>
      <c r="AD414" s="27" t="s">
        <v>7</v>
      </c>
      <c r="AE414" s="27" t="s">
        <v>8</v>
      </c>
      <c r="AF414" s="27" t="s">
        <v>7</v>
      </c>
      <c r="AG414" s="27" t="s">
        <v>8</v>
      </c>
      <c r="AH414" s="27" t="s">
        <v>7</v>
      </c>
      <c r="AQ414" s="27" t="s">
        <v>8</v>
      </c>
      <c r="AR414" s="27" t="s">
        <v>7</v>
      </c>
      <c r="CM414" s="27" t="s">
        <v>8</v>
      </c>
      <c r="CN414" s="27" t="s">
        <v>7</v>
      </c>
    </row>
    <row r="415" spans="1:92" x14ac:dyDescent="0.25">
      <c r="A415" s="7">
        <v>30.145989465620065</v>
      </c>
      <c r="B415"/>
      <c r="C415"/>
      <c r="D415"/>
      <c r="E415"/>
      <c r="AC415" s="27" t="s">
        <v>8</v>
      </c>
      <c r="AD415" s="27" t="s">
        <v>7</v>
      </c>
      <c r="AE415" s="27" t="s">
        <v>8</v>
      </c>
      <c r="AF415" s="27" t="s">
        <v>7</v>
      </c>
      <c r="AG415" s="27" t="s">
        <v>8</v>
      </c>
      <c r="AH415" s="27" t="s">
        <v>7</v>
      </c>
      <c r="AQ415" s="27" t="s">
        <v>8</v>
      </c>
      <c r="AR415" s="27" t="s">
        <v>7</v>
      </c>
      <c r="CM415" s="27" t="s">
        <v>8</v>
      </c>
      <c r="CN415" s="27" t="s">
        <v>7</v>
      </c>
    </row>
    <row r="416" spans="1:92" x14ac:dyDescent="0.25">
      <c r="A416" s="7">
        <v>29.55489163296085</v>
      </c>
      <c r="B416"/>
      <c r="C416"/>
      <c r="D416"/>
      <c r="E416"/>
      <c r="AC416" s="27" t="s">
        <v>8</v>
      </c>
      <c r="AD416" s="27" t="s">
        <v>7</v>
      </c>
      <c r="AE416" s="27" t="s">
        <v>8</v>
      </c>
      <c r="AF416" s="27" t="s">
        <v>7</v>
      </c>
      <c r="AG416" s="27" t="s">
        <v>8</v>
      </c>
      <c r="AH416" s="27" t="s">
        <v>7</v>
      </c>
      <c r="AQ416" s="27" t="s">
        <v>8</v>
      </c>
      <c r="AR416" s="27" t="s">
        <v>7</v>
      </c>
      <c r="CM416" s="27" t="s">
        <v>8</v>
      </c>
      <c r="CN416" s="27" t="s">
        <v>7</v>
      </c>
    </row>
    <row r="417" spans="1:110" x14ac:dyDescent="0.25">
      <c r="A417" s="7">
        <v>28.975383953883185</v>
      </c>
      <c r="B417"/>
      <c r="C417"/>
      <c r="D417"/>
      <c r="E417"/>
      <c r="AC417" s="27" t="s">
        <v>8</v>
      </c>
      <c r="AD417" s="27" t="s">
        <v>7</v>
      </c>
      <c r="AE417" s="27" t="s">
        <v>8</v>
      </c>
      <c r="AF417" s="27" t="s">
        <v>7</v>
      </c>
      <c r="AG417" s="27" t="s">
        <v>8</v>
      </c>
      <c r="AH417" s="27" t="s">
        <v>7</v>
      </c>
      <c r="AK417" s="27" t="s">
        <v>8</v>
      </c>
      <c r="AQ417" s="27" t="s">
        <v>8</v>
      </c>
      <c r="AR417" s="27" t="s">
        <v>7</v>
      </c>
      <c r="CM417" s="27" t="s">
        <v>8</v>
      </c>
      <c r="CN417" s="27" t="s">
        <v>7</v>
      </c>
    </row>
    <row r="418" spans="1:110" x14ac:dyDescent="0.25">
      <c r="A418" s="7">
        <v>28.407239170473709</v>
      </c>
      <c r="B418"/>
      <c r="C418"/>
      <c r="D418"/>
      <c r="E418"/>
      <c r="AC418" s="27" t="s">
        <v>8</v>
      </c>
      <c r="AD418" s="27" t="s">
        <v>7</v>
      </c>
      <c r="AE418" s="27" t="s">
        <v>8</v>
      </c>
      <c r="AF418" s="27" t="s">
        <v>7</v>
      </c>
      <c r="AG418" s="27" t="s">
        <v>8</v>
      </c>
      <c r="AH418" s="27" t="s">
        <v>7</v>
      </c>
      <c r="AI418" s="27" t="s">
        <v>8</v>
      </c>
      <c r="AK418" s="27" t="s">
        <v>8</v>
      </c>
      <c r="AL418" s="27" t="s">
        <v>7</v>
      </c>
      <c r="AQ418" s="27" t="s">
        <v>8</v>
      </c>
      <c r="AR418" s="27" t="s">
        <v>7</v>
      </c>
      <c r="CM418" s="27" t="s">
        <v>8</v>
      </c>
      <c r="CN418" s="27" t="s">
        <v>7</v>
      </c>
    </row>
    <row r="419" spans="1:110" x14ac:dyDescent="0.25">
      <c r="A419" s="7">
        <v>27.850234480856578</v>
      </c>
      <c r="B419"/>
      <c r="C419"/>
      <c r="D419"/>
      <c r="E419"/>
      <c r="AC419" s="27" t="s">
        <v>8</v>
      </c>
      <c r="AD419" s="27" t="s">
        <v>7</v>
      </c>
      <c r="AE419" s="27" t="s">
        <v>8</v>
      </c>
      <c r="AF419" s="27" t="s">
        <v>7</v>
      </c>
      <c r="AG419" s="27" t="s">
        <v>8</v>
      </c>
      <c r="AH419" s="27" t="s">
        <v>7</v>
      </c>
      <c r="AI419" s="27" t="s">
        <v>8</v>
      </c>
      <c r="AJ419" s="27" t="s">
        <v>7</v>
      </c>
      <c r="AK419" s="27" t="s">
        <v>8</v>
      </c>
      <c r="AL419" s="27" t="s">
        <v>7</v>
      </c>
      <c r="AQ419" s="27" t="s">
        <v>8</v>
      </c>
      <c r="AR419" s="27" t="s">
        <v>7</v>
      </c>
      <c r="CM419" s="27" t="s">
        <v>8</v>
      </c>
      <c r="CN419" s="27" t="s">
        <v>7</v>
      </c>
    </row>
    <row r="420" spans="1:110" x14ac:dyDescent="0.25">
      <c r="A420" s="7">
        <v>27.304151451820175</v>
      </c>
      <c r="B420"/>
      <c r="C420"/>
      <c r="D420"/>
      <c r="E420"/>
      <c r="AC420" s="27" t="s">
        <v>8</v>
      </c>
      <c r="AD420" s="27" t="s">
        <v>7</v>
      </c>
      <c r="AE420" s="27" t="s">
        <v>8</v>
      </c>
      <c r="AF420" s="27" t="s">
        <v>7</v>
      </c>
      <c r="AG420" s="27" t="s">
        <v>8</v>
      </c>
      <c r="AH420" s="27" t="s">
        <v>7</v>
      </c>
      <c r="AI420" s="27" t="s">
        <v>8</v>
      </c>
      <c r="AJ420" s="27" t="s">
        <v>7</v>
      </c>
      <c r="AK420" s="27" t="s">
        <v>8</v>
      </c>
      <c r="AL420" s="27" t="s">
        <v>7</v>
      </c>
      <c r="AO420" s="27" t="s">
        <v>8</v>
      </c>
      <c r="AQ420" s="27" t="s">
        <v>8</v>
      </c>
      <c r="AR420" s="27" t="s">
        <v>7</v>
      </c>
      <c r="CM420" s="27" t="s">
        <v>8</v>
      </c>
      <c r="CN420" s="27" t="s">
        <v>7</v>
      </c>
    </row>
    <row r="421" spans="1:110" x14ac:dyDescent="0.25">
      <c r="A421" s="7">
        <v>26.768775933157034</v>
      </c>
      <c r="B421"/>
      <c r="C421"/>
      <c r="D421"/>
      <c r="E421"/>
      <c r="AC421" s="27" t="s">
        <v>8</v>
      </c>
      <c r="AD421" s="27" t="s">
        <v>7</v>
      </c>
      <c r="AE421" s="27" t="s">
        <v>8</v>
      </c>
      <c r="AF421" s="27" t="s">
        <v>7</v>
      </c>
      <c r="AG421" s="27" t="s">
        <v>8</v>
      </c>
      <c r="AH421" s="27" t="s">
        <v>7</v>
      </c>
      <c r="AI421" s="27" t="s">
        <v>8</v>
      </c>
      <c r="AJ421" s="27" t="s">
        <v>7</v>
      </c>
      <c r="AK421" s="27" t="s">
        <v>8</v>
      </c>
      <c r="AL421" s="27" t="s">
        <v>7</v>
      </c>
      <c r="AO421" s="27" t="s">
        <v>8</v>
      </c>
      <c r="AP421" s="27" t="s">
        <v>7</v>
      </c>
      <c r="AQ421" s="27" t="s">
        <v>8</v>
      </c>
      <c r="AR421" s="27" t="s">
        <v>7</v>
      </c>
      <c r="AU421" s="27" t="s">
        <v>8</v>
      </c>
      <c r="CM421" s="27" t="s">
        <v>8</v>
      </c>
      <c r="CN421" s="27" t="s">
        <v>7</v>
      </c>
    </row>
    <row r="422" spans="1:110" x14ac:dyDescent="0.25">
      <c r="A422" s="7">
        <v>26.243897973683367</v>
      </c>
      <c r="B422"/>
      <c r="C422"/>
      <c r="D422"/>
      <c r="E422"/>
      <c r="AC422" s="27" t="s">
        <v>8</v>
      </c>
      <c r="AD422" s="27" t="s">
        <v>7</v>
      </c>
      <c r="AE422" s="27" t="s">
        <v>8</v>
      </c>
      <c r="AF422" s="27" t="s">
        <v>7</v>
      </c>
      <c r="AG422" s="27" t="s">
        <v>8</v>
      </c>
      <c r="AH422" s="27" t="s">
        <v>7</v>
      </c>
      <c r="AI422" s="27" t="s">
        <v>8</v>
      </c>
      <c r="AJ422" s="27" t="s">
        <v>7</v>
      </c>
      <c r="AK422" s="27" t="s">
        <v>8</v>
      </c>
      <c r="AL422" s="27" t="s">
        <v>7</v>
      </c>
      <c r="AO422" s="27" t="s">
        <v>8</v>
      </c>
      <c r="AP422" s="27" t="s">
        <v>7</v>
      </c>
      <c r="AQ422" s="27" t="s">
        <v>8</v>
      </c>
      <c r="AR422" s="27" t="s">
        <v>7</v>
      </c>
      <c r="AS422" s="27" t="s">
        <v>8</v>
      </c>
      <c r="AU422" s="27" t="s">
        <v>8</v>
      </c>
      <c r="AV422" s="27" t="s">
        <v>7</v>
      </c>
      <c r="CM422" s="27" t="s">
        <v>8</v>
      </c>
      <c r="CN422" s="27" t="s">
        <v>7</v>
      </c>
    </row>
    <row r="423" spans="1:110" x14ac:dyDescent="0.25">
      <c r="A423" s="7">
        <v>25.729311738905263</v>
      </c>
      <c r="B423"/>
      <c r="C423"/>
      <c r="D423"/>
      <c r="E423"/>
      <c r="AC423" s="27" t="s">
        <v>8</v>
      </c>
      <c r="AD423" s="27" t="s">
        <v>7</v>
      </c>
      <c r="AE423" s="27" t="s">
        <v>8</v>
      </c>
      <c r="AF423" s="27" t="s">
        <v>7</v>
      </c>
      <c r="AG423" s="27" t="s">
        <v>8</v>
      </c>
      <c r="AH423" s="27" t="s">
        <v>7</v>
      </c>
      <c r="AJ423" s="27" t="s">
        <v>7</v>
      </c>
      <c r="AK423" s="27" t="s">
        <v>8</v>
      </c>
      <c r="AL423" s="27" t="s">
        <v>7</v>
      </c>
      <c r="AO423" s="27" t="s">
        <v>8</v>
      </c>
      <c r="AP423" s="27" t="s">
        <v>7</v>
      </c>
      <c r="AQ423" s="27" t="s">
        <v>8</v>
      </c>
      <c r="AR423" s="27" t="s">
        <v>7</v>
      </c>
      <c r="AS423" s="27" t="s">
        <v>8</v>
      </c>
      <c r="AT423" s="27" t="s">
        <v>7</v>
      </c>
      <c r="AU423" s="27" t="s">
        <v>8</v>
      </c>
      <c r="AV423" s="27" t="s">
        <v>7</v>
      </c>
      <c r="CM423" s="27" t="s">
        <v>8</v>
      </c>
      <c r="CN423" s="27" t="s">
        <v>7</v>
      </c>
    </row>
    <row r="424" spans="1:110" x14ac:dyDescent="0.25">
      <c r="A424" s="7">
        <v>25.224815430299277</v>
      </c>
      <c r="B424"/>
      <c r="C424"/>
      <c r="D424"/>
      <c r="E424"/>
      <c r="AC424" s="27" t="s">
        <v>8</v>
      </c>
      <c r="AD424" s="27" t="s">
        <v>7</v>
      </c>
      <c r="AE424" s="27" t="s">
        <v>8</v>
      </c>
      <c r="AF424" s="27" t="s">
        <v>7</v>
      </c>
      <c r="AG424" s="27" t="s">
        <v>8</v>
      </c>
      <c r="AJ424" s="27" t="s">
        <v>7</v>
      </c>
      <c r="AK424" s="27" t="s">
        <v>8</v>
      </c>
      <c r="AL424" s="27" t="s">
        <v>7</v>
      </c>
      <c r="AM424" s="27" t="s">
        <v>8</v>
      </c>
      <c r="AO424" s="27" t="s">
        <v>8</v>
      </c>
      <c r="AP424" s="27" t="s">
        <v>7</v>
      </c>
      <c r="AQ424" s="27" t="s">
        <v>8</v>
      </c>
      <c r="AR424" s="27" t="s">
        <v>7</v>
      </c>
      <c r="AS424" s="27" t="s">
        <v>8</v>
      </c>
      <c r="AT424" s="27" t="s">
        <v>7</v>
      </c>
      <c r="AU424" s="27" t="s">
        <v>8</v>
      </c>
      <c r="AV424" s="27" t="s">
        <v>7</v>
      </c>
      <c r="AY424" s="27" t="s">
        <v>8</v>
      </c>
      <c r="CM424" s="27" t="s">
        <v>8</v>
      </c>
      <c r="CN424" s="27" t="s">
        <v>7</v>
      </c>
    </row>
    <row r="425" spans="1:110" x14ac:dyDescent="0.25">
      <c r="A425" s="7">
        <v>24.73021120617576</v>
      </c>
      <c r="B425"/>
      <c r="C425"/>
      <c r="D425"/>
      <c r="E425"/>
      <c r="AC425" s="27" t="s">
        <v>8</v>
      </c>
      <c r="AD425" s="27" t="s">
        <v>7</v>
      </c>
      <c r="AE425" s="27" t="s">
        <v>8</v>
      </c>
      <c r="AF425" s="27" t="s">
        <v>7</v>
      </c>
      <c r="AG425" s="27" t="s">
        <v>8</v>
      </c>
      <c r="AJ425" s="27" t="s">
        <v>7</v>
      </c>
      <c r="AK425" s="27" t="s">
        <v>8</v>
      </c>
      <c r="AL425" s="27" t="s">
        <v>7</v>
      </c>
      <c r="AM425" s="27" t="s">
        <v>8</v>
      </c>
      <c r="AN425" s="27" t="s">
        <v>7</v>
      </c>
      <c r="AO425" s="27" t="s">
        <v>8</v>
      </c>
      <c r="AP425" s="27" t="s">
        <v>7</v>
      </c>
      <c r="AQ425" s="27" t="s">
        <v>8</v>
      </c>
      <c r="AR425" s="27" t="s">
        <v>7</v>
      </c>
      <c r="AS425" s="27" t="s">
        <v>8</v>
      </c>
      <c r="AT425" s="27" t="s">
        <v>7</v>
      </c>
      <c r="AU425" s="27" t="s">
        <v>8</v>
      </c>
      <c r="AV425" s="27" t="s">
        <v>7</v>
      </c>
      <c r="AY425" s="27" t="s">
        <v>8</v>
      </c>
      <c r="AZ425" s="27" t="s">
        <v>7</v>
      </c>
      <c r="CM425" s="27" t="s">
        <v>8</v>
      </c>
      <c r="CN425" s="27" t="s">
        <v>7</v>
      </c>
    </row>
    <row r="426" spans="1:110" x14ac:dyDescent="0.25">
      <c r="A426" s="7">
        <v>24.24530510409388</v>
      </c>
      <c r="B426"/>
      <c r="C426"/>
      <c r="D426"/>
      <c r="E426"/>
      <c r="AC426" s="27" t="s">
        <v>8</v>
      </c>
      <c r="AD426" s="27" t="s">
        <v>7</v>
      </c>
      <c r="AE426" s="27" t="s">
        <v>8</v>
      </c>
      <c r="AF426" s="27" t="s">
        <v>7</v>
      </c>
      <c r="AG426" s="27" t="s">
        <v>8</v>
      </c>
      <c r="AJ426" s="27" t="s">
        <v>7</v>
      </c>
      <c r="AK426" s="27" t="s">
        <v>8</v>
      </c>
      <c r="AL426" s="27" t="s">
        <v>7</v>
      </c>
      <c r="AM426" s="27" t="s">
        <v>8</v>
      </c>
      <c r="AN426" s="27" t="s">
        <v>7</v>
      </c>
      <c r="AO426" s="27" t="s">
        <v>8</v>
      </c>
      <c r="AP426" s="27" t="s">
        <v>7</v>
      </c>
      <c r="AQ426" s="27" t="s">
        <v>8</v>
      </c>
      <c r="AR426" s="27" t="s">
        <v>7</v>
      </c>
      <c r="AS426" s="27" t="s">
        <v>8</v>
      </c>
      <c r="AT426" s="27" t="s">
        <v>7</v>
      </c>
      <c r="AU426" s="27" t="s">
        <v>8</v>
      </c>
      <c r="AV426" s="27" t="s">
        <v>7</v>
      </c>
      <c r="AY426" s="27" t="s">
        <v>8</v>
      </c>
      <c r="AZ426" s="27" t="s">
        <v>7</v>
      </c>
      <c r="CM426" s="27" t="s">
        <v>8</v>
      </c>
      <c r="CN426" s="27" t="s">
        <v>7</v>
      </c>
    </row>
    <row r="427" spans="1:110" x14ac:dyDescent="0.25">
      <c r="A427" s="7">
        <v>23.769906964797922</v>
      </c>
      <c r="B427"/>
      <c r="C427"/>
      <c r="D427"/>
      <c r="E427"/>
      <c r="AC427" s="27" t="s">
        <v>8</v>
      </c>
      <c r="AD427" s="27" t="s">
        <v>7</v>
      </c>
      <c r="AE427" s="27" t="s">
        <v>8</v>
      </c>
      <c r="AF427" s="27" t="s">
        <v>7</v>
      </c>
      <c r="AG427" s="27" t="s">
        <v>8</v>
      </c>
      <c r="AJ427" s="27" t="s">
        <v>7</v>
      </c>
      <c r="AK427" s="27" t="s">
        <v>8</v>
      </c>
      <c r="AL427" s="27" t="s">
        <v>7</v>
      </c>
      <c r="AM427" s="27" t="s">
        <v>8</v>
      </c>
      <c r="AN427" s="27" t="s">
        <v>7</v>
      </c>
      <c r="AO427" s="27" t="s">
        <v>8</v>
      </c>
      <c r="AP427" s="27" t="s">
        <v>7</v>
      </c>
      <c r="AQ427" s="27" t="s">
        <v>8</v>
      </c>
      <c r="AR427" s="27" t="s">
        <v>7</v>
      </c>
      <c r="AS427" s="27" t="s">
        <v>8</v>
      </c>
      <c r="AT427" s="27" t="s">
        <v>7</v>
      </c>
      <c r="AU427" s="27" t="s">
        <v>8</v>
      </c>
      <c r="AV427" s="27" t="s">
        <v>7</v>
      </c>
      <c r="AW427" s="27" t="s">
        <v>8</v>
      </c>
      <c r="AY427" s="27" t="s">
        <v>8</v>
      </c>
      <c r="AZ427" s="27" t="s">
        <v>7</v>
      </c>
      <c r="CM427" s="27" t="s">
        <v>8</v>
      </c>
      <c r="CN427" s="27" t="s">
        <v>7</v>
      </c>
    </row>
    <row r="428" spans="1:110" x14ac:dyDescent="0.25">
      <c r="A428" s="7">
        <v>23.303830357645023</v>
      </c>
      <c r="B428"/>
      <c r="C428"/>
      <c r="D428"/>
      <c r="E428"/>
      <c r="AC428" s="27" t="s">
        <v>8</v>
      </c>
      <c r="AD428" s="27" t="s">
        <v>7</v>
      </c>
      <c r="AE428" s="27" t="s">
        <v>8</v>
      </c>
      <c r="AF428" s="27" t="s">
        <v>7</v>
      </c>
      <c r="AG428" s="27" t="s">
        <v>8</v>
      </c>
      <c r="AJ428" s="27" t="s">
        <v>7</v>
      </c>
      <c r="AK428" s="27" t="s">
        <v>8</v>
      </c>
      <c r="AL428" s="27" t="s">
        <v>7</v>
      </c>
      <c r="AM428" s="27" t="s">
        <v>8</v>
      </c>
      <c r="AN428" s="27" t="s">
        <v>7</v>
      </c>
      <c r="AO428" s="27" t="s">
        <v>8</v>
      </c>
      <c r="AP428" s="27" t="s">
        <v>7</v>
      </c>
      <c r="AQ428" s="27" t="s">
        <v>8</v>
      </c>
      <c r="AR428" s="27" t="s">
        <v>7</v>
      </c>
      <c r="AT428" s="27" t="s">
        <v>7</v>
      </c>
      <c r="AU428" s="27" t="s">
        <v>8</v>
      </c>
      <c r="AV428" s="27" t="s">
        <v>7</v>
      </c>
      <c r="AW428" s="27" t="s">
        <v>8</v>
      </c>
      <c r="AX428" s="27" t="s">
        <v>7</v>
      </c>
      <c r="AY428" s="27" t="s">
        <v>8</v>
      </c>
      <c r="AZ428" s="27" t="s">
        <v>7</v>
      </c>
      <c r="CM428" s="27" t="s">
        <v>8</v>
      </c>
      <c r="CN428" s="27" t="s">
        <v>7</v>
      </c>
    </row>
    <row r="429" spans="1:110" x14ac:dyDescent="0.25">
      <c r="A429" s="7">
        <v>22.84689250749512</v>
      </c>
      <c r="B429"/>
      <c r="C429"/>
      <c r="D429"/>
      <c r="E429"/>
      <c r="AC429" s="27" t="s">
        <v>8</v>
      </c>
      <c r="AD429" s="27" t="s">
        <v>7</v>
      </c>
      <c r="AE429" s="27" t="s">
        <v>8</v>
      </c>
      <c r="AF429" s="27" t="s">
        <v>7</v>
      </c>
      <c r="AG429" s="27" t="s">
        <v>8</v>
      </c>
      <c r="AJ429" s="27" t="s">
        <v>7</v>
      </c>
      <c r="AK429" s="27" t="s">
        <v>8</v>
      </c>
      <c r="AL429" s="27" t="s">
        <v>7</v>
      </c>
      <c r="AM429" s="27" t="s">
        <v>8</v>
      </c>
      <c r="AN429" s="27" t="s">
        <v>7</v>
      </c>
      <c r="AO429" s="27" t="s">
        <v>8</v>
      </c>
      <c r="AP429" s="27" t="s">
        <v>7</v>
      </c>
      <c r="AQ429" s="27" t="s">
        <v>8</v>
      </c>
      <c r="AT429" s="27" t="s">
        <v>7</v>
      </c>
      <c r="AV429" s="27" t="s">
        <v>7</v>
      </c>
      <c r="AW429" s="27" t="s">
        <v>8</v>
      </c>
      <c r="AX429" s="27" t="s">
        <v>7</v>
      </c>
      <c r="AY429" s="27" t="s">
        <v>8</v>
      </c>
      <c r="AZ429" s="27" t="s">
        <v>7</v>
      </c>
      <c r="CM429" s="27" t="s">
        <v>8</v>
      </c>
      <c r="CN429" s="27" t="s">
        <v>7</v>
      </c>
      <c r="CO429" s="27" t="s">
        <v>8</v>
      </c>
    </row>
    <row r="430" spans="1:110" x14ac:dyDescent="0.25">
      <c r="A430" s="7">
        <v>22.398914223034431</v>
      </c>
      <c r="B430"/>
      <c r="C430"/>
      <c r="D430"/>
      <c r="E430"/>
      <c r="AC430" s="27" t="s">
        <v>8</v>
      </c>
      <c r="AD430" s="27" t="s">
        <v>7</v>
      </c>
      <c r="AF430" s="27" t="s">
        <v>7</v>
      </c>
      <c r="AG430" s="27" t="s">
        <v>8</v>
      </c>
      <c r="AJ430" s="27" t="s">
        <v>7</v>
      </c>
      <c r="AK430" s="27" t="s">
        <v>8</v>
      </c>
      <c r="AL430" s="27" t="s">
        <v>7</v>
      </c>
      <c r="AM430" s="27" t="s">
        <v>8</v>
      </c>
      <c r="AN430" s="27" t="s">
        <v>7</v>
      </c>
      <c r="AO430" s="27" t="s">
        <v>8</v>
      </c>
      <c r="AP430" s="27" t="s">
        <v>7</v>
      </c>
      <c r="AQ430" s="27" t="s">
        <v>8</v>
      </c>
      <c r="AV430" s="27" t="s">
        <v>7</v>
      </c>
      <c r="AW430" s="27" t="s">
        <v>8</v>
      </c>
      <c r="AX430" s="27" t="s">
        <v>7</v>
      </c>
      <c r="AY430" s="27" t="s">
        <v>8</v>
      </c>
      <c r="AZ430" s="27" t="s">
        <v>7</v>
      </c>
      <c r="CM430" s="27" t="s">
        <v>8</v>
      </c>
      <c r="CN430" s="27" t="s">
        <v>7</v>
      </c>
      <c r="CO430" s="27" t="s">
        <v>8</v>
      </c>
      <c r="CP430" s="27" t="s">
        <v>7</v>
      </c>
      <c r="DE430" s="27" t="s">
        <v>8</v>
      </c>
    </row>
    <row r="431" spans="1:110" x14ac:dyDescent="0.25">
      <c r="A431" s="7">
        <v>21.959719826504344</v>
      </c>
      <c r="B431"/>
      <c r="C431"/>
      <c r="D431"/>
      <c r="E431"/>
      <c r="AC431" s="27" t="s">
        <v>8</v>
      </c>
      <c r="AF431" s="27" t="s">
        <v>7</v>
      </c>
      <c r="AG431" s="27" t="s">
        <v>8</v>
      </c>
      <c r="AJ431" s="27" t="s">
        <v>7</v>
      </c>
      <c r="AK431" s="27" t="s">
        <v>8</v>
      </c>
      <c r="AL431" s="27" t="s">
        <v>7</v>
      </c>
      <c r="AM431" s="27" t="s">
        <v>8</v>
      </c>
      <c r="AN431" s="27" t="s">
        <v>7</v>
      </c>
      <c r="AO431" s="27" t="s">
        <v>8</v>
      </c>
      <c r="AP431" s="27" t="s">
        <v>7</v>
      </c>
      <c r="AQ431" s="27" t="s">
        <v>8</v>
      </c>
      <c r="AV431" s="27" t="s">
        <v>7</v>
      </c>
      <c r="AW431" s="27" t="s">
        <v>8</v>
      </c>
      <c r="AX431" s="27" t="s">
        <v>7</v>
      </c>
      <c r="AY431" s="27" t="s">
        <v>8</v>
      </c>
      <c r="AZ431" s="27" t="s">
        <v>7</v>
      </c>
      <c r="CM431" s="27" t="s">
        <v>8</v>
      </c>
      <c r="CN431" s="27" t="s">
        <v>7</v>
      </c>
      <c r="CO431" s="27" t="s">
        <v>8</v>
      </c>
      <c r="CP431" s="27" t="s">
        <v>7</v>
      </c>
      <c r="DE431" s="27" t="s">
        <v>8</v>
      </c>
      <c r="DF431" s="27" t="s">
        <v>7</v>
      </c>
    </row>
    <row r="432" spans="1:110" x14ac:dyDescent="0.25">
      <c r="A432" s="7">
        <v>21.52913708480818</v>
      </c>
      <c r="B432"/>
      <c r="C432"/>
      <c r="D432"/>
      <c r="E432"/>
      <c r="AC432" s="27" t="s">
        <v>8</v>
      </c>
      <c r="AF432" s="27" t="s">
        <v>7</v>
      </c>
      <c r="AG432" s="27" t="s">
        <v>8</v>
      </c>
      <c r="AJ432" s="27" t="s">
        <v>7</v>
      </c>
      <c r="AK432" s="27" t="s">
        <v>8</v>
      </c>
      <c r="AL432" s="27" t="s">
        <v>7</v>
      </c>
      <c r="AM432" s="27" t="s">
        <v>8</v>
      </c>
      <c r="AN432" s="27" t="s">
        <v>7</v>
      </c>
      <c r="AP432" s="27" t="s">
        <v>7</v>
      </c>
      <c r="AQ432" s="27" t="s">
        <v>8</v>
      </c>
      <c r="AV432" s="27" t="s">
        <v>7</v>
      </c>
      <c r="AW432" s="27" t="s">
        <v>8</v>
      </c>
      <c r="AX432" s="27" t="s">
        <v>7</v>
      </c>
      <c r="AY432" s="27" t="s">
        <v>8</v>
      </c>
      <c r="AZ432" s="27" t="s">
        <v>7</v>
      </c>
      <c r="BE432" s="27" t="s">
        <v>8</v>
      </c>
      <c r="CM432" s="27" t="s">
        <v>8</v>
      </c>
      <c r="CN432" s="27" t="s">
        <v>7</v>
      </c>
      <c r="CO432" s="27" t="s">
        <v>8</v>
      </c>
      <c r="CP432" s="27" t="s">
        <v>7</v>
      </c>
      <c r="DE432" s="27" t="s">
        <v>8</v>
      </c>
      <c r="DF432" s="27" t="s">
        <v>7</v>
      </c>
    </row>
    <row r="433" spans="1:160" x14ac:dyDescent="0.25">
      <c r="A433" s="7">
        <v>21.106997141968804</v>
      </c>
      <c r="B433"/>
      <c r="C433"/>
      <c r="D433"/>
      <c r="E433"/>
      <c r="AC433" s="27" t="s">
        <v>8</v>
      </c>
      <c r="AF433" s="27" t="s">
        <v>7</v>
      </c>
      <c r="AG433" s="27" t="s">
        <v>8</v>
      </c>
      <c r="AJ433" s="27" t="s">
        <v>7</v>
      </c>
      <c r="AK433" s="27" t="s">
        <v>8</v>
      </c>
      <c r="AL433" s="27" t="s">
        <v>7</v>
      </c>
      <c r="AM433" s="27" t="s">
        <v>8</v>
      </c>
      <c r="AP433" s="27" t="s">
        <v>7</v>
      </c>
      <c r="AV433" s="27" t="s">
        <v>7</v>
      </c>
      <c r="AX433" s="27" t="s">
        <v>7</v>
      </c>
      <c r="AY433" s="27" t="s">
        <v>8</v>
      </c>
      <c r="AZ433" s="27" t="s">
        <v>7</v>
      </c>
      <c r="BC433" s="27" t="s">
        <v>8</v>
      </c>
      <c r="BE433" s="27" t="s">
        <v>8</v>
      </c>
      <c r="BF433" s="27" t="s">
        <v>7</v>
      </c>
      <c r="CM433" s="27" t="s">
        <v>8</v>
      </c>
      <c r="CN433" s="27" t="s">
        <v>7</v>
      </c>
      <c r="CO433" s="27" t="s">
        <v>8</v>
      </c>
      <c r="CP433" s="27" t="s">
        <v>7</v>
      </c>
      <c r="DE433" s="27" t="s">
        <v>8</v>
      </c>
      <c r="DF433" s="27" t="s">
        <v>7</v>
      </c>
      <c r="DG433" s="27" t="s">
        <v>8</v>
      </c>
    </row>
    <row r="434" spans="1:160" x14ac:dyDescent="0.25">
      <c r="A434" s="7">
        <v>20.693134452910591</v>
      </c>
      <c r="B434"/>
      <c r="C434"/>
      <c r="D434"/>
      <c r="E434"/>
      <c r="AC434" s="27" t="s">
        <v>8</v>
      </c>
      <c r="AF434" s="27" t="s">
        <v>7</v>
      </c>
      <c r="AJ434" s="27" t="s">
        <v>7</v>
      </c>
      <c r="AK434" s="27" t="s">
        <v>8</v>
      </c>
      <c r="AL434" s="27" t="s">
        <v>7</v>
      </c>
      <c r="AX434" s="27" t="s">
        <v>7</v>
      </c>
      <c r="AY434" s="27" t="s">
        <v>8</v>
      </c>
      <c r="AZ434" s="27" t="s">
        <v>7</v>
      </c>
      <c r="BC434" s="27" t="s">
        <v>8</v>
      </c>
      <c r="BD434" s="27" t="s">
        <v>7</v>
      </c>
      <c r="BE434" s="27" t="s">
        <v>8</v>
      </c>
      <c r="BF434" s="27" t="s">
        <v>7</v>
      </c>
      <c r="CM434" s="27" t="s">
        <v>8</v>
      </c>
      <c r="CN434" s="27" t="s">
        <v>7</v>
      </c>
      <c r="CO434" s="27" t="s">
        <v>8</v>
      </c>
      <c r="CP434" s="27" t="s">
        <v>7</v>
      </c>
      <c r="DE434" s="27" t="s">
        <v>8</v>
      </c>
      <c r="DF434" s="27" t="s">
        <v>7</v>
      </c>
      <c r="DG434" s="27" t="s">
        <v>8</v>
      </c>
      <c r="DH434" s="27" t="s">
        <v>7</v>
      </c>
    </row>
    <row r="435" spans="1:160" x14ac:dyDescent="0.25">
      <c r="A435" s="7">
        <v>20.287386718539796</v>
      </c>
      <c r="B435"/>
      <c r="C435"/>
      <c r="D435"/>
      <c r="E435"/>
      <c r="AC435" s="27" t="s">
        <v>8</v>
      </c>
      <c r="AJ435" s="27" t="s">
        <v>7</v>
      </c>
      <c r="AX435" s="27" t="s">
        <v>7</v>
      </c>
      <c r="AY435" s="27" t="s">
        <v>8</v>
      </c>
      <c r="AZ435" s="27" t="s">
        <v>7</v>
      </c>
      <c r="BA435" s="27" t="s">
        <v>8</v>
      </c>
      <c r="BC435" s="27" t="s">
        <v>8</v>
      </c>
      <c r="BD435" s="27" t="s">
        <v>7</v>
      </c>
      <c r="BE435" s="27" t="s">
        <v>8</v>
      </c>
      <c r="BF435" s="27" t="s">
        <v>7</v>
      </c>
      <c r="CM435" s="27" t="s">
        <v>8</v>
      </c>
      <c r="CN435" s="27" t="s">
        <v>7</v>
      </c>
      <c r="CO435" s="27" t="s">
        <v>8</v>
      </c>
      <c r="CP435" s="27" t="s">
        <v>7</v>
      </c>
      <c r="DE435" s="27" t="s">
        <v>8</v>
      </c>
      <c r="DF435" s="27" t="s">
        <v>7</v>
      </c>
      <c r="DG435" s="27" t="s">
        <v>8</v>
      </c>
      <c r="DH435" s="27" t="s">
        <v>7</v>
      </c>
      <c r="ES435" s="27" t="s">
        <v>8</v>
      </c>
    </row>
    <row r="436" spans="1:160" x14ac:dyDescent="0.25">
      <c r="A436" s="7">
        <v>19.889594822097838</v>
      </c>
      <c r="B436"/>
      <c r="C436"/>
      <c r="D436"/>
      <c r="E436"/>
      <c r="AC436" s="27" t="s">
        <v>8</v>
      </c>
      <c r="AX436" s="27" t="s">
        <v>7</v>
      </c>
      <c r="AY436" s="27" t="s">
        <v>8</v>
      </c>
      <c r="AZ436" s="27" t="s">
        <v>7</v>
      </c>
      <c r="BA436" s="27" t="s">
        <v>8</v>
      </c>
      <c r="BB436" s="27" t="s">
        <v>7</v>
      </c>
      <c r="BC436" s="27" t="s">
        <v>8</v>
      </c>
      <c r="BD436" s="27" t="s">
        <v>7</v>
      </c>
      <c r="BE436" s="27" t="s">
        <v>8</v>
      </c>
      <c r="BF436" s="27" t="s">
        <v>7</v>
      </c>
      <c r="CM436" s="27" t="s">
        <v>8</v>
      </c>
      <c r="CN436" s="27" t="s">
        <v>7</v>
      </c>
      <c r="CO436" s="27" t="s">
        <v>8</v>
      </c>
      <c r="CP436" s="27" t="s">
        <v>7</v>
      </c>
      <c r="DE436" s="27" t="s">
        <v>8</v>
      </c>
      <c r="DF436" s="27" t="s">
        <v>7</v>
      </c>
      <c r="DG436" s="27" t="s">
        <v>8</v>
      </c>
      <c r="DH436" s="27" t="s">
        <v>7</v>
      </c>
      <c r="ES436" s="27" t="s">
        <v>8</v>
      </c>
      <c r="ET436" s="27" t="s">
        <v>7</v>
      </c>
      <c r="FA436" s="27" t="s">
        <v>8</v>
      </c>
    </row>
    <row r="437" spans="1:160" x14ac:dyDescent="0.25">
      <c r="A437" s="7">
        <v>19.499602766762585</v>
      </c>
      <c r="B437"/>
      <c r="C437"/>
      <c r="D437"/>
      <c r="E437"/>
      <c r="AC437" s="27" t="s">
        <v>8</v>
      </c>
      <c r="AX437" s="27" t="s">
        <v>7</v>
      </c>
      <c r="AY437" s="27" t="s">
        <v>8</v>
      </c>
      <c r="AZ437" s="27" t="s">
        <v>7</v>
      </c>
      <c r="BA437" s="27" t="s">
        <v>8</v>
      </c>
      <c r="BB437" s="27" t="s">
        <v>7</v>
      </c>
      <c r="BC437" s="27" t="s">
        <v>8</v>
      </c>
      <c r="BD437" s="27" t="s">
        <v>7</v>
      </c>
      <c r="BF437" s="27" t="s">
        <v>7</v>
      </c>
      <c r="CM437" s="27" t="s">
        <v>8</v>
      </c>
      <c r="CN437" s="27" t="s">
        <v>7</v>
      </c>
      <c r="CO437" s="27" t="s">
        <v>8</v>
      </c>
      <c r="CP437" s="27" t="s">
        <v>7</v>
      </c>
      <c r="DE437" s="27" t="s">
        <v>8</v>
      </c>
      <c r="DF437" s="27" t="s">
        <v>7</v>
      </c>
      <c r="DG437" s="27" t="s">
        <v>8</v>
      </c>
      <c r="DH437" s="27" t="s">
        <v>7</v>
      </c>
      <c r="DI437" s="27" t="s">
        <v>8</v>
      </c>
      <c r="ES437" s="27" t="s">
        <v>8</v>
      </c>
      <c r="ET437" s="27" t="s">
        <v>7</v>
      </c>
      <c r="EW437" s="27" t="s">
        <v>8</v>
      </c>
      <c r="FA437" s="27" t="s">
        <v>8</v>
      </c>
      <c r="FB437" s="27" t="s">
        <v>7</v>
      </c>
    </row>
    <row r="438" spans="1:160" x14ac:dyDescent="0.25">
      <c r="A438" s="7">
        <v>19.117257614473122</v>
      </c>
      <c r="B438"/>
      <c r="C438"/>
      <c r="D438"/>
      <c r="E438"/>
      <c r="AC438" s="27" t="s">
        <v>8</v>
      </c>
      <c r="AX438" s="27" t="s">
        <v>7</v>
      </c>
      <c r="AY438" s="27" t="s">
        <v>8</v>
      </c>
      <c r="AZ438" s="27" t="s">
        <v>7</v>
      </c>
      <c r="BA438" s="27" t="s">
        <v>8</v>
      </c>
      <c r="BB438" s="27" t="s">
        <v>7</v>
      </c>
      <c r="BC438" s="27" t="s">
        <v>8</v>
      </c>
      <c r="BF438" s="27" t="s">
        <v>7</v>
      </c>
      <c r="CM438" s="27" t="s">
        <v>8</v>
      </c>
      <c r="CN438" s="27" t="s">
        <v>7</v>
      </c>
      <c r="CO438" s="27" t="s">
        <v>8</v>
      </c>
      <c r="CP438" s="27" t="s">
        <v>7</v>
      </c>
      <c r="DE438" s="27" t="s">
        <v>8</v>
      </c>
      <c r="DF438" s="27" t="s">
        <v>7</v>
      </c>
      <c r="DG438" s="27" t="s">
        <v>8</v>
      </c>
      <c r="DH438" s="27" t="s">
        <v>7</v>
      </c>
      <c r="DI438" s="27" t="s">
        <v>8</v>
      </c>
      <c r="DJ438" s="27" t="s">
        <v>7</v>
      </c>
      <c r="ES438" s="27" t="s">
        <v>8</v>
      </c>
      <c r="ET438" s="27" t="s">
        <v>7</v>
      </c>
      <c r="EW438" s="27" t="s">
        <v>8</v>
      </c>
      <c r="EX438" s="27" t="s">
        <v>7</v>
      </c>
      <c r="FA438" s="27" t="s">
        <v>8</v>
      </c>
      <c r="FB438" s="27" t="s">
        <v>7</v>
      </c>
    </row>
    <row r="439" spans="1:160" x14ac:dyDescent="0.25">
      <c r="A439" s="7">
        <v>18.74240942595404</v>
      </c>
      <c r="B439"/>
      <c r="C439"/>
      <c r="D439"/>
      <c r="E439"/>
      <c r="AC439" s="27" t="s">
        <v>8</v>
      </c>
      <c r="AX439" s="27" t="s">
        <v>7</v>
      </c>
      <c r="AY439" s="27" t="s">
        <v>8</v>
      </c>
      <c r="AZ439" s="27" t="s">
        <v>7</v>
      </c>
      <c r="BA439" s="27" t="s">
        <v>8</v>
      </c>
      <c r="BB439" s="27" t="s">
        <v>7</v>
      </c>
      <c r="BC439" s="27" t="s">
        <v>8</v>
      </c>
      <c r="BF439" s="27" t="s">
        <v>7</v>
      </c>
      <c r="CM439" s="27" t="s">
        <v>8</v>
      </c>
      <c r="CN439" s="27" t="s">
        <v>7</v>
      </c>
      <c r="CO439" s="27" t="s">
        <v>8</v>
      </c>
      <c r="CP439" s="27" t="s">
        <v>7</v>
      </c>
      <c r="DE439" s="27" t="s">
        <v>8</v>
      </c>
      <c r="DF439" s="27" t="s">
        <v>7</v>
      </c>
      <c r="DG439" s="27" t="s">
        <v>8</v>
      </c>
      <c r="DH439" s="27" t="s">
        <v>7</v>
      </c>
      <c r="DI439" s="27" t="s">
        <v>8</v>
      </c>
      <c r="DJ439" s="27" t="s">
        <v>7</v>
      </c>
      <c r="ES439" s="27" t="s">
        <v>8</v>
      </c>
      <c r="ET439" s="27" t="s">
        <v>7</v>
      </c>
      <c r="EW439" s="27" t="s">
        <v>8</v>
      </c>
      <c r="EX439" s="27" t="s">
        <v>7</v>
      </c>
      <c r="FA439" s="27" t="s">
        <v>8</v>
      </c>
      <c r="FB439" s="27" t="s">
        <v>7</v>
      </c>
    </row>
    <row r="440" spans="1:160" x14ac:dyDescent="0.25">
      <c r="A440" s="7">
        <v>18.374911201915726</v>
      </c>
      <c r="B440"/>
      <c r="C440"/>
      <c r="D440"/>
      <c r="E440"/>
      <c r="AC440" s="27" t="s">
        <v>8</v>
      </c>
      <c r="AX440" s="27" t="s">
        <v>7</v>
      </c>
      <c r="AY440" s="27" t="s">
        <v>8</v>
      </c>
      <c r="AZ440" s="27" t="s">
        <v>7</v>
      </c>
      <c r="BB440" s="27" t="s">
        <v>7</v>
      </c>
      <c r="BF440" s="27" t="s">
        <v>7</v>
      </c>
      <c r="CM440" s="27" t="s">
        <v>8</v>
      </c>
      <c r="CN440" s="27" t="s">
        <v>7</v>
      </c>
      <c r="CO440" s="27" t="s">
        <v>8</v>
      </c>
      <c r="CP440" s="27" t="s">
        <v>7</v>
      </c>
      <c r="DE440" s="27" t="s">
        <v>8</v>
      </c>
      <c r="DF440" s="27" t="s">
        <v>7</v>
      </c>
      <c r="DG440" s="27" t="s">
        <v>8</v>
      </c>
      <c r="DH440" s="27" t="s">
        <v>7</v>
      </c>
      <c r="DI440" s="27" t="s">
        <v>8</v>
      </c>
      <c r="DJ440" s="27" t="s">
        <v>7</v>
      </c>
      <c r="ES440" s="27" t="s">
        <v>8</v>
      </c>
      <c r="ET440" s="27" t="s">
        <v>7</v>
      </c>
      <c r="EW440" s="27" t="s">
        <v>8</v>
      </c>
      <c r="EX440" s="27" t="s">
        <v>7</v>
      </c>
      <c r="FA440" s="27" t="s">
        <v>8</v>
      </c>
      <c r="FB440" s="27" t="s">
        <v>7</v>
      </c>
    </row>
    <row r="441" spans="1:160" x14ac:dyDescent="0.25">
      <c r="A441" s="7">
        <v>18.014618825407574</v>
      </c>
      <c r="B441"/>
      <c r="C441"/>
      <c r="D441"/>
      <c r="E441"/>
      <c r="AC441" s="27" t="s">
        <v>8</v>
      </c>
      <c r="AX441" s="27" t="s">
        <v>7</v>
      </c>
      <c r="BF441" s="27" t="s">
        <v>7</v>
      </c>
      <c r="CM441" s="27" t="s">
        <v>8</v>
      </c>
      <c r="CN441" s="27" t="s">
        <v>7</v>
      </c>
      <c r="CO441" s="27" t="s">
        <v>8</v>
      </c>
      <c r="CP441" s="27" t="s">
        <v>7</v>
      </c>
      <c r="DE441" s="27" t="s">
        <v>8</v>
      </c>
      <c r="DF441" s="27" t="s">
        <v>7</v>
      </c>
      <c r="DG441" s="27" t="s">
        <v>8</v>
      </c>
      <c r="DH441" s="27" t="s">
        <v>7</v>
      </c>
      <c r="DI441" s="27" t="s">
        <v>8</v>
      </c>
      <c r="DJ441" s="27" t="s">
        <v>7</v>
      </c>
      <c r="ES441" s="27" t="s">
        <v>8</v>
      </c>
      <c r="ET441" s="27" t="s">
        <v>7</v>
      </c>
      <c r="EW441" s="27" t="s">
        <v>8</v>
      </c>
      <c r="EX441" s="27" t="s">
        <v>7</v>
      </c>
      <c r="FA441" s="27" t="s">
        <v>8</v>
      </c>
      <c r="FB441" s="27" t="s">
        <v>7</v>
      </c>
    </row>
    <row r="442" spans="1:160" x14ac:dyDescent="0.25">
      <c r="A442" s="7">
        <v>17.661391005301542</v>
      </c>
      <c r="B442"/>
      <c r="C442"/>
      <c r="D442"/>
      <c r="E442"/>
      <c r="AC442" s="27" t="s">
        <v>8</v>
      </c>
      <c r="BF442" s="27" t="s">
        <v>7</v>
      </c>
      <c r="CM442" s="27" t="s">
        <v>8</v>
      </c>
      <c r="CN442" s="27" t="s">
        <v>7</v>
      </c>
      <c r="CO442" s="27" t="s">
        <v>8</v>
      </c>
      <c r="CP442" s="27" t="s">
        <v>7</v>
      </c>
      <c r="CW442" s="27" t="s">
        <v>8</v>
      </c>
      <c r="DE442" s="27" t="s">
        <v>8</v>
      </c>
      <c r="DF442" s="27" t="s">
        <v>7</v>
      </c>
      <c r="DG442" s="27" t="s">
        <v>8</v>
      </c>
      <c r="DH442" s="27" t="s">
        <v>7</v>
      </c>
      <c r="DI442" s="27" t="s">
        <v>8</v>
      </c>
      <c r="DJ442" s="27" t="s">
        <v>7</v>
      </c>
      <c r="DK442" s="27" t="s">
        <v>8</v>
      </c>
      <c r="DM442" s="27" t="s">
        <v>8</v>
      </c>
      <c r="ES442" s="27" t="s">
        <v>8</v>
      </c>
      <c r="ET442" s="27" t="s">
        <v>7</v>
      </c>
      <c r="EW442" s="27" t="s">
        <v>8</v>
      </c>
      <c r="EX442" s="27" t="s">
        <v>7</v>
      </c>
      <c r="FA442" s="27" t="s">
        <v>8</v>
      </c>
      <c r="FB442" s="27" t="s">
        <v>7</v>
      </c>
    </row>
    <row r="443" spans="1:160" x14ac:dyDescent="0.25">
      <c r="A443" s="7">
        <v>17.315089220883866</v>
      </c>
      <c r="B443"/>
      <c r="C443"/>
      <c r="D443"/>
      <c r="E443"/>
      <c r="AC443" s="27" t="s">
        <v>8</v>
      </c>
      <c r="BF443" s="27" t="s">
        <v>7</v>
      </c>
      <c r="CM443" s="27" t="s">
        <v>8</v>
      </c>
      <c r="CN443" s="27" t="s">
        <v>7</v>
      </c>
      <c r="CO443" s="27" t="s">
        <v>8</v>
      </c>
      <c r="CP443" s="27" t="s">
        <v>7</v>
      </c>
      <c r="CW443" s="27" t="s">
        <v>8</v>
      </c>
      <c r="CX443" s="27" t="s">
        <v>7</v>
      </c>
      <c r="DE443" s="27" t="s">
        <v>8</v>
      </c>
      <c r="DF443" s="27" t="s">
        <v>7</v>
      </c>
      <c r="DG443" s="27" t="s">
        <v>8</v>
      </c>
      <c r="DH443" s="27" t="s">
        <v>7</v>
      </c>
      <c r="DI443" s="27" t="s">
        <v>8</v>
      </c>
      <c r="DJ443" s="27" t="s">
        <v>7</v>
      </c>
      <c r="DK443" s="27" t="s">
        <v>8</v>
      </c>
      <c r="DL443" s="27" t="s">
        <v>7</v>
      </c>
      <c r="DM443" s="27" t="s">
        <v>8</v>
      </c>
      <c r="DN443" s="27" t="s">
        <v>7</v>
      </c>
      <c r="ES443" s="27" t="s">
        <v>8</v>
      </c>
      <c r="ET443" s="27" t="s">
        <v>7</v>
      </c>
      <c r="EW443" s="27" t="s">
        <v>8</v>
      </c>
      <c r="EX443" s="27" t="s">
        <v>7</v>
      </c>
      <c r="FA443" s="27" t="s">
        <v>8</v>
      </c>
      <c r="FB443" s="27" t="s">
        <v>7</v>
      </c>
    </row>
    <row r="444" spans="1:160" x14ac:dyDescent="0.25">
      <c r="A444" s="7">
        <v>16.975577667533202</v>
      </c>
      <c r="B444"/>
      <c r="C444"/>
      <c r="D444"/>
      <c r="E444"/>
      <c r="AC444" s="27" t="s">
        <v>8</v>
      </c>
      <c r="BF444" s="27" t="s">
        <v>7</v>
      </c>
      <c r="BG444" s="27" t="s">
        <v>8</v>
      </c>
      <c r="CM444" s="27" t="s">
        <v>8</v>
      </c>
      <c r="CN444" s="27" t="s">
        <v>7</v>
      </c>
      <c r="CO444" s="27" t="s">
        <v>8</v>
      </c>
      <c r="CP444" s="27" t="s">
        <v>7</v>
      </c>
      <c r="CW444" s="27" t="s">
        <v>8</v>
      </c>
      <c r="CX444" s="27" t="s">
        <v>7</v>
      </c>
      <c r="DE444" s="27" t="s">
        <v>8</v>
      </c>
      <c r="DF444" s="27" t="s">
        <v>7</v>
      </c>
      <c r="DG444" s="27" t="s">
        <v>8</v>
      </c>
      <c r="DH444" s="27" t="s">
        <v>7</v>
      </c>
      <c r="DI444" s="27" t="s">
        <v>8</v>
      </c>
      <c r="DJ444" s="27" t="s">
        <v>7</v>
      </c>
      <c r="DK444" s="27" t="s">
        <v>8</v>
      </c>
      <c r="DL444" s="27" t="s">
        <v>7</v>
      </c>
      <c r="DM444" s="27" t="s">
        <v>8</v>
      </c>
      <c r="DN444" s="27" t="s">
        <v>7</v>
      </c>
      <c r="ES444" s="27" t="s">
        <v>8</v>
      </c>
      <c r="ET444" s="27" t="s">
        <v>7</v>
      </c>
      <c r="EW444" s="27" t="s">
        <v>8</v>
      </c>
      <c r="EX444" s="27" t="s">
        <v>7</v>
      </c>
      <c r="EY444" s="27" t="s">
        <v>8</v>
      </c>
      <c r="FA444" s="27" t="s">
        <v>8</v>
      </c>
      <c r="FB444" s="27" t="s">
        <v>7</v>
      </c>
    </row>
    <row r="445" spans="1:160" x14ac:dyDescent="0.25">
      <c r="A445" s="7">
        <v>16.642723203463923</v>
      </c>
      <c r="B445"/>
      <c r="C445"/>
      <c r="D445"/>
      <c r="E445"/>
      <c r="AC445" s="27" t="s">
        <v>8</v>
      </c>
      <c r="BF445" s="27" t="s">
        <v>7</v>
      </c>
      <c r="BG445" s="27" t="s">
        <v>8</v>
      </c>
      <c r="BH445" s="27" t="s">
        <v>7</v>
      </c>
      <c r="BI445" s="27" t="s">
        <v>8</v>
      </c>
      <c r="CM445" s="27" t="s">
        <v>8</v>
      </c>
      <c r="CN445" s="27" t="s">
        <v>7</v>
      </c>
      <c r="CO445" s="27" t="s">
        <v>8</v>
      </c>
      <c r="CP445" s="27" t="s">
        <v>7</v>
      </c>
      <c r="CW445" s="27" t="s">
        <v>8</v>
      </c>
      <c r="CX445" s="27" t="s">
        <v>7</v>
      </c>
      <c r="DE445" s="27" t="s">
        <v>8</v>
      </c>
      <c r="DF445" s="27" t="s">
        <v>7</v>
      </c>
      <c r="DG445" s="27" t="s">
        <v>8</v>
      </c>
      <c r="DH445" s="27" t="s">
        <v>7</v>
      </c>
      <c r="DI445" s="27" t="s">
        <v>8</v>
      </c>
      <c r="DJ445" s="27" t="s">
        <v>7</v>
      </c>
      <c r="DK445" s="27" t="s">
        <v>8</v>
      </c>
      <c r="DL445" s="27" t="s">
        <v>7</v>
      </c>
      <c r="DM445" s="27" t="s">
        <v>8</v>
      </c>
      <c r="DN445" s="27" t="s">
        <v>7</v>
      </c>
      <c r="ES445" s="27" t="s">
        <v>8</v>
      </c>
      <c r="ET445" s="27" t="s">
        <v>7</v>
      </c>
      <c r="EW445" s="27" t="s">
        <v>8</v>
      </c>
      <c r="EX445" s="27" t="s">
        <v>7</v>
      </c>
      <c r="EY445" s="27" t="s">
        <v>8</v>
      </c>
      <c r="EZ445" s="27" t="s">
        <v>7</v>
      </c>
      <c r="FA445" s="27" t="s">
        <v>8</v>
      </c>
      <c r="FB445" s="27" t="s">
        <v>7</v>
      </c>
    </row>
    <row r="446" spans="1:160" x14ac:dyDescent="0.25">
      <c r="A446" s="7">
        <v>16.316395297513651</v>
      </c>
      <c r="B446"/>
      <c r="C446"/>
      <c r="D446"/>
      <c r="E446"/>
      <c r="AC446" s="27" t="s">
        <v>8</v>
      </c>
      <c r="BF446" s="27" t="s">
        <v>7</v>
      </c>
      <c r="BG446" s="27" t="s">
        <v>8</v>
      </c>
      <c r="BH446" s="27" t="s">
        <v>7</v>
      </c>
      <c r="BI446" s="27" t="s">
        <v>8</v>
      </c>
      <c r="BJ446" s="27" t="s">
        <v>7</v>
      </c>
      <c r="CM446" s="27" t="s">
        <v>8</v>
      </c>
      <c r="CN446" s="27" t="s">
        <v>7</v>
      </c>
      <c r="CO446" s="27" t="s">
        <v>8</v>
      </c>
      <c r="CP446" s="27" t="s">
        <v>7</v>
      </c>
      <c r="CW446" s="27" t="s">
        <v>8</v>
      </c>
      <c r="CX446" s="27" t="s">
        <v>7</v>
      </c>
      <c r="DE446" s="27" t="s">
        <v>8</v>
      </c>
      <c r="DF446" s="27" t="s">
        <v>7</v>
      </c>
      <c r="DG446" s="27" t="s">
        <v>8</v>
      </c>
      <c r="DH446" s="27" t="s">
        <v>7</v>
      </c>
      <c r="DI446" s="27" t="s">
        <v>8</v>
      </c>
      <c r="DJ446" s="27" t="s">
        <v>7</v>
      </c>
      <c r="DK446" s="27" t="s">
        <v>8</v>
      </c>
      <c r="DL446" s="27" t="s">
        <v>7</v>
      </c>
      <c r="DM446" s="27" t="s">
        <v>8</v>
      </c>
      <c r="DN446" s="27" t="s">
        <v>7</v>
      </c>
      <c r="DQ446" s="27" t="s">
        <v>8</v>
      </c>
      <c r="ES446" s="27" t="s">
        <v>8</v>
      </c>
      <c r="ET446" s="27" t="s">
        <v>7</v>
      </c>
      <c r="EW446" s="27" t="s">
        <v>8</v>
      </c>
      <c r="EX446" s="27" t="s">
        <v>7</v>
      </c>
      <c r="EY446" s="27" t="s">
        <v>8</v>
      </c>
      <c r="EZ446" s="27" t="s">
        <v>7</v>
      </c>
      <c r="FA446" s="27" t="s">
        <v>8</v>
      </c>
      <c r="FB446" s="27" t="s">
        <v>7</v>
      </c>
      <c r="FC446" s="27" t="s">
        <v>8</v>
      </c>
    </row>
    <row r="447" spans="1:160" x14ac:dyDescent="0.25">
      <c r="A447" s="7">
        <v>15.996465977954561</v>
      </c>
      <c r="B447"/>
      <c r="C447"/>
      <c r="D447"/>
      <c r="E447"/>
      <c r="AC447" s="27" t="s">
        <v>8</v>
      </c>
      <c r="BF447" s="27" t="s">
        <v>7</v>
      </c>
      <c r="BG447" s="27" t="s">
        <v>8</v>
      </c>
      <c r="BH447" s="27" t="s">
        <v>7</v>
      </c>
      <c r="BI447" s="27" t="s">
        <v>8</v>
      </c>
      <c r="BJ447" s="27" t="s">
        <v>7</v>
      </c>
      <c r="CM447" s="27" t="s">
        <v>8</v>
      </c>
      <c r="CN447" s="27" t="s">
        <v>7</v>
      </c>
      <c r="CO447" s="27" t="s">
        <v>8</v>
      </c>
      <c r="CP447" s="27" t="s">
        <v>7</v>
      </c>
      <c r="CW447" s="27" t="s">
        <v>8</v>
      </c>
      <c r="CX447" s="27" t="s">
        <v>7</v>
      </c>
      <c r="DE447" s="27" t="s">
        <v>8</v>
      </c>
      <c r="DF447" s="27" t="s">
        <v>7</v>
      </c>
      <c r="DG447" s="27" t="s">
        <v>8</v>
      </c>
      <c r="DH447" s="27" t="s">
        <v>7</v>
      </c>
      <c r="DI447" s="27" t="s">
        <v>8</v>
      </c>
      <c r="DJ447" s="27" t="s">
        <v>7</v>
      </c>
      <c r="DK447" s="27" t="s">
        <v>8</v>
      </c>
      <c r="DL447" s="27" t="s">
        <v>7</v>
      </c>
      <c r="DM447" s="27" t="s">
        <v>8</v>
      </c>
      <c r="DN447" s="27" t="s">
        <v>7</v>
      </c>
      <c r="DQ447" s="27" t="s">
        <v>8</v>
      </c>
      <c r="DR447" s="27" t="s">
        <v>7</v>
      </c>
      <c r="ES447" s="27" t="s">
        <v>8</v>
      </c>
      <c r="ET447" s="27" t="s">
        <v>7</v>
      </c>
      <c r="EW447" s="27" t="s">
        <v>8</v>
      </c>
      <c r="EX447" s="27" t="s">
        <v>7</v>
      </c>
      <c r="EY447" s="27" t="s">
        <v>8</v>
      </c>
      <c r="EZ447" s="27" t="s">
        <v>7</v>
      </c>
      <c r="FA447" s="27" t="s">
        <v>8</v>
      </c>
      <c r="FB447" s="27" t="s">
        <v>7</v>
      </c>
      <c r="FC447" s="27" t="s">
        <v>8</v>
      </c>
      <c r="FD447" s="27" t="s">
        <v>7</v>
      </c>
    </row>
    <row r="448" spans="1:160" x14ac:dyDescent="0.25">
      <c r="A448" s="7">
        <v>15.682809782308393</v>
      </c>
      <c r="B448"/>
      <c r="C448"/>
      <c r="D448"/>
      <c r="E448"/>
      <c r="AC448" s="27" t="s">
        <v>8</v>
      </c>
      <c r="BF448" s="27" t="s">
        <v>7</v>
      </c>
      <c r="BG448" s="27" t="s">
        <v>8</v>
      </c>
      <c r="BH448" s="27" t="s">
        <v>7</v>
      </c>
      <c r="BI448" s="27" t="s">
        <v>8</v>
      </c>
      <c r="BJ448" s="27" t="s">
        <v>7</v>
      </c>
      <c r="CM448" s="27" t="s">
        <v>8</v>
      </c>
      <c r="CN448" s="27" t="s">
        <v>7</v>
      </c>
      <c r="CO448" s="27" t="s">
        <v>8</v>
      </c>
      <c r="CP448" s="27" t="s">
        <v>7</v>
      </c>
      <c r="CW448" s="27" t="s">
        <v>8</v>
      </c>
      <c r="CX448" s="27" t="s">
        <v>7</v>
      </c>
      <c r="DE448" s="27" t="s">
        <v>8</v>
      </c>
      <c r="DF448" s="27" t="s">
        <v>7</v>
      </c>
      <c r="DG448" s="27" t="s">
        <v>8</v>
      </c>
      <c r="DH448" s="27" t="s">
        <v>7</v>
      </c>
      <c r="DI448" s="27" t="s">
        <v>8</v>
      </c>
      <c r="DJ448" s="27" t="s">
        <v>7</v>
      </c>
      <c r="DL448" s="27" t="s">
        <v>7</v>
      </c>
      <c r="DM448" s="27" t="s">
        <v>8</v>
      </c>
      <c r="DN448" s="27" t="s">
        <v>7</v>
      </c>
      <c r="DQ448" s="27" t="s">
        <v>8</v>
      </c>
      <c r="DR448" s="27" t="s">
        <v>7</v>
      </c>
      <c r="DS448" s="27" t="s">
        <v>8</v>
      </c>
      <c r="ES448" s="27" t="s">
        <v>8</v>
      </c>
      <c r="ET448" s="27" t="s">
        <v>7</v>
      </c>
      <c r="EW448" s="27" t="s">
        <v>8</v>
      </c>
      <c r="EX448" s="27" t="s">
        <v>7</v>
      </c>
      <c r="EY448" s="27" t="s">
        <v>8</v>
      </c>
      <c r="EZ448" s="27" t="s">
        <v>7</v>
      </c>
      <c r="FA448" s="27" t="s">
        <v>8</v>
      </c>
      <c r="FB448" s="27" t="s">
        <v>7</v>
      </c>
      <c r="FC448" s="27" t="s">
        <v>8</v>
      </c>
      <c r="FD448" s="27" t="s">
        <v>7</v>
      </c>
    </row>
    <row r="449" spans="1:170" x14ac:dyDescent="0.25">
      <c r="A449" s="7">
        <v>15.375303708145482</v>
      </c>
      <c r="B449"/>
      <c r="C449"/>
      <c r="D449"/>
      <c r="E449"/>
      <c r="AC449" s="27" t="s">
        <v>8</v>
      </c>
      <c r="BF449" s="27" t="s">
        <v>7</v>
      </c>
      <c r="BH449" s="27" t="s">
        <v>7</v>
      </c>
      <c r="BI449" s="27" t="s">
        <v>8</v>
      </c>
      <c r="BJ449" s="27" t="s">
        <v>7</v>
      </c>
      <c r="CM449" s="27" t="s">
        <v>8</v>
      </c>
      <c r="CN449" s="27" t="s">
        <v>7</v>
      </c>
      <c r="CO449" s="27" t="s">
        <v>8</v>
      </c>
      <c r="CP449" s="27" t="s">
        <v>7</v>
      </c>
      <c r="CQ449" s="27" t="s">
        <v>8</v>
      </c>
      <c r="CW449" s="27" t="s">
        <v>8</v>
      </c>
      <c r="CX449" s="27" t="s">
        <v>7</v>
      </c>
      <c r="DE449" s="27" t="s">
        <v>8</v>
      </c>
      <c r="DF449" s="27" t="s">
        <v>7</v>
      </c>
      <c r="DG449" s="27" t="s">
        <v>8</v>
      </c>
      <c r="DH449" s="27" t="s">
        <v>7</v>
      </c>
      <c r="DI449" s="27" t="s">
        <v>8</v>
      </c>
      <c r="DL449" s="27" t="s">
        <v>7</v>
      </c>
      <c r="DM449" s="27" t="s">
        <v>8</v>
      </c>
      <c r="DN449" s="27" t="s">
        <v>7</v>
      </c>
      <c r="DQ449" s="27" t="s">
        <v>8</v>
      </c>
      <c r="DR449" s="27" t="s">
        <v>7</v>
      </c>
      <c r="DS449" s="27" t="s">
        <v>8</v>
      </c>
      <c r="DT449" s="27" t="s">
        <v>7</v>
      </c>
      <c r="DU449" s="27" t="s">
        <v>8</v>
      </c>
      <c r="ES449" s="27" t="s">
        <v>8</v>
      </c>
      <c r="ET449" s="27" t="s">
        <v>7</v>
      </c>
      <c r="EW449" s="27" t="s">
        <v>8</v>
      </c>
      <c r="EX449" s="27" t="s">
        <v>7</v>
      </c>
      <c r="EY449" s="27" t="s">
        <v>8</v>
      </c>
      <c r="EZ449" s="27" t="s">
        <v>7</v>
      </c>
      <c r="FA449" s="27" t="s">
        <v>8</v>
      </c>
      <c r="FB449" s="27" t="s">
        <v>7</v>
      </c>
      <c r="FC449" s="27" t="s">
        <v>8</v>
      </c>
      <c r="FD449" s="27" t="s">
        <v>7</v>
      </c>
    </row>
    <row r="450" spans="1:170" x14ac:dyDescent="0.25">
      <c r="A450" s="7">
        <v>15.073827164848511</v>
      </c>
      <c r="B450"/>
      <c r="C450"/>
      <c r="D450"/>
      <c r="E450"/>
      <c r="AC450" s="27" t="s">
        <v>8</v>
      </c>
      <c r="BH450" s="27" t="s">
        <v>7</v>
      </c>
      <c r="BI450" s="27" t="s">
        <v>8</v>
      </c>
      <c r="BJ450" s="27" t="s">
        <v>7</v>
      </c>
      <c r="CM450" s="27" t="s">
        <v>8</v>
      </c>
      <c r="CN450" s="27" t="s">
        <v>7</v>
      </c>
      <c r="CO450" s="27" t="s">
        <v>8</v>
      </c>
      <c r="CP450" s="27" t="s">
        <v>7</v>
      </c>
      <c r="CQ450" s="27" t="s">
        <v>8</v>
      </c>
      <c r="CR450" s="27" t="s">
        <v>7</v>
      </c>
      <c r="CW450" s="27" t="s">
        <v>8</v>
      </c>
      <c r="CX450" s="27" t="s">
        <v>7</v>
      </c>
      <c r="DE450" s="27" t="s">
        <v>8</v>
      </c>
      <c r="DF450" s="27" t="s">
        <v>7</v>
      </c>
      <c r="DG450" s="27" t="s">
        <v>8</v>
      </c>
      <c r="DH450" s="27" t="s">
        <v>7</v>
      </c>
      <c r="DI450" s="27" t="s">
        <v>8</v>
      </c>
      <c r="DL450" s="27" t="s">
        <v>7</v>
      </c>
      <c r="DN450" s="27" t="s">
        <v>7</v>
      </c>
      <c r="DQ450" s="27" t="s">
        <v>8</v>
      </c>
      <c r="DR450" s="27" t="s">
        <v>7</v>
      </c>
      <c r="DS450" s="27" t="s">
        <v>8</v>
      </c>
      <c r="DT450" s="27" t="s">
        <v>7</v>
      </c>
      <c r="DU450" s="27" t="s">
        <v>8</v>
      </c>
      <c r="DV450" s="27" t="s">
        <v>7</v>
      </c>
      <c r="EC450" s="27" t="s">
        <v>8</v>
      </c>
      <c r="ES450" s="27" t="s">
        <v>8</v>
      </c>
      <c r="ET450" s="27" t="s">
        <v>7</v>
      </c>
      <c r="EW450" s="27" t="s">
        <v>8</v>
      </c>
      <c r="EX450" s="27" t="s">
        <v>7</v>
      </c>
      <c r="EY450" s="27" t="s">
        <v>8</v>
      </c>
      <c r="EZ450" s="27" t="s">
        <v>7</v>
      </c>
      <c r="FA450" s="27" t="s">
        <v>8</v>
      </c>
      <c r="FB450" s="27" t="s">
        <v>7</v>
      </c>
      <c r="FC450" s="27" t="s">
        <v>8</v>
      </c>
      <c r="FD450" s="27" t="s">
        <v>7</v>
      </c>
    </row>
    <row r="451" spans="1:170" x14ac:dyDescent="0.25">
      <c r="A451" s="7">
        <v>14.77826192632207</v>
      </c>
      <c r="B451"/>
      <c r="C451"/>
      <c r="D451"/>
      <c r="E451"/>
      <c r="AC451" s="27" t="s">
        <v>8</v>
      </c>
      <c r="BH451" s="27" t="s">
        <v>7</v>
      </c>
      <c r="BJ451" s="27" t="s">
        <v>7</v>
      </c>
      <c r="CM451" s="27" t="s">
        <v>8</v>
      </c>
      <c r="CN451" s="27" t="s">
        <v>7</v>
      </c>
      <c r="CO451" s="27" t="s">
        <v>8</v>
      </c>
      <c r="CP451" s="27" t="s">
        <v>7</v>
      </c>
      <c r="CQ451" s="27" t="s">
        <v>8</v>
      </c>
      <c r="CR451" s="27" t="s">
        <v>7</v>
      </c>
      <c r="CW451" s="27" t="s">
        <v>8</v>
      </c>
      <c r="CX451" s="27" t="s">
        <v>7</v>
      </c>
      <c r="CY451" s="27" t="s">
        <v>8</v>
      </c>
      <c r="DE451" s="27" t="s">
        <v>8</v>
      </c>
      <c r="DF451" s="27" t="s">
        <v>7</v>
      </c>
      <c r="DH451" s="27" t="s">
        <v>7</v>
      </c>
      <c r="DI451" s="27" t="s">
        <v>8</v>
      </c>
      <c r="DN451" s="27" t="s">
        <v>7</v>
      </c>
      <c r="DQ451" s="27" t="s">
        <v>8</v>
      </c>
      <c r="DR451" s="27" t="s">
        <v>7</v>
      </c>
      <c r="DS451" s="27" t="s">
        <v>8</v>
      </c>
      <c r="DT451" s="27" t="s">
        <v>7</v>
      </c>
      <c r="DU451" s="27" t="s">
        <v>8</v>
      </c>
      <c r="DV451" s="27" t="s">
        <v>7</v>
      </c>
      <c r="EC451" s="27" t="s">
        <v>8</v>
      </c>
      <c r="ED451" s="27" t="s">
        <v>7</v>
      </c>
      <c r="ES451" s="27" t="s">
        <v>8</v>
      </c>
      <c r="ET451" s="27" t="s">
        <v>7</v>
      </c>
      <c r="EW451" s="27" t="s">
        <v>8</v>
      </c>
      <c r="EX451" s="27" t="s">
        <v>7</v>
      </c>
      <c r="EY451" s="27" t="s">
        <v>8</v>
      </c>
      <c r="EZ451" s="27" t="s">
        <v>7</v>
      </c>
      <c r="FA451" s="27" t="s">
        <v>8</v>
      </c>
      <c r="FB451" s="27" t="s">
        <v>7</v>
      </c>
      <c r="FC451" s="27" t="s">
        <v>8</v>
      </c>
      <c r="FD451" s="27" t="s">
        <v>7</v>
      </c>
      <c r="FI451" s="27" t="s">
        <v>8</v>
      </c>
    </row>
    <row r="452" spans="1:170" x14ac:dyDescent="0.25">
      <c r="A452" s="7">
        <v>14.488492084629481</v>
      </c>
      <c r="B452"/>
      <c r="C452"/>
      <c r="D452"/>
      <c r="E452"/>
      <c r="AC452" s="27" t="s">
        <v>8</v>
      </c>
      <c r="BJ452" s="27" t="s">
        <v>7</v>
      </c>
      <c r="CM452" s="27" t="s">
        <v>8</v>
      </c>
      <c r="CN452" s="27" t="s">
        <v>7</v>
      </c>
      <c r="CO452" s="27" t="s">
        <v>8</v>
      </c>
      <c r="CP452" s="27" t="s">
        <v>7</v>
      </c>
      <c r="CQ452" s="27" t="s">
        <v>8</v>
      </c>
      <c r="CR452" s="27" t="s">
        <v>7</v>
      </c>
      <c r="CW452" s="27" t="s">
        <v>8</v>
      </c>
      <c r="CX452" s="27" t="s">
        <v>7</v>
      </c>
      <c r="CY452" s="27" t="s">
        <v>8</v>
      </c>
      <c r="CZ452" s="27" t="s">
        <v>7</v>
      </c>
      <c r="DE452" s="27" t="s">
        <v>8</v>
      </c>
      <c r="DH452" s="27" t="s">
        <v>7</v>
      </c>
      <c r="DI452" s="27" t="s">
        <v>8</v>
      </c>
      <c r="DN452" s="27" t="s">
        <v>7</v>
      </c>
      <c r="DQ452" s="27" t="s">
        <v>8</v>
      </c>
      <c r="DR452" s="27" t="s">
        <v>7</v>
      </c>
      <c r="DS452" s="27" t="s">
        <v>8</v>
      </c>
      <c r="DT452" s="27" t="s">
        <v>7</v>
      </c>
      <c r="DU452" s="27" t="s">
        <v>8</v>
      </c>
      <c r="DV452" s="27" t="s">
        <v>7</v>
      </c>
      <c r="EC452" s="27" t="s">
        <v>8</v>
      </c>
      <c r="ED452" s="27" t="s">
        <v>7</v>
      </c>
      <c r="EG452" s="27" t="s">
        <v>8</v>
      </c>
      <c r="EK452" s="27" t="s">
        <v>8</v>
      </c>
      <c r="ES452" s="27" t="s">
        <v>8</v>
      </c>
      <c r="ET452" s="27" t="s">
        <v>7</v>
      </c>
      <c r="EW452" s="27" t="s">
        <v>8</v>
      </c>
      <c r="EX452" s="27" t="s">
        <v>7</v>
      </c>
      <c r="EY452" s="27" t="s">
        <v>8</v>
      </c>
      <c r="EZ452" s="27" t="s">
        <v>7</v>
      </c>
      <c r="FA452" s="27" t="s">
        <v>8</v>
      </c>
      <c r="FB452" s="27" t="s">
        <v>7</v>
      </c>
      <c r="FC452" s="27" t="s">
        <v>8</v>
      </c>
      <c r="FD452" s="27" t="s">
        <v>7</v>
      </c>
      <c r="FI452" s="27" t="s">
        <v>8</v>
      </c>
      <c r="FJ452" s="27" t="s">
        <v>7</v>
      </c>
    </row>
    <row r="453" spans="1:170" x14ac:dyDescent="0.25">
      <c r="A453" s="7">
        <v>14.204404004538707</v>
      </c>
      <c r="B453"/>
      <c r="C453"/>
      <c r="D453"/>
      <c r="E453"/>
      <c r="AC453" s="27" t="s">
        <v>8</v>
      </c>
      <c r="BJ453" s="27" t="s">
        <v>7</v>
      </c>
      <c r="CM453" s="27" t="s">
        <v>8</v>
      </c>
      <c r="CN453" s="27" t="s">
        <v>7</v>
      </c>
      <c r="CO453" s="27" t="s">
        <v>8</v>
      </c>
      <c r="CP453" s="27" t="s">
        <v>7</v>
      </c>
      <c r="CQ453" s="27" t="s">
        <v>8</v>
      </c>
      <c r="CR453" s="27" t="s">
        <v>7</v>
      </c>
      <c r="CW453" s="27" t="s">
        <v>8</v>
      </c>
      <c r="CX453" s="27" t="s">
        <v>7</v>
      </c>
      <c r="CY453" s="27" t="s">
        <v>8</v>
      </c>
      <c r="CZ453" s="27" t="s">
        <v>7</v>
      </c>
      <c r="DE453" s="27" t="s">
        <v>8</v>
      </c>
      <c r="DH453" s="27" t="s">
        <v>7</v>
      </c>
      <c r="DN453" s="27" t="s">
        <v>7</v>
      </c>
      <c r="DQ453" s="27" t="s">
        <v>8</v>
      </c>
      <c r="DR453" s="27" t="s">
        <v>7</v>
      </c>
      <c r="DS453" s="27" t="s">
        <v>8</v>
      </c>
      <c r="DT453" s="27" t="s">
        <v>7</v>
      </c>
      <c r="DU453" s="27" t="s">
        <v>8</v>
      </c>
      <c r="DV453" s="27" t="s">
        <v>7</v>
      </c>
      <c r="EC453" s="27" t="s">
        <v>8</v>
      </c>
      <c r="ED453" s="27" t="s">
        <v>7</v>
      </c>
      <c r="EG453" s="27" t="s">
        <v>8</v>
      </c>
      <c r="EH453" s="27" t="s">
        <v>7</v>
      </c>
      <c r="EK453" s="27" t="s">
        <v>8</v>
      </c>
      <c r="EL453" s="27" t="s">
        <v>7</v>
      </c>
      <c r="ES453" s="27" t="s">
        <v>8</v>
      </c>
      <c r="ET453" s="27" t="s">
        <v>7</v>
      </c>
      <c r="EU453" s="27" t="s">
        <v>8</v>
      </c>
      <c r="EW453" s="27" t="s">
        <v>8</v>
      </c>
      <c r="EX453" s="27" t="s">
        <v>7</v>
      </c>
      <c r="EY453" s="27" t="s">
        <v>8</v>
      </c>
      <c r="EZ453" s="27" t="s">
        <v>7</v>
      </c>
      <c r="FA453" s="27" t="s">
        <v>8</v>
      </c>
      <c r="FB453" s="27" t="s">
        <v>7</v>
      </c>
      <c r="FC453" s="27" t="s">
        <v>8</v>
      </c>
      <c r="FD453" s="27" t="s">
        <v>7</v>
      </c>
      <c r="FE453" s="27" t="s">
        <v>8</v>
      </c>
      <c r="FI453" s="27" t="s">
        <v>8</v>
      </c>
      <c r="FJ453" s="27" t="s">
        <v>7</v>
      </c>
    </row>
    <row r="454" spans="1:170" x14ac:dyDescent="0.25">
      <c r="A454" s="7">
        <v>13.925886278959517</v>
      </c>
      <c r="B454"/>
      <c r="C454"/>
      <c r="D454"/>
      <c r="E454"/>
      <c r="AC454" s="27" t="s">
        <v>8</v>
      </c>
      <c r="BJ454" s="27" t="s">
        <v>7</v>
      </c>
      <c r="CM454" s="27" t="s">
        <v>8</v>
      </c>
      <c r="CN454" s="27" t="s">
        <v>7</v>
      </c>
      <c r="CO454" s="27" t="s">
        <v>8</v>
      </c>
      <c r="CP454" s="27" t="s">
        <v>7</v>
      </c>
      <c r="CQ454" s="27" t="s">
        <v>8</v>
      </c>
      <c r="CR454" s="27" t="s">
        <v>7</v>
      </c>
      <c r="CW454" s="27" t="s">
        <v>8</v>
      </c>
      <c r="CX454" s="27" t="s">
        <v>7</v>
      </c>
      <c r="CY454" s="27" t="s">
        <v>8</v>
      </c>
      <c r="CZ454" s="27" t="s">
        <v>7</v>
      </c>
      <c r="DE454" s="27" t="s">
        <v>8</v>
      </c>
      <c r="DN454" s="27" t="s">
        <v>7</v>
      </c>
      <c r="DQ454" s="27" t="s">
        <v>8</v>
      </c>
      <c r="DR454" s="27" t="s">
        <v>7</v>
      </c>
      <c r="DS454" s="27" t="s">
        <v>8</v>
      </c>
      <c r="DT454" s="27" t="s">
        <v>7</v>
      </c>
      <c r="DU454" s="27" t="s">
        <v>8</v>
      </c>
      <c r="DV454" s="27" t="s">
        <v>7</v>
      </c>
      <c r="DY454" s="27" t="s">
        <v>8</v>
      </c>
      <c r="EA454" s="27" t="s">
        <v>8</v>
      </c>
      <c r="EC454" s="27" t="s">
        <v>8</v>
      </c>
      <c r="ED454" s="27" t="s">
        <v>7</v>
      </c>
      <c r="EE454" s="27" t="s">
        <v>8</v>
      </c>
      <c r="EG454" s="27" t="s">
        <v>8</v>
      </c>
      <c r="EH454" s="27" t="s">
        <v>7</v>
      </c>
      <c r="EK454" s="27" t="s">
        <v>8</v>
      </c>
      <c r="EL454" s="27" t="s">
        <v>7</v>
      </c>
      <c r="EQ454" s="27" t="s">
        <v>8</v>
      </c>
      <c r="ES454" s="27" t="s">
        <v>8</v>
      </c>
      <c r="ET454" s="27" t="s">
        <v>7</v>
      </c>
      <c r="EU454" s="27" t="s">
        <v>8</v>
      </c>
      <c r="EV454" s="27" t="s">
        <v>7</v>
      </c>
      <c r="EW454" s="27" t="s">
        <v>8</v>
      </c>
      <c r="EX454" s="27" t="s">
        <v>7</v>
      </c>
      <c r="EY454" s="27" t="s">
        <v>8</v>
      </c>
      <c r="EZ454" s="27" t="s">
        <v>7</v>
      </c>
      <c r="FA454" s="27" t="s">
        <v>8</v>
      </c>
      <c r="FB454" s="27" t="s">
        <v>7</v>
      </c>
      <c r="FC454" s="27" t="s">
        <v>8</v>
      </c>
      <c r="FD454" s="27" t="s">
        <v>7</v>
      </c>
      <c r="FE454" s="27" t="s">
        <v>8</v>
      </c>
      <c r="FF454" s="27" t="s">
        <v>7</v>
      </c>
      <c r="FG454" s="27" t="s">
        <v>8</v>
      </c>
      <c r="FI454" s="27" t="s">
        <v>8</v>
      </c>
      <c r="FJ454" s="27" t="s">
        <v>7</v>
      </c>
    </row>
    <row r="455" spans="1:170" x14ac:dyDescent="0.25">
      <c r="A455" s="7">
        <v>13.652829685254428</v>
      </c>
      <c r="B455"/>
      <c r="C455"/>
      <c r="D455"/>
      <c r="E455"/>
      <c r="AC455" s="27" t="s">
        <v>8</v>
      </c>
      <c r="BJ455" s="27" t="s">
        <v>7</v>
      </c>
      <c r="CM455" s="27" t="s">
        <v>8</v>
      </c>
      <c r="CN455" s="27" t="s">
        <v>7</v>
      </c>
      <c r="CO455" s="27" t="s">
        <v>8</v>
      </c>
      <c r="CP455" s="27" t="s">
        <v>7</v>
      </c>
      <c r="CQ455" s="27" t="s">
        <v>8</v>
      </c>
      <c r="CR455" s="27" t="s">
        <v>7</v>
      </c>
      <c r="CS455" s="27" t="s">
        <v>8</v>
      </c>
      <c r="CW455" s="27" t="s">
        <v>8</v>
      </c>
      <c r="CX455" s="27" t="s">
        <v>7</v>
      </c>
      <c r="CY455" s="27" t="s">
        <v>8</v>
      </c>
      <c r="CZ455" s="27" t="s">
        <v>7</v>
      </c>
      <c r="DE455" s="27" t="s">
        <v>8</v>
      </c>
      <c r="DN455" s="27" t="s">
        <v>7</v>
      </c>
      <c r="DQ455" s="27" t="s">
        <v>8</v>
      </c>
      <c r="DR455" s="27" t="s">
        <v>7</v>
      </c>
      <c r="DS455" s="27" t="s">
        <v>8</v>
      </c>
      <c r="DT455" s="27" t="s">
        <v>7</v>
      </c>
      <c r="DU455" s="27" t="s">
        <v>8</v>
      </c>
      <c r="DV455" s="27" t="s">
        <v>7</v>
      </c>
      <c r="DY455" s="27" t="s">
        <v>8</v>
      </c>
      <c r="DZ455" s="27" t="s">
        <v>7</v>
      </c>
      <c r="EA455" s="27" t="s">
        <v>8</v>
      </c>
      <c r="EB455" s="27" t="s">
        <v>7</v>
      </c>
      <c r="EC455" s="27" t="s">
        <v>8</v>
      </c>
      <c r="ED455" s="27" t="s">
        <v>7</v>
      </c>
      <c r="EE455" s="27" t="s">
        <v>8</v>
      </c>
      <c r="EF455" s="27" t="s">
        <v>7</v>
      </c>
      <c r="EG455" s="27" t="s">
        <v>8</v>
      </c>
      <c r="EH455" s="27" t="s">
        <v>7</v>
      </c>
      <c r="EK455" s="27" t="s">
        <v>8</v>
      </c>
      <c r="EL455" s="27" t="s">
        <v>7</v>
      </c>
      <c r="EQ455" s="27" t="s">
        <v>8</v>
      </c>
      <c r="ER455" s="27" t="s">
        <v>7</v>
      </c>
      <c r="ES455" s="27" t="s">
        <v>8</v>
      </c>
      <c r="ET455" s="27" t="s">
        <v>7</v>
      </c>
      <c r="EU455" s="27" t="s">
        <v>8</v>
      </c>
      <c r="EV455" s="27" t="s">
        <v>7</v>
      </c>
      <c r="EW455" s="27" t="s">
        <v>8</v>
      </c>
      <c r="EX455" s="27" t="s">
        <v>7</v>
      </c>
      <c r="EY455" s="27" t="s">
        <v>8</v>
      </c>
      <c r="EZ455" s="27" t="s">
        <v>7</v>
      </c>
      <c r="FA455" s="27" t="s">
        <v>8</v>
      </c>
      <c r="FB455" s="27" t="s">
        <v>7</v>
      </c>
      <c r="FC455" s="27" t="s">
        <v>8</v>
      </c>
      <c r="FD455" s="27" t="s">
        <v>7</v>
      </c>
      <c r="FE455" s="27" t="s">
        <v>8</v>
      </c>
      <c r="FF455" s="27" t="s">
        <v>7</v>
      </c>
      <c r="FG455" s="27" t="s">
        <v>8</v>
      </c>
      <c r="FH455" s="27" t="s">
        <v>7</v>
      </c>
      <c r="FI455" s="27" t="s">
        <v>8</v>
      </c>
      <c r="FJ455" s="27" t="s">
        <v>7</v>
      </c>
    </row>
    <row r="456" spans="1:170" x14ac:dyDescent="0.25">
      <c r="A456" s="7">
        <v>13.385127142406303</v>
      </c>
      <c r="B456"/>
      <c r="C456"/>
      <c r="D456"/>
      <c r="E456"/>
      <c r="AC456" s="27" t="s">
        <v>8</v>
      </c>
      <c r="BJ456" s="27" t="s">
        <v>7</v>
      </c>
      <c r="CM456" s="27" t="s">
        <v>8</v>
      </c>
      <c r="CN456" s="27" t="s">
        <v>7</v>
      </c>
      <c r="CO456" s="27" t="s">
        <v>8</v>
      </c>
      <c r="CP456" s="27" t="s">
        <v>7</v>
      </c>
      <c r="CQ456" s="27" t="s">
        <v>8</v>
      </c>
      <c r="CR456" s="27" t="s">
        <v>7</v>
      </c>
      <c r="CS456" s="27" t="s">
        <v>8</v>
      </c>
      <c r="CT456" s="27" t="s">
        <v>7</v>
      </c>
      <c r="CW456" s="27" t="s">
        <v>8</v>
      </c>
      <c r="CX456" s="27" t="s">
        <v>7</v>
      </c>
      <c r="CY456" s="27" t="s">
        <v>8</v>
      </c>
      <c r="CZ456" s="27" t="s">
        <v>7</v>
      </c>
      <c r="DA456" s="27" t="s">
        <v>8</v>
      </c>
      <c r="DC456" s="27" t="s">
        <v>8</v>
      </c>
      <c r="DE456" s="27" t="s">
        <v>8</v>
      </c>
      <c r="DN456" s="27" t="s">
        <v>7</v>
      </c>
      <c r="DO456" s="27" t="s">
        <v>8</v>
      </c>
      <c r="DQ456" s="27" t="s">
        <v>8</v>
      </c>
      <c r="DR456" s="27" t="s">
        <v>7</v>
      </c>
      <c r="DS456" s="27" t="s">
        <v>8</v>
      </c>
      <c r="DT456" s="27" t="s">
        <v>7</v>
      </c>
      <c r="DU456" s="27" t="s">
        <v>8</v>
      </c>
      <c r="DV456" s="27" t="s">
        <v>7</v>
      </c>
      <c r="DY456" s="27" t="s">
        <v>8</v>
      </c>
      <c r="DZ456" s="27" t="s">
        <v>7</v>
      </c>
      <c r="EA456" s="27" t="s">
        <v>8</v>
      </c>
      <c r="EB456" s="27" t="s">
        <v>7</v>
      </c>
      <c r="EC456" s="27" t="s">
        <v>8</v>
      </c>
      <c r="ED456" s="27" t="s">
        <v>7</v>
      </c>
      <c r="EE456" s="27" t="s">
        <v>8</v>
      </c>
      <c r="EF456" s="27" t="s">
        <v>7</v>
      </c>
      <c r="EG456" s="27" t="s">
        <v>8</v>
      </c>
      <c r="EH456" s="27" t="s">
        <v>7</v>
      </c>
      <c r="EI456" s="27" t="s">
        <v>8</v>
      </c>
      <c r="EK456" s="27" t="s">
        <v>8</v>
      </c>
      <c r="EL456" s="27" t="s">
        <v>7</v>
      </c>
      <c r="EO456" s="27" t="s">
        <v>8</v>
      </c>
      <c r="EQ456" s="27" t="s">
        <v>8</v>
      </c>
      <c r="ER456" s="27" t="s">
        <v>7</v>
      </c>
      <c r="ES456" s="27" t="s">
        <v>8</v>
      </c>
      <c r="ET456" s="27" t="s">
        <v>7</v>
      </c>
      <c r="EV456" s="27" t="s">
        <v>7</v>
      </c>
      <c r="EW456" s="27" t="s">
        <v>8</v>
      </c>
      <c r="EX456" s="27" t="s">
        <v>7</v>
      </c>
      <c r="EY456" s="27" t="s">
        <v>8</v>
      </c>
      <c r="EZ456" s="27" t="s">
        <v>7</v>
      </c>
      <c r="FA456" s="27" t="s">
        <v>8</v>
      </c>
      <c r="FB456" s="27" t="s">
        <v>7</v>
      </c>
      <c r="FD456" s="27" t="s">
        <v>7</v>
      </c>
      <c r="FE456" s="27" t="s">
        <v>8</v>
      </c>
      <c r="FF456" s="27" t="s">
        <v>7</v>
      </c>
      <c r="FG456" s="27" t="s">
        <v>8</v>
      </c>
      <c r="FH456" s="27" t="s">
        <v>7</v>
      </c>
      <c r="FI456" s="27" t="s">
        <v>8</v>
      </c>
      <c r="FJ456" s="27" t="s">
        <v>7</v>
      </c>
    </row>
    <row r="457" spans="1:170" x14ac:dyDescent="0.25">
      <c r="A457" s="7">
        <v>13.122673669025787</v>
      </c>
      <c r="B457"/>
      <c r="C457"/>
      <c r="D457"/>
      <c r="E457"/>
      <c r="AC457" s="27" t="s">
        <v>8</v>
      </c>
      <c r="BJ457" s="27" t="s">
        <v>7</v>
      </c>
      <c r="CM457" s="27" t="s">
        <v>8</v>
      </c>
      <c r="CN457" s="27" t="s">
        <v>7</v>
      </c>
      <c r="CO457" s="27" t="s">
        <v>8</v>
      </c>
      <c r="CP457" s="27" t="s">
        <v>7</v>
      </c>
      <c r="CQ457" s="27" t="s">
        <v>8</v>
      </c>
      <c r="CR457" s="27" t="s">
        <v>7</v>
      </c>
      <c r="CS457" s="27" t="s">
        <v>8</v>
      </c>
      <c r="CT457" s="27" t="s">
        <v>7</v>
      </c>
      <c r="CW457" s="27" t="s">
        <v>8</v>
      </c>
      <c r="CX457" s="27" t="s">
        <v>7</v>
      </c>
      <c r="CY457" s="27" t="s">
        <v>8</v>
      </c>
      <c r="CZ457" s="27" t="s">
        <v>7</v>
      </c>
      <c r="DA457" s="27" t="s">
        <v>8</v>
      </c>
      <c r="DB457" s="27" t="s">
        <v>7</v>
      </c>
      <c r="DC457" s="27" t="s">
        <v>8</v>
      </c>
      <c r="DD457" s="27" t="s">
        <v>7</v>
      </c>
      <c r="DE457" s="27" t="s">
        <v>8</v>
      </c>
      <c r="DN457" s="27" t="s">
        <v>7</v>
      </c>
      <c r="DO457" s="27" t="s">
        <v>8</v>
      </c>
      <c r="DP457" s="27" t="s">
        <v>7</v>
      </c>
      <c r="DQ457" s="27" t="s">
        <v>8</v>
      </c>
      <c r="DR457" s="27" t="s">
        <v>7</v>
      </c>
      <c r="DS457" s="27" t="s">
        <v>8</v>
      </c>
      <c r="DT457" s="27" t="s">
        <v>7</v>
      </c>
      <c r="DU457" s="27" t="s">
        <v>8</v>
      </c>
      <c r="DV457" s="27" t="s">
        <v>7</v>
      </c>
      <c r="DY457" s="27" t="s">
        <v>8</v>
      </c>
      <c r="DZ457" s="27" t="s">
        <v>7</v>
      </c>
      <c r="EA457" s="27" t="s">
        <v>8</v>
      </c>
      <c r="EB457" s="27" t="s">
        <v>7</v>
      </c>
      <c r="EC457" s="27" t="s">
        <v>8</v>
      </c>
      <c r="ED457" s="27" t="s">
        <v>7</v>
      </c>
      <c r="EE457" s="27" t="s">
        <v>8</v>
      </c>
      <c r="EF457" s="27" t="s">
        <v>7</v>
      </c>
      <c r="EG457" s="27" t="s">
        <v>8</v>
      </c>
      <c r="EH457" s="27" t="s">
        <v>7</v>
      </c>
      <c r="EI457" s="27" t="s">
        <v>8</v>
      </c>
      <c r="EJ457" s="27" t="s">
        <v>7</v>
      </c>
      <c r="EK457" s="27" t="s">
        <v>8</v>
      </c>
      <c r="EL457" s="27" t="s">
        <v>7</v>
      </c>
      <c r="EO457" s="27" t="s">
        <v>8</v>
      </c>
      <c r="EP457" s="27" t="s">
        <v>7</v>
      </c>
      <c r="EQ457" s="27" t="s">
        <v>8</v>
      </c>
      <c r="ER457" s="27" t="s">
        <v>7</v>
      </c>
      <c r="ES457" s="27" t="s">
        <v>8</v>
      </c>
      <c r="EV457" s="27" t="s">
        <v>7</v>
      </c>
      <c r="EW457" s="27" t="s">
        <v>8</v>
      </c>
      <c r="EX457" s="27" t="s">
        <v>7</v>
      </c>
      <c r="EY457" s="27" t="s">
        <v>8</v>
      </c>
      <c r="EZ457" s="27" t="s">
        <v>7</v>
      </c>
      <c r="FA457" s="27" t="s">
        <v>8</v>
      </c>
      <c r="FD457" s="27" t="s">
        <v>7</v>
      </c>
      <c r="FE457" s="27" t="s">
        <v>8</v>
      </c>
      <c r="FF457" s="27" t="s">
        <v>7</v>
      </c>
      <c r="FG457" s="27" t="s">
        <v>8</v>
      </c>
      <c r="FH457" s="27" t="s">
        <v>7</v>
      </c>
      <c r="FI457" s="27" t="s">
        <v>8</v>
      </c>
      <c r="FJ457" s="27" t="s">
        <v>7</v>
      </c>
    </row>
    <row r="458" spans="1:170" x14ac:dyDescent="0.25">
      <c r="A458" s="7">
        <v>12.865366342182144</v>
      </c>
      <c r="B458"/>
      <c r="C458"/>
      <c r="D458"/>
      <c r="E458"/>
      <c r="S458" s="27" t="s">
        <v>8</v>
      </c>
      <c r="AC458" s="27" t="s">
        <v>8</v>
      </c>
      <c r="BJ458" s="27" t="s">
        <v>7</v>
      </c>
      <c r="CM458" s="27" t="s">
        <v>8</v>
      </c>
      <c r="CN458" s="27" t="s">
        <v>7</v>
      </c>
      <c r="CO458" s="27" t="s">
        <v>8</v>
      </c>
      <c r="CP458" s="27" t="s">
        <v>7</v>
      </c>
      <c r="CQ458" s="27" t="s">
        <v>8</v>
      </c>
      <c r="CR458" s="27" t="s">
        <v>7</v>
      </c>
      <c r="CS458" s="27" t="s">
        <v>8</v>
      </c>
      <c r="CT458" s="27" t="s">
        <v>7</v>
      </c>
      <c r="CW458" s="27" t="s">
        <v>8</v>
      </c>
      <c r="CX458" s="27" t="s">
        <v>7</v>
      </c>
      <c r="CY458" s="27" t="s">
        <v>8</v>
      </c>
      <c r="CZ458" s="27" t="s">
        <v>7</v>
      </c>
      <c r="DA458" s="27" t="s">
        <v>8</v>
      </c>
      <c r="DB458" s="27" t="s">
        <v>7</v>
      </c>
      <c r="DC458" s="27" t="s">
        <v>8</v>
      </c>
      <c r="DD458" s="27" t="s">
        <v>7</v>
      </c>
      <c r="DE458" s="27" t="s">
        <v>8</v>
      </c>
      <c r="DN458" s="27" t="s">
        <v>7</v>
      </c>
      <c r="DO458" s="27" t="s">
        <v>8</v>
      </c>
      <c r="DP458" s="27" t="s">
        <v>7</v>
      </c>
      <c r="DQ458" s="27" t="s">
        <v>8</v>
      </c>
      <c r="DR458" s="27" t="s">
        <v>7</v>
      </c>
      <c r="DS458" s="27" t="s">
        <v>8</v>
      </c>
      <c r="DT458" s="27" t="s">
        <v>7</v>
      </c>
      <c r="DV458" s="27" t="s">
        <v>7</v>
      </c>
      <c r="DW458" s="27" t="s">
        <v>8</v>
      </c>
      <c r="DY458" s="27" t="s">
        <v>8</v>
      </c>
      <c r="DZ458" s="27" t="s">
        <v>7</v>
      </c>
      <c r="EA458" s="27" t="s">
        <v>8</v>
      </c>
      <c r="EB458" s="27" t="s">
        <v>7</v>
      </c>
      <c r="EC458" s="27" t="s">
        <v>8</v>
      </c>
      <c r="ED458" s="27" t="s">
        <v>7</v>
      </c>
      <c r="EE458" s="27" t="s">
        <v>8</v>
      </c>
      <c r="EF458" s="27" t="s">
        <v>7</v>
      </c>
      <c r="EG458" s="27" t="s">
        <v>8</v>
      </c>
      <c r="EH458" s="27" t="s">
        <v>7</v>
      </c>
      <c r="EI458" s="27" t="s">
        <v>8</v>
      </c>
      <c r="EJ458" s="27" t="s">
        <v>7</v>
      </c>
      <c r="EK458" s="27" t="s">
        <v>8</v>
      </c>
      <c r="EL458" s="27" t="s">
        <v>7</v>
      </c>
      <c r="EM458" s="27" t="s">
        <v>8</v>
      </c>
      <c r="EO458" s="27" t="s">
        <v>8</v>
      </c>
      <c r="EP458" s="27" t="s">
        <v>7</v>
      </c>
      <c r="EQ458" s="27" t="s">
        <v>8</v>
      </c>
      <c r="ER458" s="27" t="s">
        <v>7</v>
      </c>
      <c r="ES458" s="27" t="s">
        <v>8</v>
      </c>
      <c r="EV458" s="27" t="s">
        <v>7</v>
      </c>
      <c r="EX458" s="27" t="s">
        <v>7</v>
      </c>
      <c r="EZ458" s="27" t="s">
        <v>7</v>
      </c>
      <c r="FA458" s="27" t="s">
        <v>8</v>
      </c>
      <c r="FD458" s="27" t="s">
        <v>7</v>
      </c>
      <c r="FF458" s="27" t="s">
        <v>7</v>
      </c>
      <c r="FG458" s="27" t="s">
        <v>8</v>
      </c>
      <c r="FH458" s="27" t="s">
        <v>7</v>
      </c>
      <c r="FI458" s="27" t="s">
        <v>8</v>
      </c>
      <c r="FJ458" s="27" t="s">
        <v>7</v>
      </c>
    </row>
    <row r="459" spans="1:170" x14ac:dyDescent="0.25">
      <c r="A459" s="7">
        <v>12.613104257041318</v>
      </c>
      <c r="B459"/>
      <c r="C459"/>
      <c r="D459"/>
      <c r="E459"/>
      <c r="S459" s="27" t="s">
        <v>8</v>
      </c>
      <c r="T459" s="27" t="s">
        <v>7</v>
      </c>
      <c r="AC459" s="27" t="s">
        <v>8</v>
      </c>
      <c r="BJ459" s="27" t="s">
        <v>7</v>
      </c>
      <c r="CM459" s="27" t="s">
        <v>8</v>
      </c>
      <c r="CN459" s="27" t="s">
        <v>7</v>
      </c>
      <c r="CO459" s="27" t="s">
        <v>8</v>
      </c>
      <c r="CP459" s="27" t="s">
        <v>7</v>
      </c>
      <c r="CQ459" s="27" t="s">
        <v>8</v>
      </c>
      <c r="CR459" s="27" t="s">
        <v>7</v>
      </c>
      <c r="CS459" s="27" t="s">
        <v>8</v>
      </c>
      <c r="CT459" s="27" t="s">
        <v>7</v>
      </c>
      <c r="CW459" s="27" t="s">
        <v>8</v>
      </c>
      <c r="CX459" s="27" t="s">
        <v>7</v>
      </c>
      <c r="CY459" s="27" t="s">
        <v>8</v>
      </c>
      <c r="CZ459" s="27" t="s">
        <v>7</v>
      </c>
      <c r="DA459" s="27" t="s">
        <v>8</v>
      </c>
      <c r="DB459" s="27" t="s">
        <v>7</v>
      </c>
      <c r="DC459" s="27" t="s">
        <v>8</v>
      </c>
      <c r="DD459" s="27" t="s">
        <v>7</v>
      </c>
      <c r="DE459" s="27" t="s">
        <v>8</v>
      </c>
      <c r="DN459" s="27" t="s">
        <v>7</v>
      </c>
      <c r="DO459" s="27" t="s">
        <v>8</v>
      </c>
      <c r="DP459" s="27" t="s">
        <v>7</v>
      </c>
      <c r="DQ459" s="27" t="s">
        <v>8</v>
      </c>
      <c r="DR459" s="27" t="s">
        <v>7</v>
      </c>
      <c r="DS459" s="27" t="s">
        <v>8</v>
      </c>
      <c r="DV459" s="27" t="s">
        <v>7</v>
      </c>
      <c r="DW459" s="27" t="s">
        <v>8</v>
      </c>
      <c r="DX459" s="27" t="s">
        <v>7</v>
      </c>
      <c r="DY459" s="27" t="s">
        <v>8</v>
      </c>
      <c r="DZ459" s="27" t="s">
        <v>7</v>
      </c>
      <c r="EA459" s="27" t="s">
        <v>8</v>
      </c>
      <c r="EB459" s="27" t="s">
        <v>7</v>
      </c>
      <c r="EC459" s="27" t="s">
        <v>8</v>
      </c>
      <c r="ED459" s="27" t="s">
        <v>7</v>
      </c>
      <c r="EE459" s="27" t="s">
        <v>8</v>
      </c>
      <c r="EF459" s="27" t="s">
        <v>7</v>
      </c>
      <c r="EG459" s="27" t="s">
        <v>8</v>
      </c>
      <c r="EH459" s="27" t="s">
        <v>7</v>
      </c>
      <c r="EJ459" s="27" t="s">
        <v>7</v>
      </c>
      <c r="EL459" s="27" t="s">
        <v>7</v>
      </c>
      <c r="EM459" s="27" t="s">
        <v>8</v>
      </c>
      <c r="EN459" s="27" t="s">
        <v>7</v>
      </c>
      <c r="EO459" s="27" t="s">
        <v>8</v>
      </c>
      <c r="EP459" s="27" t="s">
        <v>7</v>
      </c>
      <c r="EQ459" s="27" t="s">
        <v>8</v>
      </c>
      <c r="ER459" s="27" t="s">
        <v>7</v>
      </c>
      <c r="ES459" s="27" t="s">
        <v>8</v>
      </c>
      <c r="EZ459" s="27" t="s">
        <v>7</v>
      </c>
      <c r="FA459" s="27" t="s">
        <v>8</v>
      </c>
      <c r="FF459" s="27" t="s">
        <v>7</v>
      </c>
      <c r="FG459" s="27" t="s">
        <v>8</v>
      </c>
      <c r="FH459" s="27" t="s">
        <v>7</v>
      </c>
      <c r="FI459" s="27" t="s">
        <v>8</v>
      </c>
      <c r="FJ459" s="27" t="s">
        <v>7</v>
      </c>
    </row>
    <row r="460" spans="1:170" x14ac:dyDescent="0.25">
      <c r="A460" s="7">
        <v>12.36578848729541</v>
      </c>
      <c r="B460"/>
      <c r="C460"/>
      <c r="D460"/>
      <c r="E460"/>
      <c r="S460" s="27" t="s">
        <v>8</v>
      </c>
      <c r="T460" s="27" t="s">
        <v>7</v>
      </c>
      <c r="AC460" s="27" t="s">
        <v>8</v>
      </c>
      <c r="BJ460" s="27" t="s">
        <v>7</v>
      </c>
      <c r="CM460" s="27" t="s">
        <v>8</v>
      </c>
      <c r="CN460" s="27" t="s">
        <v>7</v>
      </c>
      <c r="CO460" s="27" t="s">
        <v>8</v>
      </c>
      <c r="CP460" s="27" t="s">
        <v>7</v>
      </c>
      <c r="CQ460" s="27" t="s">
        <v>8</v>
      </c>
      <c r="CR460" s="27" t="s">
        <v>7</v>
      </c>
      <c r="CS460" s="27" t="s">
        <v>8</v>
      </c>
      <c r="CT460" s="27" t="s">
        <v>7</v>
      </c>
      <c r="CW460" s="27" t="s">
        <v>8</v>
      </c>
      <c r="CX460" s="27" t="s">
        <v>7</v>
      </c>
      <c r="CZ460" s="27" t="s">
        <v>7</v>
      </c>
      <c r="DB460" s="27" t="s">
        <v>7</v>
      </c>
      <c r="DC460" s="27" t="s">
        <v>8</v>
      </c>
      <c r="DD460" s="27" t="s">
        <v>7</v>
      </c>
      <c r="DE460" s="27" t="s">
        <v>8</v>
      </c>
      <c r="DN460" s="27" t="s">
        <v>7</v>
      </c>
      <c r="DO460" s="27" t="s">
        <v>8</v>
      </c>
      <c r="DP460" s="27" t="s">
        <v>7</v>
      </c>
      <c r="DQ460" s="27" t="s">
        <v>8</v>
      </c>
      <c r="DR460" s="27" t="s">
        <v>7</v>
      </c>
      <c r="DS460" s="27" t="s">
        <v>8</v>
      </c>
      <c r="DV460" s="27" t="s">
        <v>7</v>
      </c>
      <c r="DW460" s="27" t="s">
        <v>8</v>
      </c>
      <c r="DX460" s="27" t="s">
        <v>7</v>
      </c>
      <c r="DY460" s="27" t="s">
        <v>8</v>
      </c>
      <c r="DZ460" s="27" t="s">
        <v>7</v>
      </c>
      <c r="EA460" s="27" t="s">
        <v>8</v>
      </c>
      <c r="EB460" s="27" t="s">
        <v>7</v>
      </c>
      <c r="ED460" s="27" t="s">
        <v>7</v>
      </c>
      <c r="EE460" s="27" t="s">
        <v>8</v>
      </c>
      <c r="EF460" s="27" t="s">
        <v>7</v>
      </c>
      <c r="EL460" s="27" t="s">
        <v>7</v>
      </c>
      <c r="EM460" s="27" t="s">
        <v>8</v>
      </c>
      <c r="EN460" s="27" t="s">
        <v>7</v>
      </c>
      <c r="EO460" s="27" t="s">
        <v>8</v>
      </c>
      <c r="EP460" s="27" t="s">
        <v>7</v>
      </c>
      <c r="EQ460" s="27" t="s">
        <v>8</v>
      </c>
      <c r="ER460" s="27" t="s">
        <v>7</v>
      </c>
      <c r="ES460" s="27" t="s">
        <v>8</v>
      </c>
      <c r="EZ460" s="27" t="s">
        <v>7</v>
      </c>
      <c r="FF460" s="27" t="s">
        <v>7</v>
      </c>
      <c r="FG460" s="27" t="s">
        <v>8</v>
      </c>
      <c r="FH460" s="27" t="s">
        <v>7</v>
      </c>
      <c r="FI460" s="27" t="s">
        <v>8</v>
      </c>
      <c r="FJ460" s="27" t="s">
        <v>7</v>
      </c>
      <c r="FK460" s="27" t="s">
        <v>8</v>
      </c>
    </row>
    <row r="461" spans="1:170" x14ac:dyDescent="0.25">
      <c r="A461" s="7">
        <v>12.123322046368049</v>
      </c>
      <c r="B461"/>
      <c r="C461"/>
      <c r="D461"/>
      <c r="E461"/>
      <c r="S461" s="27" t="s">
        <v>8</v>
      </c>
      <c r="T461" s="27" t="s">
        <v>7</v>
      </c>
      <c r="AC461" s="27" t="s">
        <v>8</v>
      </c>
      <c r="BJ461" s="27" t="s">
        <v>7</v>
      </c>
      <c r="CM461" s="27" t="s">
        <v>8</v>
      </c>
      <c r="CN461" s="27" t="s">
        <v>7</v>
      </c>
      <c r="CO461" s="27" t="s">
        <v>8</v>
      </c>
      <c r="CP461" s="27" t="s">
        <v>7</v>
      </c>
      <c r="CQ461" s="27" t="s">
        <v>8</v>
      </c>
      <c r="CR461" s="27" t="s">
        <v>7</v>
      </c>
      <c r="CS461" s="27" t="s">
        <v>8</v>
      </c>
      <c r="CT461" s="27" t="s">
        <v>7</v>
      </c>
      <c r="CU461" s="27" t="s">
        <v>8</v>
      </c>
      <c r="CW461" s="27" t="s">
        <v>8</v>
      </c>
      <c r="DB461" s="27" t="s">
        <v>7</v>
      </c>
      <c r="DC461" s="27" t="s">
        <v>8</v>
      </c>
      <c r="DD461" s="27" t="s">
        <v>7</v>
      </c>
      <c r="DE461" s="27" t="s">
        <v>8</v>
      </c>
      <c r="DN461" s="27" t="s">
        <v>7</v>
      </c>
      <c r="DO461" s="27" t="s">
        <v>8</v>
      </c>
      <c r="DP461" s="27" t="s">
        <v>7</v>
      </c>
      <c r="DQ461" s="27" t="s">
        <v>8</v>
      </c>
      <c r="DR461" s="27" t="s">
        <v>7</v>
      </c>
      <c r="DS461" s="27" t="s">
        <v>8</v>
      </c>
      <c r="DV461" s="27" t="s">
        <v>7</v>
      </c>
      <c r="DW461" s="27" t="s">
        <v>8</v>
      </c>
      <c r="DX461" s="27" t="s">
        <v>7</v>
      </c>
      <c r="DY461" s="27" t="s">
        <v>8</v>
      </c>
      <c r="DZ461" s="27" t="s">
        <v>7</v>
      </c>
      <c r="EA461" s="27" t="s">
        <v>8</v>
      </c>
      <c r="ED461" s="27" t="s">
        <v>7</v>
      </c>
      <c r="EE461" s="27" t="s">
        <v>8</v>
      </c>
      <c r="EL461" s="27" t="s">
        <v>7</v>
      </c>
      <c r="EM461" s="27" t="s">
        <v>8</v>
      </c>
      <c r="EN461" s="27" t="s">
        <v>7</v>
      </c>
      <c r="EP461" s="27" t="s">
        <v>7</v>
      </c>
      <c r="EQ461" s="27" t="s">
        <v>8</v>
      </c>
      <c r="ER461" s="27" t="s">
        <v>7</v>
      </c>
      <c r="ES461" s="27" t="s">
        <v>8</v>
      </c>
      <c r="FF461" s="27" t="s">
        <v>7</v>
      </c>
      <c r="FG461" s="27" t="s">
        <v>8</v>
      </c>
      <c r="FH461" s="27" t="s">
        <v>7</v>
      </c>
      <c r="FI461" s="27" t="s">
        <v>8</v>
      </c>
      <c r="FJ461" s="27" t="s">
        <v>7</v>
      </c>
      <c r="FK461" s="27" t="s">
        <v>8</v>
      </c>
      <c r="FL461" s="27" t="s">
        <v>7</v>
      </c>
    </row>
    <row r="462" spans="1:170" x14ac:dyDescent="0.25">
      <c r="A462" s="7">
        <v>11.88560984938044</v>
      </c>
      <c r="B462"/>
      <c r="C462"/>
      <c r="D462"/>
      <c r="E462"/>
      <c r="O462" s="27" t="s">
        <v>8</v>
      </c>
      <c r="S462" s="27" t="s">
        <v>8</v>
      </c>
      <c r="T462" s="27" t="s">
        <v>7</v>
      </c>
      <c r="AA462" s="27" t="s">
        <v>8</v>
      </c>
      <c r="AC462" s="27" t="s">
        <v>8</v>
      </c>
      <c r="BJ462" s="27" t="s">
        <v>7</v>
      </c>
      <c r="CM462" s="27" t="s">
        <v>8</v>
      </c>
      <c r="CN462" s="27" t="s">
        <v>7</v>
      </c>
      <c r="CO462" s="27" t="s">
        <v>8</v>
      </c>
      <c r="CP462" s="27" t="s">
        <v>7</v>
      </c>
      <c r="CR462" s="27" t="s">
        <v>7</v>
      </c>
      <c r="CS462" s="27" t="s">
        <v>8</v>
      </c>
      <c r="CT462" s="27" t="s">
        <v>7</v>
      </c>
      <c r="CU462" s="27" t="s">
        <v>8</v>
      </c>
      <c r="CV462" s="27" t="s">
        <v>7</v>
      </c>
      <c r="CW462" s="27" t="s">
        <v>8</v>
      </c>
      <c r="DB462" s="27" t="s">
        <v>7</v>
      </c>
      <c r="DC462" s="27" t="s">
        <v>8</v>
      </c>
      <c r="DD462" s="27" t="s">
        <v>7</v>
      </c>
      <c r="DE462" s="27" t="s">
        <v>8</v>
      </c>
      <c r="DN462" s="27" t="s">
        <v>7</v>
      </c>
      <c r="DO462" s="27" t="s">
        <v>8</v>
      </c>
      <c r="DP462" s="27" t="s">
        <v>7</v>
      </c>
      <c r="DQ462" s="27" t="s">
        <v>8</v>
      </c>
      <c r="DR462" s="27" t="s">
        <v>7</v>
      </c>
      <c r="DS462" s="27" t="s">
        <v>8</v>
      </c>
      <c r="DV462" s="27" t="s">
        <v>7</v>
      </c>
      <c r="DW462" s="27" t="s">
        <v>8</v>
      </c>
      <c r="DX462" s="27" t="s">
        <v>7</v>
      </c>
      <c r="DY462" s="27" t="s">
        <v>8</v>
      </c>
      <c r="DZ462" s="27" t="s">
        <v>7</v>
      </c>
      <c r="EA462" s="27" t="s">
        <v>8</v>
      </c>
      <c r="ED462" s="27" t="s">
        <v>7</v>
      </c>
      <c r="EE462" s="27" t="s">
        <v>8</v>
      </c>
      <c r="EL462" s="27" t="s">
        <v>7</v>
      </c>
      <c r="EM462" s="27" t="s">
        <v>8</v>
      </c>
      <c r="EP462" s="27" t="s">
        <v>7</v>
      </c>
      <c r="ER462" s="27" t="s">
        <v>7</v>
      </c>
      <c r="ES462" s="27" t="s">
        <v>8</v>
      </c>
      <c r="FF462" s="27" t="s">
        <v>7</v>
      </c>
      <c r="FG462" s="27" t="s">
        <v>8</v>
      </c>
      <c r="FH462" s="27" t="s">
        <v>7</v>
      </c>
      <c r="FI462" s="27" t="s">
        <v>8</v>
      </c>
      <c r="FJ462" s="27" t="s">
        <v>7</v>
      </c>
      <c r="FK462" s="27" t="s">
        <v>8</v>
      </c>
      <c r="FL462" s="27" t="s">
        <v>7</v>
      </c>
    </row>
    <row r="463" spans="1:170" x14ac:dyDescent="0.25">
      <c r="A463" s="7">
        <v>11.652558675863176</v>
      </c>
      <c r="B463"/>
      <c r="C463"/>
      <c r="D463"/>
      <c r="E463"/>
      <c r="O463" s="27" t="s">
        <v>8</v>
      </c>
      <c r="P463" s="27" t="s">
        <v>7</v>
      </c>
      <c r="S463" s="27" t="s">
        <v>8</v>
      </c>
      <c r="T463" s="27" t="s">
        <v>7</v>
      </c>
      <c r="AA463" s="27" t="s">
        <v>8</v>
      </c>
      <c r="AB463" s="27" t="s">
        <v>7</v>
      </c>
      <c r="AC463" s="27" t="s">
        <v>8</v>
      </c>
      <c r="BJ463" s="27" t="s">
        <v>7</v>
      </c>
      <c r="CM463" s="27" t="s">
        <v>8</v>
      </c>
      <c r="CN463" s="27" t="s">
        <v>7</v>
      </c>
      <c r="CO463" s="27" t="s">
        <v>8</v>
      </c>
      <c r="CR463" s="27" t="s">
        <v>7</v>
      </c>
      <c r="CS463" s="27" t="s">
        <v>8</v>
      </c>
      <c r="CT463" s="27" t="s">
        <v>7</v>
      </c>
      <c r="CU463" s="27" t="s">
        <v>8</v>
      </c>
      <c r="CV463" s="27" t="s">
        <v>7</v>
      </c>
      <c r="CW463" s="27" t="s">
        <v>8</v>
      </c>
      <c r="DB463" s="27" t="s">
        <v>7</v>
      </c>
      <c r="DC463" s="27" t="s">
        <v>8</v>
      </c>
      <c r="DD463" s="27" t="s">
        <v>7</v>
      </c>
      <c r="DE463" s="27" t="s">
        <v>8</v>
      </c>
      <c r="DN463" s="27" t="s">
        <v>7</v>
      </c>
      <c r="DO463" s="27" t="s">
        <v>8</v>
      </c>
      <c r="DP463" s="27" t="s">
        <v>7</v>
      </c>
      <c r="DQ463" s="27" t="s">
        <v>8</v>
      </c>
      <c r="DR463" s="27" t="s">
        <v>7</v>
      </c>
      <c r="DV463" s="27" t="s">
        <v>7</v>
      </c>
      <c r="DW463" s="27" t="s">
        <v>8</v>
      </c>
      <c r="DX463" s="27" t="s">
        <v>7</v>
      </c>
      <c r="DY463" s="27" t="s">
        <v>8</v>
      </c>
      <c r="DZ463" s="27" t="s">
        <v>7</v>
      </c>
      <c r="EA463" s="27" t="s">
        <v>8</v>
      </c>
      <c r="ED463" s="27" t="s">
        <v>7</v>
      </c>
      <c r="EL463" s="27" t="s">
        <v>7</v>
      </c>
      <c r="ER463" s="27" t="s">
        <v>7</v>
      </c>
      <c r="ES463" s="27" t="s">
        <v>8</v>
      </c>
      <c r="FF463" s="27" t="s">
        <v>7</v>
      </c>
      <c r="FG463" s="27" t="s">
        <v>8</v>
      </c>
      <c r="FH463" s="27" t="s">
        <v>7</v>
      </c>
      <c r="FJ463" s="27" t="s">
        <v>7</v>
      </c>
      <c r="FK463" s="27" t="s">
        <v>8</v>
      </c>
      <c r="FL463" s="27" t="s">
        <v>7</v>
      </c>
      <c r="FM463" s="27" t="s">
        <v>8</v>
      </c>
    </row>
    <row r="464" spans="1:170" x14ac:dyDescent="0.25">
      <c r="A464" s="7">
        <v>11.424077133199193</v>
      </c>
      <c r="B464"/>
      <c r="C464"/>
      <c r="D464"/>
      <c r="E464"/>
      <c r="O464" s="27" t="s">
        <v>8</v>
      </c>
      <c r="P464" s="27" t="s">
        <v>7</v>
      </c>
      <c r="S464" s="27" t="s">
        <v>8</v>
      </c>
      <c r="T464" s="27" t="s">
        <v>7</v>
      </c>
      <c r="AA464" s="27" t="s">
        <v>8</v>
      </c>
      <c r="AB464" s="27" t="s">
        <v>7</v>
      </c>
      <c r="AC464" s="27" t="s">
        <v>8</v>
      </c>
      <c r="BJ464" s="27" t="s">
        <v>7</v>
      </c>
      <c r="CM464" s="27" t="s">
        <v>8</v>
      </c>
      <c r="CN464" s="27" t="s">
        <v>7</v>
      </c>
      <c r="CO464" s="27" t="s">
        <v>8</v>
      </c>
      <c r="CR464" s="27" t="s">
        <v>7</v>
      </c>
      <c r="CT464" s="27" t="s">
        <v>7</v>
      </c>
      <c r="CU464" s="27" t="s">
        <v>8</v>
      </c>
      <c r="CV464" s="27" t="s">
        <v>7</v>
      </c>
      <c r="CW464" s="27" t="s">
        <v>8</v>
      </c>
      <c r="DB464" s="27" t="s">
        <v>7</v>
      </c>
      <c r="DC464" s="27" t="s">
        <v>8</v>
      </c>
      <c r="DD464" s="27" t="s">
        <v>7</v>
      </c>
      <c r="DN464" s="27" t="s">
        <v>7</v>
      </c>
      <c r="DO464" s="27" t="s">
        <v>8</v>
      </c>
      <c r="DP464" s="27" t="s">
        <v>7</v>
      </c>
      <c r="DQ464" s="27" t="s">
        <v>8</v>
      </c>
      <c r="DV464" s="27" t="s">
        <v>7</v>
      </c>
      <c r="DW464" s="27" t="s">
        <v>8</v>
      </c>
      <c r="DX464" s="27" t="s">
        <v>7</v>
      </c>
      <c r="DY464" s="27" t="s">
        <v>8</v>
      </c>
      <c r="DZ464" s="27" t="s">
        <v>7</v>
      </c>
      <c r="ER464" s="27" t="s">
        <v>7</v>
      </c>
      <c r="FF464" s="27" t="s">
        <v>7</v>
      </c>
      <c r="FG464" s="27" t="s">
        <v>8</v>
      </c>
      <c r="FJ464" s="27" t="s">
        <v>7</v>
      </c>
      <c r="FL464" s="27" t="s">
        <v>7</v>
      </c>
      <c r="FM464" s="27" t="s">
        <v>8</v>
      </c>
      <c r="FN464" s="27" t="s">
        <v>7</v>
      </c>
    </row>
    <row r="465" spans="1:174" x14ac:dyDescent="0.25">
      <c r="A465" s="7">
        <v>11.200075620783522</v>
      </c>
      <c r="B465"/>
      <c r="C465"/>
      <c r="D465"/>
      <c r="E465"/>
      <c r="O465" s="27" t="s">
        <v>8</v>
      </c>
      <c r="P465" s="27" t="s">
        <v>7</v>
      </c>
      <c r="S465" s="27" t="s">
        <v>8</v>
      </c>
      <c r="T465" s="27" t="s">
        <v>7</v>
      </c>
      <c r="AA465" s="27" t="s">
        <v>8</v>
      </c>
      <c r="AB465" s="27" t="s">
        <v>7</v>
      </c>
      <c r="AC465" s="27" t="s">
        <v>8</v>
      </c>
      <c r="BJ465" s="27" t="s">
        <v>7</v>
      </c>
      <c r="CM465" s="27" t="s">
        <v>8</v>
      </c>
      <c r="CN465" s="27" t="s">
        <v>7</v>
      </c>
      <c r="CO465" s="27" t="s">
        <v>8</v>
      </c>
      <c r="CT465" s="27" t="s">
        <v>7</v>
      </c>
      <c r="CU465" s="27" t="s">
        <v>8</v>
      </c>
      <c r="CV465" s="27" t="s">
        <v>7</v>
      </c>
      <c r="CW465" s="27" t="s">
        <v>8</v>
      </c>
      <c r="DB465" s="27" t="s">
        <v>7</v>
      </c>
      <c r="DC465" s="27" t="s">
        <v>8</v>
      </c>
      <c r="DN465" s="27" t="s">
        <v>7</v>
      </c>
      <c r="DO465" s="27" t="s">
        <v>8</v>
      </c>
      <c r="DP465" s="27" t="s">
        <v>7</v>
      </c>
      <c r="DV465" s="27" t="s">
        <v>7</v>
      </c>
      <c r="DX465" s="27" t="s">
        <v>7</v>
      </c>
      <c r="DY465" s="27" t="s">
        <v>8</v>
      </c>
      <c r="FF465" s="27" t="s">
        <v>7</v>
      </c>
      <c r="FL465" s="27" t="s">
        <v>7</v>
      </c>
      <c r="FM465" s="27" t="s">
        <v>8</v>
      </c>
      <c r="FN465" s="27" t="s">
        <v>7</v>
      </c>
    </row>
    <row r="466" spans="1:174" x14ac:dyDescent="0.25">
      <c r="A466" s="7">
        <v>10.980466294885806</v>
      </c>
      <c r="B466"/>
      <c r="C466"/>
      <c r="D466"/>
      <c r="E466"/>
      <c r="O466" s="27" t="s">
        <v>8</v>
      </c>
      <c r="P466" s="27" t="s">
        <v>7</v>
      </c>
      <c r="S466" s="27" t="s">
        <v>8</v>
      </c>
      <c r="T466" s="27" t="s">
        <v>7</v>
      </c>
      <c r="U466" s="27" t="s">
        <v>8</v>
      </c>
      <c r="AA466" s="27" t="s">
        <v>8</v>
      </c>
      <c r="AB466" s="27" t="s">
        <v>7</v>
      </c>
      <c r="AC466" s="27" t="s">
        <v>8</v>
      </c>
      <c r="BJ466" s="27" t="s">
        <v>7</v>
      </c>
      <c r="CM466" s="27" t="s">
        <v>8</v>
      </c>
      <c r="CN466" s="27" t="s">
        <v>7</v>
      </c>
      <c r="CO466" s="27" t="s">
        <v>8</v>
      </c>
      <c r="CT466" s="27" t="s">
        <v>7</v>
      </c>
      <c r="CU466" s="27" t="s">
        <v>8</v>
      </c>
      <c r="CV466" s="27" t="s">
        <v>7</v>
      </c>
      <c r="CW466" s="27" t="s">
        <v>8</v>
      </c>
      <c r="DB466" s="27" t="s">
        <v>7</v>
      </c>
      <c r="DC466" s="27" t="s">
        <v>8</v>
      </c>
      <c r="DN466" s="27" t="s">
        <v>7</v>
      </c>
      <c r="DO466" s="27" t="s">
        <v>8</v>
      </c>
      <c r="DX466" s="27" t="s">
        <v>7</v>
      </c>
      <c r="FL466" s="27" t="s">
        <v>7</v>
      </c>
      <c r="FM466" s="27" t="s">
        <v>8</v>
      </c>
      <c r="FN466" s="27" t="s">
        <v>7</v>
      </c>
    </row>
    <row r="467" spans="1:174" x14ac:dyDescent="0.25">
      <c r="A467" s="7">
        <v>10.765163034201771</v>
      </c>
      <c r="B467"/>
      <c r="C467"/>
      <c r="D467"/>
      <c r="E467"/>
      <c r="O467" s="27" t="s">
        <v>8</v>
      </c>
      <c r="P467" s="27" t="s">
        <v>7</v>
      </c>
      <c r="S467" s="27" t="s">
        <v>8</v>
      </c>
      <c r="T467" s="27" t="s">
        <v>7</v>
      </c>
      <c r="U467" s="27" t="s">
        <v>8</v>
      </c>
      <c r="V467" s="27" t="s">
        <v>7</v>
      </c>
      <c r="AA467" s="27" t="s">
        <v>8</v>
      </c>
      <c r="AB467" s="27" t="s">
        <v>7</v>
      </c>
      <c r="AC467" s="27" t="s">
        <v>8</v>
      </c>
      <c r="BJ467" s="27" t="s">
        <v>7</v>
      </c>
      <c r="CM467" s="27" t="s">
        <v>8</v>
      </c>
      <c r="CN467" s="27" t="s">
        <v>7</v>
      </c>
      <c r="CO467" s="27" t="s">
        <v>8</v>
      </c>
      <c r="CT467" s="27" t="s">
        <v>7</v>
      </c>
      <c r="CU467" s="27" t="s">
        <v>8</v>
      </c>
      <c r="CV467" s="27" t="s">
        <v>7</v>
      </c>
      <c r="DB467" s="27" t="s">
        <v>7</v>
      </c>
      <c r="DN467" s="27" t="s">
        <v>7</v>
      </c>
      <c r="DO467" s="27" t="s">
        <v>8</v>
      </c>
      <c r="FL467" s="27" t="s">
        <v>7</v>
      </c>
      <c r="FM467" s="27" t="s">
        <v>8</v>
      </c>
      <c r="FN467" s="27" t="s">
        <v>7</v>
      </c>
    </row>
    <row r="468" spans="1:174" x14ac:dyDescent="0.25">
      <c r="A468" s="7">
        <v>10.554081406080169</v>
      </c>
      <c r="B468"/>
      <c r="C468"/>
      <c r="D468"/>
      <c r="E468"/>
      <c r="O468" s="27" t="s">
        <v>8</v>
      </c>
      <c r="P468" s="27" t="s">
        <v>7</v>
      </c>
      <c r="S468" s="27" t="s">
        <v>8</v>
      </c>
      <c r="T468" s="27" t="s">
        <v>7</v>
      </c>
      <c r="U468" s="27" t="s">
        <v>8</v>
      </c>
      <c r="V468" s="27" t="s">
        <v>7</v>
      </c>
      <c r="AA468" s="27" t="s">
        <v>8</v>
      </c>
      <c r="AB468" s="27" t="s">
        <v>7</v>
      </c>
      <c r="AC468" s="27" t="s">
        <v>8</v>
      </c>
      <c r="BJ468" s="27" t="s">
        <v>7</v>
      </c>
      <c r="CM468" s="27" t="s">
        <v>8</v>
      </c>
      <c r="CN468" s="27" t="s">
        <v>7</v>
      </c>
      <c r="CO468" s="27" t="s">
        <v>8</v>
      </c>
      <c r="CT468" s="27" t="s">
        <v>7</v>
      </c>
      <c r="DN468" s="27" t="s">
        <v>7</v>
      </c>
      <c r="DO468" s="27" t="s">
        <v>8</v>
      </c>
      <c r="FL468" s="27" t="s">
        <v>7</v>
      </c>
      <c r="FM468" s="27" t="s">
        <v>8</v>
      </c>
      <c r="FN468" s="27" t="s">
        <v>7</v>
      </c>
    </row>
    <row r="469" spans="1:174" x14ac:dyDescent="0.25">
      <c r="A469" s="7">
        <v>10.34713863341193</v>
      </c>
      <c r="B469"/>
      <c r="C469"/>
      <c r="D469"/>
      <c r="E469"/>
      <c r="O469" s="27" t="s">
        <v>8</v>
      </c>
      <c r="P469" s="27" t="s">
        <v>7</v>
      </c>
      <c r="S469" s="27" t="s">
        <v>8</v>
      </c>
      <c r="T469" s="27" t="s">
        <v>7</v>
      </c>
      <c r="U469" s="27" t="s">
        <v>8</v>
      </c>
      <c r="V469" s="27" t="s">
        <v>7</v>
      </c>
      <c r="AA469" s="27" t="s">
        <v>8</v>
      </c>
      <c r="AB469" s="27" t="s">
        <v>7</v>
      </c>
      <c r="AC469" s="27" t="s">
        <v>8</v>
      </c>
      <c r="BJ469" s="27" t="s">
        <v>7</v>
      </c>
      <c r="CM469" s="27" t="s">
        <v>8</v>
      </c>
      <c r="CN469" s="27" t="s">
        <v>7</v>
      </c>
      <c r="CO469" s="27" t="s">
        <v>8</v>
      </c>
      <c r="DN469" s="27" t="s">
        <v>7</v>
      </c>
      <c r="DO469" s="27" t="s">
        <v>8</v>
      </c>
      <c r="FL469" s="27" t="s">
        <v>7</v>
      </c>
      <c r="FM469" s="27" t="s">
        <v>8</v>
      </c>
      <c r="FN469" s="27" t="s">
        <v>7</v>
      </c>
      <c r="FO469" s="27" t="s">
        <v>8</v>
      </c>
    </row>
    <row r="470" spans="1:174" x14ac:dyDescent="0.25">
      <c r="A470" s="7">
        <v>10.14425356216856</v>
      </c>
      <c r="B470"/>
      <c r="C470"/>
      <c r="D470"/>
      <c r="E470"/>
      <c r="O470" s="27" t="s">
        <v>8</v>
      </c>
      <c r="P470" s="27" t="s">
        <v>7</v>
      </c>
      <c r="S470" s="27" t="s">
        <v>8</v>
      </c>
      <c r="T470" s="27" t="s">
        <v>7</v>
      </c>
      <c r="U470" s="27" t="s">
        <v>8</v>
      </c>
      <c r="V470" s="27" t="s">
        <v>7</v>
      </c>
      <c r="AA470" s="27" t="s">
        <v>8</v>
      </c>
      <c r="AB470" s="27" t="s">
        <v>7</v>
      </c>
      <c r="AC470" s="27" t="s">
        <v>8</v>
      </c>
      <c r="BJ470" s="27" t="s">
        <v>7</v>
      </c>
      <c r="CM470" s="27" t="s">
        <v>8</v>
      </c>
      <c r="CN470" s="27" t="s">
        <v>7</v>
      </c>
      <c r="CO470" s="27" t="s">
        <v>8</v>
      </c>
      <c r="DN470" s="27" t="s">
        <v>7</v>
      </c>
      <c r="DO470" s="27" t="s">
        <v>8</v>
      </c>
      <c r="FL470" s="27" t="s">
        <v>7</v>
      </c>
      <c r="FM470" s="27" t="s">
        <v>8</v>
      </c>
      <c r="FN470" s="27" t="s">
        <v>7</v>
      </c>
      <c r="FO470" s="27" t="s">
        <v>8</v>
      </c>
      <c r="FP470" s="27" t="s">
        <v>7</v>
      </c>
      <c r="FQ470" s="27" t="s">
        <v>8</v>
      </c>
    </row>
    <row r="471" spans="1:174" x14ac:dyDescent="0.25">
      <c r="A471" s="7">
        <v>9.9453466295770188</v>
      </c>
      <c r="B471"/>
      <c r="C471"/>
      <c r="D471"/>
      <c r="E471"/>
      <c r="O471" s="27" t="s">
        <v>8</v>
      </c>
      <c r="P471" s="27" t="s">
        <v>7</v>
      </c>
      <c r="S471" s="27" t="s">
        <v>8</v>
      </c>
      <c r="T471" s="27" t="s">
        <v>7</v>
      </c>
      <c r="U471" s="27" t="s">
        <v>8</v>
      </c>
      <c r="V471" s="27" t="s">
        <v>7</v>
      </c>
      <c r="AA471" s="27" t="s">
        <v>8</v>
      </c>
      <c r="AB471" s="27" t="s">
        <v>7</v>
      </c>
      <c r="AC471" s="27" t="s">
        <v>8</v>
      </c>
      <c r="BJ471" s="27" t="s">
        <v>7</v>
      </c>
      <c r="CM471" s="27" t="s">
        <v>8</v>
      </c>
      <c r="CN471" s="27" t="s">
        <v>7</v>
      </c>
      <c r="CO471" s="27" t="s">
        <v>8</v>
      </c>
      <c r="DN471" s="27" t="s">
        <v>7</v>
      </c>
      <c r="FL471" s="27" t="s">
        <v>7</v>
      </c>
      <c r="FM471" s="27" t="s">
        <v>8</v>
      </c>
      <c r="FN471" s="27" t="s">
        <v>7</v>
      </c>
      <c r="FO471" s="27" t="s">
        <v>8</v>
      </c>
      <c r="FP471" s="27" t="s">
        <v>7</v>
      </c>
      <c r="FQ471" s="27" t="s">
        <v>8</v>
      </c>
      <c r="FR471" s="27" t="s">
        <v>7</v>
      </c>
    </row>
    <row r="472" spans="1:174" x14ac:dyDescent="0.25">
      <c r="A472" s="7">
        <v>9.7503398329186464</v>
      </c>
      <c r="B472"/>
      <c r="C472"/>
      <c r="D472"/>
      <c r="E472"/>
      <c r="O472" s="27" t="s">
        <v>8</v>
      </c>
      <c r="P472" s="27" t="s">
        <v>7</v>
      </c>
      <c r="S472" s="27" t="s">
        <v>8</v>
      </c>
      <c r="T472" s="27" t="s">
        <v>7</v>
      </c>
      <c r="U472" s="27" t="s">
        <v>8</v>
      </c>
      <c r="V472" s="27" t="s">
        <v>7</v>
      </c>
      <c r="AA472" s="27" t="s">
        <v>8</v>
      </c>
      <c r="AB472" s="27" t="s">
        <v>7</v>
      </c>
      <c r="AC472" s="27" t="s">
        <v>8</v>
      </c>
      <c r="BJ472" s="27" t="s">
        <v>7</v>
      </c>
      <c r="CM472" s="27" t="s">
        <v>8</v>
      </c>
      <c r="CN472" s="27" t="s">
        <v>7</v>
      </c>
      <c r="CO472" s="27" t="s">
        <v>8</v>
      </c>
      <c r="FL472" s="27" t="s">
        <v>7</v>
      </c>
      <c r="FM472" s="27" t="s">
        <v>8</v>
      </c>
      <c r="FN472" s="27" t="s">
        <v>7</v>
      </c>
      <c r="FO472" s="27" t="s">
        <v>8</v>
      </c>
      <c r="FP472" s="27" t="s">
        <v>7</v>
      </c>
      <c r="FQ472" s="27" t="s">
        <v>8</v>
      </c>
      <c r="FR472" s="27" t="s">
        <v>7</v>
      </c>
    </row>
    <row r="473" spans="1:174" x14ac:dyDescent="0.25">
      <c r="A473" s="7">
        <v>9.5591566989398498</v>
      </c>
      <c r="B473"/>
      <c r="C473"/>
      <c r="D473"/>
      <c r="E473"/>
      <c r="O473" s="27" t="s">
        <v>8</v>
      </c>
      <c r="P473" s="27" t="s">
        <v>7</v>
      </c>
      <c r="S473" s="27" t="s">
        <v>8</v>
      </c>
      <c r="T473" s="27" t="s">
        <v>7</v>
      </c>
      <c r="U473" s="27" t="s">
        <v>8</v>
      </c>
      <c r="V473" s="27" t="s">
        <v>7</v>
      </c>
      <c r="AA473" s="27" t="s">
        <v>8</v>
      </c>
      <c r="AB473" s="27" t="s">
        <v>7</v>
      </c>
      <c r="AC473" s="27" t="s">
        <v>8</v>
      </c>
      <c r="BJ473" s="27" t="s">
        <v>7</v>
      </c>
      <c r="CM473" s="27" t="s">
        <v>8</v>
      </c>
      <c r="CN473" s="27" t="s">
        <v>7</v>
      </c>
      <c r="CO473" s="27" t="s">
        <v>8</v>
      </c>
      <c r="FL473" s="27" t="s">
        <v>7</v>
      </c>
      <c r="FM473" s="27" t="s">
        <v>8</v>
      </c>
      <c r="FN473" s="27" t="s">
        <v>7</v>
      </c>
      <c r="FO473" s="27" t="s">
        <v>8</v>
      </c>
      <c r="FP473" s="27" t="s">
        <v>7</v>
      </c>
      <c r="FR473" s="27" t="s">
        <v>7</v>
      </c>
    </row>
    <row r="474" spans="1:174" x14ac:dyDescent="0.25">
      <c r="A474" s="7">
        <v>9.3717222538625968</v>
      </c>
      <c r="B474"/>
      <c r="C474"/>
      <c r="D474"/>
      <c r="E474"/>
      <c r="O474" s="27" t="s">
        <v>8</v>
      </c>
      <c r="P474" s="27" t="s">
        <v>7</v>
      </c>
      <c r="S474" s="27" t="s">
        <v>8</v>
      </c>
      <c r="T474" s="27" t="s">
        <v>7</v>
      </c>
      <c r="U474" s="27" t="s">
        <v>8</v>
      </c>
      <c r="V474" s="27" t="s">
        <v>7</v>
      </c>
      <c r="AA474" s="27" t="s">
        <v>8</v>
      </c>
      <c r="AB474" s="27" t="s">
        <v>7</v>
      </c>
      <c r="AC474" s="27" t="s">
        <v>8</v>
      </c>
      <c r="BJ474" s="27" t="s">
        <v>7</v>
      </c>
      <c r="CM474" s="27" t="s">
        <v>8</v>
      </c>
      <c r="CN474" s="27" t="s">
        <v>7</v>
      </c>
      <c r="CO474" s="27" t="s">
        <v>8</v>
      </c>
      <c r="FL474" s="27" t="s">
        <v>7</v>
      </c>
      <c r="FM474" s="27" t="s">
        <v>8</v>
      </c>
      <c r="FN474" s="27" t="s">
        <v>7</v>
      </c>
      <c r="FO474" s="27" t="s">
        <v>8</v>
      </c>
      <c r="FR474" s="27" t="s">
        <v>7</v>
      </c>
    </row>
    <row r="475" spans="1:174" x14ac:dyDescent="0.25">
      <c r="A475" s="7">
        <v>9.1879629939829375</v>
      </c>
      <c r="B475"/>
      <c r="C475"/>
      <c r="D475"/>
      <c r="E475"/>
      <c r="O475" s="27" t="s">
        <v>8</v>
      </c>
      <c r="P475" s="27" t="s">
        <v>7</v>
      </c>
      <c r="S475" s="27" t="s">
        <v>8</v>
      </c>
      <c r="T475" s="27" t="s">
        <v>7</v>
      </c>
      <c r="U475" s="27" t="s">
        <v>8</v>
      </c>
      <c r="V475" s="27" t="s">
        <v>7</v>
      </c>
      <c r="AA475" s="27" t="s">
        <v>8</v>
      </c>
      <c r="AB475" s="27" t="s">
        <v>7</v>
      </c>
      <c r="AC475" s="27" t="s">
        <v>8</v>
      </c>
      <c r="BJ475" s="27" t="s">
        <v>7</v>
      </c>
      <c r="CM475" s="27" t="s">
        <v>8</v>
      </c>
      <c r="CN475" s="27" t="s">
        <v>7</v>
      </c>
      <c r="CO475" s="27" t="s">
        <v>8</v>
      </c>
      <c r="FL475" s="27" t="s">
        <v>7</v>
      </c>
      <c r="FN475" s="27" t="s">
        <v>7</v>
      </c>
      <c r="FR475" s="27" t="s">
        <v>7</v>
      </c>
    </row>
    <row r="476" spans="1:174" x14ac:dyDescent="0.25">
      <c r="A476" s="7">
        <v>9.0078068568460168</v>
      </c>
      <c r="B476"/>
      <c r="C476"/>
      <c r="D476"/>
      <c r="E476"/>
      <c r="O476" s="27" t="s">
        <v>8</v>
      </c>
      <c r="P476" s="27" t="s">
        <v>7</v>
      </c>
      <c r="S476" s="27" t="s">
        <v>8</v>
      </c>
      <c r="T476" s="27" t="s">
        <v>7</v>
      </c>
      <c r="U476" s="27" t="s">
        <v>8</v>
      </c>
      <c r="V476" s="27" t="s">
        <v>7</v>
      </c>
      <c r="AA476" s="27" t="s">
        <v>8</v>
      </c>
      <c r="AB476" s="27" t="s">
        <v>7</v>
      </c>
      <c r="AC476" s="27" t="s">
        <v>8</v>
      </c>
      <c r="BJ476" s="27" t="s">
        <v>7</v>
      </c>
      <c r="CM476" s="27" t="s">
        <v>8</v>
      </c>
      <c r="CN476" s="27" t="s">
        <v>7</v>
      </c>
      <c r="CO476" s="27" t="s">
        <v>8</v>
      </c>
      <c r="FR476" s="27" t="s">
        <v>7</v>
      </c>
    </row>
    <row r="477" spans="1:174" x14ac:dyDescent="0.25">
      <c r="A477" s="7">
        <v>8.8311831929862912</v>
      </c>
      <c r="B477"/>
      <c r="C477"/>
      <c r="D477"/>
      <c r="E477"/>
      <c r="O477" s="27" t="s">
        <v>8</v>
      </c>
      <c r="P477" s="27" t="s">
        <v>7</v>
      </c>
      <c r="Q477" s="27" t="s">
        <v>8</v>
      </c>
      <c r="S477" s="27" t="s">
        <v>8</v>
      </c>
      <c r="T477" s="27" t="s">
        <v>7</v>
      </c>
      <c r="U477" s="27" t="s">
        <v>8</v>
      </c>
      <c r="V477" s="27" t="s">
        <v>7</v>
      </c>
      <c r="AA477" s="27" t="s">
        <v>8</v>
      </c>
      <c r="AB477" s="27" t="s">
        <v>7</v>
      </c>
      <c r="AC477" s="27" t="s">
        <v>8</v>
      </c>
      <c r="BJ477" s="27" t="s">
        <v>7</v>
      </c>
      <c r="CM477" s="27" t="s">
        <v>8</v>
      </c>
      <c r="CN477" s="27" t="s">
        <v>7</v>
      </c>
      <c r="CO477" s="27" t="s">
        <v>8</v>
      </c>
      <c r="FR477" s="27" t="s">
        <v>7</v>
      </c>
    </row>
    <row r="478" spans="1:174" x14ac:dyDescent="0.25">
      <c r="A478" s="7">
        <v>8.6580227382218542</v>
      </c>
      <c r="B478"/>
      <c r="C478"/>
      <c r="D478"/>
      <c r="E478"/>
      <c r="O478" s="27" t="s">
        <v>8</v>
      </c>
      <c r="P478" s="27" t="s">
        <v>7</v>
      </c>
      <c r="Q478" s="27" t="s">
        <v>8</v>
      </c>
      <c r="R478" s="27" t="s">
        <v>7</v>
      </c>
      <c r="S478" s="27" t="s">
        <v>8</v>
      </c>
      <c r="T478" s="27" t="s">
        <v>7</v>
      </c>
      <c r="V478" s="27" t="s">
        <v>7</v>
      </c>
      <c r="AA478" s="27" t="s">
        <v>8</v>
      </c>
      <c r="AB478" s="27" t="s">
        <v>7</v>
      </c>
      <c r="AC478" s="27" t="s">
        <v>8</v>
      </c>
      <c r="BJ478" s="27" t="s">
        <v>7</v>
      </c>
      <c r="BU478" s="27" t="s">
        <v>8</v>
      </c>
      <c r="CM478" s="27" t="s">
        <v>8</v>
      </c>
      <c r="CN478" s="27" t="s">
        <v>7</v>
      </c>
      <c r="CO478" s="27" t="s">
        <v>8</v>
      </c>
      <c r="FR478" s="27" t="s">
        <v>7</v>
      </c>
    </row>
    <row r="479" spans="1:174" x14ac:dyDescent="0.25">
      <c r="A479" s="7">
        <v>8.4882575864920131</v>
      </c>
      <c r="B479"/>
      <c r="C479"/>
      <c r="D479"/>
      <c r="E479"/>
      <c r="O479" s="27" t="s">
        <v>8</v>
      </c>
      <c r="P479" s="27" t="s">
        <v>7</v>
      </c>
      <c r="Q479" s="27" t="s">
        <v>8</v>
      </c>
      <c r="R479" s="27" t="s">
        <v>7</v>
      </c>
      <c r="S479" s="27" t="s">
        <v>8</v>
      </c>
      <c r="V479" s="27" t="s">
        <v>7</v>
      </c>
      <c r="W479" s="27" t="s">
        <v>8</v>
      </c>
      <c r="AA479" s="27" t="s">
        <v>8</v>
      </c>
      <c r="AB479" s="27" t="s">
        <v>7</v>
      </c>
      <c r="BJ479" s="27" t="s">
        <v>7</v>
      </c>
      <c r="BU479" s="27" t="s">
        <v>8</v>
      </c>
      <c r="BV479" s="27" t="s">
        <v>7</v>
      </c>
      <c r="CM479" s="27" t="s">
        <v>8</v>
      </c>
      <c r="CN479" s="27" t="s">
        <v>7</v>
      </c>
      <c r="CO479" s="27" t="s">
        <v>8</v>
      </c>
      <c r="FR479" s="27" t="s">
        <v>7</v>
      </c>
    </row>
    <row r="480" spans="1:174" x14ac:dyDescent="0.25">
      <c r="A480" s="7">
        <v>8.3218211632274635</v>
      </c>
      <c r="B480"/>
      <c r="C480"/>
      <c r="D480"/>
      <c r="E480"/>
      <c r="O480" s="27" t="s">
        <v>8</v>
      </c>
      <c r="P480" s="27" t="s">
        <v>7</v>
      </c>
      <c r="Q480" s="27" t="s">
        <v>8</v>
      </c>
      <c r="R480" s="27" t="s">
        <v>7</v>
      </c>
      <c r="S480" s="27" t="s">
        <v>8</v>
      </c>
      <c r="V480" s="27" t="s">
        <v>7</v>
      </c>
      <c r="W480" s="27" t="s">
        <v>8</v>
      </c>
      <c r="X480" s="27" t="s">
        <v>7</v>
      </c>
      <c r="AA480" s="27" t="s">
        <v>8</v>
      </c>
      <c r="BJ480" s="27" t="s">
        <v>7</v>
      </c>
      <c r="BU480" s="27" t="s">
        <v>8</v>
      </c>
      <c r="BV480" s="27" t="s">
        <v>7</v>
      </c>
      <c r="CM480" s="27" t="s">
        <v>8</v>
      </c>
      <c r="CN480" s="27" t="s">
        <v>7</v>
      </c>
      <c r="CO480" s="27" t="s">
        <v>8</v>
      </c>
      <c r="FR480" s="27" t="s">
        <v>7</v>
      </c>
    </row>
    <row r="481" spans="1:178" x14ac:dyDescent="0.25">
      <c r="A481" s="7">
        <v>8.1586481992426112</v>
      </c>
      <c r="B481"/>
      <c r="C481"/>
      <c r="D481"/>
      <c r="E481"/>
      <c r="O481" s="27" t="s">
        <v>8</v>
      </c>
      <c r="P481" s="27" t="s">
        <v>7</v>
      </c>
      <c r="Q481" s="27" t="s">
        <v>8</v>
      </c>
      <c r="R481" s="27" t="s">
        <v>7</v>
      </c>
      <c r="S481" s="27" t="s">
        <v>8</v>
      </c>
      <c r="V481" s="27" t="s">
        <v>7</v>
      </c>
      <c r="W481" s="27" t="s">
        <v>8</v>
      </c>
      <c r="X481" s="27" t="s">
        <v>7</v>
      </c>
      <c r="AA481" s="27" t="s">
        <v>8</v>
      </c>
      <c r="BJ481" s="27" t="s">
        <v>7</v>
      </c>
      <c r="BU481" s="27" t="s">
        <v>8</v>
      </c>
      <c r="BV481" s="27" t="s">
        <v>7</v>
      </c>
      <c r="CM481" s="27" t="s">
        <v>8</v>
      </c>
      <c r="CN481" s="27" t="s">
        <v>7</v>
      </c>
      <c r="CO481" s="27" t="s">
        <v>8</v>
      </c>
      <c r="FR481" s="27" t="s">
        <v>7</v>
      </c>
    </row>
    <row r="482" spans="1:178" x14ac:dyDescent="0.25">
      <c r="A482" s="7">
        <v>7.9986747051398144</v>
      </c>
      <c r="B482"/>
      <c r="C482"/>
      <c r="D482"/>
      <c r="E482"/>
      <c r="O482" s="27" t="s">
        <v>8</v>
      </c>
      <c r="P482" s="27" t="s">
        <v>7</v>
      </c>
      <c r="Q482" s="27" t="s">
        <v>8</v>
      </c>
      <c r="R482" s="27" t="s">
        <v>7</v>
      </c>
      <c r="S482" s="27" t="s">
        <v>8</v>
      </c>
      <c r="V482" s="27" t="s">
        <v>7</v>
      </c>
      <c r="W482" s="27" t="s">
        <v>8</v>
      </c>
      <c r="X482" s="27" t="s">
        <v>7</v>
      </c>
      <c r="AA482" s="27" t="s">
        <v>8</v>
      </c>
      <c r="BJ482" s="27" t="s">
        <v>7</v>
      </c>
      <c r="BU482" s="27" t="s">
        <v>8</v>
      </c>
      <c r="BV482" s="27" t="s">
        <v>7</v>
      </c>
      <c r="CM482" s="27" t="s">
        <v>8</v>
      </c>
      <c r="CN482" s="27" t="s">
        <v>7</v>
      </c>
      <c r="CO482" s="27" t="s">
        <v>8</v>
      </c>
      <c r="FR482" s="27" t="s">
        <v>7</v>
      </c>
    </row>
    <row r="483" spans="1:178" x14ac:dyDescent="0.25">
      <c r="A483" s="7">
        <v>7.8418379462155041</v>
      </c>
      <c r="B483"/>
      <c r="C483"/>
      <c r="D483"/>
      <c r="E483"/>
      <c r="O483" s="27" t="s">
        <v>8</v>
      </c>
      <c r="P483" s="27" t="s">
        <v>7</v>
      </c>
      <c r="Q483" s="27" t="s">
        <v>8</v>
      </c>
      <c r="R483" s="27" t="s">
        <v>7</v>
      </c>
      <c r="S483" s="27" t="s">
        <v>8</v>
      </c>
      <c r="V483" s="27" t="s">
        <v>7</v>
      </c>
      <c r="W483" s="27" t="s">
        <v>8</v>
      </c>
      <c r="X483" s="27" t="s">
        <v>7</v>
      </c>
      <c r="AA483" s="27" t="s">
        <v>8</v>
      </c>
      <c r="BJ483" s="27" t="s">
        <v>7</v>
      </c>
      <c r="BU483" s="27" t="s">
        <v>8</v>
      </c>
      <c r="BV483" s="27" t="s">
        <v>7</v>
      </c>
      <c r="CM483" s="27" t="s">
        <v>8</v>
      </c>
      <c r="CN483" s="27" t="s">
        <v>7</v>
      </c>
      <c r="CO483" s="27" t="s">
        <v>8</v>
      </c>
      <c r="FR483" s="27" t="s">
        <v>7</v>
      </c>
    </row>
    <row r="484" spans="1:178" x14ac:dyDescent="0.25">
      <c r="A484" s="7">
        <v>7.688076417858337</v>
      </c>
      <c r="B484"/>
      <c r="C484"/>
      <c r="D484"/>
      <c r="E484"/>
      <c r="O484" s="27" t="s">
        <v>8</v>
      </c>
      <c r="P484" s="27" t="s">
        <v>7</v>
      </c>
      <c r="Q484" s="27" t="s">
        <v>8</v>
      </c>
      <c r="R484" s="27" t="s">
        <v>7</v>
      </c>
      <c r="S484" s="27" t="s">
        <v>8</v>
      </c>
      <c r="V484" s="27" t="s">
        <v>7</v>
      </c>
      <c r="W484" s="27" t="s">
        <v>8</v>
      </c>
      <c r="X484" s="27" t="s">
        <v>7</v>
      </c>
      <c r="AA484" s="27" t="s">
        <v>8</v>
      </c>
      <c r="BJ484" s="27" t="s">
        <v>7</v>
      </c>
      <c r="BU484" s="27" t="s">
        <v>8</v>
      </c>
      <c r="BV484" s="27" t="s">
        <v>7</v>
      </c>
      <c r="CM484" s="27" t="s">
        <v>8</v>
      </c>
      <c r="CN484" s="27" t="s">
        <v>7</v>
      </c>
      <c r="CO484" s="27" t="s">
        <v>8</v>
      </c>
      <c r="FR484" s="27" t="s">
        <v>7</v>
      </c>
    </row>
    <row r="485" spans="1:178" x14ac:dyDescent="0.25">
      <c r="A485" s="7">
        <v>7.5373298214297417</v>
      </c>
      <c r="B485"/>
      <c r="C485"/>
      <c r="D485"/>
      <c r="E485"/>
      <c r="O485" s="27" t="s">
        <v>8</v>
      </c>
      <c r="P485" s="27" t="s">
        <v>7</v>
      </c>
      <c r="Q485" s="27" t="s">
        <v>8</v>
      </c>
      <c r="R485" s="27" t="s">
        <v>7</v>
      </c>
      <c r="S485" s="27" t="s">
        <v>8</v>
      </c>
      <c r="V485" s="27" t="s">
        <v>7</v>
      </c>
      <c r="W485" s="27" t="s">
        <v>8</v>
      </c>
      <c r="X485" s="27" t="s">
        <v>7</v>
      </c>
      <c r="AA485" s="27" t="s">
        <v>8</v>
      </c>
      <c r="BJ485" s="27" t="s">
        <v>7</v>
      </c>
      <c r="BK485" s="27" t="s">
        <v>8</v>
      </c>
      <c r="BU485" s="27" t="s">
        <v>8</v>
      </c>
      <c r="BV485" s="27" t="s">
        <v>7</v>
      </c>
      <c r="CM485" s="27" t="s">
        <v>8</v>
      </c>
      <c r="CN485" s="27" t="s">
        <v>7</v>
      </c>
      <c r="CO485" s="27" t="s">
        <v>8</v>
      </c>
      <c r="FR485" s="27" t="s">
        <v>7</v>
      </c>
    </row>
    <row r="486" spans="1:178" x14ac:dyDescent="0.25">
      <c r="A486" s="7">
        <v>7.389539040617394</v>
      </c>
      <c r="B486"/>
      <c r="C486"/>
      <c r="D486"/>
      <c r="E486"/>
      <c r="O486" s="27" t="s">
        <v>8</v>
      </c>
      <c r="P486" s="27" t="s">
        <v>7</v>
      </c>
      <c r="Q486" s="27" t="s">
        <v>8</v>
      </c>
      <c r="R486" s="27" t="s">
        <v>7</v>
      </c>
      <c r="S486" s="27" t="s">
        <v>8</v>
      </c>
      <c r="V486" s="27" t="s">
        <v>7</v>
      </c>
      <c r="W486" s="27" t="s">
        <v>8</v>
      </c>
      <c r="X486" s="27" t="s">
        <v>7</v>
      </c>
      <c r="Y486" s="27" t="s">
        <v>8</v>
      </c>
      <c r="AA486" s="27" t="s">
        <v>8</v>
      </c>
      <c r="BJ486" s="27" t="s">
        <v>7</v>
      </c>
      <c r="BK486" s="27" t="s">
        <v>8</v>
      </c>
      <c r="BL486" s="27" t="s">
        <v>7</v>
      </c>
      <c r="BU486" s="27" t="s">
        <v>8</v>
      </c>
      <c r="BV486" s="27" t="s">
        <v>7</v>
      </c>
      <c r="CM486" s="27" t="s">
        <v>8</v>
      </c>
      <c r="CN486" s="27" t="s">
        <v>7</v>
      </c>
      <c r="CO486" s="27" t="s">
        <v>8</v>
      </c>
      <c r="FR486" s="27" t="s">
        <v>7</v>
      </c>
      <c r="FU486" s="27" t="s">
        <v>8</v>
      </c>
    </row>
    <row r="487" spans="1:178" x14ac:dyDescent="0.25">
      <c r="A487" s="7">
        <v>7.2446461182523469</v>
      </c>
      <c r="B487"/>
      <c r="C487"/>
      <c r="D487"/>
      <c r="E487"/>
      <c r="O487" s="27" t="s">
        <v>8</v>
      </c>
      <c r="P487" s="27" t="s">
        <v>7</v>
      </c>
      <c r="Q487" s="27" t="s">
        <v>8</v>
      </c>
      <c r="R487" s="27" t="s">
        <v>7</v>
      </c>
      <c r="S487" s="27" t="s">
        <v>8</v>
      </c>
      <c r="V487" s="27" t="s">
        <v>7</v>
      </c>
      <c r="W487" s="27" t="s">
        <v>8</v>
      </c>
      <c r="X487" s="27" t="s">
        <v>7</v>
      </c>
      <c r="Y487" s="27" t="s">
        <v>8</v>
      </c>
      <c r="Z487" s="27" t="s">
        <v>7</v>
      </c>
      <c r="AA487" s="27" t="s">
        <v>8</v>
      </c>
      <c r="BJ487" s="27" t="s">
        <v>7</v>
      </c>
      <c r="BK487" s="27" t="s">
        <v>8</v>
      </c>
      <c r="BL487" s="27" t="s">
        <v>7</v>
      </c>
      <c r="BO487" s="27" t="s">
        <v>8</v>
      </c>
      <c r="BU487" s="27" t="s">
        <v>8</v>
      </c>
      <c r="BV487" s="27" t="s">
        <v>7</v>
      </c>
      <c r="CM487" s="27" t="s">
        <v>8</v>
      </c>
      <c r="CN487" s="27" t="s">
        <v>7</v>
      </c>
      <c r="CO487" s="27" t="s">
        <v>8</v>
      </c>
      <c r="FR487" s="27" t="s">
        <v>7</v>
      </c>
      <c r="FU487" s="27" t="s">
        <v>8</v>
      </c>
      <c r="FV487" s="27" t="s">
        <v>7</v>
      </c>
    </row>
    <row r="488" spans="1:178" x14ac:dyDescent="0.25">
      <c r="A488" s="7">
        <v>7.1025942335807324</v>
      </c>
      <c r="B488"/>
      <c r="C488"/>
      <c r="D488"/>
      <c r="E488"/>
      <c r="O488" s="27" t="s">
        <v>8</v>
      </c>
      <c r="P488" s="27" t="s">
        <v>7</v>
      </c>
      <c r="R488" s="27" t="s">
        <v>7</v>
      </c>
      <c r="S488" s="27" t="s">
        <v>8</v>
      </c>
      <c r="V488" s="27" t="s">
        <v>7</v>
      </c>
      <c r="W488" s="27" t="s">
        <v>8</v>
      </c>
      <c r="X488" s="27" t="s">
        <v>7</v>
      </c>
      <c r="Y488" s="27" t="s">
        <v>8</v>
      </c>
      <c r="Z488" s="27" t="s">
        <v>7</v>
      </c>
      <c r="AA488" s="27" t="s">
        <v>8</v>
      </c>
      <c r="BJ488" s="27" t="s">
        <v>7</v>
      </c>
      <c r="BK488" s="27" t="s">
        <v>8</v>
      </c>
      <c r="BL488" s="27" t="s">
        <v>7</v>
      </c>
      <c r="BO488" s="27" t="s">
        <v>8</v>
      </c>
      <c r="BP488" s="27" t="s">
        <v>7</v>
      </c>
      <c r="BU488" s="27" t="s">
        <v>8</v>
      </c>
      <c r="BV488" s="27" t="s">
        <v>7</v>
      </c>
      <c r="CM488" s="27" t="s">
        <v>8</v>
      </c>
      <c r="CN488" s="27" t="s">
        <v>7</v>
      </c>
      <c r="CO488" s="27" t="s">
        <v>8</v>
      </c>
      <c r="FR488" s="27" t="s">
        <v>7</v>
      </c>
      <c r="FU488" s="27" t="s">
        <v>8</v>
      </c>
      <c r="FV488" s="27" t="s">
        <v>7</v>
      </c>
    </row>
    <row r="489" spans="1:178" x14ac:dyDescent="0.25">
      <c r="A489" s="7">
        <v>6.9633276799811101</v>
      </c>
      <c r="B489"/>
      <c r="C489"/>
      <c r="D489"/>
      <c r="E489"/>
      <c r="O489" s="27" t="s">
        <v>8</v>
      </c>
      <c r="R489" s="27" t="s">
        <v>7</v>
      </c>
      <c r="S489" s="27" t="s">
        <v>8</v>
      </c>
      <c r="V489" s="27" t="s">
        <v>7</v>
      </c>
      <c r="W489" s="27" t="s">
        <v>8</v>
      </c>
      <c r="X489" s="27" t="s">
        <v>7</v>
      </c>
      <c r="Y489" s="27" t="s">
        <v>8</v>
      </c>
      <c r="Z489" s="27" t="s">
        <v>7</v>
      </c>
      <c r="AA489" s="27" t="s">
        <v>8</v>
      </c>
      <c r="BJ489" s="27" t="s">
        <v>7</v>
      </c>
      <c r="BK489" s="27" t="s">
        <v>8</v>
      </c>
      <c r="BL489" s="27" t="s">
        <v>7</v>
      </c>
      <c r="BM489" s="27" t="s">
        <v>8</v>
      </c>
      <c r="BO489" s="27" t="s">
        <v>8</v>
      </c>
      <c r="BP489" s="27" t="s">
        <v>7</v>
      </c>
      <c r="BU489" s="27" t="s">
        <v>8</v>
      </c>
      <c r="BV489" s="27" t="s">
        <v>7</v>
      </c>
      <c r="CM489" s="27" t="s">
        <v>8</v>
      </c>
      <c r="CN489" s="27" t="s">
        <v>7</v>
      </c>
      <c r="CO489" s="27" t="s">
        <v>8</v>
      </c>
      <c r="FR489" s="27" t="s">
        <v>7</v>
      </c>
      <c r="FS489" s="27" t="s">
        <v>8</v>
      </c>
      <c r="FU489" s="27" t="s">
        <v>8</v>
      </c>
      <c r="FV489" s="27" t="s">
        <v>7</v>
      </c>
    </row>
    <row r="490" spans="1:178" x14ac:dyDescent="0.25">
      <c r="A490" s="7">
        <v>6.8267918431187349</v>
      </c>
      <c r="B490"/>
      <c r="C490"/>
      <c r="D490"/>
      <c r="E490"/>
      <c r="O490" s="27" t="s">
        <v>8</v>
      </c>
      <c r="R490" s="27" t="s">
        <v>7</v>
      </c>
      <c r="S490" s="27" t="s">
        <v>8</v>
      </c>
      <c r="V490" s="27" t="s">
        <v>7</v>
      </c>
      <c r="W490" s="27" t="s">
        <v>8</v>
      </c>
      <c r="X490" s="27" t="s">
        <v>7</v>
      </c>
      <c r="Y490" s="27" t="s">
        <v>8</v>
      </c>
      <c r="Z490" s="27" t="s">
        <v>7</v>
      </c>
      <c r="AA490" s="27" t="s">
        <v>8</v>
      </c>
      <c r="BJ490" s="27" t="s">
        <v>7</v>
      </c>
      <c r="BK490" s="27" t="s">
        <v>8</v>
      </c>
      <c r="BL490" s="27" t="s">
        <v>7</v>
      </c>
      <c r="BM490" s="27" t="s">
        <v>8</v>
      </c>
      <c r="BN490" s="27" t="s">
        <v>7</v>
      </c>
      <c r="BO490" s="27" t="s">
        <v>8</v>
      </c>
      <c r="BP490" s="27" t="s">
        <v>7</v>
      </c>
      <c r="BQ490" s="27" t="s">
        <v>8</v>
      </c>
      <c r="BU490" s="27" t="s">
        <v>8</v>
      </c>
      <c r="BV490" s="27" t="s">
        <v>7</v>
      </c>
      <c r="CM490" s="27" t="s">
        <v>8</v>
      </c>
      <c r="CN490" s="27" t="s">
        <v>7</v>
      </c>
      <c r="CO490" s="27" t="s">
        <v>8</v>
      </c>
      <c r="FR490" s="27" t="s">
        <v>7</v>
      </c>
      <c r="FS490" s="27" t="s">
        <v>8</v>
      </c>
      <c r="FT490" s="27" t="s">
        <v>7</v>
      </c>
      <c r="FU490" s="27" t="s">
        <v>8</v>
      </c>
      <c r="FV490" s="27" t="s">
        <v>7</v>
      </c>
    </row>
    <row r="491" spans="1:178" x14ac:dyDescent="0.25">
      <c r="A491" s="7">
        <v>6.692933179528171</v>
      </c>
      <c r="B491"/>
      <c r="C491"/>
      <c r="D491"/>
      <c r="E491"/>
      <c r="O491" s="27" t="s">
        <v>8</v>
      </c>
      <c r="R491" s="27" t="s">
        <v>7</v>
      </c>
      <c r="S491" s="27" t="s">
        <v>8</v>
      </c>
      <c r="V491" s="27" t="s">
        <v>7</v>
      </c>
      <c r="W491" s="27" t="s">
        <v>8</v>
      </c>
      <c r="X491" s="27" t="s">
        <v>7</v>
      </c>
      <c r="Y491" s="27" t="s">
        <v>8</v>
      </c>
      <c r="Z491" s="27" t="s">
        <v>7</v>
      </c>
      <c r="AA491" s="27" t="s">
        <v>8</v>
      </c>
      <c r="BJ491" s="27" t="s">
        <v>7</v>
      </c>
      <c r="BK491" s="27" t="s">
        <v>8</v>
      </c>
      <c r="BL491" s="27" t="s">
        <v>7</v>
      </c>
      <c r="BM491" s="27" t="s">
        <v>8</v>
      </c>
      <c r="BN491" s="27" t="s">
        <v>7</v>
      </c>
      <c r="BO491" s="27" t="s">
        <v>8</v>
      </c>
      <c r="BP491" s="27" t="s">
        <v>7</v>
      </c>
      <c r="BQ491" s="27" t="s">
        <v>8</v>
      </c>
      <c r="BR491" s="27" t="s">
        <v>7</v>
      </c>
      <c r="BU491" s="27" t="s">
        <v>8</v>
      </c>
      <c r="BV491" s="27" t="s">
        <v>7</v>
      </c>
      <c r="CM491" s="27" t="s">
        <v>8</v>
      </c>
      <c r="CN491" s="27" t="s">
        <v>7</v>
      </c>
      <c r="CO491" s="27" t="s">
        <v>8</v>
      </c>
      <c r="FR491" s="27" t="s">
        <v>7</v>
      </c>
      <c r="FS491" s="27" t="s">
        <v>8</v>
      </c>
      <c r="FT491" s="27" t="s">
        <v>7</v>
      </c>
      <c r="FU491" s="27" t="s">
        <v>8</v>
      </c>
      <c r="FV491" s="27" t="s">
        <v>7</v>
      </c>
    </row>
    <row r="492" spans="1:178" x14ac:dyDescent="0.25">
      <c r="A492" s="7">
        <v>6.5616991956158541</v>
      </c>
      <c r="B492"/>
      <c r="C492"/>
      <c r="D492"/>
      <c r="E492"/>
      <c r="O492" s="27" t="s">
        <v>8</v>
      </c>
      <c r="R492" s="27" t="s">
        <v>7</v>
      </c>
      <c r="V492" s="27" t="s">
        <v>7</v>
      </c>
      <c r="W492" s="27" t="s">
        <v>8</v>
      </c>
      <c r="X492" s="27" t="s">
        <v>7</v>
      </c>
      <c r="Y492" s="27" t="s">
        <v>8</v>
      </c>
      <c r="Z492" s="27" t="s">
        <v>7</v>
      </c>
      <c r="AA492" s="27" t="s">
        <v>8</v>
      </c>
      <c r="BJ492" s="27" t="s">
        <v>7</v>
      </c>
      <c r="BK492" s="27" t="s">
        <v>8</v>
      </c>
      <c r="BL492" s="27" t="s">
        <v>7</v>
      </c>
      <c r="BM492" s="27" t="s">
        <v>8</v>
      </c>
      <c r="BN492" s="27" t="s">
        <v>7</v>
      </c>
      <c r="BO492" s="27" t="s">
        <v>8</v>
      </c>
      <c r="BP492" s="27" t="s">
        <v>7</v>
      </c>
      <c r="BQ492" s="27" t="s">
        <v>8</v>
      </c>
      <c r="BR492" s="27" t="s">
        <v>7</v>
      </c>
      <c r="BU492" s="27" t="s">
        <v>8</v>
      </c>
      <c r="BV492" s="27" t="s">
        <v>7</v>
      </c>
      <c r="CM492" s="27" t="s">
        <v>8</v>
      </c>
      <c r="CN492" s="27" t="s">
        <v>7</v>
      </c>
      <c r="FR492" s="27" t="s">
        <v>7</v>
      </c>
      <c r="FS492" s="27" t="s">
        <v>8</v>
      </c>
      <c r="FT492" s="27" t="s">
        <v>7</v>
      </c>
      <c r="FU492" s="27" t="s">
        <v>8</v>
      </c>
      <c r="FV492" s="27" t="s">
        <v>7</v>
      </c>
    </row>
    <row r="493" spans="1:178" x14ac:dyDescent="0.25">
      <c r="A493" s="7">
        <v>6.4330384270743668</v>
      </c>
      <c r="B493"/>
      <c r="C493"/>
      <c r="D493"/>
      <c r="E493"/>
      <c r="O493" s="27" t="s">
        <v>8</v>
      </c>
      <c r="V493" s="27" t="s">
        <v>7</v>
      </c>
      <c r="W493" s="27" t="s">
        <v>8</v>
      </c>
      <c r="X493" s="27" t="s">
        <v>7</v>
      </c>
      <c r="Z493" s="27" t="s">
        <v>7</v>
      </c>
      <c r="AA493" s="27" t="s">
        <v>8</v>
      </c>
      <c r="BJ493" s="27" t="s">
        <v>7</v>
      </c>
      <c r="BK493" s="27" t="s">
        <v>8</v>
      </c>
      <c r="BL493" s="27" t="s">
        <v>7</v>
      </c>
      <c r="BM493" s="27" t="s">
        <v>8</v>
      </c>
      <c r="BN493" s="27" t="s">
        <v>7</v>
      </c>
      <c r="BO493" s="27" t="s">
        <v>8</v>
      </c>
      <c r="BP493" s="27" t="s">
        <v>7</v>
      </c>
      <c r="BQ493" s="27" t="s">
        <v>8</v>
      </c>
      <c r="BR493" s="27" t="s">
        <v>7</v>
      </c>
      <c r="BU493" s="27" t="s">
        <v>8</v>
      </c>
      <c r="BV493" s="27" t="s">
        <v>7</v>
      </c>
      <c r="CM493" s="27" t="s">
        <v>8</v>
      </c>
      <c r="FR493" s="27" t="s">
        <v>7</v>
      </c>
      <c r="FS493" s="27" t="s">
        <v>8</v>
      </c>
      <c r="FT493" s="27" t="s">
        <v>7</v>
      </c>
      <c r="FU493" s="27" t="s">
        <v>8</v>
      </c>
      <c r="FV493" s="27" t="s">
        <v>7</v>
      </c>
    </row>
    <row r="494" spans="1:178" x14ac:dyDescent="0.25">
      <c r="A494" s="7">
        <v>6.3069004187003594</v>
      </c>
      <c r="B494"/>
      <c r="C494"/>
      <c r="D494"/>
      <c r="E494"/>
      <c r="O494" s="27" t="s">
        <v>8</v>
      </c>
      <c r="V494" s="27" t="s">
        <v>7</v>
      </c>
      <c r="W494" s="27" t="s">
        <v>8</v>
      </c>
      <c r="Z494" s="27" t="s">
        <v>7</v>
      </c>
      <c r="AA494" s="27" t="s">
        <v>8</v>
      </c>
      <c r="BJ494" s="27" t="s">
        <v>7</v>
      </c>
      <c r="BK494" s="27" t="s">
        <v>8</v>
      </c>
      <c r="BL494" s="27" t="s">
        <v>7</v>
      </c>
      <c r="BM494" s="27" t="s">
        <v>8</v>
      </c>
      <c r="BN494" s="27" t="s">
        <v>7</v>
      </c>
      <c r="BP494" s="27" t="s">
        <v>7</v>
      </c>
      <c r="BQ494" s="27" t="s">
        <v>8</v>
      </c>
      <c r="BR494" s="27" t="s">
        <v>7</v>
      </c>
      <c r="BU494" s="27" t="s">
        <v>8</v>
      </c>
      <c r="BV494" s="27" t="s">
        <v>7</v>
      </c>
      <c r="CM494" s="27" t="s">
        <v>8</v>
      </c>
      <c r="FR494" s="27" t="s">
        <v>7</v>
      </c>
      <c r="FS494" s="27" t="s">
        <v>8</v>
      </c>
      <c r="FT494" s="27" t="s">
        <v>7</v>
      </c>
      <c r="FU494" s="27" t="s">
        <v>8</v>
      </c>
      <c r="FV494" s="27" t="s">
        <v>7</v>
      </c>
    </row>
    <row r="495" spans="1:178" x14ac:dyDescent="0.25">
      <c r="A495" s="7">
        <v>6.1832357046081956</v>
      </c>
      <c r="B495"/>
      <c r="C495"/>
      <c r="D495"/>
      <c r="E495"/>
      <c r="O495" s="27" t="s">
        <v>8</v>
      </c>
      <c r="V495" s="27" t="s">
        <v>7</v>
      </c>
      <c r="Z495" s="27" t="s">
        <v>7</v>
      </c>
      <c r="AA495" s="27" t="s">
        <v>8</v>
      </c>
      <c r="BJ495" s="27" t="s">
        <v>7</v>
      </c>
      <c r="BK495" s="27" t="s">
        <v>8</v>
      </c>
      <c r="BL495" s="27" t="s">
        <v>7</v>
      </c>
      <c r="BM495" s="27" t="s">
        <v>8</v>
      </c>
      <c r="BP495" s="27" t="s">
        <v>7</v>
      </c>
      <c r="BQ495" s="27" t="s">
        <v>8</v>
      </c>
      <c r="BR495" s="27" t="s">
        <v>7</v>
      </c>
      <c r="BU495" s="27" t="s">
        <v>8</v>
      </c>
      <c r="BV495" s="27" t="s">
        <v>7</v>
      </c>
      <c r="CM495" s="27" t="s">
        <v>8</v>
      </c>
      <c r="FR495" s="27" t="s">
        <v>7</v>
      </c>
      <c r="FS495" s="27" t="s">
        <v>8</v>
      </c>
      <c r="FT495" s="27" t="s">
        <v>7</v>
      </c>
      <c r="FU495" s="27" t="s">
        <v>8</v>
      </c>
      <c r="FV495" s="27" t="s">
        <v>7</v>
      </c>
    </row>
    <row r="496" spans="1:178" x14ac:dyDescent="0.25">
      <c r="A496" s="7">
        <v>6.0619957888315641</v>
      </c>
      <c r="B496"/>
      <c r="C496"/>
      <c r="D496"/>
      <c r="E496"/>
      <c r="O496" s="27" t="s">
        <v>8</v>
      </c>
      <c r="Z496" s="27" t="s">
        <v>7</v>
      </c>
      <c r="AA496" s="27" t="s">
        <v>8</v>
      </c>
      <c r="BJ496" s="27" t="s">
        <v>7</v>
      </c>
      <c r="BK496" s="27" t="s">
        <v>8</v>
      </c>
      <c r="BL496" s="27" t="s">
        <v>7</v>
      </c>
      <c r="BM496" s="27" t="s">
        <v>8</v>
      </c>
      <c r="BP496" s="27" t="s">
        <v>7</v>
      </c>
      <c r="BR496" s="27" t="s">
        <v>7</v>
      </c>
      <c r="BU496" s="27" t="s">
        <v>8</v>
      </c>
      <c r="BV496" s="27" t="s">
        <v>7</v>
      </c>
      <c r="CM496" s="27" t="s">
        <v>8</v>
      </c>
      <c r="FR496" s="27" t="s">
        <v>7</v>
      </c>
      <c r="FS496" s="27" t="s">
        <v>8</v>
      </c>
      <c r="FT496" s="27" t="s">
        <v>7</v>
      </c>
      <c r="FU496" s="27" t="s">
        <v>8</v>
      </c>
      <c r="FV496" s="27" t="s">
        <v>7</v>
      </c>
    </row>
    <row r="497" spans="1:177" x14ac:dyDescent="0.25">
      <c r="A497" s="7">
        <v>5.9431331263054545</v>
      </c>
      <c r="B497"/>
      <c r="C497"/>
      <c r="D497"/>
      <c r="E497"/>
      <c r="O497" s="27" t="s">
        <v>8</v>
      </c>
      <c r="Z497" s="27" t="s">
        <v>7</v>
      </c>
      <c r="BJ497" s="27" t="s">
        <v>7</v>
      </c>
      <c r="BK497" s="27" t="s">
        <v>8</v>
      </c>
      <c r="BL497" s="27" t="s">
        <v>7</v>
      </c>
      <c r="BM497" s="27" t="s">
        <v>8</v>
      </c>
      <c r="BR497" s="27" t="s">
        <v>7</v>
      </c>
      <c r="BU497" s="27" t="s">
        <v>8</v>
      </c>
      <c r="BV497" s="27" t="s">
        <v>7</v>
      </c>
      <c r="CM497" s="27" t="s">
        <v>8</v>
      </c>
      <c r="FR497" s="27" t="s">
        <v>7</v>
      </c>
      <c r="FS497" s="27" t="s">
        <v>8</v>
      </c>
      <c r="FT497" s="27" t="s">
        <v>7</v>
      </c>
      <c r="FU497" s="27" t="s">
        <v>8</v>
      </c>
    </row>
    <row r="498" spans="1:177" x14ac:dyDescent="0.25">
      <c r="A498" s="7">
        <v>5.8266011042210337</v>
      </c>
      <c r="B498"/>
      <c r="C498"/>
      <c r="D498"/>
      <c r="E498"/>
      <c r="O498" s="27" t="s">
        <v>8</v>
      </c>
      <c r="BJ498" s="27" t="s">
        <v>7</v>
      </c>
      <c r="BK498" s="27" t="s">
        <v>8</v>
      </c>
      <c r="BL498" s="27" t="s">
        <v>7</v>
      </c>
      <c r="BM498" s="27" t="s">
        <v>8</v>
      </c>
      <c r="BR498" s="27" t="s">
        <v>7</v>
      </c>
      <c r="BU498" s="27" t="s">
        <v>8</v>
      </c>
      <c r="BV498" s="27" t="s">
        <v>7</v>
      </c>
      <c r="CM498" s="27" t="s">
        <v>8</v>
      </c>
      <c r="FR498" s="27" t="s">
        <v>7</v>
      </c>
      <c r="FS498" s="27" t="s">
        <v>8</v>
      </c>
      <c r="FT498" s="27" t="s">
        <v>7</v>
      </c>
      <c r="FU498" s="27" t="s">
        <v>8</v>
      </c>
    </row>
    <row r="499" spans="1:177" x14ac:dyDescent="0.25">
      <c r="A499" s="7">
        <v>5.7123540237461112</v>
      </c>
      <c r="B499"/>
      <c r="C499"/>
      <c r="D499"/>
      <c r="E499"/>
      <c r="O499" s="27" t="s">
        <v>8</v>
      </c>
      <c r="BJ499" s="27" t="s">
        <v>7</v>
      </c>
      <c r="BK499" s="27" t="s">
        <v>8</v>
      </c>
      <c r="BL499" s="27" t="s">
        <v>7</v>
      </c>
      <c r="BM499" s="27" t="s">
        <v>8</v>
      </c>
      <c r="BR499" s="27" t="s">
        <v>7</v>
      </c>
      <c r="BS499" s="27" t="s">
        <v>8</v>
      </c>
      <c r="BU499" s="27" t="s">
        <v>8</v>
      </c>
      <c r="BV499" s="27" t="s">
        <v>7</v>
      </c>
      <c r="CM499" s="27" t="s">
        <v>8</v>
      </c>
      <c r="FR499" s="27" t="s">
        <v>7</v>
      </c>
      <c r="FT499" s="27" t="s">
        <v>7</v>
      </c>
      <c r="FU499" s="27" t="s">
        <v>8</v>
      </c>
    </row>
    <row r="500" spans="1:177" x14ac:dyDescent="0.25">
      <c r="A500" s="7">
        <v>5.6003470821040304</v>
      </c>
      <c r="B500"/>
      <c r="C500"/>
      <c r="D500"/>
      <c r="E500"/>
      <c r="O500" s="27" t="s">
        <v>8</v>
      </c>
      <c r="BJ500" s="27" t="s">
        <v>7</v>
      </c>
      <c r="BK500" s="27" t="s">
        <v>8</v>
      </c>
      <c r="BL500" s="27" t="s">
        <v>7</v>
      </c>
      <c r="BM500" s="27" t="s">
        <v>8</v>
      </c>
      <c r="BR500" s="27" t="s">
        <v>7</v>
      </c>
      <c r="BS500" s="27" t="s">
        <v>8</v>
      </c>
      <c r="BT500" s="27" t="s">
        <v>7</v>
      </c>
      <c r="BU500" s="27" t="s">
        <v>8</v>
      </c>
      <c r="BV500" s="27" t="s">
        <v>7</v>
      </c>
      <c r="CM500" s="27" t="s">
        <v>8</v>
      </c>
      <c r="FT500" s="27" t="s">
        <v>7</v>
      </c>
    </row>
    <row r="501" spans="1:177" x14ac:dyDescent="0.25">
      <c r="A501" s="7">
        <v>5.4905363550039512</v>
      </c>
      <c r="B501"/>
      <c r="C501"/>
      <c r="D501"/>
      <c r="E501"/>
      <c r="O501" s="27" t="s">
        <v>8</v>
      </c>
      <c r="BJ501" s="27" t="s">
        <v>7</v>
      </c>
      <c r="BK501" s="27" t="s">
        <v>8</v>
      </c>
      <c r="BL501" s="27" t="s">
        <v>7</v>
      </c>
      <c r="BM501" s="27" t="s">
        <v>8</v>
      </c>
      <c r="BR501" s="27" t="s">
        <v>7</v>
      </c>
      <c r="BS501" s="27" t="s">
        <v>8</v>
      </c>
      <c r="BT501" s="27" t="s">
        <v>7</v>
      </c>
      <c r="BU501" s="27" t="s">
        <v>8</v>
      </c>
      <c r="BV501" s="27" t="s">
        <v>7</v>
      </c>
      <c r="CM501" s="27" t="s">
        <v>8</v>
      </c>
    </row>
    <row r="502" spans="1:177" x14ac:dyDescent="0.25">
      <c r="A502" s="7">
        <v>5.3828787794156385</v>
      </c>
      <c r="B502"/>
      <c r="C502"/>
      <c r="D502"/>
      <c r="E502"/>
      <c r="O502" s="27" t="s">
        <v>8</v>
      </c>
      <c r="BJ502" s="27" t="s">
        <v>7</v>
      </c>
      <c r="BK502" s="27" t="s">
        <v>8</v>
      </c>
      <c r="BL502" s="27" t="s">
        <v>7</v>
      </c>
      <c r="BM502" s="27" t="s">
        <v>8</v>
      </c>
      <c r="BR502" s="27" t="s">
        <v>7</v>
      </c>
      <c r="BS502" s="27" t="s">
        <v>8</v>
      </c>
      <c r="BT502" s="27" t="s">
        <v>7</v>
      </c>
      <c r="BU502" s="27" t="s">
        <v>8</v>
      </c>
      <c r="BV502" s="27" t="s">
        <v>7</v>
      </c>
      <c r="CC502" s="27" t="s">
        <v>8</v>
      </c>
      <c r="CM502" s="27" t="s">
        <v>8</v>
      </c>
    </row>
    <row r="503" spans="1:177" x14ac:dyDescent="0.25">
      <c r="A503" s="7">
        <v>5.2773321366819985</v>
      </c>
      <c r="B503"/>
      <c r="C503"/>
      <c r="D503"/>
      <c r="E503"/>
      <c r="O503" s="27" t="s">
        <v>8</v>
      </c>
      <c r="BJ503" s="27" t="s">
        <v>7</v>
      </c>
      <c r="BK503" s="27" t="s">
        <v>8</v>
      </c>
      <c r="BL503" s="27" t="s">
        <v>7</v>
      </c>
      <c r="BR503" s="27" t="s">
        <v>7</v>
      </c>
      <c r="BS503" s="27" t="s">
        <v>8</v>
      </c>
      <c r="BT503" s="27" t="s">
        <v>7</v>
      </c>
      <c r="BU503" s="27" t="s">
        <v>8</v>
      </c>
      <c r="BV503" s="27" t="s">
        <v>7</v>
      </c>
      <c r="CC503" s="27" t="s">
        <v>8</v>
      </c>
      <c r="CD503" s="27" t="s">
        <v>7</v>
      </c>
      <c r="CM503" s="27" t="s">
        <v>8</v>
      </c>
    </row>
    <row r="504" spans="1:177" x14ac:dyDescent="0.25">
      <c r="A504" s="7">
        <v>5.1738550359627435</v>
      </c>
      <c r="B504"/>
      <c r="C504"/>
      <c r="D504"/>
      <c r="E504"/>
      <c r="G504" s="27" t="s">
        <v>8</v>
      </c>
      <c r="O504" s="27" t="s">
        <v>8</v>
      </c>
      <c r="BJ504" s="27" t="s">
        <v>7</v>
      </c>
      <c r="BK504" s="27" t="s">
        <v>8</v>
      </c>
      <c r="BR504" s="27" t="s">
        <v>7</v>
      </c>
      <c r="BS504" s="27" t="s">
        <v>8</v>
      </c>
      <c r="BT504" s="27" t="s">
        <v>7</v>
      </c>
      <c r="BU504" s="27" t="s">
        <v>8</v>
      </c>
      <c r="BV504" s="27" t="s">
        <v>7</v>
      </c>
      <c r="CC504" s="27" t="s">
        <v>8</v>
      </c>
      <c r="CD504" s="27" t="s">
        <v>7</v>
      </c>
      <c r="CE504" s="27" t="s">
        <v>8</v>
      </c>
      <c r="CM504" s="27" t="s">
        <v>8</v>
      </c>
    </row>
    <row r="505" spans="1:177" x14ac:dyDescent="0.25">
      <c r="A505" s="7">
        <v>5.07240689800269</v>
      </c>
      <c r="B505"/>
      <c r="C505"/>
      <c r="D505"/>
      <c r="E505"/>
      <c r="G505" s="27" t="s">
        <v>8</v>
      </c>
      <c r="H505" s="27" t="s">
        <v>7</v>
      </c>
      <c r="O505" s="27" t="s">
        <v>8</v>
      </c>
      <c r="BJ505" s="27" t="s">
        <v>7</v>
      </c>
      <c r="BK505" s="27" t="s">
        <v>8</v>
      </c>
      <c r="BR505" s="27" t="s">
        <v>7</v>
      </c>
      <c r="BS505" s="27" t="s">
        <v>8</v>
      </c>
      <c r="BT505" s="27" t="s">
        <v>7</v>
      </c>
      <c r="BU505" s="27" t="s">
        <v>8</v>
      </c>
      <c r="BV505" s="27" t="s">
        <v>7</v>
      </c>
      <c r="CC505" s="27" t="s">
        <v>8</v>
      </c>
      <c r="CD505" s="27" t="s">
        <v>7</v>
      </c>
      <c r="CE505" s="27" t="s">
        <v>8</v>
      </c>
      <c r="CF505" s="27" t="s">
        <v>7</v>
      </c>
      <c r="CM505" s="27" t="s">
        <v>8</v>
      </c>
    </row>
    <row r="506" spans="1:177" x14ac:dyDescent="0.25">
      <c r="A506" s="7">
        <v>4.9729479392183231</v>
      </c>
      <c r="B506"/>
      <c r="C506"/>
      <c r="D506"/>
      <c r="E506"/>
      <c r="G506" s="27" t="s">
        <v>8</v>
      </c>
      <c r="H506" s="27" t="s">
        <v>7</v>
      </c>
      <c r="O506" s="27" t="s">
        <v>8</v>
      </c>
      <c r="BJ506" s="27" t="s">
        <v>7</v>
      </c>
      <c r="BK506" s="27" t="s">
        <v>8</v>
      </c>
      <c r="BR506" s="27" t="s">
        <v>7</v>
      </c>
      <c r="BS506" s="27" t="s">
        <v>8</v>
      </c>
      <c r="BT506" s="27" t="s">
        <v>7</v>
      </c>
      <c r="BU506" s="27" t="s">
        <v>8</v>
      </c>
      <c r="BV506" s="27" t="s">
        <v>7</v>
      </c>
      <c r="CC506" s="27" t="s">
        <v>8</v>
      </c>
      <c r="CD506" s="27" t="s">
        <v>7</v>
      </c>
      <c r="CE506" s="27" t="s">
        <v>8</v>
      </c>
      <c r="CF506" s="27" t="s">
        <v>7</v>
      </c>
      <c r="CM506" s="27" t="s">
        <v>8</v>
      </c>
    </row>
    <row r="507" spans="1:177" x14ac:dyDescent="0.25">
      <c r="A507" s="7">
        <v>4.8754391560963954</v>
      </c>
      <c r="B507"/>
      <c r="C507"/>
      <c r="D507"/>
      <c r="E507"/>
      <c r="G507" s="27" t="s">
        <v>8</v>
      </c>
      <c r="H507" s="27" t="s">
        <v>7</v>
      </c>
      <c r="K507" s="27" t="s">
        <v>8</v>
      </c>
      <c r="O507" s="27" t="s">
        <v>8</v>
      </c>
      <c r="BJ507" s="27" t="s">
        <v>7</v>
      </c>
      <c r="BR507" s="27" t="s">
        <v>7</v>
      </c>
      <c r="BT507" s="27" t="s">
        <v>7</v>
      </c>
      <c r="BU507" s="27" t="s">
        <v>8</v>
      </c>
      <c r="BV507" s="27" t="s">
        <v>7</v>
      </c>
      <c r="CC507" s="27" t="s">
        <v>8</v>
      </c>
      <c r="CD507" s="27" t="s">
        <v>7</v>
      </c>
      <c r="CE507" s="27" t="s">
        <v>8</v>
      </c>
      <c r="CF507" s="27" t="s">
        <v>7</v>
      </c>
      <c r="CM507" s="27" t="s">
        <v>8</v>
      </c>
    </row>
    <row r="508" spans="1:177" x14ac:dyDescent="0.25">
      <c r="A508" s="7">
        <v>4.7798423098984264</v>
      </c>
      <c r="B508"/>
      <c r="C508"/>
      <c r="D508"/>
      <c r="E508"/>
      <c r="G508" s="27" t="s">
        <v>8</v>
      </c>
      <c r="H508" s="27" t="s">
        <v>7</v>
      </c>
      <c r="K508" s="27" t="s">
        <v>8</v>
      </c>
      <c r="L508" s="27" t="s">
        <v>7</v>
      </c>
      <c r="O508" s="27" t="s">
        <v>8</v>
      </c>
      <c r="BT508" s="27" t="s">
        <v>7</v>
      </c>
      <c r="BU508" s="27" t="s">
        <v>8</v>
      </c>
      <c r="BV508" s="27" t="s">
        <v>7</v>
      </c>
      <c r="CC508" s="27" t="s">
        <v>8</v>
      </c>
      <c r="CD508" s="27" t="s">
        <v>7</v>
      </c>
      <c r="CE508" s="27" t="s">
        <v>8</v>
      </c>
      <c r="CF508" s="27" t="s">
        <v>7</v>
      </c>
      <c r="CG508" s="27" t="s">
        <v>8</v>
      </c>
      <c r="CM508" s="27" t="s">
        <v>8</v>
      </c>
    </row>
    <row r="509" spans="1:177" x14ac:dyDescent="0.25">
      <c r="A509" s="7">
        <v>4.6861199116651235</v>
      </c>
      <c r="B509"/>
      <c r="C509"/>
      <c r="D509"/>
      <c r="E509" t="s">
        <v>8</v>
      </c>
      <c r="G509" s="27" t="s">
        <v>8</v>
      </c>
      <c r="H509" s="27" t="s">
        <v>7</v>
      </c>
      <c r="K509" s="27" t="s">
        <v>8</v>
      </c>
      <c r="L509" s="27" t="s">
        <v>7</v>
      </c>
      <c r="O509" s="27" t="s">
        <v>8</v>
      </c>
      <c r="BT509" s="27" t="s">
        <v>7</v>
      </c>
      <c r="BU509" s="27" t="s">
        <v>8</v>
      </c>
      <c r="BV509" s="27" t="s">
        <v>7</v>
      </c>
      <c r="CC509" s="27" t="s">
        <v>8</v>
      </c>
      <c r="CD509" s="27" t="s">
        <v>7</v>
      </c>
      <c r="CE509" s="27" t="s">
        <v>8</v>
      </c>
      <c r="CF509" s="27" t="s">
        <v>7</v>
      </c>
      <c r="CG509" s="27" t="s">
        <v>8</v>
      </c>
      <c r="CH509" s="27" t="s">
        <v>7</v>
      </c>
      <c r="CM509" s="27" t="s">
        <v>8</v>
      </c>
    </row>
    <row r="510" spans="1:177" x14ac:dyDescent="0.25">
      <c r="A510" s="7">
        <v>4.5942352075148269</v>
      </c>
      <c r="B510"/>
      <c r="C510"/>
      <c r="D510"/>
      <c r="E510" t="s">
        <v>8</v>
      </c>
      <c r="F510" s="27" t="s">
        <v>7</v>
      </c>
      <c r="G510" s="27" t="s">
        <v>8</v>
      </c>
      <c r="H510" s="27" t="s">
        <v>7</v>
      </c>
      <c r="K510" s="27" t="s">
        <v>8</v>
      </c>
      <c r="L510" s="27" t="s">
        <v>7</v>
      </c>
      <c r="M510" s="27" t="s">
        <v>8</v>
      </c>
      <c r="O510" s="27" t="s">
        <v>8</v>
      </c>
      <c r="BT510" s="27" t="s">
        <v>7</v>
      </c>
      <c r="BV510" s="27" t="s">
        <v>7</v>
      </c>
      <c r="CC510" s="27" t="s">
        <v>8</v>
      </c>
      <c r="CD510" s="27" t="s">
        <v>7</v>
      </c>
      <c r="CE510" s="27" t="s">
        <v>8</v>
      </c>
      <c r="CF510" s="27" t="s">
        <v>7</v>
      </c>
      <c r="CG510" s="27" t="s">
        <v>8</v>
      </c>
      <c r="CH510" s="27" t="s">
        <v>7</v>
      </c>
      <c r="CM510" s="27" t="s">
        <v>8</v>
      </c>
    </row>
    <row r="511" spans="1:177" x14ac:dyDescent="0.25">
      <c r="A511" s="7">
        <v>4.5041521642302227</v>
      </c>
      <c r="B511"/>
      <c r="C511"/>
      <c r="D511"/>
      <c r="E511" t="s">
        <v>8</v>
      </c>
      <c r="F511" s="27" t="s">
        <v>7</v>
      </c>
      <c r="G511" s="27" t="s">
        <v>8</v>
      </c>
      <c r="H511" s="27" t="s">
        <v>7</v>
      </c>
      <c r="K511" s="27" t="s">
        <v>8</v>
      </c>
      <c r="L511" s="27" t="s">
        <v>7</v>
      </c>
      <c r="M511" s="27" t="s">
        <v>8</v>
      </c>
      <c r="N511" s="27" t="s">
        <v>7</v>
      </c>
      <c r="O511" s="27" t="s">
        <v>8</v>
      </c>
      <c r="BV511" s="27" t="s">
        <v>7</v>
      </c>
      <c r="CC511" s="27" t="s">
        <v>8</v>
      </c>
      <c r="CD511" s="27" t="s">
        <v>7</v>
      </c>
      <c r="CF511" s="27" t="s">
        <v>7</v>
      </c>
      <c r="CG511" s="27" t="s">
        <v>8</v>
      </c>
      <c r="CH511" s="27" t="s">
        <v>7</v>
      </c>
      <c r="CM511" s="27" t="s">
        <v>8</v>
      </c>
    </row>
    <row r="512" spans="1:177" x14ac:dyDescent="0.25">
      <c r="A512" s="7">
        <v>4.4158354551276693</v>
      </c>
      <c r="B512"/>
      <c r="C512"/>
      <c r="D512"/>
      <c r="E512" t="s">
        <v>8</v>
      </c>
      <c r="F512" s="27" t="s">
        <v>7</v>
      </c>
      <c r="G512" s="27" t="s">
        <v>8</v>
      </c>
      <c r="H512" s="27" t="s">
        <v>7</v>
      </c>
      <c r="K512" s="27" t="s">
        <v>8</v>
      </c>
      <c r="L512" s="27" t="s">
        <v>7</v>
      </c>
      <c r="M512" s="27" t="s">
        <v>8</v>
      </c>
      <c r="N512" s="27" t="s">
        <v>7</v>
      </c>
      <c r="O512" s="27" t="s">
        <v>8</v>
      </c>
      <c r="BV512" s="27" t="s">
        <v>7</v>
      </c>
      <c r="BY512" s="27" t="s">
        <v>8</v>
      </c>
      <c r="CC512" s="27" t="s">
        <v>8</v>
      </c>
      <c r="CF512" s="27" t="s">
        <v>7</v>
      </c>
      <c r="CG512" s="27" t="s">
        <v>8</v>
      </c>
      <c r="CH512" s="27" t="s">
        <v>7</v>
      </c>
      <c r="CM512" s="27" t="s">
        <v>8</v>
      </c>
    </row>
    <row r="513" spans="1:91" x14ac:dyDescent="0.25">
      <c r="A513" s="7">
        <v>4.3292504462035977</v>
      </c>
      <c r="B513"/>
      <c r="C513"/>
      <c r="D513"/>
      <c r="E513" t="s">
        <v>8</v>
      </c>
      <c r="F513" s="27" t="s">
        <v>7</v>
      </c>
      <c r="G513" s="27" t="s">
        <v>8</v>
      </c>
      <c r="H513" s="27" t="s">
        <v>7</v>
      </c>
      <c r="K513" s="27" t="s">
        <v>8</v>
      </c>
      <c r="L513" s="27" t="s">
        <v>7</v>
      </c>
      <c r="M513" s="27" t="s">
        <v>8</v>
      </c>
      <c r="N513" s="27" t="s">
        <v>7</v>
      </c>
      <c r="O513" s="27" t="s">
        <v>8</v>
      </c>
      <c r="BV513" s="27" t="s">
        <v>7</v>
      </c>
      <c r="BY513" s="27" t="s">
        <v>8</v>
      </c>
      <c r="BZ513" s="27" t="s">
        <v>7</v>
      </c>
      <c r="CC513" s="27" t="s">
        <v>8</v>
      </c>
      <c r="CF513" s="27" t="s">
        <v>7</v>
      </c>
      <c r="CG513" s="27" t="s">
        <v>8</v>
      </c>
      <c r="CH513" s="27" t="s">
        <v>7</v>
      </c>
      <c r="CI513" s="27" t="s">
        <v>8</v>
      </c>
      <c r="CM513" s="27" t="s">
        <v>8</v>
      </c>
    </row>
    <row r="514" spans="1:91" x14ac:dyDescent="0.25">
      <c r="A514" s="7">
        <v>4.2443631825525463</v>
      </c>
      <c r="B514"/>
      <c r="C514"/>
      <c r="D514"/>
      <c r="E514" t="s">
        <v>8</v>
      </c>
      <c r="F514" s="27" t="s">
        <v>7</v>
      </c>
      <c r="H514" s="27" t="s">
        <v>7</v>
      </c>
      <c r="I514" s="27" t="s">
        <v>8</v>
      </c>
      <c r="K514" s="27" t="s">
        <v>8</v>
      </c>
      <c r="L514" s="27" t="s">
        <v>7</v>
      </c>
      <c r="M514" s="27" t="s">
        <v>8</v>
      </c>
      <c r="N514" s="27" t="s">
        <v>7</v>
      </c>
      <c r="O514" s="27" t="s">
        <v>8</v>
      </c>
      <c r="BV514" s="27" t="s">
        <v>7</v>
      </c>
      <c r="BY514" s="27" t="s">
        <v>8</v>
      </c>
      <c r="BZ514" s="27" t="s">
        <v>7</v>
      </c>
      <c r="CC514" s="27" t="s">
        <v>8</v>
      </c>
      <c r="CF514" s="27" t="s">
        <v>7</v>
      </c>
      <c r="CG514" s="27" t="s">
        <v>8</v>
      </c>
      <c r="CH514" s="27" t="s">
        <v>7</v>
      </c>
      <c r="CI514" s="27" t="s">
        <v>8</v>
      </c>
      <c r="CJ514" s="27" t="s">
        <v>7</v>
      </c>
      <c r="CM514" s="27" t="s">
        <v>8</v>
      </c>
    </row>
    <row r="515" spans="1:91" x14ac:dyDescent="0.25">
      <c r="A515" s="7">
        <v>4.1611403750515157</v>
      </c>
      <c r="B515"/>
      <c r="C515"/>
      <c r="D515"/>
      <c r="E515" t="s">
        <v>8</v>
      </c>
      <c r="H515" s="27" t="s">
        <v>7</v>
      </c>
      <c r="I515" s="27" t="s">
        <v>8</v>
      </c>
      <c r="J515" s="27" t="s">
        <v>7</v>
      </c>
      <c r="K515" s="27" t="s">
        <v>8</v>
      </c>
      <c r="L515" s="27" t="s">
        <v>7</v>
      </c>
      <c r="M515" s="27" t="s">
        <v>8</v>
      </c>
      <c r="N515" s="27" t="s">
        <v>7</v>
      </c>
      <c r="O515" s="27" t="s">
        <v>8</v>
      </c>
      <c r="BV515" s="27" t="s">
        <v>7</v>
      </c>
      <c r="BY515" s="27" t="s">
        <v>8</v>
      </c>
      <c r="BZ515" s="27" t="s">
        <v>7</v>
      </c>
      <c r="CC515" s="27" t="s">
        <v>8</v>
      </c>
      <c r="CF515" s="27" t="s">
        <v>7</v>
      </c>
      <c r="CG515" s="27" t="s">
        <v>8</v>
      </c>
      <c r="CH515" s="27" t="s">
        <v>7</v>
      </c>
      <c r="CI515" s="27" t="s">
        <v>8</v>
      </c>
      <c r="CJ515" s="27" t="s">
        <v>7</v>
      </c>
      <c r="CK515" s="27" t="s">
        <v>8</v>
      </c>
      <c r="CM515" s="27" t="s">
        <v>8</v>
      </c>
    </row>
    <row r="516" spans="1:91" x14ac:dyDescent="0.25">
      <c r="A516" s="7">
        <v>4.0795493873054074</v>
      </c>
      <c r="B516"/>
      <c r="C516"/>
      <c r="D516"/>
      <c r="E516" t="s">
        <v>8</v>
      </c>
      <c r="H516" s="27" t="s">
        <v>7</v>
      </c>
      <c r="I516" s="27" t="s">
        <v>8</v>
      </c>
      <c r="J516" s="27" t="s">
        <v>7</v>
      </c>
      <c r="K516" s="27" t="s">
        <v>8</v>
      </c>
      <c r="L516" s="27" t="s">
        <v>7</v>
      </c>
      <c r="N516" s="27" t="s">
        <v>7</v>
      </c>
      <c r="O516" s="27" t="s">
        <v>8</v>
      </c>
      <c r="BV516" s="27" t="s">
        <v>7</v>
      </c>
      <c r="BY516" s="27" t="s">
        <v>8</v>
      </c>
      <c r="BZ516" s="27" t="s">
        <v>7</v>
      </c>
      <c r="CC516" s="27" t="s">
        <v>8</v>
      </c>
      <c r="CF516" s="27" t="s">
        <v>7</v>
      </c>
      <c r="CH516" s="27" t="s">
        <v>7</v>
      </c>
      <c r="CJ516" s="27" t="s">
        <v>7</v>
      </c>
      <c r="CK516" s="27" t="s">
        <v>8</v>
      </c>
      <c r="CL516" s="27" t="s">
        <v>7</v>
      </c>
      <c r="CM516" s="27" t="s">
        <v>8</v>
      </c>
    </row>
    <row r="517" spans="1:91" x14ac:dyDescent="0.25">
      <c r="A517" s="7">
        <v>3.9995582228484383</v>
      </c>
      <c r="B517"/>
      <c r="C517"/>
      <c r="D517"/>
      <c r="E517" t="s">
        <v>8</v>
      </c>
      <c r="H517" s="27" t="s">
        <v>7</v>
      </c>
      <c r="I517" s="27" t="s">
        <v>8</v>
      </c>
      <c r="J517" s="27" t="s">
        <v>7</v>
      </c>
      <c r="K517" s="27" t="s">
        <v>8</v>
      </c>
      <c r="N517" s="27" t="s">
        <v>7</v>
      </c>
      <c r="BV517" s="27" t="s">
        <v>7</v>
      </c>
      <c r="BY517" s="27" t="s">
        <v>8</v>
      </c>
      <c r="BZ517" s="27" t="s">
        <v>7</v>
      </c>
      <c r="CC517" s="27" t="s">
        <v>8</v>
      </c>
      <c r="CJ517" s="27" t="s">
        <v>7</v>
      </c>
      <c r="CK517" s="27" t="s">
        <v>8</v>
      </c>
      <c r="CL517" s="27" t="s">
        <v>7</v>
      </c>
      <c r="CM517" s="27" t="s">
        <v>8</v>
      </c>
    </row>
    <row r="518" spans="1:91" x14ac:dyDescent="0.25">
      <c r="A518" s="7">
        <v>3.9211355125965079</v>
      </c>
      <c r="B518"/>
      <c r="C518"/>
      <c r="D518"/>
      <c r="E518" t="s">
        <v>8</v>
      </c>
      <c r="H518" s="27" t="s">
        <v>7</v>
      </c>
      <c r="I518" s="27" t="s">
        <v>8</v>
      </c>
      <c r="J518" s="27" t="s">
        <v>7</v>
      </c>
      <c r="K518" s="27" t="s">
        <v>8</v>
      </c>
      <c r="BV518" s="27" t="s">
        <v>7</v>
      </c>
      <c r="BY518" s="27" t="s">
        <v>8</v>
      </c>
      <c r="BZ518" s="27" t="s">
        <v>7</v>
      </c>
      <c r="CC518" s="27" t="s">
        <v>8</v>
      </c>
      <c r="CJ518" s="27" t="s">
        <v>7</v>
      </c>
      <c r="CK518" s="27" t="s">
        <v>8</v>
      </c>
      <c r="CL518" s="27" t="s">
        <v>7</v>
      </c>
      <c r="CM518" s="27" t="s">
        <v>8</v>
      </c>
    </row>
    <row r="519" spans="1:91" x14ac:dyDescent="0.25">
      <c r="A519" s="7">
        <v>3.844250502545596</v>
      </c>
      <c r="B519"/>
      <c r="C519"/>
      <c r="D519"/>
      <c r="E519" t="s">
        <v>8</v>
      </c>
      <c r="H519" s="27" t="s">
        <v>7</v>
      </c>
      <c r="I519" s="27" t="s">
        <v>8</v>
      </c>
      <c r="J519" s="27" t="s">
        <v>7</v>
      </c>
      <c r="K519" s="27" t="s">
        <v>8</v>
      </c>
      <c r="BV519" s="27" t="s">
        <v>7</v>
      </c>
      <c r="BY519" s="27" t="s">
        <v>8</v>
      </c>
      <c r="BZ519" s="27" t="s">
        <v>7</v>
      </c>
      <c r="CA519" s="27" t="s">
        <v>8</v>
      </c>
      <c r="CC519" s="27" t="s">
        <v>8</v>
      </c>
      <c r="CJ519" s="27" t="s">
        <v>7</v>
      </c>
      <c r="CK519" s="27" t="s">
        <v>8</v>
      </c>
      <c r="CL519" s="27" t="s">
        <v>7</v>
      </c>
      <c r="CM519" s="27" t="s">
        <v>8</v>
      </c>
    </row>
    <row r="520" spans="1:91" x14ac:dyDescent="0.25">
      <c r="A520" s="7">
        <v>3.7688730417113687</v>
      </c>
      <c r="B520"/>
      <c r="C520"/>
      <c r="D520"/>
      <c r="E520" t="s">
        <v>8</v>
      </c>
      <c r="H520" s="27" t="s">
        <v>7</v>
      </c>
      <c r="I520" s="27" t="s">
        <v>8</v>
      </c>
      <c r="J520" s="27" t="s">
        <v>7</v>
      </c>
      <c r="K520" s="27" t="s">
        <v>8</v>
      </c>
      <c r="BV520" s="27" t="s">
        <v>7</v>
      </c>
      <c r="BY520" s="27" t="s">
        <v>8</v>
      </c>
      <c r="BZ520" s="27" t="s">
        <v>7</v>
      </c>
      <c r="CA520" s="27" t="s">
        <v>8</v>
      </c>
      <c r="CB520" s="27" t="s">
        <v>7</v>
      </c>
      <c r="CC520" s="27" t="s">
        <v>8</v>
      </c>
      <c r="CJ520" s="27" t="s">
        <v>7</v>
      </c>
      <c r="CK520" s="27" t="s">
        <v>8</v>
      </c>
      <c r="CL520" s="27" t="s">
        <v>7</v>
      </c>
      <c r="CM520" s="27" t="s">
        <v>8</v>
      </c>
    </row>
    <row r="521" spans="1:91" x14ac:dyDescent="0.25">
      <c r="A521" s="7">
        <v>3.6949735703052635</v>
      </c>
      <c r="B521"/>
      <c r="C521"/>
      <c r="D521"/>
      <c r="E521" t="s">
        <v>8</v>
      </c>
      <c r="H521" s="27" t="s">
        <v>7</v>
      </c>
      <c r="I521" s="27" t="s">
        <v>8</v>
      </c>
      <c r="J521" s="27" t="s">
        <v>7</v>
      </c>
      <c r="K521" s="27" t="s">
        <v>8</v>
      </c>
      <c r="BV521" s="27" t="s">
        <v>7</v>
      </c>
      <c r="BY521" s="27" t="s">
        <v>8</v>
      </c>
      <c r="BZ521" s="27" t="s">
        <v>7</v>
      </c>
      <c r="CA521" s="27" t="s">
        <v>8</v>
      </c>
      <c r="CB521" s="27" t="s">
        <v>7</v>
      </c>
      <c r="CC521" s="27" t="s">
        <v>8</v>
      </c>
      <c r="CJ521" s="27" t="s">
        <v>7</v>
      </c>
      <c r="CK521" s="27" t="s">
        <v>8</v>
      </c>
      <c r="CL521" s="27" t="s">
        <v>7</v>
      </c>
      <c r="CM521" s="27" t="s">
        <v>8</v>
      </c>
    </row>
    <row r="522" spans="1:91" x14ac:dyDescent="0.25">
      <c r="A522" s="7">
        <v>3.6225231081424152</v>
      </c>
      <c r="B522"/>
      <c r="C522"/>
      <c r="D522"/>
      <c r="E522" t="s">
        <v>8</v>
      </c>
      <c r="H522" s="27" t="s">
        <v>7</v>
      </c>
      <c r="J522" s="27" t="s">
        <v>7</v>
      </c>
      <c r="BV522" s="27" t="s">
        <v>7</v>
      </c>
      <c r="BY522" s="27" t="s">
        <v>8</v>
      </c>
      <c r="BZ522" s="27" t="s">
        <v>7</v>
      </c>
      <c r="CA522" s="27" t="s">
        <v>8</v>
      </c>
      <c r="CB522" s="27" t="s">
        <v>7</v>
      </c>
      <c r="CC522" s="27" t="s">
        <v>8</v>
      </c>
      <c r="CJ522" s="27" t="s">
        <v>7</v>
      </c>
      <c r="CK522" s="27" t="s">
        <v>8</v>
      </c>
      <c r="CL522" s="27" t="s">
        <v>7</v>
      </c>
      <c r="CM522" s="27" t="s">
        <v>8</v>
      </c>
    </row>
    <row r="523" spans="1:91" x14ac:dyDescent="0.25">
      <c r="A523" s="7">
        <v>3.5514932432768775</v>
      </c>
      <c r="B523"/>
      <c r="C523"/>
      <c r="D523"/>
      <c r="E523" t="s">
        <v>8</v>
      </c>
      <c r="BV523" s="27" t="s">
        <v>7</v>
      </c>
      <c r="BY523" s="27" t="s">
        <v>8</v>
      </c>
      <c r="BZ523" s="27" t="s">
        <v>7</v>
      </c>
      <c r="CA523" s="27" t="s">
        <v>8</v>
      </c>
      <c r="CB523" s="27" t="s">
        <v>7</v>
      </c>
      <c r="CC523" s="27" t="s">
        <v>8</v>
      </c>
      <c r="CJ523" s="27" t="s">
        <v>7</v>
      </c>
      <c r="CK523" s="27" t="s">
        <v>8</v>
      </c>
      <c r="CL523" s="27" t="s">
        <v>7</v>
      </c>
      <c r="CM523" s="27" t="s">
        <v>8</v>
      </c>
    </row>
    <row r="524" spans="1:91" x14ac:dyDescent="0.25">
      <c r="A524" s="7">
        <v>3.4818561208596837</v>
      </c>
      <c r="B524"/>
      <c r="C524"/>
      <c r="D524"/>
      <c r="E524" t="s">
        <v>8</v>
      </c>
      <c r="BV524" s="27" t="s">
        <v>7</v>
      </c>
      <c r="BY524" s="27" t="s">
        <v>8</v>
      </c>
      <c r="BZ524" s="27" t="s">
        <v>7</v>
      </c>
      <c r="CA524" s="27" t="s">
        <v>8</v>
      </c>
      <c r="CB524" s="27" t="s">
        <v>7</v>
      </c>
      <c r="CC524" s="27" t="s">
        <v>8</v>
      </c>
      <c r="CJ524" s="27" t="s">
        <v>7</v>
      </c>
      <c r="CK524" s="27" t="s">
        <v>8</v>
      </c>
      <c r="CL524" s="27" t="s">
        <v>7</v>
      </c>
      <c r="CM524" s="27" t="s">
        <v>8</v>
      </c>
    </row>
    <row r="525" spans="1:91" x14ac:dyDescent="0.25">
      <c r="A525" s="7">
        <v>3.4135844322153761</v>
      </c>
      <c r="B525"/>
      <c r="C525"/>
      <c r="D525"/>
      <c r="E525" t="s">
        <v>8</v>
      </c>
      <c r="BV525" s="27" t="s">
        <v>7</v>
      </c>
      <c r="BY525" s="27" t="s">
        <v>8</v>
      </c>
      <c r="BZ525" s="27" t="s">
        <v>7</v>
      </c>
      <c r="CA525" s="27" t="s">
        <v>8</v>
      </c>
      <c r="CB525" s="27" t="s">
        <v>7</v>
      </c>
      <c r="CC525" s="27" t="s">
        <v>8</v>
      </c>
      <c r="CJ525" s="27" t="s">
        <v>7</v>
      </c>
      <c r="CL525" s="27" t="s">
        <v>7</v>
      </c>
      <c r="CM525" s="27" t="s">
        <v>8</v>
      </c>
    </row>
    <row r="526" spans="1:91" x14ac:dyDescent="0.25">
      <c r="A526" s="7">
        <v>3.3466514041327216</v>
      </c>
      <c r="B526"/>
      <c r="C526"/>
      <c r="D526"/>
      <c r="E526" t="s">
        <v>8</v>
      </c>
      <c r="BV526" s="27" t="s">
        <v>7</v>
      </c>
      <c r="BY526" s="27" t="s">
        <v>8</v>
      </c>
      <c r="BZ526" s="27" t="s">
        <v>7</v>
      </c>
      <c r="CB526" s="27" t="s">
        <v>7</v>
      </c>
      <c r="CC526" s="27" t="s">
        <v>8</v>
      </c>
      <c r="CL526" s="27" t="s">
        <v>7</v>
      </c>
      <c r="CM526" s="27" t="s">
        <v>8</v>
      </c>
    </row>
    <row r="527" spans="1:91" x14ac:dyDescent="0.25">
      <c r="A527" s="7">
        <v>3.2810307883654133</v>
      </c>
      <c r="B527"/>
      <c r="C527"/>
      <c r="D527"/>
      <c r="E527" t="s">
        <v>8</v>
      </c>
      <c r="BV527" s="27" t="s">
        <v>7</v>
      </c>
      <c r="BW527" s="27" t="s">
        <v>8</v>
      </c>
      <c r="BY527" s="27" t="s">
        <v>8</v>
      </c>
      <c r="CB527" s="27" t="s">
        <v>7</v>
      </c>
      <c r="CC527" s="27" t="s">
        <v>8</v>
      </c>
      <c r="CL527" s="18" t="s">
        <v>7</v>
      </c>
    </row>
    <row r="528" spans="1:91" x14ac:dyDescent="0.25">
      <c r="A528" s="7">
        <v>3.2166968513386403</v>
      </c>
      <c r="B528"/>
      <c r="C528"/>
      <c r="D528"/>
      <c r="E528" t="s">
        <v>8</v>
      </c>
      <c r="BV528" s="27" t="s">
        <v>7</v>
      </c>
      <c r="BW528" s="27" t="s">
        <v>8</v>
      </c>
      <c r="BX528" s="27" t="s">
        <v>7</v>
      </c>
      <c r="BY528" s="27" t="s">
        <v>8</v>
      </c>
      <c r="CB528" s="27" t="s">
        <v>7</v>
      </c>
      <c r="CC528" s="27" t="s">
        <v>8</v>
      </c>
    </row>
    <row r="529" spans="1:81" x14ac:dyDescent="0.25">
      <c r="A529" s="7">
        <v>3.1536243640574906</v>
      </c>
      <c r="B529"/>
      <c r="C529"/>
      <c r="D529"/>
      <c r="E529" t="s">
        <v>8</v>
      </c>
      <c r="BV529" s="27" t="s">
        <v>7</v>
      </c>
      <c r="BW529" s="27" t="s">
        <v>8</v>
      </c>
      <c r="BX529" s="27" t="s">
        <v>7</v>
      </c>
      <c r="BY529" s="27" t="s">
        <v>8</v>
      </c>
      <c r="CB529" s="27" t="s">
        <v>7</v>
      </c>
      <c r="CC529" s="27" t="s">
        <v>8</v>
      </c>
    </row>
    <row r="530" spans="1:81" x14ac:dyDescent="0.25">
      <c r="A530" s="7">
        <v>3.0917885922132262</v>
      </c>
      <c r="B530"/>
      <c r="C530"/>
      <c r="D530"/>
      <c r="E530" t="s">
        <v>8</v>
      </c>
      <c r="BV530" s="27" t="s">
        <v>7</v>
      </c>
      <c r="BW530" s="27" t="s">
        <v>8</v>
      </c>
      <c r="BX530" s="27" t="s">
        <v>7</v>
      </c>
      <c r="BY530" s="27" t="s">
        <v>8</v>
      </c>
      <c r="CB530" s="27" t="s">
        <v>7</v>
      </c>
    </row>
    <row r="531" spans="1:81" x14ac:dyDescent="0.25">
      <c r="A531" s="7">
        <v>3.0311652864835552</v>
      </c>
      <c r="B531"/>
      <c r="C531"/>
      <c r="D531"/>
      <c r="E531" t="s">
        <v>8</v>
      </c>
      <c r="BV531" s="27" t="s">
        <v>7</v>
      </c>
      <c r="BW531" s="27" t="s">
        <v>8</v>
      </c>
      <c r="BX531" s="27" t="s">
        <v>7</v>
      </c>
      <c r="BY531" s="27" t="s">
        <v>8</v>
      </c>
    </row>
    <row r="532" spans="1:81" x14ac:dyDescent="0.25">
      <c r="A532" s="7">
        <v>2.9717306730230932</v>
      </c>
      <c r="B532"/>
      <c r="C532"/>
      <c r="D532"/>
      <c r="E532" t="s">
        <v>8</v>
      </c>
      <c r="BV532" s="27" t="s">
        <v>7</v>
      </c>
      <c r="BW532" s="27" t="s">
        <v>8</v>
      </c>
      <c r="BX532" s="27" t="s">
        <v>7</v>
      </c>
      <c r="BY532" s="27" t="s">
        <v>8</v>
      </c>
    </row>
    <row r="533" spans="1:81" x14ac:dyDescent="0.25">
      <c r="A533" s="7">
        <v>2.9134614441402875</v>
      </c>
      <c r="B533"/>
      <c r="C533"/>
      <c r="D533"/>
      <c r="E533" t="s">
        <v>8</v>
      </c>
      <c r="BV533" s="27" t="s">
        <v>7</v>
      </c>
      <c r="BW533" s="27" t="s">
        <v>8</v>
      </c>
      <c r="BX533" s="27" t="s">
        <v>7</v>
      </c>
      <c r="BY533" s="27" t="s">
        <v>8</v>
      </c>
    </row>
    <row r="534" spans="1:81" x14ac:dyDescent="0.25">
      <c r="A534" s="7">
        <v>2.8563347491571447</v>
      </c>
      <c r="B534"/>
      <c r="C534"/>
      <c r="D534"/>
      <c r="E534" t="s">
        <v>8</v>
      </c>
      <c r="BV534" s="27" t="s">
        <v>7</v>
      </c>
      <c r="BW534" s="27" t="s">
        <v>8</v>
      </c>
      <c r="BX534" s="27" t="s">
        <v>7</v>
      </c>
      <c r="BY534" s="27" t="s">
        <v>8</v>
      </c>
    </row>
    <row r="535" spans="1:81" x14ac:dyDescent="0.25">
      <c r="A535" s="7">
        <v>2.8003281854481812</v>
      </c>
      <c r="B535"/>
      <c r="C535"/>
      <c r="D535"/>
      <c r="E535" t="s">
        <v>8</v>
      </c>
      <c r="BV535" s="27" t="s">
        <v>7</v>
      </c>
      <c r="BW535" s="27" t="s">
        <v>8</v>
      </c>
      <c r="BX535" s="27" t="s">
        <v>7</v>
      </c>
      <c r="BY535" s="27" t="s">
        <v>8</v>
      </c>
    </row>
    <row r="536" spans="1:81" x14ac:dyDescent="0.25">
      <c r="A536" s="7">
        <v>2.7454197896550796</v>
      </c>
      <c r="B536"/>
      <c r="C536"/>
      <c r="D536"/>
      <c r="E536" t="s">
        <v>8</v>
      </c>
      <c r="BV536" s="27" t="s">
        <v>7</v>
      </c>
      <c r="BW536" s="27" t="s">
        <v>8</v>
      </c>
      <c r="BX536" s="27" t="s">
        <v>7</v>
      </c>
      <c r="BY536" s="27" t="s">
        <v>8</v>
      </c>
    </row>
    <row r="537" spans="1:81" x14ac:dyDescent="0.25">
      <c r="A537" s="7">
        <v>2.6915880290736074</v>
      </c>
      <c r="B537"/>
      <c r="C537"/>
      <c r="D537"/>
      <c r="E537" t="s">
        <v>8</v>
      </c>
      <c r="BV537" s="27" t="s">
        <v>7</v>
      </c>
      <c r="BW537" s="27" t="s">
        <v>8</v>
      </c>
      <c r="BX537" s="27" t="s">
        <v>7</v>
      </c>
      <c r="BY537" s="27" t="s">
        <v>8</v>
      </c>
    </row>
    <row r="538" spans="1:81" x14ac:dyDescent="0.25">
      <c r="A538" s="7">
        <v>2.6388117932094191</v>
      </c>
      <c r="B538"/>
      <c r="C538"/>
      <c r="D538"/>
      <c r="E538" t="s">
        <v>8</v>
      </c>
      <c r="BV538" s="27" t="s">
        <v>7</v>
      </c>
      <c r="BX538" s="27" t="s">
        <v>7</v>
      </c>
    </row>
    <row r="539" spans="1:81" x14ac:dyDescent="0.25">
      <c r="A539" s="7">
        <v>2.5870703854994304</v>
      </c>
      <c r="B539"/>
      <c r="C539"/>
      <c r="D539"/>
      <c r="E539" t="s">
        <v>8</v>
      </c>
    </row>
    <row r="540" spans="1:81" x14ac:dyDescent="0.25">
      <c r="A540" s="7">
        <v>2.53634351519552</v>
      </c>
      <c r="B540"/>
      <c r="C540"/>
      <c r="D540"/>
      <c r="E540" t="s">
        <v>8</v>
      </c>
    </row>
    <row r="541" spans="1:81" x14ac:dyDescent="0.25">
      <c r="A541" s="7">
        <v>2.4866112894073726</v>
      </c>
      <c r="B541"/>
      <c r="C541"/>
      <c r="D541"/>
      <c r="E541" t="s">
        <v>8</v>
      </c>
    </row>
    <row r="542" spans="1:81" x14ac:dyDescent="0.25">
      <c r="A542" s="7">
        <v>2.4378542053013459</v>
      </c>
      <c r="B542"/>
      <c r="C542"/>
      <c r="D542"/>
      <c r="E542" t="s">
        <v>8</v>
      </c>
    </row>
    <row r="543" spans="1:81" x14ac:dyDescent="0.25">
      <c r="A543" s="7">
        <v>2.3900531424522997</v>
      </c>
      <c r="B543"/>
      <c r="C543"/>
      <c r="D543"/>
      <c r="E543" t="s">
        <v>8</v>
      </c>
    </row>
    <row r="544" spans="1:81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774" operator="equal">
      <formula>$U$1</formula>
    </cfRule>
    <cfRule type="cellIs" dxfId="89" priority="775" operator="equal">
      <formula>$S$1</formula>
    </cfRule>
  </conditionalFormatting>
  <conditionalFormatting sqref="D27">
    <cfRule type="cellIs" dxfId="88" priority="772" operator="equal">
      <formula>$S$1</formula>
    </cfRule>
    <cfRule type="cellIs" dxfId="87" priority="773" operator="equal">
      <formula>$U$1</formula>
    </cfRule>
  </conditionalFormatting>
  <conditionalFormatting sqref="C164">
    <cfRule type="cellIs" dxfId="86" priority="770" operator="equal">
      <formula>$U$1</formula>
    </cfRule>
    <cfRule type="cellIs" dxfId="85" priority="771" operator="equal">
      <formula>$S$1</formula>
    </cfRule>
  </conditionalFormatting>
  <conditionalFormatting sqref="D164">
    <cfRule type="cellIs" dxfId="84" priority="768" operator="equal">
      <formula>$S$1</formula>
    </cfRule>
    <cfRule type="cellIs" dxfId="83" priority="769" operator="equal">
      <formula>$U$1</formula>
    </cfRule>
  </conditionalFormatting>
  <conditionalFormatting sqref="C55">
    <cfRule type="cellIs" dxfId="82" priority="766" operator="equal">
      <formula>$U$1</formula>
    </cfRule>
    <cfRule type="cellIs" dxfId="81" priority="767" operator="equal">
      <formula>$S$1</formula>
    </cfRule>
  </conditionalFormatting>
  <conditionalFormatting sqref="D55">
    <cfRule type="cellIs" dxfId="80" priority="764" operator="equal">
      <formula>$S$1</formula>
    </cfRule>
    <cfRule type="cellIs" dxfId="79" priority="765" operator="equal">
      <formula>$U$1</formula>
    </cfRule>
  </conditionalFormatting>
  <conditionalFormatting sqref="C89">
    <cfRule type="cellIs" dxfId="78" priority="762" operator="equal">
      <formula>$U$1</formula>
    </cfRule>
    <cfRule type="cellIs" dxfId="77" priority="763" operator="equal">
      <formula>$S$1</formula>
    </cfRule>
  </conditionalFormatting>
  <conditionalFormatting sqref="D89">
    <cfRule type="cellIs" dxfId="76" priority="760" operator="equal">
      <formula>$S$1</formula>
    </cfRule>
    <cfRule type="cellIs" dxfId="75" priority="761" operator="equal">
      <formula>$U$1</formula>
    </cfRule>
  </conditionalFormatting>
  <conditionalFormatting sqref="C136">
    <cfRule type="cellIs" dxfId="74" priority="758" operator="equal">
      <formula>$U$1</formula>
    </cfRule>
    <cfRule type="cellIs" dxfId="73" priority="759" operator="equal">
      <formula>$S$1</formula>
    </cfRule>
  </conditionalFormatting>
  <conditionalFormatting sqref="D136">
    <cfRule type="cellIs" dxfId="72" priority="756" operator="equal">
      <formula>$S$1</formula>
    </cfRule>
    <cfRule type="cellIs" dxfId="71" priority="757" operator="equal">
      <formula>$U$1</formula>
    </cfRule>
  </conditionalFormatting>
  <conditionalFormatting sqref="C1">
    <cfRule type="cellIs" dxfId="70" priority="755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DL203" sqref="DL203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$A$202</v>
      </c>
      <c r="D111" s="1" t="str">
        <f>ADDRESS(C121-1,D121,1,1)</f>
        <v>$DL$202</v>
      </c>
      <c r="E111"/>
    </row>
    <row r="112" spans="1:5" x14ac:dyDescent="0.25">
      <c r="A112" s="30">
        <v>515.50191262726139</v>
      </c>
      <c r="C112" s="1" t="str">
        <f>ADDRESS(C121,1,1,1)</f>
        <v>$A$203</v>
      </c>
      <c r="D112" s="1" t="str">
        <f>ADDRESS(C121,D121-1,1,1)</f>
        <v>$DK$203</v>
      </c>
      <c r="E112"/>
    </row>
    <row r="113" spans="1:5" x14ac:dyDescent="0.25">
      <c r="A113" s="30">
        <v>490.95420250215363</v>
      </c>
      <c r="C113" s="1" t="str">
        <f>ADDRESS(C121+1,1,1,1)</f>
        <v>$A$204</v>
      </c>
      <c r="D113" s="1" t="str">
        <f>ADDRESS(C121-1,D121+1,1,1)</f>
        <v>$DM$202</v>
      </c>
    </row>
    <row r="114" spans="1:5" x14ac:dyDescent="0.25">
      <c r="A114" s="30">
        <v>467.57543095443202</v>
      </c>
      <c r="C114" s="1" t="str">
        <f>ADDRESS(C121,D121,1,1)</f>
        <v>$DL$203</v>
      </c>
      <c r="D114" s="1" t="str">
        <f>ADDRESS(C121+1,D121+1,1,1)</f>
        <v>$DM$204</v>
      </c>
    </row>
    <row r="115" spans="1:5" x14ac:dyDescent="0.25">
      <c r="A115" s="30">
        <v>445.30993424231622</v>
      </c>
      <c r="C115" s="1" t="str">
        <f>ADDRESS(C121+1,D121,1,1)</f>
        <v>$DL$204</v>
      </c>
    </row>
    <row r="116" spans="1:5" x14ac:dyDescent="0.25">
      <c r="A116" s="30">
        <v>424.10469927839637</v>
      </c>
      <c r="C116" s="1">
        <f>C117-1</f>
        <v>202</v>
      </c>
    </row>
    <row r="117" spans="1:5" x14ac:dyDescent="0.25">
      <c r="A117" s="30">
        <v>403.9092374079965</v>
      </c>
      <c r="C117" s="1">
        <f>C121</f>
        <v>203</v>
      </c>
      <c r="D117" s="1">
        <f>D121</f>
        <v>116</v>
      </c>
    </row>
    <row r="118" spans="1:5" x14ac:dyDescent="0.25">
      <c r="A118" s="30">
        <v>384.6754641980919</v>
      </c>
      <c r="C118" s="1">
        <f>C117+1</f>
        <v>204</v>
      </c>
      <c r="D118" s="1">
        <f>D117+1</f>
        <v>117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203</v>
      </c>
      <c r="D121" s="19">
        <v>116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R203</v>
      </c>
      <c r="D123" s="1" t="str">
        <f>"C"&amp;D121</f>
        <v>C116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6.0814069427704647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104" x14ac:dyDescent="0.25">
      <c r="A161" s="30">
        <v>47.201372444612005</v>
      </c>
      <c r="E161"/>
    </row>
    <row r="162" spans="1:104" x14ac:dyDescent="0.25">
      <c r="A162" s="30">
        <v>44.95368804248762</v>
      </c>
      <c r="E162"/>
    </row>
    <row r="163" spans="1:104" x14ac:dyDescent="0.25">
      <c r="A163" s="30">
        <v>42.81303623094059</v>
      </c>
      <c r="E163"/>
    </row>
    <row r="164" spans="1:104" x14ac:dyDescent="0.25">
      <c r="A164" s="30">
        <v>40.774320219943419</v>
      </c>
      <c r="E164"/>
    </row>
    <row r="165" spans="1:104" x14ac:dyDescent="0.25">
      <c r="A165" s="30">
        <v>38.832685923755633</v>
      </c>
      <c r="E165"/>
    </row>
    <row r="166" spans="1:104" x14ac:dyDescent="0.25">
      <c r="A166" s="30">
        <v>36.983510403576794</v>
      </c>
      <c r="E166"/>
    </row>
    <row r="167" spans="1:104" x14ac:dyDescent="0.25">
      <c r="A167" s="30">
        <v>35.222390860549325</v>
      </c>
      <c r="E167"/>
      <c r="AA167" s="27" t="s">
        <v>8</v>
      </c>
    </row>
    <row r="168" spans="1:104" x14ac:dyDescent="0.25">
      <c r="A168" s="30">
        <v>33.545134152904119</v>
      </c>
      <c r="E168"/>
      <c r="W168" s="27" t="s">
        <v>8</v>
      </c>
      <c r="AA168" s="27" t="s">
        <v>8</v>
      </c>
      <c r="AB168" s="27" t="s">
        <v>7</v>
      </c>
    </row>
    <row r="169" spans="1:104" x14ac:dyDescent="0.25">
      <c r="A169" s="30">
        <v>31.947746812289637</v>
      </c>
      <c r="E169"/>
      <c r="W169" s="27" t="s">
        <v>8</v>
      </c>
      <c r="X169" s="27" t="s">
        <v>7</v>
      </c>
      <c r="AA169" s="27" t="s">
        <v>8</v>
      </c>
      <c r="AB169" s="27" t="s">
        <v>7</v>
      </c>
      <c r="BI169" s="27" t="s">
        <v>8</v>
      </c>
    </row>
    <row r="170" spans="1:104" x14ac:dyDescent="0.25">
      <c r="A170" s="30">
        <v>30.426425535513939</v>
      </c>
      <c r="E170"/>
      <c r="W170" s="27" t="s">
        <v>8</v>
      </c>
      <c r="X170" s="27" t="s">
        <v>7</v>
      </c>
      <c r="Y170" s="27" t="s">
        <v>8</v>
      </c>
      <c r="AA170" s="27" t="s">
        <v>8</v>
      </c>
      <c r="AB170" s="27" t="s">
        <v>7</v>
      </c>
      <c r="AI170" s="27" t="s">
        <v>8</v>
      </c>
      <c r="BI170" s="27" t="s">
        <v>8</v>
      </c>
      <c r="BJ170" s="27" t="s">
        <v>7</v>
      </c>
    </row>
    <row r="171" spans="1:104" x14ac:dyDescent="0.25">
      <c r="A171" s="30">
        <v>28.977548129060892</v>
      </c>
      <c r="E171"/>
      <c r="W171" s="27" t="s">
        <v>8</v>
      </c>
      <c r="X171" s="27" t="s">
        <v>7</v>
      </c>
      <c r="Y171" s="27" t="s">
        <v>8</v>
      </c>
      <c r="Z171" s="27" t="s">
        <v>7</v>
      </c>
      <c r="AA171" s="27" t="s">
        <v>8</v>
      </c>
      <c r="AB171" s="27" t="s">
        <v>7</v>
      </c>
      <c r="AC171" s="27" t="s">
        <v>8</v>
      </c>
      <c r="AI171" s="27" t="s">
        <v>8</v>
      </c>
      <c r="AJ171" s="27" t="s">
        <v>7</v>
      </c>
      <c r="BI171" s="27" t="s">
        <v>8</v>
      </c>
      <c r="BJ171" s="27" t="s">
        <v>7</v>
      </c>
    </row>
    <row r="172" spans="1:104" x14ac:dyDescent="0.25">
      <c r="A172" s="30">
        <v>27.597664884819896</v>
      </c>
      <c r="E172"/>
      <c r="W172" s="27" t="s">
        <v>8</v>
      </c>
      <c r="X172" s="27" t="s">
        <v>7</v>
      </c>
      <c r="Y172" s="27" t="s">
        <v>8</v>
      </c>
      <c r="Z172" s="27" t="s">
        <v>7</v>
      </c>
      <c r="AA172" s="27" t="s">
        <v>8</v>
      </c>
      <c r="AB172" s="27" t="s">
        <v>7</v>
      </c>
      <c r="AC172" s="27" t="s">
        <v>8</v>
      </c>
      <c r="AD172" s="27" t="s">
        <v>7</v>
      </c>
      <c r="AI172" s="27" t="s">
        <v>8</v>
      </c>
      <c r="AJ172" s="27" t="s">
        <v>7</v>
      </c>
      <c r="BI172" s="27" t="s">
        <v>8</v>
      </c>
      <c r="BJ172" s="27" t="s">
        <v>7</v>
      </c>
    </row>
    <row r="173" spans="1:104" x14ac:dyDescent="0.25">
      <c r="A173" s="30">
        <v>26.283490366495137</v>
      </c>
      <c r="E173"/>
      <c r="W173" s="27" t="s">
        <v>8</v>
      </c>
      <c r="X173" s="27" t="s">
        <v>7</v>
      </c>
      <c r="Y173" s="27" t="s">
        <v>8</v>
      </c>
      <c r="Z173" s="27" t="s">
        <v>7</v>
      </c>
      <c r="AA173" s="27" t="s">
        <v>8</v>
      </c>
      <c r="AB173" s="27" t="s">
        <v>7</v>
      </c>
      <c r="AC173" s="27" t="s">
        <v>8</v>
      </c>
      <c r="AD173" s="27" t="s">
        <v>7</v>
      </c>
      <c r="AG173" s="27" t="s">
        <v>8</v>
      </c>
      <c r="AI173" s="27" t="s">
        <v>8</v>
      </c>
      <c r="AJ173" s="27" t="s">
        <v>7</v>
      </c>
      <c r="AK173" s="27" t="s">
        <v>8</v>
      </c>
      <c r="BI173" s="27" t="s">
        <v>8</v>
      </c>
      <c r="BJ173" s="27" t="s">
        <v>7</v>
      </c>
      <c r="CY173" s="27" t="s">
        <v>8</v>
      </c>
    </row>
    <row r="174" spans="1:104" x14ac:dyDescent="0.25">
      <c r="A174" s="30">
        <v>25.031895587138223</v>
      </c>
      <c r="E174"/>
      <c r="W174" s="27" t="s">
        <v>8</v>
      </c>
      <c r="X174" s="27" t="s">
        <v>7</v>
      </c>
      <c r="Y174" s="27" t="s">
        <v>8</v>
      </c>
      <c r="Z174" s="27" t="s">
        <v>7</v>
      </c>
      <c r="AA174" s="27" t="s">
        <v>8</v>
      </c>
      <c r="AB174" s="27" t="s">
        <v>7</v>
      </c>
      <c r="AC174" s="27" t="s">
        <v>8</v>
      </c>
      <c r="AD174" s="27" t="s">
        <v>7</v>
      </c>
      <c r="AE174" s="27" t="s">
        <v>8</v>
      </c>
      <c r="AG174" s="27" t="s">
        <v>8</v>
      </c>
      <c r="AH174" s="27" t="s">
        <v>7</v>
      </c>
      <c r="AI174" s="27" t="s">
        <v>8</v>
      </c>
      <c r="AJ174" s="27" t="s">
        <v>7</v>
      </c>
      <c r="AK174" s="27" t="s">
        <v>8</v>
      </c>
      <c r="AL174" s="27" t="s">
        <v>7</v>
      </c>
      <c r="AM174" s="27" t="s">
        <v>8</v>
      </c>
      <c r="BI174" s="27" t="s">
        <v>8</v>
      </c>
      <c r="BJ174" s="27" t="s">
        <v>7</v>
      </c>
      <c r="CY174" s="27" t="s">
        <v>8</v>
      </c>
      <c r="CZ174" s="27" t="s">
        <v>7</v>
      </c>
    </row>
    <row r="175" spans="1:104" x14ac:dyDescent="0.25">
      <c r="A175" s="30">
        <v>23.839900559179259</v>
      </c>
      <c r="E175"/>
      <c r="W175" s="27" t="s">
        <v>8</v>
      </c>
      <c r="X175" s="27" t="s">
        <v>7</v>
      </c>
      <c r="Y175" s="27" t="s">
        <v>8</v>
      </c>
      <c r="Z175" s="27" t="s">
        <v>7</v>
      </c>
      <c r="AA175" s="27" t="s">
        <v>8</v>
      </c>
      <c r="AB175" s="27" t="s">
        <v>7</v>
      </c>
      <c r="AC175" s="27" t="s">
        <v>8</v>
      </c>
      <c r="AD175" s="27" t="s">
        <v>7</v>
      </c>
      <c r="AE175" s="27" t="s">
        <v>8</v>
      </c>
      <c r="AF175" s="27" t="s">
        <v>7</v>
      </c>
      <c r="AG175" s="27" t="s">
        <v>8</v>
      </c>
      <c r="AH175" s="27" t="s">
        <v>7</v>
      </c>
      <c r="AI175" s="27" t="s">
        <v>8</v>
      </c>
      <c r="AJ175" s="27" t="s">
        <v>7</v>
      </c>
      <c r="AK175" s="27" t="s">
        <v>8</v>
      </c>
      <c r="AL175" s="27" t="s">
        <v>7</v>
      </c>
      <c r="AM175" s="27" t="s">
        <v>8</v>
      </c>
      <c r="AN175" s="27" t="s">
        <v>7</v>
      </c>
      <c r="BI175" s="27" t="s">
        <v>8</v>
      </c>
      <c r="BJ175" s="27" t="s">
        <v>7</v>
      </c>
      <c r="CY175" s="27" t="s">
        <v>8</v>
      </c>
      <c r="CZ175" s="27" t="s">
        <v>7</v>
      </c>
    </row>
    <row r="176" spans="1:104" x14ac:dyDescent="0.25">
      <c r="A176" s="30">
        <v>22.704667199218342</v>
      </c>
      <c r="E176"/>
      <c r="W176" s="27" t="s">
        <v>8</v>
      </c>
      <c r="X176" s="27" t="s">
        <v>7</v>
      </c>
      <c r="Z176" s="27" t="s">
        <v>7</v>
      </c>
      <c r="AA176" s="27" t="s">
        <v>8</v>
      </c>
      <c r="AB176" s="27" t="s">
        <v>7</v>
      </c>
      <c r="AC176" s="27" t="s">
        <v>8</v>
      </c>
      <c r="AD176" s="27" t="s">
        <v>7</v>
      </c>
      <c r="AE176" s="27" t="s">
        <v>8</v>
      </c>
      <c r="AF176" s="27" t="s">
        <v>7</v>
      </c>
      <c r="AG176" s="27" t="s">
        <v>8</v>
      </c>
      <c r="AH176" s="27" t="s">
        <v>7</v>
      </c>
      <c r="AI176" s="27" t="s">
        <v>8</v>
      </c>
      <c r="AJ176" s="27" t="s">
        <v>7</v>
      </c>
      <c r="AL176" s="27" t="s">
        <v>7</v>
      </c>
      <c r="AM176" s="27" t="s">
        <v>8</v>
      </c>
      <c r="AN176" s="27" t="s">
        <v>7</v>
      </c>
      <c r="BI176" s="27" t="s">
        <v>8</v>
      </c>
      <c r="BJ176" s="27" t="s">
        <v>7</v>
      </c>
      <c r="BK176" s="27" t="s">
        <v>8</v>
      </c>
      <c r="BW176" s="27" t="s">
        <v>8</v>
      </c>
      <c r="CY176" s="27" t="s">
        <v>8</v>
      </c>
      <c r="CZ176" s="27" t="s">
        <v>7</v>
      </c>
    </row>
    <row r="177" spans="1:112" x14ac:dyDescent="0.25">
      <c r="A177" s="30">
        <v>21.623492570684135</v>
      </c>
      <c r="E177"/>
      <c r="W177" s="27" t="s">
        <v>8</v>
      </c>
      <c r="Z177" s="27" t="s">
        <v>7</v>
      </c>
      <c r="AB177" s="27" t="s">
        <v>7</v>
      </c>
      <c r="AC177" s="27" t="s">
        <v>8</v>
      </c>
      <c r="AD177" s="27" t="s">
        <v>7</v>
      </c>
      <c r="AE177" s="27" t="s">
        <v>8</v>
      </c>
      <c r="AF177" s="27" t="s">
        <v>7</v>
      </c>
      <c r="AH177" s="27" t="s">
        <v>7</v>
      </c>
      <c r="AL177" s="27" t="s">
        <v>7</v>
      </c>
      <c r="AM177" s="27" t="s">
        <v>8</v>
      </c>
      <c r="AN177" s="27" t="s">
        <v>7</v>
      </c>
      <c r="AO177" s="27" t="s">
        <v>8</v>
      </c>
      <c r="BI177" s="27" t="s">
        <v>8</v>
      </c>
      <c r="BJ177" s="27" t="s">
        <v>7</v>
      </c>
      <c r="BK177" s="27" t="s">
        <v>8</v>
      </c>
      <c r="BL177" s="27" t="s">
        <v>7</v>
      </c>
      <c r="BW177" s="27" t="s">
        <v>8</v>
      </c>
      <c r="BX177" s="27" t="s">
        <v>7</v>
      </c>
      <c r="CY177" s="27" t="s">
        <v>8</v>
      </c>
      <c r="CZ177" s="27" t="s">
        <v>7</v>
      </c>
    </row>
    <row r="178" spans="1:112" x14ac:dyDescent="0.25">
      <c r="A178" s="30">
        <v>20.593802448270605</v>
      </c>
      <c r="C178" s="7"/>
      <c r="D178"/>
      <c r="E178"/>
      <c r="W178" s="27" t="s">
        <v>8</v>
      </c>
      <c r="AB178" s="27" t="s">
        <v>7</v>
      </c>
      <c r="AD178" s="27" t="s">
        <v>7</v>
      </c>
      <c r="AL178" s="27" t="s">
        <v>7</v>
      </c>
      <c r="AM178" s="27" t="s">
        <v>8</v>
      </c>
      <c r="AN178" s="27" t="s">
        <v>7</v>
      </c>
      <c r="AO178" s="27" t="s">
        <v>8</v>
      </c>
      <c r="AP178" s="27" t="s">
        <v>7</v>
      </c>
      <c r="BI178" s="27" t="s">
        <v>8</v>
      </c>
      <c r="BJ178" s="27" t="s">
        <v>7</v>
      </c>
      <c r="BK178" s="27" t="s">
        <v>8</v>
      </c>
      <c r="BL178" s="27" t="s">
        <v>7</v>
      </c>
      <c r="BW178" s="27" t="s">
        <v>8</v>
      </c>
      <c r="BX178" s="27" t="s">
        <v>7</v>
      </c>
      <c r="BY178" s="27" t="s">
        <v>8</v>
      </c>
      <c r="CS178" s="27" t="s">
        <v>8</v>
      </c>
      <c r="CY178" s="27" t="s">
        <v>8</v>
      </c>
      <c r="CZ178" s="27" t="s">
        <v>7</v>
      </c>
    </row>
    <row r="179" spans="1:112" x14ac:dyDescent="0.25">
      <c r="A179" s="30">
        <v>19.613145188829147</v>
      </c>
      <c r="E179"/>
      <c r="W179" s="27" t="s">
        <v>8</v>
      </c>
      <c r="AL179" s="27" t="s">
        <v>7</v>
      </c>
      <c r="AM179" s="27" t="s">
        <v>8</v>
      </c>
      <c r="AN179" s="27" t="s">
        <v>7</v>
      </c>
      <c r="AO179" s="27" t="s">
        <v>8</v>
      </c>
      <c r="AP179" s="27" t="s">
        <v>7</v>
      </c>
      <c r="BI179" s="27" t="s">
        <v>8</v>
      </c>
      <c r="BJ179" s="27" t="s">
        <v>7</v>
      </c>
      <c r="BK179" s="27" t="s">
        <v>8</v>
      </c>
      <c r="BL179" s="27" t="s">
        <v>7</v>
      </c>
      <c r="BW179" s="27" t="s">
        <v>8</v>
      </c>
      <c r="BX179" s="27" t="s">
        <v>7</v>
      </c>
      <c r="BY179" s="27" t="s">
        <v>8</v>
      </c>
      <c r="BZ179" s="27" t="s">
        <v>7</v>
      </c>
      <c r="CS179" s="27" t="s">
        <v>8</v>
      </c>
      <c r="CT179" s="27" t="s">
        <v>7</v>
      </c>
      <c r="CY179" s="27" t="s">
        <v>8</v>
      </c>
      <c r="CZ179" s="27" t="s">
        <v>7</v>
      </c>
    </row>
    <row r="180" spans="1:112" x14ac:dyDescent="0.25">
      <c r="A180" s="30">
        <v>18.679185894122998</v>
      </c>
      <c r="E180"/>
      <c r="W180" s="27" t="s">
        <v>8</v>
      </c>
      <c r="AL180" s="27" t="s">
        <v>7</v>
      </c>
      <c r="AN180" s="27" t="s">
        <v>7</v>
      </c>
      <c r="AP180" s="27" t="s">
        <v>7</v>
      </c>
      <c r="BI180" s="27" t="s">
        <v>8</v>
      </c>
      <c r="BJ180" s="27" t="s">
        <v>7</v>
      </c>
      <c r="BK180" s="27" t="s">
        <v>8</v>
      </c>
      <c r="BL180" s="27" t="s">
        <v>7</v>
      </c>
      <c r="BW180" s="27" t="s">
        <v>8</v>
      </c>
      <c r="BX180" s="27" t="s">
        <v>7</v>
      </c>
      <c r="BY180" s="27" t="s">
        <v>8</v>
      </c>
      <c r="BZ180" s="27" t="s">
        <v>7</v>
      </c>
      <c r="CA180" s="27" t="s">
        <v>8</v>
      </c>
      <c r="CS180" s="27" t="s">
        <v>8</v>
      </c>
      <c r="CT180" s="27" t="s">
        <v>7</v>
      </c>
      <c r="CU180" s="27" t="s">
        <v>8</v>
      </c>
      <c r="CY180" s="27" t="s">
        <v>8</v>
      </c>
      <c r="CZ180" s="27" t="s">
        <v>7</v>
      </c>
    </row>
    <row r="181" spans="1:112" x14ac:dyDescent="0.25">
      <c r="A181" s="30">
        <v>17.78970085154571</v>
      </c>
      <c r="C181"/>
      <c r="D181"/>
      <c r="E181"/>
      <c r="W181" s="27" t="s">
        <v>8</v>
      </c>
      <c r="AP181" s="27" t="s">
        <v>7</v>
      </c>
      <c r="AQ181" s="27" t="s">
        <v>8</v>
      </c>
      <c r="BI181" s="27" t="s">
        <v>8</v>
      </c>
      <c r="BJ181" s="27" t="s">
        <v>7</v>
      </c>
      <c r="BK181" s="27" t="s">
        <v>8</v>
      </c>
      <c r="BL181" s="27" t="s">
        <v>7</v>
      </c>
      <c r="BQ181" s="27" t="s">
        <v>8</v>
      </c>
      <c r="BW181" s="27" t="s">
        <v>8</v>
      </c>
      <c r="BX181" s="27" t="s">
        <v>7</v>
      </c>
      <c r="BY181" s="27" t="s">
        <v>8</v>
      </c>
      <c r="BZ181" s="27" t="s">
        <v>7</v>
      </c>
      <c r="CA181" s="27" t="s">
        <v>8</v>
      </c>
      <c r="CB181" s="27" t="s">
        <v>7</v>
      </c>
      <c r="CS181" s="27" t="s">
        <v>8</v>
      </c>
      <c r="CT181" s="27" t="s">
        <v>7</v>
      </c>
      <c r="CU181" s="27" t="s">
        <v>8</v>
      </c>
      <c r="CV181" s="27" t="s">
        <v>7</v>
      </c>
      <c r="CY181" s="27" t="s">
        <v>8</v>
      </c>
      <c r="CZ181" s="27" t="s">
        <v>7</v>
      </c>
    </row>
    <row r="182" spans="1:112" x14ac:dyDescent="0.25">
      <c r="A182" s="30">
        <v>16.942572239567344</v>
      </c>
      <c r="E182"/>
      <c r="W182" s="27" t="s">
        <v>8</v>
      </c>
      <c r="AP182" s="27" t="s">
        <v>7</v>
      </c>
      <c r="AQ182" s="27" t="s">
        <v>8</v>
      </c>
      <c r="AR182" s="27" t="s">
        <v>7</v>
      </c>
      <c r="BI182" s="27" t="s">
        <v>8</v>
      </c>
      <c r="BJ182" s="27" t="s">
        <v>7</v>
      </c>
      <c r="BK182" s="27" t="s">
        <v>8</v>
      </c>
      <c r="BL182" s="27" t="s">
        <v>7</v>
      </c>
      <c r="BQ182" s="27" t="s">
        <v>8</v>
      </c>
      <c r="BR182" s="27" t="s">
        <v>7</v>
      </c>
      <c r="BW182" s="27" t="s">
        <v>8</v>
      </c>
      <c r="BX182" s="27" t="s">
        <v>7</v>
      </c>
      <c r="BY182" s="27" t="s">
        <v>8</v>
      </c>
      <c r="BZ182" s="27" t="s">
        <v>7</v>
      </c>
      <c r="CA182" s="27" t="s">
        <v>8</v>
      </c>
      <c r="CB182" s="27" t="s">
        <v>7</v>
      </c>
      <c r="CS182" s="27" t="s">
        <v>8</v>
      </c>
      <c r="CT182" s="27" t="s">
        <v>7</v>
      </c>
      <c r="CU182" s="27" t="s">
        <v>8</v>
      </c>
      <c r="CV182" s="27" t="s">
        <v>7</v>
      </c>
      <c r="CW182" s="27" t="s">
        <v>8</v>
      </c>
      <c r="CY182" s="27" t="s">
        <v>8</v>
      </c>
      <c r="CZ182" s="27" t="s">
        <v>7</v>
      </c>
    </row>
    <row r="183" spans="1:112" x14ac:dyDescent="0.25">
      <c r="A183" s="30">
        <v>16.135783085302233</v>
      </c>
      <c r="E183"/>
      <c r="W183" s="27" t="s">
        <v>8</v>
      </c>
      <c r="AP183" s="27" t="s">
        <v>7</v>
      </c>
      <c r="AQ183" s="27" t="s">
        <v>8</v>
      </c>
      <c r="AR183" s="27" t="s">
        <v>7</v>
      </c>
      <c r="BI183" s="27" t="s">
        <v>8</v>
      </c>
      <c r="BJ183" s="27" t="s">
        <v>7</v>
      </c>
      <c r="BK183" s="27" t="s">
        <v>8</v>
      </c>
      <c r="BL183" s="27" t="s">
        <v>7</v>
      </c>
      <c r="BQ183" s="27" t="s">
        <v>8</v>
      </c>
      <c r="BR183" s="27" t="s">
        <v>7</v>
      </c>
      <c r="BW183" s="27" t="s">
        <v>8</v>
      </c>
      <c r="BX183" s="27" t="s">
        <v>7</v>
      </c>
      <c r="BY183" s="27" t="s">
        <v>8</v>
      </c>
      <c r="BZ183" s="27" t="s">
        <v>7</v>
      </c>
      <c r="CA183" s="27" t="s">
        <v>8</v>
      </c>
      <c r="CB183" s="27" t="s">
        <v>7</v>
      </c>
      <c r="CE183" s="27" t="s">
        <v>8</v>
      </c>
      <c r="CS183" s="27" t="s">
        <v>8</v>
      </c>
      <c r="CT183" s="27" t="s">
        <v>7</v>
      </c>
      <c r="CU183" s="27" t="s">
        <v>8</v>
      </c>
      <c r="CV183" s="27" t="s">
        <v>7</v>
      </c>
      <c r="CW183" s="27" t="s">
        <v>8</v>
      </c>
      <c r="CX183" s="27" t="s">
        <v>7</v>
      </c>
      <c r="CY183" s="27" t="s">
        <v>8</v>
      </c>
      <c r="CZ183" s="27" t="s">
        <v>7</v>
      </c>
      <c r="DA183" s="27" t="s">
        <v>8</v>
      </c>
    </row>
    <row r="184" spans="1:112" x14ac:dyDescent="0.25">
      <c r="A184" s="30">
        <v>15.367412462192602</v>
      </c>
      <c r="E184"/>
      <c r="W184" s="27" t="s">
        <v>8</v>
      </c>
      <c r="AP184" s="27" t="s">
        <v>7</v>
      </c>
      <c r="AR184" s="27" t="s">
        <v>7</v>
      </c>
      <c r="BI184" s="27" t="s">
        <v>8</v>
      </c>
      <c r="BJ184" s="27" t="s">
        <v>7</v>
      </c>
      <c r="BK184" s="27" t="s">
        <v>8</v>
      </c>
      <c r="BL184" s="27" t="s">
        <v>7</v>
      </c>
      <c r="BM184" s="27" t="s">
        <v>8</v>
      </c>
      <c r="BQ184" s="27" t="s">
        <v>8</v>
      </c>
      <c r="BR184" s="27" t="s">
        <v>7</v>
      </c>
      <c r="BW184" s="27" t="s">
        <v>8</v>
      </c>
      <c r="BX184" s="27" t="s">
        <v>7</v>
      </c>
      <c r="BY184" s="27" t="s">
        <v>8</v>
      </c>
      <c r="BZ184" s="27" t="s">
        <v>7</v>
      </c>
      <c r="CA184" s="27" t="s">
        <v>8</v>
      </c>
      <c r="CB184" s="27" t="s">
        <v>7</v>
      </c>
      <c r="CE184" s="27" t="s">
        <v>8</v>
      </c>
      <c r="CF184" s="27" t="s">
        <v>7</v>
      </c>
      <c r="CG184" s="27" t="s">
        <v>8</v>
      </c>
      <c r="CI184" s="27" t="s">
        <v>8</v>
      </c>
      <c r="CS184" s="27" t="s">
        <v>8</v>
      </c>
      <c r="CT184" s="27" t="s">
        <v>7</v>
      </c>
      <c r="CU184" s="27" t="s">
        <v>8</v>
      </c>
      <c r="CV184" s="27" t="s">
        <v>7</v>
      </c>
      <c r="CW184" s="27" t="s">
        <v>8</v>
      </c>
      <c r="CX184" s="27" t="s">
        <v>7</v>
      </c>
      <c r="CY184" s="27" t="s">
        <v>8</v>
      </c>
      <c r="CZ184" s="27" t="s">
        <v>7</v>
      </c>
      <c r="DA184" s="27" t="s">
        <v>8</v>
      </c>
      <c r="DB184" s="27" t="s">
        <v>7</v>
      </c>
    </row>
    <row r="185" spans="1:112" x14ac:dyDescent="0.25">
      <c r="A185" s="30">
        <v>14.635630916373906</v>
      </c>
      <c r="C185"/>
      <c r="E185"/>
      <c r="W185" s="27" t="s">
        <v>8</v>
      </c>
      <c r="AR185" s="27" t="s">
        <v>7</v>
      </c>
      <c r="BI185" s="27" t="s">
        <v>8</v>
      </c>
      <c r="BJ185" s="27" t="s">
        <v>7</v>
      </c>
      <c r="BK185" s="27" t="s">
        <v>8</v>
      </c>
      <c r="BL185" s="27" t="s">
        <v>7</v>
      </c>
      <c r="BM185" s="27" t="s">
        <v>8</v>
      </c>
      <c r="BN185" s="27" t="s">
        <v>7</v>
      </c>
      <c r="BQ185" s="27" t="s">
        <v>8</v>
      </c>
      <c r="BR185" s="27" t="s">
        <v>7</v>
      </c>
      <c r="BS185" s="27" t="s">
        <v>8</v>
      </c>
      <c r="BW185" s="27" t="s">
        <v>8</v>
      </c>
      <c r="BX185" s="27" t="s">
        <v>7</v>
      </c>
      <c r="BZ185" s="27" t="s">
        <v>7</v>
      </c>
      <c r="CB185" s="27" t="s">
        <v>7</v>
      </c>
      <c r="CE185" s="27" t="s">
        <v>8</v>
      </c>
      <c r="CF185" s="27" t="s">
        <v>7</v>
      </c>
      <c r="CG185" s="27" t="s">
        <v>8</v>
      </c>
      <c r="CH185" s="27" t="s">
        <v>7</v>
      </c>
      <c r="CI185" s="27" t="s">
        <v>8</v>
      </c>
      <c r="CJ185" s="27" t="s">
        <v>7</v>
      </c>
      <c r="CM185" s="27" t="s">
        <v>8</v>
      </c>
      <c r="CO185" s="27" t="s">
        <v>8</v>
      </c>
      <c r="CS185" s="27" t="s">
        <v>8</v>
      </c>
      <c r="CT185" s="27" t="s">
        <v>7</v>
      </c>
      <c r="CU185" s="27" t="s">
        <v>8</v>
      </c>
      <c r="CV185" s="27" t="s">
        <v>7</v>
      </c>
      <c r="CW185" s="27" t="s">
        <v>8</v>
      </c>
      <c r="CX185" s="27" t="s">
        <v>7</v>
      </c>
      <c r="CY185" s="27" t="s">
        <v>8</v>
      </c>
      <c r="CZ185" s="27" t="s">
        <v>7</v>
      </c>
      <c r="DA185" s="27" t="s">
        <v>8</v>
      </c>
      <c r="DB185" s="27" t="s">
        <v>7</v>
      </c>
      <c r="DE185" s="27" t="s">
        <v>8</v>
      </c>
    </row>
    <row r="186" spans="1:112" x14ac:dyDescent="0.25">
      <c r="A186" s="30">
        <v>13.938696110832291</v>
      </c>
      <c r="E186"/>
      <c r="W186" s="27" t="s">
        <v>8</v>
      </c>
      <c r="AR186" s="27" t="s">
        <v>7</v>
      </c>
      <c r="BI186" s="27" t="s">
        <v>8</v>
      </c>
      <c r="BJ186" s="27" t="s">
        <v>7</v>
      </c>
      <c r="BK186" s="27" t="s">
        <v>8</v>
      </c>
      <c r="BL186" s="27" t="s">
        <v>7</v>
      </c>
      <c r="BM186" s="27" t="s">
        <v>8</v>
      </c>
      <c r="BN186" s="27" t="s">
        <v>7</v>
      </c>
      <c r="BQ186" s="27" t="s">
        <v>8</v>
      </c>
      <c r="BR186" s="27" t="s">
        <v>7</v>
      </c>
      <c r="BS186" s="27" t="s">
        <v>8</v>
      </c>
      <c r="BT186" s="27" t="s">
        <v>7</v>
      </c>
      <c r="BW186" s="27" t="s">
        <v>8</v>
      </c>
      <c r="CB186" s="27" t="s">
        <v>7</v>
      </c>
      <c r="CE186" s="27" t="s">
        <v>8</v>
      </c>
      <c r="CF186" s="27" t="s">
        <v>7</v>
      </c>
      <c r="CG186" s="27" t="s">
        <v>8</v>
      </c>
      <c r="CH186" s="27" t="s">
        <v>7</v>
      </c>
      <c r="CI186" s="27" t="s">
        <v>8</v>
      </c>
      <c r="CJ186" s="27" t="s">
        <v>7</v>
      </c>
      <c r="CM186" s="27" t="s">
        <v>8</v>
      </c>
      <c r="CN186" s="27" t="s">
        <v>7</v>
      </c>
      <c r="CO186" s="27" t="s">
        <v>8</v>
      </c>
      <c r="CP186" s="27" t="s">
        <v>7</v>
      </c>
      <c r="CQ186" s="27" t="s">
        <v>8</v>
      </c>
      <c r="CS186" s="27" t="s">
        <v>8</v>
      </c>
      <c r="CT186" s="27" t="s">
        <v>7</v>
      </c>
      <c r="CU186" s="27" t="s">
        <v>8</v>
      </c>
      <c r="CV186" s="27" t="s">
        <v>7</v>
      </c>
      <c r="CW186" s="27" t="s">
        <v>8</v>
      </c>
      <c r="CX186" s="27" t="s">
        <v>7</v>
      </c>
      <c r="CZ186" s="27" t="s">
        <v>7</v>
      </c>
      <c r="DA186" s="27" t="s">
        <v>8</v>
      </c>
      <c r="DB186" s="27" t="s">
        <v>7</v>
      </c>
      <c r="DC186" s="27" t="s">
        <v>8</v>
      </c>
      <c r="DE186" s="27" t="s">
        <v>8</v>
      </c>
      <c r="DF186" s="27" t="s">
        <v>7</v>
      </c>
    </row>
    <row r="187" spans="1:112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  <c r="W187" s="27" t="s">
        <v>8</v>
      </c>
      <c r="AR187" s="27" t="s">
        <v>7</v>
      </c>
      <c r="BI187" s="27" t="s">
        <v>8</v>
      </c>
      <c r="BJ187" s="27" t="s">
        <v>7</v>
      </c>
      <c r="BK187" s="27" t="s">
        <v>8</v>
      </c>
      <c r="BL187" s="27" t="s">
        <v>7</v>
      </c>
      <c r="BM187" s="27" t="s">
        <v>8</v>
      </c>
      <c r="BN187" s="27" t="s">
        <v>7</v>
      </c>
      <c r="BO187" s="27" t="s">
        <v>8</v>
      </c>
      <c r="BQ187" s="27" t="s">
        <v>8</v>
      </c>
      <c r="BR187" s="27" t="s">
        <v>7</v>
      </c>
      <c r="BS187" s="27" t="s">
        <v>8</v>
      </c>
      <c r="BT187" s="27" t="s">
        <v>7</v>
      </c>
      <c r="BU187" s="27" t="s">
        <v>8</v>
      </c>
      <c r="BW187" s="27" t="s">
        <v>8</v>
      </c>
      <c r="CB187" s="27" t="s">
        <v>7</v>
      </c>
      <c r="CC187" s="27" t="s">
        <v>8</v>
      </c>
      <c r="CE187" s="27" t="s">
        <v>8</v>
      </c>
      <c r="CF187" s="27" t="s">
        <v>7</v>
      </c>
      <c r="CG187" s="27" t="s">
        <v>8</v>
      </c>
      <c r="CH187" s="27" t="s">
        <v>7</v>
      </c>
      <c r="CJ187" s="27" t="s">
        <v>7</v>
      </c>
      <c r="CK187" s="27" t="s">
        <v>8</v>
      </c>
      <c r="CM187" s="27" t="s">
        <v>8</v>
      </c>
      <c r="CN187" s="27" t="s">
        <v>7</v>
      </c>
      <c r="CO187" s="27" t="s">
        <v>8</v>
      </c>
      <c r="CP187" s="27" t="s">
        <v>7</v>
      </c>
      <c r="CQ187" s="27" t="s">
        <v>8</v>
      </c>
      <c r="CR187" s="27" t="s">
        <v>7</v>
      </c>
      <c r="CS187" s="27" t="s">
        <v>8</v>
      </c>
      <c r="CT187" s="27" t="s">
        <v>7</v>
      </c>
      <c r="CV187" s="27" t="s">
        <v>7</v>
      </c>
      <c r="CZ187" s="27" t="s">
        <v>7</v>
      </c>
      <c r="DB187" s="27" t="s">
        <v>7</v>
      </c>
      <c r="DC187" s="27" t="s">
        <v>8</v>
      </c>
      <c r="DD187" s="27" t="s">
        <v>7</v>
      </c>
      <c r="DE187" s="27" t="s">
        <v>8</v>
      </c>
      <c r="DF187" s="27" t="s">
        <v>7</v>
      </c>
    </row>
    <row r="188" spans="1:112" x14ac:dyDescent="0.25">
      <c r="A188" s="30">
        <v>12.64280826379346</v>
      </c>
      <c r="E188"/>
      <c r="M188" s="27" t="s">
        <v>8</v>
      </c>
      <c r="W188" s="27" t="s">
        <v>8</v>
      </c>
      <c r="AR188" s="27" t="s">
        <v>7</v>
      </c>
      <c r="BI188" s="27" t="s">
        <v>8</v>
      </c>
      <c r="BJ188" s="27" t="s">
        <v>7</v>
      </c>
      <c r="BK188" s="27" t="s">
        <v>8</v>
      </c>
      <c r="BL188" s="27" t="s">
        <v>7</v>
      </c>
      <c r="BM188" s="27" t="s">
        <v>8</v>
      </c>
      <c r="BN188" s="27" t="s">
        <v>7</v>
      </c>
      <c r="BO188" s="27" t="s">
        <v>8</v>
      </c>
      <c r="BP188" s="27" t="s">
        <v>7</v>
      </c>
      <c r="BQ188" s="27" t="s">
        <v>8</v>
      </c>
      <c r="BR188" s="27" t="s">
        <v>7</v>
      </c>
      <c r="BT188" s="27" t="s">
        <v>7</v>
      </c>
      <c r="BU188" s="27" t="s">
        <v>8</v>
      </c>
      <c r="BV188" s="27" t="s">
        <v>7</v>
      </c>
      <c r="BW188" s="27" t="s">
        <v>8</v>
      </c>
      <c r="CB188" s="27" t="s">
        <v>7</v>
      </c>
      <c r="CC188" s="27" t="s">
        <v>8</v>
      </c>
      <c r="CD188" s="27" t="s">
        <v>7</v>
      </c>
      <c r="CE188" s="27" t="s">
        <v>8</v>
      </c>
      <c r="CF188" s="27" t="s">
        <v>7</v>
      </c>
      <c r="CG188" s="27" t="s">
        <v>8</v>
      </c>
      <c r="CJ188" s="27" t="s">
        <v>7</v>
      </c>
      <c r="CK188" s="27" t="s">
        <v>8</v>
      </c>
      <c r="CL188" s="27" t="s">
        <v>7</v>
      </c>
      <c r="CM188" s="27" t="s">
        <v>8</v>
      </c>
      <c r="CN188" s="27" t="s">
        <v>7</v>
      </c>
      <c r="CO188" s="27" t="s">
        <v>8</v>
      </c>
      <c r="CP188" s="27" t="s">
        <v>7</v>
      </c>
      <c r="CQ188" s="27" t="s">
        <v>8</v>
      </c>
      <c r="CR188" s="27" t="s">
        <v>7</v>
      </c>
      <c r="CS188" s="27" t="s">
        <v>8</v>
      </c>
      <c r="DB188" s="27" t="s">
        <v>7</v>
      </c>
      <c r="DC188" s="27" t="s">
        <v>8</v>
      </c>
      <c r="DD188" s="27" t="s">
        <v>7</v>
      </c>
      <c r="DE188" s="27" t="s">
        <v>8</v>
      </c>
      <c r="DF188" s="27" t="s">
        <v>7</v>
      </c>
    </row>
    <row r="189" spans="1:112" x14ac:dyDescent="0.25">
      <c r="A189" s="30">
        <v>12.04076977504139</v>
      </c>
      <c r="E189"/>
      <c r="M189" s="27" t="s">
        <v>8</v>
      </c>
      <c r="N189" s="27" t="s">
        <v>7</v>
      </c>
      <c r="W189" s="27" t="s">
        <v>8</v>
      </c>
      <c r="AR189" s="27" t="s">
        <v>7</v>
      </c>
      <c r="BI189" s="27" t="s">
        <v>8</v>
      </c>
      <c r="BJ189" s="27" t="s">
        <v>7</v>
      </c>
      <c r="BK189" s="27" t="s">
        <v>8</v>
      </c>
      <c r="BL189" s="27" t="s">
        <v>7</v>
      </c>
      <c r="BN189" s="27" t="s">
        <v>7</v>
      </c>
      <c r="BO189" s="27" t="s">
        <v>8</v>
      </c>
      <c r="BP189" s="27" t="s">
        <v>7</v>
      </c>
      <c r="BQ189" s="27" t="s">
        <v>8</v>
      </c>
      <c r="BT189" s="27" t="s">
        <v>7</v>
      </c>
      <c r="BU189" s="27" t="s">
        <v>8</v>
      </c>
      <c r="BV189" s="27" t="s">
        <v>7</v>
      </c>
      <c r="BW189" s="27" t="s">
        <v>8</v>
      </c>
      <c r="CB189" s="27" t="s">
        <v>7</v>
      </c>
      <c r="CC189" s="27" t="s">
        <v>8</v>
      </c>
      <c r="CD189" s="27" t="s">
        <v>7</v>
      </c>
      <c r="CE189" s="27" t="s">
        <v>8</v>
      </c>
      <c r="CF189" s="27" t="s">
        <v>7</v>
      </c>
      <c r="CJ189" s="27" t="s">
        <v>7</v>
      </c>
      <c r="CK189" s="27" t="s">
        <v>8</v>
      </c>
      <c r="CL189" s="27" t="s">
        <v>7</v>
      </c>
      <c r="CM189" s="27" t="s">
        <v>8</v>
      </c>
      <c r="CN189" s="27" t="s">
        <v>7</v>
      </c>
      <c r="CP189" s="27" t="s">
        <v>7</v>
      </c>
      <c r="CR189" s="27" t="s">
        <v>7</v>
      </c>
      <c r="CS189" s="27" t="s">
        <v>8</v>
      </c>
      <c r="DB189" s="27" t="s">
        <v>7</v>
      </c>
      <c r="DC189" s="27" t="s">
        <v>8</v>
      </c>
      <c r="DD189" s="27" t="s">
        <v>7</v>
      </c>
      <c r="DE189" s="27" t="s">
        <v>8</v>
      </c>
      <c r="DF189" s="27" t="s">
        <v>7</v>
      </c>
    </row>
    <row r="190" spans="1:112" x14ac:dyDescent="0.25">
      <c r="A190" s="30">
        <v>11.467399785753704</v>
      </c>
      <c r="E190"/>
      <c r="I190" s="27" t="s">
        <v>8</v>
      </c>
      <c r="M190" s="27" t="s">
        <v>8</v>
      </c>
      <c r="N190" s="27" t="s">
        <v>7</v>
      </c>
      <c r="U190" s="27" t="s">
        <v>8</v>
      </c>
      <c r="W190" s="27" t="s">
        <v>8</v>
      </c>
      <c r="AR190" s="27" t="s">
        <v>7</v>
      </c>
      <c r="BI190" s="27" t="s">
        <v>8</v>
      </c>
      <c r="BJ190" s="27" t="s">
        <v>7</v>
      </c>
      <c r="BK190" s="27" t="s">
        <v>8</v>
      </c>
      <c r="BN190" s="27" t="s">
        <v>7</v>
      </c>
      <c r="BP190" s="27" t="s">
        <v>7</v>
      </c>
      <c r="BQ190" s="27" t="s">
        <v>8</v>
      </c>
      <c r="BT190" s="27" t="s">
        <v>7</v>
      </c>
      <c r="BU190" s="27" t="s">
        <v>8</v>
      </c>
      <c r="BV190" s="27" t="s">
        <v>7</v>
      </c>
      <c r="CB190" s="27" t="s">
        <v>7</v>
      </c>
      <c r="CC190" s="27" t="s">
        <v>8</v>
      </c>
      <c r="CD190" s="27" t="s">
        <v>7</v>
      </c>
      <c r="CJ190" s="27" t="s">
        <v>7</v>
      </c>
      <c r="CK190" s="27" t="s">
        <v>8</v>
      </c>
      <c r="CL190" s="27" t="s">
        <v>7</v>
      </c>
      <c r="CR190" s="27" t="s">
        <v>7</v>
      </c>
      <c r="DB190" s="27" t="s">
        <v>7</v>
      </c>
      <c r="DD190" s="27" t="s">
        <v>7</v>
      </c>
      <c r="DF190" s="27" t="s">
        <v>7</v>
      </c>
      <c r="DG190" s="27" t="s">
        <v>8</v>
      </c>
    </row>
    <row r="191" spans="1:112" x14ac:dyDescent="0.25">
      <c r="A191" s="30">
        <v>10.921333129289241</v>
      </c>
      <c r="E191"/>
      <c r="I191" s="27" t="s">
        <v>8</v>
      </c>
      <c r="J191" s="27" t="s">
        <v>7</v>
      </c>
      <c r="M191" s="27" t="s">
        <v>8</v>
      </c>
      <c r="N191" s="27" t="s">
        <v>7</v>
      </c>
      <c r="O191" s="27" t="s">
        <v>8</v>
      </c>
      <c r="U191" s="27" t="s">
        <v>8</v>
      </c>
      <c r="V191" s="27" t="s">
        <v>7</v>
      </c>
      <c r="W191" s="27" t="s">
        <v>8</v>
      </c>
      <c r="AR191" s="27" t="s">
        <v>7</v>
      </c>
      <c r="BI191" s="27" t="s">
        <v>8</v>
      </c>
      <c r="BJ191" s="27" t="s">
        <v>7</v>
      </c>
      <c r="BK191" s="27" t="s">
        <v>8</v>
      </c>
      <c r="BP191" s="27" t="s">
        <v>7</v>
      </c>
      <c r="BT191" s="27" t="s">
        <v>7</v>
      </c>
      <c r="CB191" s="27" t="s">
        <v>7</v>
      </c>
      <c r="CC191" s="27" t="s">
        <v>8</v>
      </c>
      <c r="CJ191" s="27" t="s">
        <v>7</v>
      </c>
      <c r="DF191" s="27" t="s">
        <v>7</v>
      </c>
      <c r="DG191" s="27" t="s">
        <v>8</v>
      </c>
      <c r="DH191" s="27" t="s">
        <v>7</v>
      </c>
    </row>
    <row r="192" spans="1:112" x14ac:dyDescent="0.25">
      <c r="A192" s="30">
        <v>10.401269646942135</v>
      </c>
      <c r="E192"/>
      <c r="I192" s="27" t="s">
        <v>8</v>
      </c>
      <c r="J192" s="27" t="s">
        <v>7</v>
      </c>
      <c r="M192" s="27" t="s">
        <v>8</v>
      </c>
      <c r="N192" s="27" t="s">
        <v>7</v>
      </c>
      <c r="O192" s="27" t="s">
        <v>8</v>
      </c>
      <c r="P192" s="27" t="s">
        <v>7</v>
      </c>
      <c r="U192" s="27" t="s">
        <v>8</v>
      </c>
      <c r="V192" s="27" t="s">
        <v>7</v>
      </c>
      <c r="W192" s="27" t="s">
        <v>8</v>
      </c>
      <c r="AR192" s="27" t="s">
        <v>7</v>
      </c>
      <c r="BI192" s="27" t="s">
        <v>8</v>
      </c>
      <c r="BJ192" s="27" t="s">
        <v>7</v>
      </c>
      <c r="BK192" s="27" t="s">
        <v>8</v>
      </c>
      <c r="CB192" s="27" t="s">
        <v>7</v>
      </c>
      <c r="CC192" s="27" t="s">
        <v>8</v>
      </c>
      <c r="DF192" s="27" t="s">
        <v>7</v>
      </c>
      <c r="DG192" s="27" t="s">
        <v>8</v>
      </c>
      <c r="DH192" s="27" t="s">
        <v>7</v>
      </c>
    </row>
    <row r="193" spans="1:116" x14ac:dyDescent="0.25">
      <c r="A193" s="30">
        <v>9.9059710923258422</v>
      </c>
      <c r="E193"/>
      <c r="I193" s="27" t="s">
        <v>8</v>
      </c>
      <c r="J193" s="27" t="s">
        <v>7</v>
      </c>
      <c r="M193" s="27" t="s">
        <v>8</v>
      </c>
      <c r="N193" s="27" t="s">
        <v>7</v>
      </c>
      <c r="O193" s="27" t="s">
        <v>8</v>
      </c>
      <c r="P193" s="27" t="s">
        <v>7</v>
      </c>
      <c r="U193" s="27" t="s">
        <v>8</v>
      </c>
      <c r="V193" s="27" t="s">
        <v>7</v>
      </c>
      <c r="W193" s="27" t="s">
        <v>8</v>
      </c>
      <c r="AR193" s="27" t="s">
        <v>7</v>
      </c>
      <c r="BI193" s="27" t="s">
        <v>8</v>
      </c>
      <c r="BJ193" s="27" t="s">
        <v>7</v>
      </c>
      <c r="BK193" s="27" t="s">
        <v>8</v>
      </c>
      <c r="CB193" s="27" t="s">
        <v>7</v>
      </c>
      <c r="DF193" s="27" t="s">
        <v>7</v>
      </c>
      <c r="DG193" s="27" t="s">
        <v>8</v>
      </c>
      <c r="DH193" s="27" t="s">
        <v>7</v>
      </c>
    </row>
    <row r="194" spans="1:116" x14ac:dyDescent="0.25">
      <c r="A194" s="30">
        <v>9.4342581831674686</v>
      </c>
      <c r="E194"/>
      <c r="I194" s="27" t="s">
        <v>8</v>
      </c>
      <c r="J194" s="27" t="s">
        <v>7</v>
      </c>
      <c r="M194" s="27" t="s">
        <v>8</v>
      </c>
      <c r="N194" s="27" t="s">
        <v>7</v>
      </c>
      <c r="O194" s="27" t="s">
        <v>8</v>
      </c>
      <c r="P194" s="27" t="s">
        <v>7</v>
      </c>
      <c r="U194" s="27" t="s">
        <v>8</v>
      </c>
      <c r="V194" s="27" t="s">
        <v>7</v>
      </c>
      <c r="W194" s="27" t="s">
        <v>8</v>
      </c>
      <c r="AR194" s="27" t="s">
        <v>7</v>
      </c>
      <c r="BI194" s="27" t="s">
        <v>8</v>
      </c>
      <c r="BJ194" s="27" t="s">
        <v>7</v>
      </c>
      <c r="BK194" s="27" t="s">
        <v>8</v>
      </c>
      <c r="DF194" s="27" t="s">
        <v>7</v>
      </c>
      <c r="DH194" s="27" t="s">
        <v>7</v>
      </c>
    </row>
    <row r="195" spans="1:116" x14ac:dyDescent="0.25">
      <c r="A195" s="30">
        <v>8.9850077934928265</v>
      </c>
      <c r="E195"/>
      <c r="I195" s="27" t="s">
        <v>8</v>
      </c>
      <c r="J195" s="27" t="s">
        <v>7</v>
      </c>
      <c r="M195" s="27" t="s">
        <v>8</v>
      </c>
      <c r="N195" s="27" t="s">
        <v>7</v>
      </c>
      <c r="P195" s="27" t="s">
        <v>7</v>
      </c>
      <c r="U195" s="27" t="s">
        <v>8</v>
      </c>
      <c r="V195" s="27" t="s">
        <v>7</v>
      </c>
      <c r="W195" s="27" t="s">
        <v>8</v>
      </c>
      <c r="AR195" s="27" t="s">
        <v>7</v>
      </c>
      <c r="BI195" s="27" t="s">
        <v>8</v>
      </c>
      <c r="BJ195" s="27" t="s">
        <v>7</v>
      </c>
      <c r="BK195" s="27" t="s">
        <v>8</v>
      </c>
      <c r="DH195" s="27" t="s">
        <v>7</v>
      </c>
    </row>
    <row r="196" spans="1:116" x14ac:dyDescent="0.25">
      <c r="A196" s="30">
        <v>8.5571502795169767</v>
      </c>
      <c r="E196"/>
      <c r="I196" s="27" t="s">
        <v>8</v>
      </c>
      <c r="J196" s="27" t="s">
        <v>7</v>
      </c>
      <c r="K196" s="27" t="s">
        <v>8</v>
      </c>
      <c r="M196" s="27" t="s">
        <v>8</v>
      </c>
      <c r="P196" s="27" t="s">
        <v>7</v>
      </c>
      <c r="U196" s="27" t="s">
        <v>8</v>
      </c>
      <c r="V196" s="27" t="s">
        <v>7</v>
      </c>
      <c r="AR196" s="27" t="s">
        <v>7</v>
      </c>
      <c r="AW196" s="27" t="s">
        <v>8</v>
      </c>
      <c r="BI196" s="27" t="s">
        <v>8</v>
      </c>
      <c r="BJ196" s="27" t="s">
        <v>7</v>
      </c>
      <c r="BK196" s="27" t="s">
        <v>8</v>
      </c>
      <c r="DH196" s="27" t="s">
        <v>7</v>
      </c>
    </row>
    <row r="197" spans="1:116" x14ac:dyDescent="0.25">
      <c r="A197" s="30">
        <v>8.1496669328733109</v>
      </c>
      <c r="E197"/>
      <c r="I197" s="27" t="s">
        <v>8</v>
      </c>
      <c r="J197" s="27" t="s">
        <v>7</v>
      </c>
      <c r="K197" s="27" t="s">
        <v>8</v>
      </c>
      <c r="L197" s="27" t="s">
        <v>7</v>
      </c>
      <c r="M197" s="27" t="s">
        <v>8</v>
      </c>
      <c r="P197" s="27" t="s">
        <v>7</v>
      </c>
      <c r="Q197" s="27" t="s">
        <v>8</v>
      </c>
      <c r="U197" s="27" t="s">
        <v>8</v>
      </c>
      <c r="AR197" s="27" t="s">
        <v>7</v>
      </c>
      <c r="AW197" s="27" t="s">
        <v>8</v>
      </c>
      <c r="AX197" s="27" t="s">
        <v>7</v>
      </c>
      <c r="BI197" s="27" t="s">
        <v>8</v>
      </c>
      <c r="BJ197" s="27" t="s">
        <v>7</v>
      </c>
      <c r="BK197" s="27" t="s">
        <v>8</v>
      </c>
      <c r="DH197" s="27" t="s">
        <v>7</v>
      </c>
    </row>
    <row r="198" spans="1:116" x14ac:dyDescent="0.25">
      <c r="A198" s="30">
        <v>7.7615875551174378</v>
      </c>
      <c r="E198"/>
      <c r="I198" s="27" t="s">
        <v>8</v>
      </c>
      <c r="J198" s="27" t="s">
        <v>7</v>
      </c>
      <c r="K198" s="27" t="s">
        <v>8</v>
      </c>
      <c r="L198" s="27" t="s">
        <v>7</v>
      </c>
      <c r="M198" s="27" t="s">
        <v>8</v>
      </c>
      <c r="P198" s="27" t="s">
        <v>7</v>
      </c>
      <c r="Q198" s="27" t="s">
        <v>8</v>
      </c>
      <c r="R198" s="27" t="s">
        <v>7</v>
      </c>
      <c r="U198" s="27" t="s">
        <v>8</v>
      </c>
      <c r="AR198" s="27" t="s">
        <v>7</v>
      </c>
      <c r="AW198" s="27" t="s">
        <v>8</v>
      </c>
      <c r="AX198" s="27" t="s">
        <v>7</v>
      </c>
      <c r="BI198" s="27" t="s">
        <v>8</v>
      </c>
      <c r="BJ198" s="27" t="s">
        <v>7</v>
      </c>
      <c r="BK198" s="27" t="s">
        <v>8</v>
      </c>
      <c r="DH198" s="27" t="s">
        <v>7</v>
      </c>
    </row>
    <row r="199" spans="1:116" x14ac:dyDescent="0.25">
      <c r="A199" s="30">
        <v>7.3919881477308929</v>
      </c>
      <c r="E199"/>
      <c r="I199" s="27" t="s">
        <v>8</v>
      </c>
      <c r="J199" s="27" t="s">
        <v>7</v>
      </c>
      <c r="K199" s="27" t="s">
        <v>8</v>
      </c>
      <c r="L199" s="27" t="s">
        <v>7</v>
      </c>
      <c r="M199" s="27" t="s">
        <v>8</v>
      </c>
      <c r="P199" s="27" t="s">
        <v>7</v>
      </c>
      <c r="Q199" s="27" t="s">
        <v>8</v>
      </c>
      <c r="R199" s="27" t="s">
        <v>7</v>
      </c>
      <c r="S199" s="27" t="s">
        <v>8</v>
      </c>
      <c r="U199" s="27" t="s">
        <v>8</v>
      </c>
      <c r="AR199" s="27" t="s">
        <v>7</v>
      </c>
      <c r="AS199" s="27" t="s">
        <v>8</v>
      </c>
      <c r="AW199" s="27" t="s">
        <v>8</v>
      </c>
      <c r="AX199" s="27" t="s">
        <v>7</v>
      </c>
      <c r="BI199" s="27" t="s">
        <v>8</v>
      </c>
      <c r="BJ199" s="27" t="s">
        <v>7</v>
      </c>
      <c r="BK199" s="27" t="s">
        <v>8</v>
      </c>
      <c r="DH199" s="27" t="s">
        <v>7</v>
      </c>
    </row>
    <row r="200" spans="1:116" x14ac:dyDescent="0.25">
      <c r="A200" s="30">
        <v>7.0399887121246598</v>
      </c>
      <c r="E200"/>
      <c r="I200" s="27" t="s">
        <v>8</v>
      </c>
      <c r="J200" s="27" t="s">
        <v>7</v>
      </c>
      <c r="L200" s="27" t="s">
        <v>7</v>
      </c>
      <c r="M200" s="27" t="s">
        <v>8</v>
      </c>
      <c r="P200" s="27" t="s">
        <v>7</v>
      </c>
      <c r="Q200" s="27" t="s">
        <v>8</v>
      </c>
      <c r="R200" s="27" t="s">
        <v>7</v>
      </c>
      <c r="S200" s="27" t="s">
        <v>8</v>
      </c>
      <c r="T200" s="27" t="s">
        <v>7</v>
      </c>
      <c r="U200" s="27" t="s">
        <v>8</v>
      </c>
      <c r="AR200" s="27" t="s">
        <v>7</v>
      </c>
      <c r="AS200" s="27" t="s">
        <v>8</v>
      </c>
      <c r="AT200" s="27" t="s">
        <v>7</v>
      </c>
      <c r="AU200" s="27" t="s">
        <v>8</v>
      </c>
      <c r="AW200" s="27" t="s">
        <v>8</v>
      </c>
      <c r="AX200" s="27" t="s">
        <v>7</v>
      </c>
      <c r="BI200" s="27" t="s">
        <v>8</v>
      </c>
      <c r="BJ200" s="27" t="s">
        <v>7</v>
      </c>
      <c r="BK200" s="27" t="s">
        <v>8</v>
      </c>
      <c r="DH200" s="27" t="s">
        <v>7</v>
      </c>
      <c r="DK200" s="27" t="s">
        <v>8</v>
      </c>
    </row>
    <row r="201" spans="1:116" x14ac:dyDescent="0.25">
      <c r="A201" s="30">
        <v>6.7047511544044376</v>
      </c>
      <c r="E201"/>
      <c r="I201" s="27" t="s">
        <v>8</v>
      </c>
      <c r="L201" s="27" t="s">
        <v>7</v>
      </c>
      <c r="P201" s="27" t="s">
        <v>7</v>
      </c>
      <c r="Q201" s="27" t="s">
        <v>8</v>
      </c>
      <c r="R201" s="27" t="s">
        <v>7</v>
      </c>
      <c r="S201" s="27" t="s">
        <v>8</v>
      </c>
      <c r="T201" s="27" t="s">
        <v>7</v>
      </c>
      <c r="U201" s="27" t="s">
        <v>8</v>
      </c>
      <c r="AR201" s="27" t="s">
        <v>7</v>
      </c>
      <c r="AS201" s="27" t="s">
        <v>8</v>
      </c>
      <c r="AT201" s="27" t="s">
        <v>7</v>
      </c>
      <c r="AU201" s="27" t="s">
        <v>8</v>
      </c>
      <c r="AV201" s="27" t="s">
        <v>7</v>
      </c>
      <c r="AW201" s="27" t="s">
        <v>8</v>
      </c>
      <c r="AX201" s="27" t="s">
        <v>7</v>
      </c>
      <c r="BI201" s="27" t="s">
        <v>8</v>
      </c>
      <c r="BJ201" s="27" t="s">
        <v>7</v>
      </c>
      <c r="DH201" s="27" t="s">
        <v>7</v>
      </c>
      <c r="DI201" s="27" t="s">
        <v>8</v>
      </c>
      <c r="DK201" s="27" t="s">
        <v>8</v>
      </c>
      <c r="DL201" s="27" t="s">
        <v>7</v>
      </c>
    </row>
    <row r="202" spans="1:116" x14ac:dyDescent="0.25">
      <c r="A202" s="30">
        <v>6.3854772899089882</v>
      </c>
      <c r="E202"/>
      <c r="I202" s="27" t="s">
        <v>8</v>
      </c>
      <c r="P202" s="27" t="s">
        <v>7</v>
      </c>
      <c r="R202" s="27" t="s">
        <v>7</v>
      </c>
      <c r="T202" s="27" t="s">
        <v>7</v>
      </c>
      <c r="U202" s="27" t="s">
        <v>8</v>
      </c>
      <c r="AR202" s="27" t="s">
        <v>7</v>
      </c>
      <c r="AS202" s="27" t="s">
        <v>8</v>
      </c>
      <c r="AT202" s="27" t="s">
        <v>7</v>
      </c>
      <c r="AU202" s="27" t="s">
        <v>8</v>
      </c>
      <c r="AV202" s="27" t="s">
        <v>7</v>
      </c>
      <c r="AW202" s="27" t="s">
        <v>8</v>
      </c>
      <c r="AX202" s="27" t="s">
        <v>7</v>
      </c>
      <c r="BI202" s="27" t="s">
        <v>8</v>
      </c>
      <c r="DH202" s="27" t="s">
        <v>7</v>
      </c>
      <c r="DI202" s="27" t="s">
        <v>8</v>
      </c>
      <c r="DJ202" s="27" t="s">
        <v>7</v>
      </c>
      <c r="DK202" s="27" t="s">
        <v>8</v>
      </c>
      <c r="DL202" s="27" t="s">
        <v>7</v>
      </c>
    </row>
    <row r="203" spans="1:116" x14ac:dyDescent="0.25">
      <c r="A203" s="30">
        <v>6.0814069427704647</v>
      </c>
      <c r="C203" s="7"/>
      <c r="D203"/>
      <c r="E203"/>
      <c r="I203" s="27" t="s">
        <v>8</v>
      </c>
      <c r="T203" s="27" t="s">
        <v>7</v>
      </c>
      <c r="AR203" s="27" t="s">
        <v>7</v>
      </c>
      <c r="AS203" s="27" t="s">
        <v>8</v>
      </c>
      <c r="AT203" s="27" t="s">
        <v>7</v>
      </c>
      <c r="AU203" s="27" t="s">
        <v>8</v>
      </c>
      <c r="AV203" s="27" t="s">
        <v>7</v>
      </c>
      <c r="AW203" s="27" t="s">
        <v>8</v>
      </c>
      <c r="AX203" s="27" t="s">
        <v>7</v>
      </c>
      <c r="BI203" s="27" t="s">
        <v>8</v>
      </c>
      <c r="DH203" s="27" t="s">
        <v>7</v>
      </c>
      <c r="DI203" s="27" t="s">
        <v>8</v>
      </c>
      <c r="DJ203" s="27" t="s">
        <v>7</v>
      </c>
      <c r="DK203" s="27" t="s">
        <v>8</v>
      </c>
      <c r="DL203" s="27" t="s">
        <v>7</v>
      </c>
    </row>
    <row r="204" spans="1:116" x14ac:dyDescent="0.25">
      <c r="A204" s="30">
        <v>5.7918161359718709</v>
      </c>
      <c r="E204"/>
      <c r="I204" s="27" t="s">
        <v>8</v>
      </c>
      <c r="AR204" s="27" t="s">
        <v>7</v>
      </c>
      <c r="AS204" s="27" t="s">
        <v>8</v>
      </c>
      <c r="AT204" s="27" t="s">
        <v>7</v>
      </c>
      <c r="AU204" s="27" t="s">
        <v>8</v>
      </c>
      <c r="AV204" s="27" t="s">
        <v>7</v>
      </c>
      <c r="AW204" s="27" t="s">
        <v>8</v>
      </c>
      <c r="AX204" s="27" t="s">
        <v>7</v>
      </c>
      <c r="BI204" s="27" t="s">
        <v>8</v>
      </c>
      <c r="DH204" s="27" t="s">
        <v>7</v>
      </c>
      <c r="DJ204" s="27" t="s">
        <v>7</v>
      </c>
    </row>
    <row r="205" spans="1:116" x14ac:dyDescent="0.25">
      <c r="A205" s="30">
        <v>5.5160153675922574</v>
      </c>
      <c r="E205"/>
      <c r="I205" s="27" t="s">
        <v>8</v>
      </c>
      <c r="AR205" s="27" t="s">
        <v>7</v>
      </c>
      <c r="AS205" s="27" t="s">
        <v>8</v>
      </c>
      <c r="AT205" s="27" t="s">
        <v>7</v>
      </c>
      <c r="AU205" s="27" t="s">
        <v>8</v>
      </c>
      <c r="AV205" s="27" t="s">
        <v>7</v>
      </c>
      <c r="AW205" s="27" t="s">
        <v>8</v>
      </c>
      <c r="AX205" s="27" t="s">
        <v>7</v>
      </c>
      <c r="BI205" s="27" t="s">
        <v>8</v>
      </c>
    </row>
    <row r="206" spans="1:116" x14ac:dyDescent="0.25">
      <c r="A206" s="30">
        <v>5.2533479691354827</v>
      </c>
      <c r="C206"/>
      <c r="D206"/>
      <c r="E206"/>
      <c r="I206" s="27" t="s">
        <v>8</v>
      </c>
      <c r="AR206" s="27" t="s">
        <v>7</v>
      </c>
      <c r="AS206" s="27" t="s">
        <v>8</v>
      </c>
      <c r="AT206" s="27" t="s">
        <v>7</v>
      </c>
      <c r="AV206" s="27" t="s">
        <v>7</v>
      </c>
      <c r="AW206" s="27" t="s">
        <v>8</v>
      </c>
      <c r="AX206" s="27" t="s">
        <v>7</v>
      </c>
      <c r="BC206" s="27" t="s">
        <v>8</v>
      </c>
      <c r="BI206" s="27" t="s">
        <v>8</v>
      </c>
    </row>
    <row r="207" spans="1:116" x14ac:dyDescent="0.25">
      <c r="A207" s="30">
        <v>5.0031885420337927</v>
      </c>
      <c r="E207" t="s">
        <v>8</v>
      </c>
      <c r="I207" s="27" t="s">
        <v>8</v>
      </c>
      <c r="AR207" s="27" t="s">
        <v>7</v>
      </c>
      <c r="AV207" s="27" t="s">
        <v>7</v>
      </c>
      <c r="AW207" s="27" t="s">
        <v>8</v>
      </c>
      <c r="AX207" s="27" t="s">
        <v>7</v>
      </c>
      <c r="BC207" s="27" t="s">
        <v>8</v>
      </c>
      <c r="BD207" s="27" t="s">
        <v>7</v>
      </c>
      <c r="BI207" s="27" t="s">
        <v>8</v>
      </c>
    </row>
    <row r="208" spans="1:116" x14ac:dyDescent="0.25">
      <c r="A208" s="30">
        <v>4.7649414686036122</v>
      </c>
      <c r="E208" t="s">
        <v>8</v>
      </c>
      <c r="F208" s="27" t="s">
        <v>7</v>
      </c>
      <c r="G208" s="27" t="s">
        <v>8</v>
      </c>
      <c r="I208" s="27" t="s">
        <v>8</v>
      </c>
      <c r="AV208" s="27" t="s">
        <v>7</v>
      </c>
      <c r="AX208" s="27" t="s">
        <v>7</v>
      </c>
      <c r="BC208" s="27" t="s">
        <v>8</v>
      </c>
      <c r="BD208" s="27" t="s">
        <v>7</v>
      </c>
      <c r="BE208" s="27" t="s">
        <v>8</v>
      </c>
      <c r="BI208" s="27" t="s">
        <v>8</v>
      </c>
    </row>
    <row r="209" spans="1:61" x14ac:dyDescent="0.25">
      <c r="A209" s="30">
        <v>4.5380394939082018</v>
      </c>
      <c r="E209" t="s">
        <v>8</v>
      </c>
      <c r="F209" s="27" t="s">
        <v>7</v>
      </c>
      <c r="G209" s="27" t="s">
        <v>8</v>
      </c>
      <c r="H209" s="27" t="s">
        <v>7</v>
      </c>
      <c r="I209" s="27" t="s">
        <v>8</v>
      </c>
      <c r="AX209" s="27" t="s">
        <v>7</v>
      </c>
      <c r="BC209" s="27" t="s">
        <v>8</v>
      </c>
      <c r="BD209" s="27" t="s">
        <v>7</v>
      </c>
      <c r="BE209" s="27" t="s">
        <v>8</v>
      </c>
      <c r="BF209" s="27" t="s">
        <v>7</v>
      </c>
      <c r="BI209" s="27" t="s">
        <v>8</v>
      </c>
    </row>
    <row r="210" spans="1:61" x14ac:dyDescent="0.25">
      <c r="A210" s="30">
        <v>4.3219423751506678</v>
      </c>
      <c r="C210"/>
      <c r="E210" t="s">
        <v>8</v>
      </c>
      <c r="F210" s="27" t="s">
        <v>7</v>
      </c>
      <c r="G210" s="27" t="s">
        <v>8</v>
      </c>
      <c r="H210" s="27" t="s">
        <v>7</v>
      </c>
      <c r="I210" s="27" t="s">
        <v>8</v>
      </c>
      <c r="AX210" s="27" t="s">
        <v>7</v>
      </c>
      <c r="BA210" s="27" t="s">
        <v>8</v>
      </c>
      <c r="BC210" s="27" t="s">
        <v>8</v>
      </c>
      <c r="BD210" s="27" t="s">
        <v>7</v>
      </c>
      <c r="BE210" s="27" t="s">
        <v>8</v>
      </c>
      <c r="BF210" s="27" t="s">
        <v>7</v>
      </c>
      <c r="BI210" s="27" t="s">
        <v>8</v>
      </c>
    </row>
    <row r="211" spans="1:61" x14ac:dyDescent="0.25">
      <c r="A211" s="30">
        <v>4.1161355953815884</v>
      </c>
      <c r="E211" t="s">
        <v>8</v>
      </c>
      <c r="F211" s="27" t="s">
        <v>7</v>
      </c>
      <c r="G211" s="27" t="s">
        <v>8</v>
      </c>
      <c r="H211" s="27" t="s">
        <v>7</v>
      </c>
      <c r="AX211" s="27" t="s">
        <v>7</v>
      </c>
      <c r="BA211" s="27" t="s">
        <v>8</v>
      </c>
      <c r="BB211" s="27" t="s">
        <v>7</v>
      </c>
      <c r="BC211" s="27" t="s">
        <v>8</v>
      </c>
      <c r="BD211" s="27" t="s">
        <v>7</v>
      </c>
      <c r="BF211" s="27" t="s">
        <v>7</v>
      </c>
      <c r="BG211" s="27" t="s">
        <v>8</v>
      </c>
      <c r="BI211" s="27" t="s">
        <v>8</v>
      </c>
    </row>
    <row r="212" spans="1:61" x14ac:dyDescent="0.25">
      <c r="A212" s="30">
        <v>3.9201291384586554</v>
      </c>
      <c r="E212" t="s">
        <v>8</v>
      </c>
      <c r="F212" s="27" t="s">
        <v>7</v>
      </c>
      <c r="G212" s="27" t="s">
        <v>8</v>
      </c>
      <c r="AX212" s="27" t="s">
        <v>7</v>
      </c>
      <c r="BA212" s="27" t="s">
        <v>8</v>
      </c>
      <c r="BB212" s="27" t="s">
        <v>7</v>
      </c>
      <c r="BC212" s="27" t="s">
        <v>8</v>
      </c>
      <c r="BF212" s="27" t="s">
        <v>7</v>
      </c>
      <c r="BG212" s="27" t="s">
        <v>8</v>
      </c>
      <c r="BH212" s="27" t="s">
        <v>7</v>
      </c>
      <c r="BI212" s="27" t="s">
        <v>8</v>
      </c>
    </row>
    <row r="213" spans="1:61" x14ac:dyDescent="0.25">
      <c r="A213" s="30">
        <v>3.7334563223415764</v>
      </c>
      <c r="E213" t="s">
        <v>8</v>
      </c>
      <c r="F213" s="27" t="s">
        <v>7</v>
      </c>
      <c r="AX213" s="27" t="s">
        <v>7</v>
      </c>
      <c r="BA213" s="27" t="s">
        <v>8</v>
      </c>
      <c r="BB213" s="27" t="s">
        <v>7</v>
      </c>
      <c r="BC213" s="27" t="s">
        <v>8</v>
      </c>
      <c r="BF213" s="27" t="s">
        <v>7</v>
      </c>
      <c r="BG213" s="27" t="s">
        <v>8</v>
      </c>
      <c r="BH213" s="27" t="s">
        <v>7</v>
      </c>
      <c r="BI213" s="27" t="s">
        <v>8</v>
      </c>
    </row>
    <row r="214" spans="1:61" x14ac:dyDescent="0.25">
      <c r="A214" s="30">
        <v>3.5556726879443583</v>
      </c>
      <c r="E214" t="s">
        <v>8</v>
      </c>
      <c r="AX214" s="27" t="s">
        <v>7</v>
      </c>
      <c r="BA214" s="27" t="s">
        <v>8</v>
      </c>
      <c r="BB214" s="27" t="s">
        <v>7</v>
      </c>
      <c r="BC214" s="27" t="s">
        <v>8</v>
      </c>
      <c r="BF214" s="27" t="s">
        <v>7</v>
      </c>
      <c r="BH214" s="27" t="s">
        <v>7</v>
      </c>
      <c r="BI214" s="27" t="s">
        <v>8</v>
      </c>
    </row>
    <row r="215" spans="1:61" x14ac:dyDescent="0.25">
      <c r="A215" s="30">
        <v>3.3863549408993889</v>
      </c>
      <c r="E215" t="s">
        <v>8</v>
      </c>
      <c r="AX215" s="27" t="s">
        <v>7</v>
      </c>
      <c r="AY215" s="27" t="s">
        <v>8</v>
      </c>
      <c r="BA215" s="27" t="s">
        <v>8</v>
      </c>
      <c r="BB215" s="27" t="s">
        <v>7</v>
      </c>
      <c r="BC215" s="27" t="s">
        <v>8</v>
      </c>
      <c r="BH215" s="18" t="s">
        <v>7</v>
      </c>
    </row>
    <row r="216" spans="1:61" x14ac:dyDescent="0.25">
      <c r="A216" s="30">
        <v>3.2250999437137038</v>
      </c>
      <c r="E216" t="s">
        <v>8</v>
      </c>
      <c r="AX216" s="27" t="s">
        <v>7</v>
      </c>
      <c r="AY216" s="27" t="s">
        <v>8</v>
      </c>
      <c r="AZ216" s="27" t="s">
        <v>7</v>
      </c>
      <c r="BA216" s="27" t="s">
        <v>8</v>
      </c>
      <c r="BB216" s="27" t="s">
        <v>7</v>
      </c>
    </row>
    <row r="217" spans="1:61" x14ac:dyDescent="0.25">
      <c r="A217" s="30">
        <v>3.0715237559178128</v>
      </c>
      <c r="E217" t="s">
        <v>8</v>
      </c>
      <c r="AX217" s="27" t="s">
        <v>7</v>
      </c>
      <c r="AY217" s="27" t="s">
        <v>8</v>
      </c>
      <c r="AZ217" s="27" t="s">
        <v>7</v>
      </c>
      <c r="BA217" s="27" t="s">
        <v>8</v>
      </c>
    </row>
    <row r="218" spans="1:61" x14ac:dyDescent="0.25">
      <c r="A218" s="30">
        <v>2.9252607199217264</v>
      </c>
      <c r="E218" t="s">
        <v>8</v>
      </c>
      <c r="AX218" s="27" t="s">
        <v>7</v>
      </c>
      <c r="AY218" s="27" t="s">
        <v>8</v>
      </c>
      <c r="AZ218" s="27" t="s">
        <v>7</v>
      </c>
      <c r="BA218" s="27" t="s">
        <v>8</v>
      </c>
    </row>
    <row r="219" spans="1:61" x14ac:dyDescent="0.25">
      <c r="A219" s="30">
        <v>2.7859625904016441</v>
      </c>
      <c r="E219" t="s">
        <v>8</v>
      </c>
      <c r="AX219" s="27" t="s">
        <v>7</v>
      </c>
      <c r="AY219" s="27" t="s">
        <v>8</v>
      </c>
      <c r="AZ219" s="27" t="s">
        <v>7</v>
      </c>
      <c r="BA219" s="27" t="s">
        <v>8</v>
      </c>
    </row>
    <row r="220" spans="1:61" x14ac:dyDescent="0.25">
      <c r="A220" s="30">
        <v>2.6532977051444226</v>
      </c>
      <c r="E220" t="s">
        <v>8</v>
      </c>
      <c r="AX220" s="27" t="s">
        <v>7</v>
      </c>
      <c r="AZ220" s="27" t="s">
        <v>7</v>
      </c>
    </row>
    <row r="221" spans="1:61" x14ac:dyDescent="0.25">
      <c r="A221" s="30">
        <v>2.5269501953756404</v>
      </c>
      <c r="E221" t="s">
        <v>8</v>
      </c>
    </row>
    <row r="222" spans="1:61" x14ac:dyDescent="0.25">
      <c r="A222" s="30">
        <v>2.4066192336910861</v>
      </c>
      <c r="E222" t="s">
        <v>8</v>
      </c>
    </row>
    <row r="223" spans="1:61" x14ac:dyDescent="0.25">
      <c r="A223" s="30">
        <v>2.2920183178010345</v>
      </c>
      <c r="E223" t="s">
        <v>8</v>
      </c>
    </row>
    <row r="224" spans="1:61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789" operator="equal">
      <formula>$U$1</formula>
    </cfRule>
    <cfRule type="cellIs" dxfId="67" priority="790" operator="equal">
      <formula>$S$1</formula>
    </cfRule>
  </conditionalFormatting>
  <conditionalFormatting sqref="D136">
    <cfRule type="cellIs" dxfId="66" priority="787" operator="equal">
      <formula>$S$1</formula>
    </cfRule>
    <cfRule type="cellIs" dxfId="65" priority="788" operator="equal">
      <formula>$U$1</formula>
    </cfRule>
  </conditionalFormatting>
  <conditionalFormatting sqref="C162">
    <cfRule type="cellIs" dxfId="64" priority="785" operator="equal">
      <formula>$U$1</formula>
    </cfRule>
    <cfRule type="cellIs" dxfId="63" priority="786" operator="equal">
      <formula>$S$1</formula>
    </cfRule>
  </conditionalFormatting>
  <conditionalFormatting sqref="D162">
    <cfRule type="cellIs" dxfId="62" priority="783" operator="equal">
      <formula>$S$1</formula>
    </cfRule>
    <cfRule type="cellIs" dxfId="61" priority="784" operator="equal">
      <formula>$U$1</formula>
    </cfRule>
  </conditionalFormatting>
  <conditionalFormatting sqref="C187">
    <cfRule type="cellIs" dxfId="60" priority="781" operator="equal">
      <formula>$U$1</formula>
    </cfRule>
    <cfRule type="cellIs" dxfId="59" priority="782" operator="equal">
      <formula>$S$1</formula>
    </cfRule>
  </conditionalFormatting>
  <conditionalFormatting sqref="D187">
    <cfRule type="cellIs" dxfId="58" priority="779" operator="equal">
      <formula>$S$1</formula>
    </cfRule>
    <cfRule type="cellIs" dxfId="57" priority="780" operator="equal">
      <formula>$U$1</formula>
    </cfRule>
  </conditionalFormatting>
  <conditionalFormatting sqref="C212">
    <cfRule type="cellIs" dxfId="56" priority="777" operator="equal">
      <formula>$U$1</formula>
    </cfRule>
    <cfRule type="cellIs" dxfId="55" priority="778" operator="equal">
      <formula>$S$1</formula>
    </cfRule>
  </conditionalFormatting>
  <conditionalFormatting sqref="D212">
    <cfRule type="cellIs" dxfId="54" priority="775" operator="equal">
      <formula>$S$1</formula>
    </cfRule>
    <cfRule type="cellIs" dxfId="53" priority="776" operator="equal">
      <formula>$U$1</formula>
    </cfRule>
  </conditionalFormatting>
  <conditionalFormatting sqref="C237">
    <cfRule type="cellIs" dxfId="52" priority="773" operator="equal">
      <formula>$U$1</formula>
    </cfRule>
    <cfRule type="cellIs" dxfId="51" priority="774" operator="equal">
      <formula>$S$1</formula>
    </cfRule>
  </conditionalFormatting>
  <conditionalFormatting sqref="D237">
    <cfRule type="cellIs" dxfId="50" priority="771" operator="equal">
      <formula>$S$1</formula>
    </cfRule>
    <cfRule type="cellIs" dxfId="49" priority="772" operator="equal">
      <formula>$U$1</formula>
    </cfRule>
  </conditionalFormatting>
  <conditionalFormatting sqref="C106">
    <cfRule type="cellIs" dxfId="48" priority="769" operator="equal">
      <formula>$U$1</formula>
    </cfRule>
    <cfRule type="cellIs" dxfId="47" priority="770" operator="equal">
      <formula>$S$1</formula>
    </cfRule>
  </conditionalFormatting>
  <conditionalFormatting sqref="D106">
    <cfRule type="cellIs" dxfId="46" priority="767" operator="equal">
      <formula>$S$1</formula>
    </cfRule>
    <cfRule type="cellIs" dxfId="45" priority="768" operator="equal">
      <formula>$U$1</formula>
    </cfRule>
  </conditionalFormatting>
  <conditionalFormatting sqref="C81">
    <cfRule type="cellIs" dxfId="44" priority="765" operator="equal">
      <formula>$U$1</formula>
    </cfRule>
    <cfRule type="cellIs" dxfId="43" priority="766" operator="equal">
      <formula>$S$1</formula>
    </cfRule>
  </conditionalFormatting>
  <conditionalFormatting sqref="D81">
    <cfRule type="cellIs" dxfId="42" priority="763" operator="equal">
      <formula>$S$1</formula>
    </cfRule>
    <cfRule type="cellIs" dxfId="41" priority="764" operator="equal">
      <formula>$U$1</formula>
    </cfRule>
  </conditionalFormatting>
  <conditionalFormatting sqref="C56">
    <cfRule type="cellIs" dxfId="40" priority="761" operator="equal">
      <formula>$U$1</formula>
    </cfRule>
    <cfRule type="cellIs" dxfId="39" priority="762" operator="equal">
      <formula>$S$1</formula>
    </cfRule>
  </conditionalFormatting>
  <conditionalFormatting sqref="D56">
    <cfRule type="cellIs" dxfId="38" priority="759" operator="equal">
      <formula>$S$1</formula>
    </cfRule>
    <cfRule type="cellIs" dxfId="37" priority="760" operator="equal">
      <formula>$U$1</formula>
    </cfRule>
  </conditionalFormatting>
  <conditionalFormatting sqref="C31">
    <cfRule type="cellIs" dxfId="36" priority="757" operator="equal">
      <formula>$U$1</formula>
    </cfRule>
    <cfRule type="cellIs" dxfId="35" priority="758" operator="equal">
      <formula>$S$1</formula>
    </cfRule>
  </conditionalFormatting>
  <conditionalFormatting sqref="D31">
    <cfRule type="cellIs" dxfId="34" priority="755" operator="equal">
      <formula>$S$1</formula>
    </cfRule>
    <cfRule type="cellIs" dxfId="33" priority="756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Z103" sqref="AZ103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2" x14ac:dyDescent="0.25">
      <c r="A81" s="30">
        <v>45.259255568176073</v>
      </c>
      <c r="E81"/>
    </row>
    <row r="82" spans="1:52" x14ac:dyDescent="0.25">
      <c r="A82" s="30">
        <v>41.144777789250973</v>
      </c>
      <c r="E82"/>
    </row>
    <row r="83" spans="1:52" x14ac:dyDescent="0.25">
      <c r="A83" s="30">
        <v>37.404343444773609</v>
      </c>
      <c r="E83"/>
    </row>
    <row r="84" spans="1:52" x14ac:dyDescent="0.25">
      <c r="A84" s="30">
        <v>34.003948586157826</v>
      </c>
      <c r="E84"/>
      <c r="M84" s="27" t="s">
        <v>8</v>
      </c>
      <c r="Q84" s="27" t="s">
        <v>8</v>
      </c>
    </row>
    <row r="85" spans="1:52" x14ac:dyDescent="0.25">
      <c r="A85" s="30">
        <v>30.912680532870748</v>
      </c>
      <c r="E85"/>
      <c r="M85" s="27" t="s">
        <v>8</v>
      </c>
      <c r="N85" s="27" t="s">
        <v>7</v>
      </c>
      <c r="O85" s="27" t="s">
        <v>8</v>
      </c>
      <c r="Q85" s="27" t="s">
        <v>8</v>
      </c>
      <c r="R85" s="27" t="s">
        <v>7</v>
      </c>
      <c r="U85" s="27" t="s">
        <v>8</v>
      </c>
      <c r="AG85" s="27" t="s">
        <v>8</v>
      </c>
    </row>
    <row r="86" spans="1:52" x14ac:dyDescent="0.25">
      <c r="A86" s="30">
        <v>28.102436848064315</v>
      </c>
      <c r="E86"/>
      <c r="M86" s="27" t="s">
        <v>8</v>
      </c>
      <c r="N86" s="27" t="s">
        <v>7</v>
      </c>
      <c r="O86" s="27" t="s">
        <v>8</v>
      </c>
      <c r="P86" s="27" t="s">
        <v>7</v>
      </c>
      <c r="Q86" s="27" t="s">
        <v>8</v>
      </c>
      <c r="R86" s="27" t="s">
        <v>7</v>
      </c>
      <c r="S86" s="27" t="s">
        <v>8</v>
      </c>
      <c r="U86" s="27" t="s">
        <v>8</v>
      </c>
      <c r="V86" s="27" t="s">
        <v>7</v>
      </c>
      <c r="AG86" s="27" t="s">
        <v>8</v>
      </c>
      <c r="AH86" s="27" t="s">
        <v>7</v>
      </c>
    </row>
    <row r="87" spans="1:52" x14ac:dyDescent="0.25">
      <c r="A87" s="30">
        <v>25.547669861876649</v>
      </c>
      <c r="E87"/>
      <c r="M87" s="27" t="s">
        <v>8</v>
      </c>
      <c r="N87" s="27" t="s">
        <v>7</v>
      </c>
      <c r="O87" s="27" t="s">
        <v>8</v>
      </c>
      <c r="P87" s="27" t="s">
        <v>7</v>
      </c>
      <c r="Q87" s="27" t="s">
        <v>8</v>
      </c>
      <c r="R87" s="27" t="s">
        <v>7</v>
      </c>
      <c r="S87" s="27" t="s">
        <v>8</v>
      </c>
      <c r="T87" s="27" t="s">
        <v>7</v>
      </c>
      <c r="U87" s="27" t="s">
        <v>8</v>
      </c>
      <c r="V87" s="27" t="s">
        <v>7</v>
      </c>
      <c r="W87" s="27" t="s">
        <v>8</v>
      </c>
      <c r="AG87" s="27" t="s">
        <v>8</v>
      </c>
      <c r="AH87" s="27" t="s">
        <v>7</v>
      </c>
      <c r="AY87" s="27" t="s">
        <v>8</v>
      </c>
    </row>
    <row r="88" spans="1:52" x14ac:dyDescent="0.25">
      <c r="A88" s="30">
        <v>23.225154419887861</v>
      </c>
      <c r="E88"/>
      <c r="M88" s="27" t="s">
        <v>8</v>
      </c>
      <c r="N88" s="27" t="s">
        <v>7</v>
      </c>
      <c r="P88" s="27" t="s">
        <v>7</v>
      </c>
      <c r="Q88" s="27" t="s">
        <v>8</v>
      </c>
      <c r="R88" s="27" t="s">
        <v>7</v>
      </c>
      <c r="S88" s="27" t="s">
        <v>8</v>
      </c>
      <c r="T88" s="27" t="s">
        <v>7</v>
      </c>
      <c r="U88" s="27" t="s">
        <v>8</v>
      </c>
      <c r="V88" s="27" t="s">
        <v>7</v>
      </c>
      <c r="W88" s="27" t="s">
        <v>8</v>
      </c>
      <c r="X88" s="27" t="s">
        <v>7</v>
      </c>
      <c r="AG88" s="27" t="s">
        <v>8</v>
      </c>
      <c r="AH88" s="27" t="s">
        <v>7</v>
      </c>
      <c r="AY88" s="27" t="s">
        <v>8</v>
      </c>
      <c r="AZ88" s="27" t="s">
        <v>7</v>
      </c>
    </row>
    <row r="89" spans="1:52" x14ac:dyDescent="0.25">
      <c r="A89" s="30">
        <v>21.113776745352599</v>
      </c>
      <c r="E89"/>
      <c r="M89" s="27" t="s">
        <v>8</v>
      </c>
      <c r="P89" s="27" t="s">
        <v>7</v>
      </c>
      <c r="R89" s="27" t="s">
        <v>7</v>
      </c>
      <c r="T89" s="27" t="s">
        <v>7</v>
      </c>
      <c r="V89" s="27" t="s">
        <v>7</v>
      </c>
      <c r="W89" s="27" t="s">
        <v>8</v>
      </c>
      <c r="X89" s="27" t="s">
        <v>7</v>
      </c>
      <c r="AG89" s="27" t="s">
        <v>8</v>
      </c>
      <c r="AH89" s="27" t="s">
        <v>7</v>
      </c>
      <c r="AI89" s="27" t="s">
        <v>8</v>
      </c>
      <c r="AM89" s="27" t="s">
        <v>8</v>
      </c>
      <c r="AO89" s="27" t="s">
        <v>8</v>
      </c>
      <c r="AY89" s="27" t="s">
        <v>8</v>
      </c>
      <c r="AZ89" s="27" t="s">
        <v>7</v>
      </c>
    </row>
    <row r="90" spans="1:52" x14ac:dyDescent="0.25">
      <c r="A90" s="30">
        <v>19.194342495775089</v>
      </c>
      <c r="E90"/>
      <c r="M90" s="27" t="s">
        <v>8</v>
      </c>
      <c r="V90" s="27" t="s">
        <v>7</v>
      </c>
      <c r="X90" s="27" t="s">
        <v>7</v>
      </c>
      <c r="AG90" s="27" t="s">
        <v>8</v>
      </c>
      <c r="AH90" s="27" t="s">
        <v>7</v>
      </c>
      <c r="AI90" s="27" t="s">
        <v>8</v>
      </c>
      <c r="AJ90" s="27" t="s">
        <v>7</v>
      </c>
      <c r="AM90" s="27" t="s">
        <v>8</v>
      </c>
      <c r="AN90" s="27" t="s">
        <v>7</v>
      </c>
      <c r="AO90" s="27" t="s">
        <v>8</v>
      </c>
      <c r="AP90" s="27" t="s">
        <v>7</v>
      </c>
      <c r="AQ90" s="27" t="s">
        <v>8</v>
      </c>
      <c r="AU90" s="27" t="s">
        <v>8</v>
      </c>
      <c r="AW90" s="27" t="s">
        <v>8</v>
      </c>
      <c r="AY90" s="27" t="s">
        <v>8</v>
      </c>
      <c r="AZ90" s="27" t="s">
        <v>7</v>
      </c>
    </row>
    <row r="91" spans="1:52" x14ac:dyDescent="0.25">
      <c r="A91" s="30">
        <v>17.449402268886445</v>
      </c>
      <c r="E91"/>
      <c r="M91" s="27" t="s">
        <v>8</v>
      </c>
      <c r="X91" s="27" t="s">
        <v>7</v>
      </c>
      <c r="AG91" s="27" t="s">
        <v>8</v>
      </c>
      <c r="AH91" s="27" t="s">
        <v>7</v>
      </c>
      <c r="AI91" s="27" t="s">
        <v>8</v>
      </c>
      <c r="AJ91" s="27" t="s">
        <v>7</v>
      </c>
      <c r="AK91" s="27" t="s">
        <v>8</v>
      </c>
      <c r="AM91" s="27" t="s">
        <v>8</v>
      </c>
      <c r="AN91" s="27" t="s">
        <v>7</v>
      </c>
      <c r="AO91" s="27" t="s">
        <v>8</v>
      </c>
      <c r="AP91" s="27" t="s">
        <v>7</v>
      </c>
      <c r="AQ91" s="27" t="s">
        <v>8</v>
      </c>
      <c r="AR91" s="27" t="s">
        <v>7</v>
      </c>
      <c r="AU91" s="27" t="s">
        <v>8</v>
      </c>
      <c r="AV91" s="27" t="s">
        <v>7</v>
      </c>
      <c r="AW91" s="27" t="s">
        <v>8</v>
      </c>
      <c r="AX91" s="27" t="s">
        <v>7</v>
      </c>
      <c r="AY91" s="27" t="s">
        <v>8</v>
      </c>
      <c r="AZ91" s="27" t="s">
        <v>7</v>
      </c>
    </row>
    <row r="92" spans="1:52" x14ac:dyDescent="0.25">
      <c r="A92" s="30">
        <v>15.863092971714948</v>
      </c>
      <c r="C92" s="1" t="s">
        <v>15</v>
      </c>
      <c r="E92"/>
      <c r="M92" s="27" t="s">
        <v>8</v>
      </c>
      <c r="X92" s="27" t="s">
        <v>7</v>
      </c>
      <c r="AG92" s="27" t="s">
        <v>8</v>
      </c>
      <c r="AH92" s="27" t="s">
        <v>7</v>
      </c>
      <c r="AI92" s="27" t="s">
        <v>8</v>
      </c>
      <c r="AJ92" s="27" t="s">
        <v>7</v>
      </c>
      <c r="AK92" s="27" t="s">
        <v>8</v>
      </c>
      <c r="AL92" s="27" t="s">
        <v>7</v>
      </c>
      <c r="AM92" s="27" t="s">
        <v>8</v>
      </c>
      <c r="AN92" s="27" t="s">
        <v>7</v>
      </c>
      <c r="AP92" s="27" t="s">
        <v>7</v>
      </c>
      <c r="AQ92" s="27" t="s">
        <v>8</v>
      </c>
      <c r="AR92" s="27" t="s">
        <v>7</v>
      </c>
      <c r="AS92" s="27" t="s">
        <v>8</v>
      </c>
      <c r="AU92" s="27" t="s">
        <v>8</v>
      </c>
      <c r="AV92" s="27" t="s">
        <v>7</v>
      </c>
      <c r="AW92" s="27" t="s">
        <v>8</v>
      </c>
      <c r="AX92" s="27" t="s">
        <v>7</v>
      </c>
      <c r="AY92" s="27" t="s">
        <v>8</v>
      </c>
      <c r="AZ92" s="27" t="s">
        <v>7</v>
      </c>
    </row>
    <row r="93" spans="1:52" x14ac:dyDescent="0.25">
      <c r="A93" s="30">
        <v>14.420993610649951</v>
      </c>
      <c r="C93" s="7">
        <v>0.11167815779424731</v>
      </c>
      <c r="D93"/>
      <c r="E93"/>
      <c r="M93" s="27" t="s">
        <v>8</v>
      </c>
      <c r="X93" s="27" t="s">
        <v>7</v>
      </c>
      <c r="AG93" s="27" t="s">
        <v>8</v>
      </c>
      <c r="AH93" s="27" t="s">
        <v>7</v>
      </c>
      <c r="AI93" s="27" t="s">
        <v>8</v>
      </c>
      <c r="AJ93" s="27" t="s">
        <v>7</v>
      </c>
      <c r="AK93" s="27" t="s">
        <v>8</v>
      </c>
      <c r="AL93" s="27" t="s">
        <v>7</v>
      </c>
      <c r="AM93" s="27" t="s">
        <v>8</v>
      </c>
      <c r="AP93" s="27" t="s">
        <v>7</v>
      </c>
      <c r="AR93" s="27" t="s">
        <v>7</v>
      </c>
      <c r="AS93" s="27" t="s">
        <v>8</v>
      </c>
      <c r="AT93" s="27" t="s">
        <v>7</v>
      </c>
      <c r="AU93" s="27" t="s">
        <v>8</v>
      </c>
      <c r="AV93" s="27" t="s">
        <v>7</v>
      </c>
      <c r="AW93" s="27" t="s">
        <v>8</v>
      </c>
      <c r="AX93" s="27" t="s">
        <v>7</v>
      </c>
      <c r="AY93" s="27" t="s">
        <v>8</v>
      </c>
      <c r="AZ93" s="27" t="s">
        <v>7</v>
      </c>
    </row>
    <row r="94" spans="1:52" x14ac:dyDescent="0.25">
      <c r="A94" s="30">
        <v>13.109994191499954</v>
      </c>
      <c r="E94"/>
      <c r="M94" s="27" t="s">
        <v>8</v>
      </c>
      <c r="X94" s="27" t="s">
        <v>7</v>
      </c>
      <c r="AG94" s="27" t="s">
        <v>8</v>
      </c>
      <c r="AH94" s="27" t="s">
        <v>7</v>
      </c>
      <c r="AI94" s="27" t="s">
        <v>8</v>
      </c>
      <c r="AJ94" s="27" t="s">
        <v>7</v>
      </c>
      <c r="AK94" s="27" t="s">
        <v>8</v>
      </c>
      <c r="AL94" s="27" t="s">
        <v>7</v>
      </c>
      <c r="AM94" s="27" t="s">
        <v>8</v>
      </c>
      <c r="AR94" s="27" t="s">
        <v>7</v>
      </c>
      <c r="AS94" s="27" t="s">
        <v>8</v>
      </c>
      <c r="AT94" s="27" t="s">
        <v>7</v>
      </c>
      <c r="AU94" s="27" t="s">
        <v>8</v>
      </c>
      <c r="AV94" s="27" t="s">
        <v>7</v>
      </c>
      <c r="AX94" s="27" t="s">
        <v>7</v>
      </c>
      <c r="AZ94" s="27" t="s">
        <v>7</v>
      </c>
    </row>
    <row r="95" spans="1:52" x14ac:dyDescent="0.25">
      <c r="A95" s="30">
        <v>11.918176537727231</v>
      </c>
      <c r="C95" s="1" t="s">
        <v>11</v>
      </c>
      <c r="D95" s="1" t="s">
        <v>12</v>
      </c>
      <c r="E95"/>
      <c r="G95" s="27" t="s">
        <v>8</v>
      </c>
      <c r="I95" s="27" t="s">
        <v>8</v>
      </c>
      <c r="M95" s="27" t="s">
        <v>8</v>
      </c>
      <c r="X95" s="27" t="s">
        <v>7</v>
      </c>
      <c r="AG95" s="27" t="s">
        <v>8</v>
      </c>
      <c r="AH95" s="27" t="s">
        <v>7</v>
      </c>
      <c r="AI95" s="27" t="s">
        <v>8</v>
      </c>
      <c r="AJ95" s="27" t="s">
        <v>7</v>
      </c>
      <c r="AK95" s="27" t="s">
        <v>8</v>
      </c>
      <c r="AL95" s="27" t="s">
        <v>7</v>
      </c>
      <c r="AM95" s="27" t="s">
        <v>8</v>
      </c>
      <c r="AR95" s="27" t="s">
        <v>7</v>
      </c>
      <c r="AS95" s="27" t="s">
        <v>8</v>
      </c>
      <c r="AT95" s="27" t="s">
        <v>7</v>
      </c>
      <c r="AU95" s="27" t="s">
        <v>8</v>
      </c>
      <c r="AZ95" s="27" t="s">
        <v>7</v>
      </c>
    </row>
    <row r="96" spans="1:52" x14ac:dyDescent="0.25">
      <c r="A96" s="30">
        <v>10.834705943388391</v>
      </c>
      <c r="C96"/>
      <c r="D96"/>
      <c r="E96"/>
      <c r="G96" s="27" t="s">
        <v>8</v>
      </c>
      <c r="H96" s="27" t="s">
        <v>7</v>
      </c>
      <c r="I96" s="27" t="s">
        <v>8</v>
      </c>
      <c r="J96" s="27" t="s">
        <v>7</v>
      </c>
      <c r="M96" s="27" t="s">
        <v>8</v>
      </c>
      <c r="X96" s="27" t="s">
        <v>7</v>
      </c>
      <c r="AG96" s="27" t="s">
        <v>8</v>
      </c>
      <c r="AH96" s="27" t="s">
        <v>7</v>
      </c>
      <c r="AI96" s="27" t="s">
        <v>8</v>
      </c>
      <c r="AJ96" s="27" t="s">
        <v>7</v>
      </c>
      <c r="AL96" s="27" t="s">
        <v>7</v>
      </c>
      <c r="AR96" s="27" t="s">
        <v>7</v>
      </c>
      <c r="AS96" s="27" t="s">
        <v>8</v>
      </c>
      <c r="AT96" s="27" t="s">
        <v>7</v>
      </c>
      <c r="AZ96" s="27" t="s">
        <v>7</v>
      </c>
    </row>
    <row r="97" spans="1:52" x14ac:dyDescent="0.25">
      <c r="A97" s="30">
        <v>9.849732675807628</v>
      </c>
      <c r="E97"/>
      <c r="G97" s="27" t="s">
        <v>8</v>
      </c>
      <c r="H97" s="27" t="s">
        <v>7</v>
      </c>
      <c r="I97" s="27" t="s">
        <v>8</v>
      </c>
      <c r="J97" s="27" t="s">
        <v>7</v>
      </c>
      <c r="M97" s="27" t="s">
        <v>8</v>
      </c>
      <c r="X97" s="27" t="s">
        <v>7</v>
      </c>
      <c r="AG97" s="27" t="s">
        <v>8</v>
      </c>
      <c r="AH97" s="27" t="s">
        <v>7</v>
      </c>
      <c r="AI97" s="27" t="s">
        <v>8</v>
      </c>
      <c r="AR97" s="27" t="s">
        <v>7</v>
      </c>
      <c r="AZ97" s="27" t="s">
        <v>7</v>
      </c>
    </row>
    <row r="98" spans="1:52" x14ac:dyDescent="0.25">
      <c r="A98" s="30">
        <v>8.9543024325523888</v>
      </c>
      <c r="C98" s="1" t="s">
        <v>13</v>
      </c>
      <c r="E98"/>
      <c r="G98" s="27" t="s">
        <v>8</v>
      </c>
      <c r="H98" s="27" t="s">
        <v>7</v>
      </c>
      <c r="I98" s="27" t="s">
        <v>8</v>
      </c>
      <c r="J98" s="27" t="s">
        <v>7</v>
      </c>
      <c r="M98" s="27" t="s">
        <v>8</v>
      </c>
      <c r="X98" s="27" t="s">
        <v>7</v>
      </c>
      <c r="AG98" s="27" t="s">
        <v>8</v>
      </c>
      <c r="AH98" s="27" t="s">
        <v>7</v>
      </c>
      <c r="AI98" s="27" t="s">
        <v>8</v>
      </c>
      <c r="AZ98" s="27" t="s">
        <v>7</v>
      </c>
    </row>
    <row r="99" spans="1:52" x14ac:dyDescent="0.25">
      <c r="A99" s="30">
        <v>8.140274938683989</v>
      </c>
      <c r="C99" s="1">
        <f>C88</f>
        <v>0</v>
      </c>
      <c r="E99"/>
      <c r="G99" s="27" t="s">
        <v>8</v>
      </c>
      <c r="H99" s="27" t="s">
        <v>7</v>
      </c>
      <c r="I99" s="27" t="s">
        <v>8</v>
      </c>
      <c r="J99" s="27" t="s">
        <v>7</v>
      </c>
      <c r="K99" s="27" t="s">
        <v>8</v>
      </c>
      <c r="M99" s="27" t="s">
        <v>8</v>
      </c>
      <c r="X99" s="27" t="s">
        <v>7</v>
      </c>
      <c r="AA99" s="27" t="s">
        <v>8</v>
      </c>
      <c r="AG99" s="27" t="s">
        <v>8</v>
      </c>
      <c r="AH99" s="27" t="s">
        <v>7</v>
      </c>
      <c r="AI99" s="27" t="s">
        <v>8</v>
      </c>
      <c r="AZ99" s="27" t="s">
        <v>7</v>
      </c>
    </row>
    <row r="100" spans="1:52" x14ac:dyDescent="0.25">
      <c r="A100" s="30">
        <v>7.4002499442581717</v>
      </c>
      <c r="C100"/>
      <c r="D100"/>
      <c r="E100"/>
      <c r="G100" s="27" t="s">
        <v>8</v>
      </c>
      <c r="H100" s="27" t="s">
        <v>7</v>
      </c>
      <c r="I100" s="27" t="s">
        <v>8</v>
      </c>
      <c r="J100" s="27" t="s">
        <v>7</v>
      </c>
      <c r="K100" s="27" t="s">
        <v>8</v>
      </c>
      <c r="L100" s="27" t="s">
        <v>7</v>
      </c>
      <c r="M100" s="27" t="s">
        <v>8</v>
      </c>
      <c r="X100" s="27" t="s">
        <v>7</v>
      </c>
      <c r="Y100" s="27" t="s">
        <v>8</v>
      </c>
      <c r="AA100" s="27" t="s">
        <v>8</v>
      </c>
      <c r="AB100" s="27" t="s">
        <v>7</v>
      </c>
      <c r="AG100" s="27" t="s">
        <v>8</v>
      </c>
      <c r="AH100" s="27" t="s">
        <v>7</v>
      </c>
      <c r="AI100" s="27" t="s">
        <v>8</v>
      </c>
      <c r="AZ100" s="27" t="s">
        <v>7</v>
      </c>
    </row>
    <row r="101" spans="1:52" x14ac:dyDescent="0.25">
      <c r="A101" s="30">
        <v>6.72749994932561</v>
      </c>
      <c r="C101" s="1" t="s">
        <v>14</v>
      </c>
      <c r="E101"/>
      <c r="G101" s="27" t="s">
        <v>8</v>
      </c>
      <c r="H101" s="27" t="s">
        <v>7</v>
      </c>
      <c r="J101" s="27" t="s">
        <v>7</v>
      </c>
      <c r="K101" s="27" t="s">
        <v>8</v>
      </c>
      <c r="L101" s="27" t="s">
        <v>7</v>
      </c>
      <c r="M101" s="27" t="s">
        <v>8</v>
      </c>
      <c r="X101" s="27" t="s">
        <v>7</v>
      </c>
      <c r="Y101" s="27" t="s">
        <v>8</v>
      </c>
      <c r="Z101" s="27" t="s">
        <v>7</v>
      </c>
      <c r="AA101" s="27" t="s">
        <v>8</v>
      </c>
      <c r="AB101" s="27" t="s">
        <v>7</v>
      </c>
      <c r="AG101" s="27" t="s">
        <v>8</v>
      </c>
      <c r="AH101" s="27" t="s">
        <v>7</v>
      </c>
      <c r="AZ101" s="27" t="s">
        <v>7</v>
      </c>
    </row>
    <row r="102" spans="1:52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  <c r="G102" s="27" t="s">
        <v>8</v>
      </c>
      <c r="J102" s="27" t="s">
        <v>7</v>
      </c>
      <c r="L102" s="27" t="s">
        <v>7</v>
      </c>
      <c r="X102" s="27" t="s">
        <v>7</v>
      </c>
      <c r="Y102" s="27" t="s">
        <v>8</v>
      </c>
      <c r="Z102" s="27" t="s">
        <v>7</v>
      </c>
      <c r="AA102" s="27" t="s">
        <v>8</v>
      </c>
      <c r="AB102" s="27" t="s">
        <v>7</v>
      </c>
      <c r="AG102" s="27" t="s">
        <v>8</v>
      </c>
      <c r="AZ102" s="27" t="s">
        <v>7</v>
      </c>
    </row>
    <row r="103" spans="1:52" x14ac:dyDescent="0.25">
      <c r="A103" s="30">
        <v>5.5599173134922388</v>
      </c>
      <c r="E103"/>
      <c r="G103" s="27" t="s">
        <v>8</v>
      </c>
      <c r="X103" s="27" t="s">
        <v>7</v>
      </c>
      <c r="Y103" s="27" t="s">
        <v>8</v>
      </c>
      <c r="Z103" s="27" t="s">
        <v>7</v>
      </c>
      <c r="AA103" s="27" t="s">
        <v>8</v>
      </c>
      <c r="AB103" s="27" t="s">
        <v>7</v>
      </c>
      <c r="AG103" s="27" t="s">
        <v>8</v>
      </c>
      <c r="AZ103" s="27" t="s">
        <v>7</v>
      </c>
    </row>
    <row r="104" spans="1:52" x14ac:dyDescent="0.25">
      <c r="A104" s="30">
        <v>5.0544702849929442</v>
      </c>
      <c r="E104" t="s">
        <v>8</v>
      </c>
      <c r="G104" s="27" t="s">
        <v>8</v>
      </c>
      <c r="X104" s="27" t="s">
        <v>7</v>
      </c>
      <c r="Z104" s="27" t="s">
        <v>7</v>
      </c>
      <c r="AA104" s="27" t="s">
        <v>8</v>
      </c>
      <c r="AB104" s="27" t="s">
        <v>7</v>
      </c>
      <c r="AE104" s="27" t="s">
        <v>8</v>
      </c>
      <c r="AG104" s="27" t="s">
        <v>8</v>
      </c>
    </row>
    <row r="105" spans="1:52" x14ac:dyDescent="0.25">
      <c r="A105" s="30">
        <v>4.594972986357222</v>
      </c>
      <c r="E105" t="s">
        <v>8</v>
      </c>
      <c r="F105" s="27" t="s">
        <v>7</v>
      </c>
      <c r="G105" s="27" t="s">
        <v>8</v>
      </c>
      <c r="Z105" s="27" t="s">
        <v>7</v>
      </c>
      <c r="AB105" s="27" t="s">
        <v>7</v>
      </c>
      <c r="AE105" s="27" t="s">
        <v>8</v>
      </c>
      <c r="AF105" s="27" t="s">
        <v>7</v>
      </c>
      <c r="AG105" s="27" t="s">
        <v>8</v>
      </c>
    </row>
    <row r="106" spans="1:52" x14ac:dyDescent="0.25">
      <c r="A106" s="30">
        <v>4.1772481694156562</v>
      </c>
      <c r="E106" t="s">
        <v>8</v>
      </c>
      <c r="F106" s="27" t="s">
        <v>7</v>
      </c>
      <c r="G106" s="27" t="s">
        <v>8</v>
      </c>
      <c r="AB106" s="27" t="s">
        <v>7</v>
      </c>
      <c r="AC106" s="27" t="s">
        <v>8</v>
      </c>
      <c r="AE106" s="27" t="s">
        <v>8</v>
      </c>
      <c r="AF106" s="27" t="s">
        <v>7</v>
      </c>
      <c r="AG106" s="27" t="s">
        <v>8</v>
      </c>
    </row>
    <row r="107" spans="1:52" x14ac:dyDescent="0.25">
      <c r="A107" s="30">
        <v>3.7974983358324148</v>
      </c>
      <c r="E107" t="s">
        <v>8</v>
      </c>
      <c r="F107" s="27" t="s">
        <v>7</v>
      </c>
      <c r="AB107" s="27" t="s">
        <v>7</v>
      </c>
      <c r="AC107" s="27" t="s">
        <v>8</v>
      </c>
      <c r="AD107" s="27" t="s">
        <v>7</v>
      </c>
      <c r="AE107" s="27" t="s">
        <v>8</v>
      </c>
      <c r="AF107" s="27" t="s">
        <v>7</v>
      </c>
      <c r="AG107" s="27" t="s">
        <v>8</v>
      </c>
    </row>
    <row r="108" spans="1:52" x14ac:dyDescent="0.25">
      <c r="A108" s="30">
        <v>3.4522712143931042</v>
      </c>
      <c r="E108" t="s">
        <v>8</v>
      </c>
      <c r="AB108" s="27" t="s">
        <v>7</v>
      </c>
      <c r="AC108" s="27" t="s">
        <v>8</v>
      </c>
      <c r="AD108" s="27" t="s">
        <v>7</v>
      </c>
      <c r="AE108" s="27" t="s">
        <v>8</v>
      </c>
      <c r="AF108" s="18" t="s">
        <v>7</v>
      </c>
    </row>
    <row r="109" spans="1:52" x14ac:dyDescent="0.25">
      <c r="A109" s="30">
        <v>3.1384283767210035</v>
      </c>
      <c r="E109" t="s">
        <v>8</v>
      </c>
      <c r="AB109" s="27" t="s">
        <v>7</v>
      </c>
      <c r="AC109" s="27" t="s">
        <v>8</v>
      </c>
      <c r="AD109" s="27" t="s">
        <v>7</v>
      </c>
    </row>
    <row r="110" spans="1:52" x14ac:dyDescent="0.25">
      <c r="A110" s="30">
        <v>2.8531167061100029</v>
      </c>
      <c r="E110" t="s">
        <v>8</v>
      </c>
      <c r="AB110" s="27" t="s">
        <v>7</v>
      </c>
    </row>
    <row r="111" spans="1:52" x14ac:dyDescent="0.25">
      <c r="A111" s="30">
        <v>2.5937424601000023</v>
      </c>
      <c r="C111" s="1" t="str">
        <f>ADDRESS(C121-1,1,1,1)</f>
        <v>$A$102</v>
      </c>
      <c r="D111" s="1" t="str">
        <f>ADDRESS(C121-1,D121,1,1)</f>
        <v>$AZ$102</v>
      </c>
      <c r="E111" t="s">
        <v>8</v>
      </c>
    </row>
    <row r="112" spans="1:52" x14ac:dyDescent="0.25">
      <c r="A112" s="30">
        <v>2.3579476910000019</v>
      </c>
      <c r="C112" s="1" t="str">
        <f>ADDRESS(C121,1,1,1)</f>
        <v>$A$103</v>
      </c>
      <c r="D112" s="1" t="str">
        <f>ADDRESS(C121,D121-1,1,1)</f>
        <v>$AY$103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$A$104</v>
      </c>
      <c r="D113" s="1" t="str">
        <f>ADDRESS(C121-1,D121+1,1,1)</f>
        <v>$BA$102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$AZ$103</v>
      </c>
      <c r="D114" s="1" t="str">
        <f>ADDRESS(C121+1,D121+1,1,1)</f>
        <v>$BA$104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$AZ$104</v>
      </c>
      <c r="E115" s="1" t="s">
        <v>8</v>
      </c>
    </row>
    <row r="116" spans="1:5" x14ac:dyDescent="0.25">
      <c r="A116" s="30">
        <v>1.6105100000000008</v>
      </c>
      <c r="C116" s="1">
        <f>C117-1</f>
        <v>102</v>
      </c>
      <c r="E116" s="1" t="s">
        <v>8</v>
      </c>
    </row>
    <row r="117" spans="1:5" x14ac:dyDescent="0.25">
      <c r="A117" s="30">
        <v>1.4641000000000006</v>
      </c>
      <c r="C117" s="1">
        <f>C121</f>
        <v>103</v>
      </c>
      <c r="D117" s="1">
        <f>D121</f>
        <v>52</v>
      </c>
      <c r="E117" s="1" t="s">
        <v>8</v>
      </c>
    </row>
    <row r="118" spans="1:5" x14ac:dyDescent="0.25">
      <c r="A118" s="30">
        <v>1.3310000000000004</v>
      </c>
      <c r="C118" s="1">
        <f>C117+1</f>
        <v>104</v>
      </c>
      <c r="D118" s="1">
        <f>D117+1</f>
        <v>53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103</v>
      </c>
      <c r="D121" s="19">
        <v>52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R103</v>
      </c>
      <c r="D123" s="1" t="str">
        <f>"C"&amp;D121</f>
        <v>C52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5.5599173134922388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773" operator="equal">
      <formula>$U$1</formula>
    </cfRule>
    <cfRule type="cellIs" dxfId="30" priority="774" operator="equal">
      <formula>$S$1</formula>
    </cfRule>
  </conditionalFormatting>
  <conditionalFormatting sqref="D136">
    <cfRule type="cellIs" dxfId="29" priority="771" operator="equal">
      <formula>$S$1</formula>
    </cfRule>
    <cfRule type="cellIs" dxfId="28" priority="772" operator="equal">
      <formula>$U$1</formula>
    </cfRule>
  </conditionalFormatting>
  <conditionalFormatting sqref="C102">
    <cfRule type="cellIs" dxfId="27" priority="769" operator="equal">
      <formula>$U$1</formula>
    </cfRule>
    <cfRule type="cellIs" dxfId="26" priority="770" operator="equal">
      <formula>$S$1</formula>
    </cfRule>
  </conditionalFormatting>
  <conditionalFormatting sqref="D102">
    <cfRule type="cellIs" dxfId="25" priority="767" operator="equal">
      <formula>$S$1</formula>
    </cfRule>
    <cfRule type="cellIs" dxfId="24" priority="768" operator="equal">
      <formula>$U$1</formula>
    </cfRule>
  </conditionalFormatting>
  <conditionalFormatting sqref="C77">
    <cfRule type="cellIs" dxfId="23" priority="765" operator="equal">
      <formula>$U$1</formula>
    </cfRule>
    <cfRule type="cellIs" dxfId="22" priority="766" operator="equal">
      <formula>$S$1</formula>
    </cfRule>
  </conditionalFormatting>
  <conditionalFormatting sqref="D77">
    <cfRule type="cellIs" dxfId="21" priority="763" operator="equal">
      <formula>$S$1</formula>
    </cfRule>
    <cfRule type="cellIs" dxfId="20" priority="764" operator="equal">
      <formula>$U$1</formula>
    </cfRule>
  </conditionalFormatting>
  <conditionalFormatting sqref="C52">
    <cfRule type="cellIs" dxfId="19" priority="761" operator="equal">
      <formula>$U$1</formula>
    </cfRule>
    <cfRule type="cellIs" dxfId="18" priority="762" operator="equal">
      <formula>$S$1</formula>
    </cfRule>
  </conditionalFormatting>
  <conditionalFormatting sqref="D52">
    <cfRule type="cellIs" dxfId="17" priority="759" operator="equal">
      <formula>$S$1</formula>
    </cfRule>
    <cfRule type="cellIs" dxfId="16" priority="760" operator="equal">
      <formula>$U$1</formula>
    </cfRule>
  </conditionalFormatting>
  <conditionalFormatting sqref="C26">
    <cfRule type="cellIs" dxfId="15" priority="757" operator="equal">
      <formula>$U$1</formula>
    </cfRule>
    <cfRule type="cellIs" dxfId="14" priority="758" operator="equal">
      <formula>$S$1</formula>
    </cfRule>
  </conditionalFormatting>
  <conditionalFormatting sqref="D26">
    <cfRule type="cellIs" dxfId="13" priority="755" operator="equal">
      <formula>$S$1</formula>
    </cfRule>
    <cfRule type="cellIs" dxfId="12" priority="756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2022-01-28T01:15:45Z</dcterms:modified>
</cp:coreProperties>
</file>