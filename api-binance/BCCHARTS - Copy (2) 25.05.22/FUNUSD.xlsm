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12C5E71-6717-4F15-9D54-86A696781C4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89" i="1"/>
  <c r="Q889" i="1" s="1"/>
  <c r="R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89" i="1"/>
  <c r="T88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D136" i="5" s="1"/>
  <c r="C56" i="4"/>
  <c r="D136" i="2"/>
  <c r="C136" i="2"/>
  <c r="C138" i="2"/>
  <c r="C2" i="1" l="1"/>
  <c r="D2" i="1"/>
  <c r="C116" i="5"/>
  <c r="C122" i="4"/>
  <c r="C133" i="4" s="1"/>
  <c r="D136" i="4" s="1"/>
  <c r="C116" i="4"/>
  <c r="C122" i="3"/>
  <c r="C133" i="3" s="1"/>
  <c r="C136" i="3" s="1"/>
  <c r="C118" i="3"/>
  <c r="C136" i="5"/>
  <c r="C138" i="5" s="1"/>
  <c r="R888" i="1"/>
  <c r="C136" i="4" l="1"/>
  <c r="C138" i="4" s="1"/>
  <c r="D136" i="3"/>
  <c r="C138" i="3" s="1"/>
  <c r="R887" i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<sst xmlns="http://schemas.openxmlformats.org/spreadsheetml/2006/main" count="8944" uniqueCount="34">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</sst>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9.6799999999999994E-3</c:v>
                </c:pt>
                <c:pt idx="1">
                  <c:v>9.92E-3</c:v>
                </c:pt>
                <c:pt idx="2">
                  <c:v>1.005E-2</c:v>
                </c:pt>
                <c:pt idx="3">
                  <c:v>1.0070000000000001E-2</c:v>
                </c:pt>
                <c:pt idx="4">
                  <c:v>1.1039999999999999E-2</c:v>
                </c:pt>
                <c:pt idx="5">
                  <c:v>1.008E-2</c:v>
                </c:pt>
                <c:pt idx="6">
                  <c:v>1.0410000000000001E-2</c:v>
                </c:pt>
                <c:pt idx="7">
                  <c:v>1.2370000000000001E-2</c:v>
                </c:pt>
                <c:pt idx="8">
                  <c:v>1.1350000000000001E-2</c:v>
                </c:pt>
                <c:pt idx="9">
                  <c:v>1.1650000000000001E-2</c:v>
                </c:pt>
                <c:pt idx="10">
                  <c:v>1.15E-2</c:v>
                </c:pt>
                <c:pt idx="11">
                  <c:v>1.183E-2</c:v>
                </c:pt>
                <c:pt idx="12">
                  <c:v>1.208E-2</c:v>
                </c:pt>
                <c:pt idx="13">
                  <c:v>1.221E-2</c:v>
                </c:pt>
                <c:pt idx="14">
                  <c:v>1.2290000000000001E-2</c:v>
                </c:pt>
                <c:pt idx="15">
                  <c:v>1.11E-2</c:v>
                </c:pt>
                <c:pt idx="16">
                  <c:v>1.074E-2</c:v>
                </c:pt>
                <c:pt idx="17">
                  <c:v>1.035E-2</c:v>
                </c:pt>
                <c:pt idx="18">
                  <c:v>1.0659999999999999E-2</c:v>
                </c:pt>
                <c:pt idx="19">
                  <c:v>1.048E-2</c:v>
                </c:pt>
                <c:pt idx="20">
                  <c:v>1.0869999999999999E-2</c:v>
                </c:pt>
                <c:pt idx="21">
                  <c:v>1.136E-2</c:v>
                </c:pt>
                <c:pt idx="22">
                  <c:v>1.188E-2</c:v>
                </c:pt>
                <c:pt idx="23">
                  <c:v>1.192E-2</c:v>
                </c:pt>
                <c:pt idx="24">
                  <c:v>1.23E-2</c:v>
                </c:pt>
                <c:pt idx="25">
                  <c:v>1.2840000000000001E-2</c:v>
                </c:pt>
                <c:pt idx="26">
                  <c:v>1.3559999999999999E-2</c:v>
                </c:pt>
                <c:pt idx="27">
                  <c:v>1.4710000000000001E-2</c:v>
                </c:pt>
                <c:pt idx="28">
                  <c:v>1.1769999999999999E-2</c:v>
                </c:pt>
                <c:pt idx="29">
                  <c:v>1.175E-2</c:v>
                </c:pt>
                <c:pt idx="30">
                  <c:v>1.15E-2</c:v>
                </c:pt>
                <c:pt idx="31">
                  <c:v>1.278E-2</c:v>
                </c:pt>
                <c:pt idx="32">
                  <c:v>1.234E-2</c:v>
                </c:pt>
                <c:pt idx="33">
                  <c:v>1.1990000000000001E-2</c:v>
                </c:pt>
                <c:pt idx="34">
                  <c:v>1.1270000000000001E-2</c:v>
                </c:pt>
                <c:pt idx="35">
                  <c:v>1.089E-2</c:v>
                </c:pt>
                <c:pt idx="36">
                  <c:v>1.0489999999999999E-2</c:v>
                </c:pt>
                <c:pt idx="37">
                  <c:v>1.0200000000000001E-2</c:v>
                </c:pt>
                <c:pt idx="38">
                  <c:v>1.0059999999999999E-2</c:v>
                </c:pt>
                <c:pt idx="39">
                  <c:v>1.073E-2</c:v>
                </c:pt>
                <c:pt idx="40">
                  <c:v>1.0880000000000001E-2</c:v>
                </c:pt>
                <c:pt idx="41">
                  <c:v>1.025E-2</c:v>
                </c:pt>
                <c:pt idx="42">
                  <c:v>1.0710000000000001E-2</c:v>
                </c:pt>
                <c:pt idx="43">
                  <c:v>1.108E-2</c:v>
                </c:pt>
                <c:pt idx="44">
                  <c:v>1.1379999999999999E-2</c:v>
                </c:pt>
                <c:pt idx="45">
                  <c:v>1.1140000000000001E-2</c:v>
                </c:pt>
                <c:pt idx="46">
                  <c:v>1.2959999999999999E-2</c:v>
                </c:pt>
                <c:pt idx="47">
                  <c:v>1.239E-2</c:v>
                </c:pt>
                <c:pt idx="48">
                  <c:v>1.208E-2</c:v>
                </c:pt>
                <c:pt idx="49">
                  <c:v>1.3679999999999999E-2</c:v>
                </c:pt>
                <c:pt idx="50">
                  <c:v>1.4800000000000001E-2</c:v>
                </c:pt>
                <c:pt idx="51">
                  <c:v>1.4829999999999999E-2</c:v>
                </c:pt>
                <c:pt idx="52">
                  <c:v>1.472E-2</c:v>
                </c:pt>
                <c:pt idx="53">
                  <c:v>1.486E-2</c:v>
                </c:pt>
                <c:pt idx="54">
                  <c:v>1.508E-2</c:v>
                </c:pt>
                <c:pt idx="55">
                  <c:v>1.796E-2</c:v>
                </c:pt>
                <c:pt idx="56">
                  <c:v>1.788E-2</c:v>
                </c:pt>
                <c:pt idx="57">
                  <c:v>1.9769999999999999E-2</c:v>
                </c:pt>
                <c:pt idx="58">
                  <c:v>1.933E-2</c:v>
                </c:pt>
                <c:pt idx="59">
                  <c:v>1.9300000000000001E-2</c:v>
                </c:pt>
                <c:pt idx="60">
                  <c:v>1.942E-2</c:v>
                </c:pt>
                <c:pt idx="61">
                  <c:v>1.9470000000000001E-2</c:v>
                </c:pt>
                <c:pt idx="62">
                  <c:v>1.9210000000000001E-2</c:v>
                </c:pt>
                <c:pt idx="63">
                  <c:v>2.0979999999999999E-2</c:v>
                </c:pt>
                <c:pt idx="64">
                  <c:v>2.0879999999999999E-2</c:v>
                </c:pt>
                <c:pt idx="65">
                  <c:v>2.1530000000000001E-2</c:v>
                </c:pt>
                <c:pt idx="66">
                  <c:v>2.205E-2</c:v>
                </c:pt>
                <c:pt idx="67">
                  <c:v>2.1090000000000001E-2</c:v>
                </c:pt>
                <c:pt idx="68">
                  <c:v>2.043E-2</c:v>
                </c:pt>
                <c:pt idx="69">
                  <c:v>1.9189999999999999E-2</c:v>
                </c:pt>
                <c:pt idx="70">
                  <c:v>1.8079999999999999E-2</c:v>
                </c:pt>
                <c:pt idx="71">
                  <c:v>2.001E-2</c:v>
                </c:pt>
                <c:pt idx="72">
                  <c:v>1.966E-2</c:v>
                </c:pt>
                <c:pt idx="73">
                  <c:v>2.18E-2</c:v>
                </c:pt>
                <c:pt idx="74">
                  <c:v>2.197E-2</c:v>
                </c:pt>
                <c:pt idx="75">
                  <c:v>2.1829999999999999E-2</c:v>
                </c:pt>
                <c:pt idx="76">
                  <c:v>2.214E-2</c:v>
                </c:pt>
                <c:pt idx="77">
                  <c:v>2.061E-2</c:v>
                </c:pt>
                <c:pt idx="78">
                  <c:v>1.9470000000000001E-2</c:v>
                </c:pt>
                <c:pt idx="79">
                  <c:v>2.0299999999999999E-2</c:v>
                </c:pt>
                <c:pt idx="80">
                  <c:v>2.0119999999999999E-2</c:v>
                </c:pt>
                <c:pt idx="81">
                  <c:v>1.9640000000000001E-2</c:v>
                </c:pt>
                <c:pt idx="82">
                  <c:v>1.9470000000000001E-2</c:v>
                </c:pt>
                <c:pt idx="83">
                  <c:v>1.9609999999999999E-2</c:v>
                </c:pt>
                <c:pt idx="84">
                  <c:v>1.9869999999999999E-2</c:v>
                </c:pt>
                <c:pt idx="85">
                  <c:v>1.9769999999999999E-2</c:v>
                </c:pt>
                <c:pt idx="86">
                  <c:v>2.0369999999999999E-2</c:v>
                </c:pt>
                <c:pt idx="87">
                  <c:v>1.9900000000000001E-2</c:v>
                </c:pt>
                <c:pt idx="88">
                  <c:v>1.933E-2</c:v>
                </c:pt>
                <c:pt idx="89">
                  <c:v>1.9290000000000002E-2</c:v>
                </c:pt>
                <c:pt idx="90">
                  <c:v>1.9769999999999999E-2</c:v>
                </c:pt>
                <c:pt idx="91">
                  <c:v>1.9220000000000001E-2</c:v>
                </c:pt>
                <c:pt idx="92">
                  <c:v>1.8749999999999999E-2</c:v>
                </c:pt>
                <c:pt idx="93">
                  <c:v>2.0480000000000002E-2</c:v>
                </c:pt>
                <c:pt idx="94">
                  <c:v>2.0969999999999999E-2</c:v>
                </c:pt>
                <c:pt idx="95">
                  <c:v>2.035E-2</c:v>
                </c:pt>
                <c:pt idx="96">
                  <c:v>2.1180000000000001E-2</c:v>
                </c:pt>
                <c:pt idx="97">
                  <c:v>2.1059999999999999E-2</c:v>
                </c:pt>
                <c:pt idx="98">
                  <c:v>2.2030000000000001E-2</c:v>
                </c:pt>
                <c:pt idx="99">
                  <c:v>2.0320000000000001E-2</c:v>
                </c:pt>
                <c:pt idx="100">
                  <c:v>2.0039999999999999E-2</c:v>
                </c:pt>
                <c:pt idx="101">
                  <c:v>1.9859999999999999E-2</c:v>
                </c:pt>
                <c:pt idx="102">
                  <c:v>2.036E-2</c:v>
                </c:pt>
                <c:pt idx="103">
                  <c:v>2.0619999999999999E-2</c:v>
                </c:pt>
                <c:pt idx="104">
                  <c:v>2.0840000000000001E-2</c:v>
                </c:pt>
                <c:pt idx="105">
                  <c:v>2.044E-2</c:v>
                </c:pt>
                <c:pt idx="106">
                  <c:v>2.019E-2</c:v>
                </c:pt>
                <c:pt idx="107">
                  <c:v>1.9890000000000001E-2</c:v>
                </c:pt>
                <c:pt idx="108">
                  <c:v>2.051E-2</c:v>
                </c:pt>
                <c:pt idx="109">
                  <c:v>2.102E-2</c:v>
                </c:pt>
                <c:pt idx="110">
                  <c:v>2.1399999999999999E-2</c:v>
                </c:pt>
                <c:pt idx="111">
                  <c:v>1.9800000000000002E-2</c:v>
                </c:pt>
                <c:pt idx="112">
                  <c:v>1.9519999999999999E-2</c:v>
                </c:pt>
                <c:pt idx="113">
                  <c:v>1.9709999999999998E-2</c:v>
                </c:pt>
                <c:pt idx="114">
                  <c:v>2.0160000000000001E-2</c:v>
                </c:pt>
                <c:pt idx="115">
                  <c:v>1.941E-2</c:v>
                </c:pt>
                <c:pt idx="116">
                  <c:v>1.9529999999999999E-2</c:v>
                </c:pt>
                <c:pt idx="117">
                  <c:v>1.8950000000000002E-2</c:v>
                </c:pt>
                <c:pt idx="118">
                  <c:v>1.8769999999999998E-2</c:v>
                </c:pt>
                <c:pt idx="119">
                  <c:v>1.7899999999999999E-2</c:v>
                </c:pt>
                <c:pt idx="120">
                  <c:v>1.7930000000000001E-2</c:v>
                </c:pt>
                <c:pt idx="121">
                  <c:v>1.762E-2</c:v>
                </c:pt>
                <c:pt idx="122">
                  <c:v>1.8089999999999998E-2</c:v>
                </c:pt>
                <c:pt idx="123">
                  <c:v>1.8360000000000001E-2</c:v>
                </c:pt>
                <c:pt idx="124">
                  <c:v>1.8259999999999998E-2</c:v>
                </c:pt>
                <c:pt idx="125">
                  <c:v>1.9140000000000001E-2</c:v>
                </c:pt>
                <c:pt idx="126">
                  <c:v>2.137E-2</c:v>
                </c:pt>
                <c:pt idx="127">
                  <c:v>1.9349999999999999E-2</c:v>
                </c:pt>
                <c:pt idx="128">
                  <c:v>1.7749999999999998E-2</c:v>
                </c:pt>
                <c:pt idx="129">
                  <c:v>1.8630000000000001E-2</c:v>
                </c:pt>
                <c:pt idx="130">
                  <c:v>1.9699999999999999E-2</c:v>
                </c:pt>
                <c:pt idx="131">
                  <c:v>2.0289999999999999E-2</c:v>
                </c:pt>
                <c:pt idx="132">
                  <c:v>2.053E-2</c:v>
                </c:pt>
                <c:pt idx="133">
                  <c:v>2.198E-2</c:v>
                </c:pt>
                <c:pt idx="134">
                  <c:v>2.2249999999999999E-2</c:v>
                </c:pt>
                <c:pt idx="135">
                  <c:v>2.163E-2</c:v>
                </c:pt>
                <c:pt idx="136">
                  <c:v>2.1059999999999999E-2</c:v>
                </c:pt>
                <c:pt idx="137">
                  <c:v>2.1350000000000001E-2</c:v>
                </c:pt>
                <c:pt idx="138">
                  <c:v>2.1350000000000001E-2</c:v>
                </c:pt>
                <c:pt idx="139">
                  <c:v>2.1850000000000001E-2</c:v>
                </c:pt>
                <c:pt idx="140">
                  <c:v>2.3619999999999999E-2</c:v>
                </c:pt>
                <c:pt idx="141">
                  <c:v>2.3640000000000001E-2</c:v>
                </c:pt>
                <c:pt idx="142">
                  <c:v>2.4660000000000001E-2</c:v>
                </c:pt>
                <c:pt idx="143">
                  <c:v>2.9489999999999999E-2</c:v>
                </c:pt>
                <c:pt idx="144">
                  <c:v>2.9559999999999999E-2</c:v>
                </c:pt>
                <c:pt idx="145">
                  <c:v>2.8750000000000001E-2</c:v>
                </c:pt>
                <c:pt idx="146">
                  <c:v>2.8369999999999999E-2</c:v>
                </c:pt>
                <c:pt idx="147">
                  <c:v>2.8250000000000001E-2</c:v>
                </c:pt>
                <c:pt idx="148">
                  <c:v>2.9729999999999999E-2</c:v>
                </c:pt>
                <c:pt idx="149">
                  <c:v>2.9530000000000001E-2</c:v>
                </c:pt>
                <c:pt idx="150">
                  <c:v>3.0939999999999999E-2</c:v>
                </c:pt>
                <c:pt idx="151">
                  <c:v>3.2070000000000001E-2</c:v>
                </c:pt>
                <c:pt idx="152">
                  <c:v>3.2779999999999997E-2</c:v>
                </c:pt>
                <c:pt idx="153">
                  <c:v>3.1050000000000001E-2</c:v>
                </c:pt>
                <c:pt idx="154">
                  <c:v>3.0450000000000001E-2</c:v>
                </c:pt>
                <c:pt idx="155">
                  <c:v>3.2570000000000002E-2</c:v>
                </c:pt>
                <c:pt idx="156">
                  <c:v>3.2903000000000002E-2</c:v>
                </c:pt>
                <c:pt idx="157">
                  <c:v>3.3808999999999999E-2</c:v>
                </c:pt>
                <c:pt idx="158">
                  <c:v>3.4181000000000003E-2</c:v>
                </c:pt>
                <c:pt idx="159">
                  <c:v>3.5385E-2</c:v>
                </c:pt>
                <c:pt idx="160">
                  <c:v>2.9815999999999999E-2</c:v>
                </c:pt>
                <c:pt idx="161">
                  <c:v>2.7421999999999998E-2</c:v>
                </c:pt>
                <c:pt idx="162">
                  <c:v>2.3088999999999998E-2</c:v>
                </c:pt>
                <c:pt idx="163">
                  <c:v>2.3656E-2</c:v>
                </c:pt>
                <c:pt idx="164">
                  <c:v>2.2009999999999998E-2</c:v>
                </c:pt>
                <c:pt idx="165">
                  <c:v>2.2624999999999999E-2</c:v>
                </c:pt>
                <c:pt idx="166">
                  <c:v>2.3207999999999999E-2</c:v>
                </c:pt>
                <c:pt idx="167">
                  <c:v>2.3644999999999999E-2</c:v>
                </c:pt>
                <c:pt idx="168">
                  <c:v>2.0192000000000002E-2</c:v>
                </c:pt>
                <c:pt idx="169">
                  <c:v>2.0480999999999999E-2</c:v>
                </c:pt>
                <c:pt idx="170">
                  <c:v>1.9245999999999999E-2</c:v>
                </c:pt>
                <c:pt idx="171">
                  <c:v>1.9476E-2</c:v>
                </c:pt>
                <c:pt idx="172">
                  <c:v>1.8860999999999999E-2</c:v>
                </c:pt>
                <c:pt idx="173">
                  <c:v>1.9688000000000001E-2</c:v>
                </c:pt>
                <c:pt idx="174">
                  <c:v>2.0136999999999999E-2</c:v>
                </c:pt>
                <c:pt idx="175">
                  <c:v>2.0057999999999999E-2</c:v>
                </c:pt>
                <c:pt idx="176">
                  <c:v>1.8266000000000001E-2</c:v>
                </c:pt>
                <c:pt idx="177">
                  <c:v>1.8461000000000002E-2</c:v>
                </c:pt>
                <c:pt idx="178">
                  <c:v>1.9613999999999999E-2</c:v>
                </c:pt>
                <c:pt idx="179">
                  <c:v>1.7531999999999999E-2</c:v>
                </c:pt>
                <c:pt idx="180">
                  <c:v>1.7340999999999999E-2</c:v>
                </c:pt>
                <c:pt idx="181">
                  <c:v>1.5656E-2</c:v>
                </c:pt>
                <c:pt idx="182">
                  <c:v>1.5412E-2</c:v>
                </c:pt>
                <c:pt idx="183">
                  <c:v>1.6153000000000001E-2</c:v>
                </c:pt>
                <c:pt idx="184">
                  <c:v>1.5349E-2</c:v>
                </c:pt>
                <c:pt idx="185">
                  <c:v>1.5009E-2</c:v>
                </c:pt>
                <c:pt idx="186">
                  <c:v>1.5391E-2</c:v>
                </c:pt>
                <c:pt idx="187">
                  <c:v>1.5358999999999999E-2</c:v>
                </c:pt>
                <c:pt idx="188">
                  <c:v>1.4888E-2</c:v>
                </c:pt>
                <c:pt idx="189">
                  <c:v>1.4659E-2</c:v>
                </c:pt>
                <c:pt idx="190">
                  <c:v>1.4330000000000001E-2</c:v>
                </c:pt>
                <c:pt idx="191">
                  <c:v>1.3488E-2</c:v>
                </c:pt>
                <c:pt idx="192">
                  <c:v>1.3983000000000001E-2</c:v>
                </c:pt>
                <c:pt idx="193">
                  <c:v>1.4675000000000001E-2</c:v>
                </c:pt>
                <c:pt idx="194">
                  <c:v>1.469E-2</c:v>
                </c:pt>
                <c:pt idx="195">
                  <c:v>1.5018999999999999E-2</c:v>
                </c:pt>
                <c:pt idx="196">
                  <c:v>1.4904000000000001E-2</c:v>
                </c:pt>
                <c:pt idx="197">
                  <c:v>1.5030999999999999E-2</c:v>
                </c:pt>
                <c:pt idx="198">
                  <c:v>1.4768E-2</c:v>
                </c:pt>
                <c:pt idx="199">
                  <c:v>1.5422999999999999E-2</c:v>
                </c:pt>
                <c:pt idx="200">
                  <c:v>1.5955E-2</c:v>
                </c:pt>
                <c:pt idx="201">
                  <c:v>1.5639E-2</c:v>
                </c:pt>
                <c:pt idx="202">
                  <c:v>1.5762999999999999E-2</c:v>
                </c:pt>
                <c:pt idx="203">
                  <c:v>1.5554999999999999E-2</c:v>
                </c:pt>
                <c:pt idx="204">
                  <c:v>1.6573999999999998E-2</c:v>
                </c:pt>
                <c:pt idx="205">
                  <c:v>1.6483000000000001E-2</c:v>
                </c:pt>
                <c:pt idx="206">
                  <c:v>1.6424000000000001E-2</c:v>
                </c:pt>
                <c:pt idx="207">
                  <c:v>1.6920000000000001E-2</c:v>
                </c:pt>
                <c:pt idx="208">
                  <c:v>1.7034000000000001E-2</c:v>
                </c:pt>
                <c:pt idx="209">
                  <c:v>1.6753000000000001E-2</c:v>
                </c:pt>
                <c:pt idx="210">
                  <c:v>1.6657000000000002E-2</c:v>
                </c:pt>
                <c:pt idx="211">
                  <c:v>1.6965000000000001E-2</c:v>
                </c:pt>
                <c:pt idx="212">
                  <c:v>1.7399000000000001E-2</c:v>
                </c:pt>
                <c:pt idx="213">
                  <c:v>1.6694000000000001E-2</c:v>
                </c:pt>
                <c:pt idx="214">
                  <c:v>1.6681999999999999E-2</c:v>
                </c:pt>
                <c:pt idx="215">
                  <c:v>1.6378E-2</c:v>
                </c:pt>
                <c:pt idx="216">
                  <c:v>1.6209000000000001E-2</c:v>
                </c:pt>
                <c:pt idx="217">
                  <c:v>1.7295999999999999E-2</c:v>
                </c:pt>
                <c:pt idx="218">
                  <c:v>1.6983000000000002E-2</c:v>
                </c:pt>
                <c:pt idx="219">
                  <c:v>1.6277E-2</c:v>
                </c:pt>
                <c:pt idx="220">
                  <c:v>1.6975000000000001E-2</c:v>
                </c:pt>
                <c:pt idx="221">
                  <c:v>1.9303000000000001E-2</c:v>
                </c:pt>
                <c:pt idx="222">
                  <c:v>1.9102000000000001E-2</c:v>
                </c:pt>
                <c:pt idx="223">
                  <c:v>1.9632E-2</c:v>
                </c:pt>
                <c:pt idx="224">
                  <c:v>2.0559000000000001E-2</c:v>
                </c:pt>
                <c:pt idx="225">
                  <c:v>2.0264000000000001E-2</c:v>
                </c:pt>
                <c:pt idx="226">
                  <c:v>2.1087999999999999E-2</c:v>
                </c:pt>
                <c:pt idx="227">
                  <c:v>2.1763999999999999E-2</c:v>
                </c:pt>
                <c:pt idx="228">
                  <c:v>2.1170000000000001E-2</c:v>
                </c:pt>
                <c:pt idx="229">
                  <c:v>1.9968E-2</c:v>
                </c:pt>
                <c:pt idx="230">
                  <c:v>2.0948000000000001E-2</c:v>
                </c:pt>
                <c:pt idx="231">
                  <c:v>2.2481999999999999E-2</c:v>
                </c:pt>
                <c:pt idx="232">
                  <c:v>2.4275000000000001E-2</c:v>
                </c:pt>
                <c:pt idx="233">
                  <c:v>2.027E-2</c:v>
                </c:pt>
                <c:pt idx="234">
                  <c:v>2.0684000000000001E-2</c:v>
                </c:pt>
                <c:pt idx="235">
                  <c:v>2.2235999999999999E-2</c:v>
                </c:pt>
                <c:pt idx="236">
                  <c:v>2.1359E-2</c:v>
                </c:pt>
                <c:pt idx="237">
                  <c:v>2.2173999999999999E-2</c:v>
                </c:pt>
                <c:pt idx="238">
                  <c:v>2.3519999999999999E-2</c:v>
                </c:pt>
                <c:pt idx="239">
                  <c:v>2.3088999999999998E-2</c:v>
                </c:pt>
                <c:pt idx="240">
                  <c:v>2.1586999999999999E-2</c:v>
                </c:pt>
                <c:pt idx="241">
                  <c:v>2.2727000000000001E-2</c:v>
                </c:pt>
                <c:pt idx="242">
                  <c:v>2.2325999999999999E-2</c:v>
                </c:pt>
                <c:pt idx="243">
                  <c:v>2.0893999999999999E-2</c:v>
                </c:pt>
                <c:pt idx="244">
                  <c:v>2.1100000000000001E-2</c:v>
                </c:pt>
                <c:pt idx="245">
                  <c:v>2.2574E-2</c:v>
                </c:pt>
                <c:pt idx="246">
                  <c:v>2.3702999999999998E-2</c:v>
                </c:pt>
                <c:pt idx="247">
                  <c:v>2.2449E-2</c:v>
                </c:pt>
                <c:pt idx="248">
                  <c:v>2.2239999999999999E-2</c:v>
                </c:pt>
                <c:pt idx="249">
                  <c:v>1.9569E-2</c:v>
                </c:pt>
                <c:pt idx="250">
                  <c:v>2.1988000000000001E-2</c:v>
                </c:pt>
                <c:pt idx="251">
                  <c:v>2.2789E-2</c:v>
                </c:pt>
                <c:pt idx="252">
                  <c:v>2.5645000000000001E-2</c:v>
                </c:pt>
                <c:pt idx="253">
                  <c:v>2.3761000000000001E-2</c:v>
                </c:pt>
                <c:pt idx="254">
                  <c:v>3.0675999999999998E-2</c:v>
                </c:pt>
                <c:pt idx="255">
                  <c:v>3.0436000000000001E-2</c:v>
                </c:pt>
                <c:pt idx="256">
                  <c:v>3.1652E-2</c:v>
                </c:pt>
                <c:pt idx="257">
                  <c:v>3.236E-2</c:v>
                </c:pt>
                <c:pt idx="258">
                  <c:v>3.4200000000000001E-2</c:v>
                </c:pt>
                <c:pt idx="259">
                  <c:v>3.3537999999999998E-2</c:v>
                </c:pt>
                <c:pt idx="260">
                  <c:v>3.4814999999999999E-2</c:v>
                </c:pt>
                <c:pt idx="261">
                  <c:v>3.9794000000000003E-2</c:v>
                </c:pt>
                <c:pt idx="262">
                  <c:v>3.8886999999999998E-2</c:v>
                </c:pt>
                <c:pt idx="263">
                  <c:v>4.2665000000000002E-2</c:v>
                </c:pt>
                <c:pt idx="264">
                  <c:v>4.4207999999999997E-2</c:v>
                </c:pt>
                <c:pt idx="265">
                  <c:v>4.6925000000000001E-2</c:v>
                </c:pt>
                <c:pt idx="266">
                  <c:v>4.4435000000000002E-2</c:v>
                </c:pt>
                <c:pt idx="267">
                  <c:v>4.0517999999999998E-2</c:v>
                </c:pt>
                <c:pt idx="268">
                  <c:v>3.8610999999999999E-2</c:v>
                </c:pt>
                <c:pt idx="269">
                  <c:v>4.2924999999999998E-2</c:v>
                </c:pt>
                <c:pt idx="270">
                  <c:v>3.7576999999999999E-2</c:v>
                </c:pt>
                <c:pt idx="271">
                  <c:v>3.9734999999999999E-2</c:v>
                </c:pt>
                <c:pt idx="272">
                  <c:v>3.9343999999999997E-2</c:v>
                </c:pt>
                <c:pt idx="273">
                  <c:v>3.1817999999999999E-2</c:v>
                </c:pt>
                <c:pt idx="274">
                  <c:v>3.2635999999999998E-2</c:v>
                </c:pt>
                <c:pt idx="275">
                  <c:v>3.39E-2</c:v>
                </c:pt>
                <c:pt idx="276">
                  <c:v>3.2733999999999999E-2</c:v>
                </c:pt>
                <c:pt idx="277">
                  <c:v>2.8492E-2</c:v>
                </c:pt>
                <c:pt idx="278">
                  <c:v>2.8656999999999998E-2</c:v>
                </c:pt>
                <c:pt idx="279">
                  <c:v>3.0200000000000001E-2</c:v>
                </c:pt>
                <c:pt idx="280">
                  <c:v>3.1455999999999998E-2</c:v>
                </c:pt>
                <c:pt idx="281">
                  <c:v>3.3994000000000003E-2</c:v>
                </c:pt>
                <c:pt idx="282">
                  <c:v>3.5357E-2</c:v>
                </c:pt>
                <c:pt idx="283">
                  <c:v>3.5000999999999997E-2</c:v>
                </c:pt>
                <c:pt idx="284">
                  <c:v>3.7796000000000003E-2</c:v>
                </c:pt>
                <c:pt idx="285">
                  <c:v>4.3643000000000001E-2</c:v>
                </c:pt>
                <c:pt idx="286">
                  <c:v>4.1360000000000001E-2</c:v>
                </c:pt>
                <c:pt idx="287">
                  <c:v>4.4257999999999999E-2</c:v>
                </c:pt>
                <c:pt idx="288">
                  <c:v>4.4158999999999997E-2</c:v>
                </c:pt>
                <c:pt idx="289">
                  <c:v>4.0740999999999999E-2</c:v>
                </c:pt>
                <c:pt idx="290">
                  <c:v>4.1688999999999997E-2</c:v>
                </c:pt>
                <c:pt idx="291">
                  <c:v>4.3970000000000002E-2</c:v>
                </c:pt>
                <c:pt idx="292">
                  <c:v>4.4266E-2</c:v>
                </c:pt>
                <c:pt idx="293">
                  <c:v>4.9037999999999998E-2</c:v>
                </c:pt>
                <c:pt idx="294">
                  <c:v>4.3131999999999997E-2</c:v>
                </c:pt>
                <c:pt idx="295">
                  <c:v>4.0060999999999999E-2</c:v>
                </c:pt>
                <c:pt idx="296">
                  <c:v>4.6919000000000002E-2</c:v>
                </c:pt>
                <c:pt idx="297">
                  <c:v>5.0852000000000001E-2</c:v>
                </c:pt>
                <c:pt idx="298">
                  <c:v>5.2164000000000002E-2</c:v>
                </c:pt>
                <c:pt idx="299">
                  <c:v>4.3326999999999997E-2</c:v>
                </c:pt>
                <c:pt idx="300">
                  <c:v>3.9682000000000002E-2</c:v>
                </c:pt>
                <c:pt idx="301">
                  <c:v>4.1741E-2</c:v>
                </c:pt>
                <c:pt idx="302">
                  <c:v>3.9113000000000002E-2</c:v>
                </c:pt>
                <c:pt idx="303">
                  <c:v>4.2237999999999998E-2</c:v>
                </c:pt>
                <c:pt idx="304">
                  <c:v>3.9560999999999999E-2</c:v>
                </c:pt>
                <c:pt idx="305">
                  <c:v>3.6566000000000001E-2</c:v>
                </c:pt>
                <c:pt idx="306">
                  <c:v>3.5029999999999999E-2</c:v>
                </c:pt>
                <c:pt idx="307">
                  <c:v>3.4995999999999999E-2</c:v>
                </c:pt>
                <c:pt idx="308">
                  <c:v>3.3755E-2</c:v>
                </c:pt>
                <c:pt idx="309">
                  <c:v>3.5839999999999997E-2</c:v>
                </c:pt>
                <c:pt idx="310">
                  <c:v>3.5437000000000003E-2</c:v>
                </c:pt>
                <c:pt idx="311">
                  <c:v>3.7184000000000002E-2</c:v>
                </c:pt>
                <c:pt idx="312">
                  <c:v>3.8455999999999997E-2</c:v>
                </c:pt>
                <c:pt idx="313">
                  <c:v>3.7199999999999997E-2</c:v>
                </c:pt>
                <c:pt idx="314">
                  <c:v>3.5985999999999997E-2</c:v>
                </c:pt>
                <c:pt idx="315">
                  <c:v>3.6551E-2</c:v>
                </c:pt>
                <c:pt idx="316">
                  <c:v>3.5289000000000001E-2</c:v>
                </c:pt>
                <c:pt idx="317">
                  <c:v>3.6109000000000002E-2</c:v>
                </c:pt>
                <c:pt idx="318">
                  <c:v>3.551E-2</c:v>
                </c:pt>
                <c:pt idx="319">
                  <c:v>3.1841000000000001E-2</c:v>
                </c:pt>
                <c:pt idx="320">
                  <c:v>3.2981000000000003E-2</c:v>
                </c:pt>
                <c:pt idx="321">
                  <c:v>3.2642999999999998E-2</c:v>
                </c:pt>
                <c:pt idx="322">
                  <c:v>3.022E-2</c:v>
                </c:pt>
                <c:pt idx="323">
                  <c:v>3.2737000000000002E-2</c:v>
                </c:pt>
                <c:pt idx="324">
                  <c:v>3.4331E-2</c:v>
                </c:pt>
                <c:pt idx="325">
                  <c:v>3.49E-2</c:v>
                </c:pt>
                <c:pt idx="326">
                  <c:v>3.3172E-2</c:v>
                </c:pt>
                <c:pt idx="327">
                  <c:v>3.3984E-2</c:v>
                </c:pt>
                <c:pt idx="328">
                  <c:v>2.9943999999999998E-2</c:v>
                </c:pt>
                <c:pt idx="329">
                  <c:v>3.0207999999999999E-2</c:v>
                </c:pt>
                <c:pt idx="330">
                  <c:v>3.1664999999999999E-2</c:v>
                </c:pt>
                <c:pt idx="331">
                  <c:v>3.0207000000000001E-2</c:v>
                </c:pt>
                <c:pt idx="332">
                  <c:v>2.8989000000000001E-2</c:v>
                </c:pt>
                <c:pt idx="333">
                  <c:v>2.6863999999999999E-2</c:v>
                </c:pt>
                <c:pt idx="334">
                  <c:v>2.928E-2</c:v>
                </c:pt>
                <c:pt idx="335">
                  <c:v>2.9995999999999998E-2</c:v>
                </c:pt>
                <c:pt idx="336">
                  <c:v>3.1150000000000001E-2</c:v>
                </c:pt>
                <c:pt idx="337">
                  <c:v>3.5212E-2</c:v>
                </c:pt>
                <c:pt idx="338">
                  <c:v>2.6342999999999998E-2</c:v>
                </c:pt>
                <c:pt idx="339">
                  <c:v>3.1206999999999999E-2</c:v>
                </c:pt>
                <c:pt idx="340">
                  <c:v>3.4645000000000002E-2</c:v>
                </c:pt>
                <c:pt idx="341">
                  <c:v>3.3189000000000003E-2</c:v>
                </c:pt>
                <c:pt idx="342">
                  <c:v>3.5043999999999999E-2</c:v>
                </c:pt>
                <c:pt idx="343">
                  <c:v>3.5776000000000002E-2</c:v>
                </c:pt>
                <c:pt idx="344">
                  <c:v>3.4192E-2</c:v>
                </c:pt>
                <c:pt idx="345">
                  <c:v>3.4062000000000002E-2</c:v>
                </c:pt>
                <c:pt idx="346">
                  <c:v>3.5451000000000003E-2</c:v>
                </c:pt>
                <c:pt idx="347">
                  <c:v>3.7465999999999999E-2</c:v>
                </c:pt>
                <c:pt idx="348">
                  <c:v>4.3321999999999999E-2</c:v>
                </c:pt>
                <c:pt idx="349">
                  <c:v>3.7899000000000002E-2</c:v>
                </c:pt>
                <c:pt idx="350">
                  <c:v>3.6650000000000002E-2</c:v>
                </c:pt>
                <c:pt idx="351">
                  <c:v>3.6155E-2</c:v>
                </c:pt>
                <c:pt idx="352">
                  <c:v>3.8835000000000001E-2</c:v>
                </c:pt>
                <c:pt idx="353">
                  <c:v>3.8080000000000003E-2</c:v>
                </c:pt>
                <c:pt idx="354">
                  <c:v>3.7168E-2</c:v>
                </c:pt>
                <c:pt idx="355">
                  <c:v>3.9757000000000001E-2</c:v>
                </c:pt>
                <c:pt idx="356">
                  <c:v>4.3699000000000002E-2</c:v>
                </c:pt>
                <c:pt idx="357">
                  <c:v>4.2803000000000001E-2</c:v>
                </c:pt>
                <c:pt idx="358">
                  <c:v>4.7329999999999997E-2</c:v>
                </c:pt>
                <c:pt idx="359">
                  <c:v>3.7171000000000003E-2</c:v>
                </c:pt>
                <c:pt idx="360">
                  <c:v>3.9019999999999999E-2</c:v>
                </c:pt>
                <c:pt idx="361">
                  <c:v>2.8080999999999998E-2</c:v>
                </c:pt>
                <c:pt idx="362">
                  <c:v>2.7904999999999999E-2</c:v>
                </c:pt>
                <c:pt idx="363">
                  <c:v>2.4228E-2</c:v>
                </c:pt>
                <c:pt idx="364">
                  <c:v>1.8814000000000001E-2</c:v>
                </c:pt>
                <c:pt idx="365">
                  <c:v>1.6525000000000001E-2</c:v>
                </c:pt>
                <c:pt idx="366">
                  <c:v>1.7835E-2</c:v>
                </c:pt>
                <c:pt idx="367">
                  <c:v>1.8471000000000001E-2</c:v>
                </c:pt>
                <c:pt idx="368">
                  <c:v>1.7822999999999999E-2</c:v>
                </c:pt>
                <c:pt idx="369">
                  <c:v>1.7599E-2</c:v>
                </c:pt>
                <c:pt idx="370">
                  <c:v>1.6181000000000001E-2</c:v>
                </c:pt>
                <c:pt idx="371">
                  <c:v>1.5282E-2</c:v>
                </c:pt>
                <c:pt idx="372">
                  <c:v>1.7732999999999999E-2</c:v>
                </c:pt>
                <c:pt idx="373">
                  <c:v>1.7329000000000001E-2</c:v>
                </c:pt>
                <c:pt idx="374">
                  <c:v>1.8613000000000001E-2</c:v>
                </c:pt>
                <c:pt idx="375">
                  <c:v>1.6822E-2</c:v>
                </c:pt>
                <c:pt idx="376">
                  <c:v>1.5608E-2</c:v>
                </c:pt>
                <c:pt idx="377">
                  <c:v>1.409E-2</c:v>
                </c:pt>
                <c:pt idx="378">
                  <c:v>1.3377E-2</c:v>
                </c:pt>
                <c:pt idx="379">
                  <c:v>1.252E-2</c:v>
                </c:pt>
                <c:pt idx="380">
                  <c:v>1.1613E-2</c:v>
                </c:pt>
                <c:pt idx="381">
                  <c:v>1.0031999999999999E-2</c:v>
                </c:pt>
                <c:pt idx="382">
                  <c:v>1.074E-2</c:v>
                </c:pt>
                <c:pt idx="383">
                  <c:v>1.1377999999999999E-2</c:v>
                </c:pt>
                <c:pt idx="384">
                  <c:v>1.1435000000000001E-2</c:v>
                </c:pt>
                <c:pt idx="385">
                  <c:v>1.2292000000000001E-2</c:v>
                </c:pt>
                <c:pt idx="386">
                  <c:v>1.4200000000000001E-2</c:v>
                </c:pt>
                <c:pt idx="387">
                  <c:v>1.2142E-2</c:v>
                </c:pt>
                <c:pt idx="388">
                  <c:v>9.1839999999999995E-3</c:v>
                </c:pt>
                <c:pt idx="389">
                  <c:v>8.2740000000000001E-3</c:v>
                </c:pt>
                <c:pt idx="390">
                  <c:v>5.5180000000000003E-3</c:v>
                </c:pt>
                <c:pt idx="391">
                  <c:v>7.326E-3</c:v>
                </c:pt>
                <c:pt idx="392">
                  <c:v>4.9639999999999997E-3</c:v>
                </c:pt>
                <c:pt idx="393">
                  <c:v>4.8320000000000004E-3</c:v>
                </c:pt>
                <c:pt idx="394">
                  <c:v>4.5059999999999996E-3</c:v>
                </c:pt>
                <c:pt idx="395">
                  <c:v>3.9139999999999999E-3</c:v>
                </c:pt>
                <c:pt idx="396">
                  <c:v>3.6410000000000001E-3</c:v>
                </c:pt>
                <c:pt idx="397">
                  <c:v>3.8470000000000002E-3</c:v>
                </c:pt>
                <c:pt idx="398">
                  <c:v>3.6110000000000001E-3</c:v>
                </c:pt>
                <c:pt idx="399">
                  <c:v>3.6709999999999998E-3</c:v>
                </c:pt>
                <c:pt idx="400">
                  <c:v>3.4350000000000001E-3</c:v>
                </c:pt>
                <c:pt idx="401">
                  <c:v>4.0850000000000001E-3</c:v>
                </c:pt>
                <c:pt idx="402">
                  <c:v>4.0410000000000003E-3</c:v>
                </c:pt>
                <c:pt idx="403">
                  <c:v>4.2919999999999998E-3</c:v>
                </c:pt>
                <c:pt idx="404">
                  <c:v>4.0959999999999998E-3</c:v>
                </c:pt>
                <c:pt idx="405">
                  <c:v>4.1060000000000003E-3</c:v>
                </c:pt>
                <c:pt idx="406">
                  <c:v>4.1339999999999997E-3</c:v>
                </c:pt>
                <c:pt idx="407">
                  <c:v>4.3309999999999998E-3</c:v>
                </c:pt>
                <c:pt idx="408">
                  <c:v>4.2199999999999998E-3</c:v>
                </c:pt>
                <c:pt idx="409">
                  <c:v>4.1970000000000002E-3</c:v>
                </c:pt>
                <c:pt idx="410">
                  <c:v>4.1590000000000004E-3</c:v>
                </c:pt>
                <c:pt idx="411">
                  <c:v>4.0350000000000004E-3</c:v>
                </c:pt>
                <c:pt idx="412">
                  <c:v>3.9370000000000004E-3</c:v>
                </c:pt>
                <c:pt idx="413">
                  <c:v>3.9399999999999999E-3</c:v>
                </c:pt>
                <c:pt idx="414">
                  <c:v>3.885E-3</c:v>
                </c:pt>
                <c:pt idx="415">
                  <c:v>3.823E-3</c:v>
                </c:pt>
                <c:pt idx="416">
                  <c:v>4.0369999999999998E-3</c:v>
                </c:pt>
                <c:pt idx="417">
                  <c:v>4.091E-3</c:v>
                </c:pt>
                <c:pt idx="418">
                  <c:v>4.1159999999999999E-3</c:v>
                </c:pt>
                <c:pt idx="419">
                  <c:v>3.8349999999999999E-3</c:v>
                </c:pt>
                <c:pt idx="420">
                  <c:v>4.1710000000000002E-3</c:v>
                </c:pt>
                <c:pt idx="421">
                  <c:v>4.1310000000000001E-3</c:v>
                </c:pt>
                <c:pt idx="422">
                  <c:v>4.0289999999999996E-3</c:v>
                </c:pt>
                <c:pt idx="423">
                  <c:v>4.1999999999999997E-3</c:v>
                </c:pt>
                <c:pt idx="424">
                  <c:v>4.0540000000000003E-3</c:v>
                </c:pt>
                <c:pt idx="425">
                  <c:v>4.0109999999999998E-3</c:v>
                </c:pt>
                <c:pt idx="426">
                  <c:v>3.875E-3</c:v>
                </c:pt>
                <c:pt idx="427">
                  <c:v>3.9439999999999996E-3</c:v>
                </c:pt>
                <c:pt idx="428">
                  <c:v>4.385E-3</c:v>
                </c:pt>
                <c:pt idx="429">
                  <c:v>4.47E-3</c:v>
                </c:pt>
                <c:pt idx="430">
                  <c:v>4.084E-3</c:v>
                </c:pt>
                <c:pt idx="431">
                  <c:v>4.0959999999999998E-3</c:v>
                </c:pt>
                <c:pt idx="432">
                  <c:v>4.1019999999999997E-3</c:v>
                </c:pt>
                <c:pt idx="433">
                  <c:v>4.0049999999999999E-3</c:v>
                </c:pt>
                <c:pt idx="434">
                  <c:v>3.9129999999999998E-3</c:v>
                </c:pt>
                <c:pt idx="435">
                  <c:v>3.8159999999999999E-3</c:v>
                </c:pt>
                <c:pt idx="436">
                  <c:v>3.888E-3</c:v>
                </c:pt>
                <c:pt idx="437">
                  <c:v>3.7460000000000002E-3</c:v>
                </c:pt>
                <c:pt idx="438">
                  <c:v>3.6410000000000001E-3</c:v>
                </c:pt>
                <c:pt idx="439">
                  <c:v>3.5339999999999998E-3</c:v>
                </c:pt>
                <c:pt idx="440">
                  <c:v>3.8019999999999998E-3</c:v>
                </c:pt>
                <c:pt idx="441">
                  <c:v>3.5860000000000002E-3</c:v>
                </c:pt>
                <c:pt idx="442">
                  <c:v>3.8600000000000001E-3</c:v>
                </c:pt>
                <c:pt idx="443">
                  <c:v>4.2339999999999999E-3</c:v>
                </c:pt>
                <c:pt idx="444">
                  <c:v>3.9029999999999998E-3</c:v>
                </c:pt>
                <c:pt idx="445">
                  <c:v>3.7789999999999998E-3</c:v>
                </c:pt>
                <c:pt idx="446">
                  <c:v>3.6259999999999999E-3</c:v>
                </c:pt>
                <c:pt idx="447">
                  <c:v>4.1250000000000002E-3</c:v>
                </c:pt>
                <c:pt idx="448">
                  <c:v>3.5079999999999998E-3</c:v>
                </c:pt>
                <c:pt idx="449">
                  <c:v>3.173E-3</c:v>
                </c:pt>
                <c:pt idx="450">
                  <c:v>3.287E-3</c:v>
                </c:pt>
                <c:pt idx="451">
                  <c:v>3.3170000000000001E-3</c:v>
                </c:pt>
                <c:pt idx="452">
                  <c:v>3.209E-3</c:v>
                </c:pt>
                <c:pt idx="453">
                  <c:v>3.1879999999999999E-3</c:v>
                </c:pt>
                <c:pt idx="454">
                  <c:v>3.1459999999999999E-3</c:v>
                </c:pt>
                <c:pt idx="455">
                  <c:v>3.2889999999999998E-3</c:v>
                </c:pt>
                <c:pt idx="456">
                  <c:v>3.3340000000000002E-3</c:v>
                </c:pt>
                <c:pt idx="457">
                  <c:v>3.617E-3</c:v>
                </c:pt>
                <c:pt idx="458">
                  <c:v>3.496E-3</c:v>
                </c:pt>
                <c:pt idx="459">
                  <c:v>3.6180000000000001E-3</c:v>
                </c:pt>
                <c:pt idx="460">
                  <c:v>3.7260000000000001E-3</c:v>
                </c:pt>
                <c:pt idx="461">
                  <c:v>3.5200000000000001E-3</c:v>
                </c:pt>
                <c:pt idx="462">
                  <c:v>3.6129999999999999E-3</c:v>
                </c:pt>
                <c:pt idx="463">
                  <c:v>3.4940000000000001E-3</c:v>
                </c:pt>
                <c:pt idx="464">
                  <c:v>2.9750000000000002E-3</c:v>
                </c:pt>
                <c:pt idx="465">
                  <c:v>3.0890000000000002E-3</c:v>
                </c:pt>
                <c:pt idx="466">
                  <c:v>3.15E-3</c:v>
                </c:pt>
                <c:pt idx="467">
                  <c:v>3.0799999999999998E-3</c:v>
                </c:pt>
                <c:pt idx="468">
                  <c:v>3.0560000000000001E-3</c:v>
                </c:pt>
                <c:pt idx="469">
                  <c:v>3.333E-3</c:v>
                </c:pt>
                <c:pt idx="470">
                  <c:v>3.2550000000000001E-3</c:v>
                </c:pt>
                <c:pt idx="471">
                  <c:v>3.2550000000000001E-3</c:v>
                </c:pt>
                <c:pt idx="472">
                  <c:v>3.2560000000000002E-3</c:v>
                </c:pt>
                <c:pt idx="473">
                  <c:v>3.2169999999999998E-3</c:v>
                </c:pt>
                <c:pt idx="474">
                  <c:v>3.2039999999999998E-3</c:v>
                </c:pt>
                <c:pt idx="475">
                  <c:v>3.173E-3</c:v>
                </c:pt>
                <c:pt idx="476">
                  <c:v>2.8549999999999999E-3</c:v>
                </c:pt>
                <c:pt idx="477">
                  <c:v>2.8110000000000001E-3</c:v>
                </c:pt>
                <c:pt idx="478">
                  <c:v>2.7200000000000002E-3</c:v>
                </c:pt>
                <c:pt idx="479">
                  <c:v>2.9399999999999999E-3</c:v>
                </c:pt>
                <c:pt idx="480">
                  <c:v>2.954E-3</c:v>
                </c:pt>
                <c:pt idx="481">
                  <c:v>2.941E-3</c:v>
                </c:pt>
                <c:pt idx="482">
                  <c:v>2.908E-3</c:v>
                </c:pt>
                <c:pt idx="483">
                  <c:v>3.0219999999999999E-3</c:v>
                </c:pt>
                <c:pt idx="484">
                  <c:v>3.0599999999999998E-3</c:v>
                </c:pt>
                <c:pt idx="485">
                  <c:v>3.0639999999999999E-3</c:v>
                </c:pt>
                <c:pt idx="486">
                  <c:v>3.042E-3</c:v>
                </c:pt>
                <c:pt idx="487">
                  <c:v>3.1380000000000002E-3</c:v>
                </c:pt>
                <c:pt idx="488">
                  <c:v>3.2950000000000002E-3</c:v>
                </c:pt>
                <c:pt idx="489">
                  <c:v>3.2469999999999999E-3</c:v>
                </c:pt>
                <c:pt idx="490">
                  <c:v>3.2450000000000001E-3</c:v>
                </c:pt>
                <c:pt idx="491">
                  <c:v>2.8709999999999999E-3</c:v>
                </c:pt>
                <c:pt idx="492">
                  <c:v>3.1380000000000002E-3</c:v>
                </c:pt>
                <c:pt idx="493">
                  <c:v>3.2620000000000001E-3</c:v>
                </c:pt>
                <c:pt idx="494">
                  <c:v>3.3430000000000001E-3</c:v>
                </c:pt>
                <c:pt idx="495">
                  <c:v>3.3839999999999999E-3</c:v>
                </c:pt>
                <c:pt idx="496">
                  <c:v>3.336E-3</c:v>
                </c:pt>
                <c:pt idx="497">
                  <c:v>3.4290000000000002E-3</c:v>
                </c:pt>
                <c:pt idx="498">
                  <c:v>3.418E-3</c:v>
                </c:pt>
                <c:pt idx="499">
                  <c:v>3.5230000000000001E-3</c:v>
                </c:pt>
                <c:pt idx="500">
                  <c:v>3.6549999999999998E-3</c:v>
                </c:pt>
                <c:pt idx="501">
                  <c:v>3.6410000000000001E-3</c:v>
                </c:pt>
                <c:pt idx="502">
                  <c:v>3.8990000000000001E-3</c:v>
                </c:pt>
                <c:pt idx="503">
                  <c:v>3.7910000000000001E-3</c:v>
                </c:pt>
                <c:pt idx="504">
                  <c:v>3.6440000000000001E-3</c:v>
                </c:pt>
                <c:pt idx="505">
                  <c:v>3.692E-3</c:v>
                </c:pt>
                <c:pt idx="506">
                  <c:v>3.4910000000000002E-3</c:v>
                </c:pt>
                <c:pt idx="507">
                  <c:v>3.6619999999999999E-3</c:v>
                </c:pt>
                <c:pt idx="508">
                  <c:v>3.6510000000000002E-3</c:v>
                </c:pt>
                <c:pt idx="509">
                  <c:v>3.405E-3</c:v>
                </c:pt>
                <c:pt idx="510">
                  <c:v>3.8939999999999999E-3</c:v>
                </c:pt>
                <c:pt idx="511">
                  <c:v>3.8890000000000001E-3</c:v>
                </c:pt>
                <c:pt idx="512">
                  <c:v>4.62E-3</c:v>
                </c:pt>
                <c:pt idx="513">
                  <c:v>5.0330000000000001E-3</c:v>
                </c:pt>
                <c:pt idx="514">
                  <c:v>5.0000000000000001E-3</c:v>
                </c:pt>
                <c:pt idx="515">
                  <c:v>4.7569999999999999E-3</c:v>
                </c:pt>
                <c:pt idx="516">
                  <c:v>4.8199999999999996E-3</c:v>
                </c:pt>
                <c:pt idx="517">
                  <c:v>4.79E-3</c:v>
                </c:pt>
                <c:pt idx="518">
                  <c:v>4.6210000000000001E-3</c:v>
                </c:pt>
                <c:pt idx="519">
                  <c:v>4.8929999999999998E-3</c:v>
                </c:pt>
                <c:pt idx="520">
                  <c:v>4.7190000000000001E-3</c:v>
                </c:pt>
                <c:pt idx="521">
                  <c:v>5.006E-3</c:v>
                </c:pt>
                <c:pt idx="522">
                  <c:v>4.8729999999999997E-3</c:v>
                </c:pt>
                <c:pt idx="523">
                  <c:v>4.7650000000000001E-3</c:v>
                </c:pt>
                <c:pt idx="524">
                  <c:v>4.8310000000000002E-3</c:v>
                </c:pt>
                <c:pt idx="525">
                  <c:v>5.2839999999999996E-3</c:v>
                </c:pt>
                <c:pt idx="526">
                  <c:v>5.241E-3</c:v>
                </c:pt>
                <c:pt idx="527">
                  <c:v>5.6259999999999999E-3</c:v>
                </c:pt>
                <c:pt idx="528">
                  <c:v>5.6119999999999998E-3</c:v>
                </c:pt>
                <c:pt idx="529">
                  <c:v>5.202E-3</c:v>
                </c:pt>
                <c:pt idx="530">
                  <c:v>5.306E-3</c:v>
                </c:pt>
                <c:pt idx="531">
                  <c:v>5.1359999999999999E-3</c:v>
                </c:pt>
                <c:pt idx="532">
                  <c:v>5.1330000000000004E-3</c:v>
                </c:pt>
                <c:pt idx="533">
                  <c:v>5.2290000000000001E-3</c:v>
                </c:pt>
                <c:pt idx="534">
                  <c:v>4.9170000000000004E-3</c:v>
                </c:pt>
                <c:pt idx="535">
                  <c:v>4.8469999999999997E-3</c:v>
                </c:pt>
                <c:pt idx="536">
                  <c:v>4.5100000000000001E-3</c:v>
                </c:pt>
                <c:pt idx="537">
                  <c:v>4.5750000000000001E-3</c:v>
                </c:pt>
                <c:pt idx="538">
                  <c:v>4.5129999999999997E-3</c:v>
                </c:pt>
                <c:pt idx="539">
                  <c:v>4.7429999999999998E-3</c:v>
                </c:pt>
                <c:pt idx="540">
                  <c:v>4.4879999999999998E-3</c:v>
                </c:pt>
                <c:pt idx="541">
                  <c:v>4.5589999999999997E-3</c:v>
                </c:pt>
                <c:pt idx="542">
                  <c:v>4.4089999999999997E-3</c:v>
                </c:pt>
                <c:pt idx="543">
                  <c:v>4.1050000000000001E-3</c:v>
                </c:pt>
                <c:pt idx="544">
                  <c:v>4.5700000000000003E-3</c:v>
                </c:pt>
                <c:pt idx="545">
                  <c:v>4.5370000000000002E-3</c:v>
                </c:pt>
                <c:pt idx="546">
                  <c:v>4.8640000000000003E-3</c:v>
                </c:pt>
                <c:pt idx="547">
                  <c:v>4.8650000000000004E-3</c:v>
                </c:pt>
                <c:pt idx="548">
                  <c:v>4.7889999999999999E-3</c:v>
                </c:pt>
                <c:pt idx="549">
                  <c:v>4.6610000000000002E-3</c:v>
                </c:pt>
                <c:pt idx="550">
                  <c:v>4.5770000000000003E-3</c:v>
                </c:pt>
                <c:pt idx="551">
                  <c:v>4.5560000000000002E-3</c:v>
                </c:pt>
                <c:pt idx="552">
                  <c:v>4.7840000000000001E-3</c:v>
                </c:pt>
                <c:pt idx="553">
                  <c:v>5.1000000000000004E-3</c:v>
                </c:pt>
                <c:pt idx="554">
                  <c:v>4.13E-3</c:v>
                </c:pt>
                <c:pt idx="555">
                  <c:v>4.0390000000000001E-3</c:v>
                </c:pt>
                <c:pt idx="556">
                  <c:v>3.8570000000000002E-3</c:v>
                </c:pt>
                <c:pt idx="557">
                  <c:v>3.545E-3</c:v>
                </c:pt>
                <c:pt idx="558">
                  <c:v>3.5820000000000001E-3</c:v>
                </c:pt>
                <c:pt idx="559">
                  <c:v>3.588E-3</c:v>
                </c:pt>
                <c:pt idx="560">
                  <c:v>3.5660000000000002E-3</c:v>
                </c:pt>
                <c:pt idx="561">
                  <c:v>3.7079999999999999E-3</c:v>
                </c:pt>
                <c:pt idx="562">
                  <c:v>3.8070000000000001E-3</c:v>
                </c:pt>
                <c:pt idx="563">
                  <c:v>3.7989999999999999E-3</c:v>
                </c:pt>
                <c:pt idx="564">
                  <c:v>3.9680000000000002E-3</c:v>
                </c:pt>
                <c:pt idx="565">
                  <c:v>3.986E-3</c:v>
                </c:pt>
                <c:pt idx="566">
                  <c:v>4.078E-3</c:v>
                </c:pt>
                <c:pt idx="567">
                  <c:v>3.8609999999999998E-3</c:v>
                </c:pt>
                <c:pt idx="568">
                  <c:v>3.9249999999999997E-3</c:v>
                </c:pt>
                <c:pt idx="569">
                  <c:v>3.986E-3</c:v>
                </c:pt>
                <c:pt idx="570">
                  <c:v>3.7919999999999998E-3</c:v>
                </c:pt>
                <c:pt idx="571">
                  <c:v>3.7499999999999999E-3</c:v>
                </c:pt>
                <c:pt idx="572">
                  <c:v>3.6589999999999999E-3</c:v>
                </c:pt>
                <c:pt idx="573">
                  <c:v>3.4880000000000002E-3</c:v>
                </c:pt>
                <c:pt idx="574">
                  <c:v>3.3999999999999998E-3</c:v>
                </c:pt>
                <c:pt idx="575">
                  <c:v>3.4949999999999998E-3</c:v>
                </c:pt>
                <c:pt idx="576">
                  <c:v>3.5630000000000002E-3</c:v>
                </c:pt>
                <c:pt idx="577">
                  <c:v>3.8500000000000001E-3</c:v>
                </c:pt>
                <c:pt idx="578">
                  <c:v>3.869E-3</c:v>
                </c:pt>
                <c:pt idx="579">
                  <c:v>3.5130000000000001E-3</c:v>
                </c:pt>
                <c:pt idx="580">
                  <c:v>3.833E-3</c:v>
                </c:pt>
                <c:pt idx="581">
                  <c:v>3.8809999999999999E-3</c:v>
                </c:pt>
                <c:pt idx="582">
                  <c:v>3.6210000000000001E-3</c:v>
                </c:pt>
                <c:pt idx="583">
                  <c:v>3.797E-3</c:v>
                </c:pt>
                <c:pt idx="584">
                  <c:v>3.79E-3</c:v>
                </c:pt>
                <c:pt idx="585">
                  <c:v>3.8059999999999999E-3</c:v>
                </c:pt>
                <c:pt idx="586">
                  <c:v>3.8470000000000002E-3</c:v>
                </c:pt>
                <c:pt idx="587">
                  <c:v>3.5260000000000001E-3</c:v>
                </c:pt>
                <c:pt idx="588">
                  <c:v>3.692E-3</c:v>
                </c:pt>
                <c:pt idx="589">
                  <c:v>3.699E-3</c:v>
                </c:pt>
                <c:pt idx="590">
                  <c:v>3.7529999999999998E-3</c:v>
                </c:pt>
                <c:pt idx="591">
                  <c:v>3.6110000000000001E-3</c:v>
                </c:pt>
                <c:pt idx="592">
                  <c:v>3.6310000000000001E-3</c:v>
                </c:pt>
                <c:pt idx="593">
                  <c:v>3.8500000000000001E-3</c:v>
                </c:pt>
                <c:pt idx="594">
                  <c:v>3.9249999999999997E-3</c:v>
                </c:pt>
                <c:pt idx="595">
                  <c:v>3.4979999999999998E-3</c:v>
                </c:pt>
                <c:pt idx="596">
                  <c:v>3.9439999999999996E-3</c:v>
                </c:pt>
                <c:pt idx="597">
                  <c:v>3.5279999999999999E-3</c:v>
                </c:pt>
                <c:pt idx="598">
                  <c:v>3.3080000000000002E-3</c:v>
                </c:pt>
                <c:pt idx="599">
                  <c:v>3.2169999999999998E-3</c:v>
                </c:pt>
                <c:pt idx="600">
                  <c:v>3.3080000000000002E-3</c:v>
                </c:pt>
                <c:pt idx="601">
                  <c:v>3.176E-3</c:v>
                </c:pt>
                <c:pt idx="602">
                  <c:v>3.2789999999999998E-3</c:v>
                </c:pt>
                <c:pt idx="603">
                  <c:v>3.382E-3</c:v>
                </c:pt>
                <c:pt idx="604">
                  <c:v>3.16E-3</c:v>
                </c:pt>
                <c:pt idx="605">
                  <c:v>3.3930000000000002E-3</c:v>
                </c:pt>
                <c:pt idx="606">
                  <c:v>3.0439999999999998E-3</c:v>
                </c:pt>
                <c:pt idx="607">
                  <c:v>3.359E-3</c:v>
                </c:pt>
                <c:pt idx="608">
                  <c:v>3.238E-3</c:v>
                </c:pt>
                <c:pt idx="609">
                  <c:v>3.261E-3</c:v>
                </c:pt>
                <c:pt idx="610">
                  <c:v>3.4510000000000001E-3</c:v>
                </c:pt>
                <c:pt idx="611">
                  <c:v>3.009E-3</c:v>
                </c:pt>
                <c:pt idx="612">
                  <c:v>3.222E-3</c:v>
                </c:pt>
                <c:pt idx="613">
                  <c:v>3.0599999999999998E-3</c:v>
                </c:pt>
                <c:pt idx="614">
                  <c:v>2.911E-3</c:v>
                </c:pt>
                <c:pt idx="615">
                  <c:v>2.7729999999999999E-3</c:v>
                </c:pt>
                <c:pt idx="616">
                  <c:v>2.9030000000000002E-3</c:v>
                </c:pt>
                <c:pt idx="617">
                  <c:v>2.5579999999999999E-3</c:v>
                </c:pt>
                <c:pt idx="618">
                  <c:v>2.65E-3</c:v>
                </c:pt>
                <c:pt idx="619">
                  <c:v>2.5349999999999999E-3</c:v>
                </c:pt>
                <c:pt idx="620">
                  <c:v>2.5820000000000001E-3</c:v>
                </c:pt>
                <c:pt idx="621">
                  <c:v>2.6280000000000001E-3</c:v>
                </c:pt>
                <c:pt idx="622">
                  <c:v>2.6120000000000002E-3</c:v>
                </c:pt>
                <c:pt idx="623">
                  <c:v>2.826E-3</c:v>
                </c:pt>
                <c:pt idx="624">
                  <c:v>2.4659999999999999E-3</c:v>
                </c:pt>
                <c:pt idx="625">
                  <c:v>2.4139999999999999E-3</c:v>
                </c:pt>
                <c:pt idx="626">
                  <c:v>2.3500000000000001E-3</c:v>
                </c:pt>
                <c:pt idx="627">
                  <c:v>2.153E-3</c:v>
                </c:pt>
                <c:pt idx="628">
                  <c:v>2.447E-3</c:v>
                </c:pt>
                <c:pt idx="629">
                  <c:v>2.3340000000000001E-3</c:v>
                </c:pt>
                <c:pt idx="630">
                  <c:v>2.1649999999999998E-3</c:v>
                </c:pt>
                <c:pt idx="631">
                  <c:v>2.1280000000000001E-3</c:v>
                </c:pt>
                <c:pt idx="632">
                  <c:v>2.1350000000000002E-3</c:v>
                </c:pt>
                <c:pt idx="633">
                  <c:v>2.0530000000000001E-3</c:v>
                </c:pt>
                <c:pt idx="634">
                  <c:v>2.0969999999999999E-3</c:v>
                </c:pt>
                <c:pt idx="635">
                  <c:v>2.147E-3</c:v>
                </c:pt>
                <c:pt idx="636">
                  <c:v>2.0769999999999999E-3</c:v>
                </c:pt>
                <c:pt idx="637">
                  <c:v>1.9559999999999998E-3</c:v>
                </c:pt>
                <c:pt idx="638">
                  <c:v>2.0739999999999999E-3</c:v>
                </c:pt>
                <c:pt idx="639">
                  <c:v>1.936E-3</c:v>
                </c:pt>
                <c:pt idx="640">
                  <c:v>1.9400000000000001E-3</c:v>
                </c:pt>
                <c:pt idx="641">
                  <c:v>2E-3</c:v>
                </c:pt>
                <c:pt idx="642">
                  <c:v>1.9009999999999999E-3</c:v>
                </c:pt>
                <c:pt idx="643">
                  <c:v>1.89E-3</c:v>
                </c:pt>
                <c:pt idx="644">
                  <c:v>1.7520000000000001E-3</c:v>
                </c:pt>
                <c:pt idx="645">
                  <c:v>1.755E-3</c:v>
                </c:pt>
                <c:pt idx="646">
                  <c:v>1.75E-3</c:v>
                </c:pt>
                <c:pt idx="647">
                  <c:v>1.6639999999999999E-3</c:v>
                </c:pt>
                <c:pt idx="648">
                  <c:v>1.766E-3</c:v>
                </c:pt>
                <c:pt idx="649">
                  <c:v>1.825E-3</c:v>
                </c:pt>
                <c:pt idx="650">
                  <c:v>1.784E-3</c:v>
                </c:pt>
                <c:pt idx="651">
                  <c:v>1.794E-3</c:v>
                </c:pt>
                <c:pt idx="652">
                  <c:v>1.6119999999999999E-3</c:v>
                </c:pt>
                <c:pt idx="653">
                  <c:v>1.614E-3</c:v>
                </c:pt>
                <c:pt idx="654">
                  <c:v>1.619E-3</c:v>
                </c:pt>
                <c:pt idx="655">
                  <c:v>1.6750000000000001E-3</c:v>
                </c:pt>
                <c:pt idx="656">
                  <c:v>1.65E-3</c:v>
                </c:pt>
                <c:pt idx="657">
                  <c:v>1.6789999999999999E-3</c:v>
                </c:pt>
                <c:pt idx="658">
                  <c:v>1.817E-3</c:v>
                </c:pt>
                <c:pt idx="659">
                  <c:v>1.8469999999999999E-3</c:v>
                </c:pt>
                <c:pt idx="660">
                  <c:v>1.7769999999999999E-3</c:v>
                </c:pt>
                <c:pt idx="661">
                  <c:v>1.751E-3</c:v>
                </c:pt>
                <c:pt idx="662">
                  <c:v>1.6509999999999999E-3</c:v>
                </c:pt>
                <c:pt idx="663">
                  <c:v>1.7030000000000001E-3</c:v>
                </c:pt>
                <c:pt idx="664">
                  <c:v>1.676E-3</c:v>
                </c:pt>
                <c:pt idx="665">
                  <c:v>1.6720000000000001E-3</c:v>
                </c:pt>
                <c:pt idx="666">
                  <c:v>1.6900000000000001E-3</c:v>
                </c:pt>
                <c:pt idx="667">
                  <c:v>1.6659999999999999E-3</c:v>
                </c:pt>
                <c:pt idx="668">
                  <c:v>1.774E-3</c:v>
                </c:pt>
                <c:pt idx="669">
                  <c:v>1.771E-3</c:v>
                </c:pt>
                <c:pt idx="670">
                  <c:v>1.9449999999999999E-3</c:v>
                </c:pt>
                <c:pt idx="671">
                  <c:v>1.9449999999999999E-3</c:v>
                </c:pt>
                <c:pt idx="672">
                  <c:v>2.055E-3</c:v>
                </c:pt>
                <c:pt idx="673">
                  <c:v>2.0100000000000001E-3</c:v>
                </c:pt>
                <c:pt idx="674">
                  <c:v>2.0179999999999998E-3</c:v>
                </c:pt>
                <c:pt idx="675">
                  <c:v>1.967E-3</c:v>
                </c:pt>
                <c:pt idx="676">
                  <c:v>1.7600000000000001E-3</c:v>
                </c:pt>
                <c:pt idx="677">
                  <c:v>1.9E-3</c:v>
                </c:pt>
                <c:pt idx="678">
                  <c:v>1.944E-3</c:v>
                </c:pt>
                <c:pt idx="679">
                  <c:v>1.805E-3</c:v>
                </c:pt>
                <c:pt idx="680">
                  <c:v>1.449E-3</c:v>
                </c:pt>
                <c:pt idx="681">
                  <c:v>1.4159999999999999E-3</c:v>
                </c:pt>
                <c:pt idx="682">
                  <c:v>1.317E-3</c:v>
                </c:pt>
                <c:pt idx="683">
                  <c:v>1.518E-3</c:v>
                </c:pt>
                <c:pt idx="684">
                  <c:v>1.493E-3</c:v>
                </c:pt>
                <c:pt idx="685">
                  <c:v>1.645E-3</c:v>
                </c:pt>
                <c:pt idx="686">
                  <c:v>1.2639999999999999E-3</c:v>
                </c:pt>
                <c:pt idx="687">
                  <c:v>2.7000000000000001E-3</c:v>
                </c:pt>
                <c:pt idx="688">
                  <c:v>2.9269999999999999E-3</c:v>
                </c:pt>
                <c:pt idx="689">
                  <c:v>2.8310000000000002E-3</c:v>
                </c:pt>
                <c:pt idx="690">
                  <c:v>2.882E-3</c:v>
                </c:pt>
                <c:pt idx="691">
                  <c:v>3.421E-3</c:v>
                </c:pt>
                <c:pt idx="692">
                  <c:v>3.4069999999999999E-3</c:v>
                </c:pt>
                <c:pt idx="693">
                  <c:v>3.375E-3</c:v>
                </c:pt>
                <c:pt idx="694">
                  <c:v>3.0100000000000001E-3</c:v>
                </c:pt>
                <c:pt idx="695">
                  <c:v>3.0360000000000001E-3</c:v>
                </c:pt>
                <c:pt idx="696">
                  <c:v>3.1570000000000001E-3</c:v>
                </c:pt>
                <c:pt idx="697">
                  <c:v>2.8869999999999998E-3</c:v>
                </c:pt>
                <c:pt idx="698">
                  <c:v>3.0409999999999999E-3</c:v>
                </c:pt>
                <c:pt idx="699">
                  <c:v>3.0860000000000002E-3</c:v>
                </c:pt>
                <c:pt idx="700">
                  <c:v>3.055E-3</c:v>
                </c:pt>
                <c:pt idx="701">
                  <c:v>2.9169999999999999E-3</c:v>
                </c:pt>
                <c:pt idx="702">
                  <c:v>3.2919999999999998E-3</c:v>
                </c:pt>
                <c:pt idx="703">
                  <c:v>3.6480000000000002E-3</c:v>
                </c:pt>
                <c:pt idx="704">
                  <c:v>4.0210000000000003E-3</c:v>
                </c:pt>
                <c:pt idx="705">
                  <c:v>3.8479999999999999E-3</c:v>
                </c:pt>
                <c:pt idx="706">
                  <c:v>3.9379999999999997E-3</c:v>
                </c:pt>
                <c:pt idx="707">
                  <c:v>4.0000000000000001E-3</c:v>
                </c:pt>
                <c:pt idx="708">
                  <c:v>4.1060000000000003E-3</c:v>
                </c:pt>
                <c:pt idx="709">
                  <c:v>4.5669999999999999E-3</c:v>
                </c:pt>
                <c:pt idx="710">
                  <c:v>4.9399999999999999E-3</c:v>
                </c:pt>
                <c:pt idx="711">
                  <c:v>5.6839999999999998E-3</c:v>
                </c:pt>
                <c:pt idx="712">
                  <c:v>5.2030000000000002E-3</c:v>
                </c:pt>
                <c:pt idx="713">
                  <c:v>5.522E-3</c:v>
                </c:pt>
                <c:pt idx="714">
                  <c:v>4.6560000000000004E-3</c:v>
                </c:pt>
                <c:pt idx="715">
                  <c:v>4.4879999999999998E-3</c:v>
                </c:pt>
                <c:pt idx="716">
                  <c:v>4.4120000000000001E-3</c:v>
                </c:pt>
                <c:pt idx="717">
                  <c:v>4.2529999999999998E-3</c:v>
                </c:pt>
                <c:pt idx="718">
                  <c:v>3.8110000000000002E-3</c:v>
                </c:pt>
                <c:pt idx="719">
                  <c:v>3.9090000000000001E-3</c:v>
                </c:pt>
                <c:pt idx="720">
                  <c:v>3.7680000000000001E-3</c:v>
                </c:pt>
                <c:pt idx="721">
                  <c:v>3.4390000000000002E-3</c:v>
                </c:pt>
                <c:pt idx="722">
                  <c:v>3.15E-3</c:v>
                </c:pt>
                <c:pt idx="723">
                  <c:v>3.2450000000000001E-3</c:v>
                </c:pt>
                <c:pt idx="724">
                  <c:v>2.9220000000000001E-3</c:v>
                </c:pt>
                <c:pt idx="725">
                  <c:v>2.9160000000000002E-3</c:v>
                </c:pt>
                <c:pt idx="726">
                  <c:v>2.9190000000000002E-3</c:v>
                </c:pt>
                <c:pt idx="727">
                  <c:v>2.898E-3</c:v>
                </c:pt>
                <c:pt idx="728">
                  <c:v>2.8159999999999999E-3</c:v>
                </c:pt>
                <c:pt idx="729">
                  <c:v>2.833E-3</c:v>
                </c:pt>
                <c:pt idx="730">
                  <c:v>2.8860000000000001E-3</c:v>
                </c:pt>
                <c:pt idx="731">
                  <c:v>2.9580000000000001E-3</c:v>
                </c:pt>
                <c:pt idx="732">
                  <c:v>2.993E-3</c:v>
                </c:pt>
                <c:pt idx="733">
                  <c:v>2.9680000000000002E-3</c:v>
                </c:pt>
                <c:pt idx="734">
                  <c:v>2.823E-3</c:v>
                </c:pt>
                <c:pt idx="735">
                  <c:v>2.859E-3</c:v>
                </c:pt>
                <c:pt idx="736">
                  <c:v>2.918E-3</c:v>
                </c:pt>
                <c:pt idx="737">
                  <c:v>2.9090000000000001E-3</c:v>
                </c:pt>
                <c:pt idx="738">
                  <c:v>2.8990000000000001E-3</c:v>
                </c:pt>
                <c:pt idx="739">
                  <c:v>2.9030000000000002E-3</c:v>
                </c:pt>
                <c:pt idx="740">
                  <c:v>3.0049999999999999E-3</c:v>
                </c:pt>
                <c:pt idx="741">
                  <c:v>2.993E-3</c:v>
                </c:pt>
                <c:pt idx="742">
                  <c:v>2.9529999999999999E-3</c:v>
                </c:pt>
                <c:pt idx="743">
                  <c:v>2.9359999999999998E-3</c:v>
                </c:pt>
                <c:pt idx="744">
                  <c:v>2.8340000000000001E-3</c:v>
                </c:pt>
                <c:pt idx="745">
                  <c:v>2.8509999999999998E-3</c:v>
                </c:pt>
                <c:pt idx="746">
                  <c:v>2.859E-3</c:v>
                </c:pt>
                <c:pt idx="747">
                  <c:v>2.8210000000000002E-3</c:v>
                </c:pt>
                <c:pt idx="748">
                  <c:v>2.8440000000000002E-3</c:v>
                </c:pt>
                <c:pt idx="749">
                  <c:v>2.7590000000000002E-3</c:v>
                </c:pt>
                <c:pt idx="750">
                  <c:v>2.8400000000000001E-3</c:v>
                </c:pt>
                <c:pt idx="751">
                  <c:v>2.9919999999999999E-3</c:v>
                </c:pt>
                <c:pt idx="752">
                  <c:v>3.0929999999999998E-3</c:v>
                </c:pt>
                <c:pt idx="753">
                  <c:v>3.1689999999999999E-3</c:v>
                </c:pt>
                <c:pt idx="754">
                  <c:v>3.209E-3</c:v>
                </c:pt>
                <c:pt idx="755">
                  <c:v>3.3479999999999998E-3</c:v>
                </c:pt>
                <c:pt idx="756">
                  <c:v>3.2929999999999999E-3</c:v>
                </c:pt>
                <c:pt idx="757">
                  <c:v>3.3270000000000001E-3</c:v>
                </c:pt>
                <c:pt idx="758">
                  <c:v>3.1679999999999998E-3</c:v>
                </c:pt>
                <c:pt idx="759">
                  <c:v>3.1900000000000001E-3</c:v>
                </c:pt>
                <c:pt idx="760">
                  <c:v>3.2290000000000001E-3</c:v>
                </c:pt>
                <c:pt idx="761">
                  <c:v>3.202E-3</c:v>
                </c:pt>
                <c:pt idx="762">
                  <c:v>3.248E-3</c:v>
                </c:pt>
                <c:pt idx="763">
                  <c:v>3.1819999999999999E-3</c:v>
                </c:pt>
                <c:pt idx="764">
                  <c:v>3.1719999999999999E-3</c:v>
                </c:pt>
                <c:pt idx="765">
                  <c:v>3.2720000000000002E-3</c:v>
                </c:pt>
                <c:pt idx="766">
                  <c:v>3.0739999999999999E-3</c:v>
                </c:pt>
                <c:pt idx="767">
                  <c:v>3.222E-3</c:v>
                </c:pt>
                <c:pt idx="768">
                  <c:v>3.1960000000000001E-3</c:v>
                </c:pt>
                <c:pt idx="769">
                  <c:v>3.3319999999999999E-3</c:v>
                </c:pt>
                <c:pt idx="770">
                  <c:v>3.2659999999999998E-3</c:v>
                </c:pt>
                <c:pt idx="771">
                  <c:v>3.2750000000000001E-3</c:v>
                </c:pt>
                <c:pt idx="772">
                  <c:v>2.9919999999999999E-3</c:v>
                </c:pt>
                <c:pt idx="773">
                  <c:v>3.1540000000000001E-3</c:v>
                </c:pt>
                <c:pt idx="774">
                  <c:v>3.5000000000000001E-3</c:v>
                </c:pt>
                <c:pt idx="775">
                  <c:v>3.4910000000000002E-3</c:v>
                </c:pt>
                <c:pt idx="776">
                  <c:v>4.0499999999999998E-3</c:v>
                </c:pt>
                <c:pt idx="777">
                  <c:v>3.852E-3</c:v>
                </c:pt>
                <c:pt idx="778">
                  <c:v>4.0689999999999997E-3</c:v>
                </c:pt>
                <c:pt idx="779">
                  <c:v>3.5869999999999999E-3</c:v>
                </c:pt>
                <c:pt idx="780">
                  <c:v>3.4610000000000001E-3</c:v>
                </c:pt>
                <c:pt idx="781">
                  <c:v>3.4420000000000002E-3</c:v>
                </c:pt>
                <c:pt idx="782">
                  <c:v>3.5760000000000002E-3</c:v>
                </c:pt>
                <c:pt idx="783">
                  <c:v>3.2929999999999999E-3</c:v>
                </c:pt>
                <c:pt idx="784">
                  <c:v>3.405E-3</c:v>
                </c:pt>
                <c:pt idx="785">
                  <c:v>3.2190000000000001E-3</c:v>
                </c:pt>
                <c:pt idx="786">
                  <c:v>2.8540000000000002E-3</c:v>
                </c:pt>
                <c:pt idx="787">
                  <c:v>2.8660000000000001E-3</c:v>
                </c:pt>
                <c:pt idx="788">
                  <c:v>2.885E-3</c:v>
                </c:pt>
                <c:pt idx="789">
                  <c:v>2.954E-3</c:v>
                </c:pt>
                <c:pt idx="790">
                  <c:v>3.0530000000000002E-3</c:v>
                </c:pt>
                <c:pt idx="791">
                  <c:v>3.0240000000000002E-3</c:v>
                </c:pt>
                <c:pt idx="792">
                  <c:v>2.954E-3</c:v>
                </c:pt>
                <c:pt idx="793">
                  <c:v>2.9090000000000001E-3</c:v>
                </c:pt>
                <c:pt idx="794">
                  <c:v>2.9380000000000001E-3</c:v>
                </c:pt>
                <c:pt idx="795">
                  <c:v>2.7469999999999999E-3</c:v>
                </c:pt>
                <c:pt idx="796">
                  <c:v>3.0980000000000001E-3</c:v>
                </c:pt>
                <c:pt idx="797">
                  <c:v>3.1029999999999999E-3</c:v>
                </c:pt>
                <c:pt idx="798">
                  <c:v>3.2320000000000001E-3</c:v>
                </c:pt>
                <c:pt idx="799">
                  <c:v>3.447E-3</c:v>
                </c:pt>
                <c:pt idx="800">
                  <c:v>3.614E-3</c:v>
                </c:pt>
                <c:pt idx="801">
                  <c:v>3.5590000000000001E-3</c:v>
                </c:pt>
                <c:pt idx="802">
                  <c:v>3.686E-3</c:v>
                </c:pt>
                <c:pt idx="803">
                  <c:v>3.705E-3</c:v>
                </c:pt>
                <c:pt idx="804">
                  <c:v>3.5739999999999999E-3</c:v>
                </c:pt>
                <c:pt idx="805">
                  <c:v>3.6540000000000001E-3</c:v>
                </c:pt>
                <c:pt idx="806">
                  <c:v>3.79E-3</c:v>
                </c:pt>
                <c:pt idx="807">
                  <c:v>3.826E-3</c:v>
                </c:pt>
                <c:pt idx="808">
                  <c:v>4.0790000000000002E-3</c:v>
                </c:pt>
                <c:pt idx="809">
                  <c:v>3.9560000000000003E-3</c:v>
                </c:pt>
                <c:pt idx="810">
                  <c:v>3.7209999999999999E-3</c:v>
                </c:pt>
                <c:pt idx="811">
                  <c:v>3.5200000000000001E-3</c:v>
                </c:pt>
                <c:pt idx="812">
                  <c:v>3.7750000000000001E-3</c:v>
                </c:pt>
                <c:pt idx="813">
                  <c:v>3.8110000000000002E-3</c:v>
                </c:pt>
                <c:pt idx="814">
                  <c:v>3.48E-3</c:v>
                </c:pt>
                <c:pt idx="815">
                  <c:v>3.4749999999999998E-3</c:v>
                </c:pt>
                <c:pt idx="816">
                  <c:v>3.2429999999999998E-3</c:v>
                </c:pt>
                <c:pt idx="817">
                  <c:v>3.1800000000000001E-3</c:v>
                </c:pt>
                <c:pt idx="818">
                  <c:v>3.2490000000000002E-3</c:v>
                </c:pt>
                <c:pt idx="819">
                  <c:v>3.1220000000000002E-3</c:v>
                </c:pt>
                <c:pt idx="820">
                  <c:v>3.14E-3</c:v>
                </c:pt>
                <c:pt idx="821">
                  <c:v>3.238E-3</c:v>
                </c:pt>
                <c:pt idx="822">
                  <c:v>3.3E-3</c:v>
                </c:pt>
                <c:pt idx="823">
                  <c:v>3.447E-3</c:v>
                </c:pt>
                <c:pt idx="824">
                  <c:v>3.5179999999999999E-3</c:v>
                </c:pt>
                <c:pt idx="825">
                  <c:v>3.49E-3</c:v>
                </c:pt>
                <c:pt idx="826">
                  <c:v>3.2269999999999998E-3</c:v>
                </c:pt>
                <c:pt idx="827">
                  <c:v>3.1059999999999998E-3</c:v>
                </c:pt>
                <c:pt idx="828">
                  <c:v>3.3509999999999998E-3</c:v>
                </c:pt>
                <c:pt idx="829">
                  <c:v>3.542E-3</c:v>
                </c:pt>
                <c:pt idx="830">
                  <c:v>3.5040000000000002E-3</c:v>
                </c:pt>
                <c:pt idx="831">
                  <c:v>3.346E-3</c:v>
                </c:pt>
                <c:pt idx="832">
                  <c:v>3.4970000000000001E-3</c:v>
                </c:pt>
                <c:pt idx="833">
                  <c:v>3.5959999999999998E-3</c:v>
                </c:pt>
                <c:pt idx="834">
                  <c:v>3.5890000000000002E-3</c:v>
                </c:pt>
                <c:pt idx="835">
                  <c:v>3.8319999999999999E-3</c:v>
                </c:pt>
                <c:pt idx="836">
                  <c:v>4.0220000000000004E-3</c:v>
                </c:pt>
                <c:pt idx="837">
                  <c:v>3.9919999999999999E-3</c:v>
                </c:pt>
                <c:pt idx="838">
                  <c:v>4.0819999999999997E-3</c:v>
                </c:pt>
                <c:pt idx="839">
                  <c:v>4.0130000000000001E-3</c:v>
                </c:pt>
                <c:pt idx="840">
                  <c:v>4.235E-3</c:v>
                </c:pt>
                <c:pt idx="841">
                  <c:v>4.326E-3</c:v>
                </c:pt>
                <c:pt idx="842">
                  <c:v>4.156E-3</c:v>
                </c:pt>
                <c:pt idx="843">
                  <c:v>3.9830000000000004E-3</c:v>
                </c:pt>
                <c:pt idx="844">
                  <c:v>3.5720000000000001E-3</c:v>
                </c:pt>
                <c:pt idx="845">
                  <c:v>3.8349999999999999E-3</c:v>
                </c:pt>
                <c:pt idx="846">
                  <c:v>3.7829999999999999E-3</c:v>
                </c:pt>
                <c:pt idx="847">
                  <c:v>3.8809999999999999E-3</c:v>
                </c:pt>
                <c:pt idx="848">
                  <c:v>3.9100000000000003E-3</c:v>
                </c:pt>
                <c:pt idx="849">
                  <c:v>3.852E-3</c:v>
                </c:pt>
                <c:pt idx="850">
                  <c:v>3.8999999999999998E-3</c:v>
                </c:pt>
                <c:pt idx="851">
                  <c:v>3.46E-3</c:v>
                </c:pt>
                <c:pt idx="852">
                  <c:v>3.2799999999999999E-3</c:v>
                </c:pt>
                <c:pt idx="853">
                  <c:v>3.039E-3</c:v>
                </c:pt>
                <c:pt idx="854">
                  <c:v>2.921E-3</c:v>
                </c:pt>
                <c:pt idx="855">
                  <c:v>2.9269999999999999E-3</c:v>
                </c:pt>
                <c:pt idx="856">
                  <c:v>2.7239999999999999E-3</c:v>
                </c:pt>
                <c:pt idx="857">
                  <c:v>3.016E-3</c:v>
                </c:pt>
                <c:pt idx="858">
                  <c:v>3.3709999999999999E-3</c:v>
                </c:pt>
                <c:pt idx="859">
                  <c:v>3.8349999999999999E-3</c:v>
                </c:pt>
                <c:pt idx="860">
                  <c:v>3.888E-3</c:v>
                </c:pt>
                <c:pt idx="861">
                  <c:v>3.6120000000000002E-3</c:v>
                </c:pt>
                <c:pt idx="862">
                  <c:v>3.4269999999999999E-3</c:v>
                </c:pt>
                <c:pt idx="863">
                  <c:v>3.297E-3</c:v>
                </c:pt>
                <c:pt idx="864">
                  <c:v>3.0270000000000002E-3</c:v>
                </c:pt>
                <c:pt idx="865">
                  <c:v>3.009E-3</c:v>
                </c:pt>
                <c:pt idx="866">
                  <c:v>2.977E-3</c:v>
                </c:pt>
                <c:pt idx="867">
                  <c:v>2.99E-3</c:v>
                </c:pt>
                <c:pt idx="868">
                  <c:v>2.826E-3</c:v>
                </c:pt>
                <c:pt idx="869">
                  <c:v>2.7100000000000002E-3</c:v>
                </c:pt>
                <c:pt idx="870">
                  <c:v>2.7100000000000002E-3</c:v>
                </c:pt>
                <c:pt idx="871">
                  <c:v>2.882E-3</c:v>
                </c:pt>
                <c:pt idx="872">
                  <c:v>2.5850000000000001E-3</c:v>
                </c:pt>
                <c:pt idx="873">
                  <c:v>2.6459999999999999E-3</c:v>
                </c:pt>
                <c:pt idx="874">
                  <c:v>2.3999999999999998E-3</c:v>
                </c:pt>
                <c:pt idx="875">
                  <c:v>2.4190000000000001E-3</c:v>
                </c:pt>
                <c:pt idx="876">
                  <c:v>2.5820000000000001E-3</c:v>
                </c:pt>
                <c:pt idx="877">
                  <c:v>2.6640000000000001E-3</c:v>
                </c:pt>
                <c:pt idx="878">
                  <c:v>2.666E-3</c:v>
                </c:pt>
                <c:pt idx="879">
                  <c:v>2.6480000000000002E-3</c:v>
                </c:pt>
                <c:pt idx="880">
                  <c:v>2.6949999999999999E-3</c:v>
                </c:pt>
                <c:pt idx="881">
                  <c:v>2.503E-3</c:v>
                </c:pt>
                <c:pt idx="882">
                  <c:v>2.454E-3</c:v>
                </c:pt>
                <c:pt idx="883">
                  <c:v>2.7599999999999999E-3</c:v>
                </c:pt>
                <c:pt idx="884">
                  <c:v>3.0279999999999999E-3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54-4109-997C-0B3C6AC0589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-296.57236818979311</c:v>
                </c:pt>
                <c:pt idx="1">
                  <c:v>-296.53447405979318</c:v>
                </c:pt>
                <c:pt idx="2">
                  <c:v>-295.97413186245984</c:v>
                </c:pt>
                <c:pt idx="3">
                  <c:v>-295.81192658436464</c:v>
                </c:pt>
                <c:pt idx="4">
                  <c:v>-294.12171655600395</c:v>
                </c:pt>
                <c:pt idx="5">
                  <c:v>-295.50609835600392</c:v>
                </c:pt>
                <c:pt idx="6">
                  <c:v>-296.10838653942938</c:v>
                </c:pt>
                <c:pt idx="7">
                  <c:v>-294.02789273363987</c:v>
                </c:pt>
                <c:pt idx="8">
                  <c:v>-293.65153593748602</c:v>
                </c:pt>
                <c:pt idx="9">
                  <c:v>-293.63728298764477</c:v>
                </c:pt>
                <c:pt idx="10">
                  <c:v>-293.12746971738835</c:v>
                </c:pt>
                <c:pt idx="11">
                  <c:v>-292.60623301120648</c:v>
                </c:pt>
                <c:pt idx="12">
                  <c:v>-292.17778255211562</c:v>
                </c:pt>
                <c:pt idx="13">
                  <c:v>-292.31716259068702</c:v>
                </c:pt>
                <c:pt idx="14">
                  <c:v>-288.48195744068704</c:v>
                </c:pt>
                <c:pt idx="15">
                  <c:v>-290.59424429119468</c:v>
                </c:pt>
                <c:pt idx="16">
                  <c:v>-290.89189313955529</c:v>
                </c:pt>
                <c:pt idx="17">
                  <c:v>-291.21860477542197</c:v>
                </c:pt>
                <c:pt idx="18">
                  <c:v>-291.41667699340366</c:v>
                </c:pt>
                <c:pt idx="19">
                  <c:v>-291.45355449340366</c:v>
                </c:pt>
                <c:pt idx="20">
                  <c:v>-290.57088398216183</c:v>
                </c:pt>
                <c:pt idx="21">
                  <c:v>-290.5208693340565</c:v>
                </c:pt>
                <c:pt idx="22">
                  <c:v>-289.96741446884823</c:v>
                </c:pt>
                <c:pt idx="23">
                  <c:v>-284.77795328610853</c:v>
                </c:pt>
                <c:pt idx="24">
                  <c:v>-283.65050422505584</c:v>
                </c:pt>
                <c:pt idx="25">
                  <c:v>-282.66905219151153</c:v>
                </c:pt>
                <c:pt idx="26">
                  <c:v>-281.0488431112085</c:v>
                </c:pt>
                <c:pt idx="27">
                  <c:v>-276.68853352591435</c:v>
                </c:pt>
                <c:pt idx="28">
                  <c:v>-276.60476957046285</c:v>
                </c:pt>
                <c:pt idx="29">
                  <c:v>-276.56620694896287</c:v>
                </c:pt>
                <c:pt idx="30">
                  <c:v>-276.10054812771284</c:v>
                </c:pt>
                <c:pt idx="31">
                  <c:v>-274.95029597732827</c:v>
                </c:pt>
                <c:pt idx="32">
                  <c:v>-275.11386021255555</c:v>
                </c:pt>
                <c:pt idx="33">
                  <c:v>-275.4111687369458</c:v>
                </c:pt>
                <c:pt idx="34">
                  <c:v>-275.26729085961244</c:v>
                </c:pt>
                <c:pt idx="35">
                  <c:v>-274.65076794575424</c:v>
                </c:pt>
                <c:pt idx="36">
                  <c:v>-275.6246414179281</c:v>
                </c:pt>
                <c:pt idx="37">
                  <c:v>-275.2440178643281</c:v>
                </c:pt>
                <c:pt idx="38">
                  <c:v>-274.91630838389335</c:v>
                </c:pt>
                <c:pt idx="39">
                  <c:v>-274.3272627925208</c:v>
                </c:pt>
                <c:pt idx="40">
                  <c:v>-273.03804845299697</c:v>
                </c:pt>
                <c:pt idx="41">
                  <c:v>-272.66525319084747</c:v>
                </c:pt>
                <c:pt idx="42">
                  <c:v>-270.72094248760243</c:v>
                </c:pt>
                <c:pt idx="43">
                  <c:v>-269.46130736260238</c:v>
                </c:pt>
                <c:pt idx="44">
                  <c:v>-269.74375397283859</c:v>
                </c:pt>
                <c:pt idx="45">
                  <c:v>-270.22855722283856</c:v>
                </c:pt>
                <c:pt idx="46">
                  <c:v>-269.21745667990933</c:v>
                </c:pt>
                <c:pt idx="47">
                  <c:v>-269.87056774948195</c:v>
                </c:pt>
                <c:pt idx="48">
                  <c:v>-269.98884675817754</c:v>
                </c:pt>
                <c:pt idx="49">
                  <c:v>-267.53109385870948</c:v>
                </c:pt>
                <c:pt idx="50">
                  <c:v>-266.38692201406383</c:v>
                </c:pt>
                <c:pt idx="51">
                  <c:v>-266.8830123476194</c:v>
                </c:pt>
                <c:pt idx="52">
                  <c:v>-265.81581739877322</c:v>
                </c:pt>
                <c:pt idx="53">
                  <c:v>-266.97214529243178</c:v>
                </c:pt>
                <c:pt idx="54">
                  <c:v>-266.30641222297601</c:v>
                </c:pt>
                <c:pt idx="55">
                  <c:v>-265.73900002450489</c:v>
                </c:pt>
                <c:pt idx="56">
                  <c:v>-264.78843921293628</c:v>
                </c:pt>
                <c:pt idx="57">
                  <c:v>-261.54778318238579</c:v>
                </c:pt>
                <c:pt idx="58">
                  <c:v>-261.25495216270076</c:v>
                </c:pt>
                <c:pt idx="59">
                  <c:v>-260.89175341431365</c:v>
                </c:pt>
                <c:pt idx="60">
                  <c:v>-260.31732114090937</c:v>
                </c:pt>
                <c:pt idx="61">
                  <c:v>-261.17568127244789</c:v>
                </c:pt>
                <c:pt idx="62">
                  <c:v>-260.71958503578117</c:v>
                </c:pt>
                <c:pt idx="63">
                  <c:v>-259.85303951178116</c:v>
                </c:pt>
                <c:pt idx="64">
                  <c:v>-260.04415012309261</c:v>
                </c:pt>
                <c:pt idx="65">
                  <c:v>-259.11550548265302</c:v>
                </c:pt>
                <c:pt idx="66">
                  <c:v>-254.10727841111458</c:v>
                </c:pt>
                <c:pt idx="67">
                  <c:v>-254.57428253132218</c:v>
                </c:pt>
                <c:pt idx="68">
                  <c:v>-251.2518135937612</c:v>
                </c:pt>
                <c:pt idx="69">
                  <c:v>-253.64058533611146</c:v>
                </c:pt>
                <c:pt idx="70">
                  <c:v>-256.67596593353079</c:v>
                </c:pt>
                <c:pt idx="71">
                  <c:v>-253.75738953225962</c:v>
                </c:pt>
                <c:pt idx="72">
                  <c:v>-255.41582728794145</c:v>
                </c:pt>
                <c:pt idx="73">
                  <c:v>-253.51412883794146</c:v>
                </c:pt>
                <c:pt idx="74">
                  <c:v>-247.97042358454692</c:v>
                </c:pt>
                <c:pt idx="75">
                  <c:v>-246.32669122990046</c:v>
                </c:pt>
                <c:pt idx="76">
                  <c:v>-235.67713640179235</c:v>
                </c:pt>
                <c:pt idx="77">
                  <c:v>-239.09317248709598</c:v>
                </c:pt>
                <c:pt idx="78">
                  <c:v>-242.22391896405799</c:v>
                </c:pt>
                <c:pt idx="79">
                  <c:v>-235.64424969262944</c:v>
                </c:pt>
                <c:pt idx="80">
                  <c:v>-234.4252390342136</c:v>
                </c:pt>
                <c:pt idx="81">
                  <c:v>-239.27045331898972</c:v>
                </c:pt>
                <c:pt idx="82">
                  <c:v>-242.3783061332754</c:v>
                </c:pt>
                <c:pt idx="83">
                  <c:v>-240.90724333929487</c:v>
                </c:pt>
                <c:pt idx="84">
                  <c:v>-237.65593550007915</c:v>
                </c:pt>
                <c:pt idx="85">
                  <c:v>-238.54880498034231</c:v>
                </c:pt>
                <c:pt idx="86">
                  <c:v>-237.32611029985685</c:v>
                </c:pt>
                <c:pt idx="87">
                  <c:v>-238.63056045164544</c:v>
                </c:pt>
                <c:pt idx="88">
                  <c:v>-240.1969129905431</c:v>
                </c:pt>
                <c:pt idx="89">
                  <c:v>-238.21194028948116</c:v>
                </c:pt>
                <c:pt idx="90">
                  <c:v>-236.82535628614784</c:v>
                </c:pt>
                <c:pt idx="91">
                  <c:v>-239.32339867509521</c:v>
                </c:pt>
                <c:pt idx="92">
                  <c:v>-242.32581226298996</c:v>
                </c:pt>
                <c:pt idx="93">
                  <c:v>-234.36677656474873</c:v>
                </c:pt>
                <c:pt idx="94">
                  <c:v>-228.56437600474877</c:v>
                </c:pt>
                <c:pt idx="95">
                  <c:v>-230.91666121346435</c:v>
                </c:pt>
                <c:pt idx="96">
                  <c:v>-226.39105277400489</c:v>
                </c:pt>
                <c:pt idx="97">
                  <c:v>-222.15111104717568</c:v>
                </c:pt>
                <c:pt idx="98">
                  <c:v>-215.84839301300303</c:v>
                </c:pt>
                <c:pt idx="99">
                  <c:v>-220.61147520241479</c:v>
                </c:pt>
                <c:pt idx="100">
                  <c:v>-223.81523754053981</c:v>
                </c:pt>
                <c:pt idx="101">
                  <c:v>-223.89444393152573</c:v>
                </c:pt>
                <c:pt idx="102">
                  <c:v>-221.26261582628763</c:v>
                </c:pt>
                <c:pt idx="103">
                  <c:v>-220.21276962620763</c:v>
                </c:pt>
                <c:pt idx="104">
                  <c:v>-214.02755452120758</c:v>
                </c:pt>
                <c:pt idx="105">
                  <c:v>-215.05836933672995</c:v>
                </c:pt>
                <c:pt idx="106">
                  <c:v>-217.21377324349464</c:v>
                </c:pt>
                <c:pt idx="107">
                  <c:v>-223.76390149109469</c:v>
                </c:pt>
                <c:pt idx="108">
                  <c:v>-222.94795466809472</c:v>
                </c:pt>
                <c:pt idx="109">
                  <c:v>-218.27405664274264</c:v>
                </c:pt>
                <c:pt idx="110">
                  <c:v>-212.2074314407426</c:v>
                </c:pt>
                <c:pt idx="111">
                  <c:v>-218.80589037955775</c:v>
                </c:pt>
                <c:pt idx="112">
                  <c:v>-213.66439612160158</c:v>
                </c:pt>
                <c:pt idx="113">
                  <c:v>-212.41694748410157</c:v>
                </c:pt>
                <c:pt idx="114">
                  <c:v>-211.74854285824787</c:v>
                </c:pt>
                <c:pt idx="115">
                  <c:v>-216.51326481246474</c:v>
                </c:pt>
                <c:pt idx="116">
                  <c:v>-222.03818551478619</c:v>
                </c:pt>
                <c:pt idx="117">
                  <c:v>-224.93450363313477</c:v>
                </c:pt>
                <c:pt idx="118">
                  <c:v>-222.45048078554444</c:v>
                </c:pt>
                <c:pt idx="119">
                  <c:v>-229.85548664664677</c:v>
                </c:pt>
                <c:pt idx="120">
                  <c:v>-223.43431394496892</c:v>
                </c:pt>
                <c:pt idx="121">
                  <c:v>-222.47891828752213</c:v>
                </c:pt>
                <c:pt idx="122">
                  <c:v>-217.29600856128681</c:v>
                </c:pt>
                <c:pt idx="123">
                  <c:v>-211.82241915673234</c:v>
                </c:pt>
                <c:pt idx="124">
                  <c:v>-215.61457759830466</c:v>
                </c:pt>
                <c:pt idx="125">
                  <c:v>-210.19917374107388</c:v>
                </c:pt>
                <c:pt idx="126">
                  <c:v>-203.76123996680639</c:v>
                </c:pt>
                <c:pt idx="127">
                  <c:v>-213.86930107422211</c:v>
                </c:pt>
                <c:pt idx="128">
                  <c:v>-221.0715311653112</c:v>
                </c:pt>
                <c:pt idx="129">
                  <c:v>-211.21363326088004</c:v>
                </c:pt>
                <c:pt idx="130">
                  <c:v>-208.86328943715745</c:v>
                </c:pt>
                <c:pt idx="131">
                  <c:v>-205.3706995743228</c:v>
                </c:pt>
                <c:pt idx="132">
                  <c:v>-198.50668632432277</c:v>
                </c:pt>
                <c:pt idx="133">
                  <c:v>-192.80992572050775</c:v>
                </c:pt>
                <c:pt idx="134">
                  <c:v>-187.20187208812675</c:v>
                </c:pt>
                <c:pt idx="135">
                  <c:v>-189.6782829406061</c:v>
                </c:pt>
                <c:pt idx="136">
                  <c:v>-189.15049543282828</c:v>
                </c:pt>
                <c:pt idx="137">
                  <c:v>-194.08568625717112</c:v>
                </c:pt>
                <c:pt idx="138">
                  <c:v>-191.40890736591129</c:v>
                </c:pt>
                <c:pt idx="139">
                  <c:v>-186.02647146553394</c:v>
                </c:pt>
                <c:pt idx="140">
                  <c:v>-180.04511854606025</c:v>
                </c:pt>
                <c:pt idx="141">
                  <c:v>-177.79616337057007</c:v>
                </c:pt>
                <c:pt idx="142">
                  <c:v>-176.75235510577556</c:v>
                </c:pt>
                <c:pt idx="143">
                  <c:v>-174.15694334170689</c:v>
                </c:pt>
                <c:pt idx="144">
                  <c:v>-177.92993923860951</c:v>
                </c:pt>
                <c:pt idx="145">
                  <c:v>-182.55997328679129</c:v>
                </c:pt>
                <c:pt idx="146">
                  <c:v>-182.3258182434067</c:v>
                </c:pt>
                <c:pt idx="147">
                  <c:v>-183.52125391609579</c:v>
                </c:pt>
                <c:pt idx="148">
                  <c:v>-176.56718817023781</c:v>
                </c:pt>
                <c:pt idx="149">
                  <c:v>-180.62687964585683</c:v>
                </c:pt>
                <c:pt idx="150">
                  <c:v>-175.52230888960682</c:v>
                </c:pt>
                <c:pt idx="151">
                  <c:v>-171.26490998250878</c:v>
                </c:pt>
                <c:pt idx="152">
                  <c:v>-168.02073228388602</c:v>
                </c:pt>
                <c:pt idx="153">
                  <c:v>-169.85678000233258</c:v>
                </c:pt>
                <c:pt idx="154">
                  <c:v>-173.66850558674818</c:v>
                </c:pt>
                <c:pt idx="155">
                  <c:v>-171.62760524408154</c:v>
                </c:pt>
                <c:pt idx="156">
                  <c:v>-169.61510544974274</c:v>
                </c:pt>
                <c:pt idx="157">
                  <c:v>-161.27771786941031</c:v>
                </c:pt>
                <c:pt idx="158">
                  <c:v>-163.39503605183893</c:v>
                </c:pt>
                <c:pt idx="159">
                  <c:v>-162.38384571346975</c:v>
                </c:pt>
                <c:pt idx="160">
                  <c:v>-166.73133431987327</c:v>
                </c:pt>
                <c:pt idx="161">
                  <c:v>-170.82921021597568</c:v>
                </c:pt>
                <c:pt idx="162">
                  <c:v>-175.31293787606677</c:v>
                </c:pt>
                <c:pt idx="163">
                  <c:v>-172.72581458433942</c:v>
                </c:pt>
                <c:pt idx="164">
                  <c:v>-172.21378613435803</c:v>
                </c:pt>
                <c:pt idx="165">
                  <c:v>-170.70233821730895</c:v>
                </c:pt>
                <c:pt idx="166">
                  <c:v>-170.61479007760926</c:v>
                </c:pt>
                <c:pt idx="167">
                  <c:v>-171.05354962290087</c:v>
                </c:pt>
                <c:pt idx="168">
                  <c:v>-172.73570525052079</c:v>
                </c:pt>
                <c:pt idx="169">
                  <c:v>-172.10347470114812</c:v>
                </c:pt>
                <c:pt idx="170">
                  <c:v>-172.60005242966713</c:v>
                </c:pt>
                <c:pt idx="171">
                  <c:v>-173.17088887085757</c:v>
                </c:pt>
                <c:pt idx="172">
                  <c:v>-174.42049489115769</c:v>
                </c:pt>
                <c:pt idx="173">
                  <c:v>-173.08749761953499</c:v>
                </c:pt>
                <c:pt idx="174">
                  <c:v>-171.73930302683371</c:v>
                </c:pt>
                <c:pt idx="175">
                  <c:v>-172.82452146922219</c:v>
                </c:pt>
                <c:pt idx="176">
                  <c:v>-181.42200645169007</c:v>
                </c:pt>
                <c:pt idx="177">
                  <c:v>-184.17942895616576</c:v>
                </c:pt>
                <c:pt idx="178">
                  <c:v>-176.48917333978582</c:v>
                </c:pt>
                <c:pt idx="179">
                  <c:v>-173.09118948812215</c:v>
                </c:pt>
                <c:pt idx="180">
                  <c:v>-171.88237093621916</c:v>
                </c:pt>
                <c:pt idx="181">
                  <c:v>-178.1596633335698</c:v>
                </c:pt>
                <c:pt idx="182">
                  <c:v>-183.66561583702924</c:v>
                </c:pt>
                <c:pt idx="183">
                  <c:v>-177.10278070845172</c:v>
                </c:pt>
                <c:pt idx="184">
                  <c:v>-177.81073846828224</c:v>
                </c:pt>
                <c:pt idx="185">
                  <c:v>-178.36753562435868</c:v>
                </c:pt>
                <c:pt idx="186">
                  <c:v>-176.8681626113152</c:v>
                </c:pt>
                <c:pt idx="187">
                  <c:v>-177.43323533187663</c:v>
                </c:pt>
                <c:pt idx="188">
                  <c:v>-178.12202261024029</c:v>
                </c:pt>
                <c:pt idx="189">
                  <c:v>-178.40805241858712</c:v>
                </c:pt>
                <c:pt idx="190">
                  <c:v>-178.98798219276745</c:v>
                </c:pt>
                <c:pt idx="191">
                  <c:v>-179.30763710518124</c:v>
                </c:pt>
                <c:pt idx="192">
                  <c:v>-178.93474243842516</c:v>
                </c:pt>
                <c:pt idx="193">
                  <c:v>-178.55082176769147</c:v>
                </c:pt>
                <c:pt idx="194">
                  <c:v>-178.34778556881085</c:v>
                </c:pt>
                <c:pt idx="195">
                  <c:v>-178.21892532049824</c:v>
                </c:pt>
                <c:pt idx="196">
                  <c:v>-178.3134967193364</c:v>
                </c:pt>
                <c:pt idx="197">
                  <c:v>-178.60111043209358</c:v>
                </c:pt>
                <c:pt idx="198">
                  <c:v>-179.07677701394761</c:v>
                </c:pt>
                <c:pt idx="199">
                  <c:v>-178.61290308801009</c:v>
                </c:pt>
                <c:pt idx="200">
                  <c:v>-178.38637170486277</c:v>
                </c:pt>
                <c:pt idx="201">
                  <c:v>-178.72344501633134</c:v>
                </c:pt>
                <c:pt idx="202">
                  <c:v>-178.6589854844413</c:v>
                </c:pt>
                <c:pt idx="203">
                  <c:v>-178.30757529816628</c:v>
                </c:pt>
                <c:pt idx="204">
                  <c:v>-177.86185377292236</c:v>
                </c:pt>
                <c:pt idx="205">
                  <c:v>-177.77448397752761</c:v>
                </c:pt>
                <c:pt idx="206">
                  <c:v>-177.74830759682436</c:v>
                </c:pt>
                <c:pt idx="207">
                  <c:v>-177.4865334691805</c:v>
                </c:pt>
                <c:pt idx="208">
                  <c:v>-177.33482521010609</c:v>
                </c:pt>
                <c:pt idx="209">
                  <c:v>-177.74898799336191</c:v>
                </c:pt>
                <c:pt idx="210">
                  <c:v>-178.39057476656834</c:v>
                </c:pt>
                <c:pt idx="211">
                  <c:v>-178.17489970875829</c:v>
                </c:pt>
                <c:pt idx="212">
                  <c:v>-178.3660565930987</c:v>
                </c:pt>
                <c:pt idx="213">
                  <c:v>-178.78558882204609</c:v>
                </c:pt>
                <c:pt idx="214">
                  <c:v>-178.11926948809909</c:v>
                </c:pt>
                <c:pt idx="215">
                  <c:v>-178.75094438036734</c:v>
                </c:pt>
                <c:pt idx="216">
                  <c:v>-179.46033169493526</c:v>
                </c:pt>
                <c:pt idx="217">
                  <c:v>-178.91951487612795</c:v>
                </c:pt>
                <c:pt idx="218">
                  <c:v>-179.25187748242814</c:v>
                </c:pt>
                <c:pt idx="219">
                  <c:v>-179.32599598783227</c:v>
                </c:pt>
                <c:pt idx="220">
                  <c:v>-179.01267485668183</c:v>
                </c:pt>
                <c:pt idx="221">
                  <c:v>-177.91499277933733</c:v>
                </c:pt>
                <c:pt idx="222">
                  <c:v>-178.60341731090199</c:v>
                </c:pt>
                <c:pt idx="223">
                  <c:v>-177.7996329775219</c:v>
                </c:pt>
                <c:pt idx="224">
                  <c:v>-177.34701285011371</c:v>
                </c:pt>
                <c:pt idx="225">
                  <c:v>-177.48919996930462</c:v>
                </c:pt>
                <c:pt idx="226">
                  <c:v>-176.80009783206654</c:v>
                </c:pt>
                <c:pt idx="227">
                  <c:v>-175.82925750256516</c:v>
                </c:pt>
                <c:pt idx="228">
                  <c:v>-176.16010717341385</c:v>
                </c:pt>
                <c:pt idx="229">
                  <c:v>-176.81132241126912</c:v>
                </c:pt>
                <c:pt idx="230">
                  <c:v>-176.08812728027542</c:v>
                </c:pt>
                <c:pt idx="231">
                  <c:v>-174.52090188148742</c:v>
                </c:pt>
                <c:pt idx="232">
                  <c:v>-172.15306470476156</c:v>
                </c:pt>
                <c:pt idx="233">
                  <c:v>-174.90455416839916</c:v>
                </c:pt>
                <c:pt idx="234">
                  <c:v>-175.39696091474417</c:v>
                </c:pt>
                <c:pt idx="235">
                  <c:v>-173.44099632975764</c:v>
                </c:pt>
                <c:pt idx="236">
                  <c:v>-173.29597985447828</c:v>
                </c:pt>
                <c:pt idx="237">
                  <c:v>-172.96559848034201</c:v>
                </c:pt>
                <c:pt idx="238">
                  <c:v>-172.67110311784202</c:v>
                </c:pt>
                <c:pt idx="239">
                  <c:v>-172.67806867926572</c:v>
                </c:pt>
                <c:pt idx="240">
                  <c:v>-171.48010316973938</c:v>
                </c:pt>
                <c:pt idx="241">
                  <c:v>-169.82357283722445</c:v>
                </c:pt>
                <c:pt idx="242">
                  <c:v>-171.1973112598059</c:v>
                </c:pt>
                <c:pt idx="243">
                  <c:v>-171.31035901323318</c:v>
                </c:pt>
                <c:pt idx="244">
                  <c:v>-171.09499113333004</c:v>
                </c:pt>
                <c:pt idx="245">
                  <c:v>-170.4867903591996</c:v>
                </c:pt>
                <c:pt idx="246">
                  <c:v>-169.99702721481455</c:v>
                </c:pt>
                <c:pt idx="247">
                  <c:v>-171.10924262643039</c:v>
                </c:pt>
                <c:pt idx="248">
                  <c:v>-172.18309818745601</c:v>
                </c:pt>
                <c:pt idx="249">
                  <c:v>-173.51837592959973</c:v>
                </c:pt>
                <c:pt idx="250">
                  <c:v>-172.63450371033048</c:v>
                </c:pt>
                <c:pt idx="251">
                  <c:v>-171.52317827273947</c:v>
                </c:pt>
                <c:pt idx="252">
                  <c:v>-170.58770667081936</c:v>
                </c:pt>
                <c:pt idx="253">
                  <c:v>-171.80014925068585</c:v>
                </c:pt>
                <c:pt idx="254">
                  <c:v>-169.44071048757402</c:v>
                </c:pt>
                <c:pt idx="255">
                  <c:v>-169.16593215840189</c:v>
                </c:pt>
                <c:pt idx="256">
                  <c:v>-168.82629748195848</c:v>
                </c:pt>
                <c:pt idx="257">
                  <c:v>-168.00383163531657</c:v>
                </c:pt>
                <c:pt idx="258">
                  <c:v>-166.54835524105485</c:v>
                </c:pt>
                <c:pt idx="259">
                  <c:v>-165.95212669199387</c:v>
                </c:pt>
                <c:pt idx="260">
                  <c:v>-164.93389349324883</c:v>
                </c:pt>
                <c:pt idx="261">
                  <c:v>-162.61645257721713</c:v>
                </c:pt>
                <c:pt idx="262">
                  <c:v>-164.47302042977162</c:v>
                </c:pt>
                <c:pt idx="263">
                  <c:v>-161.72411088135155</c:v>
                </c:pt>
                <c:pt idx="264">
                  <c:v>-157.83130725943371</c:v>
                </c:pt>
                <c:pt idx="265">
                  <c:v>-153.41876637245278</c:v>
                </c:pt>
                <c:pt idx="266">
                  <c:v>-148.42277995871206</c:v>
                </c:pt>
                <c:pt idx="267">
                  <c:v>-147.97909500130189</c:v>
                </c:pt>
                <c:pt idx="268">
                  <c:v>-146.00616710587386</c:v>
                </c:pt>
                <c:pt idx="269">
                  <c:v>-141.79452397338579</c:v>
                </c:pt>
                <c:pt idx="270">
                  <c:v>-136.6031301858323</c:v>
                </c:pt>
                <c:pt idx="271">
                  <c:v>-133.76603430281844</c:v>
                </c:pt>
                <c:pt idx="272">
                  <c:v>-128.17735683257678</c:v>
                </c:pt>
                <c:pt idx="273">
                  <c:v>-133.01032330141888</c:v>
                </c:pt>
                <c:pt idx="274">
                  <c:v>-132.29137431308556</c:v>
                </c:pt>
                <c:pt idx="275">
                  <c:v>-131.73975585082295</c:v>
                </c:pt>
                <c:pt idx="276">
                  <c:v>-133.32522737549388</c:v>
                </c:pt>
                <c:pt idx="277">
                  <c:v>-135.53486480357765</c:v>
                </c:pt>
                <c:pt idx="278">
                  <c:v>-134.64477863013946</c:v>
                </c:pt>
                <c:pt idx="279">
                  <c:v>-133.52424370305988</c:v>
                </c:pt>
                <c:pt idx="280">
                  <c:v>-134.01625502175423</c:v>
                </c:pt>
                <c:pt idx="281">
                  <c:v>-132.76201568073699</c:v>
                </c:pt>
                <c:pt idx="282">
                  <c:v>-131.41763299284091</c:v>
                </c:pt>
                <c:pt idx="283">
                  <c:v>-132.11465545333203</c:v>
                </c:pt>
                <c:pt idx="284">
                  <c:v>-130.44122326353764</c:v>
                </c:pt>
                <c:pt idx="285">
                  <c:v>-128.94121317815933</c:v>
                </c:pt>
                <c:pt idx="286">
                  <c:v>-130.27796099841913</c:v>
                </c:pt>
                <c:pt idx="287">
                  <c:v>-127.12854753058727</c:v>
                </c:pt>
                <c:pt idx="288">
                  <c:v>-127.38142297928225</c:v>
                </c:pt>
                <c:pt idx="289">
                  <c:v>-130.32649821074267</c:v>
                </c:pt>
                <c:pt idx="290">
                  <c:v>-129.04139617640467</c:v>
                </c:pt>
                <c:pt idx="291">
                  <c:v>-127.0337559790965</c:v>
                </c:pt>
                <c:pt idx="292">
                  <c:v>-126.80466248214442</c:v>
                </c:pt>
                <c:pt idx="293">
                  <c:v>-123.61233494366357</c:v>
                </c:pt>
                <c:pt idx="294">
                  <c:v>-125.77957457401918</c:v>
                </c:pt>
                <c:pt idx="295">
                  <c:v>-126.53235548360476</c:v>
                </c:pt>
                <c:pt idx="296">
                  <c:v>-123.08392948661707</c:v>
                </c:pt>
                <c:pt idx="297">
                  <c:v>-117.22266796997569</c:v>
                </c:pt>
                <c:pt idx="298">
                  <c:v>-109.85442664190522</c:v>
                </c:pt>
                <c:pt idx="299">
                  <c:v>-98.772881934027083</c:v>
                </c:pt>
                <c:pt idx="300">
                  <c:v>-96.818675833249017</c:v>
                </c:pt>
                <c:pt idx="301">
                  <c:v>-92.234769263566349</c:v>
                </c:pt>
                <c:pt idx="302">
                  <c:v>-93.158810628345577</c:v>
                </c:pt>
                <c:pt idx="303">
                  <c:v>-89.461065587319126</c:v>
                </c:pt>
                <c:pt idx="304">
                  <c:v>-92.146664273724539</c:v>
                </c:pt>
                <c:pt idx="305">
                  <c:v>-94.282537174363313</c:v>
                </c:pt>
                <c:pt idx="306">
                  <c:v>-94.775422456425744</c:v>
                </c:pt>
                <c:pt idx="307">
                  <c:v>-95.370606430821411</c:v>
                </c:pt>
                <c:pt idx="308">
                  <c:v>-95.733598365043392</c:v>
                </c:pt>
                <c:pt idx="309">
                  <c:v>-94.696966082710702</c:v>
                </c:pt>
                <c:pt idx="310">
                  <c:v>-94.150188912196711</c:v>
                </c:pt>
                <c:pt idx="311">
                  <c:v>-92.731234203103952</c:v>
                </c:pt>
                <c:pt idx="312">
                  <c:v>-90.311375636019633</c:v>
                </c:pt>
                <c:pt idx="313">
                  <c:v>-90.94863865299186</c:v>
                </c:pt>
                <c:pt idx="314">
                  <c:v>-88.708818615422018</c:v>
                </c:pt>
                <c:pt idx="315">
                  <c:v>-88.728898247609919</c:v>
                </c:pt>
                <c:pt idx="316">
                  <c:v>-88.468840277491182</c:v>
                </c:pt>
                <c:pt idx="317">
                  <c:v>-89.251472953402413</c:v>
                </c:pt>
                <c:pt idx="318">
                  <c:v>-85.682584310396237</c:v>
                </c:pt>
                <c:pt idx="319">
                  <c:v>-88.38216335861722</c:v>
                </c:pt>
                <c:pt idx="320">
                  <c:v>-87.758791947581045</c:v>
                </c:pt>
                <c:pt idx="321">
                  <c:v>-88.397125234103285</c:v>
                </c:pt>
                <c:pt idx="322">
                  <c:v>-88.803698154701678</c:v>
                </c:pt>
                <c:pt idx="323">
                  <c:v>-88.935261979511949</c:v>
                </c:pt>
                <c:pt idx="324">
                  <c:v>-88.650625715215895</c:v>
                </c:pt>
                <c:pt idx="325">
                  <c:v>-88.641466956933158</c:v>
                </c:pt>
                <c:pt idx="326">
                  <c:v>-88.81820726353844</c:v>
                </c:pt>
                <c:pt idx="327">
                  <c:v>-88.626470907676449</c:v>
                </c:pt>
                <c:pt idx="328">
                  <c:v>-88.892471372751871</c:v>
                </c:pt>
                <c:pt idx="329">
                  <c:v>-88.989818148239308</c:v>
                </c:pt>
                <c:pt idx="330">
                  <c:v>-88.96046062763358</c:v>
                </c:pt>
                <c:pt idx="331">
                  <c:v>-89.08709039649456</c:v>
                </c:pt>
                <c:pt idx="332">
                  <c:v>-89.009589884929184</c:v>
                </c:pt>
                <c:pt idx="333">
                  <c:v>-89.48637593398648</c:v>
                </c:pt>
                <c:pt idx="334">
                  <c:v>-89.466433619463658</c:v>
                </c:pt>
                <c:pt idx="335">
                  <c:v>-89.304884510243241</c:v>
                </c:pt>
                <c:pt idx="336">
                  <c:v>-89.057910759252906</c:v>
                </c:pt>
                <c:pt idx="337">
                  <c:v>-87.607255669390398</c:v>
                </c:pt>
                <c:pt idx="338">
                  <c:v>-88.584673314500748</c:v>
                </c:pt>
                <c:pt idx="339">
                  <c:v>-88.519406816941768</c:v>
                </c:pt>
                <c:pt idx="340">
                  <c:v>-88.613312829851139</c:v>
                </c:pt>
                <c:pt idx="341">
                  <c:v>-88.717967392008916</c:v>
                </c:pt>
                <c:pt idx="342">
                  <c:v>-88.399635583045537</c:v>
                </c:pt>
                <c:pt idx="343">
                  <c:v>-88.153591613015422</c:v>
                </c:pt>
                <c:pt idx="344">
                  <c:v>-88.329170737875529</c:v>
                </c:pt>
                <c:pt idx="345">
                  <c:v>-88.91571259214723</c:v>
                </c:pt>
                <c:pt idx="346">
                  <c:v>-88.675756329246084</c:v>
                </c:pt>
                <c:pt idx="347">
                  <c:v>-88.605389388352393</c:v>
                </c:pt>
                <c:pt idx="348">
                  <c:v>-87.850580827880762</c:v>
                </c:pt>
                <c:pt idx="349">
                  <c:v>-88.808347845816385</c:v>
                </c:pt>
                <c:pt idx="350">
                  <c:v>-89.638788318127936</c:v>
                </c:pt>
                <c:pt idx="351">
                  <c:v>-89.53763549857716</c:v>
                </c:pt>
                <c:pt idx="352">
                  <c:v>-88.768918831421658</c:v>
                </c:pt>
                <c:pt idx="353">
                  <c:v>-89.15927511440438</c:v>
                </c:pt>
                <c:pt idx="354">
                  <c:v>-88.424022891107484</c:v>
                </c:pt>
                <c:pt idx="355">
                  <c:v>-87.493477064310724</c:v>
                </c:pt>
                <c:pt idx="356">
                  <c:v>-86.934425098301645</c:v>
                </c:pt>
                <c:pt idx="357">
                  <c:v>-86.637619845829292</c:v>
                </c:pt>
                <c:pt idx="358">
                  <c:v>-85.710567811628792</c:v>
                </c:pt>
                <c:pt idx="359">
                  <c:v>-85.511551539928249</c:v>
                </c:pt>
                <c:pt idx="360">
                  <c:v>-74.517630743056642</c:v>
                </c:pt>
                <c:pt idx="361">
                  <c:v>-77.323774349959407</c:v>
                </c:pt>
                <c:pt idx="362">
                  <c:v>-75.668868973021347</c:v>
                </c:pt>
                <c:pt idx="363">
                  <c:v>-69.608226504649778</c:v>
                </c:pt>
                <c:pt idx="364">
                  <c:v>-68.495485069855548</c:v>
                </c:pt>
                <c:pt idx="365">
                  <c:v>-68.882940170396282</c:v>
                </c:pt>
                <c:pt idx="366">
                  <c:v>-68.537204772799683</c:v>
                </c:pt>
                <c:pt idx="367">
                  <c:v>-68.277859996633012</c:v>
                </c:pt>
                <c:pt idx="368">
                  <c:v>-68.241601028044229</c:v>
                </c:pt>
                <c:pt idx="369">
                  <c:v>-67.983912907632529</c:v>
                </c:pt>
                <c:pt idx="370">
                  <c:v>-68.449824731892946</c:v>
                </c:pt>
                <c:pt idx="371">
                  <c:v>-68.65840000986438</c:v>
                </c:pt>
                <c:pt idx="372">
                  <c:v>-68.225956590356063</c:v>
                </c:pt>
                <c:pt idx="373">
                  <c:v>-68.838416822137248</c:v>
                </c:pt>
                <c:pt idx="374">
                  <c:v>-68.295521803240135</c:v>
                </c:pt>
                <c:pt idx="375">
                  <c:v>-68.824849734098748</c:v>
                </c:pt>
                <c:pt idx="376">
                  <c:v>-69.329065296888501</c:v>
                </c:pt>
                <c:pt idx="377">
                  <c:v>-68.748801894694054</c:v>
                </c:pt>
                <c:pt idx="378">
                  <c:v>-69.451442012433191</c:v>
                </c:pt>
                <c:pt idx="379">
                  <c:v>-69.840901848092159</c:v>
                </c:pt>
                <c:pt idx="380">
                  <c:v>-70.874455945487213</c:v>
                </c:pt>
                <c:pt idx="381">
                  <c:v>-69.555574984107182</c:v>
                </c:pt>
                <c:pt idx="382">
                  <c:v>-69.91802489080122</c:v>
                </c:pt>
                <c:pt idx="383">
                  <c:v>-69.365974172756523</c:v>
                </c:pt>
                <c:pt idx="384">
                  <c:v>-68.938933709092112</c:v>
                </c:pt>
                <c:pt idx="385">
                  <c:v>-67.964960502341611</c:v>
                </c:pt>
                <c:pt idx="386">
                  <c:v>-66.831374669547017</c:v>
                </c:pt>
                <c:pt idx="387">
                  <c:v>-70.113002375548334</c:v>
                </c:pt>
                <c:pt idx="388">
                  <c:v>-75.561763233506824</c:v>
                </c:pt>
                <c:pt idx="389">
                  <c:v>-78.479543903321783</c:v>
                </c:pt>
                <c:pt idx="390">
                  <c:v>-84.687265034807808</c:v>
                </c:pt>
                <c:pt idx="391">
                  <c:v>-74.874972130920625</c:v>
                </c:pt>
                <c:pt idx="392">
                  <c:v>-12.331689413738133</c:v>
                </c:pt>
                <c:pt idx="393">
                  <c:v>-12.703112833914151</c:v>
                </c:pt>
                <c:pt idx="394">
                  <c:v>-11.673851066639891</c:v>
                </c:pt>
                <c:pt idx="395">
                  <c:v>-12.035853709722893</c:v>
                </c:pt>
                <c:pt idx="396">
                  <c:v>-12.269323127484451</c:v>
                </c:pt>
                <c:pt idx="397">
                  <c:v>-11.957896179534451</c:v>
                </c:pt>
                <c:pt idx="398">
                  <c:v>-12.006188993119356</c:v>
                </c:pt>
                <c:pt idx="399">
                  <c:v>-11.853439357008245</c:v>
                </c:pt>
                <c:pt idx="400">
                  <c:v>-12.113800646925601</c:v>
                </c:pt>
                <c:pt idx="401">
                  <c:v>-11.878451921925599</c:v>
                </c:pt>
                <c:pt idx="402">
                  <c:v>-11.84771081064426</c:v>
                </c:pt>
                <c:pt idx="403">
                  <c:v>-11.703092500072835</c:v>
                </c:pt>
                <c:pt idx="404">
                  <c:v>-11.336964915339358</c:v>
                </c:pt>
                <c:pt idx="405">
                  <c:v>-11.230386523227398</c:v>
                </c:pt>
                <c:pt idx="406">
                  <c:v>-12.19556216008454</c:v>
                </c:pt>
                <c:pt idx="407">
                  <c:v>-11.84100932088689</c:v>
                </c:pt>
                <c:pt idx="408">
                  <c:v>-12.086277402518093</c:v>
                </c:pt>
                <c:pt idx="409">
                  <c:v>-12.107082931929858</c:v>
                </c:pt>
                <c:pt idx="410">
                  <c:v>-12.089150340708137</c:v>
                </c:pt>
                <c:pt idx="411">
                  <c:v>-12.109660612544875</c:v>
                </c:pt>
                <c:pt idx="412">
                  <c:v>-12.116718979626421</c:v>
                </c:pt>
                <c:pt idx="413">
                  <c:v>-12.084789766909273</c:v>
                </c:pt>
                <c:pt idx="414">
                  <c:v>-12.135265848288583</c:v>
                </c:pt>
                <c:pt idx="415">
                  <c:v>-13.163295758288584</c:v>
                </c:pt>
                <c:pt idx="416">
                  <c:v>-13.025639098411661</c:v>
                </c:pt>
                <c:pt idx="417">
                  <c:v>-12.568924361361658</c:v>
                </c:pt>
                <c:pt idx="418">
                  <c:v>-12.588895084583415</c:v>
                </c:pt>
                <c:pt idx="419">
                  <c:v>-12.761428476069485</c:v>
                </c:pt>
                <c:pt idx="420">
                  <c:v>-12.60343933160082</c:v>
                </c:pt>
                <c:pt idx="421">
                  <c:v>-12.28739217260082</c:v>
                </c:pt>
                <c:pt idx="422">
                  <c:v>-12.42262246260082</c:v>
                </c:pt>
                <c:pt idx="423">
                  <c:v>-12.343457728925145</c:v>
                </c:pt>
                <c:pt idx="424">
                  <c:v>-12.561273851147366</c:v>
                </c:pt>
                <c:pt idx="425">
                  <c:v>-12.581990806747365</c:v>
                </c:pt>
                <c:pt idx="426">
                  <c:v>-12.682661903289921</c:v>
                </c:pt>
                <c:pt idx="427">
                  <c:v>-12.597213929841642</c:v>
                </c:pt>
                <c:pt idx="428">
                  <c:v>-12.500851492815263</c:v>
                </c:pt>
                <c:pt idx="429">
                  <c:v>-12.031784756593041</c:v>
                </c:pt>
                <c:pt idx="430">
                  <c:v>-12.25410636315379</c:v>
                </c:pt>
                <c:pt idx="431">
                  <c:v>-12.175995892668352</c:v>
                </c:pt>
                <c:pt idx="432">
                  <c:v>-12.382193538039779</c:v>
                </c:pt>
                <c:pt idx="433">
                  <c:v>-12.498975311888017</c:v>
                </c:pt>
                <c:pt idx="434">
                  <c:v>-12.580423367948622</c:v>
                </c:pt>
                <c:pt idx="435">
                  <c:v>-12.608082343662909</c:v>
                </c:pt>
                <c:pt idx="436">
                  <c:v>-12.544778590673435</c:v>
                </c:pt>
                <c:pt idx="437">
                  <c:v>-12.66033711745915</c:v>
                </c:pt>
                <c:pt idx="438">
                  <c:v>-12.757264308059147</c:v>
                </c:pt>
                <c:pt idx="439">
                  <c:v>-12.76309378087605</c:v>
                </c:pt>
                <c:pt idx="440">
                  <c:v>-12.657252903266622</c:v>
                </c:pt>
                <c:pt idx="441">
                  <c:v>-12.709592441229587</c:v>
                </c:pt>
                <c:pt idx="442">
                  <c:v>-12.571023198388939</c:v>
                </c:pt>
                <c:pt idx="443">
                  <c:v>-12.354921148198203</c:v>
                </c:pt>
                <c:pt idx="444">
                  <c:v>-12.561769028198203</c:v>
                </c:pt>
                <c:pt idx="445">
                  <c:v>-12.503747850553665</c:v>
                </c:pt>
                <c:pt idx="446">
                  <c:v>-12.469046362630415</c:v>
                </c:pt>
                <c:pt idx="447">
                  <c:v>-12.192455971563342</c:v>
                </c:pt>
                <c:pt idx="448">
                  <c:v>-12.435875258720399</c:v>
                </c:pt>
                <c:pt idx="449">
                  <c:v>-12.493130125152478</c:v>
                </c:pt>
                <c:pt idx="450">
                  <c:v>-12.473817037363535</c:v>
                </c:pt>
                <c:pt idx="451">
                  <c:v>-12.550565747146141</c:v>
                </c:pt>
                <c:pt idx="452">
                  <c:v>-12.581926090921243</c:v>
                </c:pt>
                <c:pt idx="453">
                  <c:v>-12.582627705107289</c:v>
                </c:pt>
                <c:pt idx="454">
                  <c:v>-12.583489107964432</c:v>
                </c:pt>
                <c:pt idx="455">
                  <c:v>-12.530385572250147</c:v>
                </c:pt>
                <c:pt idx="456">
                  <c:v>-12.477327878250145</c:v>
                </c:pt>
                <c:pt idx="457">
                  <c:v>-12.115131797627434</c:v>
                </c:pt>
                <c:pt idx="458">
                  <c:v>-12.23366505642054</c:v>
                </c:pt>
                <c:pt idx="459">
                  <c:v>-12.199746160119169</c:v>
                </c:pt>
                <c:pt idx="460">
                  <c:v>-12.167885242401049</c:v>
                </c:pt>
                <c:pt idx="461">
                  <c:v>-12.213283499100076</c:v>
                </c:pt>
                <c:pt idx="462">
                  <c:v>-12.019928408346455</c:v>
                </c:pt>
                <c:pt idx="463">
                  <c:v>-11.824549536015628</c:v>
                </c:pt>
                <c:pt idx="464">
                  <c:v>-12.012003110793076</c:v>
                </c:pt>
                <c:pt idx="465">
                  <c:v>-11.927911760734595</c:v>
                </c:pt>
                <c:pt idx="466">
                  <c:v>-11.883402486059273</c:v>
                </c:pt>
                <c:pt idx="467">
                  <c:v>-11.894996719028969</c:v>
                </c:pt>
                <c:pt idx="468">
                  <c:v>-11.929319736615176</c:v>
                </c:pt>
                <c:pt idx="469">
                  <c:v>-11.81185537641417</c:v>
                </c:pt>
                <c:pt idx="470">
                  <c:v>-11.813789292023927</c:v>
                </c:pt>
                <c:pt idx="471">
                  <c:v>-11.744499452967322</c:v>
                </c:pt>
                <c:pt idx="472">
                  <c:v>-11.68805125600732</c:v>
                </c:pt>
                <c:pt idx="473">
                  <c:v>-11.66616955261749</c:v>
                </c:pt>
                <c:pt idx="474">
                  <c:v>-11.667777719750356</c:v>
                </c:pt>
                <c:pt idx="475">
                  <c:v>-11.503809862188518</c:v>
                </c:pt>
                <c:pt idx="476">
                  <c:v>-11.69347073731916</c:v>
                </c:pt>
                <c:pt idx="477">
                  <c:v>-11.738722223396509</c:v>
                </c:pt>
                <c:pt idx="478">
                  <c:v>-11.798726403396509</c:v>
                </c:pt>
                <c:pt idx="479">
                  <c:v>-11.659233043588818</c:v>
                </c:pt>
                <c:pt idx="480">
                  <c:v>-11.673381349371949</c:v>
                </c:pt>
                <c:pt idx="481">
                  <c:v>-11.688623574862145</c:v>
                </c:pt>
                <c:pt idx="482">
                  <c:v>-11.697981057719291</c:v>
                </c:pt>
                <c:pt idx="483">
                  <c:v>-11.686168866357422</c:v>
                </c:pt>
                <c:pt idx="484">
                  <c:v>-11.667385242695451</c:v>
                </c:pt>
                <c:pt idx="485">
                  <c:v>-11.662694196541604</c:v>
                </c:pt>
                <c:pt idx="486">
                  <c:v>-11.707490550279923</c:v>
                </c:pt>
                <c:pt idx="487">
                  <c:v>-11.531372430279921</c:v>
                </c:pt>
                <c:pt idx="488">
                  <c:v>-11.496597470718168</c:v>
                </c:pt>
                <c:pt idx="489">
                  <c:v>-11.532785041718169</c:v>
                </c:pt>
                <c:pt idx="490">
                  <c:v>-11.45167077053868</c:v>
                </c:pt>
                <c:pt idx="491">
                  <c:v>-11.738243504686592</c:v>
                </c:pt>
                <c:pt idx="492">
                  <c:v>-11.583129434686592</c:v>
                </c:pt>
                <c:pt idx="493">
                  <c:v>-11.275344786479042</c:v>
                </c:pt>
                <c:pt idx="494">
                  <c:v>-11.350754035886789</c:v>
                </c:pt>
                <c:pt idx="495">
                  <c:v>-11.471765389663613</c:v>
                </c:pt>
                <c:pt idx="496">
                  <c:v>-11.492123155663613</c:v>
                </c:pt>
                <c:pt idx="497">
                  <c:v>-11.457124429824686</c:v>
                </c:pt>
                <c:pt idx="498">
                  <c:v>-11.490415106295275</c:v>
                </c:pt>
                <c:pt idx="499">
                  <c:v>-11.51156873383626</c:v>
                </c:pt>
                <c:pt idx="500">
                  <c:v>-11.477896094173339</c:v>
                </c:pt>
                <c:pt idx="501">
                  <c:v>-11.457612363738555</c:v>
                </c:pt>
                <c:pt idx="502">
                  <c:v>-11.288536896347249</c:v>
                </c:pt>
                <c:pt idx="503">
                  <c:v>-11.294658444173338</c:v>
                </c:pt>
                <c:pt idx="504">
                  <c:v>-11.409741504048858</c:v>
                </c:pt>
                <c:pt idx="505">
                  <c:v>-11.332948467630946</c:v>
                </c:pt>
                <c:pt idx="506">
                  <c:v>-11.39651068222061</c:v>
                </c:pt>
                <c:pt idx="507">
                  <c:v>-11.287151132275557</c:v>
                </c:pt>
                <c:pt idx="508">
                  <c:v>-11.428553378835755</c:v>
                </c:pt>
                <c:pt idx="509">
                  <c:v>-11.506739876290299</c:v>
                </c:pt>
                <c:pt idx="510">
                  <c:v>-11.243834687207084</c:v>
                </c:pt>
                <c:pt idx="511">
                  <c:v>-11.193759548967382</c:v>
                </c:pt>
                <c:pt idx="512">
                  <c:v>-10.985505209836949</c:v>
                </c:pt>
                <c:pt idx="513">
                  <c:v>-10.89537990941262</c:v>
                </c:pt>
                <c:pt idx="514">
                  <c:v>-10.70063023669805</c:v>
                </c:pt>
                <c:pt idx="515">
                  <c:v>-10.666981853555193</c:v>
                </c:pt>
                <c:pt idx="516">
                  <c:v>-10.666981853555193</c:v>
                </c:pt>
                <c:pt idx="517">
                  <c:v>-10.771588297651578</c:v>
                </c:pt>
                <c:pt idx="518">
                  <c:v>-10.854901878223005</c:v>
                </c:pt>
                <c:pt idx="519">
                  <c:v>-10.76732041038068</c:v>
                </c:pt>
                <c:pt idx="520">
                  <c:v>-10.905444776360062</c:v>
                </c:pt>
                <c:pt idx="521">
                  <c:v>-10.868817972504131</c:v>
                </c:pt>
                <c:pt idx="522">
                  <c:v>-10.958922320170796</c:v>
                </c:pt>
                <c:pt idx="523">
                  <c:v>-10.989872971029902</c:v>
                </c:pt>
                <c:pt idx="524">
                  <c:v>-10.929238716431563</c:v>
                </c:pt>
                <c:pt idx="525">
                  <c:v>-10.541716835835537</c:v>
                </c:pt>
                <c:pt idx="526">
                  <c:v>-10.711704661391094</c:v>
                </c:pt>
                <c:pt idx="527">
                  <c:v>-10.480385584646635</c:v>
                </c:pt>
                <c:pt idx="528">
                  <c:v>-10.349947976065399</c:v>
                </c:pt>
                <c:pt idx="529">
                  <c:v>-10.699563469144714</c:v>
                </c:pt>
                <c:pt idx="530">
                  <c:v>-10.698672469144714</c:v>
                </c:pt>
                <c:pt idx="531">
                  <c:v>-11.110599305035803</c:v>
                </c:pt>
                <c:pt idx="532">
                  <c:v>-10.929376576695724</c:v>
                </c:pt>
                <c:pt idx="533">
                  <c:v>-10.915410288452772</c:v>
                </c:pt>
                <c:pt idx="534">
                  <c:v>-11.675874588397319</c:v>
                </c:pt>
                <c:pt idx="535">
                  <c:v>-11.062075670811115</c:v>
                </c:pt>
                <c:pt idx="536">
                  <c:v>-11.643657908942982</c:v>
                </c:pt>
                <c:pt idx="537">
                  <c:v>-11.269271291882276</c:v>
                </c:pt>
                <c:pt idx="538">
                  <c:v>-11.236615024831586</c:v>
                </c:pt>
                <c:pt idx="539">
                  <c:v>-11.127268881904278</c:v>
                </c:pt>
                <c:pt idx="540">
                  <c:v>-11.228840761058123</c:v>
                </c:pt>
                <c:pt idx="541">
                  <c:v>-11.064271940647867</c:v>
                </c:pt>
                <c:pt idx="542">
                  <c:v>-10.934378551040476</c:v>
                </c:pt>
                <c:pt idx="543">
                  <c:v>-11.072356253366054</c:v>
                </c:pt>
                <c:pt idx="544">
                  <c:v>-11.370321366195791</c:v>
                </c:pt>
                <c:pt idx="545">
                  <c:v>-11.722996768236605</c:v>
                </c:pt>
                <c:pt idx="546">
                  <c:v>-11.4360502116027</c:v>
                </c:pt>
                <c:pt idx="547">
                  <c:v>-11.320942555080963</c:v>
                </c:pt>
                <c:pt idx="548">
                  <c:v>-10.821611186031317</c:v>
                </c:pt>
                <c:pt idx="549">
                  <c:v>-10.833266240147955</c:v>
                </c:pt>
                <c:pt idx="550">
                  <c:v>-9.6843352583081082</c:v>
                </c:pt>
                <c:pt idx="551">
                  <c:v>-9.6766848620042101</c:v>
                </c:pt>
                <c:pt idx="552">
                  <c:v>-8.6646449285924447</c:v>
                </c:pt>
                <c:pt idx="553">
                  <c:v>-7.5556472179541467</c:v>
                </c:pt>
                <c:pt idx="554">
                  <c:v>-8.8541823520040523</c:v>
                </c:pt>
                <c:pt idx="555">
                  <c:v>-8.9485646562078749</c:v>
                </c:pt>
                <c:pt idx="556">
                  <c:v>-8.9485646562078767</c:v>
                </c:pt>
                <c:pt idx="557">
                  <c:v>-9.2420731706587436</c:v>
                </c:pt>
                <c:pt idx="558">
                  <c:v>-9.2408455868925099</c:v>
                </c:pt>
                <c:pt idx="559">
                  <c:v>-9.2190761151533795</c:v>
                </c:pt>
                <c:pt idx="560">
                  <c:v>-9.2470032802794311</c:v>
                </c:pt>
                <c:pt idx="561">
                  <c:v>-9.2287005850146322</c:v>
                </c:pt>
                <c:pt idx="562">
                  <c:v>-9.1892362695216736</c:v>
                </c:pt>
                <c:pt idx="563">
                  <c:v>-9.3970616514769816</c:v>
                </c:pt>
                <c:pt idx="564">
                  <c:v>-9.2975318368082114</c:v>
                </c:pt>
                <c:pt idx="565">
                  <c:v>-9.1737780913267315</c:v>
                </c:pt>
                <c:pt idx="566">
                  <c:v>-9.179792763265894</c:v>
                </c:pt>
                <c:pt idx="567">
                  <c:v>-9.4913778123676895</c:v>
                </c:pt>
                <c:pt idx="568">
                  <c:v>-9.4444152923676885</c:v>
                </c:pt>
                <c:pt idx="569">
                  <c:v>-9.4080838031873597</c:v>
                </c:pt>
                <c:pt idx="570">
                  <c:v>-9.6145628418080502</c:v>
                </c:pt>
                <c:pt idx="571">
                  <c:v>-9.5617351104608996</c:v>
                </c:pt>
                <c:pt idx="572">
                  <c:v>-9.8039382287866896</c:v>
                </c:pt>
                <c:pt idx="573">
                  <c:v>-10.001880435929548</c:v>
                </c:pt>
                <c:pt idx="574">
                  <c:v>-10.07704199777926</c:v>
                </c:pt>
                <c:pt idx="575">
                  <c:v>-9.9276183377792577</c:v>
                </c:pt>
                <c:pt idx="576">
                  <c:v>-9.6765964196228325</c:v>
                </c:pt>
                <c:pt idx="577">
                  <c:v>-9.4509655296228328</c:v>
                </c:pt>
                <c:pt idx="578">
                  <c:v>-9.5453344026098463</c:v>
                </c:pt>
                <c:pt idx="579">
                  <c:v>-9.8235855558204808</c:v>
                </c:pt>
                <c:pt idx="580">
                  <c:v>-9.4893965392316968</c:v>
                </c:pt>
                <c:pt idx="581">
                  <c:v>-8.6231692424181361</c:v>
                </c:pt>
                <c:pt idx="582">
                  <c:v>-8.86476469561679</c:v>
                </c:pt>
                <c:pt idx="583">
                  <c:v>-8.740417477501774</c:v>
                </c:pt>
                <c:pt idx="584">
                  <c:v>-8.4536026704566503</c:v>
                </c:pt>
                <c:pt idx="585">
                  <c:v>-8.0305453736744727</c:v>
                </c:pt>
                <c:pt idx="586">
                  <c:v>-6.6760616503365791</c:v>
                </c:pt>
                <c:pt idx="587">
                  <c:v>-6.8197780078858141</c:v>
                </c:pt>
                <c:pt idx="588">
                  <c:v>-6.7178799297953615</c:v>
                </c:pt>
                <c:pt idx="589">
                  <c:v>-6.6651588543408149</c:v>
                </c:pt>
                <c:pt idx="590">
                  <c:v>-6.6341862160331235</c:v>
                </c:pt>
                <c:pt idx="591">
                  <c:v>-6.5593684189689032</c:v>
                </c:pt>
                <c:pt idx="592">
                  <c:v>-7.1583994689689021</c:v>
                </c:pt>
                <c:pt idx="593">
                  <c:v>-6.9916505105873998</c:v>
                </c:pt>
                <c:pt idx="594">
                  <c:v>-6.8581890026729617</c:v>
                </c:pt>
                <c:pt idx="595">
                  <c:v>-7.1532179739024686</c:v>
                </c:pt>
                <c:pt idx="596">
                  <c:v>-6.3482605380340464</c:v>
                </c:pt>
                <c:pt idx="597">
                  <c:v>-7.0229067332379289</c:v>
                </c:pt>
                <c:pt idx="598">
                  <c:v>-7.2170211732379297</c:v>
                </c:pt>
                <c:pt idx="599">
                  <c:v>-7.391659050706286</c:v>
                </c:pt>
                <c:pt idx="600">
                  <c:v>-7.3547490997197373</c:v>
                </c:pt>
                <c:pt idx="601">
                  <c:v>-7.2669957131508225</c:v>
                </c:pt>
                <c:pt idx="602">
                  <c:v>-7.1538463409139812</c:v>
                </c:pt>
                <c:pt idx="603">
                  <c:v>-7.0153051599383698</c:v>
                </c:pt>
                <c:pt idx="604">
                  <c:v>-7.2165516995356853</c:v>
                </c:pt>
                <c:pt idx="605">
                  <c:v>-6.9910735551992369</c:v>
                </c:pt>
                <c:pt idx="606">
                  <c:v>-7.1152254398146226</c:v>
                </c:pt>
                <c:pt idx="607">
                  <c:v>-6.7860801666418178</c:v>
                </c:pt>
                <c:pt idx="608">
                  <c:v>-6.6972339926795534</c:v>
                </c:pt>
                <c:pt idx="609">
                  <c:v>-6.4660795464295537</c:v>
                </c:pt>
                <c:pt idx="610">
                  <c:v>-6.1346676507245634</c:v>
                </c:pt>
                <c:pt idx="611">
                  <c:v>-6.555679968866408</c:v>
                </c:pt>
                <c:pt idx="612">
                  <c:v>-6.2696151630949801</c:v>
                </c:pt>
                <c:pt idx="613">
                  <c:v>-5.7120672276487738</c:v>
                </c:pt>
                <c:pt idx="614">
                  <c:v>-5.7254424631517313</c:v>
                </c:pt>
                <c:pt idx="615">
                  <c:v>-5.8205401833497508</c:v>
                </c:pt>
                <c:pt idx="616">
                  <c:v>-5.7252436394411212</c:v>
                </c:pt>
                <c:pt idx="617">
                  <c:v>-6.1225322494411234</c:v>
                </c:pt>
                <c:pt idx="618">
                  <c:v>-6.0606644790707529</c:v>
                </c:pt>
                <c:pt idx="619">
                  <c:v>-6.242914139070753</c:v>
                </c:pt>
                <c:pt idx="620">
                  <c:v>-6.1278482228545368</c:v>
                </c:pt>
                <c:pt idx="621">
                  <c:v>-6.0498950366476398</c:v>
                </c:pt>
                <c:pt idx="622">
                  <c:v>-6.0012609260886345</c:v>
                </c:pt>
                <c:pt idx="623">
                  <c:v>-5.7587795642675479</c:v>
                </c:pt>
                <c:pt idx="624">
                  <c:v>-5.9783446070953126</c:v>
                </c:pt>
                <c:pt idx="625">
                  <c:v>-5.9429080620105657</c:v>
                </c:pt>
                <c:pt idx="626">
                  <c:v>-6.1224318035985483</c:v>
                </c:pt>
                <c:pt idx="627">
                  <c:v>-6.3515280126652138</c:v>
                </c:pt>
                <c:pt idx="628">
                  <c:v>-6.2407914347730573</c:v>
                </c:pt>
                <c:pt idx="629">
                  <c:v>-6.2965109263931689</c:v>
                </c:pt>
                <c:pt idx="630">
                  <c:v>-6.4093570325555307</c:v>
                </c:pt>
                <c:pt idx="631">
                  <c:v>-6.4859018511470792</c:v>
                </c:pt>
                <c:pt idx="632">
                  <c:v>-6.3880415764048122</c:v>
                </c:pt>
                <c:pt idx="633">
                  <c:v>-6.4452283709209413</c:v>
                </c:pt>
                <c:pt idx="634">
                  <c:v>-6.4644946291968042</c:v>
                </c:pt>
                <c:pt idx="635">
                  <c:v>-6.3282859157056803</c:v>
                </c:pt>
                <c:pt idx="636">
                  <c:v>-6.4006534431029403</c:v>
                </c:pt>
                <c:pt idx="637">
                  <c:v>-6.4676007175856984</c:v>
                </c:pt>
                <c:pt idx="638">
                  <c:v>-6.3008169441774582</c:v>
                </c:pt>
                <c:pt idx="639">
                  <c:v>-6.4003115333078924</c:v>
                </c:pt>
                <c:pt idx="640">
                  <c:v>-6.4069668330905003</c:v>
                </c:pt>
                <c:pt idx="641">
                  <c:v>-6.2920307689395569</c:v>
                </c:pt>
                <c:pt idx="642">
                  <c:v>-6.5485800375109866</c:v>
                </c:pt>
                <c:pt idx="643">
                  <c:v>-6.583676089055702</c:v>
                </c:pt>
                <c:pt idx="644">
                  <c:v>-6.5691954971509396</c:v>
                </c:pt>
                <c:pt idx="645">
                  <c:v>-6.5267474440970483</c:v>
                </c:pt>
                <c:pt idx="646">
                  <c:v>-6.7067500450214181</c:v>
                </c:pt>
                <c:pt idx="647">
                  <c:v>-6.8031966202326855</c:v>
                </c:pt>
                <c:pt idx="648">
                  <c:v>-6.7295045048480695</c:v>
                </c:pt>
                <c:pt idx="649">
                  <c:v>-6.7077736552985208</c:v>
                </c:pt>
                <c:pt idx="650">
                  <c:v>-6.7944058796574955</c:v>
                </c:pt>
                <c:pt idx="651">
                  <c:v>-6.8624670792130509</c:v>
                </c:pt>
                <c:pt idx="652">
                  <c:v>-7.0429263421542272</c:v>
                </c:pt>
                <c:pt idx="653">
                  <c:v>-7.0396066100897103</c:v>
                </c:pt>
                <c:pt idx="654">
                  <c:v>-6.9628213385745594</c:v>
                </c:pt>
                <c:pt idx="655">
                  <c:v>-6.9789629479293982</c:v>
                </c:pt>
                <c:pt idx="656">
                  <c:v>-6.9337544979293977</c:v>
                </c:pt>
                <c:pt idx="657">
                  <c:v>-6.8880369496793969</c:v>
                </c:pt>
                <c:pt idx="658">
                  <c:v>-6.8019109670707012</c:v>
                </c:pt>
                <c:pt idx="659">
                  <c:v>-6.8238381050707</c:v>
                </c:pt>
                <c:pt idx="660">
                  <c:v>-6.8934396734289081</c:v>
                </c:pt>
                <c:pt idx="661">
                  <c:v>-6.9532797856930593</c:v>
                </c:pt>
                <c:pt idx="662">
                  <c:v>-7.3588271639283542</c:v>
                </c:pt>
                <c:pt idx="663">
                  <c:v>-7.1908421639283544</c:v>
                </c:pt>
                <c:pt idx="664">
                  <c:v>-7.170795246387371</c:v>
                </c:pt>
                <c:pt idx="665">
                  <c:v>-7.1961547928738572</c:v>
                </c:pt>
                <c:pt idx="666">
                  <c:v>-7.0348021799647675</c:v>
                </c:pt>
                <c:pt idx="667">
                  <c:v>-7.5611129037965457</c:v>
                </c:pt>
                <c:pt idx="668">
                  <c:v>-6.3915968859632102</c:v>
                </c:pt>
                <c:pt idx="669">
                  <c:v>-6.2127989486265269</c:v>
                </c:pt>
                <c:pt idx="670">
                  <c:v>-6.145604015575679</c:v>
                </c:pt>
                <c:pt idx="671">
                  <c:v>-6.1960381922223853</c:v>
                </c:pt>
                <c:pt idx="672">
                  <c:v>-6.1515966448414332</c:v>
                </c:pt>
                <c:pt idx="673">
                  <c:v>-6.0910862770636554</c:v>
                </c:pt>
                <c:pt idx="674">
                  <c:v>-6.2061077806564686</c:v>
                </c:pt>
                <c:pt idx="675">
                  <c:v>-6.1684861479446047</c:v>
                </c:pt>
                <c:pt idx="676">
                  <c:v>-6.2981373610440192</c:v>
                </c:pt>
                <c:pt idx="677">
                  <c:v>-6.1669232277106856</c:v>
                </c:pt>
                <c:pt idx="678">
                  <c:v>-6.1659882175467517</c:v>
                </c:pt>
                <c:pt idx="679">
                  <c:v>-5.9855219586291426</c:v>
                </c:pt>
                <c:pt idx="680">
                  <c:v>-6.0998157344862856</c:v>
                </c:pt>
                <c:pt idx="681">
                  <c:v>-6.167609086024747</c:v>
                </c:pt>
                <c:pt idx="682">
                  <c:v>-6.200444655548556</c:v>
                </c:pt>
                <c:pt idx="683">
                  <c:v>-6.2034252605485563</c:v>
                </c:pt>
                <c:pt idx="684">
                  <c:v>-6.110877955039574</c:v>
                </c:pt>
                <c:pt idx="685">
                  <c:v>-5.9240673026172139</c:v>
                </c:pt>
                <c:pt idx="686">
                  <c:v>-6.217867284155675</c:v>
                </c:pt>
                <c:pt idx="687">
                  <c:v>-5.6485682857910637</c:v>
                </c:pt>
                <c:pt idx="688">
                  <c:v>-5.6402629913337883</c:v>
                </c:pt>
                <c:pt idx="689">
                  <c:v>-5.6978462972161417</c:v>
                </c:pt>
                <c:pt idx="690">
                  <c:v>-5.7069259933385892</c:v>
                </c:pt>
                <c:pt idx="691">
                  <c:v>-5.5153660758993377</c:v>
                </c:pt>
                <c:pt idx="692">
                  <c:v>-5.4666137761062341</c:v>
                </c:pt>
                <c:pt idx="693">
                  <c:v>-5.2267421622827035</c:v>
                </c:pt>
                <c:pt idx="694">
                  <c:v>-5.2689884446892803</c:v>
                </c:pt>
                <c:pt idx="695">
                  <c:v>-5.22549114468928</c:v>
                </c:pt>
                <c:pt idx="696">
                  <c:v>-5.1879706643666994</c:v>
                </c:pt>
                <c:pt idx="697">
                  <c:v>-5.2764566921853966</c:v>
                </c:pt>
                <c:pt idx="698">
                  <c:v>-5.2276972942687294</c:v>
                </c:pt>
                <c:pt idx="699">
                  <c:v>-5.1848752832883376</c:v>
                </c:pt>
                <c:pt idx="700">
                  <c:v>-5.280484101593423</c:v>
                </c:pt>
                <c:pt idx="701">
                  <c:v>-5.279351558180724</c:v>
                </c:pt>
                <c:pt idx="702">
                  <c:v>-5.1990730313514559</c:v>
                </c:pt>
                <c:pt idx="703">
                  <c:v>-5.1438545165238692</c:v>
                </c:pt>
                <c:pt idx="704">
                  <c:v>-5.0325874187310005</c:v>
                </c:pt>
                <c:pt idx="705">
                  <c:v>-5.1280873449304618</c:v>
                </c:pt>
                <c:pt idx="706">
                  <c:v>-5.1040136919727148</c:v>
                </c:pt>
                <c:pt idx="707">
                  <c:v>-5.0389161642157054</c:v>
                </c:pt>
                <c:pt idx="708">
                  <c:v>-5.067935158411891</c:v>
                </c:pt>
                <c:pt idx="709">
                  <c:v>-4.7716967619569433</c:v>
                </c:pt>
                <c:pt idx="710">
                  <c:v>-4.0589712752823308</c:v>
                </c:pt>
                <c:pt idx="711">
                  <c:v>-1.2632937456985851</c:v>
                </c:pt>
                <c:pt idx="712">
                  <c:v>-1.353551361334324</c:v>
                </c:pt>
                <c:pt idx="713">
                  <c:v>-1.1508474983288592</c:v>
                </c:pt>
                <c:pt idx="714">
                  <c:v>-1.2163175436409444</c:v>
                </c:pt>
                <c:pt idx="715">
                  <c:v>-1.3086422316632291</c:v>
                </c:pt>
                <c:pt idx="716">
                  <c:v>-1.3621051382814107</c:v>
                </c:pt>
                <c:pt idx="717">
                  <c:v>-1.464254117081411</c:v>
                </c:pt>
                <c:pt idx="718">
                  <c:v>-1.6326266392978155</c:v>
                </c:pt>
                <c:pt idx="719">
                  <c:v>-1.5453710343313727</c:v>
                </c:pt>
                <c:pt idx="720">
                  <c:v>-1.5908205839879381</c:v>
                </c:pt>
                <c:pt idx="721">
                  <c:v>-1.7242534839879382</c:v>
                </c:pt>
                <c:pt idx="722">
                  <c:v>-1.8899850239879381</c:v>
                </c:pt>
                <c:pt idx="723">
                  <c:v>-1.8447725421908368</c:v>
                </c:pt>
                <c:pt idx="724">
                  <c:v>-2.0100007255051224</c:v>
                </c:pt>
                <c:pt idx="725">
                  <c:v>-2.0002409252194084</c:v>
                </c:pt>
                <c:pt idx="726">
                  <c:v>-1.9654627829117164</c:v>
                </c:pt>
                <c:pt idx="727">
                  <c:v>-1.976622199578383</c:v>
                </c:pt>
                <c:pt idx="728">
                  <c:v>-1.9998302873561606</c:v>
                </c:pt>
                <c:pt idx="729">
                  <c:v>-1.9998302873561606</c:v>
                </c:pt>
                <c:pt idx="730">
                  <c:v>-1.9486271373561606</c:v>
                </c:pt>
                <c:pt idx="731">
                  <c:v>-1.8440893973561605</c:v>
                </c:pt>
                <c:pt idx="732">
                  <c:v>-1.796881992740776</c:v>
                </c:pt>
                <c:pt idx="733">
                  <c:v>-1.8124586627407759</c:v>
                </c:pt>
                <c:pt idx="734">
                  <c:v>-1.9069674392925002</c:v>
                </c:pt>
                <c:pt idx="735">
                  <c:v>-1.9162053303967945</c:v>
                </c:pt>
                <c:pt idx="736">
                  <c:v>-1.9114440503967947</c:v>
                </c:pt>
                <c:pt idx="737">
                  <c:v>-1.9235209338394177</c:v>
                </c:pt>
                <c:pt idx="738">
                  <c:v>-1.9565376338394176</c:v>
                </c:pt>
                <c:pt idx="739">
                  <c:v>-1.982745875267989</c:v>
                </c:pt>
                <c:pt idx="740">
                  <c:v>-1.9555073891256674</c:v>
                </c:pt>
                <c:pt idx="741">
                  <c:v>-1.9527837577343627</c:v>
                </c:pt>
                <c:pt idx="742">
                  <c:v>-1.8967231064120484</c:v>
                </c:pt>
                <c:pt idx="743">
                  <c:v>-1.9427595739414603</c:v>
                </c:pt>
                <c:pt idx="744">
                  <c:v>-2.0810836949584086</c:v>
                </c:pt>
                <c:pt idx="745">
                  <c:v>-2.1077323213735037</c:v>
                </c:pt>
                <c:pt idx="746">
                  <c:v>-2.1389626602414284</c:v>
                </c:pt>
                <c:pt idx="747">
                  <c:v>-2.1546123249473101</c:v>
                </c:pt>
                <c:pt idx="748">
                  <c:v>-2.1115534961973106</c:v>
                </c:pt>
                <c:pt idx="749">
                  <c:v>-2.1847550702202989</c:v>
                </c:pt>
                <c:pt idx="750">
                  <c:v>-2.1372117189024697</c:v>
                </c:pt>
                <c:pt idx="751">
                  <c:v>-2.0193570405691372</c:v>
                </c:pt>
                <c:pt idx="752">
                  <c:v>-1.9549692126721416</c:v>
                </c:pt>
                <c:pt idx="753">
                  <c:v>-1.8085680219990639</c:v>
                </c:pt>
                <c:pt idx="754">
                  <c:v>-1.7339999419990639</c:v>
                </c:pt>
                <c:pt idx="755">
                  <c:v>-1.6815387495462335</c:v>
                </c:pt>
                <c:pt idx="756">
                  <c:v>-1.7328256161517379</c:v>
                </c:pt>
                <c:pt idx="757">
                  <c:v>-1.7218107021732432</c:v>
                </c:pt>
                <c:pt idx="758">
                  <c:v>-1.7903005914146226</c:v>
                </c:pt>
                <c:pt idx="759">
                  <c:v>-1.7826875710531767</c:v>
                </c:pt>
                <c:pt idx="760">
                  <c:v>-1.7725664741566252</c:v>
                </c:pt>
                <c:pt idx="761">
                  <c:v>-1.7560799236303093</c:v>
                </c:pt>
                <c:pt idx="762">
                  <c:v>-1.7189836758525319</c:v>
                </c:pt>
                <c:pt idx="763">
                  <c:v>-1.7193671991293682</c:v>
                </c:pt>
                <c:pt idx="764">
                  <c:v>-1.7186513827557415</c:v>
                </c:pt>
                <c:pt idx="765">
                  <c:v>-1.6895265608689489</c:v>
                </c:pt>
                <c:pt idx="766">
                  <c:v>-1.6384982568539399</c:v>
                </c:pt>
                <c:pt idx="767">
                  <c:v>-1.5966448632690344</c:v>
                </c:pt>
                <c:pt idx="768">
                  <c:v>-1.6001838032690343</c:v>
                </c:pt>
                <c:pt idx="769">
                  <c:v>-1.56234938144583</c:v>
                </c:pt>
                <c:pt idx="770">
                  <c:v>-1.5813671970536729</c:v>
                </c:pt>
                <c:pt idx="771">
                  <c:v>-1.6094585770536731</c:v>
                </c:pt>
                <c:pt idx="772">
                  <c:v>-1.6439765193093121</c:v>
                </c:pt>
                <c:pt idx="773">
                  <c:v>-1.5142239033799001</c:v>
                </c:pt>
                <c:pt idx="774">
                  <c:v>-1.3412554533799002</c:v>
                </c:pt>
                <c:pt idx="775">
                  <c:v>-1.3813925319744951</c:v>
                </c:pt>
                <c:pt idx="776">
                  <c:v>-1.2027597727926769</c:v>
                </c:pt>
                <c:pt idx="777">
                  <c:v>-1.2016533194440526</c:v>
                </c:pt>
                <c:pt idx="778">
                  <c:v>-0.96408656586863384</c:v>
                </c:pt>
                <c:pt idx="779">
                  <c:v>-1.2143548846610352</c:v>
                </c:pt>
                <c:pt idx="780">
                  <c:v>-1.3217268930820878</c:v>
                </c:pt>
                <c:pt idx="781">
                  <c:v>-1.3553427208256776</c:v>
                </c:pt>
                <c:pt idx="782">
                  <c:v>-1.2665229041805162</c:v>
                </c:pt>
                <c:pt idx="783">
                  <c:v>-1.3958620641805162</c:v>
                </c:pt>
                <c:pt idx="784">
                  <c:v>-1.2307313889424214</c:v>
                </c:pt>
                <c:pt idx="785">
                  <c:v>-1.2342144358960638</c:v>
                </c:pt>
                <c:pt idx="786">
                  <c:v>-1.4159080682455782</c:v>
                </c:pt>
                <c:pt idx="787">
                  <c:v>-1.4099042953688663</c:v>
                </c:pt>
                <c:pt idx="788">
                  <c:v>-1.4258022793688665</c:v>
                </c:pt>
                <c:pt idx="789">
                  <c:v>-1.4203187420888663</c:v>
                </c:pt>
                <c:pt idx="790">
                  <c:v>-1.3968544602207349</c:v>
                </c:pt>
                <c:pt idx="791">
                  <c:v>-1.3781369371438117</c:v>
                </c:pt>
                <c:pt idx="792">
                  <c:v>-1.3054996240351977</c:v>
                </c:pt>
                <c:pt idx="793">
                  <c:v>-1.318830999993386</c:v>
                </c:pt>
                <c:pt idx="794">
                  <c:v>-1.2757759212977342</c:v>
                </c:pt>
                <c:pt idx="795">
                  <c:v>-1.430306933912413</c:v>
                </c:pt>
                <c:pt idx="796">
                  <c:v>-1.3266337239124133</c:v>
                </c:pt>
                <c:pt idx="797">
                  <c:v>-1.3584517492572408</c:v>
                </c:pt>
                <c:pt idx="798">
                  <c:v>-1.3388540635429551</c:v>
                </c:pt>
                <c:pt idx="799">
                  <c:v>-1.2395123705429552</c:v>
                </c:pt>
                <c:pt idx="800">
                  <c:v>-1.1685006473722233</c:v>
                </c:pt>
                <c:pt idx="801">
                  <c:v>-1.1503213481986696</c:v>
                </c:pt>
                <c:pt idx="802">
                  <c:v>-1.1062361224811297</c:v>
                </c:pt>
                <c:pt idx="803">
                  <c:v>-1.0893077332892105</c:v>
                </c:pt>
                <c:pt idx="804">
                  <c:v>-1.0683954485677249</c:v>
                </c:pt>
                <c:pt idx="805">
                  <c:v>-1.0323420223772486</c:v>
                </c:pt>
                <c:pt idx="806">
                  <c:v>-0.95545948811715919</c:v>
                </c:pt>
                <c:pt idx="807">
                  <c:v>-0.81645916811715924</c:v>
                </c:pt>
                <c:pt idx="808">
                  <c:v>-0.66183575155227403</c:v>
                </c:pt>
                <c:pt idx="809">
                  <c:v>-0.72615500478012218</c:v>
                </c:pt>
                <c:pt idx="810">
                  <c:v>-0.73233266106239459</c:v>
                </c:pt>
                <c:pt idx="811">
                  <c:v>-0.72959254352814762</c:v>
                </c:pt>
                <c:pt idx="812">
                  <c:v>-0.6143891034315293</c:v>
                </c:pt>
                <c:pt idx="813">
                  <c:v>-0.59772260791870857</c:v>
                </c:pt>
                <c:pt idx="814">
                  <c:v>-0.60965521754253316</c:v>
                </c:pt>
                <c:pt idx="815">
                  <c:v>-0.53675737957151892</c:v>
                </c:pt>
                <c:pt idx="816">
                  <c:v>-0.62184542957151878</c:v>
                </c:pt>
                <c:pt idx="817">
                  <c:v>-0.66029681110998029</c:v>
                </c:pt>
                <c:pt idx="818">
                  <c:v>-0.61527322141301077</c:v>
                </c:pt>
                <c:pt idx="819">
                  <c:v>-0.62612757151610399</c:v>
                </c:pt>
                <c:pt idx="820">
                  <c:v>-0.6644411480761041</c:v>
                </c:pt>
                <c:pt idx="821">
                  <c:v>-0.65911777385150505</c:v>
                </c:pt>
                <c:pt idx="822">
                  <c:v>-0.61324000040652915</c:v>
                </c:pt>
                <c:pt idx="823">
                  <c:v>-0.46474315133986244</c:v>
                </c:pt>
                <c:pt idx="824">
                  <c:v>-0.39230423749570636</c:v>
                </c:pt>
                <c:pt idx="825">
                  <c:v>-0.4140301203703991</c:v>
                </c:pt>
                <c:pt idx="826">
                  <c:v>-0.52194800767319816</c:v>
                </c:pt>
                <c:pt idx="827">
                  <c:v>-0.58958064353526685</c:v>
                </c:pt>
                <c:pt idx="828">
                  <c:v>-0.55374042080799402</c:v>
                </c:pt>
                <c:pt idx="829">
                  <c:v>-0.4935712138312498</c:v>
                </c:pt>
                <c:pt idx="830">
                  <c:v>-0.50810598764077364</c:v>
                </c:pt>
                <c:pt idx="831">
                  <c:v>-0.55530431272551939</c:v>
                </c:pt>
                <c:pt idx="832">
                  <c:v>-0.52985945272551938</c:v>
                </c:pt>
                <c:pt idx="833">
                  <c:v>-0.50221815159557592</c:v>
                </c:pt>
                <c:pt idx="834">
                  <c:v>-0.45386062666224258</c:v>
                </c:pt>
                <c:pt idx="835">
                  <c:v>-0.4376113844347545</c:v>
                </c:pt>
                <c:pt idx="836">
                  <c:v>-0.39847484884770989</c:v>
                </c:pt>
                <c:pt idx="837">
                  <c:v>-0.44786871106993248</c:v>
                </c:pt>
                <c:pt idx="838">
                  <c:v>-0.41356279499150078</c:v>
                </c:pt>
                <c:pt idx="839">
                  <c:v>-0.43320143727721466</c:v>
                </c:pt>
                <c:pt idx="840">
                  <c:v>-0.38671774985453439</c:v>
                </c:pt>
                <c:pt idx="841">
                  <c:v>-0.38313592985453443</c:v>
                </c:pt>
                <c:pt idx="842">
                  <c:v>-0.59272652660722258</c:v>
                </c:pt>
                <c:pt idx="843">
                  <c:v>-0.62565106369942136</c:v>
                </c:pt>
                <c:pt idx="844">
                  <c:v>-0.71179438665488692</c:v>
                </c:pt>
                <c:pt idx="845">
                  <c:v>-0.71778842063498649</c:v>
                </c:pt>
                <c:pt idx="846">
                  <c:v>-0.71812010888060052</c:v>
                </c:pt>
                <c:pt idx="847">
                  <c:v>-0.60169357836909154</c:v>
                </c:pt>
                <c:pt idx="848">
                  <c:v>-0.53890558307071901</c:v>
                </c:pt>
                <c:pt idx="849">
                  <c:v>-0.57209766983330901</c:v>
                </c:pt>
                <c:pt idx="850">
                  <c:v>-0.59040395395857914</c:v>
                </c:pt>
                <c:pt idx="851">
                  <c:v>-0.71676022403086825</c:v>
                </c:pt>
                <c:pt idx="852">
                  <c:v>-0.81692968188232706</c:v>
                </c:pt>
                <c:pt idx="853">
                  <c:v>-0.8671635349531932</c:v>
                </c:pt>
                <c:pt idx="854">
                  <c:v>-0.91373283567783103</c:v>
                </c:pt>
                <c:pt idx="855">
                  <c:v>-0.9156226337494564</c:v>
                </c:pt>
                <c:pt idx="856">
                  <c:v>-0.91264829588686103</c:v>
                </c:pt>
                <c:pt idx="857">
                  <c:v>-0.92110463343315718</c:v>
                </c:pt>
                <c:pt idx="858">
                  <c:v>-0.83699483067023384</c:v>
                </c:pt>
                <c:pt idx="859">
                  <c:v>-0.66941575259615971</c:v>
                </c:pt>
                <c:pt idx="860">
                  <c:v>-0.49554118325841129</c:v>
                </c:pt>
                <c:pt idx="861">
                  <c:v>-0.38359858349694331</c:v>
                </c:pt>
                <c:pt idx="862">
                  <c:v>-0.48315690603890976</c:v>
                </c:pt>
                <c:pt idx="863">
                  <c:v>-0.51139714933337033</c:v>
                </c:pt>
                <c:pt idx="864">
                  <c:v>-0.51443172744312637</c:v>
                </c:pt>
                <c:pt idx="865">
                  <c:v>-0.52608144776058663</c:v>
                </c:pt>
                <c:pt idx="866">
                  <c:v>-0.57771506776058679</c:v>
                </c:pt>
                <c:pt idx="867">
                  <c:v>-0.58770299511352797</c:v>
                </c:pt>
                <c:pt idx="868">
                  <c:v>-0.66642188603416297</c:v>
                </c:pt>
                <c:pt idx="869">
                  <c:v>-0.68205401295005086</c:v>
                </c:pt>
                <c:pt idx="870">
                  <c:v>-0.70360563887422156</c:v>
                </c:pt>
                <c:pt idx="871">
                  <c:v>-0.46504122450296415</c:v>
                </c:pt>
                <c:pt idx="872">
                  <c:v>-0.42804888853458478</c:v>
                </c:pt>
                <c:pt idx="873">
                  <c:v>-0.43476682272063127</c:v>
                </c:pt>
                <c:pt idx="874">
                  <c:v>-0.46851118764448912</c:v>
                </c:pt>
                <c:pt idx="875">
                  <c:v>-0.44983489764448903</c:v>
                </c:pt>
                <c:pt idx="876">
                  <c:v>-0.38231147624352291</c:v>
                </c:pt>
                <c:pt idx="877">
                  <c:v>-0.36798224345282521</c:v>
                </c:pt>
                <c:pt idx="878">
                  <c:v>-0.41678166811345879</c:v>
                </c:pt>
                <c:pt idx="879">
                  <c:v>-0.41925103123345886</c:v>
                </c:pt>
                <c:pt idx="880">
                  <c:v>-0.38410913123345908</c:v>
                </c:pt>
                <c:pt idx="881">
                  <c:v>-0.42260771641864409</c:v>
                </c:pt>
                <c:pt idx="882">
                  <c:v>-0.45355797210491877</c:v>
                </c:pt>
                <c:pt idx="883">
                  <c:v>-0.37373496336997897</c:v>
                </c:pt>
                <c:pt idx="884">
                  <c:v>-7.9272372057761775E-2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54-4109-997C-0B3C6AC05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706624"/>
        <c:axId val="639704960"/>
      </c:lineChart>
      <c:dateAx>
        <c:axId val="63970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704960"/>
        <c:crosses val="autoZero"/>
        <c:auto val="1"/>
        <c:lblOffset val="100"/>
        <c:baseTimeUnit val="days"/>
      </c:dateAx>
      <c:valAx>
        <c:axId val="6397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70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CCD44A-1273-441B-8C26-D3C1AC0724C9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E813F7-0E76-485B-A241-A6BA7EBC99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6.8654999999999994E-2</v>
      </c>
      <c r="D2" s="4">
        <f>MIN(D3:D1912)</f>
        <v>1.0009999999999999E-3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9.9000000000000008E-3</v>
      </c>
      <c r="C5">
        <v>9.9399999999999992E-3</v>
      </c>
      <c r="D5">
        <v>9.6799999999999994E-3</v>
      </c>
      <c r="E5">
        <v>9.6799999999999994E-3</v>
      </c>
      <c r="F5">
        <v>3789413</v>
      </c>
      <c r="G5">
        <v>9.6799999999999994E-3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-3789413</v>
      </c>
      <c r="R5">
        <f t="shared" ref="R5" si="2">R6+Q5</f>
        <v>-29657236818.979317</v>
      </c>
      <c r="S5">
        <f t="shared" ref="S5" si="3">R5/100000</f>
        <v>-296572.36818979314</v>
      </c>
      <c r="T5">
        <f t="shared" ref="T5" si="4">S5/1000</f>
        <v>-296.57236818979311</v>
      </c>
    </row>
    <row r="6" spans="1:20" x14ac:dyDescent="0.25">
      <c r="A6" s="5">
        <v>44587</v>
      </c>
      <c r="B6">
        <v>1.0030000000000001E-2</v>
      </c>
      <c r="C6">
        <v>1.047E-2</v>
      </c>
      <c r="D6">
        <v>9.7199999999999995E-3</v>
      </c>
      <c r="E6">
        <v>9.92E-3</v>
      </c>
      <c r="F6">
        <v>120073328</v>
      </c>
      <c r="G6">
        <v>9.92E-3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-0.46666666666666573</v>
      </c>
      <c r="Q6">
        <f t="shared" ref="Q6" si="6">F6*P6</f>
        <v>-56034219.733333223</v>
      </c>
      <c r="R6">
        <f t="shared" ref="R6" si="7">R7+Q6</f>
        <v>-29653447405.979317</v>
      </c>
      <c r="S6">
        <f t="shared" ref="S6" si="8">R6/100000</f>
        <v>-296534.47405979317</v>
      </c>
      <c r="T6">
        <f t="shared" ref="T6" si="9">S6/1000</f>
        <v>-296.53447405979318</v>
      </c>
    </row>
    <row r="7" spans="1:20" x14ac:dyDescent="0.25">
      <c r="A7" s="5">
        <v>44586</v>
      </c>
      <c r="B7">
        <v>1.0070000000000001E-2</v>
      </c>
      <c r="C7">
        <v>1.03E-2</v>
      </c>
      <c r="D7">
        <v>9.8799999999999999E-3</v>
      </c>
      <c r="E7">
        <v>1.005E-2</v>
      </c>
      <c r="F7">
        <v>85157771</v>
      </c>
      <c r="G7">
        <v>1.005E-2</v>
      </c>
      <c r="L7" t="s">
        <v>7</v>
      </c>
      <c r="M7" t="s">
        <v>7</v>
      </c>
      <c r="N7" t="s">
        <v>7</v>
      </c>
      <c r="P7">
        <f t="shared" ref="P7" si="10">IF(C7=D7,0,((E7-D7)-(C7-E7))/(C7-D7))</f>
        <v>-0.19047619047619088</v>
      </c>
      <c r="Q7">
        <f t="shared" ref="Q7" si="11">F7*P7</f>
        <v>-16220527.809523843</v>
      </c>
      <c r="R7">
        <f t="shared" ref="R7" si="12">R8+Q7</f>
        <v>-29597413186.245983</v>
      </c>
      <c r="S7">
        <f t="shared" ref="S7" si="13">R7/100000</f>
        <v>-295974.13186245982</v>
      </c>
      <c r="T7">
        <f t="shared" ref="T7" si="14">S7/1000</f>
        <v>-295.97413186245984</v>
      </c>
    </row>
    <row r="8" spans="1:20" x14ac:dyDescent="0.25">
      <c r="A8" s="5">
        <v>44585</v>
      </c>
      <c r="B8">
        <v>1.102E-2</v>
      </c>
      <c r="C8">
        <v>1.187E-2</v>
      </c>
      <c r="D8">
        <v>9.4299999999999991E-3</v>
      </c>
      <c r="E8">
        <v>1.0070000000000001E-2</v>
      </c>
      <c r="F8">
        <v>355526937</v>
      </c>
      <c r="G8">
        <v>1.0070000000000001E-2</v>
      </c>
      <c r="L8" t="s">
        <v>8</v>
      </c>
      <c r="M8" t="s">
        <v>8</v>
      </c>
      <c r="N8" t="s">
        <v>7</v>
      </c>
      <c r="P8">
        <f t="shared" ref="P8" si="15">IF(C8=D8,0,((E8-D8)-(C8-E8))/(C8-D8))</f>
        <v>-0.47540983606557263</v>
      </c>
      <c r="Q8">
        <f t="shared" ref="Q8" si="16">F8*P8</f>
        <v>-169021002.83606517</v>
      </c>
      <c r="R8">
        <f t="shared" ref="R8" si="17">R9+Q8</f>
        <v>-29581192658.436459</v>
      </c>
      <c r="S8">
        <f t="shared" ref="S8" si="18">R8/100000</f>
        <v>-295811.92658436461</v>
      </c>
      <c r="T8">
        <f t="shared" ref="T8" si="19">S8/1000</f>
        <v>-295.81192658436464</v>
      </c>
    </row>
    <row r="9" spans="1:20" x14ac:dyDescent="0.25">
      <c r="A9" s="5">
        <v>44584</v>
      </c>
      <c r="B9">
        <v>1.004E-2</v>
      </c>
      <c r="C9">
        <v>1.1039999999999999E-2</v>
      </c>
      <c r="D9">
        <v>9.9100000000000004E-3</v>
      </c>
      <c r="E9">
        <v>1.1039999999999999E-2</v>
      </c>
      <c r="F9">
        <v>138438180</v>
      </c>
      <c r="G9">
        <v>1.1039999999999999E-2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1</v>
      </c>
      <c r="Q9">
        <f t="shared" ref="Q9" si="21">F9*P9</f>
        <v>138438180</v>
      </c>
      <c r="R9">
        <f t="shared" ref="R9" si="22">R10+Q9</f>
        <v>-29412171655.600395</v>
      </c>
      <c r="S9">
        <f t="shared" ref="S9" si="23">R9/100000</f>
        <v>-294121.71655600396</v>
      </c>
      <c r="T9">
        <f t="shared" ref="T9" si="24">S9/1000</f>
        <v>-294.12171655600395</v>
      </c>
    </row>
    <row r="10" spans="1:20" x14ac:dyDescent="0.25">
      <c r="A10" s="5">
        <v>44583</v>
      </c>
      <c r="B10">
        <v>1.0410000000000001E-2</v>
      </c>
      <c r="C10">
        <v>1.081E-2</v>
      </c>
      <c r="D10">
        <v>8.9999999999999993E-3</v>
      </c>
      <c r="E10">
        <v>1.008E-2</v>
      </c>
      <c r="F10">
        <v>311469032</v>
      </c>
      <c r="G10">
        <v>1.008E-2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0.193370165745857</v>
      </c>
      <c r="Q10">
        <f t="shared" ref="Q10" si="26">F10*P10</f>
        <v>60228818.342541635</v>
      </c>
      <c r="R10">
        <f t="shared" ref="R10" si="27">R11+Q10</f>
        <v>-29550609835.600395</v>
      </c>
      <c r="S10">
        <f t="shared" ref="S10" si="28">R10/100000</f>
        <v>-295506.09835600393</v>
      </c>
      <c r="T10">
        <f t="shared" ref="T10" si="29">S10/1000</f>
        <v>-295.50609835600392</v>
      </c>
    </row>
    <row r="11" spans="1:20" x14ac:dyDescent="0.25">
      <c r="A11" s="5">
        <v>44582</v>
      </c>
      <c r="B11">
        <v>1.221E-2</v>
      </c>
      <c r="C11">
        <v>1.23E-2</v>
      </c>
      <c r="D11">
        <v>9.8300000000000002E-3</v>
      </c>
      <c r="E11">
        <v>1.0410000000000001E-2</v>
      </c>
      <c r="F11">
        <v>392276313</v>
      </c>
      <c r="G11">
        <v>1.0410000000000001E-2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-0.53036437246963508</v>
      </c>
      <c r="Q11">
        <f t="shared" ref="Q11" si="31">F11*P11</f>
        <v>-208049380.57894716</v>
      </c>
      <c r="R11">
        <f t="shared" ref="R11" si="32">R12+Q11</f>
        <v>-29610838653.942936</v>
      </c>
      <c r="S11">
        <f t="shared" ref="S11" si="33">R11/100000</f>
        <v>-296108.38653942937</v>
      </c>
      <c r="T11">
        <f t="shared" ref="T11" si="34">S11/1000</f>
        <v>-296.10838653942938</v>
      </c>
    </row>
    <row r="12" spans="1:20" x14ac:dyDescent="0.25">
      <c r="A12" s="5">
        <v>44581</v>
      </c>
      <c r="B12">
        <v>1.1350000000000001E-2</v>
      </c>
      <c r="C12">
        <v>1.363E-2</v>
      </c>
      <c r="D12">
        <v>1.129E-2</v>
      </c>
      <c r="E12">
        <v>1.2370000000000001E-2</v>
      </c>
      <c r="F12">
        <v>489263835</v>
      </c>
      <c r="G12">
        <v>1.2370000000000001E-2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-7.6923076923076011E-2</v>
      </c>
      <c r="Q12">
        <f t="shared" ref="Q12" si="36">F12*P12</f>
        <v>-37635679.615384169</v>
      </c>
      <c r="R12">
        <f t="shared" ref="R12" si="37">R13+Q12</f>
        <v>-29402789273.363987</v>
      </c>
      <c r="S12">
        <f t="shared" ref="S12" si="38">R12/100000</f>
        <v>-294027.89273363986</v>
      </c>
      <c r="T12">
        <f t="shared" ref="T12" si="39">S12/1000</f>
        <v>-294.02789273363987</v>
      </c>
    </row>
    <row r="13" spans="1:20" x14ac:dyDescent="0.25">
      <c r="A13" s="5">
        <v>44580</v>
      </c>
      <c r="B13">
        <v>1.1650000000000001E-2</v>
      </c>
      <c r="C13">
        <v>1.167E-2</v>
      </c>
      <c r="D13">
        <v>1.1039999999999999E-2</v>
      </c>
      <c r="E13">
        <v>1.1350000000000001E-2</v>
      </c>
      <c r="F13">
        <v>89793584</v>
      </c>
      <c r="G13">
        <v>1.1350000000000001E-2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-1.5873015873012465E-2</v>
      </c>
      <c r="Q13">
        <f t="shared" ref="Q13" si="41">F13*P13</f>
        <v>-1425294.9841266782</v>
      </c>
      <c r="R13">
        <f t="shared" ref="R13" si="42">R14+Q13</f>
        <v>-29365153593.748604</v>
      </c>
      <c r="S13">
        <f t="shared" ref="S13" si="43">R13/100000</f>
        <v>-293651.53593748604</v>
      </c>
      <c r="T13">
        <f t="shared" ref="T13" si="44">S13/1000</f>
        <v>-293.65153593748602</v>
      </c>
    </row>
    <row r="14" spans="1:20" x14ac:dyDescent="0.25">
      <c r="A14" s="5">
        <v>44579</v>
      </c>
      <c r="B14">
        <v>1.149E-2</v>
      </c>
      <c r="C14">
        <v>1.218E-2</v>
      </c>
      <c r="D14">
        <v>1.14E-2</v>
      </c>
      <c r="E14">
        <v>1.1650000000000001E-2</v>
      </c>
      <c r="F14">
        <v>142019411</v>
      </c>
      <c r="G14">
        <v>1.1650000000000001E-2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-0.35897435897435792</v>
      </c>
      <c r="Q14">
        <f t="shared" ref="Q14" si="46">F14*P14</f>
        <v>-50981327.025640875</v>
      </c>
      <c r="R14">
        <f t="shared" ref="R14" si="47">R15+Q14</f>
        <v>-29363728298.764477</v>
      </c>
      <c r="S14">
        <f t="shared" ref="S14" si="48">R14/100000</f>
        <v>-293637.28298764478</v>
      </c>
      <c r="T14">
        <f t="shared" ref="T14" si="49">S14/1000</f>
        <v>-293.63728298764477</v>
      </c>
    </row>
    <row r="15" spans="1:20" x14ac:dyDescent="0.25">
      <c r="A15" s="5">
        <v>44578</v>
      </c>
      <c r="B15">
        <v>1.184E-2</v>
      </c>
      <c r="C15">
        <v>1.196E-2</v>
      </c>
      <c r="D15">
        <v>1.141E-2</v>
      </c>
      <c r="E15">
        <v>1.15E-2</v>
      </c>
      <c r="F15">
        <v>77481132</v>
      </c>
      <c r="G15">
        <v>1.15E-2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-0.67272727272727351</v>
      </c>
      <c r="Q15">
        <f t="shared" ref="Q15" si="51">F15*P15</f>
        <v>-52123670.618181877</v>
      </c>
      <c r="R15">
        <f t="shared" ref="R15" si="52">R16+Q15</f>
        <v>-29312746971.738834</v>
      </c>
      <c r="S15">
        <f t="shared" ref="S15" si="53">R15/100000</f>
        <v>-293127.46971738833</v>
      </c>
      <c r="T15">
        <f t="shared" ref="T15" si="54">S15/1000</f>
        <v>-293.12746971738835</v>
      </c>
    </row>
    <row r="16" spans="1:20" x14ac:dyDescent="0.25">
      <c r="A16" s="5">
        <v>44577</v>
      </c>
      <c r="B16">
        <v>1.209E-2</v>
      </c>
      <c r="C16">
        <v>1.222E-2</v>
      </c>
      <c r="D16">
        <v>1.1780000000000001E-2</v>
      </c>
      <c r="E16">
        <v>1.183E-2</v>
      </c>
      <c r="F16">
        <v>55446530</v>
      </c>
      <c r="G16">
        <v>1.183E-2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-0.77272727272727382</v>
      </c>
      <c r="Q16">
        <f t="shared" ref="Q16" si="56">F16*P16</f>
        <v>-42845045.909090966</v>
      </c>
      <c r="R16">
        <f t="shared" ref="R16" si="57">R17+Q16</f>
        <v>-29260623301.120651</v>
      </c>
      <c r="S16">
        <f t="shared" ref="S16" si="58">R16/100000</f>
        <v>-292606.2330112065</v>
      </c>
      <c r="T16">
        <f t="shared" ref="T16" si="59">S16/1000</f>
        <v>-292.60623301120648</v>
      </c>
    </row>
    <row r="17" spans="1:20" x14ac:dyDescent="0.25">
      <c r="A17" s="5">
        <v>44576</v>
      </c>
      <c r="B17">
        <v>1.2189999999999999E-2</v>
      </c>
      <c r="C17">
        <v>1.2290000000000001E-2</v>
      </c>
      <c r="D17">
        <v>1.18E-2</v>
      </c>
      <c r="E17">
        <v>1.208E-2</v>
      </c>
      <c r="F17">
        <v>97566027</v>
      </c>
      <c r="G17">
        <v>1.208E-2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0.14285714285714388</v>
      </c>
      <c r="Q17">
        <f t="shared" ref="Q17" si="61">F17*P17</f>
        <v>13938003.857142957</v>
      </c>
      <c r="R17">
        <f t="shared" ref="R17" si="62">R18+Q17</f>
        <v>-29217778255.211559</v>
      </c>
      <c r="S17">
        <f t="shared" ref="S17" si="63">R17/100000</f>
        <v>-292177.78255211562</v>
      </c>
      <c r="T17">
        <f t="shared" ref="T17" si="64">S17/1000</f>
        <v>-292.17778255211562</v>
      </c>
    </row>
    <row r="18" spans="1:20" x14ac:dyDescent="0.25">
      <c r="A18" s="5">
        <v>44575</v>
      </c>
      <c r="B18">
        <v>1.227E-2</v>
      </c>
      <c r="C18">
        <v>1.338E-2</v>
      </c>
      <c r="D18">
        <v>1.209E-2</v>
      </c>
      <c r="E18">
        <v>1.221E-2</v>
      </c>
      <c r="F18">
        <v>471182347</v>
      </c>
      <c r="G18">
        <v>1.221E-2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-0.81395348837209247</v>
      </c>
      <c r="Q18">
        <f t="shared" ref="Q18" si="66">F18*P18</f>
        <v>-383520514.99999976</v>
      </c>
      <c r="R18">
        <f t="shared" ref="R18" si="67">R19+Q18</f>
        <v>-29231716259.068703</v>
      </c>
      <c r="S18">
        <f t="shared" ref="S18" si="68">R18/100000</f>
        <v>-292317.16259068705</v>
      </c>
      <c r="T18">
        <f t="shared" ref="T18" si="69">S18/1000</f>
        <v>-292.31716259068702</v>
      </c>
    </row>
    <row r="19" spans="1:20" x14ac:dyDescent="0.25">
      <c r="A19" s="5">
        <v>44574</v>
      </c>
      <c r="B19">
        <v>1.108E-2</v>
      </c>
      <c r="C19">
        <v>1.2800000000000001E-2</v>
      </c>
      <c r="D19">
        <v>1.0829999999999999E-2</v>
      </c>
      <c r="E19">
        <v>1.2290000000000001E-2</v>
      </c>
      <c r="F19">
        <v>438021589</v>
      </c>
      <c r="G19">
        <v>1.2290000000000001E-2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0.48223350253807135</v>
      </c>
      <c r="Q19">
        <f t="shared" ref="Q19" si="71">F19*P19</f>
        <v>211228685.05076155</v>
      </c>
      <c r="R19">
        <f t="shared" ref="R19" si="72">R20+Q19</f>
        <v>-28848195744.068703</v>
      </c>
      <c r="S19">
        <f t="shared" ref="S19" si="73">R19/100000</f>
        <v>-288481.95744068705</v>
      </c>
      <c r="T19">
        <f t="shared" ref="T19" si="74">S19/1000</f>
        <v>-288.48195744068704</v>
      </c>
    </row>
    <row r="20" spans="1:20" x14ac:dyDescent="0.25">
      <c r="A20" s="5">
        <v>44573</v>
      </c>
      <c r="B20">
        <v>1.073E-2</v>
      </c>
      <c r="C20">
        <v>1.133E-2</v>
      </c>
      <c r="D20">
        <v>1.072E-2</v>
      </c>
      <c r="E20">
        <v>1.11E-2</v>
      </c>
      <c r="F20">
        <v>121043865</v>
      </c>
      <c r="G20">
        <v>1.11E-2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0.24590163934426387</v>
      </c>
      <c r="Q20">
        <f t="shared" ref="Q20" si="76">F20*P20</f>
        <v>29764884.836065765</v>
      </c>
      <c r="R20">
        <f t="shared" ref="R20" si="77">R21+Q20</f>
        <v>-29059424429.119465</v>
      </c>
      <c r="S20">
        <f t="shared" ref="S20" si="78">R20/100000</f>
        <v>-290594.24429119466</v>
      </c>
      <c r="T20">
        <f t="shared" ref="T20" si="79">S20/1000</f>
        <v>-290.59424429119468</v>
      </c>
    </row>
    <row r="21" spans="1:20" x14ac:dyDescent="0.25">
      <c r="A21" s="5">
        <v>44572</v>
      </c>
      <c r="B21">
        <v>1.042E-2</v>
      </c>
      <c r="C21">
        <v>1.0999999999999999E-2</v>
      </c>
      <c r="D21">
        <v>1.025E-2</v>
      </c>
      <c r="E21">
        <v>1.074E-2</v>
      </c>
      <c r="F21">
        <v>106536403</v>
      </c>
      <c r="G21">
        <v>1.074E-2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0.3066666666666662</v>
      </c>
      <c r="Q21">
        <f t="shared" ref="Q21" si="81">F21*P21</f>
        <v>32671163.586666618</v>
      </c>
      <c r="R21">
        <f t="shared" ref="R21" si="82">R22+Q21</f>
        <v>-29089189313.955532</v>
      </c>
      <c r="S21">
        <f t="shared" ref="S21" si="83">R21/100000</f>
        <v>-290891.89313955529</v>
      </c>
      <c r="T21">
        <f t="shared" ref="T21" si="84">S21/1000</f>
        <v>-290.89189313955529</v>
      </c>
    </row>
    <row r="22" spans="1:20" x14ac:dyDescent="0.25">
      <c r="A22" s="5">
        <v>44571</v>
      </c>
      <c r="B22">
        <v>1.0630000000000001E-2</v>
      </c>
      <c r="C22">
        <v>1.0800000000000001E-2</v>
      </c>
      <c r="D22">
        <v>9.7099999999999999E-3</v>
      </c>
      <c r="E22">
        <v>1.035E-2</v>
      </c>
      <c r="F22">
        <v>113630904</v>
      </c>
      <c r="G22">
        <v>1.035E-2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0.17431192660550374</v>
      </c>
      <c r="Q22">
        <f t="shared" ref="Q22" si="86">F22*P22</f>
        <v>19807221.798165042</v>
      </c>
      <c r="R22">
        <f t="shared" ref="R22" si="87">R23+Q22</f>
        <v>-29121860477.542198</v>
      </c>
      <c r="S22">
        <f t="shared" ref="S22" si="88">R22/100000</f>
        <v>-291218.60477542196</v>
      </c>
      <c r="T22">
        <f t="shared" ref="T22" si="89">S22/1000</f>
        <v>-291.21860477542197</v>
      </c>
    </row>
    <row r="23" spans="1:20" x14ac:dyDescent="0.25">
      <c r="A23" s="5">
        <v>44570</v>
      </c>
      <c r="B23">
        <v>1.048E-2</v>
      </c>
      <c r="C23">
        <v>1.089E-2</v>
      </c>
      <c r="D23">
        <v>1.04E-2</v>
      </c>
      <c r="E23">
        <v>1.0659999999999999E-2</v>
      </c>
      <c r="F23">
        <v>60233250</v>
      </c>
      <c r="G23">
        <v>1.0659999999999999E-2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6.1224489795915764E-2</v>
      </c>
      <c r="Q23">
        <f t="shared" ref="Q23" si="91">F23*P23</f>
        <v>3687749.9999998431</v>
      </c>
      <c r="R23">
        <f t="shared" ref="R23" si="92">R24+Q23</f>
        <v>-29141667699.340363</v>
      </c>
      <c r="S23">
        <f t="shared" ref="S23" si="93">R23/100000</f>
        <v>-291416.67699340364</v>
      </c>
      <c r="T23">
        <f t="shared" ref="T23" si="94">S23/1000</f>
        <v>-291.41667699340366</v>
      </c>
    </row>
    <row r="24" spans="1:20" x14ac:dyDescent="0.25">
      <c r="A24" s="5">
        <v>44569</v>
      </c>
      <c r="B24">
        <v>1.0880000000000001E-2</v>
      </c>
      <c r="C24">
        <v>1.17E-2</v>
      </c>
      <c r="D24">
        <v>1.017E-2</v>
      </c>
      <c r="E24">
        <v>1.048E-2</v>
      </c>
      <c r="F24">
        <v>148405042</v>
      </c>
      <c r="G24">
        <v>1.048E-2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-0.59477124183006602</v>
      </c>
      <c r="Q24">
        <f t="shared" ref="Q24" si="96">F24*P24</f>
        <v>-88267051.124183103</v>
      </c>
      <c r="R24">
        <f t="shared" ref="R24" si="97">R25+Q24</f>
        <v>-29145355449.340363</v>
      </c>
      <c r="S24">
        <f t="shared" ref="S24" si="98">R24/100000</f>
        <v>-291453.55449340364</v>
      </c>
      <c r="T24">
        <f t="shared" ref="T24" si="99">S24/1000</f>
        <v>-291.45355449340366</v>
      </c>
    </row>
    <row r="25" spans="1:20" x14ac:dyDescent="0.25">
      <c r="A25" s="5">
        <v>44568</v>
      </c>
      <c r="B25">
        <v>1.1350000000000001E-2</v>
      </c>
      <c r="C25">
        <v>1.136E-2</v>
      </c>
      <c r="D25">
        <v>1.0410000000000001E-2</v>
      </c>
      <c r="E25">
        <v>1.0869999999999999E-2</v>
      </c>
      <c r="F25">
        <v>158379719</v>
      </c>
      <c r="G25">
        <v>1.0869999999999999E-2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-3.1578947368423434E-2</v>
      </c>
      <c r="Q25">
        <f t="shared" ref="Q25" si="101">F25*P25</f>
        <v>-5001464.8105266932</v>
      </c>
      <c r="R25">
        <f t="shared" ref="R25" si="102">R26+Q25</f>
        <v>-29057088398.216179</v>
      </c>
      <c r="S25">
        <f t="shared" ref="S25" si="103">R25/100000</f>
        <v>-290570.88398216182</v>
      </c>
      <c r="T25">
        <f t="shared" ref="T25" si="104">S25/1000</f>
        <v>-290.57088398216183</v>
      </c>
    </row>
    <row r="26" spans="1:20" x14ac:dyDescent="0.25">
      <c r="A26" s="5">
        <v>44567</v>
      </c>
      <c r="B26">
        <v>1.1860000000000001E-2</v>
      </c>
      <c r="C26">
        <v>1.201E-2</v>
      </c>
      <c r="D26">
        <v>1.1050000000000001E-2</v>
      </c>
      <c r="E26">
        <v>1.136E-2</v>
      </c>
      <c r="F26">
        <v>156269609</v>
      </c>
      <c r="G26">
        <v>1.136E-2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-0.35416666666666702</v>
      </c>
      <c r="Q26">
        <f t="shared" ref="Q26" si="106">F26*P26</f>
        <v>-55345486.520833388</v>
      </c>
      <c r="R26">
        <f t="shared" ref="R26" si="107">R27+Q26</f>
        <v>-29052086933.405651</v>
      </c>
      <c r="S26">
        <f t="shared" ref="S26" si="108">R26/100000</f>
        <v>-290520.86933405651</v>
      </c>
      <c r="T26">
        <f t="shared" ref="T26" si="109">S26/1000</f>
        <v>-290.5208693340565</v>
      </c>
    </row>
    <row r="27" spans="1:20" x14ac:dyDescent="0.25">
      <c r="A27" s="5">
        <v>44566</v>
      </c>
      <c r="B27">
        <v>1.188E-2</v>
      </c>
      <c r="C27">
        <v>1.46E-2</v>
      </c>
      <c r="D27">
        <v>1.1679999999999999E-2</v>
      </c>
      <c r="E27">
        <v>1.188E-2</v>
      </c>
      <c r="F27">
        <v>601318518</v>
      </c>
      <c r="G27">
        <v>1.188E-2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-0.86301369863013666</v>
      </c>
      <c r="Q27">
        <f t="shared" ref="Q27" si="111">F27*P27</f>
        <v>-518946118.27397239</v>
      </c>
      <c r="R27">
        <f t="shared" ref="R27" si="112">R28+Q27</f>
        <v>-28996741446.884819</v>
      </c>
      <c r="S27">
        <f t="shared" ref="S27" si="113">R27/100000</f>
        <v>-289967.4144688482</v>
      </c>
      <c r="T27">
        <f t="shared" ref="T27" si="114">S27/1000</f>
        <v>-289.96741446884823</v>
      </c>
    </row>
    <row r="28" spans="1:20" x14ac:dyDescent="0.25">
      <c r="A28" s="5">
        <v>44565</v>
      </c>
      <c r="B28">
        <v>1.2319999999999999E-2</v>
      </c>
      <c r="C28">
        <v>1.244E-2</v>
      </c>
      <c r="D28">
        <v>1.187E-2</v>
      </c>
      <c r="E28">
        <v>1.192E-2</v>
      </c>
      <c r="F28">
        <v>136733184</v>
      </c>
      <c r="G28">
        <v>1.192E-2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-0.82456140350877283</v>
      </c>
      <c r="Q28">
        <f t="shared" ref="Q28" si="116">F28*P28</f>
        <v>-112744906.10526328</v>
      </c>
      <c r="R28">
        <f t="shared" ref="R28" si="117">R29+Q28</f>
        <v>-28477795328.610847</v>
      </c>
      <c r="S28">
        <f t="shared" ref="S28" si="118">R28/100000</f>
        <v>-284777.9532861085</v>
      </c>
      <c r="T28">
        <f t="shared" ref="T28" si="119">S28/1000</f>
        <v>-284.77795328610853</v>
      </c>
    </row>
    <row r="29" spans="1:20" x14ac:dyDescent="0.25">
      <c r="A29" s="5">
        <v>44564</v>
      </c>
      <c r="B29">
        <v>1.2829999999999999E-2</v>
      </c>
      <c r="C29">
        <v>1.2919999999999999E-2</v>
      </c>
      <c r="D29">
        <v>1.213E-2</v>
      </c>
      <c r="E29">
        <v>1.23E-2</v>
      </c>
      <c r="F29">
        <v>172299357</v>
      </c>
      <c r="G29">
        <v>1.23E-2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-0.56962025316455644</v>
      </c>
      <c r="Q29">
        <f t="shared" ref="Q29" si="121">F29*P29</f>
        <v>-98145203.354430288</v>
      </c>
      <c r="R29">
        <f t="shared" ref="R29" si="122">R30+Q29</f>
        <v>-28365050422.505585</v>
      </c>
      <c r="S29">
        <f t="shared" ref="S29" si="123">R29/100000</f>
        <v>-283650.50422505586</v>
      </c>
      <c r="T29">
        <f t="shared" ref="T29" si="124">S29/1000</f>
        <v>-283.65050422505584</v>
      </c>
    </row>
    <row r="30" spans="1:20" x14ac:dyDescent="0.25">
      <c r="A30" s="5">
        <v>44563</v>
      </c>
      <c r="B30">
        <v>1.354E-2</v>
      </c>
      <c r="C30">
        <v>1.362E-2</v>
      </c>
      <c r="D30">
        <v>1.2630000000000001E-2</v>
      </c>
      <c r="E30">
        <v>1.2840000000000001E-2</v>
      </c>
      <c r="F30">
        <v>281404735</v>
      </c>
      <c r="G30">
        <v>1.2840000000000001E-2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-0.57575757575757536</v>
      </c>
      <c r="Q30">
        <f t="shared" ref="Q30" si="126">F30*P30</f>
        <v>-162020908.03030291</v>
      </c>
      <c r="R30">
        <f t="shared" ref="R30" si="127">R31+Q30</f>
        <v>-28266905219.151154</v>
      </c>
      <c r="S30">
        <f t="shared" ref="S30" si="128">R30/100000</f>
        <v>-282669.05219151155</v>
      </c>
      <c r="T30">
        <f t="shared" ref="T30" si="129">S30/1000</f>
        <v>-282.66905219151153</v>
      </c>
    </row>
    <row r="31" spans="1:20" x14ac:dyDescent="0.25">
      <c r="A31" s="5">
        <v>44562</v>
      </c>
      <c r="B31">
        <v>1.47E-2</v>
      </c>
      <c r="C31">
        <v>1.5389999999999999E-2</v>
      </c>
      <c r="D31">
        <v>1.3180000000000001E-2</v>
      </c>
      <c r="E31">
        <v>1.3559999999999999E-2</v>
      </c>
      <c r="F31">
        <v>664571323</v>
      </c>
      <c r="G31">
        <v>1.3559999999999999E-2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-0.6561085972850691</v>
      </c>
      <c r="Q31">
        <f t="shared" ref="Q31" si="131">F31*P31</f>
        <v>-436030958.52941257</v>
      </c>
      <c r="R31">
        <f t="shared" ref="R31" si="132">R32+Q31</f>
        <v>-28104884311.12085</v>
      </c>
      <c r="S31">
        <f t="shared" ref="S31" si="133">R31/100000</f>
        <v>-281048.84311120852</v>
      </c>
      <c r="T31">
        <f t="shared" ref="T31" si="134">S31/1000</f>
        <v>-281.0488431112085</v>
      </c>
    </row>
    <row r="32" spans="1:20" x14ac:dyDescent="0.25">
      <c r="A32" s="5">
        <v>44561</v>
      </c>
      <c r="B32">
        <v>1.179E-2</v>
      </c>
      <c r="C32">
        <v>1.771E-2</v>
      </c>
      <c r="D32">
        <v>1.1730000000000001E-2</v>
      </c>
      <c r="E32">
        <v>1.4710000000000001E-2</v>
      </c>
      <c r="F32">
        <v>2504542268</v>
      </c>
      <c r="G32">
        <v>1.4710000000000001E-2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-3.3444816053510348E-3</v>
      </c>
      <c r="Q32">
        <f t="shared" ref="Q32" si="136">F32*P32</f>
        <v>-8376395.5451501617</v>
      </c>
      <c r="R32">
        <f t="shared" ref="R32" si="137">R33+Q32</f>
        <v>-27668853352.591438</v>
      </c>
      <c r="S32">
        <f t="shared" ref="S32" si="138">R32/100000</f>
        <v>-276688.53352591436</v>
      </c>
      <c r="T32">
        <f t="shared" ref="T32" si="139">S32/1000</f>
        <v>-276.68853352591435</v>
      </c>
    </row>
    <row r="33" spans="1:20" x14ac:dyDescent="0.25">
      <c r="A33" s="5">
        <v>44560</v>
      </c>
      <c r="B33">
        <v>1.175E-2</v>
      </c>
      <c r="C33">
        <v>1.1979999999999999E-2</v>
      </c>
      <c r="D33">
        <v>1.158E-2</v>
      </c>
      <c r="E33">
        <v>1.1769999999999999E-2</v>
      </c>
      <c r="F33">
        <v>77125243</v>
      </c>
      <c r="G33">
        <v>1.1769999999999999E-2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-5.0000000000002383E-2</v>
      </c>
      <c r="Q33">
        <f t="shared" ref="Q33" si="141">F33*P33</f>
        <v>-3856262.1500001838</v>
      </c>
      <c r="R33">
        <f t="shared" ref="R33" si="142">R34+Q33</f>
        <v>-27660476957.046288</v>
      </c>
      <c r="S33">
        <f t="shared" ref="S33" si="143">R33/100000</f>
        <v>-276604.76957046287</v>
      </c>
      <c r="T33">
        <f t="shared" ref="T33" si="144">S33/1000</f>
        <v>-276.60476957046285</v>
      </c>
    </row>
    <row r="34" spans="1:20" x14ac:dyDescent="0.25">
      <c r="A34" s="5">
        <v>44559</v>
      </c>
      <c r="B34">
        <v>1.15E-2</v>
      </c>
      <c r="C34">
        <v>1.244E-2</v>
      </c>
      <c r="D34">
        <v>1.1480000000000001E-2</v>
      </c>
      <c r="E34">
        <v>1.175E-2</v>
      </c>
      <c r="F34">
        <v>106436302</v>
      </c>
      <c r="G34">
        <v>1.175E-2</v>
      </c>
      <c r="L34" t="s">
        <v>8</v>
      </c>
      <c r="M34" t="s">
        <v>8</v>
      </c>
      <c r="N34" t="s">
        <v>7</v>
      </c>
      <c r="P34">
        <f t="shared" ref="P34" si="145">IF(C34=D34,0,((E34-D34)-(C34-E34))/(C34-D34))</f>
        <v>-0.43750000000000067</v>
      </c>
      <c r="Q34">
        <f t="shared" ref="Q34" si="146">F34*P34</f>
        <v>-46565882.125000075</v>
      </c>
      <c r="R34">
        <f t="shared" ref="R34" si="147">R35+Q34</f>
        <v>-27656620694.896286</v>
      </c>
      <c r="S34">
        <f t="shared" ref="S34" si="148">R34/100000</f>
        <v>-276566.20694896288</v>
      </c>
      <c r="T34">
        <f t="shared" ref="T34" si="149">S34/1000</f>
        <v>-276.56620694896287</v>
      </c>
    </row>
    <row r="35" spans="1:20" x14ac:dyDescent="0.25">
      <c r="A35" s="5">
        <v>44558</v>
      </c>
      <c r="B35">
        <v>1.278E-2</v>
      </c>
      <c r="C35">
        <v>1.291E-2</v>
      </c>
      <c r="D35">
        <v>1.1350000000000001E-2</v>
      </c>
      <c r="E35">
        <v>1.15E-2</v>
      </c>
      <c r="F35">
        <v>142412171</v>
      </c>
      <c r="G35">
        <v>1.15E-2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-0.80769230769230871</v>
      </c>
      <c r="Q35">
        <f t="shared" ref="Q35" si="151">F35*P35</f>
        <v>-115025215.03846169</v>
      </c>
      <c r="R35">
        <f t="shared" ref="R35" si="152">R36+Q35</f>
        <v>-27610054812.771286</v>
      </c>
      <c r="S35">
        <f t="shared" ref="S35" si="153">R35/100000</f>
        <v>-276100.54812771286</v>
      </c>
      <c r="T35">
        <f t="shared" ref="T35" si="154">S35/1000</f>
        <v>-276.10054812771284</v>
      </c>
    </row>
    <row r="36" spans="1:20" x14ac:dyDescent="0.25">
      <c r="A36" s="5">
        <v>44557</v>
      </c>
      <c r="B36">
        <v>1.2359999999999999E-2</v>
      </c>
      <c r="C36">
        <v>1.3169999999999999E-2</v>
      </c>
      <c r="D36">
        <v>1.2290000000000001E-2</v>
      </c>
      <c r="E36">
        <v>1.278E-2</v>
      </c>
      <c r="F36">
        <v>143936527</v>
      </c>
      <c r="G36">
        <v>1.278E-2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0.11363636363636311</v>
      </c>
      <c r="Q36">
        <f t="shared" ref="Q36" si="156">F36*P36</f>
        <v>16356423.522727197</v>
      </c>
      <c r="R36">
        <f t="shared" ref="R36" si="157">R37+Q36</f>
        <v>-27495029597.732826</v>
      </c>
      <c r="S36">
        <f t="shared" ref="S36" si="158">R36/100000</f>
        <v>-274950.29597732826</v>
      </c>
      <c r="T36">
        <f t="shared" ref="T36" si="159">S36/1000</f>
        <v>-274.95029597732827</v>
      </c>
    </row>
    <row r="37" spans="1:20" x14ac:dyDescent="0.25">
      <c r="A37" s="5">
        <v>44556</v>
      </c>
      <c r="B37">
        <v>1.2E-2</v>
      </c>
      <c r="C37">
        <v>1.286E-2</v>
      </c>
      <c r="D37">
        <v>1.163E-2</v>
      </c>
      <c r="E37">
        <v>1.234E-2</v>
      </c>
      <c r="F37">
        <v>192468150</v>
      </c>
      <c r="G37">
        <v>1.234E-2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0.15447154471544788</v>
      </c>
      <c r="Q37">
        <f t="shared" ref="Q37" si="161">F37*P37</f>
        <v>29730852.43902453</v>
      </c>
      <c r="R37">
        <f t="shared" ref="R37" si="162">R38+Q37</f>
        <v>-27511386021.255554</v>
      </c>
      <c r="S37">
        <f t="shared" ref="S37" si="163">R37/100000</f>
        <v>-275113.86021255556</v>
      </c>
      <c r="T37">
        <f t="shared" ref="T37" si="164">S37/1000</f>
        <v>-275.11386021255555</v>
      </c>
    </row>
    <row r="38" spans="1:20" x14ac:dyDescent="0.25">
      <c r="A38" s="5">
        <v>44555</v>
      </c>
      <c r="B38">
        <v>1.125E-2</v>
      </c>
      <c r="C38">
        <v>1.2869999999999999E-2</v>
      </c>
      <c r="D38">
        <v>1.1220000000000001E-2</v>
      </c>
      <c r="E38">
        <v>1.1990000000000001E-2</v>
      </c>
      <c r="F38">
        <v>215816816</v>
      </c>
      <c r="G38">
        <v>1.1990000000000001E-2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-6.6666666666666111E-2</v>
      </c>
      <c r="Q38">
        <f t="shared" ref="Q38" si="166">F38*P38</f>
        <v>-14387787.733333213</v>
      </c>
      <c r="R38">
        <f t="shared" ref="R38" si="167">R39+Q38</f>
        <v>-27541116873.69458</v>
      </c>
      <c r="S38">
        <f t="shared" ref="S38" si="168">R38/100000</f>
        <v>-275411.16873694578</v>
      </c>
      <c r="T38">
        <f t="shared" ref="T38" si="169">S38/1000</f>
        <v>-275.4111687369458</v>
      </c>
    </row>
    <row r="39" spans="1:20" x14ac:dyDescent="0.25">
      <c r="A39" s="5">
        <v>44554</v>
      </c>
      <c r="B39">
        <v>1.0880000000000001E-2</v>
      </c>
      <c r="C39">
        <v>1.21E-2</v>
      </c>
      <c r="D39">
        <v>1.0829999999999999E-2</v>
      </c>
      <c r="E39">
        <v>1.1270000000000001E-2</v>
      </c>
      <c r="F39">
        <v>200765154</v>
      </c>
      <c r="G39">
        <v>1.1270000000000001E-2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-0.30708661417322669</v>
      </c>
      <c r="Q39">
        <f t="shared" ref="Q39" si="171">F39*P39</f>
        <v>-61652291.385826439</v>
      </c>
      <c r="R39">
        <f t="shared" ref="R39" si="172">R40+Q39</f>
        <v>-27526729085.961246</v>
      </c>
      <c r="S39">
        <f t="shared" ref="S39" si="173">R39/100000</f>
        <v>-275267.29085961246</v>
      </c>
      <c r="T39">
        <f t="shared" ref="T39" si="174">S39/1000</f>
        <v>-275.26729085961244</v>
      </c>
    </row>
    <row r="40" spans="1:20" x14ac:dyDescent="0.25">
      <c r="A40" s="5">
        <v>44553</v>
      </c>
      <c r="B40">
        <v>1.0489999999999999E-2</v>
      </c>
      <c r="C40">
        <v>1.0999999999999999E-2</v>
      </c>
      <c r="D40">
        <v>1.031E-2</v>
      </c>
      <c r="E40">
        <v>1.089E-2</v>
      </c>
      <c r="F40">
        <v>142972914</v>
      </c>
      <c r="G40">
        <v>1.089E-2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0.68115942028985788</v>
      </c>
      <c r="Q40">
        <f t="shared" ref="Q40" si="176">F40*P40</f>
        <v>97387347.2173917</v>
      </c>
      <c r="R40">
        <f t="shared" ref="R40" si="177">R41+Q40</f>
        <v>-27465076794.57542</v>
      </c>
      <c r="S40">
        <f t="shared" ref="S40" si="178">R40/100000</f>
        <v>-274650.76794575423</v>
      </c>
      <c r="T40">
        <f t="shared" ref="T40" si="179">S40/1000</f>
        <v>-274.65076794575424</v>
      </c>
    </row>
    <row r="41" spans="1:20" x14ac:dyDescent="0.25">
      <c r="A41" s="5">
        <v>44552</v>
      </c>
      <c r="B41">
        <v>1.0200000000000001E-2</v>
      </c>
      <c r="C41">
        <v>1.107E-2</v>
      </c>
      <c r="D41">
        <v>1.0070000000000001E-2</v>
      </c>
      <c r="E41">
        <v>1.0489999999999999E-2</v>
      </c>
      <c r="F41">
        <v>237889721</v>
      </c>
      <c r="G41">
        <v>1.0489999999999999E-2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-0.16000000000000228</v>
      </c>
      <c r="Q41">
        <f t="shared" ref="Q41" si="181">F41*P41</f>
        <v>-38062355.360000543</v>
      </c>
      <c r="R41">
        <f t="shared" ref="R41" si="182">R42+Q41</f>
        <v>-27562464141.792812</v>
      </c>
      <c r="S41">
        <f t="shared" ref="S41" si="183">R41/100000</f>
        <v>-275624.6414179281</v>
      </c>
      <c r="T41">
        <f t="shared" ref="T41" si="184">S41/1000</f>
        <v>-275.6246414179281</v>
      </c>
    </row>
    <row r="42" spans="1:20" x14ac:dyDescent="0.25">
      <c r="A42" s="5">
        <v>44551</v>
      </c>
      <c r="B42">
        <v>1.0059999999999999E-2</v>
      </c>
      <c r="C42">
        <v>1.0619999999999999E-2</v>
      </c>
      <c r="D42">
        <v>9.9299999999999996E-3</v>
      </c>
      <c r="E42">
        <v>1.0200000000000001E-2</v>
      </c>
      <c r="F42">
        <v>150746361</v>
      </c>
      <c r="G42">
        <v>1.0200000000000001E-2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-0.21739130434782236</v>
      </c>
      <c r="Q42">
        <f t="shared" ref="Q42" si="186">F42*P42</f>
        <v>-32770948.043477699</v>
      </c>
      <c r="R42">
        <f t="shared" ref="R42" si="187">R43+Q42</f>
        <v>-27524401786.432812</v>
      </c>
      <c r="S42">
        <f t="shared" ref="S42" si="188">R42/100000</f>
        <v>-275244.01786432811</v>
      </c>
      <c r="T42">
        <f t="shared" ref="T42" si="189">S42/1000</f>
        <v>-275.2440178643281</v>
      </c>
    </row>
    <row r="43" spans="1:20" x14ac:dyDescent="0.25">
      <c r="A43" s="5">
        <v>44550</v>
      </c>
      <c r="B43">
        <v>1.074E-2</v>
      </c>
      <c r="C43">
        <v>1.0789999999999999E-2</v>
      </c>
      <c r="D43">
        <v>9.7699999999999992E-3</v>
      </c>
      <c r="E43">
        <v>1.0059999999999999E-2</v>
      </c>
      <c r="F43">
        <v>136551478</v>
      </c>
      <c r="G43">
        <v>1.0059999999999999E-2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-0.43137254901960725</v>
      </c>
      <c r="Q43">
        <f t="shared" ref="Q43" si="191">F43*P43</f>
        <v>-58904559.137254819</v>
      </c>
      <c r="R43">
        <f t="shared" ref="R43" si="192">R44+Q43</f>
        <v>-27491630838.389336</v>
      </c>
      <c r="S43">
        <f t="shared" ref="S43" si="193">R43/100000</f>
        <v>-274916.30838389334</v>
      </c>
      <c r="T43">
        <f t="shared" ref="T43" si="194">S43/1000</f>
        <v>-274.91630838389335</v>
      </c>
    </row>
    <row r="44" spans="1:20" x14ac:dyDescent="0.25">
      <c r="A44" s="5">
        <v>44549</v>
      </c>
      <c r="B44">
        <v>1.0869999999999999E-2</v>
      </c>
      <c r="C44">
        <v>1.187E-2</v>
      </c>
      <c r="D44">
        <v>1.061E-2</v>
      </c>
      <c r="E44">
        <v>1.073E-2</v>
      </c>
      <c r="F44">
        <v>159255889</v>
      </c>
      <c r="G44">
        <v>1.073E-2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-0.80952380952380909</v>
      </c>
      <c r="Q44">
        <f t="shared" ref="Q44" si="196">F44*P44</f>
        <v>-128921433.95238088</v>
      </c>
      <c r="R44">
        <f t="shared" ref="R44" si="197">R45+Q44</f>
        <v>-27432726279.252079</v>
      </c>
      <c r="S44">
        <f t="shared" ref="S44" si="198">R44/100000</f>
        <v>-274327.26279252081</v>
      </c>
      <c r="T44">
        <f t="shared" ref="T44" si="199">S44/1000</f>
        <v>-274.3272627925208</v>
      </c>
    </row>
    <row r="45" spans="1:20" x14ac:dyDescent="0.25">
      <c r="A45" s="5">
        <v>44548</v>
      </c>
      <c r="B45">
        <v>1.025E-2</v>
      </c>
      <c r="C45">
        <v>1.21E-2</v>
      </c>
      <c r="D45">
        <v>9.9600000000000001E-3</v>
      </c>
      <c r="E45">
        <v>1.0880000000000001E-2</v>
      </c>
      <c r="F45">
        <v>265927287</v>
      </c>
      <c r="G45">
        <v>1.0880000000000001E-2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-0.14018691588784965</v>
      </c>
      <c r="Q45">
        <f t="shared" ref="Q45" si="201">F45*P45</f>
        <v>-37279526.21495305</v>
      </c>
      <c r="R45">
        <f t="shared" ref="R45" si="202">R46+Q45</f>
        <v>-27303804845.299698</v>
      </c>
      <c r="S45">
        <f t="shared" ref="S45" si="203">R45/100000</f>
        <v>-273038.048452997</v>
      </c>
      <c r="T45">
        <f t="shared" ref="T45" si="204">S45/1000</f>
        <v>-273.03804845299697</v>
      </c>
    </row>
    <row r="46" spans="1:20" x14ac:dyDescent="0.25">
      <c r="A46" s="5">
        <v>44547</v>
      </c>
      <c r="B46">
        <v>1.0710000000000001E-2</v>
      </c>
      <c r="C46">
        <v>1.159E-2</v>
      </c>
      <c r="D46">
        <v>1.008E-2</v>
      </c>
      <c r="E46">
        <v>1.025E-2</v>
      </c>
      <c r="F46">
        <v>250932407</v>
      </c>
      <c r="G46">
        <v>1.025E-2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-0.77483443708609256</v>
      </c>
      <c r="Q46">
        <f t="shared" ref="Q46" si="206">F46*P46</f>
        <v>-194431070.32450327</v>
      </c>
      <c r="R46">
        <f t="shared" ref="R46" si="207">R47+Q46</f>
        <v>-27266525319.084743</v>
      </c>
      <c r="S46">
        <f t="shared" ref="S46" si="208">R46/100000</f>
        <v>-272665.25319084746</v>
      </c>
      <c r="T46">
        <f t="shared" ref="T46" si="209">S46/1000</f>
        <v>-272.66525319084747</v>
      </c>
    </row>
    <row r="47" spans="1:20" x14ac:dyDescent="0.25">
      <c r="A47" s="5">
        <v>44546</v>
      </c>
      <c r="B47">
        <v>1.1089999999999999E-2</v>
      </c>
      <c r="C47">
        <v>1.1259999999999999E-2</v>
      </c>
      <c r="D47">
        <v>1.0580000000000001E-2</v>
      </c>
      <c r="E47">
        <v>1.0710000000000001E-2</v>
      </c>
      <c r="F47">
        <v>203940925</v>
      </c>
      <c r="G47">
        <v>1.0710000000000001E-2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-0.61764705882352877</v>
      </c>
      <c r="Q47">
        <f t="shared" ref="Q47" si="211">F47*P47</f>
        <v>-125963512.49999987</v>
      </c>
      <c r="R47">
        <f t="shared" ref="R47" si="212">R48+Q47</f>
        <v>-27072094248.760239</v>
      </c>
      <c r="S47">
        <f t="shared" ref="S47" si="213">R47/100000</f>
        <v>-270720.94248760241</v>
      </c>
      <c r="T47">
        <f t="shared" ref="T47" si="214">S47/1000</f>
        <v>-270.72094248760243</v>
      </c>
    </row>
    <row r="48" spans="1:20" x14ac:dyDescent="0.25">
      <c r="A48" s="5">
        <v>44545</v>
      </c>
      <c r="B48">
        <v>1.1390000000000001E-2</v>
      </c>
      <c r="C48">
        <v>1.1610000000000001E-2</v>
      </c>
      <c r="D48">
        <v>1.034E-2</v>
      </c>
      <c r="E48">
        <v>1.108E-2</v>
      </c>
      <c r="F48">
        <v>170812950</v>
      </c>
      <c r="G48">
        <v>1.108E-2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0.1653543307086601</v>
      </c>
      <c r="Q48">
        <f t="shared" ref="Q48" si="216">F48*P48</f>
        <v>28244661.02362182</v>
      </c>
      <c r="R48">
        <f t="shared" ref="R48" si="217">R49+Q48</f>
        <v>-26946130736.260239</v>
      </c>
      <c r="S48">
        <f t="shared" ref="S48" si="218">R48/100000</f>
        <v>-269461.30736260238</v>
      </c>
      <c r="T48">
        <f t="shared" ref="T48" si="219">S48/1000</f>
        <v>-269.46130736260238</v>
      </c>
    </row>
    <row r="49" spans="1:20" x14ac:dyDescent="0.25">
      <c r="A49" s="5">
        <v>44544</v>
      </c>
      <c r="B49">
        <v>1.1140000000000001E-2</v>
      </c>
      <c r="C49">
        <v>1.153E-2</v>
      </c>
      <c r="D49">
        <v>1.098E-2</v>
      </c>
      <c r="E49">
        <v>1.1379999999999999E-2</v>
      </c>
      <c r="F49">
        <v>106656715</v>
      </c>
      <c r="G49">
        <v>1.1379999999999999E-2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0.4545454545454517</v>
      </c>
      <c r="Q49">
        <f t="shared" ref="Q49" si="221">F49*P49</f>
        <v>48480324.999999695</v>
      </c>
      <c r="R49">
        <f t="shared" ref="R49" si="222">R50+Q49</f>
        <v>-26974375397.283859</v>
      </c>
      <c r="S49">
        <f t="shared" ref="S49" si="223">R49/100000</f>
        <v>-269743.75397283857</v>
      </c>
      <c r="T49">
        <f t="shared" ref="T49" si="224">S49/1000</f>
        <v>-269.74375397283859</v>
      </c>
    </row>
    <row r="50" spans="1:20" x14ac:dyDescent="0.25">
      <c r="A50" s="5">
        <v>44543</v>
      </c>
      <c r="B50">
        <v>1.295E-2</v>
      </c>
      <c r="C50">
        <v>1.298E-2</v>
      </c>
      <c r="D50">
        <v>1.0999999999999999E-2</v>
      </c>
      <c r="E50">
        <v>1.1140000000000001E-2</v>
      </c>
      <c r="F50">
        <v>117763475</v>
      </c>
      <c r="G50">
        <v>1.1140000000000001E-2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-0.85858585858585745</v>
      </c>
      <c r="Q50">
        <f t="shared" ref="Q50" si="226">F50*P50</f>
        <v>-101110054.29292916</v>
      </c>
      <c r="R50">
        <f t="shared" ref="R50" si="227">R51+Q50</f>
        <v>-27022855722.283859</v>
      </c>
      <c r="S50">
        <f t="shared" ref="S50" si="228">R50/100000</f>
        <v>-270228.55722283857</v>
      </c>
      <c r="T50">
        <f t="shared" ref="T50" si="229">S50/1000</f>
        <v>-270.22855722283856</v>
      </c>
    </row>
    <row r="51" spans="1:20" x14ac:dyDescent="0.25">
      <c r="A51" s="5">
        <v>44542</v>
      </c>
      <c r="B51">
        <v>1.252E-2</v>
      </c>
      <c r="C51">
        <v>1.325E-2</v>
      </c>
      <c r="D51">
        <v>1.208E-2</v>
      </c>
      <c r="E51">
        <v>1.2959999999999999E-2</v>
      </c>
      <c r="F51">
        <v>129515246</v>
      </c>
      <c r="G51">
        <v>1.2959999999999999E-2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0.50427350427350337</v>
      </c>
      <c r="Q51">
        <f t="shared" ref="Q51" si="231">F51*P51</f>
        <v>65311106.957264841</v>
      </c>
      <c r="R51">
        <f t="shared" ref="R51" si="232">R52+Q51</f>
        <v>-26921745667.990929</v>
      </c>
      <c r="S51">
        <f t="shared" ref="S51" si="233">R51/100000</f>
        <v>-269217.45667990932</v>
      </c>
      <c r="T51">
        <f t="shared" ref="T51" si="234">S51/1000</f>
        <v>-269.21745667990933</v>
      </c>
    </row>
    <row r="52" spans="1:20" x14ac:dyDescent="0.25">
      <c r="A52" s="5">
        <v>44541</v>
      </c>
      <c r="B52">
        <v>1.21E-2</v>
      </c>
      <c r="C52">
        <v>1.242E-2</v>
      </c>
      <c r="D52">
        <v>1.196E-2</v>
      </c>
      <c r="E52">
        <v>1.239E-2</v>
      </c>
      <c r="F52">
        <v>13602086</v>
      </c>
      <c r="G52">
        <v>1.239E-2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0.86956521739130221</v>
      </c>
      <c r="Q52">
        <f t="shared" ref="Q52" si="236">F52*P52</f>
        <v>11827900.869565189</v>
      </c>
      <c r="R52">
        <f t="shared" ref="R52" si="237">R53+Q52</f>
        <v>-26987056774.948193</v>
      </c>
      <c r="S52">
        <f t="shared" ref="S52" si="238">R52/100000</f>
        <v>-269870.56774948194</v>
      </c>
      <c r="T52">
        <f t="shared" ref="T52" si="239">S52/1000</f>
        <v>-269.87056774948195</v>
      </c>
    </row>
    <row r="53" spans="1:20" x14ac:dyDescent="0.25">
      <c r="A53" s="5">
        <v>44540</v>
      </c>
      <c r="B53">
        <v>1.3679999999999999E-2</v>
      </c>
      <c r="C53">
        <v>1.3950000000000001E-2</v>
      </c>
      <c r="D53">
        <v>1.2070000000000001E-2</v>
      </c>
      <c r="E53">
        <v>1.208E-2</v>
      </c>
      <c r="F53">
        <v>248418035</v>
      </c>
      <c r="G53">
        <v>1.208E-2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-0.98936170212766006</v>
      </c>
      <c r="Q53">
        <f t="shared" ref="Q53" si="241">F53*P53</f>
        <v>-245775289.94680864</v>
      </c>
      <c r="R53">
        <f t="shared" ref="R53" si="242">R54+Q53</f>
        <v>-26998884675.817757</v>
      </c>
      <c r="S53">
        <f t="shared" ref="S53" si="243">R53/100000</f>
        <v>-269988.84675817756</v>
      </c>
      <c r="T53">
        <f t="shared" ref="T53" si="244">S53/1000</f>
        <v>-269.98884675817754</v>
      </c>
    </row>
    <row r="54" spans="1:20" x14ac:dyDescent="0.25">
      <c r="A54" s="5">
        <v>44539</v>
      </c>
      <c r="B54">
        <v>1.4789999999999999E-2</v>
      </c>
      <c r="C54">
        <v>1.49E-2</v>
      </c>
      <c r="D54">
        <v>1.363E-2</v>
      </c>
      <c r="E54">
        <v>1.3679999999999999E-2</v>
      </c>
      <c r="F54">
        <v>124196431</v>
      </c>
      <c r="G54">
        <v>1.3679999999999999E-2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-0.92125984251968551</v>
      </c>
      <c r="Q54">
        <f t="shared" ref="Q54" si="246">F54*P54</f>
        <v>-114417184.46456699</v>
      </c>
      <c r="R54">
        <f t="shared" ref="R54" si="247">R55+Q54</f>
        <v>-26753109385.870949</v>
      </c>
      <c r="S54">
        <f t="shared" ref="S54" si="248">R54/100000</f>
        <v>-267531.0938587095</v>
      </c>
      <c r="T54">
        <f t="shared" ref="T54" si="249">S54/1000</f>
        <v>-267.53109385870948</v>
      </c>
    </row>
    <row r="55" spans="1:20" x14ac:dyDescent="0.25">
      <c r="A55" s="5">
        <v>44538</v>
      </c>
      <c r="B55">
        <v>1.482E-2</v>
      </c>
      <c r="C55">
        <v>1.506E-2</v>
      </c>
      <c r="D55">
        <v>1.4160000000000001E-2</v>
      </c>
      <c r="E55">
        <v>1.4800000000000001E-2</v>
      </c>
      <c r="F55">
        <v>117495079</v>
      </c>
      <c r="G55">
        <v>1.4800000000000001E-2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0.4222222222222225</v>
      </c>
      <c r="Q55">
        <f t="shared" ref="Q55" si="251">F55*P55</f>
        <v>49609033.355555587</v>
      </c>
      <c r="R55">
        <f t="shared" ref="R55" si="252">R56+Q55</f>
        <v>-26638692201.406384</v>
      </c>
      <c r="S55">
        <f t="shared" ref="S55" si="253">R55/100000</f>
        <v>-266386.92201406381</v>
      </c>
      <c r="T55">
        <f t="shared" ref="T55" si="254">S55/1000</f>
        <v>-266.38692201406383</v>
      </c>
    </row>
    <row r="56" spans="1:20" x14ac:dyDescent="0.25">
      <c r="A56" s="5">
        <v>44537</v>
      </c>
      <c r="B56">
        <v>1.473E-2</v>
      </c>
      <c r="C56">
        <v>1.5689999999999999E-2</v>
      </c>
      <c r="D56">
        <v>1.465E-2</v>
      </c>
      <c r="E56">
        <v>1.4829999999999999E-2</v>
      </c>
      <c r="F56">
        <v>163218051</v>
      </c>
      <c r="G56">
        <v>1.4829999999999999E-2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-0.65384615384615441</v>
      </c>
      <c r="Q56">
        <f t="shared" ref="Q56" si="256">F56*P56</f>
        <v>-106719494.88461548</v>
      </c>
      <c r="R56">
        <f t="shared" ref="R56" si="257">R57+Q56</f>
        <v>-26688301234.76194</v>
      </c>
      <c r="S56">
        <f t="shared" ref="S56" si="258">R56/100000</f>
        <v>-266883.0123476194</v>
      </c>
      <c r="T56">
        <f t="shared" ref="T56" si="259">S56/1000</f>
        <v>-266.8830123476194</v>
      </c>
    </row>
    <row r="57" spans="1:20" x14ac:dyDescent="0.25">
      <c r="A57" s="5">
        <v>44536</v>
      </c>
      <c r="B57">
        <v>1.485E-2</v>
      </c>
      <c r="C57">
        <v>1.486E-2</v>
      </c>
      <c r="D57">
        <v>1.404E-2</v>
      </c>
      <c r="E57">
        <v>1.472E-2</v>
      </c>
      <c r="F57">
        <v>175590532</v>
      </c>
      <c r="G57">
        <v>1.472E-2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0.65853658536585469</v>
      </c>
      <c r="Q57">
        <f t="shared" ref="Q57" si="261">F57*P57</f>
        <v>115632789.36585385</v>
      </c>
      <c r="R57">
        <f t="shared" ref="R57" si="262">R58+Q57</f>
        <v>-26581581739.877323</v>
      </c>
      <c r="S57">
        <f t="shared" ref="S57" si="263">R57/100000</f>
        <v>-265815.81739877322</v>
      </c>
      <c r="T57">
        <f t="shared" ref="T57" si="264">S57/1000</f>
        <v>-265.81581739877322</v>
      </c>
    </row>
    <row r="58" spans="1:20" x14ac:dyDescent="0.25">
      <c r="A58" s="5">
        <v>44535</v>
      </c>
      <c r="B58">
        <v>1.5089999999999999E-2</v>
      </c>
      <c r="C58">
        <v>1.5959999999999998E-2</v>
      </c>
      <c r="D58">
        <v>1.4489999999999999E-2</v>
      </c>
      <c r="E58">
        <v>1.486E-2</v>
      </c>
      <c r="F58">
        <v>134058577</v>
      </c>
      <c r="G58">
        <v>1.486E-2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-0.49659863945578125</v>
      </c>
      <c r="Q58">
        <f t="shared" ref="Q58" si="266">F58*P58</f>
        <v>-66573306.945578091</v>
      </c>
      <c r="R58">
        <f t="shared" ref="R58" si="267">R59+Q58</f>
        <v>-26697214529.243176</v>
      </c>
      <c r="S58">
        <f t="shared" ref="S58" si="268">R58/100000</f>
        <v>-266972.14529243176</v>
      </c>
      <c r="T58">
        <f t="shared" ref="T58" si="269">S58/1000</f>
        <v>-266.97214529243178</v>
      </c>
    </row>
    <row r="59" spans="1:20" x14ac:dyDescent="0.25">
      <c r="A59" s="5">
        <v>44534</v>
      </c>
      <c r="B59">
        <v>1.796E-2</v>
      </c>
      <c r="C59">
        <v>1.7989999999999999E-2</v>
      </c>
      <c r="D59">
        <v>1.315E-2</v>
      </c>
      <c r="E59">
        <v>1.508E-2</v>
      </c>
      <c r="F59">
        <v>280232147</v>
      </c>
      <c r="G59">
        <v>1.508E-2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-0.20247933884297525</v>
      </c>
      <c r="Q59">
        <f t="shared" ref="Q59" si="271">F59*P59</f>
        <v>-56741219.847107448</v>
      </c>
      <c r="R59">
        <f t="shared" ref="R59" si="272">R60+Q59</f>
        <v>-26630641222.297596</v>
      </c>
      <c r="S59">
        <f t="shared" ref="S59" si="273">R59/100000</f>
        <v>-266306.41222297598</v>
      </c>
      <c r="T59">
        <f t="shared" ref="T59" si="274">S59/1000</f>
        <v>-266.30641222297601</v>
      </c>
    </row>
    <row r="60" spans="1:20" x14ac:dyDescent="0.25">
      <c r="A60" s="5">
        <v>44533</v>
      </c>
      <c r="B60">
        <v>1.789E-2</v>
      </c>
      <c r="C60">
        <v>1.891E-2</v>
      </c>
      <c r="D60">
        <v>1.738E-2</v>
      </c>
      <c r="E60">
        <v>1.796E-2</v>
      </c>
      <c r="F60">
        <v>393069741</v>
      </c>
      <c r="G60">
        <v>1.796E-2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-0.24183006535947632</v>
      </c>
      <c r="Q60">
        <f t="shared" ref="Q60" si="276">F60*P60</f>
        <v>-95056081.156862423</v>
      </c>
      <c r="R60">
        <f t="shared" ref="R60" si="277">R61+Q60</f>
        <v>-26573900002.450489</v>
      </c>
      <c r="S60">
        <f t="shared" ref="S60" si="278">R60/100000</f>
        <v>-265739.0000245049</v>
      </c>
      <c r="T60">
        <f t="shared" ref="T60" si="279">S60/1000</f>
        <v>-265.73900002450489</v>
      </c>
    </row>
    <row r="61" spans="1:20" x14ac:dyDescent="0.25">
      <c r="A61" s="5">
        <v>44532</v>
      </c>
      <c r="B61">
        <v>1.9769999999999999E-2</v>
      </c>
      <c r="C61">
        <v>0.02</v>
      </c>
      <c r="D61">
        <v>1.7819999999999999E-2</v>
      </c>
      <c r="E61">
        <v>1.788E-2</v>
      </c>
      <c r="F61">
        <v>342943211</v>
      </c>
      <c r="G61">
        <v>1.788E-2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-0.94495412844036608</v>
      </c>
      <c r="Q61">
        <f t="shared" ref="Q61" si="281">F61*P61</f>
        <v>-324065603.05504555</v>
      </c>
      <c r="R61">
        <f t="shared" ref="R61" si="282">R62+Q61</f>
        <v>-26478843921.293625</v>
      </c>
      <c r="S61">
        <f t="shared" ref="S61" si="283">R61/100000</f>
        <v>-264788.43921293627</v>
      </c>
      <c r="T61">
        <f t="shared" ref="T61" si="284">S61/1000</f>
        <v>-264.78843921293628</v>
      </c>
    </row>
    <row r="62" spans="1:20" x14ac:dyDescent="0.25">
      <c r="A62" s="5">
        <v>44531</v>
      </c>
      <c r="B62">
        <v>1.9300000000000001E-2</v>
      </c>
      <c r="C62">
        <v>2.053E-2</v>
      </c>
      <c r="D62">
        <v>1.9259999999999999E-2</v>
      </c>
      <c r="E62">
        <v>1.9769999999999999E-2</v>
      </c>
      <c r="F62">
        <v>148758158</v>
      </c>
      <c r="G62">
        <v>1.9769999999999999E-2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-0.19685039370078752</v>
      </c>
      <c r="Q62">
        <f t="shared" ref="Q62" si="286">F62*P62</f>
        <v>-29283101.968503956</v>
      </c>
      <c r="R62">
        <f t="shared" ref="R62" si="287">R63+Q62</f>
        <v>-26154778318.238579</v>
      </c>
      <c r="S62">
        <f t="shared" ref="S62" si="288">R62/100000</f>
        <v>-261547.78318238579</v>
      </c>
      <c r="T62">
        <f t="shared" ref="T62" si="289">S62/1000</f>
        <v>-261.54778318238579</v>
      </c>
    </row>
    <row r="63" spans="1:20" x14ac:dyDescent="0.25">
      <c r="A63" s="5">
        <v>44530</v>
      </c>
      <c r="B63">
        <v>1.9269999999999999E-2</v>
      </c>
      <c r="C63">
        <v>1.9879999999999998E-2</v>
      </c>
      <c r="D63">
        <v>1.8950000000000002E-2</v>
      </c>
      <c r="E63">
        <v>1.933E-2</v>
      </c>
      <c r="F63">
        <v>198691080</v>
      </c>
      <c r="G63">
        <v>1.933E-2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-0.18279569892473183</v>
      </c>
      <c r="Q63">
        <f t="shared" ref="Q63" si="291">F63*P63</f>
        <v>-36319874.838709801</v>
      </c>
      <c r="R63">
        <f t="shared" ref="R63" si="292">R64+Q63</f>
        <v>-26125495216.270073</v>
      </c>
      <c r="S63">
        <f t="shared" ref="S63" si="293">R63/100000</f>
        <v>-261254.95216270073</v>
      </c>
      <c r="T63">
        <f t="shared" ref="T63" si="294">S63/1000</f>
        <v>-261.25495216270076</v>
      </c>
    </row>
    <row r="64" spans="1:20" x14ac:dyDescent="0.25">
      <c r="A64" s="5">
        <v>44529</v>
      </c>
      <c r="B64">
        <v>1.942E-2</v>
      </c>
      <c r="C64">
        <v>1.992E-2</v>
      </c>
      <c r="D64">
        <v>1.898E-2</v>
      </c>
      <c r="E64">
        <v>1.9300000000000001E-2</v>
      </c>
      <c r="F64">
        <v>179988779</v>
      </c>
      <c r="G64">
        <v>1.9300000000000001E-2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-0.3191489361702109</v>
      </c>
      <c r="Q64">
        <f t="shared" ref="Q64" si="296">F64*P64</f>
        <v>-57443227.340425193</v>
      </c>
      <c r="R64">
        <f t="shared" ref="R64" si="297">R65+Q64</f>
        <v>-26089175341.431362</v>
      </c>
      <c r="S64">
        <f t="shared" ref="S64" si="298">R64/100000</f>
        <v>-260891.75341431363</v>
      </c>
      <c r="T64">
        <f t="shared" ref="T64" si="299">S64/1000</f>
        <v>-260.89175341431365</v>
      </c>
    </row>
    <row r="65" spans="1:20" x14ac:dyDescent="0.25">
      <c r="A65" s="5">
        <v>44528</v>
      </c>
      <c r="B65">
        <v>1.9470000000000001E-2</v>
      </c>
      <c r="C65">
        <v>1.9900000000000001E-2</v>
      </c>
      <c r="D65">
        <v>1.7950000000000001E-2</v>
      </c>
      <c r="E65">
        <v>1.942E-2</v>
      </c>
      <c r="F65">
        <v>169070935</v>
      </c>
      <c r="G65">
        <v>1.942E-2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0.50769230769230644</v>
      </c>
      <c r="Q65">
        <f t="shared" ref="Q65" si="301">F65*P65</f>
        <v>85836013.153845936</v>
      </c>
      <c r="R65">
        <f t="shared" ref="R65" si="302">R66+Q65</f>
        <v>-26031732114.090939</v>
      </c>
      <c r="S65">
        <f t="shared" ref="S65" si="303">R65/100000</f>
        <v>-260317.32114090939</v>
      </c>
      <c r="T65">
        <f t="shared" ref="T65" si="304">S65/1000</f>
        <v>-260.31732114090937</v>
      </c>
    </row>
    <row r="66" spans="1:20" x14ac:dyDescent="0.25">
      <c r="A66" s="5">
        <v>44527</v>
      </c>
      <c r="B66">
        <v>1.9220000000000001E-2</v>
      </c>
      <c r="C66">
        <v>2.0129999999999999E-2</v>
      </c>
      <c r="D66">
        <v>1.9140000000000001E-2</v>
      </c>
      <c r="E66">
        <v>1.9470000000000001E-2</v>
      </c>
      <c r="F66">
        <v>136828871</v>
      </c>
      <c r="G66">
        <v>1.9470000000000001E-2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-0.33333333333333098</v>
      </c>
      <c r="Q66">
        <f t="shared" ref="Q66" si="306">F66*P66</f>
        <v>-45609623.666666344</v>
      </c>
      <c r="R66">
        <f t="shared" ref="R66" si="307">R67+Q66</f>
        <v>-26117568127.244785</v>
      </c>
      <c r="S66">
        <f t="shared" ref="S66" si="308">R66/100000</f>
        <v>-261175.68127244787</v>
      </c>
      <c r="T66">
        <f t="shared" ref="T66" si="309">S66/1000</f>
        <v>-261.17568127244789</v>
      </c>
    </row>
    <row r="67" spans="1:20" x14ac:dyDescent="0.25">
      <c r="A67" s="5">
        <v>44526</v>
      </c>
      <c r="B67">
        <v>2.0979999999999999E-2</v>
      </c>
      <c r="C67">
        <v>2.102E-2</v>
      </c>
      <c r="D67">
        <v>1.857E-2</v>
      </c>
      <c r="E67">
        <v>1.9210000000000001E-2</v>
      </c>
      <c r="F67">
        <v>181456114</v>
      </c>
      <c r="G67">
        <v>1.9210000000000001E-2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-0.47755102040816205</v>
      </c>
      <c r="Q67">
        <f t="shared" ref="Q67" si="311">F67*P67</f>
        <v>-86654552.399999782</v>
      </c>
      <c r="R67">
        <f t="shared" ref="R67" si="312">R68+Q67</f>
        <v>-26071958503.578117</v>
      </c>
      <c r="S67">
        <f t="shared" ref="S67" si="313">R67/100000</f>
        <v>-260719.58503578117</v>
      </c>
      <c r="T67">
        <f t="shared" ref="T67" si="314">S67/1000</f>
        <v>-260.71958503578117</v>
      </c>
    </row>
    <row r="68" spans="1:20" x14ac:dyDescent="0.25">
      <c r="A68" s="5">
        <v>44525</v>
      </c>
      <c r="B68">
        <v>2.0580000000000001E-2</v>
      </c>
      <c r="C68">
        <v>2.1520000000000001E-2</v>
      </c>
      <c r="D68">
        <v>2.0299999999999999E-2</v>
      </c>
      <c r="E68">
        <v>2.0979999999999999E-2</v>
      </c>
      <c r="F68">
        <v>166539247</v>
      </c>
      <c r="G68">
        <v>2.0979999999999999E-2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0.11475409836065369</v>
      </c>
      <c r="Q68">
        <f t="shared" ref="Q68" si="316">F68*P68</f>
        <v>19111061.131147198</v>
      </c>
      <c r="R68">
        <f t="shared" ref="R68" si="317">R69+Q68</f>
        <v>-25985303951.178116</v>
      </c>
      <c r="S68">
        <f t="shared" ref="S68" si="318">R68/100000</f>
        <v>-259853.03951178116</v>
      </c>
      <c r="T68">
        <f t="shared" ref="T68" si="319">S68/1000</f>
        <v>-259.85303951178116</v>
      </c>
    </row>
    <row r="69" spans="1:20" x14ac:dyDescent="0.25">
      <c r="A69" s="5">
        <v>44524</v>
      </c>
      <c r="B69">
        <v>2.1559999999999999E-2</v>
      </c>
      <c r="C69">
        <v>2.1690000000000001E-2</v>
      </c>
      <c r="D69">
        <v>2.078E-2</v>
      </c>
      <c r="E69">
        <v>2.0879999999999999E-2</v>
      </c>
      <c r="F69">
        <v>119023468</v>
      </c>
      <c r="G69">
        <v>2.0879999999999999E-2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-0.78021978021978178</v>
      </c>
      <c r="Q69">
        <f t="shared" ref="Q69" si="321">F69*P69</f>
        <v>-92864464.043956235</v>
      </c>
      <c r="R69">
        <f t="shared" ref="R69" si="322">R70+Q69</f>
        <v>-26004415012.309261</v>
      </c>
      <c r="S69">
        <f t="shared" ref="S69" si="323">R69/100000</f>
        <v>-260044.15012309261</v>
      </c>
      <c r="T69">
        <f t="shared" ref="T69" si="324">S69/1000</f>
        <v>-260.04415012309261</v>
      </c>
    </row>
    <row r="70" spans="1:20" x14ac:dyDescent="0.25">
      <c r="A70" s="5">
        <v>44523</v>
      </c>
      <c r="B70">
        <v>2.2040000000000001E-2</v>
      </c>
      <c r="C70">
        <v>2.3539999999999998E-2</v>
      </c>
      <c r="D70">
        <v>2.146E-2</v>
      </c>
      <c r="E70">
        <v>2.1530000000000001E-2</v>
      </c>
      <c r="F70">
        <v>536964552</v>
      </c>
      <c r="G70">
        <v>2.1530000000000001E-2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-0.93269230769230704</v>
      </c>
      <c r="Q70">
        <f t="shared" ref="Q70" si="326">F70*P70</f>
        <v>-500822707.15384579</v>
      </c>
      <c r="R70">
        <f t="shared" ref="R70" si="327">R71+Q70</f>
        <v>-25911550548.265305</v>
      </c>
      <c r="S70">
        <f t="shared" ref="S70" si="328">R70/100000</f>
        <v>-259115.50548265304</v>
      </c>
      <c r="T70">
        <f t="shared" ref="T70" si="329">S70/1000</f>
        <v>-259.11550548265302</v>
      </c>
    </row>
    <row r="71" spans="1:20" x14ac:dyDescent="0.25">
      <c r="A71" s="5">
        <v>44522</v>
      </c>
      <c r="B71">
        <v>2.111E-2</v>
      </c>
      <c r="C71">
        <v>2.3400000000000001E-2</v>
      </c>
      <c r="D71">
        <v>2.051E-2</v>
      </c>
      <c r="E71">
        <v>2.205E-2</v>
      </c>
      <c r="F71">
        <v>710337846</v>
      </c>
      <c r="G71">
        <v>2.205E-2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6.5743944636677917E-2</v>
      </c>
      <c r="Q71">
        <f t="shared" ref="Q71" si="331">F71*P71</f>
        <v>46700412.020761043</v>
      </c>
      <c r="R71">
        <f t="shared" ref="R71" si="332">R72+Q71</f>
        <v>-25410727841.111458</v>
      </c>
      <c r="S71">
        <f t="shared" ref="S71" si="333">R71/100000</f>
        <v>-254107.27841111459</v>
      </c>
      <c r="T71">
        <f t="shared" ref="T71" si="334">S71/1000</f>
        <v>-254.10727841111458</v>
      </c>
    </row>
    <row r="72" spans="1:20" x14ac:dyDescent="0.25">
      <c r="A72" s="5">
        <v>44521</v>
      </c>
      <c r="B72">
        <v>2.0469999999999999E-2</v>
      </c>
      <c r="C72">
        <v>2.3699999999999999E-2</v>
      </c>
      <c r="D72">
        <v>2.001E-2</v>
      </c>
      <c r="E72">
        <v>2.1090000000000001E-2</v>
      </c>
      <c r="F72">
        <v>801301332</v>
      </c>
      <c r="G72">
        <v>2.1090000000000001E-2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-0.41463414634146262</v>
      </c>
      <c r="Q72">
        <f t="shared" ref="Q72" si="336">F72*P72</f>
        <v>-332246893.7560969</v>
      </c>
      <c r="R72">
        <f t="shared" ref="R72" si="337">R73+Q72</f>
        <v>-25457428253.132217</v>
      </c>
      <c r="S72">
        <f t="shared" ref="S72" si="338">R72/100000</f>
        <v>-254574.28253132218</v>
      </c>
      <c r="T72">
        <f t="shared" ref="T72" si="339">S72/1000</f>
        <v>-254.57428253132218</v>
      </c>
    </row>
    <row r="73" spans="1:20" x14ac:dyDescent="0.25">
      <c r="A73" s="5">
        <v>44520</v>
      </c>
      <c r="B73">
        <v>1.9189999999999999E-2</v>
      </c>
      <c r="C73">
        <v>2.1000000000000001E-2</v>
      </c>
      <c r="D73">
        <v>1.883E-2</v>
      </c>
      <c r="E73">
        <v>2.043E-2</v>
      </c>
      <c r="F73">
        <v>503265503</v>
      </c>
      <c r="G73">
        <v>2.043E-2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0.47465437788018378</v>
      </c>
      <c r="Q73">
        <f t="shared" ref="Q73" si="341">F73*P73</f>
        <v>238877174.23502275</v>
      </c>
      <c r="R73">
        <f t="shared" ref="R73" si="342">R74+Q73</f>
        <v>-25125181359.376122</v>
      </c>
      <c r="S73">
        <f t="shared" ref="S73" si="343">R73/100000</f>
        <v>-251251.81359376121</v>
      </c>
      <c r="T73">
        <f t="shared" ref="T73" si="344">S73/1000</f>
        <v>-251.2518135937612</v>
      </c>
    </row>
    <row r="74" spans="1:20" x14ac:dyDescent="0.25">
      <c r="A74" s="5">
        <v>44519</v>
      </c>
      <c r="B74">
        <v>1.806E-2</v>
      </c>
      <c r="C74">
        <v>1.949E-2</v>
      </c>
      <c r="D74">
        <v>1.7940000000000001E-2</v>
      </c>
      <c r="E74">
        <v>1.9189999999999999E-2</v>
      </c>
      <c r="F74">
        <v>495246308</v>
      </c>
      <c r="G74">
        <v>1.9189999999999999E-2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0.61290322580644929</v>
      </c>
      <c r="Q74">
        <f t="shared" ref="Q74" si="346">F74*P74</f>
        <v>303538059.74193436</v>
      </c>
      <c r="R74">
        <f t="shared" ref="R74" si="347">R75+Q74</f>
        <v>-25364058533.611145</v>
      </c>
      <c r="S74">
        <f t="shared" ref="S74" si="348">R74/100000</f>
        <v>-253640.58533611146</v>
      </c>
      <c r="T74">
        <f t="shared" ref="T74" si="349">S74/1000</f>
        <v>-253.64058533611146</v>
      </c>
    </row>
    <row r="75" spans="1:20" x14ac:dyDescent="0.25">
      <c r="A75" s="5">
        <v>44518</v>
      </c>
      <c r="B75">
        <v>0.02</v>
      </c>
      <c r="C75">
        <v>2.019E-2</v>
      </c>
      <c r="D75">
        <v>1.7829999999999999E-2</v>
      </c>
      <c r="E75">
        <v>1.8079999999999999E-2</v>
      </c>
      <c r="F75">
        <v>370313995</v>
      </c>
      <c r="G75">
        <v>1.8079999999999999E-2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-0.78813559322033888</v>
      </c>
      <c r="Q75">
        <f t="shared" ref="Q75" si="351">F75*P75</f>
        <v>-291857640.12711859</v>
      </c>
      <c r="R75">
        <f t="shared" ref="R75" si="352">R76+Q75</f>
        <v>-25667596593.353081</v>
      </c>
      <c r="S75">
        <f t="shared" ref="S75" si="353">R75/100000</f>
        <v>-256675.9659335308</v>
      </c>
      <c r="T75">
        <f t="shared" ref="T75" si="354">S75/1000</f>
        <v>-256.67596593353079</v>
      </c>
    </row>
    <row r="76" spans="1:20" x14ac:dyDescent="0.25">
      <c r="A76" s="5">
        <v>44517</v>
      </c>
      <c r="B76">
        <v>1.966E-2</v>
      </c>
      <c r="C76">
        <v>2.052E-2</v>
      </c>
      <c r="D76">
        <v>1.8759999999999999E-2</v>
      </c>
      <c r="E76">
        <v>2.001E-2</v>
      </c>
      <c r="F76">
        <v>394439250</v>
      </c>
      <c r="G76">
        <v>2.001E-2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0.4204545454545458</v>
      </c>
      <c r="Q76">
        <f t="shared" ref="Q76" si="356">F76*P76</f>
        <v>165843775.56818196</v>
      </c>
      <c r="R76">
        <f t="shared" ref="R76" si="357">R77+Q76</f>
        <v>-25375738953.225964</v>
      </c>
      <c r="S76">
        <f t="shared" ref="S76" si="358">R76/100000</f>
        <v>-253757.38953225964</v>
      </c>
      <c r="T76">
        <f t="shared" ref="T76" si="359">S76/1000</f>
        <v>-253.75738953225962</v>
      </c>
    </row>
    <row r="77" spans="1:20" x14ac:dyDescent="0.25">
      <c r="A77" s="5">
        <v>44516</v>
      </c>
      <c r="B77">
        <v>2.1819999999999999E-2</v>
      </c>
      <c r="C77">
        <v>2.1819999999999999E-2</v>
      </c>
      <c r="D77">
        <v>1.8700000000000001E-2</v>
      </c>
      <c r="E77">
        <v>1.966E-2</v>
      </c>
      <c r="F77">
        <v>494441597</v>
      </c>
      <c r="G77">
        <v>1.966E-2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-0.3846153846153848</v>
      </c>
      <c r="Q77">
        <f t="shared" ref="Q77" si="361">F77*P77</f>
        <v>-190169845.00000009</v>
      </c>
      <c r="R77">
        <f t="shared" ref="R77" si="362">R78+Q77</f>
        <v>-25541582728.794144</v>
      </c>
      <c r="S77">
        <f t="shared" ref="S77" si="363">R77/100000</f>
        <v>-255415.82728794144</v>
      </c>
      <c r="T77">
        <f t="shared" ref="T77" si="364">S77/1000</f>
        <v>-255.41582728794145</v>
      </c>
    </row>
    <row r="78" spans="1:20" x14ac:dyDescent="0.25">
      <c r="A78" s="5">
        <v>44515</v>
      </c>
      <c r="B78">
        <v>2.1989999999999999E-2</v>
      </c>
      <c r="C78">
        <v>2.392E-2</v>
      </c>
      <c r="D78">
        <v>2.1739999999999999E-2</v>
      </c>
      <c r="E78">
        <v>2.18E-2</v>
      </c>
      <c r="F78">
        <v>586663954</v>
      </c>
      <c r="G78">
        <v>2.18E-2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-0.94495412844036608</v>
      </c>
      <c r="Q78">
        <f t="shared" ref="Q78" si="366">F78*P78</f>
        <v>-554370525.33944905</v>
      </c>
      <c r="R78">
        <f t="shared" ref="R78" si="367">R79+Q78</f>
        <v>-25351412883.794144</v>
      </c>
      <c r="S78">
        <f t="shared" ref="S78" si="368">R78/100000</f>
        <v>-253514.12883794145</v>
      </c>
      <c r="T78">
        <f t="shared" ref="T78" si="369">S78/1000</f>
        <v>-253.51412883794146</v>
      </c>
    </row>
    <row r="79" spans="1:20" x14ac:dyDescent="0.25">
      <c r="A79" s="5">
        <v>44514</v>
      </c>
      <c r="B79">
        <v>2.1850000000000001E-2</v>
      </c>
      <c r="C79">
        <v>2.2620000000000001E-2</v>
      </c>
      <c r="D79">
        <v>2.163E-2</v>
      </c>
      <c r="E79">
        <v>2.197E-2</v>
      </c>
      <c r="F79">
        <v>524933881</v>
      </c>
      <c r="G79">
        <v>2.197E-2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-0.31313131313131398</v>
      </c>
      <c r="Q79">
        <f t="shared" ref="Q79" si="371">F79*P79</f>
        <v>-164373235.46464691</v>
      </c>
      <c r="R79">
        <f t="shared" ref="R79" si="372">R80+Q79</f>
        <v>-24797042358.454693</v>
      </c>
      <c r="S79">
        <f t="shared" ref="S79" si="373">R79/100000</f>
        <v>-247970.42358454692</v>
      </c>
      <c r="T79">
        <f t="shared" ref="T79" si="374">S79/1000</f>
        <v>-247.97042358454692</v>
      </c>
    </row>
    <row r="80" spans="1:20" x14ac:dyDescent="0.25">
      <c r="A80" s="5">
        <v>44513</v>
      </c>
      <c r="B80">
        <v>2.2159999999999999E-2</v>
      </c>
      <c r="C80">
        <v>2.4E-2</v>
      </c>
      <c r="D80">
        <v>2.1780000000000001E-2</v>
      </c>
      <c r="E80">
        <v>2.1829999999999999E-2</v>
      </c>
      <c r="F80">
        <v>1115189232</v>
      </c>
      <c r="G80">
        <v>2.1829999999999999E-2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-0.95495495495495675</v>
      </c>
      <c r="Q80">
        <f t="shared" ref="Q80" si="376">F80*P80</f>
        <v>-1064955482.8108128</v>
      </c>
      <c r="R80">
        <f t="shared" ref="R80" si="377">R81+Q80</f>
        <v>-24632669122.990047</v>
      </c>
      <c r="S80">
        <f t="shared" ref="S80" si="378">R80/100000</f>
        <v>-246326.69122990046</v>
      </c>
      <c r="T80">
        <f t="shared" ref="T80" si="379">S80/1000</f>
        <v>-246.32669122990046</v>
      </c>
    </row>
    <row r="81" spans="1:20" x14ac:dyDescent="0.25">
      <c r="A81" s="5">
        <v>44512</v>
      </c>
      <c r="B81">
        <v>2.0629999999999999E-2</v>
      </c>
      <c r="C81">
        <v>2.2839999999999999E-2</v>
      </c>
      <c r="D81">
        <v>2.0369999999999999E-2</v>
      </c>
      <c r="E81">
        <v>2.214E-2</v>
      </c>
      <c r="F81">
        <v>788561601</v>
      </c>
      <c r="G81">
        <v>2.214E-2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0.43319838056680221</v>
      </c>
      <c r="Q81">
        <f t="shared" ref="Q81" si="381">F81*P81</f>
        <v>341603608.53036481</v>
      </c>
      <c r="R81">
        <f t="shared" ref="R81" si="382">R82+Q81</f>
        <v>-23567713640.179234</v>
      </c>
      <c r="S81">
        <f t="shared" ref="S81" si="383">R81/100000</f>
        <v>-235677.13640179235</v>
      </c>
      <c r="T81">
        <f t="shared" ref="T81" si="384">S81/1000</f>
        <v>-235.67713640179235</v>
      </c>
    </row>
    <row r="82" spans="1:20" x14ac:dyDescent="0.25">
      <c r="A82" s="5">
        <v>44511</v>
      </c>
      <c r="B82">
        <v>1.9470000000000001E-2</v>
      </c>
      <c r="C82">
        <v>2.0840000000000001E-2</v>
      </c>
      <c r="D82">
        <v>1.9259999999999999E-2</v>
      </c>
      <c r="E82">
        <v>2.061E-2</v>
      </c>
      <c r="F82">
        <v>441658878</v>
      </c>
      <c r="G82">
        <v>2.061E-2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0.70886075949366989</v>
      </c>
      <c r="Q82">
        <f t="shared" ref="Q82" si="386">F82*P82</f>
        <v>313074647.6962021</v>
      </c>
      <c r="R82">
        <f t="shared" ref="R82" si="387">R83+Q82</f>
        <v>-23909317248.709599</v>
      </c>
      <c r="S82">
        <f t="shared" ref="S82" si="388">R82/100000</f>
        <v>-239093.17248709599</v>
      </c>
      <c r="T82">
        <f t="shared" ref="T82" si="389">S82/1000</f>
        <v>-239.09317248709598</v>
      </c>
    </row>
    <row r="83" spans="1:20" x14ac:dyDescent="0.25">
      <c r="A83" s="5">
        <v>44510</v>
      </c>
      <c r="B83">
        <v>2.0310000000000002E-2</v>
      </c>
      <c r="C83">
        <v>2.1989999999999999E-2</v>
      </c>
      <c r="D83">
        <v>1.9050000000000001E-2</v>
      </c>
      <c r="E83">
        <v>1.9470000000000001E-2</v>
      </c>
      <c r="F83">
        <v>921153698</v>
      </c>
      <c r="G83">
        <v>1.9470000000000001E-2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-0.71428571428571397</v>
      </c>
      <c r="Q83">
        <f t="shared" ref="Q83" si="391">F83*P83</f>
        <v>-657966927.14285684</v>
      </c>
      <c r="R83">
        <f t="shared" ref="R83" si="392">R84+Q83</f>
        <v>-24222391896.4058</v>
      </c>
      <c r="S83">
        <f t="shared" ref="S83" si="393">R83/100000</f>
        <v>-242223.91896405799</v>
      </c>
      <c r="T83">
        <f t="shared" ref="T83" si="394">S83/1000</f>
        <v>-242.22391896405799</v>
      </c>
    </row>
    <row r="84" spans="1:20" x14ac:dyDescent="0.25">
      <c r="A84" s="5">
        <v>44509</v>
      </c>
      <c r="B84">
        <v>2.0119999999999999E-2</v>
      </c>
      <c r="C84">
        <v>2.0879999999999999E-2</v>
      </c>
      <c r="D84">
        <v>1.9869999999999999E-2</v>
      </c>
      <c r="E84">
        <v>2.0299999999999999E-2</v>
      </c>
      <c r="F84">
        <v>820800510</v>
      </c>
      <c r="G84">
        <v>2.0299999999999999E-2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-0.14851485148514926</v>
      </c>
      <c r="Q84">
        <f t="shared" ref="Q84" si="396">F84*P84</f>
        <v>-121901065.84158477</v>
      </c>
      <c r="R84">
        <f t="shared" ref="R84" si="397">R85+Q84</f>
        <v>-23564424969.262943</v>
      </c>
      <c r="S84">
        <f t="shared" ref="S84" si="398">R84/100000</f>
        <v>-235644.24969262944</v>
      </c>
      <c r="T84">
        <f t="shared" ref="T84" si="399">S84/1000</f>
        <v>-235.64424969262944</v>
      </c>
    </row>
    <row r="85" spans="1:20" x14ac:dyDescent="0.25">
      <c r="A85" s="5">
        <v>44508</v>
      </c>
      <c r="B85">
        <v>1.9640000000000001E-2</v>
      </c>
      <c r="C85">
        <v>2.0209999999999999E-2</v>
      </c>
      <c r="D85">
        <v>1.9539999999999998E-2</v>
      </c>
      <c r="E85">
        <v>2.0119999999999999E-2</v>
      </c>
      <c r="F85">
        <v>662508892</v>
      </c>
      <c r="G85">
        <v>2.0119999999999999E-2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0.73134328358209033</v>
      </c>
      <c r="Q85">
        <f t="shared" ref="Q85" si="401">F85*P85</f>
        <v>484521428.47761244</v>
      </c>
      <c r="R85">
        <f t="shared" ref="R85" si="402">R86+Q85</f>
        <v>-23442523903.42136</v>
      </c>
      <c r="S85">
        <f t="shared" ref="S85" si="403">R85/100000</f>
        <v>-234425.23903421359</v>
      </c>
      <c r="T85">
        <f t="shared" ref="T85" si="404">S85/1000</f>
        <v>-234.4252390342136</v>
      </c>
    </row>
    <row r="86" spans="1:20" x14ac:dyDescent="0.25">
      <c r="A86" s="5">
        <v>44507</v>
      </c>
      <c r="B86">
        <v>1.9470000000000001E-2</v>
      </c>
      <c r="C86">
        <v>1.9720000000000001E-2</v>
      </c>
      <c r="D86">
        <v>1.916E-2</v>
      </c>
      <c r="E86">
        <v>1.9640000000000001E-2</v>
      </c>
      <c r="F86">
        <v>435099394</v>
      </c>
      <c r="G86">
        <v>1.9640000000000001E-2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0.7142857142857143</v>
      </c>
      <c r="Q86">
        <f t="shared" ref="Q86" si="406">F86*P86</f>
        <v>310785281.42857146</v>
      </c>
      <c r="R86">
        <f t="shared" ref="R86" si="407">R87+Q86</f>
        <v>-23927045331.898972</v>
      </c>
      <c r="S86">
        <f t="shared" ref="S86" si="408">R86/100000</f>
        <v>-239270.45331898972</v>
      </c>
      <c r="T86">
        <f t="shared" ref="T86" si="409">S86/1000</f>
        <v>-239.27045331898972</v>
      </c>
    </row>
    <row r="87" spans="1:20" x14ac:dyDescent="0.25">
      <c r="A87" s="5">
        <v>44506</v>
      </c>
      <c r="B87">
        <v>1.9599999999999999E-2</v>
      </c>
      <c r="C87">
        <v>2.0119999999999999E-2</v>
      </c>
      <c r="D87">
        <v>1.9089999999999999E-2</v>
      </c>
      <c r="E87">
        <v>1.9470000000000001E-2</v>
      </c>
      <c r="F87">
        <v>561183214</v>
      </c>
      <c r="G87">
        <v>1.9470000000000001E-2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-0.26213592233009325</v>
      </c>
      <c r="Q87">
        <f t="shared" ref="Q87" si="411">F87*P87</f>
        <v>-147106279.39805609</v>
      </c>
      <c r="R87">
        <f t="shared" ref="R87" si="412">R88+Q87</f>
        <v>-24237830613.327541</v>
      </c>
      <c r="S87">
        <f t="shared" ref="S87" si="413">R87/100000</f>
        <v>-242378.30613327542</v>
      </c>
      <c r="T87">
        <f t="shared" ref="T87" si="414">S87/1000</f>
        <v>-242.3783061332754</v>
      </c>
    </row>
    <row r="88" spans="1:20" x14ac:dyDescent="0.25">
      <c r="A88" s="5">
        <v>44505</v>
      </c>
      <c r="B88">
        <v>1.9869999999999999E-2</v>
      </c>
      <c r="C88">
        <v>2.043E-2</v>
      </c>
      <c r="D88">
        <v>1.941E-2</v>
      </c>
      <c r="E88">
        <v>1.9609999999999999E-2</v>
      </c>
      <c r="F88">
        <v>534892580</v>
      </c>
      <c r="G88">
        <v>1.9609999999999999E-2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-0.60784313725490435</v>
      </c>
      <c r="Q88">
        <f t="shared" ref="Q88" si="416">F88*P88</f>
        <v>-325130783.92156988</v>
      </c>
      <c r="R88">
        <f t="shared" ref="R88" si="417">R89+Q88</f>
        <v>-24090724333.929485</v>
      </c>
      <c r="S88">
        <f t="shared" ref="S88" si="418">R88/100000</f>
        <v>-240907.24333929486</v>
      </c>
      <c r="T88">
        <f t="shared" ref="T88" si="419">S88/1000</f>
        <v>-240.90724333929487</v>
      </c>
    </row>
    <row r="89" spans="1:20" x14ac:dyDescent="0.25">
      <c r="A89" s="5">
        <v>44504</v>
      </c>
      <c r="B89">
        <v>1.9779999999999999E-2</v>
      </c>
      <c r="C89">
        <v>2.018E-2</v>
      </c>
      <c r="D89">
        <v>1.942E-2</v>
      </c>
      <c r="E89">
        <v>1.9869999999999999E-2</v>
      </c>
      <c r="F89">
        <v>484700575</v>
      </c>
      <c r="G89">
        <v>1.9869999999999999E-2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0.18421052631578647</v>
      </c>
      <c r="Q89">
        <f t="shared" ref="Q89" si="421">F89*P89</f>
        <v>89286948.026314333</v>
      </c>
      <c r="R89">
        <f t="shared" ref="R89" si="422">R90+Q89</f>
        <v>-23765593550.007915</v>
      </c>
      <c r="S89">
        <f t="shared" ref="S89" si="423">R89/100000</f>
        <v>-237655.93550007915</v>
      </c>
      <c r="T89">
        <f t="shared" ref="T89" si="424">S89/1000</f>
        <v>-237.65593550007915</v>
      </c>
    </row>
    <row r="90" spans="1:20" x14ac:dyDescent="0.25">
      <c r="A90" s="5">
        <v>44503</v>
      </c>
      <c r="B90">
        <v>2.0379999999999999E-2</v>
      </c>
      <c r="C90">
        <v>2.043E-2</v>
      </c>
      <c r="D90">
        <v>1.9400000000000001E-2</v>
      </c>
      <c r="E90">
        <v>1.9769999999999999E-2</v>
      </c>
      <c r="F90">
        <v>434267421</v>
      </c>
      <c r="G90">
        <v>1.9769999999999999E-2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-0.28155339805825452</v>
      </c>
      <c r="Q90">
        <f t="shared" ref="Q90" si="426">F90*P90</f>
        <v>-122269468.0485446</v>
      </c>
      <c r="R90">
        <f t="shared" ref="R90" si="427">R91+Q90</f>
        <v>-23854880498.034229</v>
      </c>
      <c r="S90">
        <f t="shared" ref="S90" si="428">R90/100000</f>
        <v>-238548.80498034231</v>
      </c>
      <c r="T90">
        <f t="shared" ref="T90" si="429">S90/1000</f>
        <v>-238.54880498034231</v>
      </c>
    </row>
    <row r="91" spans="1:20" x14ac:dyDescent="0.25">
      <c r="A91" s="5">
        <v>44502</v>
      </c>
      <c r="B91">
        <v>1.9910000000000001E-2</v>
      </c>
      <c r="C91">
        <v>2.0830000000000001E-2</v>
      </c>
      <c r="D91">
        <v>1.9599999999999999E-2</v>
      </c>
      <c r="E91">
        <v>2.0369999999999999E-2</v>
      </c>
      <c r="F91">
        <v>517572157</v>
      </c>
      <c r="G91">
        <v>2.0369999999999999E-2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0.25203252032520107</v>
      </c>
      <c r="Q91">
        <f t="shared" ref="Q91" si="431">F91*P91</f>
        <v>130445015.17886066</v>
      </c>
      <c r="R91">
        <f t="shared" ref="R91" si="432">R92+Q91</f>
        <v>-23732611029.985683</v>
      </c>
      <c r="S91">
        <f t="shared" ref="S91" si="433">R91/100000</f>
        <v>-237326.11029985684</v>
      </c>
      <c r="T91">
        <f t="shared" ref="T91" si="434">S91/1000</f>
        <v>-237.32611029985685</v>
      </c>
    </row>
    <row r="92" spans="1:20" x14ac:dyDescent="0.25">
      <c r="A92" s="5">
        <v>44501</v>
      </c>
      <c r="B92">
        <v>1.9349999999999999E-2</v>
      </c>
      <c r="C92">
        <v>2.0299999999999999E-2</v>
      </c>
      <c r="D92">
        <v>1.9029999999999998E-2</v>
      </c>
      <c r="E92">
        <v>1.9900000000000001E-2</v>
      </c>
      <c r="F92">
        <v>423248452</v>
      </c>
      <c r="G92">
        <v>1.9900000000000001E-2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0.37007874015748426</v>
      </c>
      <c r="Q92">
        <f t="shared" ref="Q92" si="436">F92*P92</f>
        <v>156635253.88976544</v>
      </c>
      <c r="R92">
        <f t="shared" ref="R92" si="437">R93+Q92</f>
        <v>-23863056045.164543</v>
      </c>
      <c r="S92">
        <f t="shared" ref="S92" si="438">R92/100000</f>
        <v>-238630.56045164543</v>
      </c>
      <c r="T92">
        <f t="shared" ref="T92" si="439">S92/1000</f>
        <v>-238.63056045164544</v>
      </c>
    </row>
    <row r="93" spans="1:20" x14ac:dyDescent="0.25">
      <c r="A93" s="5">
        <v>44500</v>
      </c>
      <c r="B93">
        <v>1.9310000000000001E-2</v>
      </c>
      <c r="C93">
        <v>2.01E-2</v>
      </c>
      <c r="D93">
        <v>1.8970000000000001E-2</v>
      </c>
      <c r="E93">
        <v>1.933E-2</v>
      </c>
      <c r="F93">
        <v>547077842</v>
      </c>
      <c r="G93">
        <v>1.933E-2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-0.36283185840708054</v>
      </c>
      <c r="Q93">
        <f t="shared" ref="Q93" si="441">F93*P93</f>
        <v>-198497270.10619518</v>
      </c>
      <c r="R93">
        <f t="shared" ref="R93" si="442">R94+Q93</f>
        <v>-24019691299.05431</v>
      </c>
      <c r="S93">
        <f t="shared" ref="S93" si="443">R93/100000</f>
        <v>-240196.91299054309</v>
      </c>
      <c r="T93">
        <f t="shared" ref="T93" si="444">S93/1000</f>
        <v>-240.1969129905431</v>
      </c>
    </row>
    <row r="94" spans="1:20" x14ac:dyDescent="0.25">
      <c r="A94" s="5">
        <v>44499</v>
      </c>
      <c r="B94">
        <v>1.9769999999999999E-2</v>
      </c>
      <c r="C94">
        <v>1.985E-2</v>
      </c>
      <c r="D94">
        <v>1.9009999999999999E-2</v>
      </c>
      <c r="E94">
        <v>1.9290000000000002E-2</v>
      </c>
      <c r="F94">
        <v>415975201</v>
      </c>
      <c r="G94">
        <v>1.9290000000000002E-2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-0.33333333333332782</v>
      </c>
      <c r="Q94">
        <f t="shared" ref="Q94" si="446">F94*P94</f>
        <v>-138658400.33333105</v>
      </c>
      <c r="R94">
        <f t="shared" ref="R94" si="447">R95+Q94</f>
        <v>-23821194028.948116</v>
      </c>
      <c r="S94">
        <f t="shared" ref="S94" si="448">R94/100000</f>
        <v>-238211.94028948116</v>
      </c>
      <c r="T94">
        <f t="shared" ref="T94" si="449">S94/1000</f>
        <v>-238.21194028948116</v>
      </c>
    </row>
    <row r="95" spans="1:20" x14ac:dyDescent="0.25">
      <c r="A95" s="5">
        <v>44498</v>
      </c>
      <c r="B95">
        <v>1.9220000000000001E-2</v>
      </c>
      <c r="C95">
        <v>1.9939999999999999E-2</v>
      </c>
      <c r="D95">
        <v>1.9179999999999999E-2</v>
      </c>
      <c r="E95">
        <v>1.9769999999999999E-2</v>
      </c>
      <c r="F95">
        <v>452026718</v>
      </c>
      <c r="G95">
        <v>1.9769999999999999E-2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0.55263157894736858</v>
      </c>
      <c r="Q95">
        <f t="shared" ref="Q95" si="451">F95*P95</f>
        <v>249804238.89473692</v>
      </c>
      <c r="R95">
        <f t="shared" ref="R95" si="452">R96+Q95</f>
        <v>-23682535628.614784</v>
      </c>
      <c r="S95">
        <f t="shared" ref="S95" si="453">R95/100000</f>
        <v>-236825.35628614784</v>
      </c>
      <c r="T95">
        <f t="shared" ref="T95" si="454">S95/1000</f>
        <v>-236.82535628614784</v>
      </c>
    </row>
    <row r="96" spans="1:20" x14ac:dyDescent="0.25">
      <c r="A96" s="5">
        <v>44497</v>
      </c>
      <c r="B96">
        <v>1.874E-2</v>
      </c>
      <c r="C96">
        <v>1.9640000000000001E-2</v>
      </c>
      <c r="D96">
        <v>1.831E-2</v>
      </c>
      <c r="E96">
        <v>1.9220000000000001E-2</v>
      </c>
      <c r="F96">
        <v>814940831</v>
      </c>
      <c r="G96">
        <v>1.9220000000000001E-2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0.3684210526315792</v>
      </c>
      <c r="Q96">
        <f t="shared" ref="Q96" si="456">F96*P96</f>
        <v>300241358.78947389</v>
      </c>
      <c r="R96">
        <f t="shared" ref="R96" si="457">R97+Q96</f>
        <v>-23932339867.509521</v>
      </c>
      <c r="S96">
        <f t="shared" ref="S96" si="458">R96/100000</f>
        <v>-239323.3986750952</v>
      </c>
      <c r="T96">
        <f t="shared" ref="T96" si="459">S96/1000</f>
        <v>-239.32339867509521</v>
      </c>
    </row>
    <row r="97" spans="1:20" x14ac:dyDescent="0.25">
      <c r="A97" s="5">
        <v>44496</v>
      </c>
      <c r="B97">
        <v>2.0480000000000002E-2</v>
      </c>
      <c r="C97">
        <v>2.07E-2</v>
      </c>
      <c r="D97">
        <v>1.8710000000000001E-2</v>
      </c>
      <c r="E97">
        <v>1.8749999999999999E-2</v>
      </c>
      <c r="F97">
        <v>829239845</v>
      </c>
      <c r="G97">
        <v>1.8749999999999999E-2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-0.95979899497487597</v>
      </c>
      <c r="Q97">
        <f t="shared" ref="Q97" si="461">F97*P97</f>
        <v>-795903569.82412195</v>
      </c>
      <c r="R97">
        <f t="shared" ref="R97" si="462">R98+Q97</f>
        <v>-24232581226.298996</v>
      </c>
      <c r="S97">
        <f t="shared" ref="S97" si="463">R97/100000</f>
        <v>-242325.81226298996</v>
      </c>
      <c r="T97">
        <f t="shared" ref="T97" si="464">S97/1000</f>
        <v>-242.32581226298996</v>
      </c>
    </row>
    <row r="98" spans="1:20" x14ac:dyDescent="0.25">
      <c r="A98" s="5">
        <v>44495</v>
      </c>
      <c r="B98">
        <v>2.0979999999999999E-2</v>
      </c>
      <c r="C98">
        <v>2.112E-2</v>
      </c>
      <c r="D98">
        <v>2.035E-2</v>
      </c>
      <c r="E98">
        <v>2.0480000000000002E-2</v>
      </c>
      <c r="F98">
        <v>876048712</v>
      </c>
      <c r="G98">
        <v>2.0480000000000002E-2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-0.66233766233765801</v>
      </c>
      <c r="Q98">
        <f t="shared" ref="Q98" si="466">F98*P98</f>
        <v>-580240055.99999619</v>
      </c>
      <c r="R98">
        <f t="shared" ref="R98" si="467">R99+Q98</f>
        <v>-23436677656.474873</v>
      </c>
      <c r="S98">
        <f t="shared" ref="S98" si="468">R98/100000</f>
        <v>-234366.77656474872</v>
      </c>
      <c r="T98">
        <f t="shared" ref="T98" si="469">S98/1000</f>
        <v>-234.36677656474873</v>
      </c>
    </row>
    <row r="99" spans="1:20" x14ac:dyDescent="0.25">
      <c r="A99" s="5">
        <v>44494</v>
      </c>
      <c r="B99">
        <v>2.035E-2</v>
      </c>
      <c r="C99">
        <v>2.1389999999999999E-2</v>
      </c>
      <c r="D99">
        <v>2.0299999999999999E-2</v>
      </c>
      <c r="E99">
        <v>2.0969999999999999E-2</v>
      </c>
      <c r="F99">
        <v>1025596351</v>
      </c>
      <c r="G99">
        <v>2.0969999999999999E-2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0.22935779816513768</v>
      </c>
      <c r="Q99">
        <f t="shared" ref="Q99" si="471">F99*P99</f>
        <v>235228520.87155971</v>
      </c>
      <c r="R99">
        <f t="shared" ref="R99" si="472">R100+Q99</f>
        <v>-22856437600.474876</v>
      </c>
      <c r="S99">
        <f t="shared" ref="S99" si="473">R99/100000</f>
        <v>-228564.37600474877</v>
      </c>
      <c r="T99">
        <f t="shared" ref="T99" si="474">S99/1000</f>
        <v>-228.56437600474877</v>
      </c>
    </row>
    <row r="100" spans="1:20" x14ac:dyDescent="0.25">
      <c r="A100" s="5">
        <v>44493</v>
      </c>
      <c r="B100">
        <v>2.1190000000000001E-2</v>
      </c>
      <c r="C100">
        <v>2.1219999999999999E-2</v>
      </c>
      <c r="D100">
        <v>2.0109999999999999E-2</v>
      </c>
      <c r="E100">
        <v>2.035E-2</v>
      </c>
      <c r="F100">
        <v>797369106</v>
      </c>
      <c r="G100">
        <v>2.035E-2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-0.56756756756756643</v>
      </c>
      <c r="Q100">
        <f t="shared" ref="Q100" si="476">F100*P100</f>
        <v>-452560843.94594502</v>
      </c>
      <c r="R100">
        <f t="shared" ref="R100" si="477">R101+Q100</f>
        <v>-23091666121.346436</v>
      </c>
      <c r="S100">
        <f t="shared" ref="S100" si="478">R100/100000</f>
        <v>-230916.66121346437</v>
      </c>
      <c r="T100">
        <f t="shared" ref="T100" si="479">S100/1000</f>
        <v>-230.91666121346435</v>
      </c>
    </row>
    <row r="101" spans="1:20" x14ac:dyDescent="0.25">
      <c r="A101" s="5">
        <v>44492</v>
      </c>
      <c r="B101">
        <v>2.1069999999999998E-2</v>
      </c>
      <c r="C101">
        <v>2.179E-2</v>
      </c>
      <c r="D101">
        <v>2.0969999999999999E-2</v>
      </c>
      <c r="E101">
        <v>2.1180000000000001E-2</v>
      </c>
      <c r="F101">
        <v>869188054</v>
      </c>
      <c r="G101">
        <v>2.1180000000000001E-2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-0.48780487804877676</v>
      </c>
      <c r="Q101">
        <f t="shared" ref="Q101" si="481">F101*P101</f>
        <v>-423994172.68292361</v>
      </c>
      <c r="R101">
        <f t="shared" ref="R101" si="482">R102+Q101</f>
        <v>-22639105277.40049</v>
      </c>
      <c r="S101">
        <f t="shared" ref="S101" si="483">R101/100000</f>
        <v>-226391.0527740049</v>
      </c>
      <c r="T101">
        <f t="shared" ref="T101" si="484">S101/1000</f>
        <v>-226.39105277400489</v>
      </c>
    </row>
    <row r="102" spans="1:20" x14ac:dyDescent="0.25">
      <c r="A102" s="5">
        <v>44491</v>
      </c>
      <c r="B102">
        <v>2.1999999999999999E-2</v>
      </c>
      <c r="C102">
        <v>2.223E-2</v>
      </c>
      <c r="D102">
        <v>2.0840000000000001E-2</v>
      </c>
      <c r="E102">
        <v>2.1059999999999999E-2</v>
      </c>
      <c r="F102">
        <v>922187165</v>
      </c>
      <c r="G102">
        <v>2.1059999999999999E-2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-0.68345323741007458</v>
      </c>
      <c r="Q102">
        <f t="shared" ref="Q102" si="486">F102*P102</f>
        <v>-630271803.41726863</v>
      </c>
      <c r="R102">
        <f t="shared" ref="R102" si="487">R103+Q102</f>
        <v>-22215111104.717567</v>
      </c>
      <c r="S102">
        <f t="shared" ref="S102" si="488">R102/100000</f>
        <v>-222151.11104717568</v>
      </c>
      <c r="T102">
        <f t="shared" ref="T102" si="489">S102/1000</f>
        <v>-222.15111104717568</v>
      </c>
    </row>
    <row r="103" spans="1:20" x14ac:dyDescent="0.25">
      <c r="A103" s="5">
        <v>44490</v>
      </c>
      <c r="B103">
        <v>2.0320000000000001E-2</v>
      </c>
      <c r="C103">
        <v>2.2950000000000002E-2</v>
      </c>
      <c r="D103">
        <v>2.0230000000000001E-2</v>
      </c>
      <c r="E103">
        <v>2.2030000000000001E-2</v>
      </c>
      <c r="F103">
        <v>1472225404</v>
      </c>
      <c r="G103">
        <v>2.2030000000000001E-2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0.32352941176470545</v>
      </c>
      <c r="Q103">
        <f t="shared" ref="Q103" si="491">F103*P103</f>
        <v>476308218.94117582</v>
      </c>
      <c r="R103">
        <f t="shared" ref="R103" si="492">R104+Q103</f>
        <v>-21584839301.300301</v>
      </c>
      <c r="S103">
        <f t="shared" ref="S103" si="493">R103/100000</f>
        <v>-215848.39301300302</v>
      </c>
      <c r="T103">
        <f t="shared" ref="T103" si="494">S103/1000</f>
        <v>-215.84839301300303</v>
      </c>
    </row>
    <row r="104" spans="1:20" x14ac:dyDescent="0.25">
      <c r="A104" s="5">
        <v>44489</v>
      </c>
      <c r="B104">
        <v>2.0060000000000001E-2</v>
      </c>
      <c r="C104">
        <v>2.0469999999999999E-2</v>
      </c>
      <c r="D104">
        <v>1.983E-2</v>
      </c>
      <c r="E104">
        <v>2.0320000000000001E-2</v>
      </c>
      <c r="F104">
        <v>603061146</v>
      </c>
      <c r="G104">
        <v>2.0320000000000001E-2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0.53125000000000699</v>
      </c>
      <c r="Q104">
        <f t="shared" ref="Q104" si="496">F104*P104</f>
        <v>320376233.81250423</v>
      </c>
      <c r="R104">
        <f t="shared" ref="R104" si="497">R105+Q104</f>
        <v>-22061147520.241478</v>
      </c>
      <c r="S104">
        <f t="shared" ref="S104" si="498">R104/100000</f>
        <v>-220611.47520241479</v>
      </c>
      <c r="T104">
        <f t="shared" ref="T104" si="499">S104/1000</f>
        <v>-220.61147520241479</v>
      </c>
    </row>
    <row r="105" spans="1:20" x14ac:dyDescent="0.25">
      <c r="A105" s="5">
        <v>44488</v>
      </c>
      <c r="B105">
        <v>1.985E-2</v>
      </c>
      <c r="C105">
        <v>2.0389999999999998E-2</v>
      </c>
      <c r="D105">
        <v>1.968E-2</v>
      </c>
      <c r="E105">
        <v>2.0039999999999999E-2</v>
      </c>
      <c r="F105">
        <v>562365376</v>
      </c>
      <c r="G105">
        <v>2.0039999999999999E-2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1.408450704225297E-2</v>
      </c>
      <c r="Q105">
        <f t="shared" ref="Q105" si="501">F105*P105</f>
        <v>7920639.0985912392</v>
      </c>
      <c r="R105">
        <f t="shared" ref="R105" si="502">R106+Q105</f>
        <v>-22381523754.053982</v>
      </c>
      <c r="S105">
        <f t="shared" ref="S105" si="503">R105/100000</f>
        <v>-223815.23754053982</v>
      </c>
      <c r="T105">
        <f t="shared" ref="T105" si="504">S105/1000</f>
        <v>-223.81523754053981</v>
      </c>
    </row>
    <row r="106" spans="1:20" x14ac:dyDescent="0.25">
      <c r="A106" s="5">
        <v>44487</v>
      </c>
      <c r="B106">
        <v>2.0379999999999999E-2</v>
      </c>
      <c r="C106">
        <v>2.0500000000000001E-2</v>
      </c>
      <c r="D106">
        <v>1.966E-2</v>
      </c>
      <c r="E106">
        <v>1.9859999999999999E-2</v>
      </c>
      <c r="F106">
        <v>502439911</v>
      </c>
      <c r="G106">
        <v>1.9859999999999999E-2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-0.52380952380952694</v>
      </c>
      <c r="Q106">
        <f t="shared" ref="Q106" si="506">F106*P106</f>
        <v>-263182810.5238111</v>
      </c>
      <c r="R106">
        <f t="shared" ref="R106" si="507">R107+Q106</f>
        <v>-22389444393.152573</v>
      </c>
      <c r="S106">
        <f t="shared" ref="S106" si="508">R106/100000</f>
        <v>-223894.44393152572</v>
      </c>
      <c r="T106">
        <f t="shared" ref="T106" si="509">S106/1000</f>
        <v>-223.89444393152573</v>
      </c>
    </row>
    <row r="107" spans="1:20" x14ac:dyDescent="0.25">
      <c r="A107" s="5">
        <v>44486</v>
      </c>
      <c r="B107">
        <v>2.0629999999999999E-2</v>
      </c>
      <c r="C107">
        <v>2.1100000000000001E-2</v>
      </c>
      <c r="D107">
        <v>1.985E-2</v>
      </c>
      <c r="E107">
        <v>2.036E-2</v>
      </c>
      <c r="F107">
        <v>570568587</v>
      </c>
      <c r="G107">
        <v>2.036E-2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-0.18400000000000066</v>
      </c>
      <c r="Q107">
        <f t="shared" ref="Q107" si="511">F107*P107</f>
        <v>-104984620.00800037</v>
      </c>
      <c r="R107">
        <f t="shared" ref="R107" si="512">R108+Q107</f>
        <v>-22126261582.628761</v>
      </c>
      <c r="S107">
        <f t="shared" ref="S107" si="513">R107/100000</f>
        <v>-221262.61582628763</v>
      </c>
      <c r="T107">
        <f t="shared" ref="T107" si="514">S107/1000</f>
        <v>-221.26261582628763</v>
      </c>
    </row>
    <row r="108" spans="1:20" x14ac:dyDescent="0.25">
      <c r="A108" s="5">
        <v>44485</v>
      </c>
      <c r="B108">
        <v>2.0840000000000001E-2</v>
      </c>
      <c r="C108">
        <v>2.1489999999999999E-2</v>
      </c>
      <c r="D108">
        <v>2.0570000000000001E-2</v>
      </c>
      <c r="E108">
        <v>2.0619999999999999E-2</v>
      </c>
      <c r="F108">
        <v>693950963</v>
      </c>
      <c r="G108">
        <v>2.0619999999999999E-2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-0.89130434782609103</v>
      </c>
      <c r="Q108">
        <f t="shared" ref="Q108" si="516">F108*P108</f>
        <v>-618521510.50000286</v>
      </c>
      <c r="R108">
        <f t="shared" ref="R108" si="517">R109+Q108</f>
        <v>-22021276962.620762</v>
      </c>
      <c r="S108">
        <f t="shared" ref="S108" si="518">R108/100000</f>
        <v>-220212.76962620762</v>
      </c>
      <c r="T108">
        <f t="shared" ref="T108" si="519">S108/1000</f>
        <v>-220.21276962620763</v>
      </c>
    </row>
    <row r="109" spans="1:20" x14ac:dyDescent="0.25">
      <c r="A109" s="5">
        <v>44484</v>
      </c>
      <c r="B109">
        <v>2.043E-2</v>
      </c>
      <c r="C109">
        <v>2.1430000000000001E-2</v>
      </c>
      <c r="D109">
        <v>2.009E-2</v>
      </c>
      <c r="E109">
        <v>2.0840000000000001E-2</v>
      </c>
      <c r="F109">
        <v>863307408</v>
      </c>
      <c r="G109">
        <v>2.0840000000000001E-2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0.1194029850746271</v>
      </c>
      <c r="Q109">
        <f t="shared" ref="Q109" si="521">F109*P109</f>
        <v>103081481.552239</v>
      </c>
      <c r="R109">
        <f t="shared" ref="R109" si="522">R110+Q109</f>
        <v>-21402755452.120758</v>
      </c>
      <c r="S109">
        <f t="shared" ref="S109" si="523">R109/100000</f>
        <v>-214027.55452120758</v>
      </c>
      <c r="T109">
        <f t="shared" ref="T109" si="524">S109/1000</f>
        <v>-214.02755452120758</v>
      </c>
    </row>
    <row r="110" spans="1:20" x14ac:dyDescent="0.25">
      <c r="A110" s="5">
        <v>44483</v>
      </c>
      <c r="B110">
        <v>2.019E-2</v>
      </c>
      <c r="C110">
        <v>2.0670000000000001E-2</v>
      </c>
      <c r="D110">
        <v>1.9990000000000001E-2</v>
      </c>
      <c r="E110">
        <v>2.044E-2</v>
      </c>
      <c r="F110">
        <v>666215753</v>
      </c>
      <c r="G110">
        <v>2.044E-2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0.3235294117647029</v>
      </c>
      <c r="Q110">
        <f t="shared" ref="Q110" si="526">F110*P110</f>
        <v>215540390.67646861</v>
      </c>
      <c r="R110">
        <f t="shared" ref="R110" si="527">R111+Q110</f>
        <v>-21505836933.672997</v>
      </c>
      <c r="S110">
        <f t="shared" ref="S110" si="528">R110/100000</f>
        <v>-215058.36933672996</v>
      </c>
      <c r="T110">
        <f t="shared" ref="T110" si="529">S110/1000</f>
        <v>-215.05836933672995</v>
      </c>
    </row>
    <row r="111" spans="1:20" x14ac:dyDescent="0.25">
      <c r="A111" s="5">
        <v>44482</v>
      </c>
      <c r="B111">
        <v>1.9890000000000001E-2</v>
      </c>
      <c r="C111">
        <v>2.0219999999999998E-2</v>
      </c>
      <c r="D111">
        <v>1.9220000000000001E-2</v>
      </c>
      <c r="E111">
        <v>2.019E-2</v>
      </c>
      <c r="F111">
        <v>696822154</v>
      </c>
      <c r="G111">
        <v>2.019E-2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0.94000000000000228</v>
      </c>
      <c r="Q111">
        <f t="shared" ref="Q111" si="531">F111*P111</f>
        <v>655012824.76000154</v>
      </c>
      <c r="R111">
        <f t="shared" ref="R111" si="532">R112+Q111</f>
        <v>-21721377324.349464</v>
      </c>
      <c r="S111">
        <f t="shared" ref="S111" si="533">R111/100000</f>
        <v>-217213.77324349465</v>
      </c>
      <c r="T111">
        <f t="shared" ref="T111" si="534">S111/1000</f>
        <v>-217.21377324349464</v>
      </c>
    </row>
    <row r="112" spans="1:20" x14ac:dyDescent="0.25">
      <c r="A112" s="5">
        <v>44481</v>
      </c>
      <c r="B112">
        <v>2.051E-2</v>
      </c>
      <c r="C112">
        <v>2.0549999999999999E-2</v>
      </c>
      <c r="D112">
        <v>1.9349999999999999E-2</v>
      </c>
      <c r="E112">
        <v>1.9890000000000001E-2</v>
      </c>
      <c r="F112">
        <v>815946823</v>
      </c>
      <c r="G112">
        <v>1.9890000000000001E-2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-9.9999999999995953E-2</v>
      </c>
      <c r="Q112">
        <f t="shared" ref="Q112" si="536">F112*P112</f>
        <v>-81594682.299996704</v>
      </c>
      <c r="R112">
        <f t="shared" ref="R112" si="537">R113+Q112</f>
        <v>-22376390149.109467</v>
      </c>
      <c r="S112">
        <f t="shared" ref="S112" si="538">R112/100000</f>
        <v>-223763.90149109467</v>
      </c>
      <c r="T112">
        <f t="shared" ref="T112" si="539">S112/1000</f>
        <v>-223.76390149109469</v>
      </c>
    </row>
    <row r="113" spans="1:20" x14ac:dyDescent="0.25">
      <c r="A113" s="5">
        <v>44480</v>
      </c>
      <c r="B113">
        <v>2.104E-2</v>
      </c>
      <c r="C113">
        <v>2.2249999999999999E-2</v>
      </c>
      <c r="D113">
        <v>2.0119999999999999E-2</v>
      </c>
      <c r="E113">
        <v>2.051E-2</v>
      </c>
      <c r="F113">
        <v>737437244</v>
      </c>
      <c r="G113">
        <v>2.051E-2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-0.63380281690140705</v>
      </c>
      <c r="Q113">
        <f t="shared" ref="Q113" si="541">F113*P113</f>
        <v>-467389802.53521025</v>
      </c>
      <c r="R113">
        <f t="shared" ref="R113" si="542">R114+Q113</f>
        <v>-22294795466.809471</v>
      </c>
      <c r="S113">
        <f t="shared" ref="S113" si="543">R113/100000</f>
        <v>-222947.95466809472</v>
      </c>
      <c r="T113">
        <f t="shared" ref="T113" si="544">S113/1000</f>
        <v>-222.94795466809472</v>
      </c>
    </row>
    <row r="114" spans="1:20" x14ac:dyDescent="0.25">
      <c r="A114" s="5">
        <v>44479</v>
      </c>
      <c r="B114">
        <v>2.1409999999999998E-2</v>
      </c>
      <c r="C114">
        <v>2.29E-2</v>
      </c>
      <c r="D114">
        <v>2.0500000000000001E-2</v>
      </c>
      <c r="E114">
        <v>2.102E-2</v>
      </c>
      <c r="F114">
        <v>1070580918</v>
      </c>
      <c r="G114">
        <v>2.102E-2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-0.56666666666666687</v>
      </c>
      <c r="Q114">
        <f t="shared" ref="Q114" si="546">F114*P114</f>
        <v>-606662520.20000017</v>
      </c>
      <c r="R114">
        <f t="shared" ref="R114" si="547">R115+Q114</f>
        <v>-21827405664.274261</v>
      </c>
      <c r="S114">
        <f t="shared" ref="S114" si="548">R114/100000</f>
        <v>-218274.05664274262</v>
      </c>
      <c r="T114">
        <f t="shared" ref="T114" si="549">S114/1000</f>
        <v>-218.27405664274264</v>
      </c>
    </row>
    <row r="115" spans="1:20" x14ac:dyDescent="0.25">
      <c r="A115" s="5">
        <v>44478</v>
      </c>
      <c r="B115">
        <v>1.9800000000000002E-2</v>
      </c>
      <c r="C115">
        <v>2.1659999999999999E-2</v>
      </c>
      <c r="D115">
        <v>1.9550000000000001E-2</v>
      </c>
      <c r="E115">
        <v>2.1399999999999999E-2</v>
      </c>
      <c r="F115">
        <v>875644551</v>
      </c>
      <c r="G115">
        <v>2.1399999999999999E-2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0.75355450236966814</v>
      </c>
      <c r="Q115">
        <f t="shared" ref="Q115" si="551">F115*P115</f>
        <v>659845893.88151646</v>
      </c>
      <c r="R115">
        <f t="shared" ref="R115" si="552">R116+Q115</f>
        <v>-21220743144.074261</v>
      </c>
      <c r="S115">
        <f t="shared" ref="S115" si="553">R115/100000</f>
        <v>-212207.4314407426</v>
      </c>
      <c r="T115">
        <f t="shared" ref="T115" si="554">S115/1000</f>
        <v>-212.2074314407426</v>
      </c>
    </row>
    <row r="116" spans="1:20" x14ac:dyDescent="0.25">
      <c r="A116" s="5">
        <v>44477</v>
      </c>
      <c r="B116">
        <v>1.9529999999999999E-2</v>
      </c>
      <c r="C116">
        <v>2.087E-2</v>
      </c>
      <c r="D116">
        <v>1.95E-2</v>
      </c>
      <c r="E116">
        <v>1.9800000000000002E-2</v>
      </c>
      <c r="F116">
        <v>914785342</v>
      </c>
      <c r="G116">
        <v>1.9800000000000002E-2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-0.56204379562043549</v>
      </c>
      <c r="Q116">
        <f t="shared" ref="Q116" si="556">F116*P116</f>
        <v>-514149425.79561818</v>
      </c>
      <c r="R116">
        <f t="shared" ref="R116" si="557">R117+Q116</f>
        <v>-21880589037.955776</v>
      </c>
      <c r="S116">
        <f t="shared" ref="S116" si="558">R116/100000</f>
        <v>-218805.89037955776</v>
      </c>
      <c r="T116">
        <f t="shared" ref="T116" si="559">S116/1000</f>
        <v>-218.80589037955775</v>
      </c>
    </row>
    <row r="117" spans="1:20" x14ac:dyDescent="0.25">
      <c r="A117" s="5">
        <v>44476</v>
      </c>
      <c r="B117">
        <v>1.9720000000000001E-2</v>
      </c>
      <c r="C117">
        <v>1.9980000000000001E-2</v>
      </c>
      <c r="D117">
        <v>1.9179999999999999E-2</v>
      </c>
      <c r="E117">
        <v>1.9519999999999999E-2</v>
      </c>
      <c r="F117">
        <v>831632425</v>
      </c>
      <c r="G117">
        <v>1.9519999999999999E-2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-0.15000000000000216</v>
      </c>
      <c r="Q117">
        <f t="shared" ref="Q117" si="561">F117*P117</f>
        <v>-124744863.7500018</v>
      </c>
      <c r="R117">
        <f t="shared" ref="R117" si="562">R118+Q117</f>
        <v>-21366439612.160156</v>
      </c>
      <c r="S117">
        <f t="shared" ref="S117" si="563">R117/100000</f>
        <v>-213664.39612160157</v>
      </c>
      <c r="T117">
        <f t="shared" ref="T117" si="564">S117/1000</f>
        <v>-213.66439612160158</v>
      </c>
    </row>
    <row r="118" spans="1:20" x14ac:dyDescent="0.25">
      <c r="A118" s="5">
        <v>44475</v>
      </c>
      <c r="B118">
        <v>2.0160000000000001E-2</v>
      </c>
      <c r="C118">
        <v>2.0590000000000001E-2</v>
      </c>
      <c r="D118">
        <v>1.8950000000000002E-2</v>
      </c>
      <c r="E118">
        <v>1.9709999999999998E-2</v>
      </c>
      <c r="F118">
        <v>913486322</v>
      </c>
      <c r="G118">
        <v>1.9709999999999998E-2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-7.3170731707320483E-2</v>
      </c>
      <c r="Q118">
        <f t="shared" ref="Q118" si="566">F118*P118</f>
        <v>-66840462.585368969</v>
      </c>
      <c r="R118">
        <f t="shared" ref="R118" si="567">R119+Q118</f>
        <v>-21241694748.410156</v>
      </c>
      <c r="S118">
        <f t="shared" ref="S118" si="568">R118/100000</f>
        <v>-212416.94748410158</v>
      </c>
      <c r="T118">
        <f t="shared" ref="T118" si="569">S118/1000</f>
        <v>-212.41694748410157</v>
      </c>
    </row>
    <row r="119" spans="1:20" x14ac:dyDescent="0.25">
      <c r="A119" s="5">
        <v>44474</v>
      </c>
      <c r="B119">
        <v>1.9310000000000001E-2</v>
      </c>
      <c r="C119">
        <v>2.053E-2</v>
      </c>
      <c r="D119">
        <v>1.8870000000000001E-2</v>
      </c>
      <c r="E119">
        <v>2.0160000000000001E-2</v>
      </c>
      <c r="F119">
        <v>859721570</v>
      </c>
      <c r="G119">
        <v>2.0160000000000001E-2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0.55421686746988053</v>
      </c>
      <c r="Q119">
        <f t="shared" ref="Q119" si="571">F119*P119</f>
        <v>476472195.4216876</v>
      </c>
      <c r="R119">
        <f t="shared" ref="R119" si="572">R120+Q119</f>
        <v>-21174854285.824787</v>
      </c>
      <c r="S119">
        <f t="shared" ref="S119" si="573">R119/100000</f>
        <v>-211748.54285824788</v>
      </c>
      <c r="T119">
        <f t="shared" ref="T119" si="574">S119/1000</f>
        <v>-211.74854285824787</v>
      </c>
    </row>
    <row r="120" spans="1:20" x14ac:dyDescent="0.25">
      <c r="A120" s="5">
        <v>44473</v>
      </c>
      <c r="B120">
        <v>1.951E-2</v>
      </c>
      <c r="C120">
        <v>1.958E-2</v>
      </c>
      <c r="D120">
        <v>1.8460000000000001E-2</v>
      </c>
      <c r="E120">
        <v>1.941E-2</v>
      </c>
      <c r="F120">
        <v>793321947</v>
      </c>
      <c r="G120">
        <v>1.941E-2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0.69642857142857129</v>
      </c>
      <c r="Q120">
        <f t="shared" ref="Q120" si="576">F120*P120</f>
        <v>552492070.23214269</v>
      </c>
      <c r="R120">
        <f t="shared" ref="R120" si="577">R121+Q120</f>
        <v>-21651326481.246475</v>
      </c>
      <c r="S120">
        <f t="shared" ref="S120" si="578">R120/100000</f>
        <v>-216513.26481246474</v>
      </c>
      <c r="T120">
        <f t="shared" ref="T120" si="579">S120/1000</f>
        <v>-216.51326481246474</v>
      </c>
    </row>
    <row r="121" spans="1:20" x14ac:dyDescent="0.25">
      <c r="A121" s="5">
        <v>44472</v>
      </c>
      <c r="B121">
        <v>1.8960000000000001E-2</v>
      </c>
      <c r="C121">
        <v>1.9900000000000001E-2</v>
      </c>
      <c r="D121">
        <v>1.881E-2</v>
      </c>
      <c r="E121">
        <v>1.9529999999999999E-2</v>
      </c>
      <c r="F121">
        <v>901996214</v>
      </c>
      <c r="G121">
        <v>1.9529999999999999E-2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0.3211009174311889</v>
      </c>
      <c r="Q121">
        <f t="shared" ref="Q121" si="581">F121*P121</f>
        <v>289631811.83485901</v>
      </c>
      <c r="R121">
        <f t="shared" ref="R121" si="582">R122+Q121</f>
        <v>-22203818551.478619</v>
      </c>
      <c r="S121">
        <f t="shared" ref="S121" si="583">R121/100000</f>
        <v>-222038.18551478619</v>
      </c>
      <c r="T121">
        <f t="shared" ref="T121" si="584">S121/1000</f>
        <v>-222.03818551478619</v>
      </c>
    </row>
    <row r="122" spans="1:20" x14ac:dyDescent="0.25">
      <c r="A122" s="5">
        <v>44471</v>
      </c>
      <c r="B122">
        <v>1.8790000000000001E-2</v>
      </c>
      <c r="C122">
        <v>1.9480000000000001E-2</v>
      </c>
      <c r="D122">
        <v>1.865E-2</v>
      </c>
      <c r="E122">
        <v>1.8950000000000002E-2</v>
      </c>
      <c r="F122">
        <v>896408245</v>
      </c>
      <c r="G122">
        <v>1.8950000000000002E-2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-0.27710843373493654</v>
      </c>
      <c r="Q122">
        <f t="shared" ref="Q122" si="586">F122*P122</f>
        <v>-248402284.75903326</v>
      </c>
      <c r="R122">
        <f t="shared" ref="R122" si="587">R123+Q122</f>
        <v>-22493450363.313477</v>
      </c>
      <c r="S122">
        <f t="shared" ref="S122" si="588">R122/100000</f>
        <v>-224934.50363313477</v>
      </c>
      <c r="T122">
        <f t="shared" ref="T122" si="589">S122/1000</f>
        <v>-224.93450363313477</v>
      </c>
    </row>
    <row r="123" spans="1:20" x14ac:dyDescent="0.25">
      <c r="A123" s="5">
        <v>44470</v>
      </c>
      <c r="B123">
        <v>1.7919999999999998E-2</v>
      </c>
      <c r="C123">
        <v>1.8890000000000001E-2</v>
      </c>
      <c r="D123">
        <v>1.762E-2</v>
      </c>
      <c r="E123">
        <v>1.8769999999999998E-2</v>
      </c>
      <c r="F123">
        <v>913044412</v>
      </c>
      <c r="G123">
        <v>1.8769999999999998E-2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0.81102362204724088</v>
      </c>
      <c r="Q123">
        <f t="shared" ref="Q123" si="591">F123*P123</f>
        <v>740500586.11023331</v>
      </c>
      <c r="R123">
        <f t="shared" ref="R123" si="592">R124+Q123</f>
        <v>-22245048078.554443</v>
      </c>
      <c r="S123">
        <f t="shared" ref="S123" si="593">R123/100000</f>
        <v>-222450.48078554444</v>
      </c>
      <c r="T123">
        <f t="shared" ref="T123" si="594">S123/1000</f>
        <v>-222.45048078554444</v>
      </c>
    </row>
    <row r="124" spans="1:20" x14ac:dyDescent="0.25">
      <c r="A124" s="5">
        <v>44469</v>
      </c>
      <c r="B124">
        <v>1.7930000000000001E-2</v>
      </c>
      <c r="C124">
        <v>1.9220000000000001E-2</v>
      </c>
      <c r="D124">
        <v>1.7729999999999999E-2</v>
      </c>
      <c r="E124">
        <v>1.7899999999999999E-2</v>
      </c>
      <c r="F124">
        <v>831960637</v>
      </c>
      <c r="G124">
        <v>1.7899999999999999E-2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-0.77181208053691297</v>
      </c>
      <c r="Q124">
        <f t="shared" ref="Q124" si="596">F124*P124</f>
        <v>-642117270.16778541</v>
      </c>
      <c r="R124">
        <f t="shared" ref="R124" si="597">R125+Q124</f>
        <v>-22985548664.664677</v>
      </c>
      <c r="S124">
        <f t="shared" ref="S124" si="598">R124/100000</f>
        <v>-229855.48664664678</v>
      </c>
      <c r="T124">
        <f t="shared" ref="T124" si="599">S124/1000</f>
        <v>-229.85548664664677</v>
      </c>
    </row>
    <row r="125" spans="1:20" x14ac:dyDescent="0.25">
      <c r="A125" s="5">
        <v>44468</v>
      </c>
      <c r="B125">
        <v>1.7639999999999999E-2</v>
      </c>
      <c r="C125">
        <v>1.8460000000000001E-2</v>
      </c>
      <c r="D125">
        <v>1.7520000000000001E-2</v>
      </c>
      <c r="E125">
        <v>1.7930000000000001E-2</v>
      </c>
      <c r="F125">
        <v>748393265</v>
      </c>
      <c r="G125">
        <v>1.7930000000000001E-2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-0.12765957446808363</v>
      </c>
      <c r="Q125">
        <f t="shared" ref="Q125" si="601">F125*P125</f>
        <v>-95539565.744679749</v>
      </c>
      <c r="R125">
        <f t="shared" ref="R125" si="602">R126+Q125</f>
        <v>-22343431394.496891</v>
      </c>
      <c r="S125">
        <f t="shared" ref="S125" si="603">R125/100000</f>
        <v>-223434.31394496892</v>
      </c>
      <c r="T125">
        <f t="shared" ref="T125" si="604">S125/1000</f>
        <v>-223.43431394496892</v>
      </c>
    </row>
    <row r="126" spans="1:20" x14ac:dyDescent="0.25">
      <c r="A126" s="5">
        <v>44467</v>
      </c>
      <c r="B126">
        <v>1.8069999999999999E-2</v>
      </c>
      <c r="C126">
        <v>1.8360000000000001E-2</v>
      </c>
      <c r="D126">
        <v>1.7510000000000001E-2</v>
      </c>
      <c r="E126">
        <v>1.762E-2</v>
      </c>
      <c r="F126">
        <v>699281471</v>
      </c>
      <c r="G126">
        <v>1.762E-2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-0.74117647058823766</v>
      </c>
      <c r="Q126">
        <f t="shared" ref="Q126" si="606">F126*P126</f>
        <v>-518290972.62353104</v>
      </c>
      <c r="R126">
        <f t="shared" ref="R126" si="607">R127+Q126</f>
        <v>-22247891828.752213</v>
      </c>
      <c r="S126">
        <f t="shared" ref="S126" si="608">R126/100000</f>
        <v>-222478.91828752213</v>
      </c>
      <c r="T126">
        <f t="shared" ref="T126" si="609">S126/1000</f>
        <v>-222.47891828752213</v>
      </c>
    </row>
    <row r="127" spans="1:20" x14ac:dyDescent="0.25">
      <c r="A127" s="5">
        <v>44466</v>
      </c>
      <c r="B127">
        <v>1.8370000000000001E-2</v>
      </c>
      <c r="C127">
        <v>1.8950000000000002E-2</v>
      </c>
      <c r="D127">
        <v>1.7940000000000001E-2</v>
      </c>
      <c r="E127">
        <v>1.8089999999999998E-2</v>
      </c>
      <c r="F127">
        <v>778637366</v>
      </c>
      <c r="G127">
        <v>1.8089999999999998E-2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-0.70297029702970837</v>
      </c>
      <c r="Q127">
        <f t="shared" ref="Q127" si="611">F127*P127</f>
        <v>-547358940.4554497</v>
      </c>
      <c r="R127">
        <f t="shared" ref="R127" si="612">R128+Q127</f>
        <v>-21729600856.128681</v>
      </c>
      <c r="S127">
        <f t="shared" ref="S127" si="613">R127/100000</f>
        <v>-217296.00856128681</v>
      </c>
      <c r="T127">
        <f t="shared" ref="T127" si="614">S127/1000</f>
        <v>-217.29600856128681</v>
      </c>
    </row>
    <row r="128" spans="1:20" x14ac:dyDescent="0.25">
      <c r="A128" s="5">
        <v>44465</v>
      </c>
      <c r="B128">
        <v>1.8259999999999998E-2</v>
      </c>
      <c r="C128">
        <v>1.8790000000000001E-2</v>
      </c>
      <c r="D128">
        <v>1.72E-2</v>
      </c>
      <c r="E128">
        <v>1.8360000000000001E-2</v>
      </c>
      <c r="F128">
        <v>825963277</v>
      </c>
      <c r="G128">
        <v>1.8360000000000001E-2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0.45911949685534653</v>
      </c>
      <c r="Q128">
        <f t="shared" ref="Q128" si="616">F128*P128</f>
        <v>379215844.15723324</v>
      </c>
      <c r="R128">
        <f t="shared" ref="R128" si="617">R129+Q128</f>
        <v>-21182241915.673233</v>
      </c>
      <c r="S128">
        <f t="shared" ref="S128" si="618">R128/100000</f>
        <v>-211822.41915673233</v>
      </c>
      <c r="T128">
        <f t="shared" ref="T128" si="619">S128/1000</f>
        <v>-211.82241915673234</v>
      </c>
    </row>
    <row r="129" spans="1:20" x14ac:dyDescent="0.25">
      <c r="A129" s="5">
        <v>44464</v>
      </c>
      <c r="B129">
        <v>1.9140000000000001E-2</v>
      </c>
      <c r="C129">
        <v>1.933E-2</v>
      </c>
      <c r="D129">
        <v>1.8030000000000001E-2</v>
      </c>
      <c r="E129">
        <v>1.8259999999999998E-2</v>
      </c>
      <c r="F129">
        <v>838098216</v>
      </c>
      <c r="G129">
        <v>1.8259999999999998E-2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-0.64615384615384963</v>
      </c>
      <c r="Q129">
        <f t="shared" ref="Q129" si="621">F129*P129</f>
        <v>-541540385.7230798</v>
      </c>
      <c r="R129">
        <f t="shared" ref="R129" si="622">R130+Q129</f>
        <v>-21561457759.830467</v>
      </c>
      <c r="S129">
        <f t="shared" ref="S129" si="623">R129/100000</f>
        <v>-215614.57759830466</v>
      </c>
      <c r="T129">
        <f t="shared" ref="T129" si="624">S129/1000</f>
        <v>-215.61457759830466</v>
      </c>
    </row>
    <row r="130" spans="1:20" x14ac:dyDescent="0.25">
      <c r="A130" s="5">
        <v>44463</v>
      </c>
      <c r="B130">
        <v>2.1389999999999999E-2</v>
      </c>
      <c r="C130">
        <v>2.1590000000000002E-2</v>
      </c>
      <c r="D130">
        <v>1.8450000000000001E-2</v>
      </c>
      <c r="E130">
        <v>1.9140000000000001E-2</v>
      </c>
      <c r="F130">
        <v>1148585912</v>
      </c>
      <c r="G130">
        <v>1.9140000000000001E-2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-0.56050955414012771</v>
      </c>
      <c r="Q130">
        <f t="shared" ref="Q130" si="626">F130*P130</f>
        <v>-643793377.42675197</v>
      </c>
      <c r="R130">
        <f t="shared" ref="R130" si="627">R131+Q130</f>
        <v>-21019917374.107388</v>
      </c>
      <c r="S130">
        <f t="shared" ref="S130" si="628">R130/100000</f>
        <v>-210199.17374107387</v>
      </c>
      <c r="T130">
        <f t="shared" ref="T130" si="629">S130/1000</f>
        <v>-210.19917374107388</v>
      </c>
    </row>
    <row r="131" spans="1:20" x14ac:dyDescent="0.25">
      <c r="A131" s="5">
        <v>44462</v>
      </c>
      <c r="B131">
        <v>1.9359999999999999E-2</v>
      </c>
      <c r="C131">
        <v>2.146E-2</v>
      </c>
      <c r="D131">
        <v>1.8790000000000001E-2</v>
      </c>
      <c r="E131">
        <v>2.137E-2</v>
      </c>
      <c r="F131">
        <v>1083876432</v>
      </c>
      <c r="G131">
        <v>2.137E-2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0.93258426966292152</v>
      </c>
      <c r="Q131">
        <f t="shared" ref="Q131" si="631">F131*P131</f>
        <v>1010806110.7415732</v>
      </c>
      <c r="R131">
        <f t="shared" ref="R131" si="632">R132+Q131</f>
        <v>-20376123996.680637</v>
      </c>
      <c r="S131">
        <f t="shared" ref="S131" si="633">R131/100000</f>
        <v>-203761.23996680637</v>
      </c>
      <c r="T131">
        <f t="shared" ref="T131" si="634">S131/1000</f>
        <v>-203.76123996680639</v>
      </c>
    </row>
    <row r="132" spans="1:20" x14ac:dyDescent="0.25">
      <c r="A132" s="5">
        <v>44461</v>
      </c>
      <c r="B132">
        <v>1.7760000000000001E-2</v>
      </c>
      <c r="C132">
        <v>1.9560000000000001E-2</v>
      </c>
      <c r="D132">
        <v>1.754E-2</v>
      </c>
      <c r="E132">
        <v>1.9349999999999999E-2</v>
      </c>
      <c r="F132">
        <v>909281549</v>
      </c>
      <c r="G132">
        <v>1.9349999999999999E-2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0.79207920792079034</v>
      </c>
      <c r="Q132">
        <f t="shared" ref="Q132" si="636">F132*P132</f>
        <v>720223009.10890937</v>
      </c>
      <c r="R132">
        <f t="shared" ref="R132" si="637">R133+Q132</f>
        <v>-21386930107.422211</v>
      </c>
      <c r="S132">
        <f t="shared" ref="S132" si="638">R132/100000</f>
        <v>-213869.30107422211</v>
      </c>
      <c r="T132">
        <f t="shared" ref="T132" si="639">S132/1000</f>
        <v>-213.86930107422211</v>
      </c>
    </row>
    <row r="133" spans="1:20" x14ac:dyDescent="0.25">
      <c r="A133" s="5">
        <v>44460</v>
      </c>
      <c r="B133">
        <v>1.9900000000000001E-2</v>
      </c>
      <c r="C133">
        <v>2.085E-2</v>
      </c>
      <c r="D133">
        <v>1.7510000000000001E-2</v>
      </c>
      <c r="E133">
        <v>1.7749999999999998E-2</v>
      </c>
      <c r="F133">
        <v>1151237028</v>
      </c>
      <c r="G133">
        <v>1.7749999999999998E-2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-0.85628742514970224</v>
      </c>
      <c r="Q133">
        <f t="shared" ref="Q133" si="641">F133*P133</f>
        <v>-985789790.44311571</v>
      </c>
      <c r="R133">
        <f t="shared" ref="R133" si="642">R134+Q133</f>
        <v>-22107153116.53112</v>
      </c>
      <c r="S133">
        <f t="shared" ref="S133" si="643">R133/100000</f>
        <v>-221071.5311653112</v>
      </c>
      <c r="T133">
        <f t="shared" ref="T133" si="644">S133/1000</f>
        <v>-221.0715311653112</v>
      </c>
    </row>
    <row r="134" spans="1:20" x14ac:dyDescent="0.25">
      <c r="A134" s="5">
        <v>44459</v>
      </c>
      <c r="B134">
        <v>1.9699999999999999E-2</v>
      </c>
      <c r="C134">
        <v>1.9779999999999999E-2</v>
      </c>
      <c r="D134">
        <v>1.8409999999999999E-2</v>
      </c>
      <c r="E134">
        <v>1.8630000000000001E-2</v>
      </c>
      <c r="F134">
        <v>346233445</v>
      </c>
      <c r="G134">
        <v>1.8630000000000001E-2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-0.67883211678831901</v>
      </c>
      <c r="Q134">
        <f t="shared" ref="Q134" si="646">F134*P134</f>
        <v>-235034382.37226203</v>
      </c>
      <c r="R134">
        <f t="shared" ref="R134" si="647">R135+Q134</f>
        <v>-21121363326.088005</v>
      </c>
      <c r="S134">
        <f t="shared" ref="S134" si="648">R134/100000</f>
        <v>-211213.63326088004</v>
      </c>
      <c r="T134">
        <f t="shared" ref="T134" si="649">S134/1000</f>
        <v>-211.21363326088004</v>
      </c>
    </row>
    <row r="135" spans="1:20" x14ac:dyDescent="0.25">
      <c r="A135" s="5">
        <v>44458</v>
      </c>
      <c r="B135">
        <v>2.0310000000000002E-2</v>
      </c>
      <c r="C135">
        <v>2.0650000000000002E-2</v>
      </c>
      <c r="D135">
        <v>1.9380000000000001E-2</v>
      </c>
      <c r="E135">
        <v>1.9699999999999999E-2</v>
      </c>
      <c r="F135">
        <v>704061766</v>
      </c>
      <c r="G135">
        <v>1.9699999999999999E-2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-0.49606299212598853</v>
      </c>
      <c r="Q135">
        <f t="shared" ref="Q135" si="651">F135*P135</f>
        <v>-349258986.28346759</v>
      </c>
      <c r="R135">
        <f t="shared" ref="R135" si="652">R136+Q135</f>
        <v>-20886328943.715744</v>
      </c>
      <c r="S135">
        <f t="shared" ref="S135" si="653">R135/100000</f>
        <v>-208863.28943715745</v>
      </c>
      <c r="T135">
        <f t="shared" ref="T135" si="654">S135/1000</f>
        <v>-208.86328943715745</v>
      </c>
    </row>
    <row r="136" spans="1:20" x14ac:dyDescent="0.25">
      <c r="A136" s="5">
        <v>44457</v>
      </c>
      <c r="B136">
        <v>2.0559999999999998E-2</v>
      </c>
      <c r="C136">
        <v>2.137E-2</v>
      </c>
      <c r="D136">
        <v>2.0209999999999999E-2</v>
      </c>
      <c r="E136">
        <v>2.0289999999999999E-2</v>
      </c>
      <c r="F136">
        <v>796225537</v>
      </c>
      <c r="G136">
        <v>2.0289999999999999E-2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-0.86206896551724121</v>
      </c>
      <c r="Q136">
        <f t="shared" ref="Q136" si="656">F136*P136</f>
        <v>-686401324.99999988</v>
      </c>
      <c r="R136">
        <f t="shared" ref="R136" si="657">R137+Q136</f>
        <v>-20537069957.432278</v>
      </c>
      <c r="S136">
        <f t="shared" ref="S136" si="658">R136/100000</f>
        <v>-205370.69957432279</v>
      </c>
      <c r="T136">
        <f t="shared" ref="T136" si="659">S136/1000</f>
        <v>-205.3706995743228</v>
      </c>
    </row>
    <row r="137" spans="1:20" x14ac:dyDescent="0.25">
      <c r="A137" s="5">
        <v>44456</v>
      </c>
      <c r="B137">
        <v>2.1989999999999999E-2</v>
      </c>
      <c r="C137">
        <v>2.2040000000000001E-2</v>
      </c>
      <c r="D137">
        <v>2.0310000000000002E-2</v>
      </c>
      <c r="E137">
        <v>2.053E-2</v>
      </c>
      <c r="F137">
        <v>763984174</v>
      </c>
      <c r="G137">
        <v>2.053E-2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-0.74566473988439519</v>
      </c>
      <c r="Q137">
        <f t="shared" ref="Q137" si="661">F137*P137</f>
        <v>-569676060.38150454</v>
      </c>
      <c r="R137">
        <f t="shared" ref="R137" si="662">R138+Q137</f>
        <v>-19850668632.432278</v>
      </c>
      <c r="S137">
        <f t="shared" ref="S137" si="663">R137/100000</f>
        <v>-198506.68632432277</v>
      </c>
      <c r="T137">
        <f t="shared" ref="T137" si="664">S137/1000</f>
        <v>-198.50668632432277</v>
      </c>
    </row>
    <row r="138" spans="1:20" x14ac:dyDescent="0.25">
      <c r="A138" s="5">
        <v>44455</v>
      </c>
      <c r="B138">
        <v>2.2259999999999999E-2</v>
      </c>
      <c r="C138">
        <v>2.317E-2</v>
      </c>
      <c r="D138">
        <v>2.1700000000000001E-2</v>
      </c>
      <c r="E138">
        <v>2.198E-2</v>
      </c>
      <c r="F138">
        <v>905916356</v>
      </c>
      <c r="G138">
        <v>2.198E-2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-0.61904761904762018</v>
      </c>
      <c r="Q138">
        <f t="shared" ref="Q138" si="666">F138*P138</f>
        <v>-560805363.23809624</v>
      </c>
      <c r="R138">
        <f t="shared" ref="R138" si="667">R139+Q138</f>
        <v>-19280992572.050774</v>
      </c>
      <c r="S138">
        <f t="shared" ref="S138" si="668">R138/100000</f>
        <v>-192809.92572050774</v>
      </c>
      <c r="T138">
        <f t="shared" ref="T138" si="669">S138/1000</f>
        <v>-192.80992572050775</v>
      </c>
    </row>
    <row r="139" spans="1:20" x14ac:dyDescent="0.25">
      <c r="A139" s="5">
        <v>44454</v>
      </c>
      <c r="B139">
        <v>2.164E-2</v>
      </c>
      <c r="C139">
        <v>2.2679999999999999E-2</v>
      </c>
      <c r="D139">
        <v>2.147E-2</v>
      </c>
      <c r="E139">
        <v>2.2249999999999999E-2</v>
      </c>
      <c r="F139">
        <v>856130609</v>
      </c>
      <c r="G139">
        <v>2.2249999999999999E-2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0.28925619834710731</v>
      </c>
      <c r="Q139">
        <f t="shared" ref="Q139" si="671">F139*P139</f>
        <v>247641085.24793378</v>
      </c>
      <c r="R139">
        <f t="shared" ref="R139" si="672">R140+Q139</f>
        <v>-18720187208.812675</v>
      </c>
      <c r="S139">
        <f t="shared" ref="S139" si="673">R139/100000</f>
        <v>-187201.87208812675</v>
      </c>
      <c r="T139">
        <f t="shared" ref="T139" si="674">S139/1000</f>
        <v>-187.20187208812675</v>
      </c>
    </row>
    <row r="140" spans="1:20" x14ac:dyDescent="0.25">
      <c r="A140" s="5">
        <v>44453</v>
      </c>
      <c r="B140">
        <v>2.1059999999999999E-2</v>
      </c>
      <c r="C140">
        <v>2.239E-2</v>
      </c>
      <c r="D140">
        <v>2.095E-2</v>
      </c>
      <c r="E140">
        <v>2.163E-2</v>
      </c>
      <c r="F140">
        <v>950017514</v>
      </c>
      <c r="G140">
        <v>2.163E-2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-5.5555555555555691E-2</v>
      </c>
      <c r="Q140">
        <f t="shared" ref="Q140" si="676">F140*P140</f>
        <v>-52778750.77777791</v>
      </c>
      <c r="R140">
        <f t="shared" ref="R140" si="677">R141+Q140</f>
        <v>-18967828294.060608</v>
      </c>
      <c r="S140">
        <f t="shared" ref="S140" si="678">R140/100000</f>
        <v>-189678.28294060609</v>
      </c>
      <c r="T140">
        <f t="shared" ref="T140" si="679">S140/1000</f>
        <v>-189.6782829406061</v>
      </c>
    </row>
    <row r="141" spans="1:20" x14ac:dyDescent="0.25">
      <c r="A141" s="5">
        <v>44452</v>
      </c>
      <c r="B141">
        <v>2.1329999999999998E-2</v>
      </c>
      <c r="C141">
        <v>2.1499999999999998E-2</v>
      </c>
      <c r="D141">
        <v>1.975E-2</v>
      </c>
      <c r="E141">
        <v>2.1059999999999999E-2</v>
      </c>
      <c r="F141">
        <v>992710798</v>
      </c>
      <c r="G141">
        <v>2.1059999999999999E-2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0.49714285714285728</v>
      </c>
      <c r="Q141">
        <f t="shared" ref="Q141" si="681">F141*P141</f>
        <v>493519082.43428582</v>
      </c>
      <c r="R141">
        <f t="shared" ref="R141" si="682">R142+Q141</f>
        <v>-18915049543.282829</v>
      </c>
      <c r="S141">
        <f t="shared" ref="S141" si="683">R141/100000</f>
        <v>-189150.49543282829</v>
      </c>
      <c r="T141">
        <f t="shared" ref="T141" si="684">S141/1000</f>
        <v>-189.15049543282828</v>
      </c>
    </row>
    <row r="142" spans="1:20" x14ac:dyDescent="0.25">
      <c r="A142" s="5">
        <v>44451</v>
      </c>
      <c r="B142">
        <v>2.1360000000000001E-2</v>
      </c>
      <c r="C142">
        <v>2.2200000000000001E-2</v>
      </c>
      <c r="D142">
        <v>2.0930000000000001E-2</v>
      </c>
      <c r="E142">
        <v>2.1350000000000001E-2</v>
      </c>
      <c r="F142">
        <v>790583533</v>
      </c>
      <c r="G142">
        <v>2.1350000000000001E-2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-0.33858267716535412</v>
      </c>
      <c r="Q142">
        <f t="shared" ref="Q142" si="686">F142*P142</f>
        <v>-267677889.12598407</v>
      </c>
      <c r="R142">
        <f t="shared" ref="R142" si="687">R143+Q142</f>
        <v>-19408568625.717113</v>
      </c>
      <c r="S142">
        <f t="shared" ref="S142" si="688">R142/100000</f>
        <v>-194085.68625717112</v>
      </c>
      <c r="T142">
        <f t="shared" ref="T142" si="689">S142/1000</f>
        <v>-194.08568625717112</v>
      </c>
    </row>
    <row r="143" spans="1:20" x14ac:dyDescent="0.25">
      <c r="A143" s="5">
        <v>44450</v>
      </c>
      <c r="B143">
        <v>2.1829999999999999E-2</v>
      </c>
      <c r="C143">
        <v>2.2200000000000001E-2</v>
      </c>
      <c r="D143">
        <v>2.1139999999999999E-2</v>
      </c>
      <c r="E143">
        <v>2.1350000000000001E-2</v>
      </c>
      <c r="F143">
        <v>891465946</v>
      </c>
      <c r="G143">
        <v>2.1350000000000001E-2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-0.60377358490565758</v>
      </c>
      <c r="Q143">
        <f t="shared" ref="Q143" si="691">F143*P143</f>
        <v>-538243590.03773332</v>
      </c>
      <c r="R143">
        <f t="shared" ref="R143" si="692">R144+Q143</f>
        <v>-19140890736.591129</v>
      </c>
      <c r="S143">
        <f t="shared" ref="S143" si="693">R143/100000</f>
        <v>-191408.90736591129</v>
      </c>
      <c r="T143">
        <f t="shared" ref="T143" si="694">S143/1000</f>
        <v>-191.40890736591129</v>
      </c>
    </row>
    <row r="144" spans="1:20" x14ac:dyDescent="0.25">
      <c r="A144" s="5">
        <v>44449</v>
      </c>
      <c r="B144">
        <v>2.3619999999999999E-2</v>
      </c>
      <c r="C144">
        <v>2.41E-2</v>
      </c>
      <c r="D144">
        <v>2.1250000000000002E-2</v>
      </c>
      <c r="E144">
        <v>2.1850000000000001E-2</v>
      </c>
      <c r="F144">
        <v>1033142777</v>
      </c>
      <c r="G144">
        <v>2.1850000000000001E-2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-0.57894736842105254</v>
      </c>
      <c r="Q144">
        <f t="shared" ref="Q144" si="696">F144*P144</f>
        <v>-598135291.94736838</v>
      </c>
      <c r="R144">
        <f t="shared" ref="R144" si="697">R145+Q144</f>
        <v>-18602647146.553394</v>
      </c>
      <c r="S144">
        <f t="shared" ref="S144" si="698">R144/100000</f>
        <v>-186026.47146553395</v>
      </c>
      <c r="T144">
        <f t="shared" ref="T144" si="699">S144/1000</f>
        <v>-186.02647146553394</v>
      </c>
    </row>
    <row r="145" spans="1:20" x14ac:dyDescent="0.25">
      <c r="A145" s="5">
        <v>44448</v>
      </c>
      <c r="B145">
        <v>2.3650000000000001E-2</v>
      </c>
      <c r="C145">
        <v>2.4559999999999998E-2</v>
      </c>
      <c r="D145">
        <v>2.3029999999999998E-2</v>
      </c>
      <c r="E145">
        <v>2.3619999999999999E-2</v>
      </c>
      <c r="F145">
        <v>983114691</v>
      </c>
      <c r="G145">
        <v>2.3619999999999999E-2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-0.22875816993464027</v>
      </c>
      <c r="Q145">
        <f t="shared" ref="Q145" si="701">F145*P145</f>
        <v>-224895517.54901937</v>
      </c>
      <c r="R145">
        <f t="shared" ref="R145" si="702">R146+Q145</f>
        <v>-18004511854.606026</v>
      </c>
      <c r="S145">
        <f t="shared" ref="S145" si="703">R145/100000</f>
        <v>-180045.11854606026</v>
      </c>
      <c r="T145">
        <f t="shared" ref="T145" si="704">S145/1000</f>
        <v>-180.04511854606025</v>
      </c>
    </row>
    <row r="146" spans="1:20" x14ac:dyDescent="0.25">
      <c r="A146" s="5">
        <v>44447</v>
      </c>
      <c r="B146">
        <v>2.4670000000000001E-2</v>
      </c>
      <c r="C146">
        <v>2.5270000000000001E-2</v>
      </c>
      <c r="D146">
        <v>2.2349999999999998E-2</v>
      </c>
      <c r="E146">
        <v>2.3640000000000001E-2</v>
      </c>
      <c r="F146">
        <v>896447098</v>
      </c>
      <c r="G146">
        <v>2.3640000000000001E-2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-0.11643835616438228</v>
      </c>
      <c r="Q146">
        <f t="shared" ref="Q146" si="706">F146*P146</f>
        <v>-104380826.47945091</v>
      </c>
      <c r="R146">
        <f t="shared" ref="R146" si="707">R147+Q146</f>
        <v>-17779616337.057007</v>
      </c>
      <c r="S146">
        <f t="shared" ref="S146" si="708">R146/100000</f>
        <v>-177796.16337057008</v>
      </c>
      <c r="T146">
        <f t="shared" ref="T146" si="709">S146/1000</f>
        <v>-177.79616337057007</v>
      </c>
    </row>
    <row r="147" spans="1:20" x14ac:dyDescent="0.25">
      <c r="A147" s="5">
        <v>44446</v>
      </c>
      <c r="B147">
        <v>2.9489999999999999E-2</v>
      </c>
      <c r="C147">
        <v>2.9590000000000002E-2</v>
      </c>
      <c r="D147">
        <v>2.2020000000000001E-2</v>
      </c>
      <c r="E147">
        <v>2.4660000000000001E-2</v>
      </c>
      <c r="F147">
        <v>857959260</v>
      </c>
      <c r="G147">
        <v>2.4660000000000001E-2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-0.30250990752972262</v>
      </c>
      <c r="Q147">
        <f t="shared" ref="Q147" si="711">F147*P147</f>
        <v>-259541176.40686926</v>
      </c>
      <c r="R147">
        <f t="shared" ref="R147" si="712">R148+Q147</f>
        <v>-17675235510.577557</v>
      </c>
      <c r="S147">
        <f t="shared" ref="S147" si="713">R147/100000</f>
        <v>-176752.35510577555</v>
      </c>
      <c r="T147">
        <f t="shared" ref="T147" si="714">S147/1000</f>
        <v>-176.75235510577556</v>
      </c>
    </row>
    <row r="148" spans="1:20" x14ac:dyDescent="0.25">
      <c r="A148" s="5">
        <v>44445</v>
      </c>
      <c r="B148">
        <v>2.9579999999999999E-2</v>
      </c>
      <c r="C148">
        <v>2.9780000000000001E-2</v>
      </c>
      <c r="D148">
        <v>2.8649999999999998E-2</v>
      </c>
      <c r="E148">
        <v>2.9489999999999999E-2</v>
      </c>
      <c r="F148">
        <v>775179157</v>
      </c>
      <c r="G148">
        <v>2.9489999999999999E-2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0.48672566371681164</v>
      </c>
      <c r="Q148">
        <f t="shared" ref="Q148" si="716">F148*P148</f>
        <v>377299589.69026351</v>
      </c>
      <c r="R148">
        <f t="shared" ref="R148" si="717">R149+Q148</f>
        <v>-17415694334.170689</v>
      </c>
      <c r="S148">
        <f t="shared" ref="S148" si="718">R148/100000</f>
        <v>-174156.94334170688</v>
      </c>
      <c r="T148">
        <f t="shared" ref="T148" si="719">S148/1000</f>
        <v>-174.15694334170689</v>
      </c>
    </row>
    <row r="149" spans="1:20" x14ac:dyDescent="0.25">
      <c r="A149" s="5">
        <v>44444</v>
      </c>
      <c r="B149">
        <v>2.8760000000000001E-2</v>
      </c>
      <c r="C149">
        <v>2.98E-2</v>
      </c>
      <c r="D149">
        <v>2.8479999999999998E-2</v>
      </c>
      <c r="E149">
        <v>2.9559999999999999E-2</v>
      </c>
      <c r="F149">
        <v>727576779</v>
      </c>
      <c r="G149">
        <v>2.9559999999999999E-2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0.63636363636363591</v>
      </c>
      <c r="Q149">
        <f t="shared" ref="Q149" si="721">F149*P149</f>
        <v>463003404.81818151</v>
      </c>
      <c r="R149">
        <f t="shared" ref="R149" si="722">R150+Q149</f>
        <v>-17792993923.86095</v>
      </c>
      <c r="S149">
        <f t="shared" ref="S149" si="723">R149/100000</f>
        <v>-177929.93923860951</v>
      </c>
      <c r="T149">
        <f t="shared" ref="T149" si="724">S149/1000</f>
        <v>-177.92993923860951</v>
      </c>
    </row>
    <row r="150" spans="1:20" x14ac:dyDescent="0.25">
      <c r="A150" s="5">
        <v>44443</v>
      </c>
      <c r="B150">
        <v>2.8389999999999999E-2</v>
      </c>
      <c r="C150">
        <v>2.9420000000000002E-2</v>
      </c>
      <c r="D150">
        <v>2.8119999999999999E-2</v>
      </c>
      <c r="E150">
        <v>2.8750000000000001E-2</v>
      </c>
      <c r="F150">
        <v>761003891</v>
      </c>
      <c r="G150">
        <v>2.8750000000000001E-2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-3.0769230769229456E-2</v>
      </c>
      <c r="Q150">
        <f t="shared" ref="Q150" si="726">F150*P150</f>
        <v>-23415504.338460539</v>
      </c>
      <c r="R150">
        <f t="shared" ref="R150" si="727">R151+Q150</f>
        <v>-18255997328.679131</v>
      </c>
      <c r="S150">
        <f t="shared" ref="S150" si="728">R150/100000</f>
        <v>-182559.9732867913</v>
      </c>
      <c r="T150">
        <f t="shared" ref="T150" si="729">S150/1000</f>
        <v>-182.55997328679129</v>
      </c>
    </row>
    <row r="151" spans="1:20" x14ac:dyDescent="0.25">
      <c r="A151" s="5">
        <v>44442</v>
      </c>
      <c r="B151">
        <v>2.8250000000000001E-2</v>
      </c>
      <c r="C151">
        <v>2.8889999999999999E-2</v>
      </c>
      <c r="D151">
        <v>2.7699999999999999E-2</v>
      </c>
      <c r="E151">
        <v>2.8369999999999999E-2</v>
      </c>
      <c r="F151">
        <v>948378967</v>
      </c>
      <c r="G151">
        <v>2.8369999999999999E-2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0.12605042016806792</v>
      </c>
      <c r="Q151">
        <f t="shared" ref="Q151" si="731">F151*P151</f>
        <v>119543567.26890822</v>
      </c>
      <c r="R151">
        <f t="shared" ref="R151" si="732">R152+Q151</f>
        <v>-18232581824.340672</v>
      </c>
      <c r="S151">
        <f t="shared" ref="S151" si="733">R151/100000</f>
        <v>-182325.81824340671</v>
      </c>
      <c r="T151">
        <f t="shared" ref="T151" si="734">S151/1000</f>
        <v>-182.3258182434067</v>
      </c>
    </row>
    <row r="152" spans="1:20" x14ac:dyDescent="0.25">
      <c r="A152" s="5">
        <v>44441</v>
      </c>
      <c r="B152">
        <v>2.9770000000000001E-2</v>
      </c>
      <c r="C152">
        <v>2.9870000000000001E-2</v>
      </c>
      <c r="D152">
        <v>2.818E-2</v>
      </c>
      <c r="E152">
        <v>2.8250000000000001E-2</v>
      </c>
      <c r="F152">
        <v>758217491</v>
      </c>
      <c r="G152">
        <v>2.8250000000000001E-2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-0.91715976331360871</v>
      </c>
      <c r="Q152">
        <f t="shared" ref="Q152" si="736">F152*P152</f>
        <v>-695406574.58579826</v>
      </c>
      <c r="R152">
        <f t="shared" ref="R152" si="737">R153+Q152</f>
        <v>-18352125391.609581</v>
      </c>
      <c r="S152">
        <f t="shared" ref="S152" si="738">R152/100000</f>
        <v>-183521.2539160958</v>
      </c>
      <c r="T152">
        <f t="shared" ref="T152" si="739">S152/1000</f>
        <v>-183.52125391609579</v>
      </c>
    </row>
    <row r="153" spans="1:20" x14ac:dyDescent="0.25">
      <c r="A153" s="5">
        <v>44440</v>
      </c>
      <c r="B153">
        <v>2.9530000000000001E-2</v>
      </c>
      <c r="C153">
        <v>2.9960000000000001E-2</v>
      </c>
      <c r="D153">
        <v>2.8910000000000002E-2</v>
      </c>
      <c r="E153">
        <v>2.9729999999999999E-2</v>
      </c>
      <c r="F153">
        <v>722487466</v>
      </c>
      <c r="G153">
        <v>2.9729999999999999E-2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0.56190476190475946</v>
      </c>
      <c r="Q153">
        <f t="shared" ref="Q153" si="741">F153*P153</f>
        <v>405969147.561903</v>
      </c>
      <c r="R153">
        <f t="shared" ref="R153" si="742">R154+Q153</f>
        <v>-17656718817.023781</v>
      </c>
      <c r="S153">
        <f t="shared" ref="S153" si="743">R153/100000</f>
        <v>-176567.18817023782</v>
      </c>
      <c r="T153">
        <f t="shared" ref="T153" si="744">S153/1000</f>
        <v>-176.56718817023781</v>
      </c>
    </row>
    <row r="154" spans="1:20" x14ac:dyDescent="0.25">
      <c r="A154" s="5">
        <v>44439</v>
      </c>
      <c r="B154">
        <v>3.0949999999999998E-2</v>
      </c>
      <c r="C154">
        <v>3.184E-2</v>
      </c>
      <c r="D154">
        <v>2.912E-2</v>
      </c>
      <c r="E154">
        <v>2.9530000000000001E-2</v>
      </c>
      <c r="F154">
        <v>730759603</v>
      </c>
      <c r="G154">
        <v>2.9530000000000001E-2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-0.6985294117647054</v>
      </c>
      <c r="Q154">
        <f t="shared" ref="Q154" si="746">F154*P154</f>
        <v>-510457075.62499964</v>
      </c>
      <c r="R154">
        <f t="shared" ref="R154" si="747">R155+Q154</f>
        <v>-18062687964.585682</v>
      </c>
      <c r="S154">
        <f t="shared" ref="S154" si="748">R154/100000</f>
        <v>-180626.87964585682</v>
      </c>
      <c r="T154">
        <f t="shared" ref="T154" si="749">S154/1000</f>
        <v>-180.62687964585683</v>
      </c>
    </row>
    <row r="155" spans="1:20" x14ac:dyDescent="0.25">
      <c r="A155" s="5">
        <v>44438</v>
      </c>
      <c r="B155">
        <v>3.2099999999999997E-2</v>
      </c>
      <c r="C155">
        <v>3.2899999999999999E-2</v>
      </c>
      <c r="D155">
        <v>3.0349999999999999E-2</v>
      </c>
      <c r="E155">
        <v>3.0939999999999999E-2</v>
      </c>
      <c r="F155">
        <v>792435563</v>
      </c>
      <c r="G155">
        <v>3.0939999999999999E-2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-0.53725490196078418</v>
      </c>
      <c r="Q155">
        <f t="shared" ref="Q155" si="751">F155*P155</f>
        <v>-425739890.70980382</v>
      </c>
      <c r="R155">
        <f t="shared" ref="R155" si="752">R156+Q155</f>
        <v>-17552230888.960682</v>
      </c>
      <c r="S155">
        <f t="shared" ref="S155" si="753">R155/100000</f>
        <v>-175522.30888960682</v>
      </c>
      <c r="T155">
        <f t="shared" ref="T155" si="754">S155/1000</f>
        <v>-175.52230888960682</v>
      </c>
    </row>
    <row r="156" spans="1:20" x14ac:dyDescent="0.25">
      <c r="A156" s="5">
        <v>44437</v>
      </c>
      <c r="B156">
        <v>3.2779999999999997E-2</v>
      </c>
      <c r="C156">
        <v>3.329E-2</v>
      </c>
      <c r="D156">
        <v>3.1620000000000002E-2</v>
      </c>
      <c r="E156">
        <v>3.2070000000000001E-2</v>
      </c>
      <c r="F156">
        <v>703607371</v>
      </c>
      <c r="G156">
        <v>3.2070000000000001E-2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-0.46107784431137772</v>
      </c>
      <c r="Q156">
        <f t="shared" ref="Q156" si="756">F156*P156</f>
        <v>-324417769.86227578</v>
      </c>
      <c r="R156">
        <f t="shared" ref="R156" si="757">R157+Q156</f>
        <v>-17126490998.250877</v>
      </c>
      <c r="S156">
        <f t="shared" ref="S156" si="758">R156/100000</f>
        <v>-171264.90998250878</v>
      </c>
      <c r="T156">
        <f t="shared" ref="T156" si="759">S156/1000</f>
        <v>-171.26490998250878</v>
      </c>
    </row>
    <row r="157" spans="1:20" x14ac:dyDescent="0.25">
      <c r="A157" s="5">
        <v>44436</v>
      </c>
      <c r="B157">
        <v>3.1040000000000002E-2</v>
      </c>
      <c r="C157">
        <v>3.3890000000000003E-2</v>
      </c>
      <c r="D157">
        <v>3.0800000000000001E-2</v>
      </c>
      <c r="E157">
        <v>3.2779999999999997E-2</v>
      </c>
      <c r="F157">
        <v>652113500</v>
      </c>
      <c r="G157">
        <v>3.2779999999999997E-2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0.28155339805824858</v>
      </c>
      <c r="Q157">
        <f t="shared" ref="Q157" si="761">F157*P157</f>
        <v>183604771.84465769</v>
      </c>
      <c r="R157">
        <f t="shared" ref="R157" si="762">R158+Q157</f>
        <v>-16802073228.388601</v>
      </c>
      <c r="S157">
        <f t="shared" ref="S157" si="763">R157/100000</f>
        <v>-168020.73228388603</v>
      </c>
      <c r="T157">
        <f t="shared" ref="T157" si="764">S157/1000</f>
        <v>-168.02073228388602</v>
      </c>
    </row>
    <row r="158" spans="1:20" x14ac:dyDescent="0.25">
      <c r="A158" s="5">
        <v>44435</v>
      </c>
      <c r="B158">
        <v>3.048E-2</v>
      </c>
      <c r="C158">
        <v>3.1289999999999998E-2</v>
      </c>
      <c r="D158">
        <v>2.9749999999999999E-2</v>
      </c>
      <c r="E158">
        <v>3.1050000000000001E-2</v>
      </c>
      <c r="F158">
        <v>553779000</v>
      </c>
      <c r="G158">
        <v>3.1050000000000001E-2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0.68831168831169198</v>
      </c>
      <c r="Q158">
        <f t="shared" ref="Q158" si="766">F158*P158</f>
        <v>381172558.44156045</v>
      </c>
      <c r="R158">
        <f t="shared" ref="R158" si="767">R159+Q158</f>
        <v>-16985678000.233259</v>
      </c>
      <c r="S158">
        <f t="shared" ref="S158" si="768">R158/100000</f>
        <v>-169856.78000233258</v>
      </c>
      <c r="T158">
        <f t="shared" ref="T158" si="769">S158/1000</f>
        <v>-169.85678000233258</v>
      </c>
    </row>
    <row r="159" spans="1:20" x14ac:dyDescent="0.25">
      <c r="A159" s="5">
        <v>44434</v>
      </c>
      <c r="B159">
        <v>3.2569000000000001E-2</v>
      </c>
      <c r="C159">
        <v>3.2800000000000003E-2</v>
      </c>
      <c r="D159">
        <v>2.98E-2</v>
      </c>
      <c r="E159">
        <v>3.0450000000000001E-2</v>
      </c>
      <c r="F159">
        <v>360158884</v>
      </c>
      <c r="G159">
        <v>3.0450000000000001E-2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-0.56666666666666621</v>
      </c>
      <c r="Q159">
        <f t="shared" ref="Q159" si="771">F159*P159</f>
        <v>-204090034.2666665</v>
      </c>
      <c r="R159">
        <f t="shared" ref="R159" si="772">R160+Q159</f>
        <v>-17366850558.67482</v>
      </c>
      <c r="S159">
        <f t="shared" ref="S159" si="773">R159/100000</f>
        <v>-173668.50558674819</v>
      </c>
      <c r="T159">
        <f t="shared" ref="T159" si="774">S159/1000</f>
        <v>-173.66850558674818</v>
      </c>
    </row>
    <row r="160" spans="1:20" x14ac:dyDescent="0.25">
      <c r="A160" s="5">
        <v>44433</v>
      </c>
      <c r="B160">
        <v>3.3017999999999999E-2</v>
      </c>
      <c r="C160">
        <v>3.4532E-2</v>
      </c>
      <c r="D160">
        <v>3.1273000000000002E-2</v>
      </c>
      <c r="E160">
        <v>3.2570000000000002E-2</v>
      </c>
      <c r="F160">
        <v>986276215</v>
      </c>
      <c r="G160">
        <v>3.2570000000000002E-2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-0.20405032218471902</v>
      </c>
      <c r="Q160">
        <f t="shared" ref="Q160" si="776">F160*P160</f>
        <v>-201249979.4338752</v>
      </c>
      <c r="R160">
        <f t="shared" ref="R160" si="777">R161+Q160</f>
        <v>-17162760524.408152</v>
      </c>
      <c r="S160">
        <f t="shared" ref="S160" si="778">R160/100000</f>
        <v>-171627.60524408153</v>
      </c>
      <c r="T160">
        <f t="shared" ref="T160" si="779">S160/1000</f>
        <v>-171.62760524408154</v>
      </c>
    </row>
    <row r="161" spans="1:20" x14ac:dyDescent="0.25">
      <c r="A161" s="5">
        <v>44432</v>
      </c>
      <c r="B161">
        <v>3.3773999999999998E-2</v>
      </c>
      <c r="C161">
        <v>3.8299E-2</v>
      </c>
      <c r="D161">
        <v>3.1199999999999999E-2</v>
      </c>
      <c r="E161">
        <v>3.2903000000000002E-2</v>
      </c>
      <c r="F161">
        <v>1602683846</v>
      </c>
      <c r="G161">
        <v>3.2903000000000002E-2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-0.52021411466403633</v>
      </c>
      <c r="Q161">
        <f t="shared" ref="Q161" si="781">F161*P161</f>
        <v>-833738758.0332427</v>
      </c>
      <c r="R161">
        <f t="shared" ref="R161" si="782">R162+Q161</f>
        <v>-16961510544.974276</v>
      </c>
      <c r="S161">
        <f t="shared" ref="S161" si="783">R161/100000</f>
        <v>-169615.10544974275</v>
      </c>
      <c r="T161">
        <f t="shared" ref="T161" si="784">S161/1000</f>
        <v>-169.61510544974274</v>
      </c>
    </row>
    <row r="162" spans="1:20" x14ac:dyDescent="0.25">
      <c r="A162" s="5">
        <v>44431</v>
      </c>
      <c r="B162">
        <v>3.2820000000000002E-2</v>
      </c>
      <c r="C162">
        <v>3.5000000000000003E-2</v>
      </c>
      <c r="D162">
        <v>3.1112999999999998E-2</v>
      </c>
      <c r="E162">
        <v>3.3808999999999999E-2</v>
      </c>
      <c r="F162">
        <v>546844902</v>
      </c>
      <c r="G162">
        <v>3.3808999999999999E-2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0.3871880627733455</v>
      </c>
      <c r="Q162">
        <f t="shared" ref="Q162" si="786">F162*P162</f>
        <v>211731818.24285996</v>
      </c>
      <c r="R162">
        <f t="shared" ref="R162" si="787">R163+Q162</f>
        <v>-16127771786.941032</v>
      </c>
      <c r="S162">
        <f t="shared" ref="S162" si="788">R162/100000</f>
        <v>-161277.71786941032</v>
      </c>
      <c r="T162">
        <f t="shared" ref="T162" si="789">S162/1000</f>
        <v>-161.27771786941031</v>
      </c>
    </row>
    <row r="163" spans="1:20" x14ac:dyDescent="0.25">
      <c r="A163" s="5">
        <v>44430</v>
      </c>
      <c r="B163">
        <v>3.5441E-2</v>
      </c>
      <c r="C163">
        <v>3.7499999999999999E-2</v>
      </c>
      <c r="D163">
        <v>3.3501999999999997E-2</v>
      </c>
      <c r="E163">
        <v>3.4181000000000003E-2</v>
      </c>
      <c r="F163">
        <v>153134052</v>
      </c>
      <c r="G163">
        <v>3.4181000000000003E-2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-0.66033016508253839</v>
      </c>
      <c r="Q163">
        <f t="shared" ref="Q163" si="791">F163*P163</f>
        <v>-101119033.83691801</v>
      </c>
      <c r="R163">
        <f t="shared" ref="R163" si="792">R164+Q163</f>
        <v>-16339503605.183893</v>
      </c>
      <c r="S163">
        <f t="shared" ref="S163" si="793">R163/100000</f>
        <v>-163395.03605183892</v>
      </c>
      <c r="T163">
        <f t="shared" ref="T163" si="794">S163/1000</f>
        <v>-163.39503605183893</v>
      </c>
    </row>
    <row r="164" spans="1:20" x14ac:dyDescent="0.25">
      <c r="A164" s="5">
        <v>44429</v>
      </c>
      <c r="B164">
        <v>2.9829000000000001E-2</v>
      </c>
      <c r="C164">
        <v>3.7565000000000001E-2</v>
      </c>
      <c r="D164">
        <v>2.9406999999999999E-2</v>
      </c>
      <c r="E164">
        <v>3.5385E-2</v>
      </c>
      <c r="F164">
        <v>933828648</v>
      </c>
      <c r="G164">
        <v>3.5385E-2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0.46555528315763645</v>
      </c>
      <c r="Q164">
        <f t="shared" ref="Q164" si="796">F164*P164</f>
        <v>434748860.64035279</v>
      </c>
      <c r="R164">
        <f t="shared" ref="R164" si="797">R165+Q164</f>
        <v>-16238384571.346975</v>
      </c>
      <c r="S164">
        <f t="shared" ref="S164" si="798">R164/100000</f>
        <v>-162383.84571346975</v>
      </c>
      <c r="T164">
        <f t="shared" ref="T164" si="799">S164/1000</f>
        <v>-162.38384571346975</v>
      </c>
    </row>
    <row r="165" spans="1:20" x14ac:dyDescent="0.25">
      <c r="A165" s="5">
        <v>44428</v>
      </c>
      <c r="B165">
        <v>2.7421000000000001E-2</v>
      </c>
      <c r="C165">
        <v>3.0200000000000001E-2</v>
      </c>
      <c r="D165">
        <v>2.7269999999999999E-2</v>
      </c>
      <c r="E165">
        <v>2.9815999999999999E-2</v>
      </c>
      <c r="F165">
        <v>555355059</v>
      </c>
      <c r="G165">
        <v>2.9815999999999999E-2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0.7378839590443671</v>
      </c>
      <c r="Q165">
        <f t="shared" ref="Q165" si="801">F165*P165</f>
        <v>409787589.61023808</v>
      </c>
      <c r="R165">
        <f t="shared" ref="R165" si="802">R166+Q165</f>
        <v>-16673133431.987328</v>
      </c>
      <c r="S165">
        <f t="shared" ref="S165" si="803">R165/100000</f>
        <v>-166731.33431987328</v>
      </c>
      <c r="T165">
        <f t="shared" ref="T165" si="804">S165/1000</f>
        <v>-166.73133431987327</v>
      </c>
    </row>
    <row r="166" spans="1:20" x14ac:dyDescent="0.25">
      <c r="A166" s="5">
        <v>44427</v>
      </c>
      <c r="B166">
        <v>2.3095999999999998E-2</v>
      </c>
      <c r="C166">
        <v>2.76E-2</v>
      </c>
      <c r="D166">
        <v>2.2771E-2</v>
      </c>
      <c r="E166">
        <v>2.7421999999999998E-2</v>
      </c>
      <c r="F166">
        <v>484058146</v>
      </c>
      <c r="G166">
        <v>2.7421999999999998E-2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0.92627873265686433</v>
      </c>
      <c r="Q166">
        <f t="shared" ref="Q166" si="806">F166*P166</f>
        <v>448372766.0091114</v>
      </c>
      <c r="R166">
        <f t="shared" ref="R166" si="807">R167+Q166</f>
        <v>-17082921021.597567</v>
      </c>
      <c r="S166">
        <f t="shared" ref="S166" si="808">R166/100000</f>
        <v>-170829.21021597568</v>
      </c>
      <c r="T166">
        <f t="shared" ref="T166" si="809">S166/1000</f>
        <v>-170.82921021597568</v>
      </c>
    </row>
    <row r="167" spans="1:20" x14ac:dyDescent="0.25">
      <c r="A167" s="5">
        <v>44426</v>
      </c>
      <c r="B167">
        <v>2.3657000000000001E-2</v>
      </c>
      <c r="C167">
        <v>2.4722999999999998E-2</v>
      </c>
      <c r="D167">
        <v>2.3021E-2</v>
      </c>
      <c r="E167">
        <v>2.3088999999999998E-2</v>
      </c>
      <c r="F167">
        <v>281180322</v>
      </c>
      <c r="G167">
        <v>2.3088999999999998E-2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-0.92009400705053035</v>
      </c>
      <c r="Q167">
        <f t="shared" ref="Q167" si="811">F167*P167</f>
        <v>-258712329.1727384</v>
      </c>
      <c r="R167">
        <f t="shared" ref="R167" si="812">R168+Q167</f>
        <v>-17531293787.606678</v>
      </c>
      <c r="S167">
        <f t="shared" ref="S167" si="813">R167/100000</f>
        <v>-175312.93787606678</v>
      </c>
      <c r="T167">
        <f t="shared" ref="T167" si="814">S167/1000</f>
        <v>-175.31293787606677</v>
      </c>
    </row>
    <row r="168" spans="1:20" x14ac:dyDescent="0.25">
      <c r="A168" s="5">
        <v>44425</v>
      </c>
      <c r="B168">
        <v>2.2012E-2</v>
      </c>
      <c r="C168">
        <v>2.5999999999999999E-2</v>
      </c>
      <c r="D168">
        <v>2.1697999999999999E-2</v>
      </c>
      <c r="E168">
        <v>2.3656E-2</v>
      </c>
      <c r="F168">
        <v>570659687</v>
      </c>
      <c r="G168">
        <v>2.3656E-2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-8.9725708972570303E-2</v>
      </c>
      <c r="Q168">
        <f t="shared" ref="Q168" si="816">F168*P168</f>
        <v>-51202844.998140059</v>
      </c>
      <c r="R168">
        <f t="shared" ref="R168" si="817">R169+Q168</f>
        <v>-17272581458.433941</v>
      </c>
      <c r="S168">
        <f t="shared" ref="S168" si="818">R168/100000</f>
        <v>-172725.81458433942</v>
      </c>
      <c r="T168">
        <f t="shared" ref="T168" si="819">S168/1000</f>
        <v>-172.72581458433942</v>
      </c>
    </row>
    <row r="169" spans="1:20" x14ac:dyDescent="0.25">
      <c r="A169" s="5">
        <v>44424</v>
      </c>
      <c r="B169">
        <v>2.2624999999999999E-2</v>
      </c>
      <c r="C169">
        <v>2.3452000000000001E-2</v>
      </c>
      <c r="D169">
        <v>2.1883E-2</v>
      </c>
      <c r="E169">
        <v>2.2009999999999998E-2</v>
      </c>
      <c r="F169">
        <v>180339299</v>
      </c>
      <c r="G169">
        <v>2.2009999999999998E-2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-0.83811344805608856</v>
      </c>
      <c r="Q169">
        <f t="shared" ref="Q169" si="821">F169*P169</f>
        <v>-151144791.70490792</v>
      </c>
      <c r="R169">
        <f t="shared" ref="R169" si="822">R170+Q169</f>
        <v>-17221378613.435802</v>
      </c>
      <c r="S169">
        <f t="shared" ref="S169" si="823">R169/100000</f>
        <v>-172213.78613435803</v>
      </c>
      <c r="T169">
        <f t="shared" ref="T169" si="824">S169/1000</f>
        <v>-172.21378613435803</v>
      </c>
    </row>
    <row r="170" spans="1:20" x14ac:dyDescent="0.25">
      <c r="A170" s="5">
        <v>44423</v>
      </c>
      <c r="B170">
        <v>2.3174E-2</v>
      </c>
      <c r="C170">
        <v>2.3331999999999999E-2</v>
      </c>
      <c r="D170">
        <v>2.1999999999999999E-2</v>
      </c>
      <c r="E170">
        <v>2.2624999999999999E-2</v>
      </c>
      <c r="F170">
        <v>142212344</v>
      </c>
      <c r="G170">
        <v>2.2624999999999999E-2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-6.1561561561560625E-2</v>
      </c>
      <c r="Q170">
        <f t="shared" ref="Q170" si="826">F170*P170</f>
        <v>-8754813.969969837</v>
      </c>
      <c r="R170">
        <f t="shared" ref="R170" si="827">R171+Q170</f>
        <v>-17070233821.730896</v>
      </c>
      <c r="S170">
        <f t="shared" ref="S170" si="828">R170/100000</f>
        <v>-170702.33821730895</v>
      </c>
      <c r="T170">
        <f t="shared" ref="T170" si="829">S170/1000</f>
        <v>-170.70233821730895</v>
      </c>
    </row>
    <row r="171" spans="1:20" x14ac:dyDescent="0.25">
      <c r="A171" s="5">
        <v>44422</v>
      </c>
      <c r="B171">
        <v>2.3644999999999999E-2</v>
      </c>
      <c r="C171">
        <v>2.3741999999999999E-2</v>
      </c>
      <c r="D171">
        <v>2.2336000000000002E-2</v>
      </c>
      <c r="E171">
        <v>2.3207999999999999E-2</v>
      </c>
      <c r="F171">
        <v>182513586</v>
      </c>
      <c r="G171">
        <v>2.3207999999999999E-2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0.24039829302987101</v>
      </c>
      <c r="Q171">
        <f t="shared" ref="Q171" si="831">F171*P171</f>
        <v>43875954.529160559</v>
      </c>
      <c r="R171">
        <f t="shared" ref="R171" si="832">R172+Q171</f>
        <v>-17061479007.760925</v>
      </c>
      <c r="S171">
        <f t="shared" ref="S171" si="833">R171/100000</f>
        <v>-170614.79007760924</v>
      </c>
      <c r="T171">
        <f t="shared" ref="T171" si="834">S171/1000</f>
        <v>-170.61479007760926</v>
      </c>
    </row>
    <row r="172" spans="1:20" x14ac:dyDescent="0.25">
      <c r="A172" s="5">
        <v>44421</v>
      </c>
      <c r="B172">
        <v>2.0229E-2</v>
      </c>
      <c r="C172">
        <v>2.5649999999999999E-2</v>
      </c>
      <c r="D172">
        <v>2.0146000000000001E-2</v>
      </c>
      <c r="E172">
        <v>2.3644999999999999E-2</v>
      </c>
      <c r="F172">
        <v>619717843</v>
      </c>
      <c r="G172">
        <v>2.3644999999999999E-2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0.27143895348837194</v>
      </c>
      <c r="Q172">
        <f t="shared" ref="Q172" si="836">F172*P172</f>
        <v>168215562.76199117</v>
      </c>
      <c r="R172">
        <f t="shared" ref="R172" si="837">R173+Q172</f>
        <v>-17105354962.290087</v>
      </c>
      <c r="S172">
        <f t="shared" ref="S172" si="838">R172/100000</f>
        <v>-171053.54962290087</v>
      </c>
      <c r="T172">
        <f t="shared" ref="T172" si="839">S172/1000</f>
        <v>-171.05354962290087</v>
      </c>
    </row>
    <row r="173" spans="1:20" x14ac:dyDescent="0.25">
      <c r="A173" s="5">
        <v>44420</v>
      </c>
      <c r="B173">
        <v>2.0486999999999998E-2</v>
      </c>
      <c r="C173">
        <v>2.1423999999999999E-2</v>
      </c>
      <c r="D173">
        <v>1.9526999999999999E-2</v>
      </c>
      <c r="E173">
        <v>2.0192000000000002E-2</v>
      </c>
      <c r="F173">
        <v>211524048</v>
      </c>
      <c r="G173">
        <v>2.0192000000000002E-2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-0.29889298892988653</v>
      </c>
      <c r="Q173">
        <f t="shared" ref="Q173" si="841">F173*P173</f>
        <v>-63223054.937268786</v>
      </c>
      <c r="R173">
        <f t="shared" ref="R173" si="842">R174+Q173</f>
        <v>-17273570525.052078</v>
      </c>
      <c r="S173">
        <f t="shared" ref="S173" si="843">R173/100000</f>
        <v>-172735.70525052078</v>
      </c>
      <c r="T173">
        <f t="shared" ref="T173" si="844">S173/1000</f>
        <v>-172.73570525052079</v>
      </c>
    </row>
    <row r="174" spans="1:20" x14ac:dyDescent="0.25">
      <c r="A174" s="5">
        <v>44419</v>
      </c>
      <c r="B174">
        <v>1.9272999999999998E-2</v>
      </c>
      <c r="C174">
        <v>2.1378000000000001E-2</v>
      </c>
      <c r="D174">
        <v>1.9251000000000001E-2</v>
      </c>
      <c r="E174">
        <v>2.0480999999999999E-2</v>
      </c>
      <c r="F174">
        <v>317183432</v>
      </c>
      <c r="G174">
        <v>2.0480999999999999E-2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0.15655853314527335</v>
      </c>
      <c r="Q174">
        <f t="shared" ref="Q174" si="846">F174*P174</f>
        <v>49657772.851903558</v>
      </c>
      <c r="R174">
        <f t="shared" ref="R174" si="847">R175+Q174</f>
        <v>-17210347470.114811</v>
      </c>
      <c r="S174">
        <f t="shared" ref="S174" si="848">R174/100000</f>
        <v>-172103.47470114811</v>
      </c>
      <c r="T174">
        <f t="shared" ref="T174" si="849">S174/1000</f>
        <v>-172.10347470114812</v>
      </c>
    </row>
    <row r="175" spans="1:20" x14ac:dyDescent="0.25">
      <c r="A175" s="5">
        <v>44418</v>
      </c>
      <c r="B175">
        <v>1.9494000000000001E-2</v>
      </c>
      <c r="C175">
        <v>1.9536000000000001E-2</v>
      </c>
      <c r="D175">
        <v>1.8696000000000001E-2</v>
      </c>
      <c r="E175">
        <v>1.9245999999999999E-2</v>
      </c>
      <c r="F175">
        <v>184424081</v>
      </c>
      <c r="G175">
        <v>1.9245999999999999E-2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0.30952380952380498</v>
      </c>
      <c r="Q175">
        <f t="shared" ref="Q175" si="851">F175*P175</f>
        <v>57083644.119046785</v>
      </c>
      <c r="R175">
        <f t="shared" ref="R175" si="852">R176+Q175</f>
        <v>-17260005242.966713</v>
      </c>
      <c r="S175">
        <f t="shared" ref="S175" si="853">R175/100000</f>
        <v>-172600.05242966712</v>
      </c>
      <c r="T175">
        <f t="shared" ref="T175" si="854">S175/1000</f>
        <v>-172.60005242966713</v>
      </c>
    </row>
    <row r="176" spans="1:20" x14ac:dyDescent="0.25">
      <c r="A176" s="5">
        <v>44417</v>
      </c>
      <c r="B176">
        <v>1.8884999999999999E-2</v>
      </c>
      <c r="C176">
        <v>1.9699999999999999E-2</v>
      </c>
      <c r="D176">
        <v>1.8567E-2</v>
      </c>
      <c r="E176">
        <v>1.9476E-2</v>
      </c>
      <c r="F176">
        <v>206686660</v>
      </c>
      <c r="G176">
        <v>1.9476E-2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0.60458958517211159</v>
      </c>
      <c r="Q176">
        <f t="shared" ref="Q176" si="856">F176*P176</f>
        <v>124960602.03000927</v>
      </c>
      <c r="R176">
        <f t="shared" ref="R176" si="857">R177+Q176</f>
        <v>-17317088887.085758</v>
      </c>
      <c r="S176">
        <f t="shared" ref="S176" si="858">R176/100000</f>
        <v>-173170.88887085757</v>
      </c>
      <c r="T176">
        <f t="shared" ref="T176" si="859">S176/1000</f>
        <v>-173.17088887085757</v>
      </c>
    </row>
    <row r="177" spans="1:20" x14ac:dyDescent="0.25">
      <c r="A177" s="5">
        <v>44416</v>
      </c>
      <c r="B177">
        <v>1.9688000000000001E-2</v>
      </c>
      <c r="C177">
        <v>1.9737999999999999E-2</v>
      </c>
      <c r="D177">
        <v>1.8714999999999999E-2</v>
      </c>
      <c r="E177">
        <v>1.8860999999999999E-2</v>
      </c>
      <c r="F177">
        <v>186546677</v>
      </c>
      <c r="G177">
        <v>1.8860999999999999E-2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-0.7145650048875849</v>
      </c>
      <c r="Q177">
        <f t="shared" ref="Q177" si="861">F177*P177</f>
        <v>-133299727.16226771</v>
      </c>
      <c r="R177">
        <f t="shared" ref="R177" si="862">R178+Q177</f>
        <v>-17442049489.115768</v>
      </c>
      <c r="S177">
        <f t="shared" ref="S177" si="863">R177/100000</f>
        <v>-174420.49489115769</v>
      </c>
      <c r="T177">
        <f t="shared" ref="T177" si="864">S177/1000</f>
        <v>-174.42049489115769</v>
      </c>
    </row>
    <row r="178" spans="1:20" x14ac:dyDescent="0.25">
      <c r="A178" s="5">
        <v>44415</v>
      </c>
      <c r="B178">
        <v>2.0173E-2</v>
      </c>
      <c r="C178">
        <v>2.06E-2</v>
      </c>
      <c r="D178">
        <v>1.9445E-2</v>
      </c>
      <c r="E178">
        <v>1.9688000000000001E-2</v>
      </c>
      <c r="F178">
        <v>232760053</v>
      </c>
      <c r="G178">
        <v>1.9688000000000001E-2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-0.57922077922077886</v>
      </c>
      <c r="Q178">
        <f t="shared" ref="Q178" si="866">F178*P178</f>
        <v>-134819459.2701298</v>
      </c>
      <c r="R178">
        <f t="shared" ref="R178" si="867">R179+Q178</f>
        <v>-17308749761.953499</v>
      </c>
      <c r="S178">
        <f t="shared" ref="S178" si="868">R178/100000</f>
        <v>-173087.49761953499</v>
      </c>
      <c r="T178">
        <f t="shared" ref="T178" si="869">S178/1000</f>
        <v>-173.08749761953499</v>
      </c>
    </row>
    <row r="179" spans="1:20" x14ac:dyDescent="0.25">
      <c r="A179" s="5">
        <v>44414</v>
      </c>
      <c r="B179">
        <v>2.0041E-2</v>
      </c>
      <c r="C179">
        <v>2.0500000000000001E-2</v>
      </c>
      <c r="D179">
        <v>1.9491000000000001E-2</v>
      </c>
      <c r="E179">
        <v>2.0136999999999999E-2</v>
      </c>
      <c r="F179">
        <v>386920639</v>
      </c>
      <c r="G179">
        <v>2.0136999999999999E-2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0.28047571853319642</v>
      </c>
      <c r="Q179">
        <f t="shared" ref="Q179" si="871">F179*P179</f>
        <v>108521844.23884851</v>
      </c>
      <c r="R179">
        <f t="shared" ref="R179" si="872">R180+Q179</f>
        <v>-17173930302.683371</v>
      </c>
      <c r="S179">
        <f t="shared" ref="S179" si="873">R179/100000</f>
        <v>-171739.30302683372</v>
      </c>
      <c r="T179">
        <f t="shared" ref="T179" si="874">S179/1000</f>
        <v>-171.73930302683371</v>
      </c>
    </row>
    <row r="180" spans="1:20" x14ac:dyDescent="0.25">
      <c r="A180" s="5">
        <v>44413</v>
      </c>
      <c r="B180">
        <v>1.8266000000000001E-2</v>
      </c>
      <c r="C180">
        <v>2.0379999999999999E-2</v>
      </c>
      <c r="D180">
        <v>1.7499000000000001E-2</v>
      </c>
      <c r="E180">
        <v>2.0057999999999999E-2</v>
      </c>
      <c r="F180">
        <v>1107257677</v>
      </c>
      <c r="G180">
        <v>2.0057999999999999E-2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0.7764665046858733</v>
      </c>
      <c r="Q180">
        <f t="shared" ref="Q180" si="876">F180*P180</f>
        <v>859748498.24678969</v>
      </c>
      <c r="R180">
        <f t="shared" ref="R180" si="877">R181+Q180</f>
        <v>-17282452146.922218</v>
      </c>
      <c r="S180">
        <f t="shared" ref="S180" si="878">R180/100000</f>
        <v>-172824.52146922218</v>
      </c>
      <c r="T180">
        <f t="shared" ref="T180" si="879">S180/1000</f>
        <v>-172.82452146922219</v>
      </c>
    </row>
    <row r="181" spans="1:20" x14ac:dyDescent="0.25">
      <c r="A181" s="5">
        <v>44412</v>
      </c>
      <c r="B181">
        <v>1.8464000000000001E-2</v>
      </c>
      <c r="C181">
        <v>1.8599999999999998E-2</v>
      </c>
      <c r="D181">
        <v>1.7427000000000002E-2</v>
      </c>
      <c r="E181">
        <v>1.8266000000000001E-2</v>
      </c>
      <c r="F181">
        <v>640486455</v>
      </c>
      <c r="G181">
        <v>1.8266000000000001E-2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0.43052003410059958</v>
      </c>
      <c r="Q181">
        <f t="shared" ref="Q181" si="881">F181*P181</f>
        <v>275742250.44757211</v>
      </c>
      <c r="R181">
        <f t="shared" ref="R181" si="882">R182+Q181</f>
        <v>-18142200645.169006</v>
      </c>
      <c r="S181">
        <f t="shared" ref="S181" si="883">R181/100000</f>
        <v>-181422.00645169007</v>
      </c>
      <c r="T181">
        <f t="shared" ref="T181" si="884">S181/1000</f>
        <v>-181.42200645169007</v>
      </c>
    </row>
    <row r="182" spans="1:20" x14ac:dyDescent="0.25">
      <c r="A182" s="5">
        <v>44411</v>
      </c>
      <c r="B182">
        <v>1.9612999999999998E-2</v>
      </c>
      <c r="C182">
        <v>2.0598999999999999E-2</v>
      </c>
      <c r="D182">
        <v>1.8367000000000001E-2</v>
      </c>
      <c r="E182">
        <v>1.8461000000000002E-2</v>
      </c>
      <c r="F182">
        <v>839757854</v>
      </c>
      <c r="G182">
        <v>1.8461000000000002E-2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-0.91577060931899601</v>
      </c>
      <c r="Q182">
        <f t="shared" ref="Q182" si="886">F182*P182</f>
        <v>-769025561.6379925</v>
      </c>
      <c r="R182">
        <f t="shared" ref="R182" si="887">R183+Q182</f>
        <v>-18417942895.616577</v>
      </c>
      <c r="S182">
        <f t="shared" ref="S182" si="888">R182/100000</f>
        <v>-184179.42895616576</v>
      </c>
      <c r="T182">
        <f t="shared" ref="T182" si="889">S182/1000</f>
        <v>-184.17942895616576</v>
      </c>
    </row>
    <row r="183" spans="1:20" x14ac:dyDescent="0.25">
      <c r="A183" s="5">
        <v>44410</v>
      </c>
      <c r="B183">
        <v>1.7523E-2</v>
      </c>
      <c r="C183">
        <v>2.2963999999999998E-2</v>
      </c>
      <c r="D183">
        <v>1.7361999999999999E-2</v>
      </c>
      <c r="E183">
        <v>1.9613999999999999E-2</v>
      </c>
      <c r="F183">
        <v>1733652599</v>
      </c>
      <c r="G183">
        <v>1.9613999999999999E-2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-0.19600142806140636</v>
      </c>
      <c r="Q183">
        <f t="shared" ref="Q183" si="891">F183*P183</f>
        <v>-339798385.16636866</v>
      </c>
      <c r="R183">
        <f t="shared" ref="R183" si="892">R184+Q183</f>
        <v>-17648917333.978584</v>
      </c>
      <c r="S183">
        <f t="shared" ref="S183" si="893">R183/100000</f>
        <v>-176489.17333978583</v>
      </c>
      <c r="T183">
        <f t="shared" ref="T183" si="894">S183/1000</f>
        <v>-176.48917333978582</v>
      </c>
    </row>
    <row r="184" spans="1:20" x14ac:dyDescent="0.25">
      <c r="A184" s="5">
        <v>44409</v>
      </c>
      <c r="B184">
        <v>1.7350999999999998E-2</v>
      </c>
      <c r="C184">
        <v>1.8319999999999999E-2</v>
      </c>
      <c r="D184">
        <v>1.7000999999999999E-2</v>
      </c>
      <c r="E184">
        <v>1.7531999999999999E-2</v>
      </c>
      <c r="F184">
        <v>620401428</v>
      </c>
      <c r="G184">
        <v>1.7531999999999999E-2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-0.19484457922668699</v>
      </c>
      <c r="Q184">
        <f t="shared" ref="Q184" si="896">F184*P184</f>
        <v>-120881855.19029574</v>
      </c>
      <c r="R184">
        <f t="shared" ref="R184" si="897">R185+Q184</f>
        <v>-17309118948.812214</v>
      </c>
      <c r="S184">
        <f t="shared" ref="S184" si="898">R184/100000</f>
        <v>-173091.18948812215</v>
      </c>
      <c r="T184">
        <f t="shared" ref="T184" si="899">S184/1000</f>
        <v>-173.09118948812215</v>
      </c>
    </row>
    <row r="185" spans="1:20" x14ac:dyDescent="0.25">
      <c r="A185" s="5">
        <v>44408</v>
      </c>
      <c r="B185">
        <v>1.5672999999999999E-2</v>
      </c>
      <c r="C185">
        <v>1.7691999999999999E-2</v>
      </c>
      <c r="D185">
        <v>1.5533E-2</v>
      </c>
      <c r="E185">
        <v>1.7340999999999999E-2</v>
      </c>
      <c r="F185">
        <v>930176684</v>
      </c>
      <c r="G185">
        <v>1.7340999999999999E-2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0.67484946734599283</v>
      </c>
      <c r="Q185">
        <f t="shared" ref="Q185" si="901">F185*P185</f>
        <v>627729239.73506188</v>
      </c>
      <c r="R185">
        <f t="shared" ref="R185" si="902">R186+Q185</f>
        <v>-17188237093.621918</v>
      </c>
      <c r="S185">
        <f t="shared" ref="S185" si="903">R185/100000</f>
        <v>-171882.37093621917</v>
      </c>
      <c r="T185">
        <f t="shared" ref="T185" si="904">S185/1000</f>
        <v>-171.88237093621916</v>
      </c>
    </row>
    <row r="186" spans="1:20" x14ac:dyDescent="0.25">
      <c r="A186" s="5">
        <v>44407</v>
      </c>
      <c r="B186">
        <v>1.5415999999999999E-2</v>
      </c>
      <c r="C186">
        <v>1.5789999999999998E-2</v>
      </c>
      <c r="D186">
        <v>1.4891E-2</v>
      </c>
      <c r="E186">
        <v>1.5656E-2</v>
      </c>
      <c r="F186">
        <v>784445531</v>
      </c>
      <c r="G186">
        <v>1.5656E-2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0.701890989988879</v>
      </c>
      <c r="Q186">
        <f t="shared" ref="Q186" si="906">F186*P186</f>
        <v>550595250.3459419</v>
      </c>
      <c r="R186">
        <f t="shared" ref="R186" si="907">R187+Q186</f>
        <v>-17815966333.356979</v>
      </c>
      <c r="S186">
        <f t="shared" ref="S186" si="908">R186/100000</f>
        <v>-178159.6633335698</v>
      </c>
      <c r="T186">
        <f t="shared" ref="T186" si="909">S186/1000</f>
        <v>-178.1596633335698</v>
      </c>
    </row>
    <row r="187" spans="1:20" x14ac:dyDescent="0.25">
      <c r="A187" s="5">
        <v>44406</v>
      </c>
      <c r="B187">
        <v>1.6149E-2</v>
      </c>
      <c r="C187">
        <v>1.6281E-2</v>
      </c>
      <c r="D187">
        <v>1.5339E-2</v>
      </c>
      <c r="E187">
        <v>1.5412E-2</v>
      </c>
      <c r="F187">
        <v>776657122</v>
      </c>
      <c r="G187">
        <v>1.5412E-2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-0.84501061571125236</v>
      </c>
      <c r="Q187">
        <f t="shared" ref="Q187" si="911">F187*P187</f>
        <v>-656283512.85774922</v>
      </c>
      <c r="R187">
        <f t="shared" ref="R187" si="912">R188+Q187</f>
        <v>-18366561583.702923</v>
      </c>
      <c r="S187">
        <f t="shared" ref="S187" si="913">R187/100000</f>
        <v>-183665.61583702924</v>
      </c>
      <c r="T187">
        <f t="shared" ref="T187" si="914">S187/1000</f>
        <v>-183.66561583702924</v>
      </c>
    </row>
    <row r="188" spans="1:20" x14ac:dyDescent="0.25">
      <c r="A188" s="5">
        <v>44405</v>
      </c>
      <c r="B188">
        <v>1.5370999999999999E-2</v>
      </c>
      <c r="C188">
        <v>1.6638E-2</v>
      </c>
      <c r="D188">
        <v>1.5221999999999999E-2</v>
      </c>
      <c r="E188">
        <v>1.6153000000000001E-2</v>
      </c>
      <c r="F188">
        <v>224768652</v>
      </c>
      <c r="G188">
        <v>1.6153000000000001E-2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0.31497175141243061</v>
      </c>
      <c r="Q188">
        <f t="shared" ref="Q188" si="916">F188*P188</f>
        <v>70795775.983051121</v>
      </c>
      <c r="R188">
        <f t="shared" ref="R188" si="917">R189+Q188</f>
        <v>-17710278070.845173</v>
      </c>
      <c r="S188">
        <f t="shared" ref="S188" si="918">R188/100000</f>
        <v>-177102.78070845173</v>
      </c>
      <c r="T188">
        <f t="shared" ref="T188" si="919">S188/1000</f>
        <v>-177.10278070845172</v>
      </c>
    </row>
    <row r="189" spans="1:20" x14ac:dyDescent="0.25">
      <c r="A189" s="5">
        <v>44404</v>
      </c>
      <c r="B189">
        <v>1.4989000000000001E-2</v>
      </c>
      <c r="C189">
        <v>1.5485000000000001E-2</v>
      </c>
      <c r="D189">
        <v>1.47E-2</v>
      </c>
      <c r="E189">
        <v>1.5349E-2</v>
      </c>
      <c r="F189">
        <v>85201904</v>
      </c>
      <c r="G189">
        <v>1.5349E-2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0.65350318471337443</v>
      </c>
      <c r="Q189">
        <f t="shared" ref="Q189" si="921">F189*P189</f>
        <v>55679715.607643194</v>
      </c>
      <c r="R189">
        <f t="shared" ref="R189" si="922">R190+Q189</f>
        <v>-17781073846.828224</v>
      </c>
      <c r="S189">
        <f t="shared" ref="S189" si="923">R189/100000</f>
        <v>-177810.73846828224</v>
      </c>
      <c r="T189">
        <f t="shared" ref="T189" si="924">S189/1000</f>
        <v>-177.81073846828224</v>
      </c>
    </row>
    <row r="190" spans="1:20" x14ac:dyDescent="0.25">
      <c r="A190" s="5">
        <v>44403</v>
      </c>
      <c r="B190">
        <v>1.5391E-2</v>
      </c>
      <c r="C190">
        <v>1.6608999999999999E-2</v>
      </c>
      <c r="D190">
        <v>1.47E-2</v>
      </c>
      <c r="E190">
        <v>1.5009E-2</v>
      </c>
      <c r="F190">
        <v>221712090</v>
      </c>
      <c r="G190">
        <v>1.5009E-2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-0.67627029858564658</v>
      </c>
      <c r="Q190">
        <f t="shared" ref="Q190" si="926">F190*P190</f>
        <v>-149937301.30434775</v>
      </c>
      <c r="R190">
        <f t="shared" ref="R190" si="927">R191+Q190</f>
        <v>-17836753562.435867</v>
      </c>
      <c r="S190">
        <f t="shared" ref="S190" si="928">R190/100000</f>
        <v>-178367.53562435869</v>
      </c>
      <c r="T190">
        <f t="shared" ref="T190" si="929">S190/1000</f>
        <v>-178.36753562435868</v>
      </c>
    </row>
    <row r="191" spans="1:20" x14ac:dyDescent="0.25">
      <c r="A191" s="5">
        <v>44402</v>
      </c>
      <c r="B191">
        <v>1.5358999999999999E-2</v>
      </c>
      <c r="C191">
        <v>1.5488E-2</v>
      </c>
      <c r="D191">
        <v>1.4829E-2</v>
      </c>
      <c r="E191">
        <v>1.5391E-2</v>
      </c>
      <c r="F191">
        <v>80082349</v>
      </c>
      <c r="G191">
        <v>1.5391E-2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0.70561456752655571</v>
      </c>
      <c r="Q191">
        <f t="shared" ref="Q191" si="931">F191*P191</f>
        <v>56507272.056145698</v>
      </c>
      <c r="R191">
        <f t="shared" ref="R191" si="932">R192+Q191</f>
        <v>-17686816261.131519</v>
      </c>
      <c r="S191">
        <f t="shared" ref="S191" si="933">R191/100000</f>
        <v>-176868.1626113152</v>
      </c>
      <c r="T191">
        <f t="shared" ref="T191:T197" si="934">S191/1000</f>
        <v>-176.8681626113152</v>
      </c>
    </row>
    <row r="192" spans="1:20" x14ac:dyDescent="0.25">
      <c r="A192" s="5">
        <v>44401</v>
      </c>
      <c r="B192">
        <v>1.4878000000000001E-2</v>
      </c>
      <c r="C192">
        <v>1.5396999999999999E-2</v>
      </c>
      <c r="D192">
        <v>1.4682000000000001E-2</v>
      </c>
      <c r="E192">
        <v>1.5358999999999999E-2</v>
      </c>
      <c r="F192">
        <v>77070877</v>
      </c>
      <c r="G192">
        <v>1.5358999999999999E-2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0.89370629370629395</v>
      </c>
      <c r="Q192">
        <f t="shared" ref="Q192" si="936">F192*P192</f>
        <v>68878727.836363658</v>
      </c>
      <c r="R192">
        <f t="shared" ref="R192" si="937">R193+Q192</f>
        <v>-17743323533.187664</v>
      </c>
      <c r="S192">
        <f t="shared" ref="S192" si="938">R192/100000</f>
        <v>-177433.23533187664</v>
      </c>
      <c r="T192">
        <f t="shared" si="934"/>
        <v>-177.43323533187663</v>
      </c>
    </row>
    <row r="193" spans="1:20" x14ac:dyDescent="0.25">
      <c r="A193" s="5">
        <v>44400</v>
      </c>
      <c r="B193">
        <v>1.469E-2</v>
      </c>
      <c r="C193">
        <v>1.5008000000000001E-2</v>
      </c>
      <c r="D193">
        <v>1.4390999999999999E-2</v>
      </c>
      <c r="E193">
        <v>1.4888E-2</v>
      </c>
      <c r="F193">
        <v>46811775</v>
      </c>
      <c r="G193">
        <v>1.4888E-2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0.61102106969205805</v>
      </c>
      <c r="Q193">
        <f t="shared" ref="Q193" si="940">F193*P193</f>
        <v>28602980.83468394</v>
      </c>
      <c r="R193">
        <f t="shared" ref="R193" si="941">R194+Q193</f>
        <v>-17812202261.024029</v>
      </c>
      <c r="S193">
        <f t="shared" ref="S193" si="942">R193/100000</f>
        <v>-178122.0226102403</v>
      </c>
      <c r="T193">
        <f t="shared" si="934"/>
        <v>-178.12202261024029</v>
      </c>
    </row>
    <row r="194" spans="1:20" x14ac:dyDescent="0.25">
      <c r="A194" s="5">
        <v>44399</v>
      </c>
      <c r="B194">
        <v>1.4357999999999999E-2</v>
      </c>
      <c r="C194">
        <v>1.4688E-2</v>
      </c>
      <c r="D194">
        <v>1.4200000000000001E-2</v>
      </c>
      <c r="E194">
        <v>1.4659E-2</v>
      </c>
      <c r="F194">
        <v>65815286</v>
      </c>
      <c r="G194">
        <v>1.4659E-2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0.88114754098360826</v>
      </c>
      <c r="Q194">
        <f t="shared" ref="Q194" si="944">F194*P194</f>
        <v>57992977.418032899</v>
      </c>
      <c r="R194">
        <f t="shared" ref="R194" si="945">R195+Q194</f>
        <v>-17840805241.858711</v>
      </c>
      <c r="S194">
        <f t="shared" ref="S194" si="946">R194/100000</f>
        <v>-178408.05241858712</v>
      </c>
      <c r="T194">
        <f t="shared" si="934"/>
        <v>-178.40805241858712</v>
      </c>
    </row>
    <row r="195" spans="1:20" x14ac:dyDescent="0.25">
      <c r="A195" s="5">
        <v>44398</v>
      </c>
      <c r="B195">
        <v>1.3524E-2</v>
      </c>
      <c r="C195">
        <v>1.4566000000000001E-2</v>
      </c>
      <c r="D195">
        <v>1.3406E-2</v>
      </c>
      <c r="E195">
        <v>1.4330000000000001E-2</v>
      </c>
      <c r="F195">
        <v>53895305</v>
      </c>
      <c r="G195">
        <v>1.4330000000000001E-2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0.59310344827586237</v>
      </c>
      <c r="Q195">
        <f t="shared" ref="Q195" si="948">F195*P195</f>
        <v>31965491.241379328</v>
      </c>
      <c r="R195">
        <f t="shared" ref="R195" si="949">R196+Q195</f>
        <v>-17898798219.276745</v>
      </c>
      <c r="S195">
        <f t="shared" ref="S195" si="950">R195/100000</f>
        <v>-178987.98219276743</v>
      </c>
      <c r="T195">
        <f t="shared" si="934"/>
        <v>-178.98798219276745</v>
      </c>
    </row>
    <row r="196" spans="1:20" x14ac:dyDescent="0.25">
      <c r="A196" s="5">
        <v>44397</v>
      </c>
      <c r="B196">
        <v>1.4005999999999999E-2</v>
      </c>
      <c r="C196">
        <v>1.4119E-2</v>
      </c>
      <c r="D196">
        <v>1.3336000000000001E-2</v>
      </c>
      <c r="E196">
        <v>1.3488E-2</v>
      </c>
      <c r="F196">
        <v>60955433</v>
      </c>
      <c r="G196">
        <v>1.3488E-2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-0.61174968071519908</v>
      </c>
      <c r="Q196">
        <f t="shared" ref="Q196" si="952">F196*P196</f>
        <v>-37289466.675606713</v>
      </c>
      <c r="R196">
        <f t="shared" ref="R196" si="953">R197+Q196</f>
        <v>-17930763710.518124</v>
      </c>
      <c r="S196">
        <f t="shared" ref="S196" si="954">R196/100000</f>
        <v>-179307.63710518123</v>
      </c>
      <c r="T196">
        <f t="shared" si="934"/>
        <v>-179.30763710518124</v>
      </c>
    </row>
    <row r="197" spans="1:20" x14ac:dyDescent="0.25">
      <c r="A197" s="5">
        <v>44396</v>
      </c>
      <c r="B197">
        <v>1.4683999999999999E-2</v>
      </c>
      <c r="C197">
        <v>1.4763999999999999E-2</v>
      </c>
      <c r="D197">
        <v>1.3919000000000001E-2</v>
      </c>
      <c r="E197">
        <v>1.3983000000000001E-2</v>
      </c>
      <c r="F197">
        <v>45245881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-0.84852071005917173</v>
      </c>
      <c r="Q197">
        <f t="shared" ref="Q197" si="956">F197*P197</f>
        <v>-38392067.073372789</v>
      </c>
      <c r="R197">
        <f t="shared" ref="R197" si="957">R198+Q197</f>
        <v>-17893474243.842518</v>
      </c>
      <c r="S197">
        <f t="shared" ref="S197" si="958">R197/100000</f>
        <v>-178934.74243842516</v>
      </c>
      <c r="T197">
        <f t="shared" si="934"/>
        <v>-178.93474243842516</v>
      </c>
    </row>
    <row r="198" spans="1:20" x14ac:dyDescent="0.25">
      <c r="A198" s="5">
        <v>44395</v>
      </c>
      <c r="B198">
        <v>1.4666E-2</v>
      </c>
      <c r="C198">
        <v>1.5058E-2</v>
      </c>
      <c r="D198">
        <v>1.4522E-2</v>
      </c>
      <c r="E198">
        <v>1.4675000000000001E-2</v>
      </c>
      <c r="F198">
        <v>47316262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-0.42910447761193898</v>
      </c>
      <c r="Q198">
        <f t="shared" ref="Q198:Q261" si="960">F198*P198</f>
        <v>-20303619.888059638</v>
      </c>
      <c r="R198">
        <f t="shared" ref="R198:R261" si="961">R199+Q198</f>
        <v>-17855082176.769146</v>
      </c>
      <c r="S198">
        <f t="shared" ref="S198:S261" si="962">R198/100000</f>
        <v>-178550.82176769146</v>
      </c>
      <c r="T198">
        <f t="shared" ref="T198:T261" si="963">S198/1000</f>
        <v>-178.55082176769147</v>
      </c>
    </row>
    <row r="199" spans="1:20" x14ac:dyDescent="0.25">
      <c r="A199" s="5">
        <v>44394</v>
      </c>
      <c r="B199">
        <v>1.5028E-2</v>
      </c>
      <c r="C199">
        <v>1.5044E-2</v>
      </c>
      <c r="D199">
        <v>1.4481000000000001E-2</v>
      </c>
      <c r="E199">
        <v>1.469E-2</v>
      </c>
      <c r="F199">
        <v>50033324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-0.2575488454706949</v>
      </c>
      <c r="Q199">
        <f t="shared" si="960"/>
        <v>-12886024.83126121</v>
      </c>
      <c r="R199">
        <f t="shared" si="961"/>
        <v>-17834778556.881084</v>
      </c>
      <c r="S199">
        <f t="shared" si="962"/>
        <v>-178347.78556881085</v>
      </c>
      <c r="T199">
        <f t="shared" si="963"/>
        <v>-178.34778556881085</v>
      </c>
    </row>
    <row r="200" spans="1:20" x14ac:dyDescent="0.25">
      <c r="A200" s="5">
        <v>44393</v>
      </c>
      <c r="B200">
        <v>1.4855E-2</v>
      </c>
      <c r="C200">
        <v>1.5445E-2</v>
      </c>
      <c r="D200">
        <v>1.4481000000000001E-2</v>
      </c>
      <c r="E200">
        <v>1.5018999999999999E-2</v>
      </c>
      <c r="F200">
        <v>81398954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0.11618257261410536</v>
      </c>
      <c r="Q200">
        <f t="shared" si="960"/>
        <v>9457139.883817222</v>
      </c>
      <c r="R200">
        <f t="shared" si="961"/>
        <v>-17821892532.049824</v>
      </c>
      <c r="S200">
        <f t="shared" si="962"/>
        <v>-178218.92532049824</v>
      </c>
      <c r="T200">
        <f t="shared" si="963"/>
        <v>-178.21892532049824</v>
      </c>
    </row>
    <row r="201" spans="1:20" x14ac:dyDescent="0.25">
      <c r="A201" s="5">
        <v>44392</v>
      </c>
      <c r="B201">
        <v>1.5030999999999999E-2</v>
      </c>
      <c r="C201">
        <v>1.5096E-2</v>
      </c>
      <c r="D201">
        <v>1.4367E-2</v>
      </c>
      <c r="E201">
        <v>1.4904000000000001E-2</v>
      </c>
      <c r="F201">
        <v>60774028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0.4732510288065862</v>
      </c>
      <c r="Q201">
        <f t="shared" si="960"/>
        <v>28761371.275720276</v>
      </c>
      <c r="R201">
        <f t="shared" si="961"/>
        <v>-17831349671.93364</v>
      </c>
      <c r="S201">
        <f t="shared" si="962"/>
        <v>-178313.4967193364</v>
      </c>
      <c r="T201">
        <f t="shared" si="963"/>
        <v>-178.3134967193364</v>
      </c>
    </row>
    <row r="202" spans="1:20" x14ac:dyDescent="0.25">
      <c r="A202" s="5">
        <v>44391</v>
      </c>
      <c r="B202">
        <v>1.4763E-2</v>
      </c>
      <c r="C202">
        <v>1.5042E-2</v>
      </c>
      <c r="D202">
        <v>1.4357E-2</v>
      </c>
      <c r="E202">
        <v>1.5030999999999999E-2</v>
      </c>
      <c r="F202">
        <v>49145039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0.9678832116788304</v>
      </c>
      <c r="Q202">
        <f t="shared" si="960"/>
        <v>47566658.185401373</v>
      </c>
      <c r="R202">
        <f t="shared" si="961"/>
        <v>-17860111043.209358</v>
      </c>
      <c r="S202">
        <f t="shared" si="962"/>
        <v>-178601.11043209358</v>
      </c>
      <c r="T202">
        <f t="shared" si="963"/>
        <v>-178.60111043209358</v>
      </c>
    </row>
    <row r="203" spans="1:20" x14ac:dyDescent="0.25">
      <c r="A203" s="5">
        <v>44390</v>
      </c>
      <c r="B203">
        <v>1.5438E-2</v>
      </c>
      <c r="C203">
        <v>1.5483E-2</v>
      </c>
      <c r="D203">
        <v>1.4651000000000001E-2</v>
      </c>
      <c r="E203">
        <v>1.4768E-2</v>
      </c>
      <c r="F203">
        <v>64538981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-0.71875000000000211</v>
      </c>
      <c r="Q203">
        <f t="shared" si="960"/>
        <v>-46387392.593750134</v>
      </c>
      <c r="R203">
        <f t="shared" si="961"/>
        <v>-17907677701.39476</v>
      </c>
      <c r="S203">
        <f t="shared" si="962"/>
        <v>-179076.77701394761</v>
      </c>
      <c r="T203">
        <f t="shared" si="963"/>
        <v>-179.07677701394761</v>
      </c>
    </row>
    <row r="204" spans="1:20" x14ac:dyDescent="0.25">
      <c r="A204" s="5">
        <v>44389</v>
      </c>
      <c r="B204">
        <v>1.5942999999999999E-2</v>
      </c>
      <c r="C204">
        <v>1.6005999999999999E-2</v>
      </c>
      <c r="D204">
        <v>1.511E-2</v>
      </c>
      <c r="E204">
        <v>1.5422999999999999E-2</v>
      </c>
      <c r="F204">
        <v>75174859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-0.30133928571428725</v>
      </c>
      <c r="Q204">
        <f t="shared" si="960"/>
        <v>-22653138.314732257</v>
      </c>
      <c r="R204">
        <f t="shared" si="961"/>
        <v>-17861290308.80101</v>
      </c>
      <c r="S204">
        <f t="shared" si="962"/>
        <v>-178612.90308801009</v>
      </c>
      <c r="T204">
        <f t="shared" si="963"/>
        <v>-178.61290308801009</v>
      </c>
    </row>
    <row r="205" spans="1:20" x14ac:dyDescent="0.25">
      <c r="A205" s="5">
        <v>44388</v>
      </c>
      <c r="B205">
        <v>1.5626000000000001E-2</v>
      </c>
      <c r="C205">
        <v>1.5984999999999999E-2</v>
      </c>
      <c r="D205">
        <v>1.5556E-2</v>
      </c>
      <c r="E205">
        <v>1.5955E-2</v>
      </c>
      <c r="F205">
        <v>39188198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0.86013986013986543</v>
      </c>
      <c r="Q205">
        <f t="shared" si="960"/>
        <v>33707331.146853358</v>
      </c>
      <c r="R205">
        <f t="shared" si="961"/>
        <v>-17838637170.486279</v>
      </c>
      <c r="S205">
        <f t="shared" si="962"/>
        <v>-178386.37170486277</v>
      </c>
      <c r="T205">
        <f t="shared" si="963"/>
        <v>-178.38637170486277</v>
      </c>
    </row>
    <row r="206" spans="1:20" x14ac:dyDescent="0.25">
      <c r="A206" s="5">
        <v>44387</v>
      </c>
      <c r="B206">
        <v>1.5772000000000001E-2</v>
      </c>
      <c r="C206">
        <v>1.5968E-2</v>
      </c>
      <c r="D206">
        <v>1.5386E-2</v>
      </c>
      <c r="E206">
        <v>1.5639E-2</v>
      </c>
      <c r="F206">
        <v>49362431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-0.13058419243986216</v>
      </c>
      <c r="Q206">
        <f t="shared" si="960"/>
        <v>-6445953.1890034173</v>
      </c>
      <c r="R206">
        <f t="shared" si="961"/>
        <v>-17872344501.633133</v>
      </c>
      <c r="S206">
        <f t="shared" si="962"/>
        <v>-178723.44501633133</v>
      </c>
      <c r="T206">
        <f t="shared" si="963"/>
        <v>-178.72344501633134</v>
      </c>
    </row>
    <row r="207" spans="1:20" x14ac:dyDescent="0.25">
      <c r="A207" s="5">
        <v>44386</v>
      </c>
      <c r="B207">
        <v>1.5535E-2</v>
      </c>
      <c r="C207">
        <v>1.6743999999999998E-2</v>
      </c>
      <c r="D207">
        <v>1.5245999999999999E-2</v>
      </c>
      <c r="E207">
        <v>1.5762999999999999E-2</v>
      </c>
      <c r="F207">
        <v>113450961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-0.30974632843791677</v>
      </c>
      <c r="Q207">
        <f t="shared" si="960"/>
        <v>-35141018.627503283</v>
      </c>
      <c r="R207">
        <f t="shared" si="961"/>
        <v>-17865898548.44413</v>
      </c>
      <c r="S207">
        <f t="shared" si="962"/>
        <v>-178658.98548444131</v>
      </c>
      <c r="T207">
        <f t="shared" si="963"/>
        <v>-178.6589854844413</v>
      </c>
    </row>
    <row r="208" spans="1:20" x14ac:dyDescent="0.25">
      <c r="A208" s="5">
        <v>44385</v>
      </c>
      <c r="B208">
        <v>1.6570000000000001E-2</v>
      </c>
      <c r="C208">
        <v>1.6587000000000001E-2</v>
      </c>
      <c r="D208">
        <v>1.5275E-2</v>
      </c>
      <c r="E208">
        <v>1.5554999999999999E-2</v>
      </c>
      <c r="F208">
        <v>77764181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-0.5731707317073188</v>
      </c>
      <c r="Q208">
        <f t="shared" si="960"/>
        <v>-44572152.524390377</v>
      </c>
      <c r="R208">
        <f t="shared" si="961"/>
        <v>-17830757529.816628</v>
      </c>
      <c r="S208">
        <f t="shared" si="962"/>
        <v>-178307.57529816628</v>
      </c>
      <c r="T208">
        <f t="shared" si="963"/>
        <v>-178.30757529816628</v>
      </c>
    </row>
    <row r="209" spans="1:20" x14ac:dyDescent="0.25">
      <c r="A209" s="5">
        <v>44384</v>
      </c>
      <c r="B209">
        <v>1.6454E-2</v>
      </c>
      <c r="C209">
        <v>1.6837000000000001E-2</v>
      </c>
      <c r="D209">
        <v>1.6381E-2</v>
      </c>
      <c r="E209">
        <v>1.6573999999999998E-2</v>
      </c>
      <c r="F209">
        <v>56915181</v>
      </c>
      <c r="G209">
        <v>0</v>
      </c>
      <c r="L209" t="s">
        <v>7</v>
      </c>
      <c r="M209" t="s">
        <v>7</v>
      </c>
      <c r="N209" t="s">
        <v>7</v>
      </c>
      <c r="P209">
        <f t="shared" si="959"/>
        <v>-0.153508771929833</v>
      </c>
      <c r="Q209">
        <f t="shared" si="960"/>
        <v>-8736979.5394741651</v>
      </c>
      <c r="R209">
        <f t="shared" si="961"/>
        <v>-17786185377.292236</v>
      </c>
      <c r="S209">
        <f t="shared" si="962"/>
        <v>-177861.85377292236</v>
      </c>
      <c r="T209">
        <f t="shared" si="963"/>
        <v>-177.86185377292236</v>
      </c>
    </row>
    <row r="210" spans="1:20" x14ac:dyDescent="0.25">
      <c r="A210" s="5">
        <v>44383</v>
      </c>
      <c r="B210">
        <v>1.6382000000000001E-2</v>
      </c>
      <c r="C210">
        <v>1.6847999999999998E-2</v>
      </c>
      <c r="D210">
        <v>1.6136999999999999E-2</v>
      </c>
      <c r="E210">
        <v>1.6483000000000001E-2</v>
      </c>
      <c r="F210">
        <v>97954772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-2.6722925457095245E-2</v>
      </c>
      <c r="Q210">
        <f t="shared" si="960"/>
        <v>-2617638.0703227604</v>
      </c>
      <c r="R210">
        <f t="shared" si="961"/>
        <v>-17777448397.752762</v>
      </c>
      <c r="S210">
        <f t="shared" si="962"/>
        <v>-177774.48397752762</v>
      </c>
      <c r="T210">
        <f t="shared" si="963"/>
        <v>-177.77448397752761</v>
      </c>
    </row>
    <row r="211" spans="1:20" x14ac:dyDescent="0.25">
      <c r="A211" s="5">
        <v>44382</v>
      </c>
      <c r="B211">
        <v>1.6926E-2</v>
      </c>
      <c r="C211">
        <v>1.6926E-2</v>
      </c>
      <c r="D211">
        <v>1.6178999999999999E-2</v>
      </c>
      <c r="E211">
        <v>1.6424000000000001E-2</v>
      </c>
      <c r="F211">
        <v>76087655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-0.34404283801873686</v>
      </c>
      <c r="Q211">
        <f t="shared" si="960"/>
        <v>-26177412.764390536</v>
      </c>
      <c r="R211">
        <f t="shared" si="961"/>
        <v>-17774830759.682438</v>
      </c>
      <c r="S211">
        <f t="shared" si="962"/>
        <v>-177748.30759682436</v>
      </c>
      <c r="T211">
        <f t="shared" si="963"/>
        <v>-177.74830759682436</v>
      </c>
    </row>
    <row r="212" spans="1:20" x14ac:dyDescent="0.25">
      <c r="A212" s="5">
        <v>44381</v>
      </c>
      <c r="B212">
        <v>1.7034000000000001E-2</v>
      </c>
      <c r="C212">
        <v>1.7247999999999999E-2</v>
      </c>
      <c r="D212">
        <v>1.6697E-2</v>
      </c>
      <c r="E212">
        <v>1.6920000000000001E-2</v>
      </c>
      <c r="F212">
        <v>79610715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-0.19056261343012262</v>
      </c>
      <c r="Q212">
        <f t="shared" si="960"/>
        <v>-15170825.907440664</v>
      </c>
      <c r="R212">
        <f t="shared" si="961"/>
        <v>-17748653346.918049</v>
      </c>
      <c r="S212">
        <f t="shared" si="962"/>
        <v>-177486.53346918049</v>
      </c>
      <c r="T212">
        <f t="shared" si="963"/>
        <v>-177.4865334691805</v>
      </c>
    </row>
    <row r="213" spans="1:20" x14ac:dyDescent="0.25">
      <c r="A213" s="5">
        <v>44380</v>
      </c>
      <c r="B213">
        <v>1.6753000000000001E-2</v>
      </c>
      <c r="C213">
        <v>1.72E-2</v>
      </c>
      <c r="D213">
        <v>1.6511999999999999E-2</v>
      </c>
      <c r="E213">
        <v>1.7034000000000001E-2</v>
      </c>
      <c r="F213">
        <v>80040448</v>
      </c>
      <c r="G213">
        <v>0</v>
      </c>
      <c r="L213" t="s">
        <v>7</v>
      </c>
      <c r="M213" t="s">
        <v>7</v>
      </c>
      <c r="N213" t="s">
        <v>7</v>
      </c>
      <c r="P213">
        <f t="shared" si="959"/>
        <v>0.51744186046511853</v>
      </c>
      <c r="Q213">
        <f t="shared" si="960"/>
        <v>41416278.325581573</v>
      </c>
      <c r="R213">
        <f t="shared" si="961"/>
        <v>-17733482521.010609</v>
      </c>
      <c r="S213">
        <f t="shared" si="962"/>
        <v>-177334.82521010609</v>
      </c>
      <c r="T213">
        <f t="shared" si="963"/>
        <v>-177.33482521010609</v>
      </c>
    </row>
    <row r="214" spans="1:20" x14ac:dyDescent="0.25">
      <c r="A214" s="5">
        <v>44379</v>
      </c>
      <c r="B214">
        <v>1.6667000000000001E-2</v>
      </c>
      <c r="C214">
        <v>1.6827000000000002E-2</v>
      </c>
      <c r="D214">
        <v>1.6143999999999999E-2</v>
      </c>
      <c r="E214">
        <v>1.6753000000000001E-2</v>
      </c>
      <c r="F214">
        <v>81907246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0.78330893118594191</v>
      </c>
      <c r="Q214">
        <f t="shared" si="960"/>
        <v>64158677.320644014</v>
      </c>
      <c r="R214">
        <f t="shared" si="961"/>
        <v>-17774898799.336189</v>
      </c>
      <c r="S214">
        <f t="shared" si="962"/>
        <v>-177748.98799336189</v>
      </c>
      <c r="T214">
        <f t="shared" si="963"/>
        <v>-177.74898799336191</v>
      </c>
    </row>
    <row r="215" spans="1:20" x14ac:dyDescent="0.25">
      <c r="A215" s="5">
        <v>44378</v>
      </c>
      <c r="B215">
        <v>1.6944000000000001E-2</v>
      </c>
      <c r="C215">
        <v>1.7194999999999998E-2</v>
      </c>
      <c r="D215">
        <v>1.6299999999999999E-2</v>
      </c>
      <c r="E215">
        <v>1.6657000000000002E-2</v>
      </c>
      <c r="F215">
        <v>106645954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-0.20223463687150131</v>
      </c>
      <c r="Q215">
        <f t="shared" si="960"/>
        <v>-21567505.781004831</v>
      </c>
      <c r="R215">
        <f t="shared" si="961"/>
        <v>-17839057476.656834</v>
      </c>
      <c r="S215">
        <f t="shared" si="962"/>
        <v>-178390.57476656834</v>
      </c>
      <c r="T215">
        <f t="shared" si="963"/>
        <v>-178.39057476656834</v>
      </c>
    </row>
    <row r="216" spans="1:20" x14ac:dyDescent="0.25">
      <c r="A216" s="5">
        <v>44377</v>
      </c>
      <c r="B216">
        <v>1.7384E-2</v>
      </c>
      <c r="C216">
        <v>1.7423999999999999E-2</v>
      </c>
      <c r="D216">
        <v>1.6249E-2</v>
      </c>
      <c r="E216">
        <v>1.6965000000000001E-2</v>
      </c>
      <c r="F216">
        <v>87396630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0.21872340425532252</v>
      </c>
      <c r="Q216">
        <f t="shared" si="960"/>
        <v>19115688.434042849</v>
      </c>
      <c r="R216">
        <f t="shared" si="961"/>
        <v>-17817489970.875828</v>
      </c>
      <c r="S216">
        <f t="shared" si="962"/>
        <v>-178174.89970875828</v>
      </c>
      <c r="T216">
        <f t="shared" si="963"/>
        <v>-178.17489970875829</v>
      </c>
    </row>
    <row r="217" spans="1:20" x14ac:dyDescent="0.25">
      <c r="A217" s="5">
        <v>44376</v>
      </c>
      <c r="B217">
        <v>1.6709999999999999E-2</v>
      </c>
      <c r="C217">
        <v>1.7721000000000001E-2</v>
      </c>
      <c r="D217">
        <v>1.6657000000000002E-2</v>
      </c>
      <c r="E217">
        <v>1.7399000000000001E-2</v>
      </c>
      <c r="F217">
        <v>106281498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0.39473684210526377</v>
      </c>
      <c r="Q217">
        <f t="shared" si="960"/>
        <v>41953222.894736908</v>
      </c>
      <c r="R217">
        <f t="shared" si="961"/>
        <v>-17836605659.309872</v>
      </c>
      <c r="S217">
        <f t="shared" si="962"/>
        <v>-178366.05659309871</v>
      </c>
      <c r="T217">
        <f t="shared" si="963"/>
        <v>-178.3660565930987</v>
      </c>
    </row>
    <row r="218" spans="1:20" x14ac:dyDescent="0.25">
      <c r="A218" s="5">
        <v>44375</v>
      </c>
      <c r="B218">
        <v>1.6712999999999999E-2</v>
      </c>
      <c r="C218">
        <v>1.7281000000000001E-2</v>
      </c>
      <c r="D218">
        <v>1.6563999999999999E-2</v>
      </c>
      <c r="E218">
        <v>1.6694000000000001E-2</v>
      </c>
      <c r="F218">
        <v>104540692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-0.63737796373779299</v>
      </c>
      <c r="Q218">
        <f t="shared" si="960"/>
        <v>-66631933.394699782</v>
      </c>
      <c r="R218">
        <f t="shared" si="961"/>
        <v>-17878558882.204609</v>
      </c>
      <c r="S218">
        <f t="shared" si="962"/>
        <v>-178785.58882204609</v>
      </c>
      <c r="T218">
        <f t="shared" si="963"/>
        <v>-178.78558882204609</v>
      </c>
    </row>
    <row r="219" spans="1:20" x14ac:dyDescent="0.25">
      <c r="A219" s="5">
        <v>44374</v>
      </c>
      <c r="B219">
        <v>1.6428000000000002E-2</v>
      </c>
      <c r="C219">
        <v>1.6726999999999999E-2</v>
      </c>
      <c r="D219">
        <v>1.5810000000000001E-2</v>
      </c>
      <c r="E219">
        <v>1.6681999999999999E-2</v>
      </c>
      <c r="F219">
        <v>70041823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0.90185387131952011</v>
      </c>
      <c r="Q219">
        <f t="shared" si="960"/>
        <v>63167489.226826601</v>
      </c>
      <c r="R219">
        <f t="shared" si="961"/>
        <v>-17811926948.80991</v>
      </c>
      <c r="S219">
        <f t="shared" si="962"/>
        <v>-178119.26948809909</v>
      </c>
      <c r="T219">
        <f t="shared" si="963"/>
        <v>-178.11926948809909</v>
      </c>
    </row>
    <row r="220" spans="1:20" x14ac:dyDescent="0.25">
      <c r="A220" s="5">
        <v>44373</v>
      </c>
      <c r="B220">
        <v>1.6229E-2</v>
      </c>
      <c r="C220">
        <v>1.6413000000000001E-2</v>
      </c>
      <c r="D220">
        <v>1.5603000000000001E-2</v>
      </c>
      <c r="E220">
        <v>1.6378E-2</v>
      </c>
      <c r="F220">
        <v>77649152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0.91358024691357953</v>
      </c>
      <c r="Q220">
        <f t="shared" si="960"/>
        <v>70938731.456790075</v>
      </c>
      <c r="R220">
        <f t="shared" si="961"/>
        <v>-17875094438.036736</v>
      </c>
      <c r="S220">
        <f t="shared" si="962"/>
        <v>-178750.94438036735</v>
      </c>
      <c r="T220">
        <f t="shared" si="963"/>
        <v>-178.75094438036734</v>
      </c>
    </row>
    <row r="221" spans="1:20" x14ac:dyDescent="0.25">
      <c r="A221" s="5">
        <v>44372</v>
      </c>
      <c r="B221">
        <v>1.7340999999999999E-2</v>
      </c>
      <c r="C221">
        <v>1.7645000000000001E-2</v>
      </c>
      <c r="D221">
        <v>1.5900999999999998E-2</v>
      </c>
      <c r="E221">
        <v>1.6209000000000001E-2</v>
      </c>
      <c r="F221">
        <v>83615650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-0.64678899082568542</v>
      </c>
      <c r="Q221">
        <f t="shared" si="960"/>
        <v>-54081681.880733721</v>
      </c>
      <c r="R221">
        <f t="shared" si="961"/>
        <v>-17946033169.493526</v>
      </c>
      <c r="S221">
        <f t="shared" si="962"/>
        <v>-179460.33169493527</v>
      </c>
      <c r="T221">
        <f t="shared" si="963"/>
        <v>-179.46033169493526</v>
      </c>
    </row>
    <row r="222" spans="1:20" x14ac:dyDescent="0.25">
      <c r="A222" s="5">
        <v>44371</v>
      </c>
      <c r="B222">
        <v>1.6992E-2</v>
      </c>
      <c r="C222">
        <v>1.7523E-2</v>
      </c>
      <c r="D222">
        <v>1.6577000000000001E-2</v>
      </c>
      <c r="E222">
        <v>1.7295999999999999E-2</v>
      </c>
      <c r="F222">
        <v>63905493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0.52008456659619073</v>
      </c>
      <c r="Q222">
        <f t="shared" si="960"/>
        <v>33236260.630020902</v>
      </c>
      <c r="R222">
        <f t="shared" si="961"/>
        <v>-17891951487.612793</v>
      </c>
      <c r="S222">
        <f t="shared" si="962"/>
        <v>-178919.51487612794</v>
      </c>
      <c r="T222">
        <f t="shared" si="963"/>
        <v>-178.91951487612795</v>
      </c>
    </row>
    <row r="223" spans="1:20" x14ac:dyDescent="0.25">
      <c r="A223" s="5">
        <v>44370</v>
      </c>
      <c r="B223">
        <v>1.6302000000000001E-2</v>
      </c>
      <c r="C223">
        <v>1.7791000000000001E-2</v>
      </c>
      <c r="D223">
        <v>1.6059E-2</v>
      </c>
      <c r="E223">
        <v>1.6983000000000002E-2</v>
      </c>
      <c r="F223">
        <v>110666596</v>
      </c>
      <c r="G223">
        <v>0</v>
      </c>
      <c r="L223" t="s">
        <v>8</v>
      </c>
      <c r="M223" t="s">
        <v>7</v>
      </c>
      <c r="N223" t="s">
        <v>7</v>
      </c>
      <c r="P223">
        <f t="shared" si="959"/>
        <v>6.6974595842956966E-2</v>
      </c>
      <c r="Q223">
        <f t="shared" si="960"/>
        <v>7411850.5404157983</v>
      </c>
      <c r="R223">
        <f t="shared" si="961"/>
        <v>-17925187748.242813</v>
      </c>
      <c r="S223">
        <f t="shared" si="962"/>
        <v>-179251.87748242813</v>
      </c>
      <c r="T223">
        <f t="shared" si="963"/>
        <v>-179.25187748242814</v>
      </c>
    </row>
    <row r="224" spans="1:20" x14ac:dyDescent="0.25">
      <c r="A224" s="5">
        <v>44369</v>
      </c>
      <c r="B224">
        <v>1.7017999999999998E-2</v>
      </c>
      <c r="C224">
        <v>1.7665E-2</v>
      </c>
      <c r="D224">
        <v>1.5266E-2</v>
      </c>
      <c r="E224">
        <v>1.6277E-2</v>
      </c>
      <c r="F224">
        <v>199378619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-0.15714881200500233</v>
      </c>
      <c r="Q224">
        <f t="shared" si="960"/>
        <v>-31332113.115047988</v>
      </c>
      <c r="R224">
        <f t="shared" si="961"/>
        <v>-17932599598.78323</v>
      </c>
      <c r="S224">
        <f t="shared" si="962"/>
        <v>-179325.99598783228</v>
      </c>
      <c r="T224">
        <f t="shared" si="963"/>
        <v>-179.32599598783227</v>
      </c>
    </row>
    <row r="225" spans="1:20" x14ac:dyDescent="0.25">
      <c r="A225" s="5">
        <v>44368</v>
      </c>
      <c r="B225">
        <v>1.9285E-2</v>
      </c>
      <c r="C225">
        <v>1.9366000000000001E-2</v>
      </c>
      <c r="D225">
        <v>1.6729999999999998E-2</v>
      </c>
      <c r="E225">
        <v>1.6975000000000001E-2</v>
      </c>
      <c r="F225">
        <v>134831778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-0.81411229135052965</v>
      </c>
      <c r="Q225">
        <f t="shared" si="960"/>
        <v>-109768207.73444593</v>
      </c>
      <c r="R225">
        <f t="shared" si="961"/>
        <v>-17901267485.668182</v>
      </c>
      <c r="S225">
        <f t="shared" si="962"/>
        <v>-179012.67485668181</v>
      </c>
      <c r="T225">
        <f t="shared" si="963"/>
        <v>-179.01267485668183</v>
      </c>
    </row>
    <row r="226" spans="1:20" x14ac:dyDescent="0.25">
      <c r="A226" s="5">
        <v>44367</v>
      </c>
      <c r="B226">
        <v>1.9095000000000001E-2</v>
      </c>
      <c r="C226">
        <v>1.9449000000000001E-2</v>
      </c>
      <c r="D226">
        <v>1.8273000000000001E-2</v>
      </c>
      <c r="E226">
        <v>1.9303000000000001E-2</v>
      </c>
      <c r="F226">
        <v>91582268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0.75170068027210835</v>
      </c>
      <c r="Q226">
        <f t="shared" si="960"/>
        <v>68842453.156462535</v>
      </c>
      <c r="R226">
        <f t="shared" si="961"/>
        <v>-17791499277.933735</v>
      </c>
      <c r="S226">
        <f t="shared" si="962"/>
        <v>-177914.99277933734</v>
      </c>
      <c r="T226">
        <f t="shared" si="963"/>
        <v>-177.91499277933733</v>
      </c>
    </row>
    <row r="227" spans="1:20" x14ac:dyDescent="0.25">
      <c r="A227" s="5">
        <v>44366</v>
      </c>
      <c r="B227">
        <v>1.9689999999999999E-2</v>
      </c>
      <c r="C227">
        <v>1.9788E-2</v>
      </c>
      <c r="D227">
        <v>1.9075000000000002E-2</v>
      </c>
      <c r="E227">
        <v>1.9102000000000001E-2</v>
      </c>
      <c r="F227">
        <v>86964830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-0.9242636746143077</v>
      </c>
      <c r="Q227">
        <f t="shared" si="960"/>
        <v>-80378433.338008583</v>
      </c>
      <c r="R227">
        <f t="shared" si="961"/>
        <v>-17860341731.090199</v>
      </c>
      <c r="S227">
        <f t="shared" si="962"/>
        <v>-178603.41731090198</v>
      </c>
      <c r="T227">
        <f t="shared" si="963"/>
        <v>-178.60341731090199</v>
      </c>
    </row>
    <row r="228" spans="1:20" x14ac:dyDescent="0.25">
      <c r="A228" s="5">
        <v>44365</v>
      </c>
      <c r="B228">
        <v>2.0560999999999999E-2</v>
      </c>
      <c r="C228">
        <v>2.0670999999999998E-2</v>
      </c>
      <c r="D228">
        <v>1.9227999999999999E-2</v>
      </c>
      <c r="E228">
        <v>1.9632E-2</v>
      </c>
      <c r="F228">
        <v>102855251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-0.44005544005543779</v>
      </c>
      <c r="Q228">
        <f t="shared" si="960"/>
        <v>-45262012.74081751</v>
      </c>
      <c r="R228">
        <f t="shared" si="961"/>
        <v>-17779963297.75219</v>
      </c>
      <c r="S228">
        <f t="shared" si="962"/>
        <v>-177799.63297752189</v>
      </c>
      <c r="T228">
        <f t="shared" si="963"/>
        <v>-177.7996329775219</v>
      </c>
    </row>
    <row r="229" spans="1:20" x14ac:dyDescent="0.25">
      <c r="A229" s="5">
        <v>44364</v>
      </c>
      <c r="B229">
        <v>2.0303000000000002E-2</v>
      </c>
      <c r="C229">
        <v>2.0891E-2</v>
      </c>
      <c r="D229">
        <v>2.01E-2</v>
      </c>
      <c r="E229">
        <v>2.0559000000000001E-2</v>
      </c>
      <c r="F229">
        <v>88559064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0.1605562579013933</v>
      </c>
      <c r="Q229">
        <f t="shared" si="960"/>
        <v>14218711.919089995</v>
      </c>
      <c r="R229">
        <f t="shared" si="961"/>
        <v>-17734701285.011372</v>
      </c>
      <c r="S229">
        <f t="shared" si="962"/>
        <v>-177347.01285011371</v>
      </c>
      <c r="T229">
        <f t="shared" si="963"/>
        <v>-177.34701285011371</v>
      </c>
    </row>
    <row r="230" spans="1:20" x14ac:dyDescent="0.25">
      <c r="A230" s="5">
        <v>44363</v>
      </c>
      <c r="B230">
        <v>2.1076999999999999E-2</v>
      </c>
      <c r="C230">
        <v>2.1319999999999999E-2</v>
      </c>
      <c r="D230">
        <v>2.0060000000000001E-2</v>
      </c>
      <c r="E230">
        <v>2.0264000000000001E-2</v>
      </c>
      <c r="F230">
        <v>101909471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-0.67619047619047656</v>
      </c>
      <c r="Q230">
        <f t="shared" si="960"/>
        <v>-68910213.723809555</v>
      </c>
      <c r="R230">
        <f t="shared" si="961"/>
        <v>-17748919996.930462</v>
      </c>
      <c r="S230">
        <f t="shared" si="962"/>
        <v>-177489.19996930461</v>
      </c>
      <c r="T230">
        <f t="shared" si="963"/>
        <v>-177.48919996930462</v>
      </c>
    </row>
    <row r="231" spans="1:20" x14ac:dyDescent="0.25">
      <c r="A231" s="5">
        <v>44362</v>
      </c>
      <c r="B231">
        <v>2.1760999999999999E-2</v>
      </c>
      <c r="C231">
        <v>2.2374999999999999E-2</v>
      </c>
      <c r="D231">
        <v>2.0931000000000002E-2</v>
      </c>
      <c r="E231">
        <v>2.1087999999999999E-2</v>
      </c>
      <c r="F231">
        <v>124061366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-0.78254847645429682</v>
      </c>
      <c r="Q231">
        <f t="shared" si="960"/>
        <v>-97084032.950138897</v>
      </c>
      <c r="R231">
        <f t="shared" si="961"/>
        <v>-17680009783.206654</v>
      </c>
      <c r="S231">
        <f t="shared" si="962"/>
        <v>-176800.09783206653</v>
      </c>
      <c r="T231">
        <f t="shared" si="963"/>
        <v>-176.80009783206654</v>
      </c>
    </row>
    <row r="232" spans="1:20" x14ac:dyDescent="0.25">
      <c r="A232" s="5">
        <v>44361</v>
      </c>
      <c r="B232">
        <v>2.1201000000000001E-2</v>
      </c>
      <c r="C232">
        <v>2.2412000000000001E-2</v>
      </c>
      <c r="D232">
        <v>2.0785999999999999E-2</v>
      </c>
      <c r="E232">
        <v>2.1763999999999999E-2</v>
      </c>
      <c r="F232">
        <v>163018656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0.20295202952029304</v>
      </c>
      <c r="Q232">
        <f t="shared" si="960"/>
        <v>33084967.084870495</v>
      </c>
      <c r="R232">
        <f t="shared" si="961"/>
        <v>-17582925750.256516</v>
      </c>
      <c r="S232">
        <f t="shared" si="962"/>
        <v>-175829.25750256516</v>
      </c>
      <c r="T232">
        <f t="shared" si="963"/>
        <v>-175.82925750256516</v>
      </c>
    </row>
    <row r="233" spans="1:20" x14ac:dyDescent="0.25">
      <c r="A233" s="5">
        <v>44360</v>
      </c>
      <c r="B233">
        <v>1.9966000000000001E-2</v>
      </c>
      <c r="C233">
        <v>2.163E-2</v>
      </c>
      <c r="D233">
        <v>1.9751000000000001E-2</v>
      </c>
      <c r="E233">
        <v>2.1170000000000001E-2</v>
      </c>
      <c r="F233">
        <v>127594727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0.51037786056413104</v>
      </c>
      <c r="Q233">
        <f t="shared" si="960"/>
        <v>65121523.785524368</v>
      </c>
      <c r="R233">
        <f t="shared" si="961"/>
        <v>-17616010717.341385</v>
      </c>
      <c r="S233">
        <f t="shared" si="962"/>
        <v>-176160.10717341385</v>
      </c>
      <c r="T233">
        <f t="shared" si="963"/>
        <v>-176.16010717341385</v>
      </c>
    </row>
    <row r="234" spans="1:20" x14ac:dyDescent="0.25">
      <c r="A234" s="5">
        <v>44359</v>
      </c>
      <c r="B234">
        <v>2.0958000000000001E-2</v>
      </c>
      <c r="C234">
        <v>2.0986999999999999E-2</v>
      </c>
      <c r="D234">
        <v>1.9719E-2</v>
      </c>
      <c r="E234">
        <v>1.9968E-2</v>
      </c>
      <c r="F234">
        <v>119092393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-0.60725552050473253</v>
      </c>
      <c r="Q234">
        <f t="shared" si="960"/>
        <v>-72319513.099369168</v>
      </c>
      <c r="R234">
        <f t="shared" si="961"/>
        <v>-17681132241.126911</v>
      </c>
      <c r="S234">
        <f t="shared" si="962"/>
        <v>-176811.32241126912</v>
      </c>
      <c r="T234">
        <f t="shared" si="963"/>
        <v>-176.81132241126912</v>
      </c>
    </row>
    <row r="235" spans="1:20" x14ac:dyDescent="0.25">
      <c r="A235" s="5">
        <v>44358</v>
      </c>
      <c r="B235">
        <v>2.2405000000000001E-2</v>
      </c>
      <c r="C235">
        <v>2.3215E-2</v>
      </c>
      <c r="D235">
        <v>2.0747999999999999E-2</v>
      </c>
      <c r="E235">
        <v>2.0948000000000001E-2</v>
      </c>
      <c r="F235">
        <v>187051043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-0.83785974868260871</v>
      </c>
      <c r="Q235">
        <f t="shared" si="960"/>
        <v>-156722539.87879983</v>
      </c>
      <c r="R235">
        <f t="shared" si="961"/>
        <v>-17608812728.027542</v>
      </c>
      <c r="S235">
        <f t="shared" si="962"/>
        <v>-176088.12728027542</v>
      </c>
      <c r="T235">
        <f t="shared" si="963"/>
        <v>-176.08812728027542</v>
      </c>
    </row>
    <row r="236" spans="1:20" x14ac:dyDescent="0.25">
      <c r="A236" s="5">
        <v>44357</v>
      </c>
      <c r="B236">
        <v>2.4344999999999999E-2</v>
      </c>
      <c r="C236">
        <v>2.5000000000000001E-2</v>
      </c>
      <c r="D236">
        <v>2.1847999999999999E-2</v>
      </c>
      <c r="E236">
        <v>2.2481999999999999E-2</v>
      </c>
      <c r="F236">
        <v>396147706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-0.5977157360406099</v>
      </c>
      <c r="Q236">
        <f t="shared" si="960"/>
        <v>-236783717.67258912</v>
      </c>
      <c r="R236">
        <f t="shared" si="961"/>
        <v>-17452090188.148743</v>
      </c>
      <c r="S236">
        <f t="shared" si="962"/>
        <v>-174520.90188148743</v>
      </c>
      <c r="T236">
        <f t="shared" si="963"/>
        <v>-174.52090188148742</v>
      </c>
    </row>
    <row r="237" spans="1:20" x14ac:dyDescent="0.25">
      <c r="A237" s="5">
        <v>44356</v>
      </c>
      <c r="B237">
        <v>2.0229E-2</v>
      </c>
      <c r="C237">
        <v>2.6950999999999999E-2</v>
      </c>
      <c r="D237">
        <v>1.9643999999999998E-2</v>
      </c>
      <c r="E237">
        <v>2.4275000000000001E-2</v>
      </c>
      <c r="F237">
        <v>1028395576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0.26755166278910703</v>
      </c>
      <c r="Q237">
        <f t="shared" si="960"/>
        <v>275148946.36376148</v>
      </c>
      <c r="R237">
        <f t="shared" si="961"/>
        <v>-17215306470.476154</v>
      </c>
      <c r="S237">
        <f t="shared" si="962"/>
        <v>-172153.06470476155</v>
      </c>
      <c r="T237">
        <f t="shared" si="963"/>
        <v>-172.15306470476156</v>
      </c>
    </row>
    <row r="238" spans="1:20" x14ac:dyDescent="0.25">
      <c r="A238" s="5">
        <v>44355</v>
      </c>
      <c r="B238">
        <v>2.0660999999999999E-2</v>
      </c>
      <c r="C238">
        <v>2.0941000000000001E-2</v>
      </c>
      <c r="D238">
        <v>1.8889E-2</v>
      </c>
      <c r="E238">
        <v>2.027E-2</v>
      </c>
      <c r="F238">
        <v>142312485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0.3460038986354767</v>
      </c>
      <c r="Q238">
        <f t="shared" si="960"/>
        <v>49240674.634502798</v>
      </c>
      <c r="R238">
        <f t="shared" si="961"/>
        <v>-17490455416.839916</v>
      </c>
      <c r="S238">
        <f t="shared" si="962"/>
        <v>-174904.55416839916</v>
      </c>
      <c r="T238">
        <f t="shared" si="963"/>
        <v>-174.90455416839916</v>
      </c>
    </row>
    <row r="239" spans="1:20" x14ac:dyDescent="0.25">
      <c r="A239" s="5">
        <v>44354</v>
      </c>
      <c r="B239">
        <v>2.2275E-2</v>
      </c>
      <c r="C239">
        <v>2.3945000000000001E-2</v>
      </c>
      <c r="D239">
        <v>2.06E-2</v>
      </c>
      <c r="E239">
        <v>2.0684000000000001E-2</v>
      </c>
      <c r="F239">
        <v>205939614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-0.94977578475336277</v>
      </c>
      <c r="Q239">
        <f t="shared" si="960"/>
        <v>-195596458.4986546</v>
      </c>
      <c r="R239">
        <f t="shared" si="961"/>
        <v>-17539696091.474419</v>
      </c>
      <c r="S239">
        <f t="shared" si="962"/>
        <v>-175396.96091474418</v>
      </c>
      <c r="T239">
        <f t="shared" si="963"/>
        <v>-175.39696091474417</v>
      </c>
    </row>
    <row r="240" spans="1:20" x14ac:dyDescent="0.25">
      <c r="A240" s="5">
        <v>44353</v>
      </c>
      <c r="B240">
        <v>2.1416999999999999E-2</v>
      </c>
      <c r="C240">
        <v>2.3372E-2</v>
      </c>
      <c r="D240">
        <v>2.1295999999999999E-2</v>
      </c>
      <c r="E240">
        <v>2.2235999999999999E-2</v>
      </c>
      <c r="F240">
        <v>153599083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-9.4412331406551822E-2</v>
      </c>
      <c r="Q240">
        <f t="shared" si="960"/>
        <v>-14501647.527938461</v>
      </c>
      <c r="R240">
        <f t="shared" si="961"/>
        <v>-17344099632.975765</v>
      </c>
      <c r="S240">
        <f t="shared" si="962"/>
        <v>-173440.99632975765</v>
      </c>
      <c r="T240">
        <f t="shared" si="963"/>
        <v>-173.44099632975764</v>
      </c>
    </row>
    <row r="241" spans="1:20" x14ac:dyDescent="0.25">
      <c r="A241" s="5">
        <v>44352</v>
      </c>
      <c r="B241">
        <v>2.2207999999999999E-2</v>
      </c>
      <c r="C241">
        <v>2.2772000000000001E-2</v>
      </c>
      <c r="D241">
        <v>2.0746000000000001E-2</v>
      </c>
      <c r="E241">
        <v>2.1359E-2</v>
      </c>
      <c r="F241">
        <v>83669083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-0.39486673247778975</v>
      </c>
      <c r="Q241">
        <f t="shared" si="960"/>
        <v>-33038137.413622987</v>
      </c>
      <c r="R241">
        <f t="shared" si="961"/>
        <v>-17329597985.447826</v>
      </c>
      <c r="S241">
        <f t="shared" si="962"/>
        <v>-173295.97985447827</v>
      </c>
      <c r="T241">
        <f t="shared" si="963"/>
        <v>-173.29597985447828</v>
      </c>
    </row>
    <row r="242" spans="1:20" x14ac:dyDescent="0.25">
      <c r="A242" s="5">
        <v>44351</v>
      </c>
      <c r="B242">
        <v>2.3552E-2</v>
      </c>
      <c r="C242">
        <v>2.3584000000000001E-2</v>
      </c>
      <c r="D242">
        <v>2.1328E-2</v>
      </c>
      <c r="E242">
        <v>2.2173999999999999E-2</v>
      </c>
      <c r="F242">
        <v>117798145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-0.25000000000000078</v>
      </c>
      <c r="Q242">
        <f t="shared" si="960"/>
        <v>-29449536.250000093</v>
      </c>
      <c r="R242">
        <f t="shared" si="961"/>
        <v>-17296559848.034203</v>
      </c>
      <c r="S242">
        <f t="shared" si="962"/>
        <v>-172965.59848034201</v>
      </c>
      <c r="T242">
        <f t="shared" si="963"/>
        <v>-172.96559848034201</v>
      </c>
    </row>
    <row r="243" spans="1:20" x14ac:dyDescent="0.25">
      <c r="A243" s="5">
        <v>44350</v>
      </c>
      <c r="B243">
        <v>2.3088000000000001E-2</v>
      </c>
      <c r="C243">
        <v>2.41E-2</v>
      </c>
      <c r="D243">
        <v>2.2934E-2</v>
      </c>
      <c r="E243">
        <v>2.3519999999999999E-2</v>
      </c>
      <c r="F243">
        <v>135364077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5.145797598626981E-3</v>
      </c>
      <c r="Q243">
        <f t="shared" si="960"/>
        <v>696556.14236695773</v>
      </c>
      <c r="R243">
        <f t="shared" si="961"/>
        <v>-17267110311.784203</v>
      </c>
      <c r="S243">
        <f t="shared" si="962"/>
        <v>-172671.10311784202</v>
      </c>
      <c r="T243">
        <f t="shared" si="963"/>
        <v>-172.67110311784202</v>
      </c>
    </row>
    <row r="244" spans="1:20" x14ac:dyDescent="0.25">
      <c r="A244" s="5">
        <v>44349</v>
      </c>
      <c r="B244">
        <v>2.1627E-2</v>
      </c>
      <c r="C244">
        <v>2.5928E-2</v>
      </c>
      <c r="D244">
        <v>2.1326000000000001E-2</v>
      </c>
      <c r="E244">
        <v>2.3088999999999998E-2</v>
      </c>
      <c r="F244">
        <v>512364059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-0.2338113863537602</v>
      </c>
      <c r="Q244">
        <f t="shared" si="960"/>
        <v>-119796550.95262979</v>
      </c>
      <c r="R244">
        <f t="shared" si="961"/>
        <v>-17267806867.926571</v>
      </c>
      <c r="S244">
        <f t="shared" si="962"/>
        <v>-172678.06867926571</v>
      </c>
      <c r="T244">
        <f t="shared" si="963"/>
        <v>-172.67806867926572</v>
      </c>
    </row>
    <row r="245" spans="1:20" x14ac:dyDescent="0.25">
      <c r="A245" s="5">
        <v>44348</v>
      </c>
      <c r="B245">
        <v>2.2749999999999999E-2</v>
      </c>
      <c r="C245">
        <v>2.3504000000000001E-2</v>
      </c>
      <c r="D245">
        <v>2.1333000000000001E-2</v>
      </c>
      <c r="E245">
        <v>2.1586999999999999E-2</v>
      </c>
      <c r="F245">
        <v>216255403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-0.76600644864118161</v>
      </c>
      <c r="Q245">
        <f t="shared" si="960"/>
        <v>-165653033.25149754</v>
      </c>
      <c r="R245">
        <f t="shared" si="961"/>
        <v>-17148010316.97394</v>
      </c>
      <c r="S245">
        <f t="shared" si="962"/>
        <v>-171480.10316973939</v>
      </c>
      <c r="T245">
        <f t="shared" si="963"/>
        <v>-171.48010316973938</v>
      </c>
    </row>
    <row r="246" spans="1:20" x14ac:dyDescent="0.25">
      <c r="A246" s="5">
        <v>44347</v>
      </c>
      <c r="B246">
        <v>2.2370000000000001E-2</v>
      </c>
      <c r="C246">
        <v>2.2889E-2</v>
      </c>
      <c r="D246">
        <v>2.1323999999999999E-2</v>
      </c>
      <c r="E246">
        <v>2.2727000000000001E-2</v>
      </c>
      <c r="F246">
        <v>173239374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0.79297124600639113</v>
      </c>
      <c r="Q246">
        <f t="shared" si="960"/>
        <v>137373842.25814721</v>
      </c>
      <c r="R246">
        <f t="shared" si="961"/>
        <v>-16982357283.722443</v>
      </c>
      <c r="S246">
        <f t="shared" si="962"/>
        <v>-169823.57283722443</v>
      </c>
      <c r="T246">
        <f t="shared" si="963"/>
        <v>-169.82357283722445</v>
      </c>
    </row>
    <row r="247" spans="1:20" x14ac:dyDescent="0.25">
      <c r="A247" s="5">
        <v>44346</v>
      </c>
      <c r="B247">
        <v>2.0893999999999999E-2</v>
      </c>
      <c r="C247">
        <v>2.4275000000000001E-2</v>
      </c>
      <c r="D247">
        <v>2.0230999999999999E-2</v>
      </c>
      <c r="E247">
        <v>2.2325999999999999E-2</v>
      </c>
      <c r="F247">
        <v>313126791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3.6102868447081292E-2</v>
      </c>
      <c r="Q247">
        <f t="shared" si="960"/>
        <v>11304775.342729717</v>
      </c>
      <c r="R247">
        <f t="shared" si="961"/>
        <v>-17119731125.980589</v>
      </c>
      <c r="S247">
        <f t="shared" si="962"/>
        <v>-171197.31125980589</v>
      </c>
      <c r="T247">
        <f t="shared" si="963"/>
        <v>-171.1973112598059</v>
      </c>
    </row>
    <row r="248" spans="1:20" x14ac:dyDescent="0.25">
      <c r="A248" s="5">
        <v>44345</v>
      </c>
      <c r="B248">
        <v>2.1114000000000001E-2</v>
      </c>
      <c r="C248">
        <v>2.1905000000000001E-2</v>
      </c>
      <c r="D248">
        <v>2.0253E-2</v>
      </c>
      <c r="E248">
        <v>2.0893999999999999E-2</v>
      </c>
      <c r="F248">
        <v>96158848</v>
      </c>
      <c r="G248">
        <v>0</v>
      </c>
      <c r="L248" t="s">
        <v>8</v>
      </c>
      <c r="M248" t="s">
        <v>8</v>
      </c>
      <c r="N248" t="s">
        <v>7</v>
      </c>
      <c r="P248">
        <f t="shared" si="959"/>
        <v>-0.22397094430992864</v>
      </c>
      <c r="Q248">
        <f t="shared" si="960"/>
        <v>-21536787.990314893</v>
      </c>
      <c r="R248">
        <f t="shared" si="961"/>
        <v>-17131035901.323318</v>
      </c>
      <c r="S248">
        <f t="shared" si="962"/>
        <v>-171310.35901323319</v>
      </c>
      <c r="T248">
        <f t="shared" si="963"/>
        <v>-171.31035901323318</v>
      </c>
    </row>
    <row r="249" spans="1:20" x14ac:dyDescent="0.25">
      <c r="A249" s="5">
        <v>44344</v>
      </c>
      <c r="B249">
        <v>2.2509999999999999E-2</v>
      </c>
      <c r="C249">
        <v>2.2775E-2</v>
      </c>
      <c r="D249">
        <v>2.0566999999999998E-2</v>
      </c>
      <c r="E249">
        <v>2.1100000000000001E-2</v>
      </c>
      <c r="F249">
        <v>117592584</v>
      </c>
      <c r="G249">
        <v>0</v>
      </c>
      <c r="L249" t="s">
        <v>7</v>
      </c>
      <c r="M249" t="s">
        <v>8</v>
      </c>
      <c r="N249" t="s">
        <v>7</v>
      </c>
      <c r="P249">
        <f t="shared" si="959"/>
        <v>-0.51721014492753459</v>
      </c>
      <c r="Q249">
        <f t="shared" si="960"/>
        <v>-60820077.413043283</v>
      </c>
      <c r="R249">
        <f t="shared" si="961"/>
        <v>-17109499113.333004</v>
      </c>
      <c r="S249">
        <f t="shared" si="962"/>
        <v>-171094.99113333004</v>
      </c>
      <c r="T249">
        <f t="shared" si="963"/>
        <v>-171.09499113333004</v>
      </c>
    </row>
    <row r="250" spans="1:20" x14ac:dyDescent="0.25">
      <c r="A250" s="5">
        <v>44343</v>
      </c>
      <c r="B250">
        <v>2.3682000000000002E-2</v>
      </c>
      <c r="C250">
        <v>2.3722E-2</v>
      </c>
      <c r="D250">
        <v>2.2225999999999999E-2</v>
      </c>
      <c r="E250">
        <v>2.2574E-2</v>
      </c>
      <c r="F250">
        <v>91585708</v>
      </c>
      <c r="G250">
        <v>0</v>
      </c>
      <c r="L250" t="s">
        <v>7</v>
      </c>
      <c r="M250" t="s">
        <v>8</v>
      </c>
      <c r="N250" t="s">
        <v>7</v>
      </c>
      <c r="P250">
        <f t="shared" si="959"/>
        <v>-0.53475935828876886</v>
      </c>
      <c r="Q250">
        <f t="shared" si="960"/>
        <v>-48976314.438502565</v>
      </c>
      <c r="R250">
        <f t="shared" si="961"/>
        <v>-17048679035.91996</v>
      </c>
      <c r="S250">
        <f t="shared" si="962"/>
        <v>-170486.7903591996</v>
      </c>
      <c r="T250">
        <f t="shared" si="963"/>
        <v>-170.4867903591996</v>
      </c>
    </row>
    <row r="251" spans="1:20" x14ac:dyDescent="0.25">
      <c r="A251" s="5">
        <v>44342</v>
      </c>
      <c r="B251">
        <v>2.2508E-2</v>
      </c>
      <c r="C251">
        <v>2.3942000000000001E-2</v>
      </c>
      <c r="D251">
        <v>2.2172000000000001E-2</v>
      </c>
      <c r="E251">
        <v>2.3702999999999998E-2</v>
      </c>
      <c r="F251">
        <v>152370068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0.72994350282485532</v>
      </c>
      <c r="Q251">
        <f t="shared" si="960"/>
        <v>111221541.1615814</v>
      </c>
      <c r="R251">
        <f t="shared" si="961"/>
        <v>-16999702721.481457</v>
      </c>
      <c r="S251">
        <f t="shared" si="962"/>
        <v>-169997.02721481456</v>
      </c>
      <c r="T251">
        <f t="shared" si="963"/>
        <v>-169.99702721481455</v>
      </c>
    </row>
    <row r="252" spans="1:20" x14ac:dyDescent="0.25">
      <c r="A252" s="5">
        <v>44341</v>
      </c>
      <c r="B252">
        <v>2.2241E-2</v>
      </c>
      <c r="C252">
        <v>2.2884000000000002E-2</v>
      </c>
      <c r="D252">
        <v>2.1011999999999999E-2</v>
      </c>
      <c r="E252">
        <v>2.2449E-2</v>
      </c>
      <c r="F252">
        <v>200624512</v>
      </c>
      <c r="G252">
        <v>0</v>
      </c>
      <c r="L252" t="s">
        <v>8</v>
      </c>
      <c r="M252" t="s">
        <v>8</v>
      </c>
      <c r="N252" t="s">
        <v>7</v>
      </c>
      <c r="P252">
        <f t="shared" si="959"/>
        <v>0.53525641025640935</v>
      </c>
      <c r="Q252">
        <f t="shared" si="960"/>
        <v>107385556.10256392</v>
      </c>
      <c r="R252">
        <f t="shared" si="961"/>
        <v>-17110924262.643038</v>
      </c>
      <c r="S252">
        <f t="shared" si="962"/>
        <v>-171109.24262643038</v>
      </c>
      <c r="T252">
        <f t="shared" si="963"/>
        <v>-171.10924262643039</v>
      </c>
    </row>
    <row r="253" spans="1:20" x14ac:dyDescent="0.25">
      <c r="A253" s="5">
        <v>44340</v>
      </c>
      <c r="B253">
        <v>1.9591000000000001E-2</v>
      </c>
      <c r="C253">
        <v>2.2512000000000001E-2</v>
      </c>
      <c r="D253">
        <v>1.9227999999999999E-2</v>
      </c>
      <c r="E253">
        <v>2.2239999999999999E-2</v>
      </c>
      <c r="F253">
        <v>160038398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0.83434835566382382</v>
      </c>
      <c r="Q253">
        <f t="shared" si="960"/>
        <v>133527774.21437259</v>
      </c>
      <c r="R253">
        <f t="shared" si="961"/>
        <v>-17218309818.745602</v>
      </c>
      <c r="S253">
        <f t="shared" si="962"/>
        <v>-172183.09818745602</v>
      </c>
      <c r="T253">
        <f t="shared" si="963"/>
        <v>-172.18309818745601</v>
      </c>
    </row>
    <row r="254" spans="1:20" x14ac:dyDescent="0.25">
      <c r="A254" s="5">
        <v>44339</v>
      </c>
      <c r="B254">
        <v>2.2006000000000001E-2</v>
      </c>
      <c r="C254">
        <v>2.2672999999999999E-2</v>
      </c>
      <c r="D254">
        <v>1.8075000000000001E-2</v>
      </c>
      <c r="E254">
        <v>1.9569E-2</v>
      </c>
      <c r="F254">
        <v>252425122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-0.35015224010439344</v>
      </c>
      <c r="Q254">
        <f t="shared" si="960"/>
        <v>-88387221.92692481</v>
      </c>
      <c r="R254">
        <f t="shared" si="961"/>
        <v>-17351837592.959972</v>
      </c>
      <c r="S254">
        <f t="shared" si="962"/>
        <v>-173518.37592959972</v>
      </c>
      <c r="T254">
        <f t="shared" si="963"/>
        <v>-173.51837592959973</v>
      </c>
    </row>
    <row r="255" spans="1:20" x14ac:dyDescent="0.25">
      <c r="A255" s="5">
        <v>44338</v>
      </c>
      <c r="B255">
        <v>2.2773999999999999E-2</v>
      </c>
      <c r="C255">
        <v>2.3215E-2</v>
      </c>
      <c r="D255">
        <v>2.1704000000000001E-2</v>
      </c>
      <c r="E255">
        <v>2.1988000000000001E-2</v>
      </c>
      <c r="F255">
        <v>178071340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-0.62409000661813396</v>
      </c>
      <c r="Q255">
        <f t="shared" si="960"/>
        <v>-111132543.75909999</v>
      </c>
      <c r="R255">
        <f t="shared" si="961"/>
        <v>-17263450371.033047</v>
      </c>
      <c r="S255">
        <f t="shared" si="962"/>
        <v>-172634.50371033046</v>
      </c>
      <c r="T255">
        <f t="shared" si="963"/>
        <v>-172.63450371033048</v>
      </c>
    </row>
    <row r="256" spans="1:20" x14ac:dyDescent="0.25">
      <c r="A256" s="5">
        <v>44337</v>
      </c>
      <c r="B256">
        <v>2.564E-2</v>
      </c>
      <c r="C256">
        <v>2.6374000000000002E-2</v>
      </c>
      <c r="D256">
        <v>2.1416000000000001E-2</v>
      </c>
      <c r="E256">
        <v>2.2789E-2</v>
      </c>
      <c r="F256">
        <v>209677586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-0.44614764017749131</v>
      </c>
      <c r="Q256">
        <f t="shared" si="960"/>
        <v>-93547160.192012995</v>
      </c>
      <c r="R256">
        <f t="shared" si="961"/>
        <v>-17152317827.273947</v>
      </c>
      <c r="S256">
        <f t="shared" si="962"/>
        <v>-171523.17827273946</v>
      </c>
      <c r="T256">
        <f t="shared" si="963"/>
        <v>-171.52317827273947</v>
      </c>
    </row>
    <row r="257" spans="1:20" x14ac:dyDescent="0.25">
      <c r="A257" s="5">
        <v>44336</v>
      </c>
      <c r="B257">
        <v>2.3817999999999999E-2</v>
      </c>
      <c r="C257">
        <v>2.6901000000000001E-2</v>
      </c>
      <c r="D257">
        <v>2.2706E-2</v>
      </c>
      <c r="E257">
        <v>2.5645000000000001E-2</v>
      </c>
      <c r="F257">
        <v>302210138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0.40119189511323006</v>
      </c>
      <c r="Q257">
        <f t="shared" si="960"/>
        <v>121244257.98665078</v>
      </c>
      <c r="R257">
        <f t="shared" si="961"/>
        <v>-17058770667.081934</v>
      </c>
      <c r="S257">
        <f t="shared" si="962"/>
        <v>-170587.70667081935</v>
      </c>
      <c r="T257">
        <f t="shared" si="963"/>
        <v>-170.58770667081936</v>
      </c>
    </row>
    <row r="258" spans="1:20" x14ac:dyDescent="0.25">
      <c r="A258" s="5">
        <v>44335</v>
      </c>
      <c r="B258">
        <v>3.0672000000000001E-2</v>
      </c>
      <c r="C258">
        <v>3.1061999999999999E-2</v>
      </c>
      <c r="D258">
        <v>2.2093000000000002E-2</v>
      </c>
      <c r="E258">
        <v>2.3761000000000001E-2</v>
      </c>
      <c r="F258">
        <v>375675595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-0.62805217973018179</v>
      </c>
      <c r="Q258">
        <f t="shared" si="960"/>
        <v>-235943876.31118298</v>
      </c>
      <c r="R258">
        <f t="shared" si="961"/>
        <v>-17180014925.068584</v>
      </c>
      <c r="S258">
        <f t="shared" si="962"/>
        <v>-171800.14925068585</v>
      </c>
      <c r="T258">
        <f t="shared" si="963"/>
        <v>-171.80014925068585</v>
      </c>
    </row>
    <row r="259" spans="1:20" x14ac:dyDescent="0.25">
      <c r="A259" s="5">
        <v>44334</v>
      </c>
      <c r="B259">
        <v>3.0401999999999998E-2</v>
      </c>
      <c r="C259">
        <v>3.1656999999999998E-2</v>
      </c>
      <c r="D259">
        <v>2.9978000000000001E-2</v>
      </c>
      <c r="E259">
        <v>3.0675999999999998E-2</v>
      </c>
      <c r="F259">
        <v>163022196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-0.1685527099463982</v>
      </c>
      <c r="Q259">
        <f t="shared" si="960"/>
        <v>-27477832.917212877</v>
      </c>
      <c r="R259">
        <f t="shared" si="961"/>
        <v>-16944071048.757401</v>
      </c>
      <c r="S259">
        <f t="shared" si="962"/>
        <v>-169440.71048757402</v>
      </c>
      <c r="T259">
        <f t="shared" si="963"/>
        <v>-169.44071048757402</v>
      </c>
    </row>
    <row r="260" spans="1:20" x14ac:dyDescent="0.25">
      <c r="A260" s="5">
        <v>44333</v>
      </c>
      <c r="B260">
        <v>3.1699999999999999E-2</v>
      </c>
      <c r="C260">
        <v>3.1807000000000002E-2</v>
      </c>
      <c r="D260">
        <v>2.9447999999999998E-2</v>
      </c>
      <c r="E260">
        <v>3.0436000000000001E-2</v>
      </c>
      <c r="F260">
        <v>209190131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-0.16235693090292386</v>
      </c>
      <c r="Q260">
        <f t="shared" si="960"/>
        <v>-33963467.64434059</v>
      </c>
      <c r="R260">
        <f t="shared" si="961"/>
        <v>-16916593215.840187</v>
      </c>
      <c r="S260">
        <f t="shared" si="962"/>
        <v>-169165.93215840188</v>
      </c>
      <c r="T260">
        <f t="shared" si="963"/>
        <v>-169.16593215840189</v>
      </c>
    </row>
    <row r="261" spans="1:20" x14ac:dyDescent="0.25">
      <c r="A261" s="5">
        <v>44332</v>
      </c>
      <c r="B261">
        <v>3.2348000000000002E-2</v>
      </c>
      <c r="C261">
        <v>3.4439999999999998E-2</v>
      </c>
      <c r="D261">
        <v>3.0539E-2</v>
      </c>
      <c r="E261">
        <v>3.1652E-2</v>
      </c>
      <c r="F261">
        <v>191548613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-0.42937708279928227</v>
      </c>
      <c r="Q261">
        <f t="shared" si="960"/>
        <v>-82246584.664188683</v>
      </c>
      <c r="R261">
        <f t="shared" si="961"/>
        <v>-16882629748.195847</v>
      </c>
      <c r="S261">
        <f t="shared" si="962"/>
        <v>-168826.29748195846</v>
      </c>
      <c r="T261">
        <f t="shared" si="963"/>
        <v>-168.82629748195848</v>
      </c>
    </row>
    <row r="262" spans="1:20" x14ac:dyDescent="0.25">
      <c r="A262" s="5">
        <v>44331</v>
      </c>
      <c r="B262">
        <v>3.415E-2</v>
      </c>
      <c r="C262">
        <v>3.465E-2</v>
      </c>
      <c r="D262">
        <v>3.2266000000000003E-2</v>
      </c>
      <c r="E262">
        <v>3.236E-2</v>
      </c>
      <c r="F262">
        <v>158008002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-0.92114093959731802</v>
      </c>
      <c r="Q262">
        <f t="shared" ref="Q262:Q325" si="965">F262*P262</f>
        <v>-145547639.42617491</v>
      </c>
      <c r="R262">
        <f t="shared" ref="R262:R325" si="966">R263+Q262</f>
        <v>-16800383163.531658</v>
      </c>
      <c r="S262">
        <f t="shared" ref="S262:S325" si="967">R262/100000</f>
        <v>-168003.83163531657</v>
      </c>
      <c r="T262">
        <f t="shared" ref="T262:T325" si="968">S262/1000</f>
        <v>-168.00383163531657</v>
      </c>
    </row>
    <row r="263" spans="1:20" x14ac:dyDescent="0.25">
      <c r="A263" s="5">
        <v>44330</v>
      </c>
      <c r="B263">
        <v>3.3515999999999997E-2</v>
      </c>
      <c r="C263">
        <v>3.585E-2</v>
      </c>
      <c r="D263">
        <v>3.3422E-2</v>
      </c>
      <c r="E263">
        <v>3.4200000000000001E-2</v>
      </c>
      <c r="F263">
        <v>166014096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-0.35914332784184427</v>
      </c>
      <c r="Q263">
        <f t="shared" si="965"/>
        <v>-59622854.906095408</v>
      </c>
      <c r="R263">
        <f t="shared" si="966"/>
        <v>-16654835524.105484</v>
      </c>
      <c r="S263">
        <f t="shared" si="967"/>
        <v>-166548.35524105484</v>
      </c>
      <c r="T263">
        <f t="shared" si="968"/>
        <v>-166.54835524105485</v>
      </c>
    </row>
    <row r="264" spans="1:20" x14ac:dyDescent="0.25">
      <c r="A264" s="5">
        <v>44329</v>
      </c>
      <c r="B264">
        <v>3.4735000000000002E-2</v>
      </c>
      <c r="C264">
        <v>3.5633999999999999E-2</v>
      </c>
      <c r="D264">
        <v>3.2606000000000003E-2</v>
      </c>
      <c r="E264">
        <v>3.3537999999999998E-2</v>
      </c>
      <c r="F264">
        <v>264880595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-0.384412153236462</v>
      </c>
      <c r="Q264">
        <f t="shared" si="965"/>
        <v>-101823319.87450522</v>
      </c>
      <c r="R264">
        <f t="shared" si="966"/>
        <v>-16595212669.199389</v>
      </c>
      <c r="S264">
        <f t="shared" si="967"/>
        <v>-165952.12669199388</v>
      </c>
      <c r="T264">
        <f t="shared" si="968"/>
        <v>-165.95212669199387</v>
      </c>
    </row>
    <row r="265" spans="1:20" x14ac:dyDescent="0.25">
      <c r="A265" s="5">
        <v>44328</v>
      </c>
      <c r="B265">
        <v>3.9774999999999998E-2</v>
      </c>
      <c r="C265">
        <v>4.0252000000000003E-2</v>
      </c>
      <c r="D265">
        <v>3.4508999999999998E-2</v>
      </c>
      <c r="E265">
        <v>3.4814999999999999E-2</v>
      </c>
      <c r="F265">
        <v>259385367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-0.89343548667943573</v>
      </c>
      <c r="Q265">
        <f t="shared" si="965"/>
        <v>-231744091.60316905</v>
      </c>
      <c r="R265">
        <f t="shared" si="966"/>
        <v>-16493389349.324883</v>
      </c>
      <c r="S265">
        <f t="shared" si="967"/>
        <v>-164933.89349324882</v>
      </c>
      <c r="T265">
        <f t="shared" si="968"/>
        <v>-164.93389349324883</v>
      </c>
    </row>
    <row r="266" spans="1:20" x14ac:dyDescent="0.25">
      <c r="A266" s="5">
        <v>44327</v>
      </c>
      <c r="B266">
        <v>3.8885999999999997E-2</v>
      </c>
      <c r="C266">
        <v>4.0212999999999999E-2</v>
      </c>
      <c r="D266">
        <v>3.7919000000000001E-2</v>
      </c>
      <c r="E266">
        <v>3.9794000000000003E-2</v>
      </c>
      <c r="F266">
        <v>292511446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0.6346992153443799</v>
      </c>
      <c r="Q266">
        <f t="shared" si="965"/>
        <v>185656785.25544995</v>
      </c>
      <c r="R266">
        <f t="shared" si="966"/>
        <v>-16261645257.721714</v>
      </c>
      <c r="S266">
        <f t="shared" si="967"/>
        <v>-162616.45257721713</v>
      </c>
      <c r="T266">
        <f t="shared" si="968"/>
        <v>-162.61645257721713</v>
      </c>
    </row>
    <row r="267" spans="1:20" x14ac:dyDescent="0.25">
      <c r="A267" s="5">
        <v>44326</v>
      </c>
      <c r="B267">
        <v>4.2735000000000002E-2</v>
      </c>
      <c r="C267">
        <v>4.3999999999999997E-2</v>
      </c>
      <c r="D267">
        <v>3.8025000000000003E-2</v>
      </c>
      <c r="E267">
        <v>3.8886999999999998E-2</v>
      </c>
      <c r="F267">
        <v>386373431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-0.71146443514644497</v>
      </c>
      <c r="Q267">
        <f t="shared" si="965"/>
        <v>-274890954.84200895</v>
      </c>
      <c r="R267">
        <f t="shared" si="966"/>
        <v>-16447302042.977163</v>
      </c>
      <c r="S267">
        <f t="shared" si="967"/>
        <v>-164473.02042977163</v>
      </c>
      <c r="T267">
        <f t="shared" si="968"/>
        <v>-164.47302042977162</v>
      </c>
    </row>
    <row r="268" spans="1:20" x14ac:dyDescent="0.25">
      <c r="A268" s="5">
        <v>44325</v>
      </c>
      <c r="B268">
        <v>4.4248999999999997E-2</v>
      </c>
      <c r="C268">
        <v>4.6442999999999998E-2</v>
      </c>
      <c r="D268">
        <v>4.2063000000000003E-2</v>
      </c>
      <c r="E268">
        <v>4.2665000000000002E-2</v>
      </c>
      <c r="F268">
        <v>536853900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-0.72511415525114198</v>
      </c>
      <c r="Q268">
        <f t="shared" si="965"/>
        <v>-389280362.19178104</v>
      </c>
      <c r="R268">
        <f t="shared" si="966"/>
        <v>-16172411088.135155</v>
      </c>
      <c r="S268">
        <f t="shared" si="967"/>
        <v>-161724.11088135155</v>
      </c>
      <c r="T268">
        <f t="shared" si="968"/>
        <v>-161.72411088135155</v>
      </c>
    </row>
    <row r="269" spans="1:20" x14ac:dyDescent="0.25">
      <c r="A269" s="5">
        <v>44324</v>
      </c>
      <c r="B269">
        <v>4.7003000000000003E-2</v>
      </c>
      <c r="C269">
        <v>4.8528000000000002E-2</v>
      </c>
      <c r="D269">
        <v>4.3542999999999998E-2</v>
      </c>
      <c r="E269">
        <v>4.4207999999999997E-2</v>
      </c>
      <c r="F269">
        <v>601819872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-0.73319959879638974</v>
      </c>
      <c r="Q269">
        <f t="shared" si="965"/>
        <v>-441254088.69809461</v>
      </c>
      <c r="R269">
        <f t="shared" si="966"/>
        <v>-15783130725.943373</v>
      </c>
      <c r="S269">
        <f t="shared" si="967"/>
        <v>-157831.30725943373</v>
      </c>
      <c r="T269">
        <f t="shared" si="968"/>
        <v>-157.83130725943371</v>
      </c>
    </row>
    <row r="270" spans="1:20" x14ac:dyDescent="0.25">
      <c r="A270" s="5">
        <v>44323</v>
      </c>
      <c r="B270">
        <v>4.4419E-2</v>
      </c>
      <c r="C270">
        <v>5.45E-2</v>
      </c>
      <c r="D270">
        <v>4.2219E-2</v>
      </c>
      <c r="E270">
        <v>4.6925000000000001E-2</v>
      </c>
      <c r="F270">
        <v>2138574735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-0.23361289797247753</v>
      </c>
      <c r="Q270">
        <f t="shared" si="965"/>
        <v>-499598641.37407315</v>
      </c>
      <c r="R270">
        <f t="shared" si="966"/>
        <v>-15341876637.245277</v>
      </c>
      <c r="S270">
        <f t="shared" si="967"/>
        <v>-153418.76637245278</v>
      </c>
      <c r="T270">
        <f t="shared" si="968"/>
        <v>-153.41876637245278</v>
      </c>
    </row>
    <row r="271" spans="1:20" x14ac:dyDescent="0.25">
      <c r="A271" s="5">
        <v>44322</v>
      </c>
      <c r="B271">
        <v>4.0454999999999998E-2</v>
      </c>
      <c r="C271">
        <v>4.9000000000000002E-2</v>
      </c>
      <c r="D271">
        <v>4.0122999999999999E-2</v>
      </c>
      <c r="E271">
        <v>4.4435000000000002E-2</v>
      </c>
      <c r="F271">
        <v>1556755481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-2.8500619578686066E-2</v>
      </c>
      <c r="Q271">
        <f t="shared" si="965"/>
        <v>-44368495.741015442</v>
      </c>
      <c r="R271">
        <f t="shared" si="966"/>
        <v>-14842277995.871204</v>
      </c>
      <c r="S271">
        <f t="shared" si="967"/>
        <v>-148422.77995871205</v>
      </c>
      <c r="T271">
        <f t="shared" si="968"/>
        <v>-148.42277995871206</v>
      </c>
    </row>
    <row r="272" spans="1:20" x14ac:dyDescent="0.25">
      <c r="A272" s="5">
        <v>44321</v>
      </c>
      <c r="B272">
        <v>3.8603999999999999E-2</v>
      </c>
      <c r="C272">
        <v>4.4615000000000002E-2</v>
      </c>
      <c r="D272">
        <v>3.8026999999999998E-2</v>
      </c>
      <c r="E272">
        <v>4.0517999999999998E-2</v>
      </c>
      <c r="F272">
        <v>809318118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-0.24377656344869497</v>
      </c>
      <c r="Q272">
        <f t="shared" si="965"/>
        <v>-197292789.5428054</v>
      </c>
      <c r="R272">
        <f t="shared" si="966"/>
        <v>-14797909500.130188</v>
      </c>
      <c r="S272">
        <f t="shared" si="967"/>
        <v>-147979.09500130187</v>
      </c>
      <c r="T272">
        <f t="shared" si="968"/>
        <v>-147.97909500130189</v>
      </c>
    </row>
    <row r="273" spans="1:20" x14ac:dyDescent="0.25">
      <c r="A273" s="5">
        <v>44320</v>
      </c>
      <c r="B273">
        <v>4.2913E-2</v>
      </c>
      <c r="C273">
        <v>4.3312000000000003E-2</v>
      </c>
      <c r="D273">
        <v>3.7669000000000001E-2</v>
      </c>
      <c r="E273">
        <v>3.8610999999999999E-2</v>
      </c>
      <c r="F273">
        <v>632250657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-0.66613503455608791</v>
      </c>
      <c r="Q273">
        <f t="shared" si="965"/>
        <v>-421164313.24880427</v>
      </c>
      <c r="R273">
        <f t="shared" si="966"/>
        <v>-14600616710.587383</v>
      </c>
      <c r="S273">
        <f t="shared" si="967"/>
        <v>-146006.16710587384</v>
      </c>
      <c r="T273">
        <f t="shared" si="968"/>
        <v>-146.00616710587386</v>
      </c>
    </row>
    <row r="274" spans="1:20" x14ac:dyDescent="0.25">
      <c r="A274" s="5">
        <v>44319</v>
      </c>
      <c r="B274">
        <v>3.7615000000000003E-2</v>
      </c>
      <c r="C274">
        <v>5.1674999999999999E-2</v>
      </c>
      <c r="D274">
        <v>3.7606000000000001E-2</v>
      </c>
      <c r="E274">
        <v>4.2924999999999998E-2</v>
      </c>
      <c r="F274">
        <v>2128758939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-0.24386950031985244</v>
      </c>
      <c r="Q274">
        <f t="shared" si="965"/>
        <v>-519139378.75534922</v>
      </c>
      <c r="R274">
        <f t="shared" si="966"/>
        <v>-14179452397.338579</v>
      </c>
      <c r="S274">
        <f t="shared" si="967"/>
        <v>-141794.5239733858</v>
      </c>
      <c r="T274">
        <f t="shared" si="968"/>
        <v>-141.79452397338579</v>
      </c>
    </row>
    <row r="275" spans="1:20" x14ac:dyDescent="0.25">
      <c r="A275" s="5">
        <v>44318</v>
      </c>
      <c r="B275">
        <v>3.9655999999999997E-2</v>
      </c>
      <c r="C275">
        <v>3.9865999999999999E-2</v>
      </c>
      <c r="D275">
        <v>3.7340999999999999E-2</v>
      </c>
      <c r="E275">
        <v>3.7576999999999999E-2</v>
      </c>
      <c r="F275">
        <v>348936537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-0.8130693069306929</v>
      </c>
      <c r="Q275">
        <f t="shared" si="965"/>
        <v>-283709588.30138606</v>
      </c>
      <c r="R275">
        <f t="shared" si="966"/>
        <v>-13660313018.583229</v>
      </c>
      <c r="S275">
        <f t="shared" si="967"/>
        <v>-136603.1301858323</v>
      </c>
      <c r="T275">
        <f t="shared" si="968"/>
        <v>-136.6031301858323</v>
      </c>
    </row>
    <row r="276" spans="1:20" x14ac:dyDescent="0.25">
      <c r="A276" s="5">
        <v>44317</v>
      </c>
      <c r="B276">
        <v>3.9321000000000002E-2</v>
      </c>
      <c r="C276">
        <v>4.4567000000000002E-2</v>
      </c>
      <c r="D276">
        <v>3.8276999999999999E-2</v>
      </c>
      <c r="E276">
        <v>3.9734999999999999E-2</v>
      </c>
      <c r="F276">
        <v>1041872593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-0.5364069952305246</v>
      </c>
      <c r="Q276">
        <f t="shared" si="965"/>
        <v>-558867747.02416527</v>
      </c>
      <c r="R276">
        <f t="shared" si="966"/>
        <v>-13376603430.281843</v>
      </c>
      <c r="S276">
        <f t="shared" si="967"/>
        <v>-133766.03430281844</v>
      </c>
      <c r="T276">
        <f t="shared" si="968"/>
        <v>-133.76603430281844</v>
      </c>
    </row>
    <row r="277" spans="1:20" x14ac:dyDescent="0.25">
      <c r="A277" s="5">
        <v>44316</v>
      </c>
      <c r="B277">
        <v>3.1831999999999999E-2</v>
      </c>
      <c r="C277">
        <v>4.2544999999999999E-2</v>
      </c>
      <c r="D277">
        <v>3.1715E-2</v>
      </c>
      <c r="E277">
        <v>3.9343999999999997E-2</v>
      </c>
      <c r="F277">
        <v>1182046677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0.40886426592797737</v>
      </c>
      <c r="Q277">
        <f t="shared" si="965"/>
        <v>483296646.88420999</v>
      </c>
      <c r="R277">
        <f t="shared" si="966"/>
        <v>-12817735683.257677</v>
      </c>
      <c r="S277">
        <f t="shared" si="967"/>
        <v>-128177.35683257677</v>
      </c>
      <c r="T277">
        <f t="shared" si="968"/>
        <v>-128.17735683257678</v>
      </c>
    </row>
    <row r="278" spans="1:20" x14ac:dyDescent="0.25">
      <c r="A278" s="5">
        <v>44315</v>
      </c>
      <c r="B278">
        <v>3.2652E-2</v>
      </c>
      <c r="C278">
        <v>3.3908000000000001E-2</v>
      </c>
      <c r="D278">
        <v>3.074E-2</v>
      </c>
      <c r="E278">
        <v>3.1817999999999999E-2</v>
      </c>
      <c r="F278">
        <v>225062292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-0.31944444444444514</v>
      </c>
      <c r="Q278">
        <f t="shared" si="965"/>
        <v>-71894898.833333492</v>
      </c>
      <c r="R278">
        <f t="shared" si="966"/>
        <v>-13301032330.141888</v>
      </c>
      <c r="S278">
        <f t="shared" si="967"/>
        <v>-133010.32330141889</v>
      </c>
      <c r="T278">
        <f t="shared" si="968"/>
        <v>-133.01032330141888</v>
      </c>
    </row>
    <row r="279" spans="1:20" x14ac:dyDescent="0.25">
      <c r="A279" s="5">
        <v>44314</v>
      </c>
      <c r="B279">
        <v>3.3918999999999998E-2</v>
      </c>
      <c r="C279">
        <v>3.4590000000000003E-2</v>
      </c>
      <c r="D279">
        <v>3.1725999999999997E-2</v>
      </c>
      <c r="E279">
        <v>3.2635999999999998E-2</v>
      </c>
      <c r="F279">
        <v>151325218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-0.36452513966480493</v>
      </c>
      <c r="Q279">
        <f t="shared" si="965"/>
        <v>-55161846.226257056</v>
      </c>
      <c r="R279">
        <f t="shared" si="966"/>
        <v>-13229137431.308554</v>
      </c>
      <c r="S279">
        <f t="shared" si="967"/>
        <v>-132291.37431308554</v>
      </c>
      <c r="T279">
        <f t="shared" si="968"/>
        <v>-132.29137431308556</v>
      </c>
    </row>
    <row r="280" spans="1:20" x14ac:dyDescent="0.25">
      <c r="A280" s="5">
        <v>44313</v>
      </c>
      <c r="B280">
        <v>3.2731999999999997E-2</v>
      </c>
      <c r="C280">
        <v>3.4130000000000001E-2</v>
      </c>
      <c r="D280">
        <v>3.2245999999999997E-2</v>
      </c>
      <c r="E280">
        <v>3.39E-2</v>
      </c>
      <c r="F280">
        <v>209763227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0.75583864118895905</v>
      </c>
      <c r="Q280">
        <f t="shared" si="965"/>
        <v>158547152.46709117</v>
      </c>
      <c r="R280">
        <f t="shared" si="966"/>
        <v>-13173975585.082296</v>
      </c>
      <c r="S280">
        <f t="shared" si="967"/>
        <v>-131739.75585082296</v>
      </c>
      <c r="T280">
        <f t="shared" si="968"/>
        <v>-131.73975585082295</v>
      </c>
    </row>
    <row r="281" spans="1:20" x14ac:dyDescent="0.25">
      <c r="A281" s="5">
        <v>44312</v>
      </c>
      <c r="B281">
        <v>2.8502E-2</v>
      </c>
      <c r="C281">
        <v>3.3388000000000001E-2</v>
      </c>
      <c r="D281">
        <v>2.8232E-2</v>
      </c>
      <c r="E281">
        <v>3.2733999999999999E-2</v>
      </c>
      <c r="F281">
        <v>296073040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0.74631497284716775</v>
      </c>
      <c r="Q281">
        <f t="shared" si="965"/>
        <v>220963742.8083784</v>
      </c>
      <c r="R281">
        <f t="shared" si="966"/>
        <v>-13332522737.549387</v>
      </c>
      <c r="S281">
        <f t="shared" si="967"/>
        <v>-133325.22737549388</v>
      </c>
      <c r="T281">
        <f t="shared" si="968"/>
        <v>-133.32522737549388</v>
      </c>
    </row>
    <row r="282" spans="1:20" x14ac:dyDescent="0.25">
      <c r="A282" s="5">
        <v>44311</v>
      </c>
      <c r="B282">
        <v>2.8622999999999999E-2</v>
      </c>
      <c r="C282">
        <v>3.125E-2</v>
      </c>
      <c r="D282">
        <v>2.7689999999999999E-2</v>
      </c>
      <c r="E282">
        <v>2.8492E-2</v>
      </c>
      <c r="F282">
        <v>161999324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-0.54943820224719075</v>
      </c>
      <c r="Q282">
        <f t="shared" si="965"/>
        <v>-89008617.343820184</v>
      </c>
      <c r="R282">
        <f t="shared" si="966"/>
        <v>-13553486480.357765</v>
      </c>
      <c r="S282">
        <f t="shared" si="967"/>
        <v>-135534.86480357766</v>
      </c>
      <c r="T282">
        <f t="shared" si="968"/>
        <v>-135.53486480357765</v>
      </c>
    </row>
    <row r="283" spans="1:20" x14ac:dyDescent="0.25">
      <c r="A283" s="5">
        <v>44310</v>
      </c>
      <c r="B283">
        <v>3.0207999999999999E-2</v>
      </c>
      <c r="C283">
        <v>3.0636E-2</v>
      </c>
      <c r="D283">
        <v>2.8424000000000001E-2</v>
      </c>
      <c r="E283">
        <v>2.8656999999999998E-2</v>
      </c>
      <c r="F283">
        <v>141960095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-0.78933092224231716</v>
      </c>
      <c r="Q283">
        <f t="shared" si="965"/>
        <v>-112053492.70795695</v>
      </c>
      <c r="R283">
        <f t="shared" si="966"/>
        <v>-13464477863.013945</v>
      </c>
      <c r="S283">
        <f t="shared" si="967"/>
        <v>-134644.77863013945</v>
      </c>
      <c r="T283">
        <f t="shared" si="968"/>
        <v>-134.64477863013946</v>
      </c>
    </row>
    <row r="284" spans="1:20" x14ac:dyDescent="0.25">
      <c r="A284" s="5">
        <v>44309</v>
      </c>
      <c r="B284">
        <v>3.1423E-2</v>
      </c>
      <c r="C284">
        <v>3.2507000000000001E-2</v>
      </c>
      <c r="D284">
        <v>2.6778E-2</v>
      </c>
      <c r="E284">
        <v>3.0200000000000001E-2</v>
      </c>
      <c r="F284">
        <v>252801152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0.1946238436027232</v>
      </c>
      <c r="Q284">
        <f t="shared" si="965"/>
        <v>49201131.869436257</v>
      </c>
      <c r="R284">
        <f t="shared" si="966"/>
        <v>-13352424370.305988</v>
      </c>
      <c r="S284">
        <f t="shared" si="967"/>
        <v>-133524.24370305988</v>
      </c>
      <c r="T284">
        <f t="shared" si="968"/>
        <v>-133.52424370305988</v>
      </c>
    </row>
    <row r="285" spans="1:20" x14ac:dyDescent="0.25">
      <c r="A285" s="5">
        <v>44308</v>
      </c>
      <c r="B285">
        <v>3.4155999999999999E-2</v>
      </c>
      <c r="C285">
        <v>3.4563000000000003E-2</v>
      </c>
      <c r="D285">
        <v>3.1142E-2</v>
      </c>
      <c r="E285">
        <v>3.1455999999999998E-2</v>
      </c>
      <c r="F285">
        <v>153625234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-0.81642794504530958</v>
      </c>
      <c r="Q285">
        <f t="shared" si="965"/>
        <v>-125423934.10172482</v>
      </c>
      <c r="R285">
        <f t="shared" si="966"/>
        <v>-13401625502.175425</v>
      </c>
      <c r="S285">
        <f t="shared" si="967"/>
        <v>-134016.25502175424</v>
      </c>
      <c r="T285">
        <f t="shared" si="968"/>
        <v>-134.01625502175423</v>
      </c>
    </row>
    <row r="286" spans="1:20" x14ac:dyDescent="0.25">
      <c r="A286" s="5">
        <v>44307</v>
      </c>
      <c r="B286">
        <v>3.5400000000000001E-2</v>
      </c>
      <c r="C286">
        <v>3.6110000000000003E-2</v>
      </c>
      <c r="D286">
        <v>3.3799999999999997E-2</v>
      </c>
      <c r="E286">
        <v>3.3994000000000003E-2</v>
      </c>
      <c r="F286">
        <v>161577732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-0.83203463203462669</v>
      </c>
      <c r="Q286">
        <f t="shared" si="965"/>
        <v>-134438268.78960952</v>
      </c>
      <c r="R286">
        <f t="shared" si="966"/>
        <v>-13276201568.0737</v>
      </c>
      <c r="S286">
        <f t="shared" si="967"/>
        <v>-132762.01568073701</v>
      </c>
      <c r="T286">
        <f t="shared" si="968"/>
        <v>-132.76201568073699</v>
      </c>
    </row>
    <row r="287" spans="1:20" x14ac:dyDescent="0.25">
      <c r="A287" s="5">
        <v>44306</v>
      </c>
      <c r="B287">
        <v>3.4944999999999997E-2</v>
      </c>
      <c r="C287">
        <v>3.6447E-2</v>
      </c>
      <c r="D287">
        <v>3.2781999999999999E-2</v>
      </c>
      <c r="E287">
        <v>3.5357E-2</v>
      </c>
      <c r="F287">
        <v>172026082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0.40518417462482936</v>
      </c>
      <c r="Q287">
        <f t="shared" si="965"/>
        <v>69702246.049113214</v>
      </c>
      <c r="R287">
        <f t="shared" si="966"/>
        <v>-13141763299.28409</v>
      </c>
      <c r="S287">
        <f t="shared" si="967"/>
        <v>-131417.6329928409</v>
      </c>
      <c r="T287">
        <f t="shared" si="968"/>
        <v>-131.41763299284091</v>
      </c>
    </row>
    <row r="288" spans="1:20" x14ac:dyDescent="0.25">
      <c r="A288" s="5">
        <v>44305</v>
      </c>
      <c r="B288">
        <v>3.7824000000000003E-2</v>
      </c>
      <c r="C288">
        <v>3.9326E-2</v>
      </c>
      <c r="D288">
        <v>3.456E-2</v>
      </c>
      <c r="E288">
        <v>3.5000999999999997E-2</v>
      </c>
      <c r="F288">
        <v>205344434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-0.81493915232899827</v>
      </c>
      <c r="Q288">
        <f t="shared" si="965"/>
        <v>-167343218.97943792</v>
      </c>
      <c r="R288">
        <f t="shared" si="966"/>
        <v>-13211465545.333202</v>
      </c>
      <c r="S288">
        <f t="shared" si="967"/>
        <v>-132114.65545333203</v>
      </c>
      <c r="T288">
        <f t="shared" si="968"/>
        <v>-132.11465545333203</v>
      </c>
    </row>
    <row r="289" spans="1:20" x14ac:dyDescent="0.25">
      <c r="A289" s="5">
        <v>44304</v>
      </c>
      <c r="B289">
        <v>4.3684000000000001E-2</v>
      </c>
      <c r="C289">
        <v>4.3788000000000001E-2</v>
      </c>
      <c r="D289">
        <v>3.5726000000000001E-2</v>
      </c>
      <c r="E289">
        <v>3.7796000000000003E-2</v>
      </c>
      <c r="F289">
        <v>308339656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-0.48647978169188727</v>
      </c>
      <c r="Q289">
        <f t="shared" si="965"/>
        <v>-150001008.5378316</v>
      </c>
      <c r="R289">
        <f t="shared" si="966"/>
        <v>-13044122326.353764</v>
      </c>
      <c r="S289">
        <f t="shared" si="967"/>
        <v>-130441.22326353764</v>
      </c>
      <c r="T289">
        <f t="shared" si="968"/>
        <v>-130.44122326353764</v>
      </c>
    </row>
    <row r="290" spans="1:20" x14ac:dyDescent="0.25">
      <c r="A290" s="5">
        <v>44303</v>
      </c>
      <c r="B290">
        <v>4.1384999999999998E-2</v>
      </c>
      <c r="C290">
        <v>4.4905E-2</v>
      </c>
      <c r="D290">
        <v>4.1286999999999997E-2</v>
      </c>
      <c r="E290">
        <v>4.3643000000000001E-2</v>
      </c>
      <c r="F290">
        <v>442079855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0.30237700386954219</v>
      </c>
      <c r="Q290">
        <f t="shared" si="965"/>
        <v>133674782.02598165</v>
      </c>
      <c r="R290">
        <f t="shared" si="966"/>
        <v>-12894121317.815931</v>
      </c>
      <c r="S290">
        <f t="shared" si="967"/>
        <v>-128941.21317815932</v>
      </c>
      <c r="T290">
        <f t="shared" si="968"/>
        <v>-128.94121317815933</v>
      </c>
    </row>
    <row r="291" spans="1:20" x14ac:dyDescent="0.25">
      <c r="A291" s="5">
        <v>44302</v>
      </c>
      <c r="B291">
        <v>4.4278999999999999E-2</v>
      </c>
      <c r="C291">
        <v>4.4651999999999997E-2</v>
      </c>
      <c r="D291">
        <v>4.1036000000000003E-2</v>
      </c>
      <c r="E291">
        <v>4.1360000000000001E-2</v>
      </c>
      <c r="F291">
        <v>383702126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-0.82079646017699204</v>
      </c>
      <c r="Q291">
        <f t="shared" si="965"/>
        <v>-314941346.7831862</v>
      </c>
      <c r="R291">
        <f t="shared" si="966"/>
        <v>-13027796099.841913</v>
      </c>
      <c r="S291">
        <f t="shared" si="967"/>
        <v>-130277.96099841913</v>
      </c>
      <c r="T291">
        <f t="shared" si="968"/>
        <v>-130.27796099841913</v>
      </c>
    </row>
    <row r="292" spans="1:20" x14ac:dyDescent="0.25">
      <c r="A292" s="5">
        <v>44301</v>
      </c>
      <c r="B292">
        <v>4.4114E-2</v>
      </c>
      <c r="C292">
        <v>4.6753000000000003E-2</v>
      </c>
      <c r="D292">
        <v>4.1527000000000001E-2</v>
      </c>
      <c r="E292">
        <v>4.4257999999999999E-2</v>
      </c>
      <c r="F292">
        <v>559969108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4.515882127822294E-2</v>
      </c>
      <c r="Q292">
        <f t="shared" si="965"/>
        <v>25287544.869497918</v>
      </c>
      <c r="R292">
        <f t="shared" si="966"/>
        <v>-12712854753.058727</v>
      </c>
      <c r="S292">
        <f t="shared" si="967"/>
        <v>-127128.54753058727</v>
      </c>
      <c r="T292">
        <f t="shared" si="968"/>
        <v>-127.12854753058727</v>
      </c>
    </row>
    <row r="293" spans="1:20" x14ac:dyDescent="0.25">
      <c r="A293" s="5">
        <v>44300</v>
      </c>
      <c r="B293">
        <v>4.0736000000000001E-2</v>
      </c>
      <c r="C293">
        <v>4.5571E-2</v>
      </c>
      <c r="D293">
        <v>3.9655000000000003E-2</v>
      </c>
      <c r="E293">
        <v>4.4158999999999997E-2</v>
      </c>
      <c r="F293">
        <v>563488521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0.52265043948613787</v>
      </c>
      <c r="Q293">
        <f t="shared" si="965"/>
        <v>294507523.14604384</v>
      </c>
      <c r="R293">
        <f t="shared" si="966"/>
        <v>-12738142297.928225</v>
      </c>
      <c r="S293">
        <f t="shared" si="967"/>
        <v>-127381.42297928224</v>
      </c>
      <c r="T293">
        <f t="shared" si="968"/>
        <v>-127.38142297928225</v>
      </c>
    </row>
    <row r="294" spans="1:20" x14ac:dyDescent="0.25">
      <c r="A294" s="5">
        <v>44299</v>
      </c>
      <c r="B294">
        <v>4.1688000000000003E-2</v>
      </c>
      <c r="C294">
        <v>4.2885E-2</v>
      </c>
      <c r="D294">
        <v>4.0044999999999997E-2</v>
      </c>
      <c r="E294">
        <v>4.0740999999999999E-2</v>
      </c>
      <c r="F294">
        <v>252050399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-0.50985915492957634</v>
      </c>
      <c r="Q294">
        <f t="shared" si="965"/>
        <v>-128510203.43380253</v>
      </c>
      <c r="R294">
        <f t="shared" si="966"/>
        <v>-13032649821.074268</v>
      </c>
      <c r="S294">
        <f t="shared" si="967"/>
        <v>-130326.49821074268</v>
      </c>
      <c r="T294">
        <f t="shared" si="968"/>
        <v>-130.32649821074267</v>
      </c>
    </row>
    <row r="295" spans="1:20" x14ac:dyDescent="0.25">
      <c r="A295" s="5">
        <v>44298</v>
      </c>
      <c r="B295">
        <v>4.3969000000000001E-2</v>
      </c>
      <c r="C295">
        <v>4.4200000000000003E-2</v>
      </c>
      <c r="D295">
        <v>4.1659000000000002E-2</v>
      </c>
      <c r="E295">
        <v>4.1688999999999997E-2</v>
      </c>
      <c r="F295">
        <v>205619256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-0.97638724911452557</v>
      </c>
      <c r="Q295">
        <f t="shared" si="965"/>
        <v>-200764019.73081541</v>
      </c>
      <c r="R295">
        <f t="shared" si="966"/>
        <v>-12904139617.640467</v>
      </c>
      <c r="S295">
        <f t="shared" si="967"/>
        <v>-129041.39617640467</v>
      </c>
      <c r="T295">
        <f t="shared" si="968"/>
        <v>-129.04139617640467</v>
      </c>
    </row>
    <row r="296" spans="1:20" x14ac:dyDescent="0.25">
      <c r="A296" s="5">
        <v>44297</v>
      </c>
      <c r="B296">
        <v>4.4223999999999999E-2</v>
      </c>
      <c r="C296">
        <v>4.5561999999999998E-2</v>
      </c>
      <c r="D296">
        <v>4.2618999999999997E-2</v>
      </c>
      <c r="E296">
        <v>4.3970000000000002E-2</v>
      </c>
      <c r="F296">
        <v>279760233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-8.1889228678216491E-2</v>
      </c>
      <c r="Q296">
        <f t="shared" si="965"/>
        <v>-22909349.695208129</v>
      </c>
      <c r="R296">
        <f t="shared" si="966"/>
        <v>-12703375597.909651</v>
      </c>
      <c r="S296">
        <f t="shared" si="967"/>
        <v>-127033.7559790965</v>
      </c>
      <c r="T296">
        <f t="shared" si="968"/>
        <v>-127.0337559790965</v>
      </c>
    </row>
    <row r="297" spans="1:20" x14ac:dyDescent="0.25">
      <c r="A297" s="5">
        <v>44296</v>
      </c>
      <c r="B297">
        <v>4.9002999999999998E-2</v>
      </c>
      <c r="C297">
        <v>5.1799999999999999E-2</v>
      </c>
      <c r="D297">
        <v>4.2557999999999999E-2</v>
      </c>
      <c r="E297">
        <v>4.4266E-2</v>
      </c>
      <c r="F297">
        <v>506410764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-0.6303830339753298</v>
      </c>
      <c r="Q297">
        <f t="shared" si="965"/>
        <v>-319232753.84808475</v>
      </c>
      <c r="R297">
        <f t="shared" si="966"/>
        <v>-12680466248.214443</v>
      </c>
      <c r="S297">
        <f t="shared" si="967"/>
        <v>-126804.66248214443</v>
      </c>
      <c r="T297">
        <f t="shared" si="968"/>
        <v>-126.80466248214442</v>
      </c>
    </row>
    <row r="298" spans="1:20" x14ac:dyDescent="0.25">
      <c r="A298" s="5">
        <v>44295</v>
      </c>
      <c r="B298">
        <v>4.3142E-2</v>
      </c>
      <c r="C298">
        <v>5.2999999999999999E-2</v>
      </c>
      <c r="D298">
        <v>4.2005000000000001E-2</v>
      </c>
      <c r="E298">
        <v>4.9037999999999998E-2</v>
      </c>
      <c r="F298">
        <v>775929656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0.27930877671668924</v>
      </c>
      <c r="Q298">
        <f t="shared" si="965"/>
        <v>216723963.0355615</v>
      </c>
      <c r="R298">
        <f t="shared" si="966"/>
        <v>-12361233494.366358</v>
      </c>
      <c r="S298">
        <f t="shared" si="967"/>
        <v>-123612.33494366358</v>
      </c>
      <c r="T298">
        <f t="shared" si="968"/>
        <v>-123.61233494366357</v>
      </c>
    </row>
    <row r="299" spans="1:20" x14ac:dyDescent="0.25">
      <c r="A299" s="5">
        <v>44294</v>
      </c>
      <c r="B299">
        <v>4.0155000000000003E-2</v>
      </c>
      <c r="C299">
        <v>4.5212000000000002E-2</v>
      </c>
      <c r="D299">
        <v>0.04</v>
      </c>
      <c r="E299">
        <v>4.3131999999999997E-2</v>
      </c>
      <c r="F299">
        <v>372955713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0.20184190330007487</v>
      </c>
      <c r="Q299">
        <f t="shared" si="965"/>
        <v>75278090.958556473</v>
      </c>
      <c r="R299">
        <f t="shared" si="966"/>
        <v>-12577957457.401918</v>
      </c>
      <c r="S299">
        <f t="shared" si="967"/>
        <v>-125779.57457401918</v>
      </c>
      <c r="T299">
        <f t="shared" si="968"/>
        <v>-125.77957457401918</v>
      </c>
    </row>
    <row r="300" spans="1:20" x14ac:dyDescent="0.25">
      <c r="A300" s="5">
        <v>44293</v>
      </c>
      <c r="B300">
        <v>4.6935999999999999E-2</v>
      </c>
      <c r="C300">
        <v>4.7183999999999997E-2</v>
      </c>
      <c r="D300">
        <v>3.8503000000000003E-2</v>
      </c>
      <c r="E300">
        <v>4.0060999999999999E-2</v>
      </c>
      <c r="F300">
        <v>537929669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-0.6410551779748882</v>
      </c>
      <c r="Q300">
        <f t="shared" si="965"/>
        <v>-344842599.69876772</v>
      </c>
      <c r="R300">
        <f t="shared" si="966"/>
        <v>-12653235548.360476</v>
      </c>
      <c r="S300">
        <f t="shared" si="967"/>
        <v>-126532.35548360476</v>
      </c>
      <c r="T300">
        <f t="shared" si="968"/>
        <v>-126.53235548360476</v>
      </c>
    </row>
    <row r="301" spans="1:20" x14ac:dyDescent="0.25">
      <c r="A301" s="5">
        <v>44292</v>
      </c>
      <c r="B301">
        <v>5.0796000000000001E-2</v>
      </c>
      <c r="C301">
        <v>5.4096999999999999E-2</v>
      </c>
      <c r="D301">
        <v>4.6189000000000001E-2</v>
      </c>
      <c r="E301">
        <v>4.6919000000000002E-2</v>
      </c>
      <c r="F301">
        <v>718840820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-0.81537683358624136</v>
      </c>
      <c r="Q301">
        <f t="shared" si="965"/>
        <v>-586126151.66413724</v>
      </c>
      <c r="R301">
        <f t="shared" si="966"/>
        <v>-12308392948.661707</v>
      </c>
      <c r="S301">
        <f t="shared" si="967"/>
        <v>-123083.92948661707</v>
      </c>
      <c r="T301">
        <f t="shared" si="968"/>
        <v>-123.08392948661707</v>
      </c>
    </row>
    <row r="302" spans="1:20" x14ac:dyDescent="0.25">
      <c r="A302" s="5">
        <v>44291</v>
      </c>
      <c r="B302">
        <v>5.2150000000000002E-2</v>
      </c>
      <c r="C302">
        <v>5.7986999999999997E-2</v>
      </c>
      <c r="D302">
        <v>4.7943E-2</v>
      </c>
      <c r="E302">
        <v>5.0852000000000001E-2</v>
      </c>
      <c r="F302">
        <v>1751221389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-0.42074870569494172</v>
      </c>
      <c r="Q302">
        <f t="shared" si="965"/>
        <v>-736824132.80704808</v>
      </c>
      <c r="R302">
        <f t="shared" si="966"/>
        <v>-11722266796.99757</v>
      </c>
      <c r="S302">
        <f t="shared" si="967"/>
        <v>-117222.66796997569</v>
      </c>
      <c r="T302">
        <f t="shared" si="968"/>
        <v>-117.22266796997569</v>
      </c>
    </row>
    <row r="303" spans="1:20" x14ac:dyDescent="0.25">
      <c r="A303" s="5">
        <v>44290</v>
      </c>
      <c r="B303">
        <v>4.3249999999999997E-2</v>
      </c>
      <c r="C303">
        <v>6.8654999999999994E-2</v>
      </c>
      <c r="D303">
        <v>4.2460999999999999E-2</v>
      </c>
      <c r="E303">
        <v>5.2164000000000002E-2</v>
      </c>
      <c r="F303">
        <v>4276222482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-0.25914331526303697</v>
      </c>
      <c r="Q303">
        <f t="shared" si="965"/>
        <v>-1108154470.7878125</v>
      </c>
      <c r="R303">
        <f t="shared" si="966"/>
        <v>-10985442664.190521</v>
      </c>
      <c r="S303">
        <f t="shared" si="967"/>
        <v>-109854.42664190521</v>
      </c>
      <c r="T303">
        <f t="shared" si="968"/>
        <v>-109.85442664190522</v>
      </c>
    </row>
    <row r="304" spans="1:20" x14ac:dyDescent="0.25">
      <c r="A304" s="5">
        <v>44289</v>
      </c>
      <c r="B304">
        <v>3.9694E-2</v>
      </c>
      <c r="C304">
        <v>4.7893999999999999E-2</v>
      </c>
      <c r="D304">
        <v>3.9694E-2</v>
      </c>
      <c r="E304">
        <v>4.3326999999999997E-2</v>
      </c>
      <c r="F304">
        <v>1715684157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-0.11390243902439078</v>
      </c>
      <c r="Q304">
        <f t="shared" si="965"/>
        <v>-195420610.07780579</v>
      </c>
      <c r="R304">
        <f t="shared" si="966"/>
        <v>-9877288193.4027081</v>
      </c>
      <c r="S304">
        <f t="shared" si="967"/>
        <v>-98772.881934027086</v>
      </c>
      <c r="T304">
        <f t="shared" si="968"/>
        <v>-98.772881934027083</v>
      </c>
    </row>
    <row r="305" spans="1:20" x14ac:dyDescent="0.25">
      <c r="A305" s="5">
        <v>44288</v>
      </c>
      <c r="B305">
        <v>4.1722000000000002E-2</v>
      </c>
      <c r="C305">
        <v>4.2209999999999998E-2</v>
      </c>
      <c r="D305">
        <v>3.95E-2</v>
      </c>
      <c r="E305">
        <v>3.9682000000000002E-2</v>
      </c>
      <c r="F305">
        <v>529513504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-0.86568265682656698</v>
      </c>
      <c r="Q305">
        <f t="shared" si="965"/>
        <v>-458390656.968265</v>
      </c>
      <c r="R305">
        <f t="shared" si="966"/>
        <v>-9681867583.3249016</v>
      </c>
      <c r="S305">
        <f t="shared" si="967"/>
        <v>-96818.675833249014</v>
      </c>
      <c r="T305">
        <f t="shared" si="968"/>
        <v>-96.818675833249017</v>
      </c>
    </row>
    <row r="306" spans="1:20" x14ac:dyDescent="0.25">
      <c r="A306" s="5">
        <v>44287</v>
      </c>
      <c r="B306">
        <v>3.9121999999999997E-2</v>
      </c>
      <c r="C306">
        <v>4.3999999999999997E-2</v>
      </c>
      <c r="D306">
        <v>3.8768999999999998E-2</v>
      </c>
      <c r="E306">
        <v>4.1741E-2</v>
      </c>
      <c r="F306">
        <v>677932732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0.13630281017014056</v>
      </c>
      <c r="Q306">
        <f t="shared" si="965"/>
        <v>92404136.477920771</v>
      </c>
      <c r="R306">
        <f t="shared" si="966"/>
        <v>-9223476926.356636</v>
      </c>
      <c r="S306">
        <f t="shared" si="967"/>
        <v>-92234.769263566355</v>
      </c>
      <c r="T306">
        <f t="shared" si="968"/>
        <v>-92.234769263566349</v>
      </c>
    </row>
    <row r="307" spans="1:20" x14ac:dyDescent="0.25">
      <c r="A307" s="5">
        <v>44286</v>
      </c>
      <c r="B307">
        <v>4.2248000000000001E-2</v>
      </c>
      <c r="C307">
        <v>4.2338000000000001E-2</v>
      </c>
      <c r="D307">
        <v>3.8821000000000001E-2</v>
      </c>
      <c r="E307">
        <v>3.9113000000000002E-2</v>
      </c>
      <c r="F307">
        <v>443401613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-0.83394938868353674</v>
      </c>
      <c r="Q307">
        <f t="shared" si="965"/>
        <v>-369774504.10264415</v>
      </c>
      <c r="R307">
        <f t="shared" si="966"/>
        <v>-9315881062.8345566</v>
      </c>
      <c r="S307">
        <f t="shared" si="967"/>
        <v>-93158.810628345571</v>
      </c>
      <c r="T307">
        <f t="shared" si="968"/>
        <v>-93.158810628345577</v>
      </c>
    </row>
    <row r="308" spans="1:20" x14ac:dyDescent="0.25">
      <c r="A308" s="5">
        <v>44285</v>
      </c>
      <c r="B308">
        <v>3.9566999999999998E-2</v>
      </c>
      <c r="C308">
        <v>4.2902999999999997E-2</v>
      </c>
      <c r="D308">
        <v>3.9203000000000002E-2</v>
      </c>
      <c r="E308">
        <v>4.2237999999999998E-2</v>
      </c>
      <c r="F308">
        <v>419270681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0.64054054054054066</v>
      </c>
      <c r="Q308">
        <f t="shared" si="965"/>
        <v>268559868.6405406</v>
      </c>
      <c r="R308">
        <f t="shared" si="966"/>
        <v>-8946106558.7319126</v>
      </c>
      <c r="S308">
        <f t="shared" si="967"/>
        <v>-89461.065587319128</v>
      </c>
      <c r="T308">
        <f t="shared" si="968"/>
        <v>-89.461065587319126</v>
      </c>
    </row>
    <row r="309" spans="1:20" x14ac:dyDescent="0.25">
      <c r="A309" s="5">
        <v>44284</v>
      </c>
      <c r="B309">
        <v>3.6502E-2</v>
      </c>
      <c r="C309">
        <v>4.0648999999999998E-2</v>
      </c>
      <c r="D309">
        <v>3.6156000000000001E-2</v>
      </c>
      <c r="E309">
        <v>3.9560999999999999E-2</v>
      </c>
      <c r="F309">
        <v>414176821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0.51569107500556444</v>
      </c>
      <c r="Q309">
        <f t="shared" si="965"/>
        <v>213587290.06387722</v>
      </c>
      <c r="R309">
        <f t="shared" si="966"/>
        <v>-9214666427.3724537</v>
      </c>
      <c r="S309">
        <f t="shared" si="967"/>
        <v>-92146.664273724542</v>
      </c>
      <c r="T309">
        <f t="shared" si="968"/>
        <v>-92.146664273724539</v>
      </c>
    </row>
    <row r="310" spans="1:20" x14ac:dyDescent="0.25">
      <c r="A310" s="5">
        <v>44283</v>
      </c>
      <c r="B310">
        <v>3.5034999999999997E-2</v>
      </c>
      <c r="C310">
        <v>3.7400000000000003E-2</v>
      </c>
      <c r="D310">
        <v>3.4868999999999997E-2</v>
      </c>
      <c r="E310">
        <v>3.6566000000000001E-2</v>
      </c>
      <c r="F310">
        <v>144553030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0.34097194784670121</v>
      </c>
      <c r="Q310">
        <f t="shared" si="965"/>
        <v>49288528.206242636</v>
      </c>
      <c r="R310">
        <f t="shared" si="966"/>
        <v>-9428253717.4363308</v>
      </c>
      <c r="S310">
        <f t="shared" si="967"/>
        <v>-94282.537174363315</v>
      </c>
      <c r="T310">
        <f t="shared" si="968"/>
        <v>-94.282537174363313</v>
      </c>
    </row>
    <row r="311" spans="1:20" x14ac:dyDescent="0.25">
      <c r="A311" s="5">
        <v>44282</v>
      </c>
      <c r="B311">
        <v>3.4993999999999997E-2</v>
      </c>
      <c r="C311">
        <v>3.5270000000000003E-2</v>
      </c>
      <c r="D311">
        <v>3.3606999999999998E-2</v>
      </c>
      <c r="E311">
        <v>3.5029999999999999E-2</v>
      </c>
      <c r="F311">
        <v>83667874</v>
      </c>
      <c r="G311">
        <v>0</v>
      </c>
      <c r="L311" t="s">
        <v>7</v>
      </c>
      <c r="M311" t="s">
        <v>7</v>
      </c>
      <c r="N311" t="s">
        <v>8</v>
      </c>
      <c r="P311">
        <f t="shared" si="964"/>
        <v>0.71136500300661043</v>
      </c>
      <c r="Q311">
        <f t="shared" si="965"/>
        <v>59518397.439566702</v>
      </c>
      <c r="R311">
        <f t="shared" si="966"/>
        <v>-9477542245.6425743</v>
      </c>
      <c r="S311">
        <f t="shared" si="967"/>
        <v>-94775.422456425746</v>
      </c>
      <c r="T311">
        <f t="shared" si="968"/>
        <v>-94.775422456425744</v>
      </c>
    </row>
    <row r="312" spans="1:20" x14ac:dyDescent="0.25">
      <c r="A312" s="5">
        <v>44281</v>
      </c>
      <c r="B312">
        <v>3.3706E-2</v>
      </c>
      <c r="C312">
        <v>3.5999999999999997E-2</v>
      </c>
      <c r="D312">
        <v>3.3333000000000002E-2</v>
      </c>
      <c r="E312">
        <v>3.4995999999999999E-2</v>
      </c>
      <c r="F312">
        <v>146904323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0.24709411323584585</v>
      </c>
      <c r="Q312">
        <f t="shared" si="965"/>
        <v>36299193.422197275</v>
      </c>
      <c r="R312">
        <f t="shared" si="966"/>
        <v>-9537060643.0821419</v>
      </c>
      <c r="S312">
        <f t="shared" si="967"/>
        <v>-95370.606430821412</v>
      </c>
      <c r="T312">
        <f t="shared" si="968"/>
        <v>-95.370606430821411</v>
      </c>
    </row>
    <row r="313" spans="1:20" x14ac:dyDescent="0.25">
      <c r="A313" s="5">
        <v>44280</v>
      </c>
      <c r="B313">
        <v>3.5687999999999998E-2</v>
      </c>
      <c r="C313">
        <v>3.6391E-2</v>
      </c>
      <c r="D313">
        <v>3.3252999999999998E-2</v>
      </c>
      <c r="E313">
        <v>3.3755E-2</v>
      </c>
      <c r="F313">
        <v>152434494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-0.68005098789037466</v>
      </c>
      <c r="Q313">
        <f t="shared" si="965"/>
        <v>-103663228.23326939</v>
      </c>
      <c r="R313">
        <f t="shared" si="966"/>
        <v>-9573359836.5043392</v>
      </c>
      <c r="S313">
        <f t="shared" si="967"/>
        <v>-95733.598365043392</v>
      </c>
      <c r="T313">
        <f t="shared" si="968"/>
        <v>-95.733598365043392</v>
      </c>
    </row>
    <row r="314" spans="1:20" x14ac:dyDescent="0.25">
      <c r="A314" s="5">
        <v>44279</v>
      </c>
      <c r="B314">
        <v>3.5435000000000001E-2</v>
      </c>
      <c r="C314">
        <v>3.7908999999999998E-2</v>
      </c>
      <c r="D314">
        <v>3.4834999999999998E-2</v>
      </c>
      <c r="E314">
        <v>3.5839999999999997E-2</v>
      </c>
      <c r="F314">
        <v>157969269</v>
      </c>
      <c r="G314">
        <v>0</v>
      </c>
      <c r="L314" t="s">
        <v>7</v>
      </c>
      <c r="M314" t="s">
        <v>8</v>
      </c>
      <c r="N314" t="s">
        <v>8</v>
      </c>
      <c r="P314">
        <f t="shared" si="964"/>
        <v>-0.34612882238126297</v>
      </c>
      <c r="Q314">
        <f t="shared" si="965"/>
        <v>-54677717.051398948</v>
      </c>
      <c r="R314">
        <f t="shared" si="966"/>
        <v>-9469696608.2710705</v>
      </c>
      <c r="S314">
        <f t="shared" si="967"/>
        <v>-94696.9660827107</v>
      </c>
      <c r="T314">
        <f t="shared" si="968"/>
        <v>-94.696966082710702</v>
      </c>
    </row>
    <row r="315" spans="1:20" x14ac:dyDescent="0.25">
      <c r="A315" s="5">
        <v>44278</v>
      </c>
      <c r="B315">
        <v>3.7171999999999997E-2</v>
      </c>
      <c r="C315">
        <v>3.7303000000000003E-2</v>
      </c>
      <c r="D315">
        <v>3.5319000000000003E-2</v>
      </c>
      <c r="E315">
        <v>3.5437000000000003E-2</v>
      </c>
      <c r="F315">
        <v>161052983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-0.88104838709677413</v>
      </c>
      <c r="Q315">
        <f t="shared" si="965"/>
        <v>-141895470.90927419</v>
      </c>
      <c r="R315">
        <f t="shared" si="966"/>
        <v>-9415018891.2196712</v>
      </c>
      <c r="S315">
        <f t="shared" si="967"/>
        <v>-94150.188912196711</v>
      </c>
      <c r="T315">
        <f t="shared" si="968"/>
        <v>-94.150188912196711</v>
      </c>
    </row>
    <row r="316" spans="1:20" x14ac:dyDescent="0.25">
      <c r="A316" s="5">
        <v>44277</v>
      </c>
      <c r="B316">
        <v>3.8455999999999997E-2</v>
      </c>
      <c r="C316">
        <v>4.1779999999999998E-2</v>
      </c>
      <c r="D316">
        <v>3.6799999999999999E-2</v>
      </c>
      <c r="E316">
        <v>3.7184000000000002E-2</v>
      </c>
      <c r="F316">
        <v>286108634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-0.8457831325301195</v>
      </c>
      <c r="Q316">
        <f t="shared" si="965"/>
        <v>-241985856.70843345</v>
      </c>
      <c r="R316">
        <f t="shared" si="966"/>
        <v>-9273123420.3103962</v>
      </c>
      <c r="S316">
        <f t="shared" si="967"/>
        <v>-92731.234203103959</v>
      </c>
      <c r="T316">
        <f t="shared" si="968"/>
        <v>-92.731234203103952</v>
      </c>
    </row>
    <row r="317" spans="1:20" x14ac:dyDescent="0.25">
      <c r="A317" s="5">
        <v>44276</v>
      </c>
      <c r="B317">
        <v>3.7116000000000003E-2</v>
      </c>
      <c r="C317">
        <v>3.9926999999999997E-2</v>
      </c>
      <c r="D317">
        <v>3.5999999999999997E-2</v>
      </c>
      <c r="E317">
        <v>3.8455999999999997E-2</v>
      </c>
      <c r="F317">
        <v>254064149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0.25082760376878016</v>
      </c>
      <c r="Q317">
        <f t="shared" si="965"/>
        <v>63726301.697224326</v>
      </c>
      <c r="R317">
        <f t="shared" si="966"/>
        <v>-9031137563.601963</v>
      </c>
      <c r="S317">
        <f t="shared" si="967"/>
        <v>-90311.375636019628</v>
      </c>
      <c r="T317">
        <f t="shared" si="968"/>
        <v>-90.311375636019633</v>
      </c>
    </row>
    <row r="318" spans="1:20" x14ac:dyDescent="0.25">
      <c r="A318" s="5">
        <v>44275</v>
      </c>
      <c r="B318">
        <v>3.5985000000000003E-2</v>
      </c>
      <c r="C318">
        <v>4.1903999999999997E-2</v>
      </c>
      <c r="D318">
        <v>3.5854999999999998E-2</v>
      </c>
      <c r="E318">
        <v>3.7199999999999997E-2</v>
      </c>
      <c r="F318">
        <v>403354314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-0.55529839642916212</v>
      </c>
      <c r="Q318">
        <f t="shared" si="965"/>
        <v>-223982003.75698474</v>
      </c>
      <c r="R318">
        <f t="shared" si="966"/>
        <v>-9094863865.2991867</v>
      </c>
      <c r="S318">
        <f t="shared" si="967"/>
        <v>-90948.638652991867</v>
      </c>
      <c r="T318">
        <f t="shared" si="968"/>
        <v>-90.94863865299186</v>
      </c>
    </row>
    <row r="319" spans="1:20" x14ac:dyDescent="0.25">
      <c r="A319" s="5">
        <v>44274</v>
      </c>
      <c r="B319">
        <v>3.6551E-2</v>
      </c>
      <c r="C319">
        <v>3.6749999999999998E-2</v>
      </c>
      <c r="D319">
        <v>3.5195999999999998E-2</v>
      </c>
      <c r="E319">
        <v>3.5985999999999997E-2</v>
      </c>
      <c r="F319">
        <v>120014417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1.6731016731015604E-2</v>
      </c>
      <c r="Q319">
        <f t="shared" si="965"/>
        <v>2007963.2187900834</v>
      </c>
      <c r="R319">
        <f t="shared" si="966"/>
        <v>-8870881861.542202</v>
      </c>
      <c r="S319">
        <f t="shared" si="967"/>
        <v>-88708.818615422017</v>
      </c>
      <c r="T319">
        <f t="shared" si="968"/>
        <v>-88.708818615422018</v>
      </c>
    </row>
    <row r="320" spans="1:20" x14ac:dyDescent="0.25">
      <c r="A320" s="5">
        <v>44273</v>
      </c>
      <c r="B320">
        <v>3.5379000000000001E-2</v>
      </c>
      <c r="C320">
        <v>3.8276999999999999E-2</v>
      </c>
      <c r="D320">
        <v>3.5244999999999999E-2</v>
      </c>
      <c r="E320">
        <v>3.6551E-2</v>
      </c>
      <c r="F320">
        <v>187737087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-0.13852242744063217</v>
      </c>
      <c r="Q320">
        <f t="shared" si="965"/>
        <v>-26005797.011873148</v>
      </c>
      <c r="R320">
        <f t="shared" si="966"/>
        <v>-8872889824.7609921</v>
      </c>
      <c r="S320">
        <f t="shared" si="967"/>
        <v>-88728.898247609919</v>
      </c>
      <c r="T320">
        <f t="shared" si="968"/>
        <v>-88.728898247609919</v>
      </c>
    </row>
    <row r="321" spans="1:20" x14ac:dyDescent="0.25">
      <c r="A321" s="5">
        <v>44272</v>
      </c>
      <c r="B321">
        <v>3.6027000000000003E-2</v>
      </c>
      <c r="C321">
        <v>3.6117000000000003E-2</v>
      </c>
      <c r="D321">
        <v>3.3346000000000001E-2</v>
      </c>
      <c r="E321">
        <v>3.5289000000000001E-2</v>
      </c>
      <c r="F321">
        <v>194500013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0.40238181162035253</v>
      </c>
      <c r="Q321">
        <f t="shared" si="965"/>
        <v>78263267.591122121</v>
      </c>
      <c r="R321">
        <f t="shared" si="966"/>
        <v>-8846884027.7491188</v>
      </c>
      <c r="S321">
        <f t="shared" si="967"/>
        <v>-88468.840277491181</v>
      </c>
      <c r="T321">
        <f t="shared" si="968"/>
        <v>-88.468840277491182</v>
      </c>
    </row>
    <row r="322" spans="1:20" x14ac:dyDescent="0.25">
      <c r="A322" s="5">
        <v>44271</v>
      </c>
      <c r="B322">
        <v>3.5562000000000003E-2</v>
      </c>
      <c r="C322">
        <v>4.2803000000000001E-2</v>
      </c>
      <c r="D322">
        <v>3.4367000000000002E-2</v>
      </c>
      <c r="E322">
        <v>3.6109000000000002E-2</v>
      </c>
      <c r="F322">
        <v>607979495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-0.58700806069227107</v>
      </c>
      <c r="Q322">
        <f t="shared" si="965"/>
        <v>-356888864.30061632</v>
      </c>
      <c r="R322">
        <f t="shared" si="966"/>
        <v>-8925147295.3402405</v>
      </c>
      <c r="S322">
        <f t="shared" si="967"/>
        <v>-89251.472953402408</v>
      </c>
      <c r="T322">
        <f t="shared" si="968"/>
        <v>-89.251472953402413</v>
      </c>
    </row>
    <row r="323" spans="1:20" x14ac:dyDescent="0.25">
      <c r="A323" s="5">
        <v>44270</v>
      </c>
      <c r="B323">
        <v>3.1841000000000001E-2</v>
      </c>
      <c r="C323">
        <v>3.6693000000000003E-2</v>
      </c>
      <c r="D323">
        <v>3.0358E-2</v>
      </c>
      <c r="E323">
        <v>3.551E-2</v>
      </c>
      <c r="F323">
        <v>430885192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0.6265193370165737</v>
      </c>
      <c r="Q323">
        <f t="shared" si="965"/>
        <v>269957904.82209909</v>
      </c>
      <c r="R323">
        <f t="shared" si="966"/>
        <v>-8568258431.0396242</v>
      </c>
      <c r="S323">
        <f t="shared" si="967"/>
        <v>-85682.58431039624</v>
      </c>
      <c r="T323">
        <f t="shared" si="968"/>
        <v>-85.682584310396237</v>
      </c>
    </row>
    <row r="324" spans="1:20" x14ac:dyDescent="0.25">
      <c r="A324" s="5">
        <v>44269</v>
      </c>
      <c r="B324">
        <v>3.3082E-2</v>
      </c>
      <c r="C324">
        <v>3.3984E-2</v>
      </c>
      <c r="D324">
        <v>3.1551999999999997E-2</v>
      </c>
      <c r="E324">
        <v>3.1841000000000001E-2</v>
      </c>
      <c r="F324">
        <v>81771266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-0.76233552631578605</v>
      </c>
      <c r="Q324">
        <f t="shared" si="965"/>
        <v>-62337141.103618138</v>
      </c>
      <c r="R324">
        <f t="shared" si="966"/>
        <v>-8838216335.8617229</v>
      </c>
      <c r="S324">
        <f t="shared" si="967"/>
        <v>-88382.163358617225</v>
      </c>
      <c r="T324">
        <f t="shared" si="968"/>
        <v>-88.38216335861722</v>
      </c>
    </row>
    <row r="325" spans="1:20" x14ac:dyDescent="0.25">
      <c r="A325" s="5">
        <v>44268</v>
      </c>
      <c r="B325">
        <v>3.2643999999999999E-2</v>
      </c>
      <c r="C325">
        <v>3.3658E-2</v>
      </c>
      <c r="D325">
        <v>3.0981000000000002E-2</v>
      </c>
      <c r="E325">
        <v>3.2981000000000003E-2</v>
      </c>
      <c r="F325">
        <v>129162374</v>
      </c>
      <c r="G325">
        <v>0</v>
      </c>
      <c r="L325" t="s">
        <v>7</v>
      </c>
      <c r="M325" t="s">
        <v>8</v>
      </c>
      <c r="N325" t="s">
        <v>7</v>
      </c>
      <c r="P325">
        <f t="shared" si="964"/>
        <v>0.49420993649607969</v>
      </c>
      <c r="Q325">
        <f t="shared" si="965"/>
        <v>63833328.652222894</v>
      </c>
      <c r="R325">
        <f t="shared" si="966"/>
        <v>-8775879194.7581043</v>
      </c>
      <c r="S325">
        <f t="shared" si="967"/>
        <v>-87758.791947581049</v>
      </c>
      <c r="T325">
        <f t="shared" si="968"/>
        <v>-87.758791947581045</v>
      </c>
    </row>
    <row r="326" spans="1:20" x14ac:dyDescent="0.25">
      <c r="A326" s="5">
        <v>44267</v>
      </c>
      <c r="B326">
        <v>3.0338E-2</v>
      </c>
      <c r="C326">
        <v>3.49E-2</v>
      </c>
      <c r="D326">
        <v>2.9569000000000002E-2</v>
      </c>
      <c r="E326">
        <v>3.2642999999999998E-2</v>
      </c>
      <c r="F326">
        <v>265292563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0.15325454886512754</v>
      </c>
      <c r="Q326">
        <f t="shared" ref="Q326:Q389" si="970">F326*P326</f>
        <v>40657292.059838429</v>
      </c>
      <c r="R326">
        <f t="shared" ref="R326:R389" si="971">R327+Q326</f>
        <v>-8839712523.4103279</v>
      </c>
      <c r="S326">
        <f t="shared" ref="S326:S389" si="972">R326/100000</f>
        <v>-88397.125234103281</v>
      </c>
      <c r="T326">
        <f t="shared" ref="T326:T389" si="973">S326/1000</f>
        <v>-88.397125234103285</v>
      </c>
    </row>
    <row r="327" spans="1:20" x14ac:dyDescent="0.25">
      <c r="A327" s="5">
        <v>44266</v>
      </c>
      <c r="B327">
        <v>3.2717999999999997E-2</v>
      </c>
      <c r="C327">
        <v>3.3300000000000003E-2</v>
      </c>
      <c r="D327">
        <v>2.6606000000000001E-2</v>
      </c>
      <c r="E327">
        <v>3.022E-2</v>
      </c>
      <c r="F327">
        <v>164922892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7.977293098296924E-2</v>
      </c>
      <c r="Q327">
        <f t="shared" si="970"/>
        <v>13156382.481027689</v>
      </c>
      <c r="R327">
        <f t="shared" si="971"/>
        <v>-8880369815.4701672</v>
      </c>
      <c r="S327">
        <f t="shared" si="972"/>
        <v>-88803.698154701677</v>
      </c>
      <c r="T327">
        <f t="shared" si="973"/>
        <v>-88.803698154701678</v>
      </c>
    </row>
    <row r="328" spans="1:20" x14ac:dyDescent="0.25">
      <c r="A328" s="5">
        <v>44265</v>
      </c>
      <c r="B328">
        <v>3.4334000000000003E-2</v>
      </c>
      <c r="C328">
        <v>3.49E-2</v>
      </c>
      <c r="D328">
        <v>3.1859999999999999E-2</v>
      </c>
      <c r="E328">
        <v>3.2737000000000002E-2</v>
      </c>
      <c r="F328">
        <v>67285711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-0.42302631578947203</v>
      </c>
      <c r="Q328">
        <f t="shared" si="970"/>
        <v>-28463626.429605152</v>
      </c>
      <c r="R328">
        <f t="shared" si="971"/>
        <v>-8893526197.9511948</v>
      </c>
      <c r="S328">
        <f t="shared" si="972"/>
        <v>-88935.261979511954</v>
      </c>
      <c r="T328">
        <f t="shared" si="973"/>
        <v>-88.935261979511949</v>
      </c>
    </row>
    <row r="329" spans="1:20" x14ac:dyDescent="0.25">
      <c r="A329" s="5">
        <v>44264</v>
      </c>
      <c r="B329">
        <v>3.4901000000000001E-2</v>
      </c>
      <c r="C329">
        <v>3.5499000000000003E-2</v>
      </c>
      <c r="D329">
        <v>3.3193E-2</v>
      </c>
      <c r="E329">
        <v>3.4331E-2</v>
      </c>
      <c r="F329">
        <v>70400322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-1.3009540329575983E-2</v>
      </c>
      <c r="Q329">
        <f t="shared" si="970"/>
        <v>-915875.82827413536</v>
      </c>
      <c r="R329">
        <f t="shared" si="971"/>
        <v>-8865062571.5215893</v>
      </c>
      <c r="S329">
        <f t="shared" si="972"/>
        <v>-88650.625715215894</v>
      </c>
      <c r="T329">
        <f t="shared" si="973"/>
        <v>-88.650625715215895</v>
      </c>
    </row>
    <row r="330" spans="1:20" x14ac:dyDescent="0.25">
      <c r="A330" s="5">
        <v>44263</v>
      </c>
      <c r="B330">
        <v>3.3154999999999997E-2</v>
      </c>
      <c r="C330">
        <v>3.6726000000000002E-2</v>
      </c>
      <c r="D330">
        <v>3.2001000000000002E-2</v>
      </c>
      <c r="E330">
        <v>3.49E-2</v>
      </c>
      <c r="F330">
        <v>77828327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0.22708994708994656</v>
      </c>
      <c r="Q330">
        <f t="shared" si="970"/>
        <v>17674030.660529058</v>
      </c>
      <c r="R330">
        <f t="shared" si="971"/>
        <v>-8864146695.6933155</v>
      </c>
      <c r="S330">
        <f t="shared" si="972"/>
        <v>-88641.46695693316</v>
      </c>
      <c r="T330">
        <f t="shared" si="973"/>
        <v>-88.641466956933158</v>
      </c>
    </row>
    <row r="331" spans="1:20" x14ac:dyDescent="0.25">
      <c r="A331" s="5">
        <v>44262</v>
      </c>
      <c r="B331">
        <v>3.3799999999999997E-2</v>
      </c>
      <c r="C331">
        <v>3.5999999999999997E-2</v>
      </c>
      <c r="D331">
        <v>3.1551000000000003E-2</v>
      </c>
      <c r="E331">
        <v>3.3172E-2</v>
      </c>
      <c r="F331">
        <v>70673989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-0.27129692065632754</v>
      </c>
      <c r="Q331">
        <f t="shared" si="970"/>
        <v>-19173635.586199164</v>
      </c>
      <c r="R331">
        <f t="shared" si="971"/>
        <v>-8881820726.3538437</v>
      </c>
      <c r="S331">
        <f t="shared" si="972"/>
        <v>-88818.207263538439</v>
      </c>
      <c r="T331">
        <f t="shared" si="973"/>
        <v>-88.81820726353844</v>
      </c>
    </row>
    <row r="332" spans="1:20" x14ac:dyDescent="0.25">
      <c r="A332" s="5">
        <v>44261</v>
      </c>
      <c r="B332">
        <v>2.9943999999999998E-2</v>
      </c>
      <c r="C332">
        <v>3.6394000000000003E-2</v>
      </c>
      <c r="D332">
        <v>2.8903000000000002E-2</v>
      </c>
      <c r="E332">
        <v>3.3984E-2</v>
      </c>
      <c r="F332">
        <v>74601628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0.35656120678147057</v>
      </c>
      <c r="Q332">
        <f t="shared" si="970"/>
        <v>26600046.507542346</v>
      </c>
      <c r="R332">
        <f t="shared" si="971"/>
        <v>-8862647090.7676449</v>
      </c>
      <c r="S332">
        <f t="shared" si="972"/>
        <v>-88626.470907676456</v>
      </c>
      <c r="T332">
        <f t="shared" si="973"/>
        <v>-88.626470907676449</v>
      </c>
    </row>
    <row r="333" spans="1:20" x14ac:dyDescent="0.25">
      <c r="A333" s="5">
        <v>44260</v>
      </c>
      <c r="B333">
        <v>3.0269999999999998E-2</v>
      </c>
      <c r="C333">
        <v>3.0432000000000001E-2</v>
      </c>
      <c r="D333">
        <v>2.8083E-2</v>
      </c>
      <c r="E333">
        <v>2.9943999999999998E-2</v>
      </c>
      <c r="F333">
        <v>16654594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0.58450404427415736</v>
      </c>
      <c r="Q333">
        <f t="shared" si="970"/>
        <v>9734677.548744116</v>
      </c>
      <c r="R333">
        <f t="shared" si="971"/>
        <v>-8889247137.2751865</v>
      </c>
      <c r="S333">
        <f t="shared" si="972"/>
        <v>-88892.471372751868</v>
      </c>
      <c r="T333">
        <f t="shared" si="973"/>
        <v>-88.892471372751871</v>
      </c>
    </row>
    <row r="334" spans="1:20" x14ac:dyDescent="0.25">
      <c r="A334" s="5">
        <v>44259</v>
      </c>
      <c r="B334">
        <v>3.1664999999999999E-2</v>
      </c>
      <c r="C334">
        <v>3.2099999999999997E-2</v>
      </c>
      <c r="D334">
        <v>2.86E-2</v>
      </c>
      <c r="E334">
        <v>3.0207999999999999E-2</v>
      </c>
      <c r="F334">
        <v>36180043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-8.11428571428571E-2</v>
      </c>
      <c r="Q334">
        <f t="shared" si="970"/>
        <v>-2935752.060571427</v>
      </c>
      <c r="R334">
        <f t="shared" si="971"/>
        <v>-8898981814.8239307</v>
      </c>
      <c r="S334">
        <f t="shared" si="972"/>
        <v>-88989.818148239312</v>
      </c>
      <c r="T334">
        <f t="shared" si="973"/>
        <v>-88.989818148239308</v>
      </c>
    </row>
    <row r="335" spans="1:20" x14ac:dyDescent="0.25">
      <c r="A335" s="5">
        <v>44258</v>
      </c>
      <c r="B335">
        <v>3.0339999999999999E-2</v>
      </c>
      <c r="C335">
        <v>3.3000000000000002E-2</v>
      </c>
      <c r="D335">
        <v>2.9339E-2</v>
      </c>
      <c r="E335">
        <v>3.1664999999999999E-2</v>
      </c>
      <c r="F335">
        <v>46780180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0.2706910680142024</v>
      </c>
      <c r="Q335">
        <f t="shared" si="970"/>
        <v>12662976.88609663</v>
      </c>
      <c r="R335">
        <f t="shared" si="971"/>
        <v>-8896046062.7633591</v>
      </c>
      <c r="S335">
        <f t="shared" si="972"/>
        <v>-88960.460627633583</v>
      </c>
      <c r="T335">
        <f t="shared" si="973"/>
        <v>-88.96046062763358</v>
      </c>
    </row>
    <row r="336" spans="1:20" x14ac:dyDescent="0.25">
      <c r="A336" s="5">
        <v>44257</v>
      </c>
      <c r="B336">
        <v>2.9177000000000002E-2</v>
      </c>
      <c r="C336">
        <v>3.3250000000000002E-2</v>
      </c>
      <c r="D336">
        <v>2.7705E-2</v>
      </c>
      <c r="E336">
        <v>3.0207000000000001E-2</v>
      </c>
      <c r="F336">
        <v>79434443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-9.7565374211000838E-2</v>
      </c>
      <c r="Q336">
        <f t="shared" si="970"/>
        <v>-7750051.1565374164</v>
      </c>
      <c r="R336">
        <f t="shared" si="971"/>
        <v>-8908709039.649456</v>
      </c>
      <c r="S336">
        <f t="shared" si="972"/>
        <v>-89087.090396494561</v>
      </c>
      <c r="T336">
        <f t="shared" si="973"/>
        <v>-89.08709039649456</v>
      </c>
    </row>
    <row r="337" spans="1:20" x14ac:dyDescent="0.25">
      <c r="A337" s="5">
        <v>44256</v>
      </c>
      <c r="B337">
        <v>2.6884000000000002E-2</v>
      </c>
      <c r="C337">
        <v>2.9179E-2</v>
      </c>
      <c r="D337">
        <v>2.5041999999999998E-2</v>
      </c>
      <c r="E337">
        <v>2.8989000000000001E-2</v>
      </c>
      <c r="F337">
        <v>52501035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0.90814599951655828</v>
      </c>
      <c r="Q337">
        <f t="shared" si="970"/>
        <v>47678604.90572881</v>
      </c>
      <c r="R337">
        <f t="shared" si="971"/>
        <v>-8900958988.492918</v>
      </c>
      <c r="S337">
        <f t="shared" si="972"/>
        <v>-89009.589884929184</v>
      </c>
      <c r="T337">
        <f t="shared" si="973"/>
        <v>-89.009589884929184</v>
      </c>
    </row>
    <row r="338" spans="1:20" x14ac:dyDescent="0.25">
      <c r="A338" s="5">
        <v>44255</v>
      </c>
      <c r="B338">
        <v>2.9277999999999998E-2</v>
      </c>
      <c r="C338">
        <v>2.9278999999999999E-2</v>
      </c>
      <c r="D338">
        <v>2.47E-2</v>
      </c>
      <c r="E338">
        <v>2.6863999999999999E-2</v>
      </c>
      <c r="F338">
        <v>36380820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-5.4815461891242902E-2</v>
      </c>
      <c r="Q338">
        <f t="shared" si="970"/>
        <v>-1994231.4522821675</v>
      </c>
      <c r="R338">
        <f t="shared" si="971"/>
        <v>-8948637593.3986473</v>
      </c>
      <c r="S338">
        <f t="shared" si="972"/>
        <v>-89486.375933986477</v>
      </c>
      <c r="T338">
        <f t="shared" si="973"/>
        <v>-89.48637593398648</v>
      </c>
    </row>
    <row r="339" spans="1:20" x14ac:dyDescent="0.25">
      <c r="A339" s="5">
        <v>44254</v>
      </c>
      <c r="B339">
        <v>2.9878999999999999E-2</v>
      </c>
      <c r="C339">
        <v>3.1370000000000002E-2</v>
      </c>
      <c r="D339">
        <v>2.8548E-2</v>
      </c>
      <c r="E339">
        <v>2.928E-2</v>
      </c>
      <c r="F339">
        <v>33570809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-0.4812189936215453</v>
      </c>
      <c r="Q339">
        <f t="shared" si="970"/>
        <v>-16154910.922041116</v>
      </c>
      <c r="R339">
        <f t="shared" si="971"/>
        <v>-8946643361.9463654</v>
      </c>
      <c r="S339">
        <f t="shared" si="972"/>
        <v>-89466.433619463656</v>
      </c>
      <c r="T339">
        <f t="shared" si="973"/>
        <v>-89.466433619463658</v>
      </c>
    </row>
    <row r="340" spans="1:20" x14ac:dyDescent="0.25">
      <c r="A340" s="5">
        <v>44253</v>
      </c>
      <c r="B340">
        <v>3.1161000000000001E-2</v>
      </c>
      <c r="C340">
        <v>3.2458000000000001E-2</v>
      </c>
      <c r="D340">
        <v>2.9145999999999998E-2</v>
      </c>
      <c r="E340">
        <v>2.9995999999999998E-2</v>
      </c>
      <c r="F340">
        <v>50742994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-0.48671497584541096</v>
      </c>
      <c r="Q340">
        <f t="shared" si="970"/>
        <v>-24697375.099033833</v>
      </c>
      <c r="R340">
        <f t="shared" si="971"/>
        <v>-8930488451.0243244</v>
      </c>
      <c r="S340">
        <f t="shared" si="972"/>
        <v>-89304.884510243239</v>
      </c>
      <c r="T340">
        <f t="shared" si="973"/>
        <v>-89.304884510243241</v>
      </c>
    </row>
    <row r="341" spans="1:20" x14ac:dyDescent="0.25">
      <c r="A341" s="5">
        <v>44252</v>
      </c>
      <c r="B341">
        <v>3.5354999999999998E-2</v>
      </c>
      <c r="C341">
        <v>3.8614999999999997E-2</v>
      </c>
      <c r="D341">
        <v>3.1123999999999999E-2</v>
      </c>
      <c r="E341">
        <v>3.1150000000000001E-2</v>
      </c>
      <c r="F341">
        <v>146079544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-0.993058336670671</v>
      </c>
      <c r="Q341">
        <f t="shared" si="970"/>
        <v>-145065508.9862501</v>
      </c>
      <c r="R341">
        <f t="shared" si="971"/>
        <v>-8905791075.9252911</v>
      </c>
      <c r="S341">
        <f t="shared" si="972"/>
        <v>-89057.910759252904</v>
      </c>
      <c r="T341">
        <f t="shared" si="973"/>
        <v>-89.057910759252906</v>
      </c>
    </row>
    <row r="342" spans="1:20" x14ac:dyDescent="0.25">
      <c r="A342" s="5">
        <v>44251</v>
      </c>
      <c r="B342">
        <v>2.6398999999999999E-2</v>
      </c>
      <c r="C342">
        <v>3.9725999999999997E-2</v>
      </c>
      <c r="D342">
        <v>2.4275000000000001E-2</v>
      </c>
      <c r="E342">
        <v>3.5212E-2</v>
      </c>
      <c r="F342">
        <v>235125020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0.41570124911009015</v>
      </c>
      <c r="Q342">
        <f t="shared" si="970"/>
        <v>97741764.511034936</v>
      </c>
      <c r="R342">
        <f t="shared" si="971"/>
        <v>-8760725566.9390411</v>
      </c>
      <c r="S342">
        <f t="shared" si="972"/>
        <v>-87607.255669390404</v>
      </c>
      <c r="T342">
        <f t="shared" si="973"/>
        <v>-87.607255669390398</v>
      </c>
    </row>
    <row r="343" spans="1:20" x14ac:dyDescent="0.25">
      <c r="A343" s="5">
        <v>44250</v>
      </c>
      <c r="B343">
        <v>3.1427999999999998E-2</v>
      </c>
      <c r="C343">
        <v>3.1441999999999998E-2</v>
      </c>
      <c r="D343">
        <v>2.2200000000000001E-2</v>
      </c>
      <c r="E343">
        <v>2.6342999999999998E-2</v>
      </c>
      <c r="F343">
        <v>63095499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-0.10344081367669361</v>
      </c>
      <c r="Q343">
        <f t="shared" si="970"/>
        <v>-6526649.7558970079</v>
      </c>
      <c r="R343">
        <f t="shared" si="971"/>
        <v>-8858467331.4500751</v>
      </c>
      <c r="S343">
        <f t="shared" si="972"/>
        <v>-88584.673314500746</v>
      </c>
      <c r="T343">
        <f t="shared" si="973"/>
        <v>-88.584673314500748</v>
      </c>
    </row>
    <row r="344" spans="1:20" x14ac:dyDescent="0.25">
      <c r="A344" s="5">
        <v>44249</v>
      </c>
      <c r="B344">
        <v>3.4536999999999998E-2</v>
      </c>
      <c r="C344">
        <v>3.4796000000000001E-2</v>
      </c>
      <c r="D344">
        <v>2.6100000000000002E-2</v>
      </c>
      <c r="E344">
        <v>3.1206999999999999E-2</v>
      </c>
      <c r="F344">
        <v>53794907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0.17456301747930028</v>
      </c>
      <c r="Q344">
        <f t="shared" si="970"/>
        <v>9390601.2909383327</v>
      </c>
      <c r="R344">
        <f t="shared" si="971"/>
        <v>-8851940681.6941776</v>
      </c>
      <c r="S344">
        <f t="shared" si="972"/>
        <v>-88519.406816941773</v>
      </c>
      <c r="T344">
        <f t="shared" si="973"/>
        <v>-88.519406816941768</v>
      </c>
    </row>
    <row r="345" spans="1:20" x14ac:dyDescent="0.25">
      <c r="A345" s="5">
        <v>44248</v>
      </c>
      <c r="B345">
        <v>3.3096E-2</v>
      </c>
      <c r="C345">
        <v>3.5860999999999997E-2</v>
      </c>
      <c r="D345">
        <v>3.2412999999999997E-2</v>
      </c>
      <c r="E345">
        <v>3.4645000000000002E-2</v>
      </c>
      <c r="F345">
        <v>35516627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0.29466357308584978</v>
      </c>
      <c r="Q345">
        <f t="shared" si="970"/>
        <v>10465456.215777365</v>
      </c>
      <c r="R345">
        <f t="shared" si="971"/>
        <v>-8861331282.9851151</v>
      </c>
      <c r="S345">
        <f t="shared" si="972"/>
        <v>-88613.312829851144</v>
      </c>
      <c r="T345">
        <f t="shared" si="973"/>
        <v>-88.613312829851139</v>
      </c>
    </row>
    <row r="346" spans="1:20" x14ac:dyDescent="0.25">
      <c r="A346" s="5">
        <v>44247</v>
      </c>
      <c r="B346">
        <v>3.5043999999999999E-2</v>
      </c>
      <c r="C346">
        <v>3.6915000000000003E-2</v>
      </c>
      <c r="D346">
        <v>3.159E-2</v>
      </c>
      <c r="E346">
        <v>3.3189000000000003E-2</v>
      </c>
      <c r="F346">
        <v>79695199</v>
      </c>
      <c r="G346">
        <v>0</v>
      </c>
      <c r="L346" t="s">
        <v>7</v>
      </c>
      <c r="M346" t="s">
        <v>8</v>
      </c>
      <c r="N346" t="s">
        <v>7</v>
      </c>
      <c r="P346">
        <f t="shared" si="969"/>
        <v>-0.39943661971830902</v>
      </c>
      <c r="Q346">
        <f t="shared" si="970"/>
        <v>-31833180.89633796</v>
      </c>
      <c r="R346">
        <f t="shared" si="971"/>
        <v>-8871796739.2008915</v>
      </c>
      <c r="S346">
        <f t="shared" si="972"/>
        <v>-88717.967392008912</v>
      </c>
      <c r="T346">
        <f t="shared" si="973"/>
        <v>-88.717967392008916</v>
      </c>
    </row>
    <row r="347" spans="1:20" x14ac:dyDescent="0.25">
      <c r="A347" s="5">
        <v>44246</v>
      </c>
      <c r="B347">
        <v>3.5784000000000003E-2</v>
      </c>
      <c r="C347">
        <v>3.7650999999999997E-2</v>
      </c>
      <c r="D347">
        <v>3.3667000000000002E-2</v>
      </c>
      <c r="E347">
        <v>3.5043999999999999E-2</v>
      </c>
      <c r="F347">
        <v>79694242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-0.30873493975903704</v>
      </c>
      <c r="Q347">
        <f t="shared" si="970"/>
        <v>-24604397.003012121</v>
      </c>
      <c r="R347">
        <f t="shared" si="971"/>
        <v>-8839963558.304554</v>
      </c>
      <c r="S347">
        <f t="shared" si="972"/>
        <v>-88399.635583045543</v>
      </c>
      <c r="T347">
        <f t="shared" si="973"/>
        <v>-88.399635583045537</v>
      </c>
    </row>
    <row r="348" spans="1:20" x14ac:dyDescent="0.25">
      <c r="A348" s="5">
        <v>44245</v>
      </c>
      <c r="B348">
        <v>3.4192E-2</v>
      </c>
      <c r="C348">
        <v>3.7170000000000002E-2</v>
      </c>
      <c r="D348">
        <v>3.3488999999999998E-2</v>
      </c>
      <c r="E348">
        <v>3.5776000000000002E-2</v>
      </c>
      <c r="F348">
        <v>72374777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0.24259712034773268</v>
      </c>
      <c r="Q348">
        <f t="shared" si="970"/>
        <v>17557912.486009315</v>
      </c>
      <c r="R348">
        <f t="shared" si="971"/>
        <v>-8815359161.3015423</v>
      </c>
      <c r="S348">
        <f t="shared" si="972"/>
        <v>-88153.591613015422</v>
      </c>
      <c r="T348">
        <f t="shared" si="973"/>
        <v>-88.153591613015422</v>
      </c>
    </row>
    <row r="349" spans="1:20" x14ac:dyDescent="0.25">
      <c r="A349" s="5">
        <v>44244</v>
      </c>
      <c r="B349">
        <v>3.4062000000000002E-2</v>
      </c>
      <c r="C349">
        <v>3.4500000000000003E-2</v>
      </c>
      <c r="D349">
        <v>3.0827E-2</v>
      </c>
      <c r="E349">
        <v>3.4192E-2</v>
      </c>
      <c r="F349">
        <v>70473282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0.83228968145929627</v>
      </c>
      <c r="Q349">
        <f t="shared" si="970"/>
        <v>58654185.427171156</v>
      </c>
      <c r="R349">
        <f t="shared" si="971"/>
        <v>-8832917073.7875519</v>
      </c>
      <c r="S349">
        <f t="shared" si="972"/>
        <v>-88329.170737875524</v>
      </c>
      <c r="T349">
        <f t="shared" si="973"/>
        <v>-88.329170737875529</v>
      </c>
    </row>
    <row r="350" spans="1:20" x14ac:dyDescent="0.25">
      <c r="A350" s="5">
        <v>44243</v>
      </c>
      <c r="B350">
        <v>3.5573E-2</v>
      </c>
      <c r="C350">
        <v>3.6999999999999998E-2</v>
      </c>
      <c r="D350">
        <v>3.2649999999999998E-2</v>
      </c>
      <c r="E350">
        <v>3.4062000000000002E-2</v>
      </c>
      <c r="F350">
        <v>68401687</v>
      </c>
      <c r="G350">
        <v>0</v>
      </c>
      <c r="L350" t="s">
        <v>8</v>
      </c>
      <c r="M350" t="s">
        <v>7</v>
      </c>
      <c r="N350" t="s">
        <v>7</v>
      </c>
      <c r="P350">
        <f t="shared" si="969"/>
        <v>-0.35080459770114775</v>
      </c>
      <c r="Q350">
        <f t="shared" si="970"/>
        <v>-23995626.290114827</v>
      </c>
      <c r="R350">
        <f t="shared" si="971"/>
        <v>-8891571259.2147236</v>
      </c>
      <c r="S350">
        <f t="shared" si="972"/>
        <v>-88915.712592147232</v>
      </c>
      <c r="T350">
        <f t="shared" si="973"/>
        <v>-88.91571259214723</v>
      </c>
    </row>
    <row r="351" spans="1:20" x14ac:dyDescent="0.25">
      <c r="A351" s="5">
        <v>44242</v>
      </c>
      <c r="B351">
        <v>3.7645999999999999E-2</v>
      </c>
      <c r="C351">
        <v>3.9E-2</v>
      </c>
      <c r="D351">
        <v>3.2509999999999997E-2</v>
      </c>
      <c r="E351">
        <v>3.5451000000000003E-2</v>
      </c>
      <c r="F351">
        <v>75112080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-9.3682588597841329E-2</v>
      </c>
      <c r="Q351">
        <f t="shared" si="970"/>
        <v>-7036694.0893681459</v>
      </c>
      <c r="R351">
        <f t="shared" si="971"/>
        <v>-8867575632.9246082</v>
      </c>
      <c r="S351">
        <f t="shared" si="972"/>
        <v>-88675.756329246084</v>
      </c>
      <c r="T351">
        <f t="shared" si="973"/>
        <v>-88.675756329246084</v>
      </c>
    </row>
    <row r="352" spans="1:20" x14ac:dyDescent="0.25">
      <c r="A352" s="5">
        <v>44241</v>
      </c>
      <c r="B352">
        <v>4.3340999999999998E-2</v>
      </c>
      <c r="C352">
        <v>4.3890999999999999E-2</v>
      </c>
      <c r="D352">
        <v>3.6999999999999998E-2</v>
      </c>
      <c r="E352">
        <v>3.7465999999999999E-2</v>
      </c>
      <c r="F352">
        <v>87286219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-0.8647511246553472</v>
      </c>
      <c r="Q352">
        <f t="shared" si="970"/>
        <v>-75480856.047162935</v>
      </c>
      <c r="R352">
        <f t="shared" si="971"/>
        <v>-8860538938.8352394</v>
      </c>
      <c r="S352">
        <f t="shared" si="972"/>
        <v>-88605.3893883524</v>
      </c>
      <c r="T352">
        <f t="shared" si="973"/>
        <v>-88.605389388352393</v>
      </c>
    </row>
    <row r="353" spans="1:20" x14ac:dyDescent="0.25">
      <c r="A353" s="5">
        <v>44240</v>
      </c>
      <c r="B353">
        <v>3.7989000000000002E-2</v>
      </c>
      <c r="C353">
        <v>4.589E-2</v>
      </c>
      <c r="D353">
        <v>3.7316000000000002E-2</v>
      </c>
      <c r="E353">
        <v>4.3321999999999999E-2</v>
      </c>
      <c r="F353">
        <v>238856731</v>
      </c>
      <c r="G353">
        <v>0</v>
      </c>
      <c r="L353" t="s">
        <v>8</v>
      </c>
      <c r="M353" t="s">
        <v>8</v>
      </c>
      <c r="N353" t="s">
        <v>7</v>
      </c>
      <c r="P353">
        <f t="shared" si="969"/>
        <v>0.40097970608817324</v>
      </c>
      <c r="Q353">
        <f t="shared" si="970"/>
        <v>95776701.793561861</v>
      </c>
      <c r="R353">
        <f t="shared" si="971"/>
        <v>-8785058082.7880764</v>
      </c>
      <c r="S353">
        <f t="shared" si="972"/>
        <v>-87850.580827880767</v>
      </c>
      <c r="T353">
        <f t="shared" si="973"/>
        <v>-87.850580827880762</v>
      </c>
    </row>
    <row r="354" spans="1:20" x14ac:dyDescent="0.25">
      <c r="A354" s="5">
        <v>44239</v>
      </c>
      <c r="B354">
        <v>3.6755999999999997E-2</v>
      </c>
      <c r="C354">
        <v>3.7989000000000002E-2</v>
      </c>
      <c r="D354">
        <v>3.5004E-2</v>
      </c>
      <c r="E354">
        <v>3.7899000000000002E-2</v>
      </c>
      <c r="F354">
        <v>88373077</v>
      </c>
      <c r="G354">
        <v>0</v>
      </c>
      <c r="L354" t="s">
        <v>7</v>
      </c>
      <c r="M354" t="s">
        <v>7</v>
      </c>
      <c r="N354" t="s">
        <v>7</v>
      </c>
      <c r="P354">
        <f t="shared" si="969"/>
        <v>0.93969849246231174</v>
      </c>
      <c r="Q354">
        <f t="shared" si="970"/>
        <v>83044047.231155798</v>
      </c>
      <c r="R354">
        <f t="shared" si="971"/>
        <v>-8880834784.5816383</v>
      </c>
      <c r="S354">
        <f t="shared" si="972"/>
        <v>-88808.347845816388</v>
      </c>
      <c r="T354">
        <f t="shared" si="973"/>
        <v>-88.808347845816385</v>
      </c>
    </row>
    <row r="355" spans="1:20" x14ac:dyDescent="0.25">
      <c r="A355" s="5">
        <v>44238</v>
      </c>
      <c r="B355">
        <v>3.6277999999999998E-2</v>
      </c>
      <c r="C355">
        <v>3.8289999999999998E-2</v>
      </c>
      <c r="D355">
        <v>3.5306999999999998E-2</v>
      </c>
      <c r="E355">
        <v>3.6650000000000002E-2</v>
      </c>
      <c r="F355">
        <v>101595576</v>
      </c>
      <c r="G355">
        <v>0</v>
      </c>
      <c r="L355" t="s">
        <v>8</v>
      </c>
      <c r="M355" t="s">
        <v>7</v>
      </c>
      <c r="N355" t="s">
        <v>7</v>
      </c>
      <c r="P355">
        <f t="shared" si="969"/>
        <v>-9.9564197116993547E-2</v>
      </c>
      <c r="Q355">
        <f t="shared" si="970"/>
        <v>-10115281.955078499</v>
      </c>
      <c r="R355">
        <f t="shared" si="971"/>
        <v>-8963878831.8127937</v>
      </c>
      <c r="S355">
        <f t="shared" si="972"/>
        <v>-89638.788318127932</v>
      </c>
      <c r="T355">
        <f t="shared" si="973"/>
        <v>-89.638788318127936</v>
      </c>
    </row>
    <row r="356" spans="1:20" x14ac:dyDescent="0.25">
      <c r="A356" s="5">
        <v>44237</v>
      </c>
      <c r="B356">
        <v>3.8835000000000001E-2</v>
      </c>
      <c r="C356">
        <v>4.1000000000000002E-2</v>
      </c>
      <c r="D356">
        <v>3.4672000000000001E-2</v>
      </c>
      <c r="E356">
        <v>3.6155E-2</v>
      </c>
      <c r="F356">
        <v>144688848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-0.5312895069532243</v>
      </c>
      <c r="Q356">
        <f t="shared" si="970"/>
        <v>-76871666.71555002</v>
      </c>
      <c r="R356">
        <f t="shared" si="971"/>
        <v>-8953763549.8577156</v>
      </c>
      <c r="S356">
        <f t="shared" si="972"/>
        <v>-89537.635498577161</v>
      </c>
      <c r="T356">
        <f t="shared" si="973"/>
        <v>-89.53763549857716</v>
      </c>
    </row>
    <row r="357" spans="1:20" x14ac:dyDescent="0.25">
      <c r="A357" s="5">
        <v>44236</v>
      </c>
      <c r="B357">
        <v>3.8064000000000001E-2</v>
      </c>
      <c r="C357">
        <v>3.9949999999999999E-2</v>
      </c>
      <c r="D357">
        <v>3.6764999999999999E-2</v>
      </c>
      <c r="E357">
        <v>3.8835000000000001E-2</v>
      </c>
      <c r="F357">
        <v>130186886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0.29984301412872977</v>
      </c>
      <c r="Q357">
        <f t="shared" si="970"/>
        <v>39035628.298273332</v>
      </c>
      <c r="R357">
        <f t="shared" si="971"/>
        <v>-8876891883.1421661</v>
      </c>
      <c r="S357">
        <f t="shared" si="972"/>
        <v>-88768.918831421659</v>
      </c>
      <c r="T357">
        <f t="shared" si="973"/>
        <v>-88.768918831421658</v>
      </c>
    </row>
    <row r="358" spans="1:20" x14ac:dyDescent="0.25">
      <c r="A358" s="5">
        <v>44235</v>
      </c>
      <c r="B358">
        <v>3.7158999999999998E-2</v>
      </c>
      <c r="C358">
        <v>4.2479999999999997E-2</v>
      </c>
      <c r="D358">
        <v>3.6990000000000002E-2</v>
      </c>
      <c r="E358">
        <v>3.8080000000000003E-2</v>
      </c>
      <c r="F358">
        <v>121949689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-0.60291438979963508</v>
      </c>
      <c r="Q358">
        <f t="shared" si="970"/>
        <v>-73525222.329690263</v>
      </c>
      <c r="R358">
        <f t="shared" si="971"/>
        <v>-8915927511.4404392</v>
      </c>
      <c r="S358">
        <f t="shared" si="972"/>
        <v>-89159.275114404387</v>
      </c>
      <c r="T358">
        <f t="shared" si="973"/>
        <v>-89.15927511440438</v>
      </c>
    </row>
    <row r="359" spans="1:20" x14ac:dyDescent="0.25">
      <c r="A359" s="5">
        <v>44234</v>
      </c>
      <c r="B359">
        <v>3.9756E-2</v>
      </c>
      <c r="C359">
        <v>4.4499999999999998E-2</v>
      </c>
      <c r="D359">
        <v>3.6096000000000003E-2</v>
      </c>
      <c r="E359">
        <v>3.7168E-2</v>
      </c>
      <c r="F359">
        <v>124925034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-0.74488338886244709</v>
      </c>
      <c r="Q359">
        <f t="shared" si="970"/>
        <v>-93054582.679676428</v>
      </c>
      <c r="R359">
        <f t="shared" si="971"/>
        <v>-8842402289.1107483</v>
      </c>
      <c r="S359">
        <f t="shared" si="972"/>
        <v>-88424.022891107481</v>
      </c>
      <c r="T359">
        <f t="shared" si="973"/>
        <v>-88.424022891107484</v>
      </c>
    </row>
    <row r="360" spans="1:20" x14ac:dyDescent="0.25">
      <c r="A360" s="5">
        <v>44233</v>
      </c>
      <c r="B360">
        <v>4.3698000000000001E-2</v>
      </c>
      <c r="C360">
        <v>4.6255999999999999E-2</v>
      </c>
      <c r="D360">
        <v>3.6999999999999998E-2</v>
      </c>
      <c r="E360">
        <v>3.9757000000000001E-2</v>
      </c>
      <c r="F360">
        <v>138283939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-0.40427830596369868</v>
      </c>
      <c r="Q360">
        <f t="shared" si="970"/>
        <v>-55905196.600907445</v>
      </c>
      <c r="R360">
        <f t="shared" si="971"/>
        <v>-8749347706.4310722</v>
      </c>
      <c r="S360">
        <f t="shared" si="972"/>
        <v>-87493.477064310719</v>
      </c>
      <c r="T360">
        <f t="shared" si="973"/>
        <v>-87.493477064310724</v>
      </c>
    </row>
    <row r="361" spans="1:20" x14ac:dyDescent="0.25">
      <c r="A361" s="5">
        <v>44232</v>
      </c>
      <c r="B361">
        <v>4.2958999999999997E-2</v>
      </c>
      <c r="C361">
        <v>4.6699999999999998E-2</v>
      </c>
      <c r="D361">
        <v>4.2000000000000003E-2</v>
      </c>
      <c r="E361">
        <v>4.3699000000000002E-2</v>
      </c>
      <c r="F361">
        <v>107141681</v>
      </c>
      <c r="G361">
        <v>0</v>
      </c>
      <c r="L361" t="s">
        <v>7</v>
      </c>
      <c r="M361" t="s">
        <v>8</v>
      </c>
      <c r="N361" t="s">
        <v>7</v>
      </c>
      <c r="P361">
        <f t="shared" si="969"/>
        <v>-0.27702127659574444</v>
      </c>
      <c r="Q361">
        <f t="shared" si="970"/>
        <v>-29680525.247234017</v>
      </c>
      <c r="R361">
        <f t="shared" si="971"/>
        <v>-8693442509.830164</v>
      </c>
      <c r="S361">
        <f t="shared" si="972"/>
        <v>-86934.425098301639</v>
      </c>
      <c r="T361">
        <f t="shared" si="973"/>
        <v>-86.934425098301645</v>
      </c>
    </row>
    <row r="362" spans="1:20" x14ac:dyDescent="0.25">
      <c r="A362" s="5">
        <v>44231</v>
      </c>
      <c r="B362">
        <v>4.7023000000000002E-2</v>
      </c>
      <c r="C362">
        <v>4.8300000000000003E-2</v>
      </c>
      <c r="D362">
        <v>4.1995999999999999E-2</v>
      </c>
      <c r="E362">
        <v>4.2803000000000001E-2</v>
      </c>
      <c r="F362">
        <v>124608444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-0.74397208121827363</v>
      </c>
      <c r="Q362">
        <f t="shared" si="970"/>
        <v>-92705203.420050696</v>
      </c>
      <c r="R362">
        <f t="shared" si="971"/>
        <v>-8663761984.5829296</v>
      </c>
      <c r="S362">
        <f t="shared" si="972"/>
        <v>-86637.619845829293</v>
      </c>
      <c r="T362">
        <f t="shared" si="973"/>
        <v>-86.637619845829292</v>
      </c>
    </row>
    <row r="363" spans="1:20" x14ac:dyDescent="0.25">
      <c r="A363" s="5">
        <v>44230</v>
      </c>
      <c r="B363">
        <v>3.7061999999999998E-2</v>
      </c>
      <c r="C363">
        <v>5.8900000000000001E-2</v>
      </c>
      <c r="D363">
        <v>3.6806999999999999E-2</v>
      </c>
      <c r="E363">
        <v>4.7329999999999997E-2</v>
      </c>
      <c r="F363">
        <v>419949044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-4.7390576200606806E-2</v>
      </c>
      <c r="Q363">
        <f t="shared" si="970"/>
        <v>-19901627.170053981</v>
      </c>
      <c r="R363">
        <f t="shared" si="971"/>
        <v>-8571056781.162879</v>
      </c>
      <c r="S363">
        <f t="shared" si="972"/>
        <v>-85710.567811628789</v>
      </c>
      <c r="T363">
        <f t="shared" si="973"/>
        <v>-85.710567811628792</v>
      </c>
    </row>
    <row r="364" spans="1:20" x14ac:dyDescent="0.25">
      <c r="A364" s="5">
        <v>44229</v>
      </c>
      <c r="B364">
        <v>3.9E-2</v>
      </c>
      <c r="C364">
        <v>5.8000000000000003E-2</v>
      </c>
      <c r="D364">
        <v>3.5099999999999999E-2</v>
      </c>
      <c r="E364">
        <v>3.7171000000000003E-2</v>
      </c>
      <c r="F364">
        <v>1342151542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-0.81912663755458492</v>
      </c>
      <c r="Q364">
        <f t="shared" si="970"/>
        <v>-1099392079.6871612</v>
      </c>
      <c r="R364">
        <f t="shared" si="971"/>
        <v>-8551155153.9928246</v>
      </c>
      <c r="S364">
        <f t="shared" si="972"/>
        <v>-85511.551539928245</v>
      </c>
      <c r="T364">
        <f t="shared" si="973"/>
        <v>-85.511551539928249</v>
      </c>
    </row>
    <row r="365" spans="1:20" x14ac:dyDescent="0.25">
      <c r="A365" s="5">
        <v>44228</v>
      </c>
      <c r="B365">
        <v>2.7965E-2</v>
      </c>
      <c r="C365">
        <v>4.1808999999999999E-2</v>
      </c>
      <c r="D365">
        <v>2.707E-2</v>
      </c>
      <c r="E365">
        <v>3.9019999999999999E-2</v>
      </c>
      <c r="F365">
        <v>451476374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0.62154827328855422</v>
      </c>
      <c r="Q365">
        <f t="shared" si="970"/>
        <v>280614360.69027752</v>
      </c>
      <c r="R365">
        <f t="shared" si="971"/>
        <v>-7451763074.3056631</v>
      </c>
      <c r="S365">
        <f t="shared" si="972"/>
        <v>-74517.630743056638</v>
      </c>
      <c r="T365">
        <f t="shared" si="973"/>
        <v>-74.517630743056642</v>
      </c>
    </row>
    <row r="366" spans="1:20" x14ac:dyDescent="0.25">
      <c r="A366" s="5">
        <v>44227</v>
      </c>
      <c r="B366">
        <v>2.7830000000000001E-2</v>
      </c>
      <c r="C366">
        <v>3.4750000000000003E-2</v>
      </c>
      <c r="D366">
        <v>2.6324E-2</v>
      </c>
      <c r="E366">
        <v>2.8080999999999998E-2</v>
      </c>
      <c r="F366">
        <v>283880959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-0.58295751246142946</v>
      </c>
      <c r="Q366">
        <f t="shared" si="970"/>
        <v>-165490537.69380504</v>
      </c>
      <c r="R366">
        <f t="shared" si="971"/>
        <v>-7732377434.9959402</v>
      </c>
      <c r="S366">
        <f t="shared" si="972"/>
        <v>-77323.774349959407</v>
      </c>
      <c r="T366">
        <f t="shared" si="973"/>
        <v>-77.323774349959407</v>
      </c>
    </row>
    <row r="367" spans="1:20" x14ac:dyDescent="0.25">
      <c r="A367" s="5">
        <v>44226</v>
      </c>
      <c r="B367">
        <v>2.4244000000000002E-2</v>
      </c>
      <c r="C367">
        <v>4.2299999999999997E-2</v>
      </c>
      <c r="D367">
        <v>2.4215E-2</v>
      </c>
      <c r="E367">
        <v>2.7904999999999999E-2</v>
      </c>
      <c r="F367">
        <v>1023883410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-0.59192701133536085</v>
      </c>
      <c r="Q367">
        <f t="shared" si="970"/>
        <v>-606064246.83715796</v>
      </c>
      <c r="R367">
        <f t="shared" si="971"/>
        <v>-7566886897.3021355</v>
      </c>
      <c r="S367">
        <f t="shared" si="972"/>
        <v>-75668.868973021352</v>
      </c>
      <c r="T367">
        <f t="shared" si="973"/>
        <v>-75.668868973021347</v>
      </c>
    </row>
    <row r="368" spans="1:20" x14ac:dyDescent="0.25">
      <c r="A368" s="5">
        <v>44225</v>
      </c>
      <c r="B368">
        <v>1.8898999999999999E-2</v>
      </c>
      <c r="C368">
        <v>3.3186E-2</v>
      </c>
      <c r="D368">
        <v>1.8801999999999999E-2</v>
      </c>
      <c r="E368">
        <v>2.4228E-2</v>
      </c>
      <c r="F368">
        <v>453161744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-0.24555061179087875</v>
      </c>
      <c r="Q368">
        <f t="shared" si="970"/>
        <v>-111274143.47942159</v>
      </c>
      <c r="R368">
        <f t="shared" si="971"/>
        <v>-6960822650.4649773</v>
      </c>
      <c r="S368">
        <f t="shared" si="972"/>
        <v>-69608.226504649778</v>
      </c>
      <c r="T368">
        <f t="shared" si="973"/>
        <v>-69.608226504649778</v>
      </c>
    </row>
    <row r="369" spans="1:20" x14ac:dyDescent="0.25">
      <c r="A369" s="5">
        <v>44224</v>
      </c>
      <c r="B369">
        <v>1.6455000000000001E-2</v>
      </c>
      <c r="C369">
        <v>1.9012999999999999E-2</v>
      </c>
      <c r="D369">
        <v>1.6128E-2</v>
      </c>
      <c r="E369">
        <v>1.8814000000000001E-2</v>
      </c>
      <c r="F369">
        <v>44946038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0.86204506065858033</v>
      </c>
      <c r="Q369">
        <f t="shared" si="970"/>
        <v>38745510.054072857</v>
      </c>
      <c r="R369">
        <f t="shared" si="971"/>
        <v>-6849548506.9855556</v>
      </c>
      <c r="S369">
        <f t="shared" si="972"/>
        <v>-68495.485069855553</v>
      </c>
      <c r="T369">
        <f t="shared" si="973"/>
        <v>-68.495485069855548</v>
      </c>
    </row>
    <row r="370" spans="1:20" x14ac:dyDescent="0.25">
      <c r="A370" s="5">
        <v>44223</v>
      </c>
      <c r="B370">
        <v>1.7787000000000001E-2</v>
      </c>
      <c r="C370">
        <v>1.7864000000000001E-2</v>
      </c>
      <c r="D370">
        <v>1.6337000000000001E-2</v>
      </c>
      <c r="E370">
        <v>1.6525000000000001E-2</v>
      </c>
      <c r="F370">
        <v>45867763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-0.7537655533726253</v>
      </c>
      <c r="Q370">
        <f t="shared" si="970"/>
        <v>-34573539.759659424</v>
      </c>
      <c r="R370">
        <f t="shared" si="971"/>
        <v>-6888294017.039628</v>
      </c>
      <c r="S370">
        <f t="shared" si="972"/>
        <v>-68882.940170396279</v>
      </c>
      <c r="T370">
        <f t="shared" si="973"/>
        <v>-68.882940170396282</v>
      </c>
    </row>
    <row r="371" spans="1:20" x14ac:dyDescent="0.25">
      <c r="A371" s="5">
        <v>44222</v>
      </c>
      <c r="B371">
        <v>1.8471000000000001E-2</v>
      </c>
      <c r="C371">
        <v>1.9400000000000001E-2</v>
      </c>
      <c r="D371">
        <v>1.7000000000000001E-2</v>
      </c>
      <c r="E371">
        <v>1.7835E-2</v>
      </c>
      <c r="F371">
        <v>85264036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-0.30416666666666736</v>
      </c>
      <c r="Q371">
        <f t="shared" si="970"/>
        <v>-25934477.616666727</v>
      </c>
      <c r="R371">
        <f t="shared" si="971"/>
        <v>-6853720477.2799683</v>
      </c>
      <c r="S371">
        <f t="shared" si="972"/>
        <v>-68537.204772799683</v>
      </c>
      <c r="T371">
        <f t="shared" si="973"/>
        <v>-68.537204772799683</v>
      </c>
    </row>
    <row r="372" spans="1:20" x14ac:dyDescent="0.25">
      <c r="A372" s="5">
        <v>44221</v>
      </c>
      <c r="B372">
        <v>1.7902000000000001E-2</v>
      </c>
      <c r="C372">
        <v>1.9400000000000001E-2</v>
      </c>
      <c r="D372">
        <v>1.7670999999999999E-2</v>
      </c>
      <c r="E372">
        <v>1.8471000000000001E-2</v>
      </c>
      <c r="F372">
        <v>48598261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-7.4609600925388708E-2</v>
      </c>
      <c r="Q372">
        <f t="shared" si="970"/>
        <v>-3625896.8588778819</v>
      </c>
      <c r="R372">
        <f t="shared" si="971"/>
        <v>-6827785999.6633015</v>
      </c>
      <c r="S372">
        <f t="shared" si="972"/>
        <v>-68277.859996633008</v>
      </c>
      <c r="T372">
        <f t="shared" si="973"/>
        <v>-68.277859996633012</v>
      </c>
    </row>
    <row r="373" spans="1:20" x14ac:dyDescent="0.25">
      <c r="A373" s="5">
        <v>44220</v>
      </c>
      <c r="B373">
        <v>1.7665E-2</v>
      </c>
      <c r="C373">
        <v>1.95E-2</v>
      </c>
      <c r="D373">
        <v>1.6900999999999999E-2</v>
      </c>
      <c r="E373">
        <v>1.7822999999999999E-2</v>
      </c>
      <c r="F373">
        <v>88706149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-0.29049634474798075</v>
      </c>
      <c r="Q373">
        <f t="shared" si="970"/>
        <v>-25768812.041169748</v>
      </c>
      <c r="R373">
        <f t="shared" si="971"/>
        <v>-6824160102.8044233</v>
      </c>
      <c r="S373">
        <f t="shared" si="972"/>
        <v>-68241.601028044228</v>
      </c>
      <c r="T373">
        <f t="shared" si="973"/>
        <v>-68.241601028044229</v>
      </c>
    </row>
    <row r="374" spans="1:20" x14ac:dyDescent="0.25">
      <c r="A374" s="5">
        <v>44219</v>
      </c>
      <c r="B374">
        <v>1.6181000000000001E-2</v>
      </c>
      <c r="C374">
        <v>1.7850000000000001E-2</v>
      </c>
      <c r="D374">
        <v>1.593E-2</v>
      </c>
      <c r="E374">
        <v>1.7599E-2</v>
      </c>
      <c r="F374">
        <v>63085381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0.73854166666666565</v>
      </c>
      <c r="Q374">
        <f t="shared" si="970"/>
        <v>46591182.426041603</v>
      </c>
      <c r="R374">
        <f t="shared" si="971"/>
        <v>-6798391290.7632532</v>
      </c>
      <c r="S374">
        <f t="shared" si="972"/>
        <v>-67983.912907632533</v>
      </c>
      <c r="T374">
        <f t="shared" si="973"/>
        <v>-67.983912907632529</v>
      </c>
    </row>
    <row r="375" spans="1:20" x14ac:dyDescent="0.25">
      <c r="A375" s="5">
        <v>44218</v>
      </c>
      <c r="B375">
        <v>1.5221999999999999E-2</v>
      </c>
      <c r="C375">
        <v>1.78E-2</v>
      </c>
      <c r="D375">
        <v>1.29E-2</v>
      </c>
      <c r="E375">
        <v>1.6181000000000001E-2</v>
      </c>
      <c r="F375">
        <v>61493313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0.33918367346938816</v>
      </c>
      <c r="Q375">
        <f t="shared" si="970"/>
        <v>20857527.797142882</v>
      </c>
      <c r="R375">
        <f t="shared" si="971"/>
        <v>-6844982473.1892948</v>
      </c>
      <c r="S375">
        <f t="shared" si="972"/>
        <v>-68449.82473189295</v>
      </c>
      <c r="T375">
        <f t="shared" si="973"/>
        <v>-68.449824731892946</v>
      </c>
    </row>
    <row r="376" spans="1:20" x14ac:dyDescent="0.25">
      <c r="A376" s="5">
        <v>44217</v>
      </c>
      <c r="B376">
        <v>1.7732999999999999E-2</v>
      </c>
      <c r="C376">
        <v>1.7899000000000002E-2</v>
      </c>
      <c r="D376">
        <v>1.5011E-2</v>
      </c>
      <c r="E376">
        <v>1.5282E-2</v>
      </c>
      <c r="F376">
        <v>53235149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-0.81232686980609403</v>
      </c>
      <c r="Q376">
        <f t="shared" si="970"/>
        <v>-43244341.950831018</v>
      </c>
      <c r="R376">
        <f t="shared" si="971"/>
        <v>-6865840000.9864378</v>
      </c>
      <c r="S376">
        <f t="shared" si="972"/>
        <v>-68658.400009864374</v>
      </c>
      <c r="T376">
        <f t="shared" si="973"/>
        <v>-68.65840000986438</v>
      </c>
    </row>
    <row r="377" spans="1:20" x14ac:dyDescent="0.25">
      <c r="A377" s="5">
        <v>44216</v>
      </c>
      <c r="B377">
        <v>1.7381000000000001E-2</v>
      </c>
      <c r="C377">
        <v>1.7992999999999999E-2</v>
      </c>
      <c r="D377">
        <v>1.4995E-2</v>
      </c>
      <c r="E377">
        <v>1.7732999999999999E-2</v>
      </c>
      <c r="F377">
        <v>74098296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0.82655103402268182</v>
      </c>
      <c r="Q377">
        <f t="shared" si="970"/>
        <v>61246023.17811875</v>
      </c>
      <c r="R377">
        <f t="shared" si="971"/>
        <v>-6822595659.0356064</v>
      </c>
      <c r="S377">
        <f t="shared" si="972"/>
        <v>-68225.956590356058</v>
      </c>
      <c r="T377">
        <f t="shared" si="973"/>
        <v>-68.225956590356063</v>
      </c>
    </row>
    <row r="378" spans="1:20" x14ac:dyDescent="0.25">
      <c r="A378" s="5">
        <v>44215</v>
      </c>
      <c r="B378">
        <v>1.8610999999999999E-2</v>
      </c>
      <c r="C378">
        <v>1.95E-2</v>
      </c>
      <c r="D378">
        <v>1.7069999999999998E-2</v>
      </c>
      <c r="E378">
        <v>1.7329000000000001E-2</v>
      </c>
      <c r="F378">
        <v>68997641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-0.78683127572016287</v>
      </c>
      <c r="Q378">
        <f t="shared" si="970"/>
        <v>-54289501.889711812</v>
      </c>
      <c r="R378">
        <f t="shared" si="971"/>
        <v>-6883841682.2137251</v>
      </c>
      <c r="S378">
        <f t="shared" si="972"/>
        <v>-68838.416822137253</v>
      </c>
      <c r="T378">
        <f t="shared" si="973"/>
        <v>-68.838416822137248</v>
      </c>
    </row>
    <row r="379" spans="1:20" x14ac:dyDescent="0.25">
      <c r="A379" s="5">
        <v>44214</v>
      </c>
      <c r="B379">
        <v>1.6820000000000002E-2</v>
      </c>
      <c r="C379">
        <v>1.9199999999999998E-2</v>
      </c>
      <c r="D379">
        <v>1.6660999999999999E-2</v>
      </c>
      <c r="E379">
        <v>1.8613000000000001E-2</v>
      </c>
      <c r="F379">
        <v>98458873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0.53761323355652035</v>
      </c>
      <c r="Q379">
        <f t="shared" si="970"/>
        <v>52932793.085860774</v>
      </c>
      <c r="R379">
        <f t="shared" si="971"/>
        <v>-6829552180.3240137</v>
      </c>
      <c r="S379">
        <f t="shared" si="972"/>
        <v>-68295.521803240132</v>
      </c>
      <c r="T379">
        <f t="shared" si="973"/>
        <v>-68.295521803240135</v>
      </c>
    </row>
    <row r="380" spans="1:20" x14ac:dyDescent="0.25">
      <c r="A380" s="5">
        <v>44213</v>
      </c>
      <c r="B380">
        <v>1.5702000000000001E-2</v>
      </c>
      <c r="C380">
        <v>1.7899999999999999E-2</v>
      </c>
      <c r="D380">
        <v>1.4E-2</v>
      </c>
      <c r="E380">
        <v>1.6822E-2</v>
      </c>
      <c r="F380">
        <v>112754627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0.44717948717948747</v>
      </c>
      <c r="Q380">
        <f t="shared" si="970"/>
        <v>50421556.278974392</v>
      </c>
      <c r="R380">
        <f t="shared" si="971"/>
        <v>-6882484973.4098749</v>
      </c>
      <c r="S380">
        <f t="shared" si="972"/>
        <v>-68824.849734098752</v>
      </c>
      <c r="T380">
        <f t="shared" si="973"/>
        <v>-68.824849734098748</v>
      </c>
    </row>
    <row r="381" spans="1:20" x14ac:dyDescent="0.25">
      <c r="A381" s="5">
        <v>44212</v>
      </c>
      <c r="B381">
        <v>1.4080000000000001E-2</v>
      </c>
      <c r="C381">
        <v>1.8700999999999999E-2</v>
      </c>
      <c r="D381">
        <v>1.3743E-2</v>
      </c>
      <c r="E381">
        <v>1.5608E-2</v>
      </c>
      <c r="F381">
        <v>234278986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-0.24768051633723245</v>
      </c>
      <c r="Q381">
        <f t="shared" si="970"/>
        <v>-58026340.219443254</v>
      </c>
      <c r="R381">
        <f t="shared" si="971"/>
        <v>-6932906529.6888494</v>
      </c>
      <c r="S381">
        <f t="shared" si="972"/>
        <v>-69329.065296888497</v>
      </c>
      <c r="T381">
        <f t="shared" si="973"/>
        <v>-69.329065296888501</v>
      </c>
    </row>
    <row r="382" spans="1:20" x14ac:dyDescent="0.25">
      <c r="A382" s="5">
        <v>44211</v>
      </c>
      <c r="B382">
        <v>1.3377999999999999E-2</v>
      </c>
      <c r="C382">
        <v>1.43E-2</v>
      </c>
      <c r="D382">
        <v>1.2E-2</v>
      </c>
      <c r="E382">
        <v>1.409E-2</v>
      </c>
      <c r="F382">
        <v>85961291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0.81739130434782603</v>
      </c>
      <c r="Q382">
        <f t="shared" si="970"/>
        <v>70264011.773913041</v>
      </c>
      <c r="R382">
        <f t="shared" si="971"/>
        <v>-6874880189.4694061</v>
      </c>
      <c r="S382">
        <f t="shared" si="972"/>
        <v>-68748.801894694057</v>
      </c>
      <c r="T382">
        <f t="shared" si="973"/>
        <v>-68.748801894694054</v>
      </c>
    </row>
    <row r="383" spans="1:20" x14ac:dyDescent="0.25">
      <c r="A383" s="5">
        <v>44210</v>
      </c>
      <c r="B383">
        <v>1.2612999999999999E-2</v>
      </c>
      <c r="C383">
        <v>1.3762999999999999E-2</v>
      </c>
      <c r="D383">
        <v>1.242E-2</v>
      </c>
      <c r="E383">
        <v>1.3377E-2</v>
      </c>
      <c r="F383">
        <v>91601499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0.42516753536857849</v>
      </c>
      <c r="Q383">
        <f t="shared" si="970"/>
        <v>38945983.565897308</v>
      </c>
      <c r="R383">
        <f t="shared" si="971"/>
        <v>-6945144201.2433195</v>
      </c>
      <c r="S383">
        <f t="shared" si="972"/>
        <v>-69451.442012433195</v>
      </c>
      <c r="T383">
        <f t="shared" si="973"/>
        <v>-69.451442012433191</v>
      </c>
    </row>
    <row r="384" spans="1:20" x14ac:dyDescent="0.25">
      <c r="A384" s="5">
        <v>44209</v>
      </c>
      <c r="B384">
        <v>1.1637E-2</v>
      </c>
      <c r="C384">
        <v>1.2930000000000001E-2</v>
      </c>
      <c r="D384">
        <v>1.1072E-2</v>
      </c>
      <c r="E384">
        <v>1.252E-2</v>
      </c>
      <c r="F384">
        <v>185004192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0.55866523143164626</v>
      </c>
      <c r="Q384">
        <f t="shared" si="970"/>
        <v>103355409.73950472</v>
      </c>
      <c r="R384">
        <f t="shared" si="971"/>
        <v>-6984090184.8092165</v>
      </c>
      <c r="S384">
        <f t="shared" si="972"/>
        <v>-69840.901848092166</v>
      </c>
      <c r="T384">
        <f t="shared" si="973"/>
        <v>-69.840901848092159</v>
      </c>
    </row>
    <row r="385" spans="1:20" x14ac:dyDescent="0.25">
      <c r="A385" s="5">
        <v>44208</v>
      </c>
      <c r="B385">
        <v>1.0033E-2</v>
      </c>
      <c r="C385">
        <v>1.4449999999999999E-2</v>
      </c>
      <c r="D385">
        <v>9.6819999999999996E-3</v>
      </c>
      <c r="E385">
        <v>1.1613E-2</v>
      </c>
      <c r="F385">
        <v>694086581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-0.19001677852348969</v>
      </c>
      <c r="Q385">
        <f t="shared" si="970"/>
        <v>-131888096.13800319</v>
      </c>
      <c r="R385">
        <f t="shared" si="971"/>
        <v>-7087445594.5487213</v>
      </c>
      <c r="S385">
        <f t="shared" si="972"/>
        <v>-70874.455945487207</v>
      </c>
      <c r="T385">
        <f t="shared" si="973"/>
        <v>-70.874455945487213</v>
      </c>
    </row>
    <row r="386" spans="1:20" x14ac:dyDescent="0.25">
      <c r="A386" s="5">
        <v>44207</v>
      </c>
      <c r="B386">
        <v>1.0734E-2</v>
      </c>
      <c r="C386">
        <v>1.0985999999999999E-2</v>
      </c>
      <c r="D386">
        <v>8.064E-3</v>
      </c>
      <c r="E386">
        <v>1.0031999999999999E-2</v>
      </c>
      <c r="F386">
        <v>104445624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0.34702258726899365</v>
      </c>
      <c r="Q386">
        <f t="shared" si="970"/>
        <v>36244990.669404499</v>
      </c>
      <c r="R386">
        <f t="shared" si="971"/>
        <v>-6955557498.410718</v>
      </c>
      <c r="S386">
        <f t="shared" si="972"/>
        <v>-69555.574984107181</v>
      </c>
      <c r="T386">
        <f t="shared" si="973"/>
        <v>-69.555574984107182</v>
      </c>
    </row>
    <row r="387" spans="1:20" x14ac:dyDescent="0.25">
      <c r="A387" s="5">
        <v>44206</v>
      </c>
      <c r="B387">
        <v>1.1381E-2</v>
      </c>
      <c r="C387">
        <v>1.2E-2</v>
      </c>
      <c r="D387">
        <v>1.021E-2</v>
      </c>
      <c r="E387">
        <v>1.074E-2</v>
      </c>
      <c r="F387">
        <v>135365861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-0.40782122905028018</v>
      </c>
      <c r="Q387">
        <f t="shared" si="970"/>
        <v>-55205071.804469392</v>
      </c>
      <c r="R387">
        <f t="shared" si="971"/>
        <v>-6991802489.080122</v>
      </c>
      <c r="S387">
        <f t="shared" si="972"/>
        <v>-69918.024890801214</v>
      </c>
      <c r="T387">
        <f t="shared" si="973"/>
        <v>-69.91802489080122</v>
      </c>
    </row>
    <row r="388" spans="1:20" x14ac:dyDescent="0.25">
      <c r="A388" s="5">
        <v>44205</v>
      </c>
      <c r="B388">
        <v>1.1476999999999999E-2</v>
      </c>
      <c r="C388">
        <v>1.2421E-2</v>
      </c>
      <c r="D388">
        <v>1.0800000000000001E-2</v>
      </c>
      <c r="E388">
        <v>1.1377999999999999E-2</v>
      </c>
      <c r="F388">
        <v>148867224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-0.28685996298581251</v>
      </c>
      <c r="Q388">
        <f t="shared" si="970"/>
        <v>-42704046.366440661</v>
      </c>
      <c r="R388">
        <f t="shared" si="971"/>
        <v>-6936597417.2756529</v>
      </c>
      <c r="S388">
        <f t="shared" si="972"/>
        <v>-69365.974172756527</v>
      </c>
      <c r="T388">
        <f t="shared" si="973"/>
        <v>-69.365974172756523</v>
      </c>
    </row>
    <row r="389" spans="1:20" x14ac:dyDescent="0.25">
      <c r="A389" s="5">
        <v>44204</v>
      </c>
      <c r="B389">
        <v>1.2292000000000001E-2</v>
      </c>
      <c r="C389">
        <v>1.4128E-2</v>
      </c>
      <c r="D389">
        <v>1.0232E-2</v>
      </c>
      <c r="E389">
        <v>1.1435000000000001E-2</v>
      </c>
      <c r="F389">
        <v>254671115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-0.38244353182751495</v>
      </c>
      <c r="Q389">
        <f t="shared" si="970"/>
        <v>-97397320.675051212</v>
      </c>
      <c r="R389">
        <f t="shared" si="971"/>
        <v>-6893893370.9092121</v>
      </c>
      <c r="S389">
        <f t="shared" si="972"/>
        <v>-68938.933709092118</v>
      </c>
      <c r="T389">
        <f t="shared" si="973"/>
        <v>-68.938933709092112</v>
      </c>
    </row>
    <row r="390" spans="1:20" x14ac:dyDescent="0.25">
      <c r="A390" s="5">
        <v>44203</v>
      </c>
      <c r="B390">
        <v>1.4200000000000001E-2</v>
      </c>
      <c r="C390">
        <v>1.5221E-2</v>
      </c>
      <c r="D390">
        <v>1.0630000000000001E-2</v>
      </c>
      <c r="E390">
        <v>1.2292000000000001E-2</v>
      </c>
      <c r="F390">
        <v>410757108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-0.27597473317360033</v>
      </c>
      <c r="Q390">
        <f t="shared" ref="Q390:Q453" si="975">F390*P390</f>
        <v>-113358583.27945973</v>
      </c>
      <c r="R390">
        <f t="shared" ref="R390:R453" si="976">R391+Q390</f>
        <v>-6796496050.2341614</v>
      </c>
      <c r="S390">
        <f t="shared" ref="S390:S453" si="977">R390/100000</f>
        <v>-67964.960502341608</v>
      </c>
      <c r="T390">
        <f t="shared" ref="T390:T453" si="978">S390/1000</f>
        <v>-67.964960502341611</v>
      </c>
    </row>
    <row r="391" spans="1:20" x14ac:dyDescent="0.25">
      <c r="A391" s="5">
        <v>44202</v>
      </c>
      <c r="B391">
        <v>1.2135999999999999E-2</v>
      </c>
      <c r="C391">
        <v>1.5900000000000001E-2</v>
      </c>
      <c r="D391">
        <v>1.1351E-2</v>
      </c>
      <c r="E391">
        <v>1.4200000000000001E-2</v>
      </c>
      <c r="F391">
        <v>1299227540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0.25258298527148837</v>
      </c>
      <c r="Q391">
        <f t="shared" si="975"/>
        <v>328162770.60013205</v>
      </c>
      <c r="R391">
        <f t="shared" si="976"/>
        <v>-6683137466.9547014</v>
      </c>
      <c r="S391">
        <f t="shared" si="977"/>
        <v>-66831.374669547018</v>
      </c>
      <c r="T391">
        <f t="shared" si="978"/>
        <v>-66.831374669547017</v>
      </c>
    </row>
    <row r="392" spans="1:20" x14ac:dyDescent="0.25">
      <c r="A392" s="5">
        <v>44201</v>
      </c>
      <c r="B392">
        <v>9.1819999999999992E-3</v>
      </c>
      <c r="C392">
        <v>1.3838E-2</v>
      </c>
      <c r="D392">
        <v>7.4799999999999997E-3</v>
      </c>
      <c r="E392">
        <v>1.2142E-2</v>
      </c>
      <c r="F392">
        <v>1168011515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0.4664988990248507</v>
      </c>
      <c r="Q392">
        <f t="shared" si="975"/>
        <v>544876085.79584789</v>
      </c>
      <c r="R392">
        <f t="shared" si="976"/>
        <v>-7011300237.5548334</v>
      </c>
      <c r="S392">
        <f t="shared" si="977"/>
        <v>-70113.002375548327</v>
      </c>
      <c r="T392">
        <f t="shared" si="978"/>
        <v>-70.113002375548334</v>
      </c>
    </row>
    <row r="393" spans="1:20" x14ac:dyDescent="0.25">
      <c r="A393" s="5">
        <v>44200</v>
      </c>
      <c r="B393">
        <v>8.2810000000000002E-3</v>
      </c>
      <c r="C393">
        <v>1.0496999999999999E-2</v>
      </c>
      <c r="D393">
        <v>7.1999999999999998E-3</v>
      </c>
      <c r="E393">
        <v>9.1839999999999995E-3</v>
      </c>
      <c r="F393">
        <v>1433669578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0.20351835001516524</v>
      </c>
      <c r="Q393">
        <f t="shared" si="975"/>
        <v>291778066.98149824</v>
      </c>
      <c r="R393">
        <f t="shared" si="976"/>
        <v>-7556176323.3506813</v>
      </c>
      <c r="S393">
        <f t="shared" si="977"/>
        <v>-75561.763233506819</v>
      </c>
      <c r="T393">
        <f t="shared" si="978"/>
        <v>-75.561763233506824</v>
      </c>
    </row>
    <row r="394" spans="1:20" x14ac:dyDescent="0.25">
      <c r="A394" s="5">
        <v>44199</v>
      </c>
      <c r="B394">
        <v>5.5409999999999999E-3</v>
      </c>
      <c r="C394">
        <v>9.9000000000000008E-3</v>
      </c>
      <c r="D394">
        <v>5.4990000000000004E-3</v>
      </c>
      <c r="E394">
        <v>8.2740000000000001E-3</v>
      </c>
      <c r="F394">
        <v>2377735483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0.26107702794819332</v>
      </c>
      <c r="Q394">
        <f t="shared" si="975"/>
        <v>620772113.14860189</v>
      </c>
      <c r="R394">
        <f t="shared" si="976"/>
        <v>-7847954390.3321791</v>
      </c>
      <c r="S394">
        <f t="shared" si="977"/>
        <v>-78479.543903321784</v>
      </c>
      <c r="T394">
        <f t="shared" si="978"/>
        <v>-78.479543903321783</v>
      </c>
    </row>
    <row r="395" spans="1:20" x14ac:dyDescent="0.25">
      <c r="A395" s="5">
        <v>44198</v>
      </c>
      <c r="B395">
        <v>7.3229999999999996E-3</v>
      </c>
      <c r="C395">
        <v>7.5810000000000001E-3</v>
      </c>
      <c r="D395">
        <v>4.9569999999999996E-3</v>
      </c>
      <c r="E395">
        <v>5.5180000000000003E-3</v>
      </c>
      <c r="F395">
        <v>1714211490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-0.57240853658536539</v>
      </c>
      <c r="Q395">
        <f t="shared" si="975"/>
        <v>-981229290.38871872</v>
      </c>
      <c r="R395">
        <f t="shared" si="976"/>
        <v>-8468726503.4807806</v>
      </c>
      <c r="S395">
        <f t="shared" si="977"/>
        <v>-84687.265034807802</v>
      </c>
      <c r="T395">
        <f t="shared" si="978"/>
        <v>-84.687265034807808</v>
      </c>
    </row>
    <row r="396" spans="1:20" x14ac:dyDescent="0.25">
      <c r="A396" s="5">
        <v>44197</v>
      </c>
      <c r="B396">
        <v>4.9309999999999996E-3</v>
      </c>
      <c r="C396">
        <v>2.5700000000000001E-2</v>
      </c>
      <c r="D396">
        <v>4.9300000000000004E-3</v>
      </c>
      <c r="E396">
        <v>7.326E-3</v>
      </c>
      <c r="F396">
        <v>8130078746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-0.76928261916225338</v>
      </c>
      <c r="Q396">
        <f t="shared" si="975"/>
        <v>-6254328271.7182484</v>
      </c>
      <c r="R396">
        <f t="shared" si="976"/>
        <v>-7487497213.092062</v>
      </c>
      <c r="S396">
        <f t="shared" si="977"/>
        <v>-74874.972130920622</v>
      </c>
      <c r="T396">
        <f t="shared" si="978"/>
        <v>-74.874972130920625</v>
      </c>
    </row>
    <row r="397" spans="1:20" x14ac:dyDescent="0.25">
      <c r="A397" s="5">
        <v>44196</v>
      </c>
      <c r="B397">
        <v>4.8320000000000004E-3</v>
      </c>
      <c r="C397">
        <v>5.7999999999999996E-3</v>
      </c>
      <c r="D397">
        <v>3.9820000000000003E-3</v>
      </c>
      <c r="E397">
        <v>4.9639999999999997E-3</v>
      </c>
      <c r="F397">
        <v>462498478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8.0308030803080022E-2</v>
      </c>
      <c r="Q397">
        <f t="shared" si="975"/>
        <v>37142342.017601624</v>
      </c>
      <c r="R397">
        <f t="shared" si="976"/>
        <v>-1233168941.3738134</v>
      </c>
      <c r="S397">
        <f t="shared" si="977"/>
        <v>-12331.689413738133</v>
      </c>
      <c r="T397">
        <f t="shared" si="978"/>
        <v>-12.331689413738133</v>
      </c>
    </row>
    <row r="398" spans="1:20" x14ac:dyDescent="0.25">
      <c r="A398" s="5">
        <v>44195</v>
      </c>
      <c r="B398">
        <v>4.5100000000000001E-3</v>
      </c>
      <c r="C398">
        <v>6.3E-3</v>
      </c>
      <c r="D398">
        <v>3.9300000000000003E-3</v>
      </c>
      <c r="E398">
        <v>4.8320000000000004E-3</v>
      </c>
      <c r="F398">
        <v>430980634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-0.23881856540084376</v>
      </c>
      <c r="Q398">
        <f t="shared" si="975"/>
        <v>-102926176.72742611</v>
      </c>
      <c r="R398">
        <f t="shared" si="976"/>
        <v>-1270311283.3914151</v>
      </c>
      <c r="S398">
        <f t="shared" si="977"/>
        <v>-12703.112833914151</v>
      </c>
      <c r="T398">
        <f t="shared" si="978"/>
        <v>-12.703112833914151</v>
      </c>
    </row>
    <row r="399" spans="1:20" x14ac:dyDescent="0.25">
      <c r="A399" s="5">
        <v>44194</v>
      </c>
      <c r="B399">
        <v>3.9269999999999999E-3</v>
      </c>
      <c r="C399">
        <v>4.7200000000000002E-3</v>
      </c>
      <c r="D399">
        <v>3.7079999999999999E-3</v>
      </c>
      <c r="E399">
        <v>4.5059999999999996E-3</v>
      </c>
      <c r="F399">
        <v>62730595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0.57707509881422814</v>
      </c>
      <c r="Q399">
        <f t="shared" si="975"/>
        <v>36200264.308300324</v>
      </c>
      <c r="R399">
        <f t="shared" si="976"/>
        <v>-1167385106.6639891</v>
      </c>
      <c r="S399">
        <f t="shared" si="977"/>
        <v>-11673.851066639891</v>
      </c>
      <c r="T399">
        <f t="shared" si="978"/>
        <v>-11.673851066639891</v>
      </c>
    </row>
    <row r="400" spans="1:20" x14ac:dyDescent="0.25">
      <c r="A400" s="5">
        <v>44193</v>
      </c>
      <c r="B400">
        <v>3.6329999999999999E-3</v>
      </c>
      <c r="C400">
        <v>3.9969999999999997E-3</v>
      </c>
      <c r="D400">
        <v>3.5860000000000002E-3</v>
      </c>
      <c r="E400">
        <v>3.9139999999999999E-3</v>
      </c>
      <c r="F400">
        <v>39165686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0.59610705596107127</v>
      </c>
      <c r="Q400">
        <f t="shared" si="975"/>
        <v>23346941.776155747</v>
      </c>
      <c r="R400">
        <f t="shared" si="976"/>
        <v>-1203585370.9722893</v>
      </c>
      <c r="S400">
        <f t="shared" si="977"/>
        <v>-12035.853709722893</v>
      </c>
      <c r="T400">
        <f t="shared" si="978"/>
        <v>-12.035853709722893</v>
      </c>
    </row>
    <row r="401" spans="1:20" x14ac:dyDescent="0.25">
      <c r="A401" s="5">
        <v>44192</v>
      </c>
      <c r="B401">
        <v>3.8470000000000002E-3</v>
      </c>
      <c r="C401">
        <v>4.0000000000000001E-3</v>
      </c>
      <c r="D401">
        <v>3.5999999999999999E-3</v>
      </c>
      <c r="E401">
        <v>3.6410000000000001E-3</v>
      </c>
      <c r="F401">
        <v>39173201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-0.79499999999999893</v>
      </c>
      <c r="Q401">
        <f t="shared" si="975"/>
        <v>-31142694.794999957</v>
      </c>
      <c r="R401">
        <f t="shared" si="976"/>
        <v>-1226932312.748445</v>
      </c>
      <c r="S401">
        <f t="shared" si="977"/>
        <v>-12269.323127484451</v>
      </c>
      <c r="T401">
        <f t="shared" si="978"/>
        <v>-12.269323127484451</v>
      </c>
    </row>
    <row r="402" spans="1:20" x14ac:dyDescent="0.25">
      <c r="A402" s="5">
        <v>44191</v>
      </c>
      <c r="B402">
        <v>3.6180000000000001E-3</v>
      </c>
      <c r="C402">
        <v>4.0000000000000001E-3</v>
      </c>
      <c r="D402">
        <v>3.5760000000000002E-3</v>
      </c>
      <c r="E402">
        <v>3.8470000000000002E-3</v>
      </c>
      <c r="F402">
        <v>17352672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0.27830188679245299</v>
      </c>
      <c r="Q402">
        <f t="shared" si="975"/>
        <v>4829281.3584905686</v>
      </c>
      <c r="R402">
        <f t="shared" si="976"/>
        <v>-1195789617.9534452</v>
      </c>
      <c r="S402">
        <f t="shared" si="977"/>
        <v>-11957.896179534451</v>
      </c>
      <c r="T402">
        <f t="shared" si="978"/>
        <v>-11.957896179534451</v>
      </c>
    </row>
    <row r="403" spans="1:20" x14ac:dyDescent="0.25">
      <c r="A403" s="5">
        <v>44190</v>
      </c>
      <c r="B403">
        <v>3.6610000000000002E-3</v>
      </c>
      <c r="C403">
        <v>3.8649999999999999E-3</v>
      </c>
      <c r="D403">
        <v>3.5769999999999999E-3</v>
      </c>
      <c r="E403">
        <v>3.6110000000000001E-3</v>
      </c>
      <c r="F403">
        <v>19996316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-0.76388888888888773</v>
      </c>
      <c r="Q403">
        <f t="shared" si="975"/>
        <v>-15274963.611111088</v>
      </c>
      <c r="R403">
        <f t="shared" si="976"/>
        <v>-1200618899.3119357</v>
      </c>
      <c r="S403">
        <f t="shared" si="977"/>
        <v>-12006.188993119356</v>
      </c>
      <c r="T403">
        <f t="shared" si="978"/>
        <v>-12.006188993119356</v>
      </c>
    </row>
    <row r="404" spans="1:20" x14ac:dyDescent="0.25">
      <c r="A404" s="5">
        <v>44189</v>
      </c>
      <c r="B404">
        <v>3.3869999999999998E-3</v>
      </c>
      <c r="C404">
        <v>3.8660000000000001E-3</v>
      </c>
      <c r="D404">
        <v>3.261E-3</v>
      </c>
      <c r="E404">
        <v>3.6709999999999998E-3</v>
      </c>
      <c r="F404">
        <v>73264456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0.35537190082644537</v>
      </c>
      <c r="Q404">
        <f t="shared" si="975"/>
        <v>26036128.99173547</v>
      </c>
      <c r="R404">
        <f t="shared" si="976"/>
        <v>-1185343935.7008245</v>
      </c>
      <c r="S404">
        <f t="shared" si="977"/>
        <v>-11853.439357008245</v>
      </c>
      <c r="T404">
        <f t="shared" si="978"/>
        <v>-11.853439357008245</v>
      </c>
    </row>
    <row r="405" spans="1:20" x14ac:dyDescent="0.25">
      <c r="A405" s="5">
        <v>44188</v>
      </c>
      <c r="B405">
        <v>4.0860000000000002E-3</v>
      </c>
      <c r="C405">
        <v>4.15E-3</v>
      </c>
      <c r="D405">
        <v>3.3700000000000002E-3</v>
      </c>
      <c r="E405">
        <v>3.4350000000000001E-3</v>
      </c>
      <c r="F405">
        <v>28241847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-0.83333333333333348</v>
      </c>
      <c r="Q405">
        <f t="shared" si="975"/>
        <v>-23534872.500000004</v>
      </c>
      <c r="R405">
        <f t="shared" si="976"/>
        <v>-1211380064.69256</v>
      </c>
      <c r="S405">
        <f t="shared" si="977"/>
        <v>-12113.8006469256</v>
      </c>
      <c r="T405">
        <f t="shared" si="978"/>
        <v>-12.113800646925601</v>
      </c>
    </row>
    <row r="406" spans="1:20" x14ac:dyDescent="0.25">
      <c r="A406" s="5">
        <v>44187</v>
      </c>
      <c r="B406">
        <v>4.0400000000000002E-3</v>
      </c>
      <c r="C406">
        <v>4.3E-3</v>
      </c>
      <c r="D406">
        <v>3.9410000000000001E-3</v>
      </c>
      <c r="E406">
        <v>4.0850000000000001E-3</v>
      </c>
      <c r="F406">
        <v>15543745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-0.1977715877437323</v>
      </c>
      <c r="Q406">
        <f t="shared" si="975"/>
        <v>-3074111.1281337002</v>
      </c>
      <c r="R406">
        <f t="shared" si="976"/>
        <v>-1187845192.19256</v>
      </c>
      <c r="S406">
        <f t="shared" si="977"/>
        <v>-11878.4519219256</v>
      </c>
      <c r="T406">
        <f t="shared" si="978"/>
        <v>-11.878451921925599</v>
      </c>
    </row>
    <row r="407" spans="1:20" x14ac:dyDescent="0.25">
      <c r="A407" s="5">
        <v>44186</v>
      </c>
      <c r="B407">
        <v>4.2880000000000001E-3</v>
      </c>
      <c r="C407">
        <v>4.4010000000000004E-3</v>
      </c>
      <c r="D407">
        <v>3.8760000000000001E-3</v>
      </c>
      <c r="E407">
        <v>4.0410000000000003E-3</v>
      </c>
      <c r="F407">
        <v>38935699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-0.37142857142857094</v>
      </c>
      <c r="Q407">
        <f t="shared" si="975"/>
        <v>-14461831.057142839</v>
      </c>
      <c r="R407">
        <f t="shared" si="976"/>
        <v>-1184771081.0644262</v>
      </c>
      <c r="S407">
        <f t="shared" si="977"/>
        <v>-11847.710810644261</v>
      </c>
      <c r="T407">
        <f t="shared" si="978"/>
        <v>-11.84771081064426</v>
      </c>
    </row>
    <row r="408" spans="1:20" x14ac:dyDescent="0.25">
      <c r="A408" s="5">
        <v>44185</v>
      </c>
      <c r="B408">
        <v>4.0930000000000003E-3</v>
      </c>
      <c r="C408">
        <v>4.9090000000000002E-3</v>
      </c>
      <c r="D408">
        <v>3.9709999999999997E-3</v>
      </c>
      <c r="E408">
        <v>4.2919999999999998E-3</v>
      </c>
      <c r="F408">
        <v>116022863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-0.31556503198294256</v>
      </c>
      <c r="Q408">
        <f t="shared" si="975"/>
        <v>-36612758.47334756</v>
      </c>
      <c r="R408">
        <f t="shared" si="976"/>
        <v>-1170309250.0072834</v>
      </c>
      <c r="S408">
        <f t="shared" si="977"/>
        <v>-11703.092500072835</v>
      </c>
      <c r="T408">
        <f t="shared" si="978"/>
        <v>-11.703092500072835</v>
      </c>
    </row>
    <row r="409" spans="1:20" x14ac:dyDescent="0.25">
      <c r="A409" s="5">
        <v>44184</v>
      </c>
      <c r="B409">
        <v>4.1050000000000001E-3</v>
      </c>
      <c r="C409">
        <v>4.3400000000000001E-3</v>
      </c>
      <c r="D409">
        <v>3.947E-3</v>
      </c>
      <c r="E409">
        <v>4.0959999999999998E-3</v>
      </c>
      <c r="F409">
        <v>44089798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-0.24173027989821994</v>
      </c>
      <c r="Q409">
        <f t="shared" si="975"/>
        <v>-10657839.211195977</v>
      </c>
      <c r="R409">
        <f t="shared" si="976"/>
        <v>-1133696491.5339358</v>
      </c>
      <c r="S409">
        <f t="shared" si="977"/>
        <v>-11336.964915339358</v>
      </c>
      <c r="T409">
        <f t="shared" si="978"/>
        <v>-11.336964915339358</v>
      </c>
    </row>
    <row r="410" spans="1:20" x14ac:dyDescent="0.25">
      <c r="A410" s="5">
        <v>44183</v>
      </c>
      <c r="B410">
        <v>4.1359999999999999E-3</v>
      </c>
      <c r="C410">
        <v>4.2500000000000003E-3</v>
      </c>
      <c r="D410">
        <v>3.8300000000000001E-3</v>
      </c>
      <c r="E410">
        <v>4.1060000000000003E-3</v>
      </c>
      <c r="F410">
        <v>307101339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0.3142857142857145</v>
      </c>
      <c r="Q410">
        <f t="shared" si="975"/>
        <v>96517563.685714349</v>
      </c>
      <c r="R410">
        <f t="shared" si="976"/>
        <v>-1123038652.3227398</v>
      </c>
      <c r="S410">
        <f t="shared" si="977"/>
        <v>-11230.386523227398</v>
      </c>
      <c r="T410">
        <f t="shared" si="978"/>
        <v>-11.230386523227398</v>
      </c>
    </row>
    <row r="411" spans="1:20" x14ac:dyDescent="0.25">
      <c r="A411" s="5">
        <v>44182</v>
      </c>
      <c r="B411">
        <v>4.3400000000000001E-3</v>
      </c>
      <c r="C411">
        <v>4.4640000000000001E-3</v>
      </c>
      <c r="D411">
        <v>3.9529999999999999E-3</v>
      </c>
      <c r="E411">
        <v>4.1339999999999997E-3</v>
      </c>
      <c r="F411">
        <v>121594967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-0.29158512720156682</v>
      </c>
      <c r="Q411">
        <f t="shared" si="975"/>
        <v>-35455283.919765316</v>
      </c>
      <c r="R411">
        <f t="shared" si="976"/>
        <v>-1219556216.0084541</v>
      </c>
      <c r="S411">
        <f t="shared" si="977"/>
        <v>-12195.562160084541</v>
      </c>
      <c r="T411">
        <f t="shared" si="978"/>
        <v>-12.19556216008454</v>
      </c>
    </row>
    <row r="412" spans="1:20" x14ac:dyDescent="0.25">
      <c r="A412" s="5">
        <v>44181</v>
      </c>
      <c r="B412">
        <v>4.1999999999999997E-3</v>
      </c>
      <c r="C412">
        <v>4.3629999999999997E-3</v>
      </c>
      <c r="D412">
        <v>4.0810000000000004E-3</v>
      </c>
      <c r="E412">
        <v>4.3309999999999998E-3</v>
      </c>
      <c r="F412">
        <v>31727339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0.77304964539007093</v>
      </c>
      <c r="Q412">
        <f t="shared" si="975"/>
        <v>24526808.163120568</v>
      </c>
      <c r="R412">
        <f t="shared" si="976"/>
        <v>-1184100932.0886889</v>
      </c>
      <c r="S412">
        <f t="shared" si="977"/>
        <v>-11841.009320886889</v>
      </c>
      <c r="T412">
        <f t="shared" si="978"/>
        <v>-11.84100932088689</v>
      </c>
    </row>
    <row r="413" spans="1:20" x14ac:dyDescent="0.25">
      <c r="A413" s="5">
        <v>44180</v>
      </c>
      <c r="B413">
        <v>4.1989999999999996E-3</v>
      </c>
      <c r="C413">
        <v>4.3109999999999997E-3</v>
      </c>
      <c r="D413">
        <v>4.0899999999999999E-3</v>
      </c>
      <c r="E413">
        <v>4.2199999999999998E-3</v>
      </c>
      <c r="F413">
        <v>11789800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0.17647058823529413</v>
      </c>
      <c r="Q413">
        <f t="shared" si="975"/>
        <v>2080552.9411764708</v>
      </c>
      <c r="R413">
        <f t="shared" si="976"/>
        <v>-1208627740.2518094</v>
      </c>
      <c r="S413">
        <f t="shared" si="977"/>
        <v>-12086.277402518093</v>
      </c>
      <c r="T413">
        <f t="shared" si="978"/>
        <v>-12.086277402518093</v>
      </c>
    </row>
    <row r="414" spans="1:20" x14ac:dyDescent="0.25">
      <c r="A414" s="5">
        <v>44179</v>
      </c>
      <c r="B414">
        <v>4.1580000000000002E-3</v>
      </c>
      <c r="C414">
        <v>4.3210000000000002E-3</v>
      </c>
      <c r="D414">
        <v>4.1000000000000003E-3</v>
      </c>
      <c r="E414">
        <v>4.1970000000000002E-3</v>
      </c>
      <c r="F414">
        <v>14678158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-0.12217194570135807</v>
      </c>
      <c r="Q414">
        <f t="shared" si="975"/>
        <v>-1793259.1221719547</v>
      </c>
      <c r="R414">
        <f t="shared" si="976"/>
        <v>-1210708293.1929858</v>
      </c>
      <c r="S414">
        <f t="shared" si="977"/>
        <v>-12107.082931929857</v>
      </c>
      <c r="T414">
        <f t="shared" si="978"/>
        <v>-12.107082931929858</v>
      </c>
    </row>
    <row r="415" spans="1:20" x14ac:dyDescent="0.25">
      <c r="A415" s="5">
        <v>44178</v>
      </c>
      <c r="B415">
        <v>4.0359999999999997E-3</v>
      </c>
      <c r="C415">
        <v>4.2940000000000001E-3</v>
      </c>
      <c r="D415">
        <v>4.0000000000000001E-3</v>
      </c>
      <c r="E415">
        <v>4.1590000000000004E-3</v>
      </c>
      <c r="F415">
        <v>25125083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8.1632653061226482E-2</v>
      </c>
      <c r="Q415">
        <f t="shared" si="975"/>
        <v>2051027.1836735194</v>
      </c>
      <c r="R415">
        <f t="shared" si="976"/>
        <v>-1208915034.0708139</v>
      </c>
      <c r="S415">
        <f t="shared" si="977"/>
        <v>-12089.150340708138</v>
      </c>
      <c r="T415">
        <f t="shared" si="978"/>
        <v>-12.089150340708137</v>
      </c>
    </row>
    <row r="416" spans="1:20" x14ac:dyDescent="0.25">
      <c r="A416" s="5">
        <v>44177</v>
      </c>
      <c r="B416">
        <v>3.9659999999999999E-3</v>
      </c>
      <c r="C416">
        <v>4.1479999999999998E-3</v>
      </c>
      <c r="D416">
        <v>3.9150000000000001E-3</v>
      </c>
      <c r="E416">
        <v>4.0350000000000004E-3</v>
      </c>
      <c r="F416">
        <v>23494279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3.0042918454939647E-2</v>
      </c>
      <c r="Q416">
        <f t="shared" si="975"/>
        <v>705836.70815460104</v>
      </c>
      <c r="R416">
        <f t="shared" si="976"/>
        <v>-1210966061.2544875</v>
      </c>
      <c r="S416">
        <f t="shared" si="977"/>
        <v>-12109.660612544874</v>
      </c>
      <c r="T416">
        <f t="shared" si="978"/>
        <v>-12.109660612544875</v>
      </c>
    </row>
    <row r="417" spans="1:20" x14ac:dyDescent="0.25">
      <c r="A417" s="5">
        <v>44176</v>
      </c>
      <c r="B417">
        <v>3.9220000000000001E-3</v>
      </c>
      <c r="C417">
        <v>4.1999999999999997E-3</v>
      </c>
      <c r="D417">
        <v>3.751E-3</v>
      </c>
      <c r="E417">
        <v>3.9370000000000004E-3</v>
      </c>
      <c r="F417">
        <v>18618463</v>
      </c>
      <c r="G417">
        <v>0</v>
      </c>
      <c r="L417" t="s">
        <v>8</v>
      </c>
      <c r="M417" t="s">
        <v>8</v>
      </c>
      <c r="N417" t="s">
        <v>7</v>
      </c>
      <c r="P417">
        <f t="shared" si="974"/>
        <v>-0.17149220489977504</v>
      </c>
      <c r="Q417">
        <f t="shared" si="975"/>
        <v>-3192921.2717148801</v>
      </c>
      <c r="R417">
        <f t="shared" si="976"/>
        <v>-1211671897.9626422</v>
      </c>
      <c r="S417">
        <f t="shared" si="977"/>
        <v>-12116.718979626421</v>
      </c>
      <c r="T417">
        <f t="shared" si="978"/>
        <v>-12.116718979626421</v>
      </c>
    </row>
    <row r="418" spans="1:20" x14ac:dyDescent="0.25">
      <c r="A418" s="5">
        <v>44175</v>
      </c>
      <c r="B418">
        <v>3.8630000000000001E-3</v>
      </c>
      <c r="C418">
        <v>3.9950000000000003E-3</v>
      </c>
      <c r="D418">
        <v>3.676E-3</v>
      </c>
      <c r="E418">
        <v>3.9399999999999999E-3</v>
      </c>
      <c r="F418">
        <v>7704244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0.65517241379310143</v>
      </c>
      <c r="Q418">
        <f t="shared" si="975"/>
        <v>5047608.1379310191</v>
      </c>
      <c r="R418">
        <f t="shared" si="976"/>
        <v>-1208478976.6909273</v>
      </c>
      <c r="S418">
        <f t="shared" si="977"/>
        <v>-12084.789766909273</v>
      </c>
      <c r="T418">
        <f t="shared" si="978"/>
        <v>-12.084789766909273</v>
      </c>
    </row>
    <row r="419" spans="1:20" x14ac:dyDescent="0.25">
      <c r="A419" s="5">
        <v>44174</v>
      </c>
      <c r="B419">
        <v>3.8539999999999998E-3</v>
      </c>
      <c r="C419">
        <v>4.0169999999999997E-3</v>
      </c>
      <c r="D419">
        <v>3.3509999999999998E-3</v>
      </c>
      <c r="E419">
        <v>3.885E-3</v>
      </c>
      <c r="F419">
        <v>170315403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0.60360360360360432</v>
      </c>
      <c r="Q419">
        <f t="shared" si="975"/>
        <v>102802991.00000012</v>
      </c>
      <c r="R419">
        <f t="shared" si="976"/>
        <v>-1213526584.8288584</v>
      </c>
      <c r="S419">
        <f t="shared" si="977"/>
        <v>-12135.265848288584</v>
      </c>
      <c r="T419">
        <f t="shared" si="978"/>
        <v>-12.135265848288583</v>
      </c>
    </row>
    <row r="420" spans="1:20" x14ac:dyDescent="0.25">
      <c r="A420" s="5">
        <v>44173</v>
      </c>
      <c r="B420">
        <v>4.0369999999999998E-3</v>
      </c>
      <c r="C420">
        <v>4.1250000000000002E-3</v>
      </c>
      <c r="D420">
        <v>3.8E-3</v>
      </c>
      <c r="E420">
        <v>3.823E-3</v>
      </c>
      <c r="F420">
        <v>16035274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-0.8584615384615385</v>
      </c>
      <c r="Q420">
        <f t="shared" si="975"/>
        <v>-13765665.987692308</v>
      </c>
      <c r="R420">
        <f t="shared" si="976"/>
        <v>-1316329575.8288584</v>
      </c>
      <c r="S420">
        <f t="shared" si="977"/>
        <v>-13163.295758288583</v>
      </c>
      <c r="T420">
        <f t="shared" si="978"/>
        <v>-13.163295758288584</v>
      </c>
    </row>
    <row r="421" spans="1:20" x14ac:dyDescent="0.25">
      <c r="A421" s="5">
        <v>44172</v>
      </c>
      <c r="B421">
        <v>4.1110000000000001E-3</v>
      </c>
      <c r="C421">
        <v>4.3800000000000002E-3</v>
      </c>
      <c r="D421">
        <v>3.98E-3</v>
      </c>
      <c r="E421">
        <v>4.0369999999999998E-3</v>
      </c>
      <c r="F421">
        <v>63876187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-0.7150000000000013</v>
      </c>
      <c r="Q421">
        <f t="shared" si="975"/>
        <v>-45671473.70500008</v>
      </c>
      <c r="R421">
        <f t="shared" si="976"/>
        <v>-1302563909.841166</v>
      </c>
      <c r="S421">
        <f t="shared" si="977"/>
        <v>-13025.639098411661</v>
      </c>
      <c r="T421">
        <f t="shared" si="978"/>
        <v>-13.025639098411661</v>
      </c>
    </row>
    <row r="422" spans="1:20" x14ac:dyDescent="0.25">
      <c r="A422" s="5">
        <v>44171</v>
      </c>
      <c r="B422">
        <v>4.1079999999999997E-3</v>
      </c>
      <c r="C422">
        <v>4.1999999999999997E-3</v>
      </c>
      <c r="D422">
        <v>3.9610000000000001E-3</v>
      </c>
      <c r="E422">
        <v>4.091E-3</v>
      </c>
      <c r="F422">
        <v>22728585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8.7866108786611788E-2</v>
      </c>
      <c r="Q422">
        <f t="shared" si="975"/>
        <v>1997072.3221757528</v>
      </c>
      <c r="R422">
        <f t="shared" si="976"/>
        <v>-1256892436.1361659</v>
      </c>
      <c r="S422">
        <f t="shared" si="977"/>
        <v>-12568.924361361658</v>
      </c>
      <c r="T422">
        <f t="shared" si="978"/>
        <v>-12.568924361361658</v>
      </c>
    </row>
    <row r="423" spans="1:20" x14ac:dyDescent="0.25">
      <c r="A423" s="5">
        <v>44170</v>
      </c>
      <c r="B423">
        <v>3.823E-3</v>
      </c>
      <c r="C423">
        <v>4.1250000000000002E-3</v>
      </c>
      <c r="D423">
        <v>3.8019999999999998E-3</v>
      </c>
      <c r="E423">
        <v>4.1159999999999999E-3</v>
      </c>
      <c r="F423">
        <v>18271569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0.94427244582043146</v>
      </c>
      <c r="Q423">
        <f t="shared" si="975"/>
        <v>17253339.148606773</v>
      </c>
      <c r="R423">
        <f t="shared" si="976"/>
        <v>-1258889508.4583416</v>
      </c>
      <c r="S423">
        <f t="shared" si="977"/>
        <v>-12588.895084583415</v>
      </c>
      <c r="T423">
        <f t="shared" si="978"/>
        <v>-12.588895084583415</v>
      </c>
    </row>
    <row r="424" spans="1:20" x14ac:dyDescent="0.25">
      <c r="A424" s="5">
        <v>44169</v>
      </c>
      <c r="B424">
        <v>4.1590000000000004E-3</v>
      </c>
      <c r="C424">
        <v>4.1869999999999997E-3</v>
      </c>
      <c r="D424">
        <v>3.82E-3</v>
      </c>
      <c r="E424">
        <v>3.8349999999999999E-3</v>
      </c>
      <c r="F424">
        <v>17205346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-0.91825613079019164</v>
      </c>
      <c r="Q424">
        <f t="shared" si="975"/>
        <v>-15798914.446866501</v>
      </c>
      <c r="R424">
        <f t="shared" si="976"/>
        <v>-1276142847.6069484</v>
      </c>
      <c r="S424">
        <f t="shared" si="977"/>
        <v>-12761.428476069485</v>
      </c>
      <c r="T424">
        <f t="shared" si="978"/>
        <v>-12.761428476069485</v>
      </c>
    </row>
    <row r="425" spans="1:20" x14ac:dyDescent="0.25">
      <c r="A425" s="5">
        <v>44168</v>
      </c>
      <c r="B425">
        <v>4.0949999999999997E-3</v>
      </c>
      <c r="C425">
        <v>4.5250000000000004E-3</v>
      </c>
      <c r="D425">
        <v>4.045E-3</v>
      </c>
      <c r="E425">
        <v>4.1710000000000002E-3</v>
      </c>
      <c r="F425">
        <v>66536244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-0.47499999999999942</v>
      </c>
      <c r="Q425">
        <f t="shared" si="975"/>
        <v>-31604715.899999961</v>
      </c>
      <c r="R425">
        <f t="shared" si="976"/>
        <v>-1260343933.1600819</v>
      </c>
      <c r="S425">
        <f t="shared" si="977"/>
        <v>-12603.439331600819</v>
      </c>
      <c r="T425">
        <f t="shared" si="978"/>
        <v>-12.60343933160082</v>
      </c>
    </row>
    <row r="426" spans="1:20" x14ac:dyDescent="0.25">
      <c r="A426" s="5">
        <v>44167</v>
      </c>
      <c r="B426">
        <v>3.993E-3</v>
      </c>
      <c r="C426">
        <v>4.1310000000000001E-3</v>
      </c>
      <c r="D426">
        <v>3.9139999999999999E-3</v>
      </c>
      <c r="E426">
        <v>4.1310000000000001E-3</v>
      </c>
      <c r="F426">
        <v>13523029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1</v>
      </c>
      <c r="Q426">
        <f t="shared" si="975"/>
        <v>13523029</v>
      </c>
      <c r="R426">
        <f t="shared" si="976"/>
        <v>-1228739217.260082</v>
      </c>
      <c r="S426">
        <f t="shared" si="977"/>
        <v>-12287.392172600819</v>
      </c>
      <c r="T426">
        <f t="shared" si="978"/>
        <v>-12.28739217260082</v>
      </c>
    </row>
    <row r="427" spans="1:20" x14ac:dyDescent="0.25">
      <c r="A427" s="5">
        <v>44166</v>
      </c>
      <c r="B427">
        <v>4.1619999999999999E-3</v>
      </c>
      <c r="C427">
        <v>4.2810000000000001E-3</v>
      </c>
      <c r="D427">
        <v>3.9110000000000004E-3</v>
      </c>
      <c r="E427">
        <v>4.0289999999999996E-3</v>
      </c>
      <c r="F427">
        <v>21858919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-0.36216216216216601</v>
      </c>
      <c r="Q427">
        <f t="shared" si="975"/>
        <v>-7916473.3675676519</v>
      </c>
      <c r="R427">
        <f t="shared" si="976"/>
        <v>-1242262246.260082</v>
      </c>
      <c r="S427">
        <f t="shared" si="977"/>
        <v>-12422.622462600821</v>
      </c>
      <c r="T427">
        <f t="shared" si="978"/>
        <v>-12.42262246260082</v>
      </c>
    </row>
    <row r="428" spans="1:20" x14ac:dyDescent="0.25">
      <c r="A428" s="5">
        <v>44165</v>
      </c>
      <c r="B428">
        <v>4.0740000000000004E-3</v>
      </c>
      <c r="C428">
        <v>4.2009999999999999E-3</v>
      </c>
      <c r="D428">
        <v>3.9399999999999999E-3</v>
      </c>
      <c r="E428">
        <v>4.1999999999999997E-3</v>
      </c>
      <c r="F428">
        <v>21949810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0.99233716475095679</v>
      </c>
      <c r="Q428">
        <f t="shared" si="975"/>
        <v>21781612.222222198</v>
      </c>
      <c r="R428">
        <f t="shared" si="976"/>
        <v>-1234345772.8925145</v>
      </c>
      <c r="S428">
        <f t="shared" si="977"/>
        <v>-12343.457728925145</v>
      </c>
      <c r="T428">
        <f t="shared" si="978"/>
        <v>-12.343457728925145</v>
      </c>
    </row>
    <row r="429" spans="1:20" x14ac:dyDescent="0.25">
      <c r="A429" s="5">
        <v>44164</v>
      </c>
      <c r="B429">
        <v>4.0049999999999999E-3</v>
      </c>
      <c r="C429">
        <v>4.15E-3</v>
      </c>
      <c r="D429">
        <v>3.9249999999999997E-3</v>
      </c>
      <c r="E429">
        <v>4.0540000000000003E-3</v>
      </c>
      <c r="F429">
        <v>14125197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0.14666666666667047</v>
      </c>
      <c r="Q429">
        <f t="shared" si="975"/>
        <v>2071695.5600000536</v>
      </c>
      <c r="R429">
        <f t="shared" si="976"/>
        <v>-1256127385.1147366</v>
      </c>
      <c r="S429">
        <f t="shared" si="977"/>
        <v>-12561.273851147365</v>
      </c>
      <c r="T429">
        <f t="shared" si="978"/>
        <v>-12.561273851147366</v>
      </c>
    </row>
    <row r="430" spans="1:20" x14ac:dyDescent="0.25">
      <c r="A430" s="5">
        <v>44163</v>
      </c>
      <c r="B430">
        <v>3.875E-3</v>
      </c>
      <c r="C430">
        <v>4.1539999999999997E-3</v>
      </c>
      <c r="D430">
        <v>3.7780000000000001E-3</v>
      </c>
      <c r="E430">
        <v>4.0109999999999998E-3</v>
      </c>
      <c r="F430">
        <v>42058147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0.23936170212765931</v>
      </c>
      <c r="Q430">
        <f t="shared" si="975"/>
        <v>10067109.654255308</v>
      </c>
      <c r="R430">
        <f t="shared" si="976"/>
        <v>-1258199080.6747365</v>
      </c>
      <c r="S430">
        <f t="shared" si="977"/>
        <v>-12581.990806747364</v>
      </c>
      <c r="T430">
        <f t="shared" si="978"/>
        <v>-12.581990806747365</v>
      </c>
    </row>
    <row r="431" spans="1:20" x14ac:dyDescent="0.25">
      <c r="A431" s="5">
        <v>44162</v>
      </c>
      <c r="B431">
        <v>3.9259999999999998E-3</v>
      </c>
      <c r="C431">
        <v>4.5649999999999996E-3</v>
      </c>
      <c r="D431">
        <v>3.6949999999999999E-3</v>
      </c>
      <c r="E431">
        <v>3.875E-3</v>
      </c>
      <c r="F431">
        <v>14576419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-0.58620689655172387</v>
      </c>
      <c r="Q431">
        <f t="shared" si="975"/>
        <v>-8544797.3448275831</v>
      </c>
      <c r="R431">
        <f t="shared" si="976"/>
        <v>-1268266190.3289919</v>
      </c>
      <c r="S431">
        <f t="shared" si="977"/>
        <v>-12682.66190328992</v>
      </c>
      <c r="T431">
        <f t="shared" si="978"/>
        <v>-12.682661903289921</v>
      </c>
    </row>
    <row r="432" spans="1:20" x14ac:dyDescent="0.25">
      <c r="A432" s="5">
        <v>44161</v>
      </c>
      <c r="B432">
        <v>4.3839999999999999E-3</v>
      </c>
      <c r="C432">
        <v>4.4530000000000004E-3</v>
      </c>
      <c r="D432">
        <v>3.6189999999999998E-3</v>
      </c>
      <c r="E432">
        <v>3.9439999999999996E-3</v>
      </c>
      <c r="F432">
        <v>43677322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-0.22062350119904184</v>
      </c>
      <c r="Q432">
        <f t="shared" si="975"/>
        <v>-9636243.7026379369</v>
      </c>
      <c r="R432">
        <f t="shared" si="976"/>
        <v>-1259721392.9841642</v>
      </c>
      <c r="S432">
        <f t="shared" si="977"/>
        <v>-12597.213929841642</v>
      </c>
      <c r="T432">
        <f t="shared" si="978"/>
        <v>-12.597213929841642</v>
      </c>
    </row>
    <row r="433" spans="1:20" x14ac:dyDescent="0.25">
      <c r="A433" s="5">
        <v>44160</v>
      </c>
      <c r="B433">
        <v>4.535E-3</v>
      </c>
      <c r="C433">
        <v>4.9959999999999996E-3</v>
      </c>
      <c r="D433">
        <v>4.2760000000000003E-3</v>
      </c>
      <c r="E433">
        <v>4.385E-3</v>
      </c>
      <c r="F433">
        <v>67276504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-0.69722222222222274</v>
      </c>
      <c r="Q433">
        <f t="shared" si="975"/>
        <v>-46906673.62222226</v>
      </c>
      <c r="R433">
        <f t="shared" si="976"/>
        <v>-1250085149.2815263</v>
      </c>
      <c r="S433">
        <f t="shared" si="977"/>
        <v>-12500.851492815264</v>
      </c>
      <c r="T433">
        <f t="shared" si="978"/>
        <v>-12.500851492815263</v>
      </c>
    </row>
    <row r="434" spans="1:20" x14ac:dyDescent="0.25">
      <c r="A434" s="5">
        <v>44159</v>
      </c>
      <c r="B434">
        <v>4.0850000000000001E-3</v>
      </c>
      <c r="C434">
        <v>4.6189999999999998E-3</v>
      </c>
      <c r="D434">
        <v>4.084E-3</v>
      </c>
      <c r="E434">
        <v>4.47E-3</v>
      </c>
      <c r="F434">
        <v>50186523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0.44299065420560801</v>
      </c>
      <c r="Q434">
        <f t="shared" si="975"/>
        <v>22232160.656074792</v>
      </c>
      <c r="R434">
        <f t="shared" si="976"/>
        <v>-1203178475.6593041</v>
      </c>
      <c r="S434">
        <f t="shared" si="977"/>
        <v>-12031.784756593041</v>
      </c>
      <c r="T434">
        <f t="shared" si="978"/>
        <v>-12.031784756593041</v>
      </c>
    </row>
    <row r="435" spans="1:20" x14ac:dyDescent="0.25">
      <c r="A435" s="5">
        <v>44158</v>
      </c>
      <c r="B435">
        <v>4.0959999999999998E-3</v>
      </c>
      <c r="C435">
        <v>4.2290000000000001E-3</v>
      </c>
      <c r="D435">
        <v>4.0229999999999997E-3</v>
      </c>
      <c r="E435">
        <v>4.084E-3</v>
      </c>
      <c r="F435">
        <v>19155663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-0.40776699029126062</v>
      </c>
      <c r="Q435">
        <f t="shared" si="975"/>
        <v>-7811047.04854366</v>
      </c>
      <c r="R435">
        <f t="shared" si="976"/>
        <v>-1225410636.3153789</v>
      </c>
      <c r="S435">
        <f t="shared" si="977"/>
        <v>-12254.106363153789</v>
      </c>
      <c r="T435">
        <f t="shared" si="978"/>
        <v>-12.25410636315379</v>
      </c>
    </row>
    <row r="436" spans="1:20" x14ac:dyDescent="0.25">
      <c r="A436" s="5">
        <v>44157</v>
      </c>
      <c r="B436">
        <v>4.1339999999999997E-3</v>
      </c>
      <c r="C436">
        <v>4.1900000000000001E-3</v>
      </c>
      <c r="D436">
        <v>3.8400000000000001E-3</v>
      </c>
      <c r="E436">
        <v>4.0959999999999998E-3</v>
      </c>
      <c r="F436">
        <v>44548874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0.46285714285714102</v>
      </c>
      <c r="Q436">
        <f t="shared" si="975"/>
        <v>20619764.537142776</v>
      </c>
      <c r="R436">
        <f t="shared" si="976"/>
        <v>-1217599589.2668352</v>
      </c>
      <c r="S436">
        <f t="shared" si="977"/>
        <v>-12175.995892668352</v>
      </c>
      <c r="T436">
        <f t="shared" si="978"/>
        <v>-12.175995892668352</v>
      </c>
    </row>
    <row r="437" spans="1:20" x14ac:dyDescent="0.25">
      <c r="A437" s="5">
        <v>44156</v>
      </c>
      <c r="B437">
        <v>4.0049999999999999E-3</v>
      </c>
      <c r="C437">
        <v>4.2290000000000001E-3</v>
      </c>
      <c r="D437">
        <v>3.8600000000000001E-3</v>
      </c>
      <c r="E437">
        <v>4.1019999999999997E-3</v>
      </c>
      <c r="F437">
        <v>37471717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0.31165311653116323</v>
      </c>
      <c r="Q437">
        <f t="shared" si="975"/>
        <v>11678177.384823771</v>
      </c>
      <c r="R437">
        <f t="shared" si="976"/>
        <v>-1238219353.803978</v>
      </c>
      <c r="S437">
        <f t="shared" si="977"/>
        <v>-12382.193538039779</v>
      </c>
      <c r="T437">
        <f t="shared" si="978"/>
        <v>-12.382193538039779</v>
      </c>
    </row>
    <row r="438" spans="1:20" x14ac:dyDescent="0.25">
      <c r="A438" s="5">
        <v>44155</v>
      </c>
      <c r="B438">
        <v>3.9280000000000001E-3</v>
      </c>
      <c r="C438">
        <v>4.1029999999999999E-3</v>
      </c>
      <c r="D438">
        <v>3.839E-3</v>
      </c>
      <c r="E438">
        <v>4.0049999999999999E-3</v>
      </c>
      <c r="F438">
        <v>31621010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0.25757575757575735</v>
      </c>
      <c r="Q438">
        <f t="shared" si="975"/>
        <v>8144805.606060599</v>
      </c>
      <c r="R438">
        <f t="shared" si="976"/>
        <v>-1249897531.1888018</v>
      </c>
      <c r="S438">
        <f t="shared" si="977"/>
        <v>-12498.975311888018</v>
      </c>
      <c r="T438">
        <f t="shared" si="978"/>
        <v>-12.498975311888017</v>
      </c>
    </row>
    <row r="439" spans="1:20" x14ac:dyDescent="0.25">
      <c r="A439" s="5">
        <v>44154</v>
      </c>
      <c r="B439">
        <v>3.8159999999999999E-3</v>
      </c>
      <c r="C439">
        <v>4.0330000000000001E-3</v>
      </c>
      <c r="D439">
        <v>3.7529999999999998E-3</v>
      </c>
      <c r="E439">
        <v>3.9129999999999998E-3</v>
      </c>
      <c r="F439">
        <v>19361283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0.14285714285714152</v>
      </c>
      <c r="Q439">
        <f t="shared" si="975"/>
        <v>2765897.5714285453</v>
      </c>
      <c r="R439">
        <f t="shared" si="976"/>
        <v>-1258042336.7948623</v>
      </c>
      <c r="S439">
        <f t="shared" si="977"/>
        <v>-12580.423367948622</v>
      </c>
      <c r="T439">
        <f t="shared" si="978"/>
        <v>-12.580423367948622</v>
      </c>
    </row>
    <row r="440" spans="1:20" x14ac:dyDescent="0.25">
      <c r="A440" s="5">
        <v>44153</v>
      </c>
      <c r="B440">
        <v>3.8869999999999998E-3</v>
      </c>
      <c r="C440">
        <v>4.104E-3</v>
      </c>
      <c r="D440">
        <v>3.6289999999999998E-3</v>
      </c>
      <c r="E440">
        <v>3.8159999999999999E-3</v>
      </c>
      <c r="F440">
        <v>29771567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-0.21263157894736825</v>
      </c>
      <c r="Q440">
        <f t="shared" si="975"/>
        <v>-6330375.2989473632</v>
      </c>
      <c r="R440">
        <f t="shared" si="976"/>
        <v>-1260808234.3662908</v>
      </c>
      <c r="S440">
        <f t="shared" si="977"/>
        <v>-12608.082343662909</v>
      </c>
      <c r="T440">
        <f t="shared" si="978"/>
        <v>-12.608082343662909</v>
      </c>
    </row>
    <row r="441" spans="1:20" x14ac:dyDescent="0.25">
      <c r="A441" s="5">
        <v>44152</v>
      </c>
      <c r="B441">
        <v>3.7669999999999999E-3</v>
      </c>
      <c r="C441">
        <v>3.9500000000000004E-3</v>
      </c>
      <c r="D441">
        <v>3.7260000000000001E-3</v>
      </c>
      <c r="E441">
        <v>3.888E-3</v>
      </c>
      <c r="F441">
        <v>25885110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0.44642857142856823</v>
      </c>
      <c r="Q441">
        <f t="shared" si="975"/>
        <v>11555852.678571345</v>
      </c>
      <c r="R441">
        <f t="shared" si="976"/>
        <v>-1254477859.0673435</v>
      </c>
      <c r="S441">
        <f t="shared" si="977"/>
        <v>-12544.778590673435</v>
      </c>
      <c r="T441">
        <f t="shared" si="978"/>
        <v>-12.544778590673435</v>
      </c>
    </row>
    <row r="442" spans="1:20" x14ac:dyDescent="0.25">
      <c r="A442" s="5">
        <v>44151</v>
      </c>
      <c r="B442">
        <v>3.607E-3</v>
      </c>
      <c r="C442">
        <v>3.7720000000000002E-3</v>
      </c>
      <c r="D442">
        <v>3.5720000000000001E-3</v>
      </c>
      <c r="E442">
        <v>3.7460000000000002E-3</v>
      </c>
      <c r="F442">
        <v>13098269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0.74000000000000032</v>
      </c>
      <c r="Q442">
        <f t="shared" si="975"/>
        <v>9692719.0600000042</v>
      </c>
      <c r="R442">
        <f t="shared" si="976"/>
        <v>-1266033711.7459149</v>
      </c>
      <c r="S442">
        <f t="shared" si="977"/>
        <v>-12660.33711745915</v>
      </c>
      <c r="T442">
        <f t="shared" si="978"/>
        <v>-12.66033711745915</v>
      </c>
    </row>
    <row r="443" spans="1:20" x14ac:dyDescent="0.25">
      <c r="A443" s="5">
        <v>44150</v>
      </c>
      <c r="B443">
        <v>3.529E-3</v>
      </c>
      <c r="C443">
        <v>3.741E-3</v>
      </c>
      <c r="D443">
        <v>3.5279999999999999E-3</v>
      </c>
      <c r="E443">
        <v>3.6410000000000001E-3</v>
      </c>
      <c r="F443">
        <v>9551367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6.1032863849767229E-2</v>
      </c>
      <c r="Q443">
        <f t="shared" si="975"/>
        <v>582947.2816901597</v>
      </c>
      <c r="R443">
        <f t="shared" si="976"/>
        <v>-1275726430.8059149</v>
      </c>
      <c r="S443">
        <f t="shared" si="977"/>
        <v>-12757.264308059148</v>
      </c>
      <c r="T443">
        <f t="shared" si="978"/>
        <v>-12.757264308059147</v>
      </c>
    </row>
    <row r="444" spans="1:20" x14ac:dyDescent="0.25">
      <c r="A444" s="5">
        <v>44149</v>
      </c>
      <c r="B444">
        <v>3.7989999999999999E-3</v>
      </c>
      <c r="C444">
        <v>3.7989999999999999E-3</v>
      </c>
      <c r="D444">
        <v>3.5019999999999999E-3</v>
      </c>
      <c r="E444">
        <v>3.5339999999999998E-3</v>
      </c>
      <c r="F444">
        <v>13491305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-0.78451178451178505</v>
      </c>
      <c r="Q444">
        <f t="shared" si="975"/>
        <v>-10584087.760942768</v>
      </c>
      <c r="R444">
        <f t="shared" si="976"/>
        <v>-1276309378.087605</v>
      </c>
      <c r="S444">
        <f t="shared" si="977"/>
        <v>-12763.09378087605</v>
      </c>
      <c r="T444">
        <f t="shared" si="978"/>
        <v>-12.76309378087605</v>
      </c>
    </row>
    <row r="445" spans="1:20" x14ac:dyDescent="0.25">
      <c r="A445" s="5">
        <v>44148</v>
      </c>
      <c r="B445">
        <v>3.6110000000000001E-3</v>
      </c>
      <c r="C445">
        <v>3.9899999999999996E-3</v>
      </c>
      <c r="D445">
        <v>3.558E-3</v>
      </c>
      <c r="E445">
        <v>3.8019999999999998E-3</v>
      </c>
      <c r="F445">
        <v>40376215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0.12962962962962987</v>
      </c>
      <c r="Q445">
        <f t="shared" si="975"/>
        <v>5233953.796296306</v>
      </c>
      <c r="R445">
        <f t="shared" si="976"/>
        <v>-1265725290.3266623</v>
      </c>
      <c r="S445">
        <f t="shared" si="977"/>
        <v>-12657.252903266623</v>
      </c>
      <c r="T445">
        <f t="shared" si="978"/>
        <v>-12.657252903266622</v>
      </c>
    </row>
    <row r="446" spans="1:20" x14ac:dyDescent="0.25">
      <c r="A446" s="5">
        <v>44147</v>
      </c>
      <c r="B446">
        <v>3.9020000000000001E-3</v>
      </c>
      <c r="C446">
        <v>3.9529999999999999E-3</v>
      </c>
      <c r="D446">
        <v>3.5200000000000001E-3</v>
      </c>
      <c r="E446">
        <v>3.5860000000000002E-3</v>
      </c>
      <c r="F446">
        <v>19933715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-0.69515011547344052</v>
      </c>
      <c r="Q446">
        <f t="shared" si="975"/>
        <v>-13856924.284064654</v>
      </c>
      <c r="R446">
        <f t="shared" si="976"/>
        <v>-1270959244.1229587</v>
      </c>
      <c r="S446">
        <f t="shared" si="977"/>
        <v>-12709.592441229586</v>
      </c>
      <c r="T446">
        <f t="shared" si="978"/>
        <v>-12.709592441229587</v>
      </c>
    </row>
    <row r="447" spans="1:20" x14ac:dyDescent="0.25">
      <c r="A447" s="5">
        <v>44146</v>
      </c>
      <c r="B447">
        <v>4.1989999999999996E-3</v>
      </c>
      <c r="C447">
        <v>4.2249999999999996E-3</v>
      </c>
      <c r="D447">
        <v>3.8579999999999999E-3</v>
      </c>
      <c r="E447">
        <v>3.8600000000000001E-3</v>
      </c>
      <c r="F447">
        <v>21848334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-0.9891008174386906</v>
      </c>
      <c r="Q447">
        <f t="shared" si="975"/>
        <v>-21610205.019073538</v>
      </c>
      <c r="R447">
        <f t="shared" si="976"/>
        <v>-1257102319.8388939</v>
      </c>
      <c r="S447">
        <f t="shared" si="977"/>
        <v>-12571.023198388939</v>
      </c>
      <c r="T447">
        <f t="shared" si="978"/>
        <v>-12.571023198388939</v>
      </c>
    </row>
    <row r="448" spans="1:20" x14ac:dyDescent="0.25">
      <c r="A448" s="5">
        <v>44145</v>
      </c>
      <c r="B448">
        <v>3.9389999999999998E-3</v>
      </c>
      <c r="C448">
        <v>4.2339999999999999E-3</v>
      </c>
      <c r="D448">
        <v>3.921E-3</v>
      </c>
      <c r="E448">
        <v>4.2339999999999999E-3</v>
      </c>
      <c r="F448">
        <v>20684788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1</v>
      </c>
      <c r="Q448">
        <f t="shared" si="975"/>
        <v>20684788</v>
      </c>
      <c r="R448">
        <f t="shared" si="976"/>
        <v>-1235492114.8198204</v>
      </c>
      <c r="S448">
        <f t="shared" si="977"/>
        <v>-12354.921148198204</v>
      </c>
      <c r="T448">
        <f t="shared" si="978"/>
        <v>-12.354921148198203</v>
      </c>
    </row>
    <row r="449" spans="1:20" x14ac:dyDescent="0.25">
      <c r="A449" s="5">
        <v>44144</v>
      </c>
      <c r="B449">
        <v>3.7789999999999998E-3</v>
      </c>
      <c r="C449">
        <v>4.2129999999999997E-3</v>
      </c>
      <c r="D449">
        <v>3.7460000000000002E-3</v>
      </c>
      <c r="E449">
        <v>3.9029999999999998E-3</v>
      </c>
      <c r="F449">
        <v>17709732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-0.32762312633833085</v>
      </c>
      <c r="Q449">
        <f t="shared" si="975"/>
        <v>-5802117.7644539811</v>
      </c>
      <c r="R449">
        <f t="shared" si="976"/>
        <v>-1256176902.8198204</v>
      </c>
      <c r="S449">
        <f t="shared" si="977"/>
        <v>-12561.769028198203</v>
      </c>
      <c r="T449">
        <f t="shared" si="978"/>
        <v>-12.561769028198203</v>
      </c>
    </row>
    <row r="450" spans="1:20" x14ac:dyDescent="0.25">
      <c r="A450" s="5">
        <v>44143</v>
      </c>
      <c r="B450">
        <v>3.6389999999999999E-3</v>
      </c>
      <c r="C450">
        <v>4.0530000000000002E-3</v>
      </c>
      <c r="D450">
        <v>3.6099999999999999E-3</v>
      </c>
      <c r="E450">
        <v>3.7789999999999998E-3</v>
      </c>
      <c r="F450">
        <v>14640723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-0.23702031602708901</v>
      </c>
      <c r="Q450">
        <f t="shared" si="975"/>
        <v>-3470148.7923250706</v>
      </c>
      <c r="R450">
        <f t="shared" si="976"/>
        <v>-1250374785.0553665</v>
      </c>
      <c r="S450">
        <f t="shared" si="977"/>
        <v>-12503.747850553666</v>
      </c>
      <c r="T450">
        <f t="shared" si="978"/>
        <v>-12.503747850553665</v>
      </c>
    </row>
    <row r="451" spans="1:20" x14ac:dyDescent="0.25">
      <c r="A451" s="5">
        <v>44142</v>
      </c>
      <c r="B451">
        <v>4.1570000000000001E-3</v>
      </c>
      <c r="C451">
        <v>4.2069999999999998E-3</v>
      </c>
      <c r="D451">
        <v>3.5509999999999999E-3</v>
      </c>
      <c r="E451">
        <v>3.6259999999999999E-3</v>
      </c>
      <c r="F451">
        <v>35858359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-0.77134146341463417</v>
      </c>
      <c r="Q451">
        <f t="shared" si="975"/>
        <v>-27659039.106707316</v>
      </c>
      <c r="R451">
        <f t="shared" si="976"/>
        <v>-1246904636.2630415</v>
      </c>
      <c r="S451">
        <f t="shared" si="977"/>
        <v>-12469.046362630415</v>
      </c>
      <c r="T451">
        <f t="shared" si="978"/>
        <v>-12.469046362630415</v>
      </c>
    </row>
    <row r="452" spans="1:20" x14ac:dyDescent="0.25">
      <c r="A452" s="5">
        <v>44141</v>
      </c>
      <c r="B452">
        <v>3.5330000000000001E-3</v>
      </c>
      <c r="C452">
        <v>4.2440000000000004E-3</v>
      </c>
      <c r="D452">
        <v>3.238E-3</v>
      </c>
      <c r="E452">
        <v>4.1250000000000002E-3</v>
      </c>
      <c r="F452">
        <v>31885391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0.76341948310139141</v>
      </c>
      <c r="Q452">
        <f t="shared" si="975"/>
        <v>24341928.715705756</v>
      </c>
      <c r="R452">
        <f t="shared" si="976"/>
        <v>-1219245597.1563342</v>
      </c>
      <c r="S452">
        <f t="shared" si="977"/>
        <v>-12192.455971563342</v>
      </c>
      <c r="T452">
        <f t="shared" si="978"/>
        <v>-12.192455971563342</v>
      </c>
    </row>
    <row r="453" spans="1:20" x14ac:dyDescent="0.25">
      <c r="A453" s="5">
        <v>44140</v>
      </c>
      <c r="B453">
        <v>3.1939999999999998E-3</v>
      </c>
      <c r="C453">
        <v>3.748E-3</v>
      </c>
      <c r="D453">
        <v>3.137E-3</v>
      </c>
      <c r="E453">
        <v>3.5079999999999998E-3</v>
      </c>
      <c r="F453">
        <v>26704369</v>
      </c>
      <c r="G453">
        <v>0</v>
      </c>
      <c r="L453" t="s">
        <v>8</v>
      </c>
      <c r="M453" t="s">
        <v>8</v>
      </c>
      <c r="N453" t="s">
        <v>8</v>
      </c>
      <c r="P453">
        <f t="shared" si="974"/>
        <v>0.21440261865793717</v>
      </c>
      <c r="Q453">
        <f t="shared" si="975"/>
        <v>5725486.6432078388</v>
      </c>
      <c r="R453">
        <f t="shared" si="976"/>
        <v>-1243587525.87204</v>
      </c>
      <c r="S453">
        <f t="shared" si="977"/>
        <v>-12435.8752587204</v>
      </c>
      <c r="T453">
        <f t="shared" si="978"/>
        <v>-12.435875258720399</v>
      </c>
    </row>
    <row r="454" spans="1:20" x14ac:dyDescent="0.25">
      <c r="A454" s="5">
        <v>44139</v>
      </c>
      <c r="B454">
        <v>3.2859999999999999E-3</v>
      </c>
      <c r="C454">
        <v>3.2859999999999999E-3</v>
      </c>
      <c r="D454">
        <v>3.0869999999999999E-3</v>
      </c>
      <c r="E454">
        <v>3.173E-3</v>
      </c>
      <c r="F454">
        <v>14234461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-0.13567839195979742</v>
      </c>
      <c r="Q454">
        <f t="shared" ref="Q454:Q517" si="980">F454*P454</f>
        <v>-1931308.7788944498</v>
      </c>
      <c r="R454">
        <f t="shared" ref="R454:R517" si="981">R455+Q454</f>
        <v>-1249313012.5152478</v>
      </c>
      <c r="S454">
        <f t="shared" ref="S454:S517" si="982">R454/100000</f>
        <v>-12493.130125152478</v>
      </c>
      <c r="T454">
        <f t="shared" ref="T454:T517" si="983">S454/1000</f>
        <v>-12.493130125152478</v>
      </c>
    </row>
    <row r="455" spans="1:20" x14ac:dyDescent="0.25">
      <c r="A455" s="5">
        <v>44138</v>
      </c>
      <c r="B455">
        <v>3.3010000000000001E-3</v>
      </c>
      <c r="C455">
        <v>3.313E-3</v>
      </c>
      <c r="D455">
        <v>3.1289999999999998E-3</v>
      </c>
      <c r="E455">
        <v>3.287E-3</v>
      </c>
      <c r="F455">
        <v>10698305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0.7173913043478265</v>
      </c>
      <c r="Q455">
        <f t="shared" si="980"/>
        <v>7674870.9782608738</v>
      </c>
      <c r="R455">
        <f t="shared" si="981"/>
        <v>-1247381703.7363534</v>
      </c>
      <c r="S455">
        <f t="shared" si="982"/>
        <v>-12473.817037363535</v>
      </c>
      <c r="T455">
        <f t="shared" si="983"/>
        <v>-12.473817037363535</v>
      </c>
    </row>
    <row r="456" spans="1:20" x14ac:dyDescent="0.25">
      <c r="A456" s="5">
        <v>44137</v>
      </c>
      <c r="B456">
        <v>3.2450000000000001E-3</v>
      </c>
      <c r="C456">
        <v>3.3990000000000001E-3</v>
      </c>
      <c r="D456">
        <v>3.15E-3</v>
      </c>
      <c r="E456">
        <v>3.3170000000000001E-3</v>
      </c>
      <c r="F456">
        <v>9186736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0.34136546184738947</v>
      </c>
      <c r="Q456">
        <f t="shared" si="980"/>
        <v>3136034.3775100396</v>
      </c>
      <c r="R456">
        <f t="shared" si="981"/>
        <v>-1255056574.7146142</v>
      </c>
      <c r="S456">
        <f t="shared" si="982"/>
        <v>-12550.565747146142</v>
      </c>
      <c r="T456">
        <f t="shared" si="983"/>
        <v>-12.550565747146141</v>
      </c>
    </row>
    <row r="457" spans="1:20" x14ac:dyDescent="0.25">
      <c r="A457" s="5">
        <v>44136</v>
      </c>
      <c r="B457">
        <v>3.2420000000000001E-3</v>
      </c>
      <c r="C457">
        <v>3.3149999999999998E-3</v>
      </c>
      <c r="D457">
        <v>3.0999999999999999E-3</v>
      </c>
      <c r="E457">
        <v>3.209E-3</v>
      </c>
      <c r="F457">
        <v>5028235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1.3953488372094881E-2</v>
      </c>
      <c r="Q457">
        <f t="shared" si="980"/>
        <v>70161.418604660503</v>
      </c>
      <c r="R457">
        <f t="shared" si="981"/>
        <v>-1258192609.0921242</v>
      </c>
      <c r="S457">
        <f t="shared" si="982"/>
        <v>-12581.926090921243</v>
      </c>
      <c r="T457">
        <f t="shared" si="983"/>
        <v>-12.581926090921243</v>
      </c>
    </row>
    <row r="458" spans="1:20" x14ac:dyDescent="0.25">
      <c r="A458" s="5">
        <v>44135</v>
      </c>
      <c r="B458">
        <v>3.1570000000000001E-3</v>
      </c>
      <c r="C458">
        <v>3.2569999999999999E-3</v>
      </c>
      <c r="D458">
        <v>3.117E-3</v>
      </c>
      <c r="E458">
        <v>3.1879999999999999E-3</v>
      </c>
      <c r="F458">
        <v>6029820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1.428571428571309E-2</v>
      </c>
      <c r="Q458">
        <f t="shared" si="980"/>
        <v>86140.285714278507</v>
      </c>
      <c r="R458">
        <f t="shared" si="981"/>
        <v>-1258262770.5107288</v>
      </c>
      <c r="S458">
        <f t="shared" si="982"/>
        <v>-12582.627705107288</v>
      </c>
      <c r="T458">
        <f t="shared" si="983"/>
        <v>-12.582627705107289</v>
      </c>
    </row>
    <row r="459" spans="1:20" x14ac:dyDescent="0.25">
      <c r="A459" s="5">
        <v>44134</v>
      </c>
      <c r="B459">
        <v>3.264E-3</v>
      </c>
      <c r="C459">
        <v>3.3289999999999999E-3</v>
      </c>
      <c r="D459">
        <v>3.0980000000000001E-3</v>
      </c>
      <c r="E459">
        <v>3.1459999999999999E-3</v>
      </c>
      <c r="F459">
        <v>9086605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-0.58441558441558539</v>
      </c>
      <c r="Q459">
        <f t="shared" si="980"/>
        <v>-5310353.5714285802</v>
      </c>
      <c r="R459">
        <f t="shared" si="981"/>
        <v>-1258348910.7964432</v>
      </c>
      <c r="S459">
        <f t="shared" si="982"/>
        <v>-12583.489107964433</v>
      </c>
      <c r="T459">
        <f t="shared" si="983"/>
        <v>-12.583489107964432</v>
      </c>
    </row>
    <row r="460" spans="1:20" x14ac:dyDescent="0.25">
      <c r="A460" s="5">
        <v>44133</v>
      </c>
      <c r="B460">
        <v>3.3419999999999999E-3</v>
      </c>
      <c r="C460">
        <v>3.4450000000000001E-3</v>
      </c>
      <c r="D460">
        <v>3.2499999999999999E-3</v>
      </c>
      <c r="E460">
        <v>3.2889999999999998E-3</v>
      </c>
      <c r="F460">
        <v>8842949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-0.60000000000000087</v>
      </c>
      <c r="Q460">
        <f t="shared" si="980"/>
        <v>-5305769.4000000078</v>
      </c>
      <c r="R460">
        <f t="shared" si="981"/>
        <v>-1253038557.2250147</v>
      </c>
      <c r="S460">
        <f t="shared" si="982"/>
        <v>-12530.385572250147</v>
      </c>
      <c r="T460">
        <f t="shared" si="983"/>
        <v>-12.530385572250147</v>
      </c>
    </row>
    <row r="461" spans="1:20" x14ac:dyDescent="0.25">
      <c r="A461" s="5">
        <v>44132</v>
      </c>
      <c r="B461">
        <v>3.6029999999999999E-3</v>
      </c>
      <c r="C461">
        <v>4.0400000000000002E-3</v>
      </c>
      <c r="D461">
        <v>3.2209999999999999E-3</v>
      </c>
      <c r="E461">
        <v>3.3340000000000002E-3</v>
      </c>
      <c r="F461">
        <v>50023371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-0.72405372405372348</v>
      </c>
      <c r="Q461">
        <f t="shared" si="980"/>
        <v>-36219608.062271036</v>
      </c>
      <c r="R461">
        <f t="shared" si="981"/>
        <v>-1247732787.8250146</v>
      </c>
      <c r="S461">
        <f t="shared" si="982"/>
        <v>-12477.327878250146</v>
      </c>
      <c r="T461">
        <f t="shared" si="983"/>
        <v>-12.477327878250145</v>
      </c>
    </row>
    <row r="462" spans="1:20" x14ac:dyDescent="0.25">
      <c r="A462" s="5">
        <v>44131</v>
      </c>
      <c r="B462">
        <v>3.4989999999999999E-3</v>
      </c>
      <c r="C462">
        <v>3.65E-3</v>
      </c>
      <c r="D462">
        <v>3.418E-3</v>
      </c>
      <c r="E462">
        <v>3.617E-3</v>
      </c>
      <c r="F462">
        <v>16566094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0.71551724137930994</v>
      </c>
      <c r="Q462">
        <f t="shared" si="980"/>
        <v>11853325.879310338</v>
      </c>
      <c r="R462">
        <f t="shared" si="981"/>
        <v>-1211513179.7627435</v>
      </c>
      <c r="S462">
        <f t="shared" si="982"/>
        <v>-12115.131797627435</v>
      </c>
      <c r="T462">
        <f t="shared" si="983"/>
        <v>-12.115131797627434</v>
      </c>
    </row>
    <row r="463" spans="1:20" x14ac:dyDescent="0.25">
      <c r="A463" s="5">
        <v>44130</v>
      </c>
      <c r="B463">
        <v>3.591E-3</v>
      </c>
      <c r="C463">
        <v>3.699E-3</v>
      </c>
      <c r="D463">
        <v>3.4069999999999999E-3</v>
      </c>
      <c r="E463">
        <v>3.496E-3</v>
      </c>
      <c r="F463">
        <v>8687998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-0.39041095890410921</v>
      </c>
      <c r="Q463">
        <f t="shared" si="980"/>
        <v>-3391889.630136983</v>
      </c>
      <c r="R463">
        <f t="shared" si="981"/>
        <v>-1223366505.6420538</v>
      </c>
      <c r="S463">
        <f t="shared" si="982"/>
        <v>-12233.665056420539</v>
      </c>
      <c r="T463">
        <f t="shared" si="983"/>
        <v>-12.23366505642054</v>
      </c>
    </row>
    <row r="464" spans="1:20" x14ac:dyDescent="0.25">
      <c r="A464" s="5">
        <v>44129</v>
      </c>
      <c r="B464">
        <v>3.7269999999999998E-3</v>
      </c>
      <c r="C464">
        <v>3.7429999999999998E-3</v>
      </c>
      <c r="D464">
        <v>3.594E-3</v>
      </c>
      <c r="E464">
        <v>3.6180000000000001E-3</v>
      </c>
      <c r="F464">
        <v>4700274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-0.67785234899328617</v>
      </c>
      <c r="Q464">
        <f t="shared" si="980"/>
        <v>-3186091.7718120692</v>
      </c>
      <c r="R464">
        <f t="shared" si="981"/>
        <v>-1219974616.0119169</v>
      </c>
      <c r="S464">
        <f t="shared" si="982"/>
        <v>-12199.746160119168</v>
      </c>
      <c r="T464">
        <f t="shared" si="983"/>
        <v>-12.199746160119169</v>
      </c>
    </row>
    <row r="465" spans="1:20" x14ac:dyDescent="0.25">
      <c r="A465" s="5">
        <v>44128</v>
      </c>
      <c r="B465">
        <v>3.5100000000000001E-3</v>
      </c>
      <c r="C465">
        <v>3.8930000000000002E-3</v>
      </c>
      <c r="D465">
        <v>3.4810000000000002E-3</v>
      </c>
      <c r="E465">
        <v>3.7260000000000001E-3</v>
      </c>
      <c r="F465">
        <v>23979592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0.18932038834951442</v>
      </c>
      <c r="Q465">
        <f t="shared" si="980"/>
        <v>4539825.6699029095</v>
      </c>
      <c r="R465">
        <f t="shared" si="981"/>
        <v>-1216788524.2401049</v>
      </c>
      <c r="S465">
        <f t="shared" si="982"/>
        <v>-12167.885242401049</v>
      </c>
      <c r="T465">
        <f t="shared" si="983"/>
        <v>-12.167885242401049</v>
      </c>
    </row>
    <row r="466" spans="1:20" x14ac:dyDescent="0.25">
      <c r="A466" s="5">
        <v>44127</v>
      </c>
      <c r="B466">
        <v>3.5929999999999998E-3</v>
      </c>
      <c r="C466">
        <v>3.8340000000000002E-3</v>
      </c>
      <c r="D466">
        <v>3.4889999999999999E-3</v>
      </c>
      <c r="E466">
        <v>3.5200000000000001E-3</v>
      </c>
      <c r="F466">
        <v>23571557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-0.82028985507246266</v>
      </c>
      <c r="Q466">
        <f t="shared" si="980"/>
        <v>-19335509.075362291</v>
      </c>
      <c r="R466">
        <f t="shared" si="981"/>
        <v>-1221328349.9100077</v>
      </c>
      <c r="S466">
        <f t="shared" si="982"/>
        <v>-12213.283499100076</v>
      </c>
      <c r="T466">
        <f t="shared" si="983"/>
        <v>-12.213283499100076</v>
      </c>
    </row>
    <row r="467" spans="1:20" x14ac:dyDescent="0.25">
      <c r="A467" s="5">
        <v>44126</v>
      </c>
      <c r="B467">
        <v>3.4499999999999999E-3</v>
      </c>
      <c r="C467">
        <v>3.9820000000000003E-3</v>
      </c>
      <c r="D467">
        <v>3.4499999999999999E-3</v>
      </c>
      <c r="E467">
        <v>3.6129999999999999E-3</v>
      </c>
      <c r="F467">
        <v>50457068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-0.38721804511278257</v>
      </c>
      <c r="Q467">
        <f t="shared" si="980"/>
        <v>-19537887.233082738</v>
      </c>
      <c r="R467">
        <f t="shared" si="981"/>
        <v>-1201992840.8346455</v>
      </c>
      <c r="S467">
        <f t="shared" si="982"/>
        <v>-12019.928408346455</v>
      </c>
      <c r="T467">
        <f t="shared" si="983"/>
        <v>-12.019928408346455</v>
      </c>
    </row>
    <row r="468" spans="1:20" x14ac:dyDescent="0.25">
      <c r="A468" s="5">
        <v>44125</v>
      </c>
      <c r="B468">
        <v>2.9729999999999999E-3</v>
      </c>
      <c r="C468">
        <v>3.6159999999999999E-3</v>
      </c>
      <c r="D468">
        <v>2.9420000000000002E-3</v>
      </c>
      <c r="E468">
        <v>3.4940000000000001E-3</v>
      </c>
      <c r="F468">
        <v>29382258</v>
      </c>
      <c r="G468">
        <v>0</v>
      </c>
      <c r="L468" t="s">
        <v>8</v>
      </c>
      <c r="M468" t="s">
        <v>8</v>
      </c>
      <c r="N468" t="s">
        <v>8</v>
      </c>
      <c r="P468">
        <f t="shared" si="979"/>
        <v>0.63798219584569804</v>
      </c>
      <c r="Q468">
        <f t="shared" si="980"/>
        <v>18745357.477744829</v>
      </c>
      <c r="R468">
        <f t="shared" si="981"/>
        <v>-1182454953.6015627</v>
      </c>
      <c r="S468">
        <f t="shared" si="982"/>
        <v>-11824.549536015627</v>
      </c>
      <c r="T468">
        <f t="shared" si="983"/>
        <v>-11.824549536015628</v>
      </c>
    </row>
    <row r="469" spans="1:20" x14ac:dyDescent="0.25">
      <c r="A469" s="5">
        <v>44124</v>
      </c>
      <c r="B469">
        <v>3.0699999999999998E-3</v>
      </c>
      <c r="C469">
        <v>3.114E-3</v>
      </c>
      <c r="D469">
        <v>2.9429999999999999E-3</v>
      </c>
      <c r="E469">
        <v>2.9750000000000002E-3</v>
      </c>
      <c r="F469">
        <v>13438898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-0.62573099415204303</v>
      </c>
      <c r="Q469">
        <f t="shared" si="980"/>
        <v>-8409135.005847903</v>
      </c>
      <c r="R469">
        <f t="shared" si="981"/>
        <v>-1201200311.0793076</v>
      </c>
      <c r="S469">
        <f t="shared" si="982"/>
        <v>-12012.003110793075</v>
      </c>
      <c r="T469">
        <f t="shared" si="983"/>
        <v>-12.012003110793076</v>
      </c>
    </row>
    <row r="470" spans="1:20" x14ac:dyDescent="0.25">
      <c r="A470" s="5">
        <v>44123</v>
      </c>
      <c r="B470">
        <v>3.1580000000000002E-3</v>
      </c>
      <c r="C470">
        <v>3.2750000000000001E-3</v>
      </c>
      <c r="D470">
        <v>3.0439999999999998E-3</v>
      </c>
      <c r="E470">
        <v>3.0890000000000002E-3</v>
      </c>
      <c r="F470">
        <v>7291945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-0.61038961038960804</v>
      </c>
      <c r="Q470">
        <f t="shared" si="980"/>
        <v>-4450927.4675324503</v>
      </c>
      <c r="R470">
        <f t="shared" si="981"/>
        <v>-1192791176.0734596</v>
      </c>
      <c r="S470">
        <f t="shared" si="982"/>
        <v>-11927.911760734596</v>
      </c>
      <c r="T470">
        <f t="shared" si="983"/>
        <v>-11.927911760734595</v>
      </c>
    </row>
    <row r="471" spans="1:20" x14ac:dyDescent="0.25">
      <c r="A471" s="5">
        <v>44122</v>
      </c>
      <c r="B471">
        <v>3.0790000000000001E-3</v>
      </c>
      <c r="C471">
        <v>3.2169999999999998E-3</v>
      </c>
      <c r="D471">
        <v>3.052E-3</v>
      </c>
      <c r="E471">
        <v>3.15E-3</v>
      </c>
      <c r="F471">
        <v>6171124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0.18787878787878942</v>
      </c>
      <c r="Q471">
        <f t="shared" si="980"/>
        <v>1159423.2969697064</v>
      </c>
      <c r="R471">
        <f t="shared" si="981"/>
        <v>-1188340248.6059272</v>
      </c>
      <c r="S471">
        <f t="shared" si="982"/>
        <v>-11883.402486059273</v>
      </c>
      <c r="T471">
        <f t="shared" si="983"/>
        <v>-11.883402486059273</v>
      </c>
    </row>
    <row r="472" spans="1:20" x14ac:dyDescent="0.25">
      <c r="A472" s="5">
        <v>44121</v>
      </c>
      <c r="B472">
        <v>3.016E-3</v>
      </c>
      <c r="C472">
        <v>3.104E-3</v>
      </c>
      <c r="D472">
        <v>2.9880000000000002E-3</v>
      </c>
      <c r="E472">
        <v>3.0799999999999998E-3</v>
      </c>
      <c r="F472">
        <v>5855103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0.58620689655172076</v>
      </c>
      <c r="Q472">
        <f t="shared" si="980"/>
        <v>3432301.7586206701</v>
      </c>
      <c r="R472">
        <f t="shared" si="981"/>
        <v>-1189499671.9028969</v>
      </c>
      <c r="S472">
        <f t="shared" si="982"/>
        <v>-11894.996719028968</v>
      </c>
      <c r="T472">
        <f t="shared" si="983"/>
        <v>-11.894996719028969</v>
      </c>
    </row>
    <row r="473" spans="1:20" x14ac:dyDescent="0.25">
      <c r="A473" s="5">
        <v>44120</v>
      </c>
      <c r="B473">
        <v>3.333E-3</v>
      </c>
      <c r="C473">
        <v>3.3990000000000001E-3</v>
      </c>
      <c r="D473">
        <v>3.0010000000000002E-3</v>
      </c>
      <c r="E473">
        <v>3.0560000000000001E-3</v>
      </c>
      <c r="F473">
        <v>16232922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-0.72361809045226166</v>
      </c>
      <c r="Q473">
        <f t="shared" si="980"/>
        <v>-11746436.020100508</v>
      </c>
      <c r="R473">
        <f t="shared" si="981"/>
        <v>-1192931973.6615176</v>
      </c>
      <c r="S473">
        <f t="shared" si="982"/>
        <v>-11929.319736615176</v>
      </c>
      <c r="T473">
        <f t="shared" si="983"/>
        <v>-11.929319736615176</v>
      </c>
    </row>
    <row r="474" spans="1:20" x14ac:dyDescent="0.25">
      <c r="A474" s="5">
        <v>44119</v>
      </c>
      <c r="B474">
        <v>3.2699999999999999E-3</v>
      </c>
      <c r="C474">
        <v>3.434E-3</v>
      </c>
      <c r="D474">
        <v>3.2290000000000001E-3</v>
      </c>
      <c r="E474">
        <v>3.333E-3</v>
      </c>
      <c r="F474">
        <v>13215090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1.4634146341463249E-2</v>
      </c>
      <c r="Q474">
        <f t="shared" si="980"/>
        <v>193391.56097560757</v>
      </c>
      <c r="R474">
        <f t="shared" si="981"/>
        <v>-1181185537.641417</v>
      </c>
      <c r="S474">
        <f t="shared" si="982"/>
        <v>-11811.855376414171</v>
      </c>
      <c r="T474">
        <f t="shared" si="983"/>
        <v>-11.81185537641417</v>
      </c>
    </row>
    <row r="475" spans="1:20" x14ac:dyDescent="0.25">
      <c r="A475" s="5">
        <v>44118</v>
      </c>
      <c r="B475">
        <v>3.248E-3</v>
      </c>
      <c r="C475">
        <v>3.4069999999999999E-3</v>
      </c>
      <c r="D475">
        <v>3.1949999999999999E-3</v>
      </c>
      <c r="E475">
        <v>3.2550000000000001E-3</v>
      </c>
      <c r="F475">
        <v>15966789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-0.4339622641509418</v>
      </c>
      <c r="Q475">
        <f t="shared" si="980"/>
        <v>-6928983.9056603517</v>
      </c>
      <c r="R475">
        <f t="shared" si="981"/>
        <v>-1181378929.2023926</v>
      </c>
      <c r="S475">
        <f t="shared" si="982"/>
        <v>-11813.789292023926</v>
      </c>
      <c r="T475">
        <f t="shared" si="983"/>
        <v>-11.813789292023927</v>
      </c>
    </row>
    <row r="476" spans="1:20" x14ac:dyDescent="0.25">
      <c r="A476" s="5">
        <v>44117</v>
      </c>
      <c r="B476">
        <v>3.2729999999999999E-3</v>
      </c>
      <c r="C476">
        <v>3.4329999999999999E-3</v>
      </c>
      <c r="D476">
        <v>3.1830000000000001E-3</v>
      </c>
      <c r="E476">
        <v>3.2550000000000001E-3</v>
      </c>
      <c r="F476">
        <v>13313254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-0.42399999999999938</v>
      </c>
      <c r="Q476">
        <f t="shared" si="980"/>
        <v>-5644819.6959999921</v>
      </c>
      <c r="R476">
        <f t="shared" si="981"/>
        <v>-1174449945.2967322</v>
      </c>
      <c r="S476">
        <f t="shared" si="982"/>
        <v>-11744.499452967322</v>
      </c>
      <c r="T476">
        <f t="shared" si="983"/>
        <v>-11.744499452967322</v>
      </c>
    </row>
    <row r="477" spans="1:20" x14ac:dyDescent="0.25">
      <c r="A477" s="5">
        <v>44116</v>
      </c>
      <c r="B477">
        <v>3.2160000000000001E-3</v>
      </c>
      <c r="C477">
        <v>3.3960000000000001E-3</v>
      </c>
      <c r="D477">
        <v>3.16E-3</v>
      </c>
      <c r="E477">
        <v>3.2560000000000002E-3</v>
      </c>
      <c r="F477">
        <v>11736550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-0.18644067796610064</v>
      </c>
      <c r="Q477">
        <f t="shared" si="980"/>
        <v>-2188170.3389830384</v>
      </c>
      <c r="R477">
        <f t="shared" si="981"/>
        <v>-1168805125.6007321</v>
      </c>
      <c r="S477">
        <f t="shared" si="982"/>
        <v>-11688.05125600732</v>
      </c>
      <c r="T477">
        <f t="shared" si="983"/>
        <v>-11.68805125600732</v>
      </c>
    </row>
    <row r="478" spans="1:20" x14ac:dyDescent="0.25">
      <c r="A478" s="5">
        <v>44115</v>
      </c>
      <c r="B478">
        <v>3.2039999999999998E-3</v>
      </c>
      <c r="C478">
        <v>3.2859999999999999E-3</v>
      </c>
      <c r="D478">
        <v>3.143E-3</v>
      </c>
      <c r="E478">
        <v>3.2169999999999998E-3</v>
      </c>
      <c r="F478">
        <v>4599358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3.4965034965033566E-2</v>
      </c>
      <c r="Q478">
        <f t="shared" si="980"/>
        <v>160816.71328670686</v>
      </c>
      <c r="R478">
        <f t="shared" si="981"/>
        <v>-1166616955.261749</v>
      </c>
      <c r="S478">
        <f t="shared" si="982"/>
        <v>-11666.16955261749</v>
      </c>
      <c r="T478">
        <f t="shared" si="983"/>
        <v>-11.66616955261749</v>
      </c>
    </row>
    <row r="479" spans="1:20" x14ac:dyDescent="0.25">
      <c r="A479" s="5">
        <v>44114</v>
      </c>
      <c r="B479">
        <v>3.1740000000000002E-3</v>
      </c>
      <c r="C479">
        <v>3.4559999999999999E-3</v>
      </c>
      <c r="D479">
        <v>3.173E-3</v>
      </c>
      <c r="E479">
        <v>3.2039999999999998E-3</v>
      </c>
      <c r="F479">
        <v>20996789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-0.78091872791519579</v>
      </c>
      <c r="Q479">
        <f t="shared" si="980"/>
        <v>-16396785.756183775</v>
      </c>
      <c r="R479">
        <f t="shared" si="981"/>
        <v>-1166777771.9750357</v>
      </c>
      <c r="S479">
        <f t="shared" si="982"/>
        <v>-11667.777719750356</v>
      </c>
      <c r="T479">
        <f t="shared" si="983"/>
        <v>-11.667777719750356</v>
      </c>
    </row>
    <row r="480" spans="1:20" x14ac:dyDescent="0.25">
      <c r="A480" s="5">
        <v>44113</v>
      </c>
      <c r="B480">
        <v>2.8600000000000001E-3</v>
      </c>
      <c r="C480">
        <v>3.2499999999999999E-3</v>
      </c>
      <c r="D480">
        <v>2.8289999999999999E-3</v>
      </c>
      <c r="E480">
        <v>3.173E-3</v>
      </c>
      <c r="F480">
        <v>29905329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0.6342042755344427</v>
      </c>
      <c r="Q480">
        <f t="shared" si="980"/>
        <v>18966087.513064161</v>
      </c>
      <c r="R480">
        <f t="shared" si="981"/>
        <v>-1150380986.2188518</v>
      </c>
      <c r="S480">
        <f t="shared" si="982"/>
        <v>-11503.809862188518</v>
      </c>
      <c r="T480">
        <f t="shared" si="983"/>
        <v>-11.503809862188518</v>
      </c>
    </row>
    <row r="481" spans="1:20" x14ac:dyDescent="0.25">
      <c r="A481" s="5">
        <v>44112</v>
      </c>
      <c r="B481">
        <v>2.794E-3</v>
      </c>
      <c r="C481">
        <v>2.8969999999999998E-3</v>
      </c>
      <c r="D481">
        <v>2.7160000000000001E-3</v>
      </c>
      <c r="E481">
        <v>2.8549999999999999E-3</v>
      </c>
      <c r="F481">
        <v>8443834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0.53591160220994483</v>
      </c>
      <c r="Q481">
        <f t="shared" si="980"/>
        <v>4525148.6077348068</v>
      </c>
      <c r="R481">
        <f t="shared" si="981"/>
        <v>-1169347073.731916</v>
      </c>
      <c r="S481">
        <f t="shared" si="982"/>
        <v>-11693.47073731916</v>
      </c>
      <c r="T481">
        <f t="shared" si="983"/>
        <v>-11.69347073731916</v>
      </c>
    </row>
    <row r="482" spans="1:20" x14ac:dyDescent="0.25">
      <c r="A482" s="5">
        <v>44111</v>
      </c>
      <c r="B482">
        <v>2.7109999999999999E-3</v>
      </c>
      <c r="C482">
        <v>2.8110000000000001E-3</v>
      </c>
      <c r="D482">
        <v>2.6840000000000002E-3</v>
      </c>
      <c r="E482">
        <v>2.8110000000000001E-3</v>
      </c>
      <c r="F482">
        <v>6000418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1</v>
      </c>
      <c r="Q482">
        <f t="shared" si="980"/>
        <v>6000418</v>
      </c>
      <c r="R482">
        <f t="shared" si="981"/>
        <v>-1173872222.3396509</v>
      </c>
      <c r="S482">
        <f t="shared" si="982"/>
        <v>-11738.722223396509</v>
      </c>
      <c r="T482">
        <f t="shared" si="983"/>
        <v>-11.738722223396509</v>
      </c>
    </row>
    <row r="483" spans="1:20" x14ac:dyDescent="0.25">
      <c r="A483" s="5">
        <v>44110</v>
      </c>
      <c r="B483">
        <v>2.9399999999999999E-3</v>
      </c>
      <c r="C483">
        <v>3.0070000000000001E-3</v>
      </c>
      <c r="D483">
        <v>2.6949999999999999E-3</v>
      </c>
      <c r="E483">
        <v>2.7200000000000002E-3</v>
      </c>
      <c r="F483">
        <v>16611423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-0.83974358974358809</v>
      </c>
      <c r="Q483">
        <f t="shared" si="980"/>
        <v>-13949335.980769204</v>
      </c>
      <c r="R483">
        <f t="shared" si="981"/>
        <v>-1179872640.3396509</v>
      </c>
      <c r="S483">
        <f t="shared" si="982"/>
        <v>-11798.726403396509</v>
      </c>
      <c r="T483">
        <f t="shared" si="983"/>
        <v>-11.798726403396509</v>
      </c>
    </row>
    <row r="484" spans="1:20" x14ac:dyDescent="0.25">
      <c r="A484" s="5">
        <v>44109</v>
      </c>
      <c r="B484">
        <v>2.9550000000000002E-3</v>
      </c>
      <c r="C484">
        <v>2.9680000000000002E-3</v>
      </c>
      <c r="D484">
        <v>2.885E-3</v>
      </c>
      <c r="E484">
        <v>2.9399999999999999E-3</v>
      </c>
      <c r="F484">
        <v>4349294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0.32530120481927255</v>
      </c>
      <c r="Q484">
        <f t="shared" si="980"/>
        <v>1414830.5783132331</v>
      </c>
      <c r="R484">
        <f t="shared" si="981"/>
        <v>-1165923304.3588817</v>
      </c>
      <c r="S484">
        <f t="shared" si="982"/>
        <v>-11659.233043588818</v>
      </c>
      <c r="T484">
        <f t="shared" si="983"/>
        <v>-11.659233043588818</v>
      </c>
    </row>
    <row r="485" spans="1:20" x14ac:dyDescent="0.25">
      <c r="A485" s="5">
        <v>44108</v>
      </c>
      <c r="B485">
        <v>2.9420000000000002E-3</v>
      </c>
      <c r="C485">
        <v>2.9910000000000002E-3</v>
      </c>
      <c r="D485">
        <v>2.8890000000000001E-3</v>
      </c>
      <c r="E485">
        <v>2.954E-3</v>
      </c>
      <c r="F485">
        <v>5552525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0.27450980392156654</v>
      </c>
      <c r="Q485">
        <f t="shared" si="980"/>
        <v>1524222.5490195963</v>
      </c>
      <c r="R485">
        <f t="shared" si="981"/>
        <v>-1167338134.9371951</v>
      </c>
      <c r="S485">
        <f t="shared" si="982"/>
        <v>-11673.38134937195</v>
      </c>
      <c r="T485">
        <f t="shared" si="983"/>
        <v>-11.673381349371949</v>
      </c>
    </row>
    <row r="486" spans="1:20" x14ac:dyDescent="0.25">
      <c r="A486" s="5">
        <v>44107</v>
      </c>
      <c r="B486">
        <v>2.9290000000000002E-3</v>
      </c>
      <c r="C486">
        <v>2.983E-3</v>
      </c>
      <c r="D486">
        <v>2.885E-3</v>
      </c>
      <c r="E486">
        <v>2.941E-3</v>
      </c>
      <c r="F486">
        <v>6550238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0.14285714285714413</v>
      </c>
      <c r="Q486">
        <f t="shared" si="980"/>
        <v>935748.28571429406</v>
      </c>
      <c r="R486">
        <f t="shared" si="981"/>
        <v>-1168862357.4862146</v>
      </c>
      <c r="S486">
        <f t="shared" si="982"/>
        <v>-11688.623574862146</v>
      </c>
      <c r="T486">
        <f t="shared" si="983"/>
        <v>-11.688623574862145</v>
      </c>
    </row>
    <row r="487" spans="1:20" x14ac:dyDescent="0.25">
      <c r="A487" s="5">
        <v>44106</v>
      </c>
      <c r="B487">
        <v>3.0200000000000001E-3</v>
      </c>
      <c r="C487">
        <v>3.045E-3</v>
      </c>
      <c r="D487">
        <v>2.7880000000000001E-3</v>
      </c>
      <c r="E487">
        <v>2.908E-3</v>
      </c>
      <c r="F487">
        <v>17857254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-6.6147859922179364E-2</v>
      </c>
      <c r="Q487">
        <f t="shared" si="980"/>
        <v>-1181219.1361867771</v>
      </c>
      <c r="R487">
        <f t="shared" si="981"/>
        <v>-1169798105.771929</v>
      </c>
      <c r="S487">
        <f t="shared" si="982"/>
        <v>-11697.981057719291</v>
      </c>
      <c r="T487">
        <f t="shared" si="983"/>
        <v>-11.697981057719291</v>
      </c>
    </row>
    <row r="488" spans="1:20" x14ac:dyDescent="0.25">
      <c r="A488" s="5">
        <v>44105</v>
      </c>
      <c r="B488">
        <v>3.0639999999999999E-3</v>
      </c>
      <c r="C488">
        <v>3.1800000000000001E-3</v>
      </c>
      <c r="D488">
        <v>2.8960000000000001E-3</v>
      </c>
      <c r="E488">
        <v>3.0219999999999999E-3</v>
      </c>
      <c r="F488">
        <v>16670466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-0.11267605633802939</v>
      </c>
      <c r="Q488">
        <f t="shared" si="980"/>
        <v>-1878362.3661972035</v>
      </c>
      <c r="R488">
        <f t="shared" si="981"/>
        <v>-1168616886.6357422</v>
      </c>
      <c r="S488">
        <f t="shared" si="982"/>
        <v>-11686.168866357422</v>
      </c>
      <c r="T488">
        <f t="shared" si="983"/>
        <v>-11.686168866357422</v>
      </c>
    </row>
    <row r="489" spans="1:20" x14ac:dyDescent="0.25">
      <c r="A489" s="5">
        <v>44104</v>
      </c>
      <c r="B489">
        <v>3.0569999999999998E-3</v>
      </c>
      <c r="C489">
        <v>3.13E-3</v>
      </c>
      <c r="D489">
        <v>3.0000000000000001E-3</v>
      </c>
      <c r="E489">
        <v>3.0599999999999998E-3</v>
      </c>
      <c r="F489">
        <v>6098360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-7.6923076923080522E-2</v>
      </c>
      <c r="Q489">
        <f t="shared" si="980"/>
        <v>-469104.61538463732</v>
      </c>
      <c r="R489">
        <f t="shared" si="981"/>
        <v>-1166738524.2695451</v>
      </c>
      <c r="S489">
        <f t="shared" si="982"/>
        <v>-11667.385242695451</v>
      </c>
      <c r="T489">
        <f t="shared" si="983"/>
        <v>-11.667385242695451</v>
      </c>
    </row>
    <row r="490" spans="1:20" x14ac:dyDescent="0.25">
      <c r="A490" s="5">
        <v>44103</v>
      </c>
      <c r="B490">
        <v>3.0620000000000001E-3</v>
      </c>
      <c r="C490">
        <v>3.0850000000000001E-3</v>
      </c>
      <c r="D490">
        <v>2.9780000000000002E-3</v>
      </c>
      <c r="E490">
        <v>3.0639999999999999E-3</v>
      </c>
      <c r="F490">
        <v>7374169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0.60747663551401487</v>
      </c>
      <c r="Q490">
        <f t="shared" si="980"/>
        <v>4479635.3738317471</v>
      </c>
      <c r="R490">
        <f t="shared" si="981"/>
        <v>-1166269419.6541605</v>
      </c>
      <c r="S490">
        <f t="shared" si="982"/>
        <v>-11662.694196541604</v>
      </c>
      <c r="T490">
        <f t="shared" si="983"/>
        <v>-11.662694196541604</v>
      </c>
    </row>
    <row r="491" spans="1:20" x14ac:dyDescent="0.25">
      <c r="A491" s="5">
        <v>44102</v>
      </c>
      <c r="B491">
        <v>3.1470000000000001E-3</v>
      </c>
      <c r="C491">
        <v>3.2009999999999999E-3</v>
      </c>
      <c r="D491">
        <v>3.042E-3</v>
      </c>
      <c r="E491">
        <v>3.042E-3</v>
      </c>
      <c r="F491">
        <v>17611812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-1</v>
      </c>
      <c r="Q491">
        <f t="shared" si="980"/>
        <v>-17611812</v>
      </c>
      <c r="R491">
        <f t="shared" si="981"/>
        <v>-1170749055.0279922</v>
      </c>
      <c r="S491">
        <f t="shared" si="982"/>
        <v>-11707.490550279923</v>
      </c>
      <c r="T491">
        <f t="shared" si="983"/>
        <v>-11.707490550279923</v>
      </c>
    </row>
    <row r="492" spans="1:20" x14ac:dyDescent="0.25">
      <c r="A492" s="5">
        <v>44101</v>
      </c>
      <c r="B492">
        <v>3.2940000000000001E-3</v>
      </c>
      <c r="C492">
        <v>3.3059999999999999E-3</v>
      </c>
      <c r="D492">
        <v>3.055E-3</v>
      </c>
      <c r="E492">
        <v>3.1380000000000002E-3</v>
      </c>
      <c r="F492">
        <v>10268841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-0.33864541832669165</v>
      </c>
      <c r="Q492">
        <f t="shared" si="980"/>
        <v>-3477495.9561752826</v>
      </c>
      <c r="R492">
        <f t="shared" si="981"/>
        <v>-1153137243.0279922</v>
      </c>
      <c r="S492">
        <f t="shared" si="982"/>
        <v>-11531.372430279922</v>
      </c>
      <c r="T492">
        <f t="shared" si="983"/>
        <v>-11.531372430279921</v>
      </c>
    </row>
    <row r="493" spans="1:20" x14ac:dyDescent="0.25">
      <c r="A493" s="5">
        <v>44100</v>
      </c>
      <c r="B493">
        <v>3.2490000000000002E-3</v>
      </c>
      <c r="C493">
        <v>3.3040000000000001E-3</v>
      </c>
      <c r="D493">
        <v>3.2239999999999999E-3</v>
      </c>
      <c r="E493">
        <v>3.2950000000000002E-3</v>
      </c>
      <c r="F493">
        <v>4669364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0.77500000000000324</v>
      </c>
      <c r="Q493">
        <f t="shared" si="980"/>
        <v>3618757.100000015</v>
      </c>
      <c r="R493">
        <f t="shared" si="981"/>
        <v>-1149659747.0718169</v>
      </c>
      <c r="S493">
        <f t="shared" si="982"/>
        <v>-11496.597470718169</v>
      </c>
      <c r="T493">
        <f t="shared" si="983"/>
        <v>-11.496597470718168</v>
      </c>
    </row>
    <row r="494" spans="1:20" x14ac:dyDescent="0.25">
      <c r="A494" s="5">
        <v>44099</v>
      </c>
      <c r="B494">
        <v>3.248E-3</v>
      </c>
      <c r="C494">
        <v>3.47E-3</v>
      </c>
      <c r="D494">
        <v>3.0799999999999998E-3</v>
      </c>
      <c r="E494">
        <v>3.2469999999999999E-3</v>
      </c>
      <c r="F494">
        <v>56490296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-0.14358974358974369</v>
      </c>
      <c r="Q494">
        <f t="shared" si="980"/>
        <v>-8111427.117948724</v>
      </c>
      <c r="R494">
        <f t="shared" si="981"/>
        <v>-1153278504.1718168</v>
      </c>
      <c r="S494">
        <f t="shared" si="982"/>
        <v>-11532.785041718169</v>
      </c>
      <c r="T494">
        <f t="shared" si="983"/>
        <v>-11.532785041718169</v>
      </c>
    </row>
    <row r="495" spans="1:20" x14ac:dyDescent="0.25">
      <c r="A495" s="5">
        <v>44098</v>
      </c>
      <c r="B495">
        <v>2.8670000000000002E-3</v>
      </c>
      <c r="C495">
        <v>3.4280000000000001E-3</v>
      </c>
      <c r="D495">
        <v>2.8059999999999999E-3</v>
      </c>
      <c r="E495">
        <v>3.2450000000000001E-3</v>
      </c>
      <c r="F495">
        <v>69628219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0.41157556270096479</v>
      </c>
      <c r="Q495">
        <f t="shared" si="980"/>
        <v>28657273.414791007</v>
      </c>
      <c r="R495">
        <f t="shared" si="981"/>
        <v>-1145167077.0538681</v>
      </c>
      <c r="S495">
        <f t="shared" si="982"/>
        <v>-11451.67077053868</v>
      </c>
      <c r="T495">
        <f t="shared" si="983"/>
        <v>-11.45167077053868</v>
      </c>
    </row>
    <row r="496" spans="1:20" x14ac:dyDescent="0.25">
      <c r="A496" s="5">
        <v>44097</v>
      </c>
      <c r="B496">
        <v>3.1380000000000002E-3</v>
      </c>
      <c r="C496">
        <v>3.2209999999999999E-3</v>
      </c>
      <c r="D496">
        <v>2.8709999999999999E-3</v>
      </c>
      <c r="E496">
        <v>2.8709999999999999E-3</v>
      </c>
      <c r="F496">
        <v>15511407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-1</v>
      </c>
      <c r="Q496">
        <f t="shared" si="980"/>
        <v>-15511407</v>
      </c>
      <c r="R496">
        <f t="shared" si="981"/>
        <v>-1173824350.4686592</v>
      </c>
      <c r="S496">
        <f t="shared" si="982"/>
        <v>-11738.243504686592</v>
      </c>
      <c r="T496">
        <f t="shared" si="983"/>
        <v>-11.738243504686592</v>
      </c>
    </row>
    <row r="497" spans="1:20" x14ac:dyDescent="0.25">
      <c r="A497" s="5">
        <v>44096</v>
      </c>
      <c r="B497">
        <v>3.2850000000000002E-3</v>
      </c>
      <c r="C497">
        <v>3.4880000000000002E-3</v>
      </c>
      <c r="D497">
        <v>3.0639999999999999E-3</v>
      </c>
      <c r="E497">
        <v>3.1380000000000002E-3</v>
      </c>
      <c r="F497">
        <v>47282859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-0.65094339622641406</v>
      </c>
      <c r="Q497">
        <f t="shared" si="980"/>
        <v>-30778464.82075467</v>
      </c>
      <c r="R497">
        <f t="shared" si="981"/>
        <v>-1158312943.4686592</v>
      </c>
      <c r="S497">
        <f t="shared" si="982"/>
        <v>-11583.129434686593</v>
      </c>
      <c r="T497">
        <f t="shared" si="983"/>
        <v>-11.583129434686592</v>
      </c>
    </row>
    <row r="498" spans="1:20" x14ac:dyDescent="0.25">
      <c r="A498" s="5">
        <v>44095</v>
      </c>
      <c r="B498">
        <v>3.3170000000000001E-3</v>
      </c>
      <c r="C498">
        <v>3.405E-3</v>
      </c>
      <c r="D498">
        <v>2.9659999999999999E-3</v>
      </c>
      <c r="E498">
        <v>3.2620000000000001E-3</v>
      </c>
      <c r="F498">
        <v>21637033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0.34851936218678886</v>
      </c>
      <c r="Q498">
        <f t="shared" si="980"/>
        <v>7540924.9407745032</v>
      </c>
      <c r="R498">
        <f t="shared" si="981"/>
        <v>-1127534478.6479044</v>
      </c>
      <c r="S498">
        <f t="shared" si="982"/>
        <v>-11275.344786479043</v>
      </c>
      <c r="T498">
        <f t="shared" si="983"/>
        <v>-11.275344786479042</v>
      </c>
    </row>
    <row r="499" spans="1:20" x14ac:dyDescent="0.25">
      <c r="A499" s="5">
        <v>44094</v>
      </c>
      <c r="B499">
        <v>3.3890000000000001E-3</v>
      </c>
      <c r="C499">
        <v>3.3899999999999998E-3</v>
      </c>
      <c r="D499">
        <v>3.1570000000000001E-3</v>
      </c>
      <c r="E499">
        <v>3.3430000000000001E-3</v>
      </c>
      <c r="F499">
        <v>20284637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0.59656652360515194</v>
      </c>
      <c r="Q499">
        <f t="shared" si="980"/>
        <v>12101135.377682438</v>
      </c>
      <c r="R499">
        <f t="shared" si="981"/>
        <v>-1135075403.5886788</v>
      </c>
      <c r="S499">
        <f t="shared" si="982"/>
        <v>-11350.754035886788</v>
      </c>
      <c r="T499">
        <f t="shared" si="983"/>
        <v>-11.350754035886789</v>
      </c>
    </row>
    <row r="500" spans="1:20" x14ac:dyDescent="0.25">
      <c r="A500" s="5">
        <v>44093</v>
      </c>
      <c r="B500">
        <v>3.3300000000000001E-3</v>
      </c>
      <c r="C500">
        <v>3.4299999999999999E-3</v>
      </c>
      <c r="D500">
        <v>3.3149999999999998E-3</v>
      </c>
      <c r="E500">
        <v>3.3839999999999999E-3</v>
      </c>
      <c r="F500">
        <v>10178883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0.2</v>
      </c>
      <c r="Q500">
        <f t="shared" si="980"/>
        <v>2035776.6</v>
      </c>
      <c r="R500">
        <f t="shared" si="981"/>
        <v>-1147176538.9663613</v>
      </c>
      <c r="S500">
        <f t="shared" si="982"/>
        <v>-11471.765389663613</v>
      </c>
      <c r="T500">
        <f t="shared" si="983"/>
        <v>-11.471765389663613</v>
      </c>
    </row>
    <row r="501" spans="1:20" x14ac:dyDescent="0.25">
      <c r="A501" s="5">
        <v>44092</v>
      </c>
      <c r="B501">
        <v>3.4299999999999999E-3</v>
      </c>
      <c r="C501">
        <v>3.46E-3</v>
      </c>
      <c r="D501">
        <v>3.3110000000000001E-3</v>
      </c>
      <c r="E501">
        <v>3.336E-3</v>
      </c>
      <c r="F501">
        <v>5267485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-0.66442953020134388</v>
      </c>
      <c r="Q501">
        <f t="shared" si="980"/>
        <v>-3499872.5838926258</v>
      </c>
      <c r="R501">
        <f t="shared" si="981"/>
        <v>-1149212315.5663612</v>
      </c>
      <c r="S501">
        <f t="shared" si="982"/>
        <v>-11492.123155663612</v>
      </c>
      <c r="T501">
        <f t="shared" si="983"/>
        <v>-11.492123155663613</v>
      </c>
    </row>
    <row r="502" spans="1:20" x14ac:dyDescent="0.25">
      <c r="A502" s="5">
        <v>44091</v>
      </c>
      <c r="B502">
        <v>3.418E-3</v>
      </c>
      <c r="C502">
        <v>3.483E-3</v>
      </c>
      <c r="D502">
        <v>3.3300000000000001E-3</v>
      </c>
      <c r="E502">
        <v>3.4290000000000002E-3</v>
      </c>
      <c r="F502">
        <v>11318830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0.29411764705882587</v>
      </c>
      <c r="Q502">
        <f t="shared" si="980"/>
        <v>3329067.6470588502</v>
      </c>
      <c r="R502">
        <f t="shared" si="981"/>
        <v>-1145712442.9824686</v>
      </c>
      <c r="S502">
        <f t="shared" si="982"/>
        <v>-11457.124429824686</v>
      </c>
      <c r="T502">
        <f t="shared" si="983"/>
        <v>-11.457124429824686</v>
      </c>
    </row>
    <row r="503" spans="1:20" x14ac:dyDescent="0.25">
      <c r="A503" s="5">
        <v>44090</v>
      </c>
      <c r="B503">
        <v>3.4870000000000001E-3</v>
      </c>
      <c r="C503">
        <v>3.4940000000000001E-3</v>
      </c>
      <c r="D503">
        <v>3.3110000000000001E-3</v>
      </c>
      <c r="E503">
        <v>3.418E-3</v>
      </c>
      <c r="F503">
        <v>12487464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0.16939890710382391</v>
      </c>
      <c r="Q503">
        <f t="shared" si="980"/>
        <v>2115362.7540983455</v>
      </c>
      <c r="R503">
        <f t="shared" si="981"/>
        <v>-1149041510.6295276</v>
      </c>
      <c r="S503">
        <f t="shared" si="982"/>
        <v>-11490.415106295275</v>
      </c>
      <c r="T503">
        <f t="shared" si="983"/>
        <v>-11.490415106295275</v>
      </c>
    </row>
    <row r="504" spans="1:20" x14ac:dyDescent="0.25">
      <c r="A504" s="5">
        <v>44089</v>
      </c>
      <c r="B504">
        <v>3.6579999999999998E-3</v>
      </c>
      <c r="C504">
        <v>3.7069999999999998E-3</v>
      </c>
      <c r="D504">
        <v>3.4399999999999999E-3</v>
      </c>
      <c r="E504">
        <v>3.5230000000000001E-3</v>
      </c>
      <c r="F504">
        <v>8901579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-0.37827715355805086</v>
      </c>
      <c r="Q504">
        <f t="shared" si="980"/>
        <v>-3367263.966292121</v>
      </c>
      <c r="R504">
        <f t="shared" si="981"/>
        <v>-1151156873.383626</v>
      </c>
      <c r="S504">
        <f t="shared" si="982"/>
        <v>-11511.56873383626</v>
      </c>
      <c r="T504">
        <f t="shared" si="983"/>
        <v>-11.51156873383626</v>
      </c>
    </row>
    <row r="505" spans="1:20" x14ac:dyDescent="0.25">
      <c r="A505" s="5">
        <v>44088</v>
      </c>
      <c r="B505">
        <v>3.6470000000000001E-3</v>
      </c>
      <c r="C505">
        <v>3.7650000000000001E-3</v>
      </c>
      <c r="D505">
        <v>3.581E-3</v>
      </c>
      <c r="E505">
        <v>3.6549999999999998E-3</v>
      </c>
      <c r="F505">
        <v>10367240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-0.19565217391304573</v>
      </c>
      <c r="Q505">
        <f t="shared" si="980"/>
        <v>-2028373.0434782843</v>
      </c>
      <c r="R505">
        <f t="shared" si="981"/>
        <v>-1147789609.4173338</v>
      </c>
      <c r="S505">
        <f t="shared" si="982"/>
        <v>-11477.896094173338</v>
      </c>
      <c r="T505">
        <f t="shared" si="983"/>
        <v>-11.477896094173339</v>
      </c>
    </row>
    <row r="506" spans="1:20" x14ac:dyDescent="0.25">
      <c r="A506" s="5">
        <v>44087</v>
      </c>
      <c r="B506">
        <v>3.8809999999999999E-3</v>
      </c>
      <c r="C506">
        <v>3.9750000000000002E-3</v>
      </c>
      <c r="D506">
        <v>3.607E-3</v>
      </c>
      <c r="E506">
        <v>3.6410000000000001E-3</v>
      </c>
      <c r="F506">
        <v>20739924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-0.81521739130434701</v>
      </c>
      <c r="Q506">
        <f t="shared" si="980"/>
        <v>-16907546.739130419</v>
      </c>
      <c r="R506">
        <f t="shared" si="981"/>
        <v>-1145761236.3738556</v>
      </c>
      <c r="S506">
        <f t="shared" si="982"/>
        <v>-11457.612363738555</v>
      </c>
      <c r="T506">
        <f t="shared" si="983"/>
        <v>-11.457612363738555</v>
      </c>
    </row>
    <row r="507" spans="1:20" x14ac:dyDescent="0.25">
      <c r="A507" s="5">
        <v>44086</v>
      </c>
      <c r="B507">
        <v>3.787E-3</v>
      </c>
      <c r="C507">
        <v>4.0460000000000001E-3</v>
      </c>
      <c r="D507">
        <v>3.7469999999999999E-3</v>
      </c>
      <c r="E507">
        <v>3.8990000000000001E-3</v>
      </c>
      <c r="F507">
        <v>36606856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1.6722408026756608E-2</v>
      </c>
      <c r="Q507">
        <f t="shared" si="980"/>
        <v>612154.78260872327</v>
      </c>
      <c r="R507">
        <f t="shared" si="981"/>
        <v>-1128853689.6347251</v>
      </c>
      <c r="S507">
        <f t="shared" si="982"/>
        <v>-11288.53689634725</v>
      </c>
      <c r="T507">
        <f t="shared" si="983"/>
        <v>-11.288536896347249</v>
      </c>
    </row>
    <row r="508" spans="1:20" x14ac:dyDescent="0.25">
      <c r="A508" s="5">
        <v>44085</v>
      </c>
      <c r="B508">
        <v>3.6440000000000001E-3</v>
      </c>
      <c r="C508">
        <v>3.7929999999999999E-3</v>
      </c>
      <c r="D508">
        <v>3.552E-3</v>
      </c>
      <c r="E508">
        <v>3.7910000000000001E-3</v>
      </c>
      <c r="F508">
        <v>11702539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0.98340248962655741</v>
      </c>
      <c r="Q508">
        <f t="shared" si="980"/>
        <v>11508305.987551883</v>
      </c>
      <c r="R508">
        <f t="shared" si="981"/>
        <v>-1129465844.4173338</v>
      </c>
      <c r="S508">
        <f t="shared" si="982"/>
        <v>-11294.658444173338</v>
      </c>
      <c r="T508">
        <f t="shared" si="983"/>
        <v>-11.294658444173338</v>
      </c>
    </row>
    <row r="509" spans="1:20" x14ac:dyDescent="0.25">
      <c r="A509" s="5">
        <v>44084</v>
      </c>
      <c r="B509">
        <v>3.6600000000000001E-3</v>
      </c>
      <c r="C509">
        <v>3.7810000000000001E-3</v>
      </c>
      <c r="D509">
        <v>3.5799999999999998E-3</v>
      </c>
      <c r="E509">
        <v>3.6440000000000001E-3</v>
      </c>
      <c r="F509">
        <v>21144384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-0.36318407960198823</v>
      </c>
      <c r="Q509">
        <f t="shared" si="980"/>
        <v>-7679303.6417910066</v>
      </c>
      <c r="R509">
        <f t="shared" si="981"/>
        <v>-1140974150.4048858</v>
      </c>
      <c r="S509">
        <f t="shared" si="982"/>
        <v>-11409.741504048858</v>
      </c>
      <c r="T509">
        <f t="shared" si="983"/>
        <v>-11.409741504048858</v>
      </c>
    </row>
    <row r="510" spans="1:20" x14ac:dyDescent="0.25">
      <c r="A510" s="5">
        <v>44083</v>
      </c>
      <c r="B510">
        <v>3.5079999999999998E-3</v>
      </c>
      <c r="C510">
        <v>3.7290000000000001E-3</v>
      </c>
      <c r="D510">
        <v>3.3999999999999998E-3</v>
      </c>
      <c r="E510">
        <v>3.692E-3</v>
      </c>
      <c r="F510">
        <v>8200772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0.77507598784194465</v>
      </c>
      <c r="Q510">
        <f t="shared" si="980"/>
        <v>6356221.4589665597</v>
      </c>
      <c r="R510">
        <f t="shared" si="981"/>
        <v>-1133294846.7630947</v>
      </c>
      <c r="S510">
        <f t="shared" si="982"/>
        <v>-11332.948467630946</v>
      </c>
      <c r="T510">
        <f t="shared" si="983"/>
        <v>-11.332948467630946</v>
      </c>
    </row>
    <row r="511" spans="1:20" x14ac:dyDescent="0.25">
      <c r="A511" s="5">
        <v>44082</v>
      </c>
      <c r="B511">
        <v>3.663E-3</v>
      </c>
      <c r="C511">
        <v>3.81E-3</v>
      </c>
      <c r="D511">
        <v>3.4459999999999998E-3</v>
      </c>
      <c r="E511">
        <v>3.4910000000000002E-3</v>
      </c>
      <c r="F511">
        <v>14528057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-0.75274725274725107</v>
      </c>
      <c r="Q511">
        <f t="shared" si="980"/>
        <v>-10935954.994505471</v>
      </c>
      <c r="R511">
        <f t="shared" si="981"/>
        <v>-1139651068.2220612</v>
      </c>
      <c r="S511">
        <f t="shared" si="982"/>
        <v>-11396.510682220611</v>
      </c>
      <c r="T511">
        <f t="shared" si="983"/>
        <v>-11.39651068222061</v>
      </c>
    </row>
    <row r="512" spans="1:20" x14ac:dyDescent="0.25">
      <c r="A512" s="5">
        <v>44081</v>
      </c>
      <c r="B512">
        <v>3.679E-3</v>
      </c>
      <c r="C512">
        <v>3.6830000000000001E-3</v>
      </c>
      <c r="D512">
        <v>3.2759999999999998E-3</v>
      </c>
      <c r="E512">
        <v>3.6619999999999999E-3</v>
      </c>
      <c r="F512">
        <v>15767319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0.89680589680589595</v>
      </c>
      <c r="Q512">
        <f t="shared" si="980"/>
        <v>14140224.656019643</v>
      </c>
      <c r="R512">
        <f t="shared" si="981"/>
        <v>-1128715113.2275558</v>
      </c>
      <c r="S512">
        <f t="shared" si="982"/>
        <v>-11287.151132275558</v>
      </c>
      <c r="T512">
        <f t="shared" si="983"/>
        <v>-11.287151132275557</v>
      </c>
    </row>
    <row r="513" spans="1:20" x14ac:dyDescent="0.25">
      <c r="A513" s="5">
        <v>44080</v>
      </c>
      <c r="B513">
        <v>3.4020000000000001E-3</v>
      </c>
      <c r="C513">
        <v>3.6900000000000001E-3</v>
      </c>
      <c r="D513">
        <v>3.3600000000000001E-3</v>
      </c>
      <c r="E513">
        <v>3.6510000000000002E-3</v>
      </c>
      <c r="F513">
        <v>10238708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0.76363636363636378</v>
      </c>
      <c r="Q513">
        <f t="shared" si="980"/>
        <v>7818649.745454547</v>
      </c>
      <c r="R513">
        <f t="shared" si="981"/>
        <v>-1142855337.8835754</v>
      </c>
      <c r="S513">
        <f t="shared" si="982"/>
        <v>-11428.553378835755</v>
      </c>
      <c r="T513">
        <f t="shared" si="983"/>
        <v>-11.428553378835755</v>
      </c>
    </row>
    <row r="514" spans="1:20" x14ac:dyDescent="0.25">
      <c r="A514" s="5">
        <v>44079</v>
      </c>
      <c r="B514">
        <v>3.8960000000000002E-3</v>
      </c>
      <c r="C514">
        <v>4.0590000000000001E-3</v>
      </c>
      <c r="D514">
        <v>3.3500000000000001E-3</v>
      </c>
      <c r="E514">
        <v>3.405E-3</v>
      </c>
      <c r="F514">
        <v>31118494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-0.84485190409026822</v>
      </c>
      <c r="Q514">
        <f t="shared" si="980"/>
        <v>-26290518.908321586</v>
      </c>
      <c r="R514">
        <f t="shared" si="981"/>
        <v>-1150673987.62903</v>
      </c>
      <c r="S514">
        <f t="shared" si="982"/>
        <v>-11506.739876290299</v>
      </c>
      <c r="T514">
        <f t="shared" si="983"/>
        <v>-11.506739876290299</v>
      </c>
    </row>
    <row r="515" spans="1:20" x14ac:dyDescent="0.25">
      <c r="A515" s="5">
        <v>44078</v>
      </c>
      <c r="B515">
        <v>3.8899999999999998E-3</v>
      </c>
      <c r="C515">
        <v>4.0670000000000003E-3</v>
      </c>
      <c r="D515">
        <v>3.8E-3</v>
      </c>
      <c r="E515">
        <v>3.8939999999999999E-3</v>
      </c>
      <c r="F515">
        <v>16924129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-0.29588014981273564</v>
      </c>
      <c r="Q515">
        <f t="shared" si="980"/>
        <v>-5007513.8239700636</v>
      </c>
      <c r="R515">
        <f t="shared" si="981"/>
        <v>-1124383468.7207084</v>
      </c>
      <c r="S515">
        <f t="shared" si="982"/>
        <v>-11243.834687207083</v>
      </c>
      <c r="T515">
        <f t="shared" si="983"/>
        <v>-11.243834687207084</v>
      </c>
    </row>
    <row r="516" spans="1:20" x14ac:dyDescent="0.25">
      <c r="A516" s="5">
        <v>44077</v>
      </c>
      <c r="B516">
        <v>4.62E-3</v>
      </c>
      <c r="C516">
        <v>4.6849999999999999E-3</v>
      </c>
      <c r="D516">
        <v>3.8110000000000002E-3</v>
      </c>
      <c r="E516">
        <v>3.8890000000000001E-3</v>
      </c>
      <c r="F516">
        <v>25350180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-0.82151029748283766</v>
      </c>
      <c r="Q516">
        <f t="shared" si="980"/>
        <v>-20825433.91304348</v>
      </c>
      <c r="R516">
        <f t="shared" si="981"/>
        <v>-1119375954.8967383</v>
      </c>
      <c r="S516">
        <f t="shared" si="982"/>
        <v>-11193.759548967382</v>
      </c>
      <c r="T516">
        <f t="shared" si="983"/>
        <v>-11.193759548967382</v>
      </c>
    </row>
    <row r="517" spans="1:20" x14ac:dyDescent="0.25">
      <c r="A517" s="5">
        <v>44076</v>
      </c>
      <c r="B517">
        <v>5.032E-3</v>
      </c>
      <c r="C517">
        <v>5.084E-3</v>
      </c>
      <c r="D517">
        <v>4.3769999999999998E-3</v>
      </c>
      <c r="E517">
        <v>4.62E-3</v>
      </c>
      <c r="F517">
        <v>28831940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-0.31258840169731228</v>
      </c>
      <c r="Q517">
        <f t="shared" si="980"/>
        <v>-9012530.0424328055</v>
      </c>
      <c r="R517">
        <f t="shared" si="981"/>
        <v>-1098550520.9836948</v>
      </c>
      <c r="S517">
        <f t="shared" si="982"/>
        <v>-10985.505209836949</v>
      </c>
      <c r="T517">
        <f t="shared" si="983"/>
        <v>-10.985505209836949</v>
      </c>
    </row>
    <row r="518" spans="1:20" x14ac:dyDescent="0.25">
      <c r="A518" s="5">
        <v>44075</v>
      </c>
      <c r="B518">
        <v>4.9959999999999996E-3</v>
      </c>
      <c r="C518">
        <v>5.3499999999999997E-3</v>
      </c>
      <c r="D518">
        <v>4.849E-3</v>
      </c>
      <c r="E518">
        <v>5.0330000000000001E-3</v>
      </c>
      <c r="F518">
        <v>73360591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-0.26546906187624653</v>
      </c>
      <c r="Q518">
        <f t="shared" ref="Q518:Q581" si="985">F518*P518</f>
        <v>-19474967.271457013</v>
      </c>
      <c r="R518">
        <f t="shared" ref="R518:R581" si="986">R519+Q518</f>
        <v>-1089537990.941262</v>
      </c>
      <c r="S518">
        <f t="shared" ref="S518:S581" si="987">R518/100000</f>
        <v>-10895.379909412621</v>
      </c>
      <c r="T518">
        <f t="shared" ref="T518:T581" si="988">S518/1000</f>
        <v>-10.89537990941262</v>
      </c>
    </row>
    <row r="519" spans="1:20" x14ac:dyDescent="0.25">
      <c r="A519" s="5">
        <v>44074</v>
      </c>
      <c r="B519">
        <v>4.7419999999999997E-3</v>
      </c>
      <c r="C519">
        <v>5.3990000000000002E-3</v>
      </c>
      <c r="D519">
        <v>4.6639999999999997E-3</v>
      </c>
      <c r="E519">
        <v>5.0000000000000001E-3</v>
      </c>
      <c r="F519">
        <v>39256447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-8.5714285714285243E-2</v>
      </c>
      <c r="Q519">
        <f t="shared" si="985"/>
        <v>-3364838.314285696</v>
      </c>
      <c r="R519">
        <f t="shared" si="986"/>
        <v>-1070063023.669805</v>
      </c>
      <c r="S519">
        <f t="shared" si="987"/>
        <v>-10700.630236698051</v>
      </c>
      <c r="T519">
        <f t="shared" si="988"/>
        <v>-10.70063023669805</v>
      </c>
    </row>
    <row r="520" spans="1:20" x14ac:dyDescent="0.25">
      <c r="A520" s="5">
        <v>44073</v>
      </c>
      <c r="B520">
        <v>4.8209999999999998E-3</v>
      </c>
      <c r="C520">
        <v>4.8500000000000001E-3</v>
      </c>
      <c r="D520">
        <v>4.6639999999999997E-3</v>
      </c>
      <c r="E520">
        <v>4.7569999999999999E-3</v>
      </c>
      <c r="F520">
        <v>10656201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</v>
      </c>
      <c r="Q520">
        <f t="shared" si="985"/>
        <v>0</v>
      </c>
      <c r="R520">
        <f t="shared" si="986"/>
        <v>-1066698185.3555193</v>
      </c>
      <c r="S520">
        <f t="shared" si="987"/>
        <v>-10666.981853555193</v>
      </c>
      <c r="T520">
        <f t="shared" si="988"/>
        <v>-10.666981853555193</v>
      </c>
    </row>
    <row r="521" spans="1:20" x14ac:dyDescent="0.25">
      <c r="A521" s="5">
        <v>44072</v>
      </c>
      <c r="B521">
        <v>4.7920000000000003E-3</v>
      </c>
      <c r="C521">
        <v>4.8520000000000004E-3</v>
      </c>
      <c r="D521">
        <v>4.6860000000000001E-3</v>
      </c>
      <c r="E521">
        <v>4.8199999999999996E-3</v>
      </c>
      <c r="F521">
        <v>17024186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0.61445783132529264</v>
      </c>
      <c r="Q521">
        <f t="shared" si="985"/>
        <v>10460644.409638409</v>
      </c>
      <c r="R521">
        <f t="shared" si="986"/>
        <v>-1066698185.3555193</v>
      </c>
      <c r="S521">
        <f t="shared" si="987"/>
        <v>-10666.981853555193</v>
      </c>
      <c r="T521">
        <f t="shared" si="988"/>
        <v>-10.666981853555193</v>
      </c>
    </row>
    <row r="522" spans="1:20" x14ac:dyDescent="0.25">
      <c r="A522" s="5">
        <v>44071</v>
      </c>
      <c r="B522">
        <v>4.6049999999999997E-3</v>
      </c>
      <c r="C522">
        <v>4.7930000000000004E-3</v>
      </c>
      <c r="D522">
        <v>4.5830000000000003E-3</v>
      </c>
      <c r="E522">
        <v>4.79E-3</v>
      </c>
      <c r="F522">
        <v>8576398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0.97142857142856764</v>
      </c>
      <c r="Q522">
        <f t="shared" si="985"/>
        <v>8331358.0571428249</v>
      </c>
      <c r="R522">
        <f t="shared" si="986"/>
        <v>-1077158829.7651577</v>
      </c>
      <c r="S522">
        <f t="shared" si="987"/>
        <v>-10771.588297651577</v>
      </c>
      <c r="T522">
        <f t="shared" si="988"/>
        <v>-10.771588297651578</v>
      </c>
    </row>
    <row r="523" spans="1:20" x14ac:dyDescent="0.25">
      <c r="A523" s="5">
        <v>44070</v>
      </c>
      <c r="B523">
        <v>4.8549999999999999E-3</v>
      </c>
      <c r="C523">
        <v>4.9370000000000004E-3</v>
      </c>
      <c r="D523">
        <v>4.4549999999999998E-3</v>
      </c>
      <c r="E523">
        <v>4.6210000000000001E-3</v>
      </c>
      <c r="F523">
        <v>28142845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-0.31120331950207419</v>
      </c>
      <c r="Q523">
        <f t="shared" si="985"/>
        <v>-8758146.7842323519</v>
      </c>
      <c r="R523">
        <f t="shared" si="986"/>
        <v>-1085490187.8223004</v>
      </c>
      <c r="S523">
        <f t="shared" si="987"/>
        <v>-10854.901878223005</v>
      </c>
      <c r="T523">
        <f t="shared" si="988"/>
        <v>-10.854901878223005</v>
      </c>
    </row>
    <row r="524" spans="1:20" x14ac:dyDescent="0.25">
      <c r="A524" s="5">
        <v>44069</v>
      </c>
      <c r="B524">
        <v>4.7299999999999998E-3</v>
      </c>
      <c r="C524">
        <v>4.9870000000000001E-3</v>
      </c>
      <c r="D524">
        <v>4.5989999999999998E-3</v>
      </c>
      <c r="E524">
        <v>4.8929999999999998E-3</v>
      </c>
      <c r="F524">
        <v>26796127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0.51546391752577192</v>
      </c>
      <c r="Q524">
        <f t="shared" si="985"/>
        <v>13812436.597938111</v>
      </c>
      <c r="R524">
        <f t="shared" si="986"/>
        <v>-1076732041.0380681</v>
      </c>
      <c r="S524">
        <f t="shared" si="987"/>
        <v>-10767.32041038068</v>
      </c>
      <c r="T524">
        <f t="shared" si="988"/>
        <v>-10.76732041038068</v>
      </c>
    </row>
    <row r="525" spans="1:20" x14ac:dyDescent="0.25">
      <c r="A525" s="5">
        <v>44068</v>
      </c>
      <c r="B525">
        <v>5.0080000000000003E-3</v>
      </c>
      <c r="C525">
        <v>5.0179999999999999E-3</v>
      </c>
      <c r="D525">
        <v>4.5459999999999997E-3</v>
      </c>
      <c r="E525">
        <v>4.7190000000000001E-3</v>
      </c>
      <c r="F525">
        <v>13720517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-0.26694915254237145</v>
      </c>
      <c r="Q525">
        <f t="shared" si="985"/>
        <v>-3662680.3855932006</v>
      </c>
      <c r="R525">
        <f t="shared" si="986"/>
        <v>-1090544477.6360061</v>
      </c>
      <c r="S525">
        <f t="shared" si="987"/>
        <v>-10905.444776360062</v>
      </c>
      <c r="T525">
        <f t="shared" si="988"/>
        <v>-10.905444776360062</v>
      </c>
    </row>
    <row r="526" spans="1:20" x14ac:dyDescent="0.25">
      <c r="A526" s="5">
        <v>44067</v>
      </c>
      <c r="B526">
        <v>4.8539999999999998E-3</v>
      </c>
      <c r="C526">
        <v>5.0790000000000002E-3</v>
      </c>
      <c r="D526">
        <v>4.7790000000000003E-3</v>
      </c>
      <c r="E526">
        <v>5.006E-3</v>
      </c>
      <c r="F526">
        <v>17552795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0.5133333333333322</v>
      </c>
      <c r="Q526">
        <f t="shared" si="985"/>
        <v>9010434.766666647</v>
      </c>
      <c r="R526">
        <f t="shared" si="986"/>
        <v>-1086881797.2504129</v>
      </c>
      <c r="S526">
        <f t="shared" si="987"/>
        <v>-10868.81797250413</v>
      </c>
      <c r="T526">
        <f t="shared" si="988"/>
        <v>-10.868817972504131</v>
      </c>
    </row>
    <row r="527" spans="1:20" x14ac:dyDescent="0.25">
      <c r="A527" s="5">
        <v>44066</v>
      </c>
      <c r="B527">
        <v>4.764E-3</v>
      </c>
      <c r="C527">
        <v>4.9909999999999998E-3</v>
      </c>
      <c r="D527">
        <v>4.7000000000000002E-3</v>
      </c>
      <c r="E527">
        <v>4.8729999999999997E-3</v>
      </c>
      <c r="F527">
        <v>16375708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0.18900343642611536</v>
      </c>
      <c r="Q527">
        <f t="shared" si="985"/>
        <v>3095065.0859106285</v>
      </c>
      <c r="R527">
        <f t="shared" si="986"/>
        <v>-1095892232.0170796</v>
      </c>
      <c r="S527">
        <f t="shared" si="987"/>
        <v>-10958.922320170796</v>
      </c>
      <c r="T527">
        <f t="shared" si="988"/>
        <v>-10.958922320170796</v>
      </c>
    </row>
    <row r="528" spans="1:20" x14ac:dyDescent="0.25">
      <c r="A528" s="5">
        <v>44065</v>
      </c>
      <c r="B528">
        <v>4.8329999999999996E-3</v>
      </c>
      <c r="C528">
        <v>4.9699999999999996E-3</v>
      </c>
      <c r="D528">
        <v>4.6090000000000002E-3</v>
      </c>
      <c r="E528">
        <v>4.7650000000000001E-3</v>
      </c>
      <c r="F528">
        <v>44671359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-0.1357340720221597</v>
      </c>
      <c r="Q528">
        <f t="shared" si="985"/>
        <v>-6063425.4598337524</v>
      </c>
      <c r="R528">
        <f t="shared" si="986"/>
        <v>-1098987297.1029902</v>
      </c>
      <c r="S528">
        <f t="shared" si="987"/>
        <v>-10989.872971029901</v>
      </c>
      <c r="T528">
        <f t="shared" si="988"/>
        <v>-10.989872971029902</v>
      </c>
    </row>
    <row r="529" spans="1:20" x14ac:dyDescent="0.25">
      <c r="A529" s="5">
        <v>44064</v>
      </c>
      <c r="B529">
        <v>5.2839999999999996E-3</v>
      </c>
      <c r="C529">
        <v>5.4320000000000002E-3</v>
      </c>
      <c r="D529">
        <v>4.8279999999999998E-3</v>
      </c>
      <c r="E529">
        <v>4.8310000000000002E-3</v>
      </c>
      <c r="F529">
        <v>39141006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-0.99006622516556164</v>
      </c>
      <c r="Q529">
        <f t="shared" si="985"/>
        <v>-38752188.059602596</v>
      </c>
      <c r="R529">
        <f t="shared" si="986"/>
        <v>-1092923871.6431563</v>
      </c>
      <c r="S529">
        <f t="shared" si="987"/>
        <v>-10929.238716431562</v>
      </c>
      <c r="T529">
        <f t="shared" si="988"/>
        <v>-10.929238716431563</v>
      </c>
    </row>
    <row r="530" spans="1:20" x14ac:dyDescent="0.25">
      <c r="A530" s="5">
        <v>44063</v>
      </c>
      <c r="B530">
        <v>5.1809999999999998E-3</v>
      </c>
      <c r="C530">
        <v>5.3039999999999997E-3</v>
      </c>
      <c r="D530">
        <v>5.0790000000000002E-3</v>
      </c>
      <c r="E530">
        <v>5.2839999999999996E-3</v>
      </c>
      <c r="F530">
        <v>20674195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0.82222222222222141</v>
      </c>
      <c r="Q530">
        <f t="shared" si="985"/>
        <v>16998782.555555537</v>
      </c>
      <c r="R530">
        <f t="shared" si="986"/>
        <v>-1054171683.5835537</v>
      </c>
      <c r="S530">
        <f t="shared" si="987"/>
        <v>-10541.716835835537</v>
      </c>
      <c r="T530">
        <f t="shared" si="988"/>
        <v>-10.541716835835537</v>
      </c>
    </row>
    <row r="531" spans="1:20" x14ac:dyDescent="0.25">
      <c r="A531" s="5">
        <v>44062</v>
      </c>
      <c r="B531">
        <v>5.6600000000000001E-3</v>
      </c>
      <c r="C531">
        <v>5.8690000000000001E-3</v>
      </c>
      <c r="D531">
        <v>5.012E-3</v>
      </c>
      <c r="E531">
        <v>5.241E-3</v>
      </c>
      <c r="F531">
        <v>49684323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-0.46557759626604434</v>
      </c>
      <c r="Q531">
        <f t="shared" si="985"/>
        <v>-23131907.674445741</v>
      </c>
      <c r="R531">
        <f t="shared" si="986"/>
        <v>-1071170466.1391093</v>
      </c>
      <c r="S531">
        <f t="shared" si="987"/>
        <v>-10711.704661391093</v>
      </c>
      <c r="T531">
        <f t="shared" si="988"/>
        <v>-10.711704661391094</v>
      </c>
    </row>
    <row r="532" spans="1:20" x14ac:dyDescent="0.25">
      <c r="A532" s="5">
        <v>44061</v>
      </c>
      <c r="B532">
        <v>5.6109999999999997E-3</v>
      </c>
      <c r="C532">
        <v>5.8849999999999996E-3</v>
      </c>
      <c r="D532">
        <v>5.4479999999999997E-3</v>
      </c>
      <c r="E532">
        <v>5.6259999999999999E-3</v>
      </c>
      <c r="F532">
        <v>70371895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-0.18535469107551372</v>
      </c>
      <c r="Q532">
        <f t="shared" si="985"/>
        <v>-13043760.858123489</v>
      </c>
      <c r="R532">
        <f t="shared" si="986"/>
        <v>-1048038558.4646635</v>
      </c>
      <c r="S532">
        <f t="shared" si="987"/>
        <v>-10480.385584646636</v>
      </c>
      <c r="T532">
        <f t="shared" si="988"/>
        <v>-10.480385584646635</v>
      </c>
    </row>
    <row r="533" spans="1:20" x14ac:dyDescent="0.25">
      <c r="A533" s="5">
        <v>44060</v>
      </c>
      <c r="B533">
        <v>5.208E-3</v>
      </c>
      <c r="C533">
        <v>5.8190000000000004E-3</v>
      </c>
      <c r="D533">
        <v>5.176E-3</v>
      </c>
      <c r="E533">
        <v>5.6119999999999998E-3</v>
      </c>
      <c r="F533">
        <v>98167145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0.35614307931570616</v>
      </c>
      <c r="Q533">
        <f t="shared" si="985"/>
        <v>34961549.307931431</v>
      </c>
      <c r="R533">
        <f t="shared" si="986"/>
        <v>-1034994797.60654</v>
      </c>
      <c r="S533">
        <f t="shared" si="987"/>
        <v>-10349.947976065399</v>
      </c>
      <c r="T533">
        <f t="shared" si="988"/>
        <v>-10.349947976065399</v>
      </c>
    </row>
    <row r="534" spans="1:20" x14ac:dyDescent="0.25">
      <c r="A534" s="5">
        <v>44059</v>
      </c>
      <c r="B534">
        <v>5.274E-3</v>
      </c>
      <c r="C534">
        <v>5.3249999999999999E-3</v>
      </c>
      <c r="D534">
        <v>5.0800000000000003E-3</v>
      </c>
      <c r="E534">
        <v>5.202E-3</v>
      </c>
      <c r="F534">
        <v>21829500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-4.0816326530617739E-3</v>
      </c>
      <c r="Q534">
        <f t="shared" si="985"/>
        <v>-89100.000000011991</v>
      </c>
      <c r="R534">
        <f t="shared" si="986"/>
        <v>-1069956346.9144714</v>
      </c>
      <c r="S534">
        <f t="shared" si="987"/>
        <v>-10699.563469144714</v>
      </c>
      <c r="T534">
        <f t="shared" si="988"/>
        <v>-10.699563469144714</v>
      </c>
    </row>
    <row r="535" spans="1:20" x14ac:dyDescent="0.25">
      <c r="A535" s="5">
        <v>44058</v>
      </c>
      <c r="B535">
        <v>5.1359999999999999E-3</v>
      </c>
      <c r="C535">
        <v>5.3530000000000001E-3</v>
      </c>
      <c r="D535">
        <v>4.5450000000000004E-3</v>
      </c>
      <c r="E535">
        <v>5.306E-3</v>
      </c>
      <c r="F535">
        <v>46615810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0.88366336633663323</v>
      </c>
      <c r="Q535">
        <f t="shared" si="985"/>
        <v>41192683.589108892</v>
      </c>
      <c r="R535">
        <f t="shared" si="986"/>
        <v>-1069867246.9144714</v>
      </c>
      <c r="S535">
        <f t="shared" si="987"/>
        <v>-10698.672469144714</v>
      </c>
      <c r="T535">
        <f t="shared" si="988"/>
        <v>-10.698672469144714</v>
      </c>
    </row>
    <row r="536" spans="1:20" x14ac:dyDescent="0.25">
      <c r="A536" s="5">
        <v>44057</v>
      </c>
      <c r="B536">
        <v>5.1419999999999999E-3</v>
      </c>
      <c r="C536">
        <v>5.4539999999999996E-3</v>
      </c>
      <c r="D536">
        <v>4.96E-3</v>
      </c>
      <c r="E536">
        <v>5.1359999999999999E-3</v>
      </c>
      <c r="F536">
        <v>63045090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-0.28744939271255032</v>
      </c>
      <c r="Q536">
        <f t="shared" si="985"/>
        <v>-18122272.834008079</v>
      </c>
      <c r="R536">
        <f t="shared" si="986"/>
        <v>-1111059930.5035803</v>
      </c>
      <c r="S536">
        <f t="shared" si="987"/>
        <v>-11110.599305035803</v>
      </c>
      <c r="T536">
        <f t="shared" si="988"/>
        <v>-11.110599305035803</v>
      </c>
    </row>
    <row r="537" spans="1:20" x14ac:dyDescent="0.25">
      <c r="A537" s="5">
        <v>44056</v>
      </c>
      <c r="B537">
        <v>5.2290000000000001E-3</v>
      </c>
      <c r="C537">
        <v>5.3680000000000004E-3</v>
      </c>
      <c r="D537">
        <v>4.9069999999999999E-3</v>
      </c>
      <c r="E537">
        <v>5.1330000000000004E-3</v>
      </c>
      <c r="F537">
        <v>71538432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-1.9522776572666919E-2</v>
      </c>
      <c r="Q537">
        <f t="shared" si="985"/>
        <v>-1396628.8242949254</v>
      </c>
      <c r="R537">
        <f t="shared" si="986"/>
        <v>-1092937657.6695724</v>
      </c>
      <c r="S537">
        <f t="shared" si="987"/>
        <v>-10929.376576695724</v>
      </c>
      <c r="T537">
        <f t="shared" si="988"/>
        <v>-10.929376576695724</v>
      </c>
    </row>
    <row r="538" spans="1:20" x14ac:dyDescent="0.25">
      <c r="A538" s="5">
        <v>44055</v>
      </c>
      <c r="B538">
        <v>4.9179999999999996E-3</v>
      </c>
      <c r="C538">
        <v>5.3E-3</v>
      </c>
      <c r="D538">
        <v>4.7590000000000002E-3</v>
      </c>
      <c r="E538">
        <v>5.2290000000000001E-3</v>
      </c>
      <c r="F538">
        <v>103110573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0.73752310536044396</v>
      </c>
      <c r="Q538">
        <f t="shared" si="985"/>
        <v>76046429.994454741</v>
      </c>
      <c r="R538">
        <f t="shared" si="986"/>
        <v>-1091541028.8452773</v>
      </c>
      <c r="S538">
        <f t="shared" si="987"/>
        <v>-10915.410288452773</v>
      </c>
      <c r="T538">
        <f t="shared" si="988"/>
        <v>-10.915410288452772</v>
      </c>
    </row>
    <row r="539" spans="1:20" x14ac:dyDescent="0.25">
      <c r="A539" s="5">
        <v>44054</v>
      </c>
      <c r="B539">
        <v>4.8329999999999996E-3</v>
      </c>
      <c r="C539">
        <v>5.5389999999999997E-3</v>
      </c>
      <c r="D539">
        <v>4.6109999999999996E-3</v>
      </c>
      <c r="E539">
        <v>4.9170000000000004E-3</v>
      </c>
      <c r="F539">
        <v>180254872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-0.34051724137930883</v>
      </c>
      <c r="Q539">
        <f t="shared" si="985"/>
        <v>-61379891.758620419</v>
      </c>
      <c r="R539">
        <f t="shared" si="986"/>
        <v>-1167587458.8397319</v>
      </c>
      <c r="S539">
        <f t="shared" si="987"/>
        <v>-11675.874588397319</v>
      </c>
      <c r="T539">
        <f t="shared" si="988"/>
        <v>-11.675874588397319</v>
      </c>
    </row>
    <row r="540" spans="1:20" x14ac:dyDescent="0.25">
      <c r="A540" s="5">
        <v>44053</v>
      </c>
      <c r="B540">
        <v>4.5259999999999996E-3</v>
      </c>
      <c r="C540">
        <v>4.9670000000000001E-3</v>
      </c>
      <c r="D540">
        <v>4.4209999999999996E-3</v>
      </c>
      <c r="E540">
        <v>4.8469999999999997E-3</v>
      </c>
      <c r="F540">
        <v>103772517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0.56043956043955967</v>
      </c>
      <c r="Q540">
        <f t="shared" si="985"/>
        <v>58158223.813186735</v>
      </c>
      <c r="R540">
        <f t="shared" si="986"/>
        <v>-1106207567.0811114</v>
      </c>
      <c r="S540">
        <f t="shared" si="987"/>
        <v>-11062.075670811115</v>
      </c>
      <c r="T540">
        <f t="shared" si="988"/>
        <v>-11.062075670811115</v>
      </c>
    </row>
    <row r="541" spans="1:20" x14ac:dyDescent="0.25">
      <c r="A541" s="5">
        <v>44052</v>
      </c>
      <c r="B541">
        <v>4.5900000000000003E-3</v>
      </c>
      <c r="C541">
        <v>4.7980000000000002E-3</v>
      </c>
      <c r="D541">
        <v>4.4850000000000003E-3</v>
      </c>
      <c r="E541">
        <v>4.5100000000000001E-3</v>
      </c>
      <c r="F541">
        <v>44556278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-0.84025559105431402</v>
      </c>
      <c r="Q541">
        <f t="shared" si="985"/>
        <v>-37438661.706070326</v>
      </c>
      <c r="R541">
        <f t="shared" si="986"/>
        <v>-1164365790.8942981</v>
      </c>
      <c r="S541">
        <f t="shared" si="987"/>
        <v>-11643.657908942982</v>
      </c>
      <c r="T541">
        <f t="shared" si="988"/>
        <v>-11.643657908942982</v>
      </c>
    </row>
    <row r="542" spans="1:20" x14ac:dyDescent="0.25">
      <c r="A542" s="5">
        <v>44051</v>
      </c>
      <c r="B542">
        <v>4.5120000000000004E-3</v>
      </c>
      <c r="C542">
        <v>4.6909999999999999E-3</v>
      </c>
      <c r="D542">
        <v>4.4739999999999997E-3</v>
      </c>
      <c r="E542">
        <v>4.5750000000000001E-3</v>
      </c>
      <c r="F542">
        <v>47242733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-6.9124423963130774E-2</v>
      </c>
      <c r="Q542">
        <f t="shared" si="985"/>
        <v>-3265626.7050689892</v>
      </c>
      <c r="R542">
        <f t="shared" si="986"/>
        <v>-1126927129.1882277</v>
      </c>
      <c r="S542">
        <f t="shared" si="987"/>
        <v>-11269.271291882276</v>
      </c>
      <c r="T542">
        <f t="shared" si="988"/>
        <v>-11.269271291882276</v>
      </c>
    </row>
    <row r="543" spans="1:20" x14ac:dyDescent="0.25">
      <c r="A543" s="5">
        <v>44050</v>
      </c>
      <c r="B543">
        <v>4.7450000000000001E-3</v>
      </c>
      <c r="C543">
        <v>4.8279999999999998E-3</v>
      </c>
      <c r="D543">
        <v>4.3189999999999999E-3</v>
      </c>
      <c r="E543">
        <v>4.5129999999999997E-3</v>
      </c>
      <c r="F543">
        <v>45997675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-0.23772102161100289</v>
      </c>
      <c r="Q543">
        <f t="shared" si="985"/>
        <v>-10934614.292730888</v>
      </c>
      <c r="R543">
        <f t="shared" si="986"/>
        <v>-1123661502.4831586</v>
      </c>
      <c r="S543">
        <f t="shared" si="987"/>
        <v>-11236.615024831586</v>
      </c>
      <c r="T543">
        <f t="shared" si="988"/>
        <v>-11.236615024831586</v>
      </c>
    </row>
    <row r="544" spans="1:20" x14ac:dyDescent="0.25">
      <c r="A544" s="5">
        <v>44049</v>
      </c>
      <c r="B544">
        <v>4.4900000000000001E-3</v>
      </c>
      <c r="C544">
        <v>4.9719999999999999E-3</v>
      </c>
      <c r="D544">
        <v>4.4520000000000002E-3</v>
      </c>
      <c r="E544">
        <v>4.7429999999999998E-3</v>
      </c>
      <c r="F544">
        <v>85189318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0.11923076923076846</v>
      </c>
      <c r="Q544">
        <f t="shared" si="985"/>
        <v>10157187.91538455</v>
      </c>
      <c r="R544">
        <f t="shared" si="986"/>
        <v>-1112726888.1904278</v>
      </c>
      <c r="S544">
        <f t="shared" si="987"/>
        <v>-11127.268881904278</v>
      </c>
      <c r="T544">
        <f t="shared" si="988"/>
        <v>-11.127268881904278</v>
      </c>
    </row>
    <row r="545" spans="1:20" x14ac:dyDescent="0.25">
      <c r="A545" s="5">
        <v>44048</v>
      </c>
      <c r="B545">
        <v>4.5409999999999999E-3</v>
      </c>
      <c r="C545">
        <v>4.79E-3</v>
      </c>
      <c r="D545">
        <v>4.4000000000000003E-3</v>
      </c>
      <c r="E545">
        <v>4.4879999999999998E-3</v>
      </c>
      <c r="F545">
        <v>29991514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-0.54871794871795077</v>
      </c>
      <c r="Q545">
        <f t="shared" si="985"/>
        <v>-16456882.041025702</v>
      </c>
      <c r="R545">
        <f t="shared" si="986"/>
        <v>-1122884076.1058123</v>
      </c>
      <c r="S545">
        <f t="shared" si="987"/>
        <v>-11228.840761058123</v>
      </c>
      <c r="T545">
        <f t="shared" si="988"/>
        <v>-11.228840761058123</v>
      </c>
    </row>
    <row r="546" spans="1:20" x14ac:dyDescent="0.25">
      <c r="A546" s="5">
        <v>44047</v>
      </c>
      <c r="B546">
        <v>4.4130000000000003E-3</v>
      </c>
      <c r="C546">
        <v>4.8430000000000001E-3</v>
      </c>
      <c r="D546">
        <v>4.4099999999999999E-3</v>
      </c>
      <c r="E546">
        <v>4.5589999999999997E-3</v>
      </c>
      <c r="F546">
        <v>41662102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-0.31177829099307275</v>
      </c>
      <c r="Q546">
        <f t="shared" si="985"/>
        <v>-12989338.960739078</v>
      </c>
      <c r="R546">
        <f t="shared" si="986"/>
        <v>-1106427194.0647867</v>
      </c>
      <c r="S546">
        <f t="shared" si="987"/>
        <v>-11064.271940647866</v>
      </c>
      <c r="T546">
        <f t="shared" si="988"/>
        <v>-11.064271940647867</v>
      </c>
    </row>
    <row r="547" spans="1:20" x14ac:dyDescent="0.25">
      <c r="A547" s="5">
        <v>44046</v>
      </c>
      <c r="B547">
        <v>4.084E-3</v>
      </c>
      <c r="C547">
        <v>4.6499999999999996E-3</v>
      </c>
      <c r="D547">
        <v>4.0480000000000004E-3</v>
      </c>
      <c r="E547">
        <v>4.4089999999999997E-3</v>
      </c>
      <c r="F547">
        <v>69218814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0.19933554817275681</v>
      </c>
      <c r="Q547">
        <f t="shared" si="985"/>
        <v>13797770.232558094</v>
      </c>
      <c r="R547">
        <f t="shared" si="986"/>
        <v>-1093437855.1040475</v>
      </c>
      <c r="S547">
        <f t="shared" si="987"/>
        <v>-10934.378551040476</v>
      </c>
      <c r="T547">
        <f t="shared" si="988"/>
        <v>-10.934378551040476</v>
      </c>
    </row>
    <row r="548" spans="1:20" x14ac:dyDescent="0.25">
      <c r="A548" s="5">
        <v>44045</v>
      </c>
      <c r="B548">
        <v>4.5700000000000003E-3</v>
      </c>
      <c r="C548">
        <v>4.6340000000000001E-3</v>
      </c>
      <c r="D548">
        <v>2.9659999999999999E-3</v>
      </c>
      <c r="E548">
        <v>4.1050000000000001E-3</v>
      </c>
      <c r="F548">
        <v>81476362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0.36570743405275791</v>
      </c>
      <c r="Q548">
        <f t="shared" si="985"/>
        <v>29796511.282973628</v>
      </c>
      <c r="R548">
        <f t="shared" si="986"/>
        <v>-1107235625.3366055</v>
      </c>
      <c r="S548">
        <f t="shared" si="987"/>
        <v>-11072.356253366055</v>
      </c>
      <c r="T548">
        <f t="shared" si="988"/>
        <v>-11.072356253366054</v>
      </c>
    </row>
    <row r="549" spans="1:20" x14ac:dyDescent="0.25">
      <c r="A549" s="5">
        <v>44044</v>
      </c>
      <c r="B549">
        <v>4.5240000000000002E-3</v>
      </c>
      <c r="C549">
        <v>4.5970000000000004E-3</v>
      </c>
      <c r="D549">
        <v>4.4010000000000004E-3</v>
      </c>
      <c r="E549">
        <v>4.5700000000000003E-3</v>
      </c>
      <c r="F549">
        <v>48679140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0.72448979591836615</v>
      </c>
      <c r="Q549">
        <f t="shared" si="985"/>
        <v>35267540.204081573</v>
      </c>
      <c r="R549">
        <f t="shared" si="986"/>
        <v>-1137032136.6195791</v>
      </c>
      <c r="S549">
        <f t="shared" si="987"/>
        <v>-11370.321366195791</v>
      </c>
      <c r="T549">
        <f t="shared" si="988"/>
        <v>-11.370321366195791</v>
      </c>
    </row>
    <row r="550" spans="1:20" x14ac:dyDescent="0.25">
      <c r="A550" s="5">
        <v>44043</v>
      </c>
      <c r="B550">
        <v>4.8640000000000003E-3</v>
      </c>
      <c r="C550">
        <v>4.8679999999999999E-3</v>
      </c>
      <c r="D550">
        <v>4.4609999999999997E-3</v>
      </c>
      <c r="E550">
        <v>4.5370000000000002E-3</v>
      </c>
      <c r="F550">
        <v>45798921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-0.62653562653562411</v>
      </c>
      <c r="Q550">
        <f t="shared" si="985"/>
        <v>-28694655.663390551</v>
      </c>
      <c r="R550">
        <f t="shared" si="986"/>
        <v>-1172299676.8236606</v>
      </c>
      <c r="S550">
        <f t="shared" si="987"/>
        <v>-11722.996768236606</v>
      </c>
      <c r="T550">
        <f t="shared" si="988"/>
        <v>-11.722996768236605</v>
      </c>
    </row>
    <row r="551" spans="1:20" x14ac:dyDescent="0.25">
      <c r="A551" s="5">
        <v>44042</v>
      </c>
      <c r="B551">
        <v>4.8479999999999999E-3</v>
      </c>
      <c r="C551">
        <v>5.0600000000000003E-3</v>
      </c>
      <c r="D551">
        <v>4.738E-3</v>
      </c>
      <c r="E551">
        <v>4.8640000000000003E-3</v>
      </c>
      <c r="F551">
        <v>52949522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-0.21739130434782514</v>
      </c>
      <c r="Q551">
        <f t="shared" si="985"/>
        <v>-11510765.652173862</v>
      </c>
      <c r="R551">
        <f t="shared" si="986"/>
        <v>-1143605021.16027</v>
      </c>
      <c r="S551">
        <f t="shared" si="987"/>
        <v>-11436.0502116027</v>
      </c>
      <c r="T551">
        <f t="shared" si="988"/>
        <v>-11.4360502116027</v>
      </c>
    </row>
    <row r="552" spans="1:20" x14ac:dyDescent="0.25">
      <c r="A552" s="5">
        <v>44041</v>
      </c>
      <c r="B552">
        <v>4.7559999999999998E-3</v>
      </c>
      <c r="C552">
        <v>5.3880000000000004E-3</v>
      </c>
      <c r="D552">
        <v>4.6829999999999997E-3</v>
      </c>
      <c r="E552">
        <v>4.8650000000000004E-3</v>
      </c>
      <c r="F552">
        <v>103234198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-0.48368794326240983</v>
      </c>
      <c r="Q552">
        <f t="shared" si="985"/>
        <v>-49933136.90496438</v>
      </c>
      <c r="R552">
        <f t="shared" si="986"/>
        <v>-1132094255.5080962</v>
      </c>
      <c r="S552">
        <f t="shared" si="987"/>
        <v>-11320.942555080963</v>
      </c>
      <c r="T552">
        <f t="shared" si="988"/>
        <v>-11.320942555080963</v>
      </c>
    </row>
    <row r="553" spans="1:20" x14ac:dyDescent="0.25">
      <c r="A553" s="5">
        <v>44040</v>
      </c>
      <c r="B553">
        <v>4.6470000000000001E-3</v>
      </c>
      <c r="C553">
        <v>5.078E-3</v>
      </c>
      <c r="D553">
        <v>4.4949999999999999E-3</v>
      </c>
      <c r="E553">
        <v>4.7889999999999999E-3</v>
      </c>
      <c r="F553">
        <v>135897931</v>
      </c>
      <c r="G553">
        <v>0</v>
      </c>
      <c r="L553" t="s">
        <v>7</v>
      </c>
      <c r="M553" t="s">
        <v>7</v>
      </c>
      <c r="N553" t="s">
        <v>8</v>
      </c>
      <c r="P553">
        <f t="shared" si="984"/>
        <v>8.5763293310459603E-3</v>
      </c>
      <c r="Q553">
        <f t="shared" si="985"/>
        <v>1165505.41166376</v>
      </c>
      <c r="R553">
        <f t="shared" si="986"/>
        <v>-1082161118.6031318</v>
      </c>
      <c r="S553">
        <f t="shared" si="987"/>
        <v>-10821.611186031318</v>
      </c>
      <c r="T553">
        <f t="shared" si="988"/>
        <v>-10.821611186031317</v>
      </c>
    </row>
    <row r="554" spans="1:20" x14ac:dyDescent="0.25">
      <c r="A554" s="5">
        <v>44039</v>
      </c>
      <c r="B554">
        <v>4.5770000000000003E-3</v>
      </c>
      <c r="C554">
        <v>5.4089999999999997E-3</v>
      </c>
      <c r="D554">
        <v>4.3600000000000002E-3</v>
      </c>
      <c r="E554">
        <v>4.6610000000000002E-3</v>
      </c>
      <c r="F554">
        <v>269626085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-0.42612011439466124</v>
      </c>
      <c r="Q554">
        <f t="shared" si="985"/>
        <v>-114893098.18398465</v>
      </c>
      <c r="R554">
        <f t="shared" si="986"/>
        <v>-1083326624.0147955</v>
      </c>
      <c r="S554">
        <f t="shared" si="987"/>
        <v>-10833.266240147956</v>
      </c>
      <c r="T554">
        <f t="shared" si="988"/>
        <v>-10.833266240147955</v>
      </c>
    </row>
    <row r="555" spans="1:20" x14ac:dyDescent="0.25">
      <c r="A555" s="5">
        <v>44038</v>
      </c>
      <c r="B555">
        <v>4.5580000000000004E-3</v>
      </c>
      <c r="C555">
        <v>4.823E-3</v>
      </c>
      <c r="D555">
        <v>4.3359999999999996E-3</v>
      </c>
      <c r="E555">
        <v>4.5770000000000003E-3</v>
      </c>
      <c r="F555">
        <v>74514860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-1.0266940451743171E-2</v>
      </c>
      <c r="Q555">
        <f t="shared" si="985"/>
        <v>-765039.63038997911</v>
      </c>
      <c r="R555">
        <f t="shared" si="986"/>
        <v>-968433525.8308109</v>
      </c>
      <c r="S555">
        <f t="shared" si="987"/>
        <v>-9684.3352583081087</v>
      </c>
      <c r="T555">
        <f t="shared" si="988"/>
        <v>-9.6843352583081082</v>
      </c>
    </row>
    <row r="556" spans="1:20" x14ac:dyDescent="0.25">
      <c r="A556" s="5">
        <v>44037</v>
      </c>
      <c r="B556">
        <v>4.7800000000000004E-3</v>
      </c>
      <c r="C556">
        <v>5.2490000000000002E-3</v>
      </c>
      <c r="D556">
        <v>4.4840000000000001E-3</v>
      </c>
      <c r="E556">
        <v>4.5560000000000002E-3</v>
      </c>
      <c r="F556">
        <v>124671586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-0.81176470588235294</v>
      </c>
      <c r="Q556">
        <f t="shared" si="985"/>
        <v>-101203993.34117647</v>
      </c>
      <c r="R556">
        <f t="shared" si="986"/>
        <v>-967668486.20042098</v>
      </c>
      <c r="S556">
        <f t="shared" si="987"/>
        <v>-9676.6848620042092</v>
      </c>
      <c r="T556">
        <f t="shared" si="988"/>
        <v>-9.6766848620042101</v>
      </c>
    </row>
    <row r="557" spans="1:20" x14ac:dyDescent="0.25">
      <c r="A557" s="5">
        <v>44036</v>
      </c>
      <c r="B557">
        <v>5.1200000000000004E-3</v>
      </c>
      <c r="C557">
        <v>5.4000000000000003E-3</v>
      </c>
      <c r="D557">
        <v>4.5539999999999999E-3</v>
      </c>
      <c r="E557">
        <v>4.7840000000000001E-3</v>
      </c>
      <c r="F557">
        <v>243060120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-0.45626477541371147</v>
      </c>
      <c r="Q557">
        <f t="shared" si="985"/>
        <v>-110899771.06382976</v>
      </c>
      <c r="R557">
        <f t="shared" si="986"/>
        <v>-866464492.85924447</v>
      </c>
      <c r="S557">
        <f t="shared" si="987"/>
        <v>-8664.6449285924446</v>
      </c>
      <c r="T557">
        <f t="shared" si="988"/>
        <v>-8.6646449285924447</v>
      </c>
    </row>
    <row r="558" spans="1:20" x14ac:dyDescent="0.25">
      <c r="A558" s="5">
        <v>44035</v>
      </c>
      <c r="B558">
        <v>4.13E-3</v>
      </c>
      <c r="C558">
        <v>5.6280000000000002E-3</v>
      </c>
      <c r="D558">
        <v>4.065E-3</v>
      </c>
      <c r="E558">
        <v>5.1000000000000004E-3</v>
      </c>
      <c r="F558">
        <v>400317636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0.32437619961612313</v>
      </c>
      <c r="Q558">
        <f t="shared" si="985"/>
        <v>129853513.40499052</v>
      </c>
      <c r="R558">
        <f t="shared" si="986"/>
        <v>-755564721.79541469</v>
      </c>
      <c r="S558">
        <f t="shared" si="987"/>
        <v>-7555.647217954147</v>
      </c>
      <c r="T558">
        <f t="shared" si="988"/>
        <v>-7.5556472179541467</v>
      </c>
    </row>
    <row r="559" spans="1:20" x14ac:dyDescent="0.25">
      <c r="A559" s="5">
        <v>44034</v>
      </c>
      <c r="B559">
        <v>4.0369999999999998E-3</v>
      </c>
      <c r="C559">
        <v>4.4279999999999996E-3</v>
      </c>
      <c r="D559">
        <v>3.8E-3</v>
      </c>
      <c r="E559">
        <v>4.13E-3</v>
      </c>
      <c r="F559">
        <v>185225272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5.0955414012739432E-2</v>
      </c>
      <c r="Q559">
        <f t="shared" si="985"/>
        <v>9438230.4203822725</v>
      </c>
      <c r="R559">
        <f t="shared" si="986"/>
        <v>-885418235.20040524</v>
      </c>
      <c r="S559">
        <f t="shared" si="987"/>
        <v>-8854.1823520040525</v>
      </c>
      <c r="T559">
        <f t="shared" si="988"/>
        <v>-8.8541823520040523</v>
      </c>
    </row>
    <row r="560" spans="1:20" x14ac:dyDescent="0.25">
      <c r="A560" s="5">
        <v>44033</v>
      </c>
      <c r="B560">
        <v>3.8530000000000001E-3</v>
      </c>
      <c r="C560">
        <v>4.2389999999999997E-3</v>
      </c>
      <c r="D560">
        <v>3.839E-3</v>
      </c>
      <c r="E560">
        <v>4.0390000000000001E-3</v>
      </c>
      <c r="F560">
        <v>113194362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1.084202172485505E-15</v>
      </c>
      <c r="Q560">
        <f t="shared" si="985"/>
        <v>1.2272557319351071E-7</v>
      </c>
      <c r="R560">
        <f t="shared" si="986"/>
        <v>-894856465.6207875</v>
      </c>
      <c r="S560">
        <f t="shared" si="987"/>
        <v>-8948.5646562078746</v>
      </c>
      <c r="T560">
        <f t="shared" si="988"/>
        <v>-8.9485646562078749</v>
      </c>
    </row>
    <row r="561" spans="1:104" x14ac:dyDescent="0.25">
      <c r="A561" s="5">
        <v>44032</v>
      </c>
      <c r="B561">
        <v>3.5460000000000001E-3</v>
      </c>
      <c r="C561">
        <v>4.019E-3</v>
      </c>
      <c r="D561">
        <v>3.5000000000000001E-3</v>
      </c>
      <c r="E561">
        <v>3.8570000000000002E-3</v>
      </c>
      <c r="F561">
        <v>78118420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0.3757225433526018</v>
      </c>
      <c r="Q561">
        <f t="shared" si="985"/>
        <v>29350851.445086755</v>
      </c>
      <c r="R561">
        <f t="shared" si="986"/>
        <v>-894856465.62078762</v>
      </c>
      <c r="S561">
        <f t="shared" si="987"/>
        <v>-8948.5646562078764</v>
      </c>
      <c r="T561">
        <f t="shared" si="988"/>
        <v>-8.9485646562078767</v>
      </c>
      <c r="CZ561" t="s">
        <v>7</v>
      </c>
    </row>
    <row r="562" spans="1:104" x14ac:dyDescent="0.25">
      <c r="A562" s="5">
        <v>44031</v>
      </c>
      <c r="B562">
        <v>3.5750000000000001E-3</v>
      </c>
      <c r="C562">
        <v>3.5839999999999999E-3</v>
      </c>
      <c r="D562">
        <v>3.5070000000000001E-3</v>
      </c>
      <c r="E562">
        <v>3.545E-3</v>
      </c>
      <c r="F562">
        <v>9452395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-1.2987012987014742E-2</v>
      </c>
      <c r="Q562">
        <f t="shared" si="985"/>
        <v>-122758.37662339321</v>
      </c>
      <c r="R562">
        <f t="shared" si="986"/>
        <v>-924207317.06587434</v>
      </c>
      <c r="S562">
        <f t="shared" si="987"/>
        <v>-9242.073170658743</v>
      </c>
      <c r="T562">
        <f t="shared" si="988"/>
        <v>-9.2420731706587436</v>
      </c>
      <c r="CZ562" t="s">
        <v>7</v>
      </c>
    </row>
    <row r="563" spans="1:104" x14ac:dyDescent="0.25">
      <c r="A563" s="5">
        <v>44030</v>
      </c>
      <c r="B563">
        <v>3.5869999999999999E-3</v>
      </c>
      <c r="C563">
        <v>3.6240000000000001E-3</v>
      </c>
      <c r="D563">
        <v>3.555E-3</v>
      </c>
      <c r="E563">
        <v>3.5820000000000001E-3</v>
      </c>
      <c r="F563">
        <v>10013957</v>
      </c>
      <c r="G563">
        <v>0</v>
      </c>
      <c r="L563" t="s">
        <v>7</v>
      </c>
      <c r="M563" t="s">
        <v>7</v>
      </c>
      <c r="N563" t="s">
        <v>8</v>
      </c>
      <c r="P563">
        <f t="shared" si="984"/>
        <v>-0.21739130434782336</v>
      </c>
      <c r="Q563">
        <f t="shared" si="985"/>
        <v>-2176947.173913016</v>
      </c>
      <c r="R563">
        <f t="shared" si="986"/>
        <v>-924084558.68925095</v>
      </c>
      <c r="S563">
        <f t="shared" si="987"/>
        <v>-9240.8455868925103</v>
      </c>
      <c r="T563">
        <f t="shared" si="988"/>
        <v>-9.2408455868925099</v>
      </c>
      <c r="CZ563" t="s">
        <v>7</v>
      </c>
    </row>
    <row r="564" spans="1:104" x14ac:dyDescent="0.25">
      <c r="A564" s="5">
        <v>44029</v>
      </c>
      <c r="B564">
        <v>3.5609999999999999E-3</v>
      </c>
      <c r="C564">
        <v>3.6310000000000001E-3</v>
      </c>
      <c r="D564">
        <v>3.5119999999999999E-3</v>
      </c>
      <c r="E564">
        <v>3.588E-3</v>
      </c>
      <c r="F564">
        <v>10070705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0.27731092436974786</v>
      </c>
      <c r="Q564">
        <f t="shared" si="985"/>
        <v>2792716.5126050417</v>
      </c>
      <c r="R564">
        <f t="shared" si="986"/>
        <v>-921907611.51533794</v>
      </c>
      <c r="S564">
        <f t="shared" si="987"/>
        <v>-9219.0761151533789</v>
      </c>
      <c r="T564">
        <f t="shared" si="988"/>
        <v>-9.2190761151533795</v>
      </c>
    </row>
    <row r="565" spans="1:104" x14ac:dyDescent="0.25">
      <c r="A565" s="5">
        <v>44028</v>
      </c>
      <c r="B565">
        <v>3.722E-3</v>
      </c>
      <c r="C565">
        <v>3.7360000000000002E-3</v>
      </c>
      <c r="D565">
        <v>3.4150000000000001E-3</v>
      </c>
      <c r="E565">
        <v>3.5660000000000002E-3</v>
      </c>
      <c r="F565">
        <v>30921922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-5.9190031152647704E-2</v>
      </c>
      <c r="Q565">
        <f t="shared" si="985"/>
        <v>-1830269.5264797425</v>
      </c>
      <c r="R565">
        <f t="shared" si="986"/>
        <v>-924700328.02794302</v>
      </c>
      <c r="S565">
        <f t="shared" si="987"/>
        <v>-9247.0032802794303</v>
      </c>
      <c r="T565">
        <f t="shared" si="988"/>
        <v>-9.2470032802794311</v>
      </c>
    </row>
    <row r="566" spans="1:104" x14ac:dyDescent="0.25">
      <c r="A566" s="5">
        <v>44027</v>
      </c>
      <c r="B566">
        <v>3.8180000000000002E-3</v>
      </c>
      <c r="C566">
        <v>3.8189999999999999E-3</v>
      </c>
      <c r="D566">
        <v>3.6770000000000001E-3</v>
      </c>
      <c r="E566">
        <v>3.7079999999999999E-3</v>
      </c>
      <c r="F566">
        <v>7004916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-0.5633802816901432</v>
      </c>
      <c r="Q566">
        <f t="shared" si="985"/>
        <v>-3946431.549295791</v>
      </c>
      <c r="R566">
        <f t="shared" si="986"/>
        <v>-922870058.50146329</v>
      </c>
      <c r="S566">
        <f t="shared" si="987"/>
        <v>-9228.7005850146325</v>
      </c>
      <c r="T566">
        <f t="shared" si="988"/>
        <v>-9.2287005850146322</v>
      </c>
    </row>
    <row r="567" spans="1:104" x14ac:dyDescent="0.25">
      <c r="A567" s="5">
        <v>44026</v>
      </c>
      <c r="B567">
        <v>3.797E-3</v>
      </c>
      <c r="C567">
        <v>3.8180000000000002E-3</v>
      </c>
      <c r="D567">
        <v>3.6389999999999999E-3</v>
      </c>
      <c r="E567">
        <v>3.8070000000000001E-3</v>
      </c>
      <c r="F567">
        <v>23694741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0.87709497206703757</v>
      </c>
      <c r="Q567">
        <f t="shared" si="985"/>
        <v>20782538.19553069</v>
      </c>
      <c r="R567">
        <f t="shared" si="986"/>
        <v>-918923626.95216751</v>
      </c>
      <c r="S567">
        <f t="shared" si="987"/>
        <v>-9189.2362695216743</v>
      </c>
      <c r="T567">
        <f t="shared" si="988"/>
        <v>-9.1892362695216736</v>
      </c>
    </row>
    <row r="568" spans="1:104" x14ac:dyDescent="0.25">
      <c r="A568" s="5">
        <v>44025</v>
      </c>
      <c r="B568">
        <v>3.9719999999999998E-3</v>
      </c>
      <c r="C568">
        <v>4.0099999999999997E-3</v>
      </c>
      <c r="D568">
        <v>3.6930000000000001E-3</v>
      </c>
      <c r="E568">
        <v>3.7989999999999999E-3</v>
      </c>
      <c r="F568">
        <v>30048525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-0.33123028391167253</v>
      </c>
      <c r="Q568">
        <f t="shared" si="985"/>
        <v>-9952981.4668769892</v>
      </c>
      <c r="R568">
        <f t="shared" si="986"/>
        <v>-939706165.14769816</v>
      </c>
      <c r="S568">
        <f t="shared" si="987"/>
        <v>-9397.0616514769808</v>
      </c>
      <c r="T568">
        <f t="shared" si="988"/>
        <v>-9.3970616514769816</v>
      </c>
    </row>
    <row r="569" spans="1:104" x14ac:dyDescent="0.25">
      <c r="A569" s="5">
        <v>44024</v>
      </c>
      <c r="B569">
        <v>3.986E-3</v>
      </c>
      <c r="C569">
        <v>4.1489999999999999E-3</v>
      </c>
      <c r="D569">
        <v>3.8790000000000001E-3</v>
      </c>
      <c r="E569">
        <v>3.9680000000000002E-3</v>
      </c>
      <c r="F569">
        <v>36319034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-0.34074074074073957</v>
      </c>
      <c r="Q569">
        <f t="shared" si="985"/>
        <v>-12375374.548148105</v>
      </c>
      <c r="R569">
        <f t="shared" si="986"/>
        <v>-929753183.68082118</v>
      </c>
      <c r="S569">
        <f t="shared" si="987"/>
        <v>-9297.5318368082117</v>
      </c>
      <c r="T569">
        <f t="shared" si="988"/>
        <v>-9.2975318368082114</v>
      </c>
    </row>
    <row r="570" spans="1:104" x14ac:dyDescent="0.25">
      <c r="A570" s="5">
        <v>44023</v>
      </c>
      <c r="B570">
        <v>4.078E-3</v>
      </c>
      <c r="C570">
        <v>4.1159999999999999E-3</v>
      </c>
      <c r="D570">
        <v>3.8530000000000001E-3</v>
      </c>
      <c r="E570">
        <v>3.986E-3</v>
      </c>
      <c r="F570">
        <v>52728624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1.1406844106463754E-2</v>
      </c>
      <c r="Q570">
        <f t="shared" si="985"/>
        <v>601467.19391634327</v>
      </c>
      <c r="R570">
        <f t="shared" si="986"/>
        <v>-917377809.13267303</v>
      </c>
      <c r="S570">
        <f t="shared" si="987"/>
        <v>-9173.7780913267306</v>
      </c>
      <c r="T570">
        <f t="shared" si="988"/>
        <v>-9.1737780913267315</v>
      </c>
    </row>
    <row r="571" spans="1:104" x14ac:dyDescent="0.25">
      <c r="A571" s="5">
        <v>44022</v>
      </c>
      <c r="B571">
        <v>3.859E-3</v>
      </c>
      <c r="C571">
        <v>4.13E-3</v>
      </c>
      <c r="D571">
        <v>3.7959999999999999E-3</v>
      </c>
      <c r="E571">
        <v>4.078E-3</v>
      </c>
      <c r="F571">
        <v>45247568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0.68862275449101829</v>
      </c>
      <c r="Q571">
        <f t="shared" si="985"/>
        <v>31158504.910179656</v>
      </c>
      <c r="R571">
        <f t="shared" si="986"/>
        <v>-917979276.32658935</v>
      </c>
      <c r="S571">
        <f t="shared" si="987"/>
        <v>-9179.7927632658939</v>
      </c>
      <c r="T571">
        <f t="shared" si="988"/>
        <v>-9.179792763265894</v>
      </c>
    </row>
    <row r="572" spans="1:104" x14ac:dyDescent="0.25">
      <c r="A572" s="5">
        <v>44021</v>
      </c>
      <c r="B572">
        <v>3.9269999999999999E-3</v>
      </c>
      <c r="C572">
        <v>4.0150000000000003E-3</v>
      </c>
      <c r="D572">
        <v>3.7690000000000002E-3</v>
      </c>
      <c r="E572">
        <v>3.8609999999999998E-3</v>
      </c>
      <c r="F572">
        <v>18633516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-0.25203252032520662</v>
      </c>
      <c r="Q572">
        <f t="shared" si="985"/>
        <v>-4696252.0000000624</v>
      </c>
      <c r="R572">
        <f t="shared" si="986"/>
        <v>-949137781.23676896</v>
      </c>
      <c r="S572">
        <f t="shared" si="987"/>
        <v>-9491.3778123676893</v>
      </c>
      <c r="T572">
        <f t="shared" si="988"/>
        <v>-9.4913778123676895</v>
      </c>
    </row>
    <row r="573" spans="1:104" x14ac:dyDescent="0.25">
      <c r="A573" s="5">
        <v>44020</v>
      </c>
      <c r="B573">
        <v>3.986E-3</v>
      </c>
      <c r="C573">
        <v>4.0299999999999997E-3</v>
      </c>
      <c r="D573">
        <v>3.8470000000000002E-3</v>
      </c>
      <c r="E573">
        <v>3.9249999999999997E-3</v>
      </c>
      <c r="F573">
        <v>24624676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-0.1475409836065607</v>
      </c>
      <c r="Q573">
        <f t="shared" si="985"/>
        <v>-3633148.9180328688</v>
      </c>
      <c r="R573">
        <f t="shared" si="986"/>
        <v>-944441529.23676884</v>
      </c>
      <c r="S573">
        <f t="shared" si="987"/>
        <v>-9444.4152923676884</v>
      </c>
      <c r="T573">
        <f t="shared" si="988"/>
        <v>-9.4444152923676885</v>
      </c>
    </row>
    <row r="574" spans="1:104" x14ac:dyDescent="0.25">
      <c r="A574" s="5">
        <v>44019</v>
      </c>
      <c r="B574">
        <v>3.7789999999999998E-3</v>
      </c>
      <c r="C574">
        <v>3.9899999999999996E-3</v>
      </c>
      <c r="D574">
        <v>3.7000000000000002E-3</v>
      </c>
      <c r="E574">
        <v>3.986E-3</v>
      </c>
      <c r="F574">
        <v>21233660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0.97241379310345055</v>
      </c>
      <c r="Q574">
        <f t="shared" si="985"/>
        <v>20647903.862069014</v>
      </c>
      <c r="R574">
        <f t="shared" si="986"/>
        <v>-940808380.31873596</v>
      </c>
      <c r="S574">
        <f t="shared" si="987"/>
        <v>-9408.0838031873591</v>
      </c>
      <c r="T574">
        <f t="shared" si="988"/>
        <v>-9.4080838031873597</v>
      </c>
    </row>
    <row r="575" spans="1:104" x14ac:dyDescent="0.25">
      <c r="A575" s="5">
        <v>44018</v>
      </c>
      <c r="B575">
        <v>3.7490000000000002E-3</v>
      </c>
      <c r="C575">
        <v>3.9110000000000004E-3</v>
      </c>
      <c r="D575">
        <v>3.718E-3</v>
      </c>
      <c r="E575">
        <v>3.7919999999999998E-3</v>
      </c>
      <c r="F575">
        <v>22657227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-0.23316062176166144</v>
      </c>
      <c r="Q575">
        <f t="shared" si="985"/>
        <v>-5282773.1347151035</v>
      </c>
      <c r="R575">
        <f t="shared" si="986"/>
        <v>-961456284.18080497</v>
      </c>
      <c r="S575">
        <f t="shared" si="987"/>
        <v>-9614.5628418080505</v>
      </c>
      <c r="T575">
        <f t="shared" si="988"/>
        <v>-9.6145628418080502</v>
      </c>
    </row>
    <row r="576" spans="1:104" x14ac:dyDescent="0.25">
      <c r="A576" s="5">
        <v>44017</v>
      </c>
      <c r="B576">
        <v>3.6549999999999998E-3</v>
      </c>
      <c r="C576">
        <v>3.7799999999999999E-3</v>
      </c>
      <c r="D576">
        <v>3.5590000000000001E-3</v>
      </c>
      <c r="E576">
        <v>3.7499999999999999E-3</v>
      </c>
      <c r="F576">
        <v>33246515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0.72850678733031582</v>
      </c>
      <c r="Q576">
        <f t="shared" si="985"/>
        <v>24220311.832579155</v>
      </c>
      <c r="R576">
        <f t="shared" si="986"/>
        <v>-956173511.04608989</v>
      </c>
      <c r="S576">
        <f t="shared" si="987"/>
        <v>-9561.7351104608988</v>
      </c>
      <c r="T576">
        <f t="shared" si="988"/>
        <v>-9.5617351104608996</v>
      </c>
    </row>
    <row r="577" spans="1:20" x14ac:dyDescent="0.25">
      <c r="A577" s="5">
        <v>44016</v>
      </c>
      <c r="B577">
        <v>3.4989999999999999E-3</v>
      </c>
      <c r="C577">
        <v>3.6600000000000001E-3</v>
      </c>
      <c r="D577">
        <v>3.4429999999999999E-3</v>
      </c>
      <c r="E577">
        <v>3.6589999999999999E-3</v>
      </c>
      <c r="F577">
        <v>19978353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0.99078341013824767</v>
      </c>
      <c r="Q577">
        <f t="shared" si="985"/>
        <v>19794220.71428569</v>
      </c>
      <c r="R577">
        <f t="shared" si="986"/>
        <v>-980393822.87866902</v>
      </c>
      <c r="S577">
        <f t="shared" si="987"/>
        <v>-9803.9382287866902</v>
      </c>
      <c r="T577">
        <f t="shared" si="988"/>
        <v>-9.8039382287866896</v>
      </c>
    </row>
    <row r="578" spans="1:20" x14ac:dyDescent="0.25">
      <c r="A578" s="5">
        <v>44015</v>
      </c>
      <c r="B578">
        <v>3.3999999999999998E-3</v>
      </c>
      <c r="C578">
        <v>3.5270000000000002E-3</v>
      </c>
      <c r="D578">
        <v>3.3540000000000002E-3</v>
      </c>
      <c r="E578">
        <v>3.4880000000000002E-3</v>
      </c>
      <c r="F578">
        <v>13687316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0.54913294797687884</v>
      </c>
      <c r="Q578">
        <f t="shared" si="985"/>
        <v>7516156.1849711016</v>
      </c>
      <c r="R578">
        <f t="shared" si="986"/>
        <v>-1000188043.5929548</v>
      </c>
      <c r="S578">
        <f t="shared" si="987"/>
        <v>-10001.880435929548</v>
      </c>
      <c r="T578">
        <f t="shared" si="988"/>
        <v>-10.001880435929548</v>
      </c>
    </row>
    <row r="579" spans="1:20" x14ac:dyDescent="0.25">
      <c r="A579" s="5">
        <v>44014</v>
      </c>
      <c r="B579">
        <v>3.5130000000000001E-3</v>
      </c>
      <c r="C579">
        <v>3.5669999999999999E-3</v>
      </c>
      <c r="D579">
        <v>3.349E-3</v>
      </c>
      <c r="E579">
        <v>3.3999999999999998E-3</v>
      </c>
      <c r="F579">
        <v>28081343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-0.53211009174312052</v>
      </c>
      <c r="Q579">
        <f t="shared" si="985"/>
        <v>-14942366.000000035</v>
      </c>
      <c r="R579">
        <f t="shared" si="986"/>
        <v>-1007704199.7779258</v>
      </c>
      <c r="S579">
        <f t="shared" si="987"/>
        <v>-10077.041997779259</v>
      </c>
      <c r="T579">
        <f t="shared" si="988"/>
        <v>-10.07704199777926</v>
      </c>
    </row>
    <row r="580" spans="1:20" x14ac:dyDescent="0.25">
      <c r="A580" s="5">
        <v>44013</v>
      </c>
      <c r="B580">
        <v>3.5620000000000001E-3</v>
      </c>
      <c r="C580">
        <v>3.6570000000000001E-3</v>
      </c>
      <c r="D580">
        <v>3.4780000000000002E-3</v>
      </c>
      <c r="E580">
        <v>3.4949999999999998E-3</v>
      </c>
      <c r="F580">
        <v>30988223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-0.81005586592179146</v>
      </c>
      <c r="Q580">
        <f t="shared" si="985"/>
        <v>-25102191.815642573</v>
      </c>
      <c r="R580">
        <f t="shared" si="986"/>
        <v>-992761833.77792585</v>
      </c>
      <c r="S580">
        <f t="shared" si="987"/>
        <v>-9927.6183377792586</v>
      </c>
      <c r="T580">
        <f t="shared" si="988"/>
        <v>-9.9276183377792577</v>
      </c>
    </row>
    <row r="581" spans="1:20" x14ac:dyDescent="0.25">
      <c r="A581" s="5">
        <v>44012</v>
      </c>
      <c r="B581">
        <v>3.8500000000000001E-3</v>
      </c>
      <c r="C581">
        <v>3.9420000000000002E-3</v>
      </c>
      <c r="D581">
        <v>3.5630000000000002E-3</v>
      </c>
      <c r="E581">
        <v>3.5630000000000002E-3</v>
      </c>
      <c r="F581">
        <v>22563089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-1</v>
      </c>
      <c r="Q581">
        <f t="shared" si="985"/>
        <v>-22563089</v>
      </c>
      <c r="R581">
        <f t="shared" si="986"/>
        <v>-967659641.96228325</v>
      </c>
      <c r="S581">
        <f t="shared" si="987"/>
        <v>-9676.5964196228324</v>
      </c>
      <c r="T581">
        <f t="shared" si="988"/>
        <v>-9.6765964196228325</v>
      </c>
    </row>
    <row r="582" spans="1:20" x14ac:dyDescent="0.25">
      <c r="A582" s="5">
        <v>44011</v>
      </c>
      <c r="B582">
        <v>3.8969999999999999E-3</v>
      </c>
      <c r="C582">
        <v>3.9979999999999998E-3</v>
      </c>
      <c r="D582">
        <v>3.6129999999999999E-3</v>
      </c>
      <c r="E582">
        <v>3.8500000000000001E-3</v>
      </c>
      <c r="F582">
        <v>40822490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0.23116883116883261</v>
      </c>
      <c r="Q582">
        <f t="shared" ref="Q582:Q645" si="990">F582*P582</f>
        <v>9436887.2987013571</v>
      </c>
      <c r="R582">
        <f t="shared" ref="R582:R645" si="991">R583+Q582</f>
        <v>-945096552.96228325</v>
      </c>
      <c r="S582">
        <f t="shared" ref="S582:S645" si="992">R582/100000</f>
        <v>-9450.965529622832</v>
      </c>
      <c r="T582">
        <f t="shared" ref="T582:T645" si="993">S582/1000</f>
        <v>-9.4509655296228328</v>
      </c>
    </row>
    <row r="583" spans="1:20" x14ac:dyDescent="0.25">
      <c r="A583" s="5">
        <v>44010</v>
      </c>
      <c r="B583">
        <v>3.4870000000000001E-3</v>
      </c>
      <c r="C583">
        <v>3.8999999999999998E-3</v>
      </c>
      <c r="D583">
        <v>3.411E-3</v>
      </c>
      <c r="E583">
        <v>3.869E-3</v>
      </c>
      <c r="F583">
        <v>31865296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0.87321063394683118</v>
      </c>
      <c r="Q583">
        <f t="shared" si="990"/>
        <v>27825115.321063425</v>
      </c>
      <c r="R583">
        <f t="shared" si="991"/>
        <v>-954533440.26098466</v>
      </c>
      <c r="S583">
        <f t="shared" si="992"/>
        <v>-9545.3344026098457</v>
      </c>
      <c r="T583">
        <f t="shared" si="993"/>
        <v>-9.5453344026098463</v>
      </c>
    </row>
    <row r="584" spans="1:20" x14ac:dyDescent="0.25">
      <c r="A584" s="5">
        <v>44009</v>
      </c>
      <c r="B584">
        <v>3.8289999999999999E-3</v>
      </c>
      <c r="C584">
        <v>3.888E-3</v>
      </c>
      <c r="D584">
        <v>3.46E-3</v>
      </c>
      <c r="E584">
        <v>3.5130000000000001E-3</v>
      </c>
      <c r="F584">
        <v>44420155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-0.75233644859813043</v>
      </c>
      <c r="Q584">
        <f t="shared" si="990"/>
        <v>-33418901.658878487</v>
      </c>
      <c r="R584">
        <f t="shared" si="991"/>
        <v>-982358555.58204806</v>
      </c>
      <c r="S584">
        <f t="shared" si="992"/>
        <v>-9823.5855558204803</v>
      </c>
      <c r="T584">
        <f t="shared" si="993"/>
        <v>-9.8235855558204808</v>
      </c>
    </row>
    <row r="585" spans="1:20" x14ac:dyDescent="0.25">
      <c r="A585" s="5">
        <v>44008</v>
      </c>
      <c r="B585">
        <v>3.8809999999999999E-3</v>
      </c>
      <c r="C585">
        <v>4.3439999999999998E-3</v>
      </c>
      <c r="D585">
        <v>3.754E-3</v>
      </c>
      <c r="E585">
        <v>3.833E-3</v>
      </c>
      <c r="F585">
        <v>118304191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-0.73220338983050814</v>
      </c>
      <c r="Q585">
        <f t="shared" si="990"/>
        <v>-86622729.681355894</v>
      </c>
      <c r="R585">
        <f t="shared" si="991"/>
        <v>-948939653.92316961</v>
      </c>
      <c r="S585">
        <f t="shared" si="992"/>
        <v>-9489.3965392316968</v>
      </c>
      <c r="T585">
        <f t="shared" si="993"/>
        <v>-9.4893965392316968</v>
      </c>
    </row>
    <row r="586" spans="1:20" x14ac:dyDescent="0.25">
      <c r="A586" s="5">
        <v>44007</v>
      </c>
      <c r="B586">
        <v>3.6099999999999999E-3</v>
      </c>
      <c r="C586">
        <v>4.0499999999999998E-3</v>
      </c>
      <c r="D586">
        <v>3.4559999999999999E-3</v>
      </c>
      <c r="E586">
        <v>3.8809999999999999E-3</v>
      </c>
      <c r="F586">
        <v>56057695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0.43097643097643129</v>
      </c>
      <c r="Q586">
        <f t="shared" si="990"/>
        <v>24159545.319865339</v>
      </c>
      <c r="R586">
        <f t="shared" si="991"/>
        <v>-862316924.24181366</v>
      </c>
      <c r="S586">
        <f t="shared" si="992"/>
        <v>-8623.1692424181365</v>
      </c>
      <c r="T586">
        <f t="shared" si="993"/>
        <v>-8.6231692424181361</v>
      </c>
    </row>
    <row r="587" spans="1:20" x14ac:dyDescent="0.25">
      <c r="A587" s="5">
        <v>44006</v>
      </c>
      <c r="B587">
        <v>3.797E-3</v>
      </c>
      <c r="C587">
        <v>3.8340000000000002E-3</v>
      </c>
      <c r="D587">
        <v>3.5209999999999998E-3</v>
      </c>
      <c r="E587">
        <v>3.6210000000000001E-3</v>
      </c>
      <c r="F587">
        <v>34443079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-0.36102236421725142</v>
      </c>
      <c r="Q587">
        <f t="shared" si="990"/>
        <v>-12434721.811501564</v>
      </c>
      <c r="R587">
        <f t="shared" si="991"/>
        <v>-886476469.56167901</v>
      </c>
      <c r="S587">
        <f t="shared" si="992"/>
        <v>-8864.76469561679</v>
      </c>
      <c r="T587">
        <f t="shared" si="993"/>
        <v>-8.86476469561679</v>
      </c>
    </row>
    <row r="588" spans="1:20" x14ac:dyDescent="0.25">
      <c r="A588" s="5">
        <v>44005</v>
      </c>
      <c r="B588">
        <v>3.787E-3</v>
      </c>
      <c r="C588">
        <v>4.3499999999999997E-3</v>
      </c>
      <c r="D588">
        <v>3.663E-3</v>
      </c>
      <c r="E588">
        <v>3.797E-3</v>
      </c>
      <c r="F588">
        <v>47026676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-0.60989810771470143</v>
      </c>
      <c r="Q588">
        <f t="shared" si="990"/>
        <v>-28681480.704512365</v>
      </c>
      <c r="R588">
        <f t="shared" si="991"/>
        <v>-874041747.75017738</v>
      </c>
      <c r="S588">
        <f t="shared" si="992"/>
        <v>-8740.4174775017746</v>
      </c>
      <c r="T588">
        <f t="shared" si="993"/>
        <v>-8.740417477501774</v>
      </c>
    </row>
    <row r="589" spans="1:20" x14ac:dyDescent="0.25">
      <c r="A589" s="5">
        <v>44004</v>
      </c>
      <c r="B589">
        <v>3.8070000000000001E-3</v>
      </c>
      <c r="C589">
        <v>4.1250000000000002E-3</v>
      </c>
      <c r="D589">
        <v>3.7209999999999999E-3</v>
      </c>
      <c r="E589">
        <v>3.79E-3</v>
      </c>
      <c r="F589">
        <v>64253815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-0.65841584158415845</v>
      </c>
      <c r="Q589">
        <f t="shared" si="990"/>
        <v>-42305729.678217821</v>
      </c>
      <c r="R589">
        <f t="shared" si="991"/>
        <v>-845360267.04566503</v>
      </c>
      <c r="S589">
        <f t="shared" si="992"/>
        <v>-8453.6026704566502</v>
      </c>
      <c r="T589">
        <f t="shared" si="993"/>
        <v>-8.4536026704566503</v>
      </c>
    </row>
    <row r="590" spans="1:20" x14ac:dyDescent="0.25">
      <c r="A590" s="5">
        <v>44003</v>
      </c>
      <c r="B590">
        <v>3.846E-3</v>
      </c>
      <c r="C590">
        <v>4.4850000000000003E-3</v>
      </c>
      <c r="D590">
        <v>3.754E-3</v>
      </c>
      <c r="E590">
        <v>3.8059999999999999E-3</v>
      </c>
      <c r="F590">
        <v>157915088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-0.85772913816689478</v>
      </c>
      <c r="Q590">
        <f t="shared" si="990"/>
        <v>-135448372.33378935</v>
      </c>
      <c r="R590">
        <f t="shared" si="991"/>
        <v>-803054537.36744726</v>
      </c>
      <c r="S590">
        <f t="shared" si="992"/>
        <v>-8030.545373674473</v>
      </c>
      <c r="T590">
        <f t="shared" si="993"/>
        <v>-8.0305453736744727</v>
      </c>
    </row>
    <row r="591" spans="1:20" x14ac:dyDescent="0.25">
      <c r="A591" s="5">
        <v>44002</v>
      </c>
      <c r="B591">
        <v>3.5400000000000002E-3</v>
      </c>
      <c r="C591">
        <v>3.9709999999999997E-3</v>
      </c>
      <c r="D591">
        <v>3.5140000000000002E-3</v>
      </c>
      <c r="E591">
        <v>3.8470000000000002E-3</v>
      </c>
      <c r="F591">
        <v>31425060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0.45733041575492483</v>
      </c>
      <c r="Q591">
        <f t="shared" si="990"/>
        <v>14371635.754923459</v>
      </c>
      <c r="R591">
        <f t="shared" si="991"/>
        <v>-667606165.03365791</v>
      </c>
      <c r="S591">
        <f t="shared" si="992"/>
        <v>-6676.0616503365791</v>
      </c>
      <c r="T591">
        <f t="shared" si="993"/>
        <v>-6.6760616503365791</v>
      </c>
    </row>
    <row r="592" spans="1:20" x14ac:dyDescent="0.25">
      <c r="A592" s="5">
        <v>44001</v>
      </c>
      <c r="B592">
        <v>3.6779999999999998E-3</v>
      </c>
      <c r="C592">
        <v>3.6809999999999998E-3</v>
      </c>
      <c r="D592">
        <v>3.4819999999999999E-3</v>
      </c>
      <c r="E592">
        <v>3.5260000000000001E-3</v>
      </c>
      <c r="F592">
        <v>18268214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-0.55778894472361595</v>
      </c>
      <c r="Q592">
        <f t="shared" si="990"/>
        <v>-10189807.809045186</v>
      </c>
      <c r="R592">
        <f t="shared" si="991"/>
        <v>-681977800.78858137</v>
      </c>
      <c r="S592">
        <f t="shared" si="992"/>
        <v>-6819.7780078858141</v>
      </c>
      <c r="T592">
        <f t="shared" si="993"/>
        <v>-6.8197780078858141</v>
      </c>
    </row>
    <row r="593" spans="1:20" x14ac:dyDescent="0.25">
      <c r="A593" s="5">
        <v>44000</v>
      </c>
      <c r="B593">
        <v>3.699E-3</v>
      </c>
      <c r="C593">
        <v>3.8119999999999999E-3</v>
      </c>
      <c r="D593">
        <v>3.6250000000000002E-3</v>
      </c>
      <c r="E593">
        <v>3.692E-3</v>
      </c>
      <c r="F593">
        <v>18601587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-0.28342245989304915</v>
      </c>
      <c r="Q593">
        <f t="shared" si="990"/>
        <v>-5272107.5454545645</v>
      </c>
      <c r="R593">
        <f t="shared" si="991"/>
        <v>-671787992.97953618</v>
      </c>
      <c r="S593">
        <f t="shared" si="992"/>
        <v>-6717.8799297953619</v>
      </c>
      <c r="T593">
        <f t="shared" si="993"/>
        <v>-6.7178799297953615</v>
      </c>
    </row>
    <row r="594" spans="1:20" x14ac:dyDescent="0.25">
      <c r="A594" s="5">
        <v>43999</v>
      </c>
      <c r="B594">
        <v>3.751E-3</v>
      </c>
      <c r="C594">
        <v>3.8790000000000001E-3</v>
      </c>
      <c r="D594">
        <v>3.5539999999999999E-3</v>
      </c>
      <c r="E594">
        <v>3.699E-3</v>
      </c>
      <c r="F594">
        <v>28760307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-0.10769230769230724</v>
      </c>
      <c r="Q594">
        <f t="shared" si="990"/>
        <v>-3097263.8307692176</v>
      </c>
      <c r="R594">
        <f t="shared" si="991"/>
        <v>-666515885.43408155</v>
      </c>
      <c r="S594">
        <f t="shared" si="992"/>
        <v>-6665.1588543408152</v>
      </c>
      <c r="T594">
        <f t="shared" si="993"/>
        <v>-6.6651588543408149</v>
      </c>
    </row>
    <row r="595" spans="1:20" x14ac:dyDescent="0.25">
      <c r="A595" s="5">
        <v>43998</v>
      </c>
      <c r="B595">
        <v>3.6120000000000002E-3</v>
      </c>
      <c r="C595">
        <v>4.0000000000000001E-3</v>
      </c>
      <c r="D595">
        <v>3.5639999999999999E-3</v>
      </c>
      <c r="E595">
        <v>3.7529999999999998E-3</v>
      </c>
      <c r="F595">
        <v>56242344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-0.13302752293578052</v>
      </c>
      <c r="Q595">
        <f t="shared" si="990"/>
        <v>-7481779.7064220579</v>
      </c>
      <c r="R595">
        <f t="shared" si="991"/>
        <v>-663418621.60331237</v>
      </c>
      <c r="S595">
        <f t="shared" si="992"/>
        <v>-6634.1862160331239</v>
      </c>
      <c r="T595">
        <f t="shared" si="993"/>
        <v>-6.6341862160331235</v>
      </c>
    </row>
    <row r="596" spans="1:20" x14ac:dyDescent="0.25">
      <c r="A596" s="5">
        <v>43997</v>
      </c>
      <c r="B596">
        <v>3.63E-3</v>
      </c>
      <c r="C596">
        <v>3.6819999999999999E-3</v>
      </c>
      <c r="D596">
        <v>3.1849999999999999E-3</v>
      </c>
      <c r="E596">
        <v>3.6110000000000001E-3</v>
      </c>
      <c r="F596">
        <v>83864347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0.71428571428571475</v>
      </c>
      <c r="Q596">
        <f t="shared" si="990"/>
        <v>59903105.000000037</v>
      </c>
      <c r="R596">
        <f t="shared" si="991"/>
        <v>-655936841.89689028</v>
      </c>
      <c r="S596">
        <f t="shared" si="992"/>
        <v>-6559.3684189689029</v>
      </c>
      <c r="T596">
        <f t="shared" si="993"/>
        <v>-6.5593684189689032</v>
      </c>
    </row>
    <row r="597" spans="1:20" x14ac:dyDescent="0.25">
      <c r="A597" s="5">
        <v>43996</v>
      </c>
      <c r="B597">
        <v>3.888E-3</v>
      </c>
      <c r="C597">
        <v>3.9439999999999996E-3</v>
      </c>
      <c r="D597">
        <v>3.5980000000000001E-3</v>
      </c>
      <c r="E597">
        <v>3.6310000000000001E-3</v>
      </c>
      <c r="F597">
        <v>20605407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-0.80924855491329428</v>
      </c>
      <c r="Q597">
        <f t="shared" si="990"/>
        <v>-16674895.838150278</v>
      </c>
      <c r="R597">
        <f t="shared" si="991"/>
        <v>-715839946.89689028</v>
      </c>
      <c r="S597">
        <f t="shared" si="992"/>
        <v>-7158.3994689689025</v>
      </c>
      <c r="T597">
        <f t="shared" si="993"/>
        <v>-7.1583994689689021</v>
      </c>
    </row>
    <row r="598" spans="1:20" x14ac:dyDescent="0.25">
      <c r="A598" s="5">
        <v>43995</v>
      </c>
      <c r="B598">
        <v>3.9259999999999998E-3</v>
      </c>
      <c r="C598">
        <v>3.9870000000000001E-3</v>
      </c>
      <c r="D598">
        <v>3.8E-3</v>
      </c>
      <c r="E598">
        <v>3.8500000000000001E-3</v>
      </c>
      <c r="F598">
        <v>28686554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-0.46524064171122881</v>
      </c>
      <c r="Q598">
        <f t="shared" si="990"/>
        <v>-13346150.791443817</v>
      </c>
      <c r="R598">
        <f t="shared" si="991"/>
        <v>-699165051.05874002</v>
      </c>
      <c r="S598">
        <f t="shared" si="992"/>
        <v>-6991.6505105874003</v>
      </c>
      <c r="T598">
        <f t="shared" si="993"/>
        <v>-6.9916505105873998</v>
      </c>
    </row>
    <row r="599" spans="1:20" x14ac:dyDescent="0.25">
      <c r="A599" s="5">
        <v>43994</v>
      </c>
      <c r="B599">
        <v>3.49E-3</v>
      </c>
      <c r="C599">
        <v>3.9560000000000003E-3</v>
      </c>
      <c r="D599">
        <v>3.4680000000000002E-3</v>
      </c>
      <c r="E599">
        <v>3.9249999999999997E-3</v>
      </c>
      <c r="F599">
        <v>33796746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0.87295081967212851</v>
      </c>
      <c r="Q599">
        <f t="shared" si="990"/>
        <v>29502897.122950729</v>
      </c>
      <c r="R599">
        <f t="shared" si="991"/>
        <v>-685818900.2672962</v>
      </c>
      <c r="S599">
        <f t="shared" si="992"/>
        <v>-6858.1890026729616</v>
      </c>
      <c r="T599">
        <f t="shared" si="993"/>
        <v>-6.8581890026729617</v>
      </c>
    </row>
    <row r="600" spans="1:20" x14ac:dyDescent="0.25">
      <c r="A600" s="5">
        <v>43993</v>
      </c>
      <c r="B600">
        <v>3.9439999999999996E-3</v>
      </c>
      <c r="C600">
        <v>4.2170000000000003E-3</v>
      </c>
      <c r="D600">
        <v>3.457E-3</v>
      </c>
      <c r="E600">
        <v>3.4979999999999998E-3</v>
      </c>
      <c r="F600">
        <v>90231217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-0.89210526315789529</v>
      </c>
      <c r="Q600">
        <f t="shared" si="990"/>
        <v>-80495743.586842149</v>
      </c>
      <c r="R600">
        <f t="shared" si="991"/>
        <v>-715321797.39024687</v>
      </c>
      <c r="S600">
        <f t="shared" si="992"/>
        <v>-7153.2179739024687</v>
      </c>
      <c r="T600">
        <f t="shared" si="993"/>
        <v>-7.1532179739024686</v>
      </c>
    </row>
    <row r="601" spans="1:20" x14ac:dyDescent="0.25">
      <c r="A601" s="5">
        <v>43992</v>
      </c>
      <c r="B601">
        <v>3.5270000000000002E-3</v>
      </c>
      <c r="C601">
        <v>3.9979999999999998E-3</v>
      </c>
      <c r="D601">
        <v>3.483E-3</v>
      </c>
      <c r="E601">
        <v>3.9439999999999996E-3</v>
      </c>
      <c r="F601">
        <v>85366779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0.79029126213592138</v>
      </c>
      <c r="Q601">
        <f t="shared" si="990"/>
        <v>67464619.520388275</v>
      </c>
      <c r="R601">
        <f t="shared" si="991"/>
        <v>-634826053.80340469</v>
      </c>
      <c r="S601">
        <f t="shared" si="992"/>
        <v>-6348.2605380340465</v>
      </c>
      <c r="T601">
        <f t="shared" si="993"/>
        <v>-6.3482605380340464</v>
      </c>
    </row>
    <row r="602" spans="1:20" x14ac:dyDescent="0.25">
      <c r="A602" s="5">
        <v>43991</v>
      </c>
      <c r="B602">
        <v>3.3089999999999999E-3</v>
      </c>
      <c r="C602">
        <v>3.5999999999999999E-3</v>
      </c>
      <c r="D602">
        <v>3.248E-3</v>
      </c>
      <c r="E602">
        <v>3.5279999999999999E-3</v>
      </c>
      <c r="F602">
        <v>32850136</v>
      </c>
      <c r="G602">
        <v>0</v>
      </c>
      <c r="L602" t="s">
        <v>8</v>
      </c>
      <c r="M602" t="s">
        <v>7</v>
      </c>
      <c r="N602" t="s">
        <v>7</v>
      </c>
      <c r="P602">
        <f t="shared" si="989"/>
        <v>0.59090909090909072</v>
      </c>
      <c r="Q602">
        <f t="shared" si="990"/>
        <v>19411443.999999993</v>
      </c>
      <c r="R602">
        <f t="shared" si="991"/>
        <v>-702290673.32379293</v>
      </c>
      <c r="S602">
        <f t="shared" si="992"/>
        <v>-7022.9067332379291</v>
      </c>
      <c r="T602">
        <f t="shared" si="993"/>
        <v>-7.0229067332379289</v>
      </c>
    </row>
    <row r="603" spans="1:20" x14ac:dyDescent="0.25">
      <c r="A603" s="5">
        <v>43990</v>
      </c>
      <c r="B603">
        <v>3.2109999999999999E-3</v>
      </c>
      <c r="C603">
        <v>3.339E-3</v>
      </c>
      <c r="D603">
        <v>3.1809999999999998E-3</v>
      </c>
      <c r="E603">
        <v>3.3080000000000002E-3</v>
      </c>
      <c r="F603">
        <v>28742484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0.607594936708864</v>
      </c>
      <c r="Q603">
        <f t="shared" si="990"/>
        <v>17463787.746835537</v>
      </c>
      <c r="R603">
        <f t="shared" si="991"/>
        <v>-721702117.32379293</v>
      </c>
      <c r="S603">
        <f t="shared" si="992"/>
        <v>-7217.0211732379294</v>
      </c>
      <c r="T603">
        <f t="shared" si="993"/>
        <v>-7.2170211732379297</v>
      </c>
    </row>
    <row r="604" spans="1:20" x14ac:dyDescent="0.25">
      <c r="A604" s="5">
        <v>43989</v>
      </c>
      <c r="B604">
        <v>3.307E-3</v>
      </c>
      <c r="C604">
        <v>3.3540000000000002E-3</v>
      </c>
      <c r="D604">
        <v>3.1310000000000001E-3</v>
      </c>
      <c r="E604">
        <v>3.2169999999999998E-3</v>
      </c>
      <c r="F604">
        <v>16139057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-0.22869955156950975</v>
      </c>
      <c r="Q604">
        <f t="shared" si="990"/>
        <v>-3690995.0986547573</v>
      </c>
      <c r="R604">
        <f t="shared" si="991"/>
        <v>-739165905.07062852</v>
      </c>
      <c r="S604">
        <f t="shared" si="992"/>
        <v>-7391.6590507062856</v>
      </c>
      <c r="T604">
        <f t="shared" si="993"/>
        <v>-7.391659050706286</v>
      </c>
    </row>
    <row r="605" spans="1:20" x14ac:dyDescent="0.25">
      <c r="A605" s="5">
        <v>43988</v>
      </c>
      <c r="B605">
        <v>3.1740000000000002E-3</v>
      </c>
      <c r="C605">
        <v>3.5130000000000001E-3</v>
      </c>
      <c r="D605">
        <v>3.1719999999999999E-3</v>
      </c>
      <c r="E605">
        <v>3.3080000000000002E-3</v>
      </c>
      <c r="F605">
        <v>43367978</v>
      </c>
      <c r="G605">
        <v>0</v>
      </c>
      <c r="L605" t="s">
        <v>8</v>
      </c>
      <c r="M605" t="s">
        <v>7</v>
      </c>
      <c r="N605" t="s">
        <v>7</v>
      </c>
      <c r="P605">
        <f t="shared" si="989"/>
        <v>-0.20234604105571727</v>
      </c>
      <c r="Q605">
        <f t="shared" si="990"/>
        <v>-8775338.6568914428</v>
      </c>
      <c r="R605">
        <f t="shared" si="991"/>
        <v>-735474909.97197378</v>
      </c>
      <c r="S605">
        <f t="shared" si="992"/>
        <v>-7354.7490997197374</v>
      </c>
      <c r="T605">
        <f t="shared" si="993"/>
        <v>-7.3547490997197373</v>
      </c>
    </row>
    <row r="606" spans="1:20" x14ac:dyDescent="0.25">
      <c r="A606" s="5">
        <v>43987</v>
      </c>
      <c r="B606">
        <v>3.2650000000000001E-3</v>
      </c>
      <c r="C606">
        <v>3.3050000000000002E-3</v>
      </c>
      <c r="D606">
        <v>3.153E-3</v>
      </c>
      <c r="E606">
        <v>3.176E-3</v>
      </c>
      <c r="F606">
        <v>16225193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-0.69736842105263186</v>
      </c>
      <c r="Q606">
        <f t="shared" si="990"/>
        <v>-11314937.223684216</v>
      </c>
      <c r="R606">
        <f t="shared" si="991"/>
        <v>-726699571.31508231</v>
      </c>
      <c r="S606">
        <f t="shared" si="992"/>
        <v>-7266.9957131508227</v>
      </c>
      <c r="T606">
        <f t="shared" si="993"/>
        <v>-7.2669957131508225</v>
      </c>
    </row>
    <row r="607" spans="1:20" x14ac:dyDescent="0.25">
      <c r="A607" s="5">
        <v>43986</v>
      </c>
      <c r="B607">
        <v>3.388E-3</v>
      </c>
      <c r="C607">
        <v>3.4199999999999999E-3</v>
      </c>
      <c r="D607">
        <v>3.2560000000000002E-3</v>
      </c>
      <c r="E607">
        <v>3.2789999999999998E-3</v>
      </c>
      <c r="F607">
        <v>19254876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-0.71951219512195574</v>
      </c>
      <c r="Q607">
        <f t="shared" si="990"/>
        <v>-13854118.097561063</v>
      </c>
      <c r="R607">
        <f t="shared" si="991"/>
        <v>-715384634.09139812</v>
      </c>
      <c r="S607">
        <f t="shared" si="992"/>
        <v>-7153.8463409139813</v>
      </c>
      <c r="T607">
        <f t="shared" si="993"/>
        <v>-7.1538463409139812</v>
      </c>
    </row>
    <row r="608" spans="1:20" x14ac:dyDescent="0.25">
      <c r="A608" s="5">
        <v>43985</v>
      </c>
      <c r="B608">
        <v>3.16E-3</v>
      </c>
      <c r="C608">
        <v>3.4350000000000001E-3</v>
      </c>
      <c r="D608">
        <v>3.137E-3</v>
      </c>
      <c r="E608">
        <v>3.382E-3</v>
      </c>
      <c r="F608">
        <v>31235140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0.64429530201342233</v>
      </c>
      <c r="Q608">
        <f t="shared" si="990"/>
        <v>20124653.959731527</v>
      </c>
      <c r="R608">
        <f t="shared" si="991"/>
        <v>-701530515.993837</v>
      </c>
      <c r="S608">
        <f t="shared" si="992"/>
        <v>-7015.3051599383698</v>
      </c>
      <c r="T608">
        <f t="shared" si="993"/>
        <v>-7.0153051599383698</v>
      </c>
    </row>
    <row r="609" spans="1:20" x14ac:dyDescent="0.25">
      <c r="A609" s="5">
        <v>43984</v>
      </c>
      <c r="B609">
        <v>3.3930000000000002E-3</v>
      </c>
      <c r="C609">
        <v>3.5839999999999999E-3</v>
      </c>
      <c r="D609">
        <v>3.0490000000000001E-3</v>
      </c>
      <c r="E609">
        <v>3.16E-3</v>
      </c>
      <c r="F609">
        <v>38540194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-0.58504672897196253</v>
      </c>
      <c r="Q609">
        <f t="shared" si="990"/>
        <v>-22547814.433644857</v>
      </c>
      <c r="R609">
        <f t="shared" si="991"/>
        <v>-721655169.95356858</v>
      </c>
      <c r="S609">
        <f t="shared" si="992"/>
        <v>-7216.5516995356857</v>
      </c>
      <c r="T609">
        <f t="shared" si="993"/>
        <v>-7.2165516995356853</v>
      </c>
    </row>
    <row r="610" spans="1:20" x14ac:dyDescent="0.25">
      <c r="A610" s="5">
        <v>43983</v>
      </c>
      <c r="B610">
        <v>3.039E-3</v>
      </c>
      <c r="C610">
        <v>3.5839999999999999E-3</v>
      </c>
      <c r="D610">
        <v>3.0249999999999999E-3</v>
      </c>
      <c r="E610">
        <v>3.3930000000000002E-3</v>
      </c>
      <c r="F610">
        <v>39209550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0.31663685152057336</v>
      </c>
      <c r="Q610">
        <f t="shared" si="990"/>
        <v>12415188.461538497</v>
      </c>
      <c r="R610">
        <f t="shared" si="991"/>
        <v>-699107355.51992369</v>
      </c>
      <c r="S610">
        <f t="shared" si="992"/>
        <v>-6991.0735551992366</v>
      </c>
      <c r="T610">
        <f t="shared" si="993"/>
        <v>-6.9910735551992369</v>
      </c>
    </row>
    <row r="611" spans="1:20" x14ac:dyDescent="0.25">
      <c r="A611" s="5">
        <v>43982</v>
      </c>
      <c r="B611">
        <v>3.359E-3</v>
      </c>
      <c r="C611">
        <v>3.3700000000000002E-3</v>
      </c>
      <c r="D611">
        <v>3.0170000000000002E-3</v>
      </c>
      <c r="E611">
        <v>3.0439999999999998E-3</v>
      </c>
      <c r="F611">
        <v>38858957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-0.84702549575071007</v>
      </c>
      <c r="Q611">
        <f t="shared" si="990"/>
        <v>-32914527.317280523</v>
      </c>
      <c r="R611">
        <f t="shared" si="991"/>
        <v>-711522543.98146224</v>
      </c>
      <c r="S611">
        <f t="shared" si="992"/>
        <v>-7115.2254398146224</v>
      </c>
      <c r="T611">
        <f t="shared" si="993"/>
        <v>-7.1152254398146226</v>
      </c>
    </row>
    <row r="612" spans="1:20" x14ac:dyDescent="0.25">
      <c r="A612" s="5">
        <v>43981</v>
      </c>
      <c r="B612">
        <v>3.2239999999999999E-3</v>
      </c>
      <c r="C612">
        <v>3.6150000000000002E-3</v>
      </c>
      <c r="D612">
        <v>3.1909999999999998E-3</v>
      </c>
      <c r="E612">
        <v>3.359E-3</v>
      </c>
      <c r="F612">
        <v>42807702</v>
      </c>
      <c r="G612">
        <v>0</v>
      </c>
      <c r="L612" t="s">
        <v>8</v>
      </c>
      <c r="M612" t="s">
        <v>8</v>
      </c>
      <c r="N612" t="s">
        <v>7</v>
      </c>
      <c r="P612">
        <f t="shared" si="989"/>
        <v>-0.20754716981132051</v>
      </c>
      <c r="Q612">
        <f t="shared" si="990"/>
        <v>-8884617.3962264042</v>
      </c>
      <c r="R612">
        <f t="shared" si="991"/>
        <v>-678608016.66418171</v>
      </c>
      <c r="S612">
        <f t="shared" si="992"/>
        <v>-6786.0801666418174</v>
      </c>
      <c r="T612">
        <f t="shared" si="993"/>
        <v>-6.7860801666418178</v>
      </c>
    </row>
    <row r="613" spans="1:20" x14ac:dyDescent="0.25">
      <c r="A613" s="5">
        <v>43980</v>
      </c>
      <c r="B613">
        <v>3.29E-3</v>
      </c>
      <c r="C613">
        <v>3.47E-3</v>
      </c>
      <c r="D613">
        <v>3.2139999999999998E-3</v>
      </c>
      <c r="E613">
        <v>3.238E-3</v>
      </c>
      <c r="F613">
        <v>28449778</v>
      </c>
      <c r="G613">
        <v>0</v>
      </c>
      <c r="L613" t="s">
        <v>8</v>
      </c>
      <c r="M613" t="s">
        <v>8</v>
      </c>
      <c r="N613" t="s">
        <v>7</v>
      </c>
      <c r="P613">
        <f t="shared" si="989"/>
        <v>-0.81249999999999889</v>
      </c>
      <c r="Q613">
        <f t="shared" si="990"/>
        <v>-23115444.62499997</v>
      </c>
      <c r="R613">
        <f t="shared" si="991"/>
        <v>-669723399.2679553</v>
      </c>
      <c r="S613">
        <f t="shared" si="992"/>
        <v>-6697.233992679553</v>
      </c>
      <c r="T613">
        <f t="shared" si="993"/>
        <v>-6.6972339926795534</v>
      </c>
    </row>
    <row r="614" spans="1:20" x14ac:dyDescent="0.25">
      <c r="A614" s="5">
        <v>43979</v>
      </c>
      <c r="B614">
        <v>3.4529999999999999E-3</v>
      </c>
      <c r="C614">
        <v>3.6480000000000002E-3</v>
      </c>
      <c r="D614">
        <v>3.1870000000000002E-3</v>
      </c>
      <c r="E614">
        <v>3.261E-3</v>
      </c>
      <c r="F614">
        <v>48811784</v>
      </c>
      <c r="G614">
        <v>0</v>
      </c>
      <c r="L614" t="s">
        <v>7</v>
      </c>
      <c r="M614" t="s">
        <v>8</v>
      </c>
      <c r="N614" t="s">
        <v>7</v>
      </c>
      <c r="P614">
        <f t="shared" si="989"/>
        <v>-0.67895878524945841</v>
      </c>
      <c r="Q614">
        <f t="shared" si="990"/>
        <v>-33141189.570498951</v>
      </c>
      <c r="R614">
        <f t="shared" si="991"/>
        <v>-646607954.6429553</v>
      </c>
      <c r="S614">
        <f t="shared" si="992"/>
        <v>-6466.0795464295534</v>
      </c>
      <c r="T614">
        <f t="shared" si="993"/>
        <v>-6.4660795464295537</v>
      </c>
    </row>
    <row r="615" spans="1:20" x14ac:dyDescent="0.25">
      <c r="A615" s="5">
        <v>43978</v>
      </c>
      <c r="B615">
        <v>3.0179999999999998E-3</v>
      </c>
      <c r="C615">
        <v>3.6900000000000001E-3</v>
      </c>
      <c r="D615">
        <v>2.9849999999999998E-3</v>
      </c>
      <c r="E615">
        <v>3.4510000000000001E-3</v>
      </c>
      <c r="F615">
        <v>130754927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0.32198581560283701</v>
      </c>
      <c r="Q615">
        <f t="shared" si="990"/>
        <v>42101231.814184412</v>
      </c>
      <c r="R615">
        <f t="shared" si="991"/>
        <v>-613466765.07245636</v>
      </c>
      <c r="S615">
        <f t="shared" si="992"/>
        <v>-6134.6676507245638</v>
      </c>
      <c r="T615">
        <f t="shared" si="993"/>
        <v>-6.1346676507245634</v>
      </c>
    </row>
    <row r="616" spans="1:20" x14ac:dyDescent="0.25">
      <c r="A616" s="5">
        <v>43977</v>
      </c>
      <c r="B616">
        <v>3.222E-3</v>
      </c>
      <c r="C616">
        <v>3.2550000000000001E-3</v>
      </c>
      <c r="D616">
        <v>2.905E-3</v>
      </c>
      <c r="E616">
        <v>3.009E-3</v>
      </c>
      <c r="F616">
        <v>70508931</v>
      </c>
      <c r="G616">
        <v>0</v>
      </c>
      <c r="L616" t="s">
        <v>7</v>
      </c>
      <c r="M616" t="s">
        <v>7</v>
      </c>
      <c r="N616" t="s">
        <v>7</v>
      </c>
      <c r="P616">
        <f t="shared" si="989"/>
        <v>-0.40571428571428625</v>
      </c>
      <c r="Q616">
        <f t="shared" si="990"/>
        <v>-28606480.577142894</v>
      </c>
      <c r="R616">
        <f t="shared" si="991"/>
        <v>-655567996.88664079</v>
      </c>
      <c r="S616">
        <f t="shared" si="992"/>
        <v>-6555.6799688664078</v>
      </c>
      <c r="T616">
        <f t="shared" si="993"/>
        <v>-6.555679968866408</v>
      </c>
    </row>
    <row r="617" spans="1:20" x14ac:dyDescent="0.25">
      <c r="A617" s="5">
        <v>43976</v>
      </c>
      <c r="B617">
        <v>3.0530000000000002E-3</v>
      </c>
      <c r="C617">
        <v>3.999E-3</v>
      </c>
      <c r="D617">
        <v>2.8E-3</v>
      </c>
      <c r="E617">
        <v>3.222E-3</v>
      </c>
      <c r="F617">
        <v>188309852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-0.29608006672226844</v>
      </c>
      <c r="Q617">
        <f t="shared" si="990"/>
        <v>-55754793.544620499</v>
      </c>
      <c r="R617">
        <f t="shared" si="991"/>
        <v>-626961516.30949795</v>
      </c>
      <c r="S617">
        <f t="shared" si="992"/>
        <v>-6269.6151630949798</v>
      </c>
      <c r="T617">
        <f t="shared" si="993"/>
        <v>-6.2696151630949801</v>
      </c>
    </row>
    <row r="618" spans="1:20" x14ac:dyDescent="0.25">
      <c r="A618" s="5">
        <v>43975</v>
      </c>
      <c r="B618">
        <v>2.911E-3</v>
      </c>
      <c r="C618">
        <v>3.2260000000000001E-3</v>
      </c>
      <c r="D618">
        <v>2.8879999999999999E-3</v>
      </c>
      <c r="E618">
        <v>3.0599999999999998E-3</v>
      </c>
      <c r="F618">
        <v>75347160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1.7751479289939327E-2</v>
      </c>
      <c r="Q618">
        <f t="shared" si="990"/>
        <v>1337523.5502957448</v>
      </c>
      <c r="R618">
        <f t="shared" si="991"/>
        <v>-571206722.76487744</v>
      </c>
      <c r="S618">
        <f t="shared" si="992"/>
        <v>-5712.067227648774</v>
      </c>
      <c r="T618">
        <f t="shared" si="993"/>
        <v>-5.7120672276487738</v>
      </c>
    </row>
    <row r="619" spans="1:20" x14ac:dyDescent="0.25">
      <c r="A619" s="5">
        <v>43974</v>
      </c>
      <c r="B619">
        <v>2.7729999999999999E-3</v>
      </c>
      <c r="C619">
        <v>2.9740000000000001E-3</v>
      </c>
      <c r="D619">
        <v>2.7720000000000002E-3</v>
      </c>
      <c r="E619">
        <v>2.911E-3</v>
      </c>
      <c r="F619">
        <v>25275973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0.3762376237623748</v>
      </c>
      <c r="Q619">
        <f t="shared" si="990"/>
        <v>9509772.0198019445</v>
      </c>
      <c r="R619">
        <f t="shared" si="991"/>
        <v>-572544246.31517315</v>
      </c>
      <c r="S619">
        <f t="shared" si="992"/>
        <v>-5725.4424631517313</v>
      </c>
      <c r="T619">
        <f t="shared" si="993"/>
        <v>-5.7254424631517313</v>
      </c>
    </row>
    <row r="620" spans="1:20" x14ac:dyDescent="0.25">
      <c r="A620" s="5">
        <v>43973</v>
      </c>
      <c r="B620">
        <v>2.895E-3</v>
      </c>
      <c r="C620">
        <v>2.895E-3</v>
      </c>
      <c r="D620">
        <v>2.6979999999999999E-3</v>
      </c>
      <c r="E620">
        <v>2.7729999999999999E-3</v>
      </c>
      <c r="F620">
        <v>39943445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-0.23857868020304637</v>
      </c>
      <c r="Q620">
        <f t="shared" si="990"/>
        <v>-9529654.3908629715</v>
      </c>
      <c r="R620">
        <f t="shared" si="991"/>
        <v>-582054018.33497512</v>
      </c>
      <c r="S620">
        <f t="shared" si="992"/>
        <v>-5820.5401833497508</v>
      </c>
      <c r="T620">
        <f t="shared" si="993"/>
        <v>-5.8205401833497508</v>
      </c>
    </row>
    <row r="621" spans="1:20" x14ac:dyDescent="0.25">
      <c r="A621" s="5">
        <v>43972</v>
      </c>
      <c r="B621">
        <v>2.555E-3</v>
      </c>
      <c r="C621">
        <v>3.019E-3</v>
      </c>
      <c r="D621">
        <v>2.555E-3</v>
      </c>
      <c r="E621">
        <v>2.9030000000000002E-3</v>
      </c>
      <c r="F621">
        <v>79457722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0.50000000000000089</v>
      </c>
      <c r="Q621">
        <f t="shared" si="990"/>
        <v>39728861.000000067</v>
      </c>
      <c r="R621">
        <f t="shared" si="991"/>
        <v>-572524363.94411218</v>
      </c>
      <c r="S621">
        <f t="shared" si="992"/>
        <v>-5725.2436394411216</v>
      </c>
      <c r="T621">
        <f t="shared" si="993"/>
        <v>-5.7252436394411212</v>
      </c>
    </row>
    <row r="622" spans="1:20" x14ac:dyDescent="0.25">
      <c r="A622" s="5">
        <v>43971</v>
      </c>
      <c r="B622">
        <v>2.65E-3</v>
      </c>
      <c r="C622">
        <v>2.7060000000000001E-3</v>
      </c>
      <c r="D622">
        <v>2.49E-3</v>
      </c>
      <c r="E622">
        <v>2.5579999999999999E-3</v>
      </c>
      <c r="F622">
        <v>16704298</v>
      </c>
      <c r="G622">
        <v>0</v>
      </c>
      <c r="L622" t="s">
        <v>8</v>
      </c>
      <c r="M622" t="s">
        <v>7</v>
      </c>
      <c r="N622" t="s">
        <v>8</v>
      </c>
      <c r="P622">
        <f t="shared" si="989"/>
        <v>-0.37037037037037124</v>
      </c>
      <c r="Q622">
        <f t="shared" si="990"/>
        <v>-6186777.0370370513</v>
      </c>
      <c r="R622">
        <f t="shared" si="991"/>
        <v>-612253224.9441123</v>
      </c>
      <c r="S622">
        <f t="shared" si="992"/>
        <v>-6122.532249441123</v>
      </c>
      <c r="T622">
        <f t="shared" si="993"/>
        <v>-6.1225322494411234</v>
      </c>
    </row>
    <row r="623" spans="1:20" x14ac:dyDescent="0.25">
      <c r="A623" s="5">
        <v>43970</v>
      </c>
      <c r="B623">
        <v>2.5170000000000001E-3</v>
      </c>
      <c r="C623">
        <v>2.65E-3</v>
      </c>
      <c r="D623">
        <v>2.4320000000000001E-3</v>
      </c>
      <c r="E623">
        <v>2.65E-3</v>
      </c>
      <c r="F623">
        <v>18224966</v>
      </c>
      <c r="G623">
        <v>0</v>
      </c>
      <c r="L623" t="s">
        <v>7</v>
      </c>
      <c r="M623" t="s">
        <v>7</v>
      </c>
      <c r="N623" t="s">
        <v>8</v>
      </c>
      <c r="P623">
        <f t="shared" si="989"/>
        <v>1</v>
      </c>
      <c r="Q623">
        <f t="shared" si="990"/>
        <v>18224966</v>
      </c>
      <c r="R623">
        <f t="shared" si="991"/>
        <v>-606066447.90707529</v>
      </c>
      <c r="S623">
        <f t="shared" si="992"/>
        <v>-6060.6644790707533</v>
      </c>
      <c r="T623">
        <f t="shared" si="993"/>
        <v>-6.0606644790707529</v>
      </c>
    </row>
    <row r="624" spans="1:20" x14ac:dyDescent="0.25">
      <c r="A624" s="5">
        <v>43969</v>
      </c>
      <c r="B624">
        <v>2.5760000000000002E-3</v>
      </c>
      <c r="C624">
        <v>2.6480000000000002E-3</v>
      </c>
      <c r="D624">
        <v>2.5000000000000001E-3</v>
      </c>
      <c r="E624">
        <v>2.5349999999999999E-3</v>
      </c>
      <c r="F624">
        <v>21833020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-0.52702702702702908</v>
      </c>
      <c r="Q624">
        <f t="shared" si="990"/>
        <v>-11506591.621621666</v>
      </c>
      <c r="R624">
        <f t="shared" si="991"/>
        <v>-624291413.90707529</v>
      </c>
      <c r="S624">
        <f t="shared" si="992"/>
        <v>-6242.9141390707528</v>
      </c>
      <c r="T624">
        <f t="shared" si="993"/>
        <v>-6.242914139070753</v>
      </c>
    </row>
    <row r="625" spans="1:20" x14ac:dyDescent="0.25">
      <c r="A625" s="5">
        <v>43968</v>
      </c>
      <c r="B625">
        <v>2.6220000000000002E-3</v>
      </c>
      <c r="C625">
        <v>2.6719999999999999E-3</v>
      </c>
      <c r="D625">
        <v>2.5560000000000001E-3</v>
      </c>
      <c r="E625">
        <v>2.5820000000000001E-3</v>
      </c>
      <c r="F625">
        <v>14129015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-0.55172413793103392</v>
      </c>
      <c r="Q625">
        <f t="shared" si="990"/>
        <v>-7795318.6206896473</v>
      </c>
      <c r="R625">
        <f t="shared" si="991"/>
        <v>-612784822.28545368</v>
      </c>
      <c r="S625">
        <f t="shared" si="992"/>
        <v>-6127.8482228545372</v>
      </c>
      <c r="T625">
        <f t="shared" si="993"/>
        <v>-6.1278482228545368</v>
      </c>
    </row>
    <row r="626" spans="1:20" x14ac:dyDescent="0.25">
      <c r="A626" s="5">
        <v>43967</v>
      </c>
      <c r="B626">
        <v>2.6280000000000001E-3</v>
      </c>
      <c r="C626">
        <v>2.7490000000000001E-3</v>
      </c>
      <c r="D626">
        <v>2.588E-3</v>
      </c>
      <c r="E626">
        <v>2.6280000000000001E-3</v>
      </c>
      <c r="F626">
        <v>9666780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-0.50310559006211086</v>
      </c>
      <c r="Q626">
        <f t="shared" si="990"/>
        <v>-4863411.0559006119</v>
      </c>
      <c r="R626">
        <f t="shared" si="991"/>
        <v>-604989503.66476405</v>
      </c>
      <c r="S626">
        <f t="shared" si="992"/>
        <v>-6049.8950366476402</v>
      </c>
      <c r="T626">
        <f t="shared" si="993"/>
        <v>-6.0498950366476398</v>
      </c>
    </row>
    <row r="627" spans="1:20" x14ac:dyDescent="0.25">
      <c r="A627" s="5">
        <v>43966</v>
      </c>
      <c r="B627">
        <v>2.8050000000000002E-3</v>
      </c>
      <c r="C627">
        <v>2.8760000000000001E-3</v>
      </c>
      <c r="D627">
        <v>2.5630000000000002E-3</v>
      </c>
      <c r="E627">
        <v>2.6120000000000002E-3</v>
      </c>
      <c r="F627">
        <v>35300775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-0.6869009584664536</v>
      </c>
      <c r="Q627">
        <f t="shared" si="990"/>
        <v>-24248136.182108622</v>
      </c>
      <c r="R627">
        <f t="shared" si="991"/>
        <v>-600126092.60886347</v>
      </c>
      <c r="S627">
        <f t="shared" si="992"/>
        <v>-6001.2609260886347</v>
      </c>
      <c r="T627">
        <f t="shared" si="993"/>
        <v>-6.0012609260886345</v>
      </c>
    </row>
    <row r="628" spans="1:20" x14ac:dyDescent="0.25">
      <c r="A628" s="5">
        <v>43965</v>
      </c>
      <c r="B628">
        <v>2.454E-3</v>
      </c>
      <c r="C628">
        <v>2.8370000000000001E-3</v>
      </c>
      <c r="D628">
        <v>2.4480000000000001E-3</v>
      </c>
      <c r="E628">
        <v>2.826E-3</v>
      </c>
      <c r="F628">
        <v>23272698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0.94344473007712004</v>
      </c>
      <c r="Q628">
        <f t="shared" si="990"/>
        <v>21956504.28277633</v>
      </c>
      <c r="R628">
        <f t="shared" si="991"/>
        <v>-575877956.42675483</v>
      </c>
      <c r="S628">
        <f t="shared" si="992"/>
        <v>-5758.7795642675483</v>
      </c>
      <c r="T628">
        <f t="shared" si="993"/>
        <v>-5.7587795642675479</v>
      </c>
    </row>
    <row r="629" spans="1:20" x14ac:dyDescent="0.25">
      <c r="A629" s="5">
        <v>43964</v>
      </c>
      <c r="B629">
        <v>2.4320000000000001E-3</v>
      </c>
      <c r="C629">
        <v>2.5339999999999998E-3</v>
      </c>
      <c r="D629">
        <v>2.4160000000000002E-3</v>
      </c>
      <c r="E629">
        <v>2.4659999999999999E-3</v>
      </c>
      <c r="F629">
        <v>23230624</v>
      </c>
      <c r="G629">
        <v>0</v>
      </c>
      <c r="L629" t="s">
        <v>7</v>
      </c>
      <c r="M629" t="s">
        <v>8</v>
      </c>
      <c r="N629" t="s">
        <v>8</v>
      </c>
      <c r="P629">
        <f t="shared" si="989"/>
        <v>-0.1525423728813583</v>
      </c>
      <c r="Q629">
        <f t="shared" si="990"/>
        <v>-3543654.5084746312</v>
      </c>
      <c r="R629">
        <f t="shared" si="991"/>
        <v>-597834460.70953119</v>
      </c>
      <c r="S629">
        <f t="shared" si="992"/>
        <v>-5978.3446070953123</v>
      </c>
      <c r="T629">
        <f t="shared" si="993"/>
        <v>-5.9783446070953126</v>
      </c>
    </row>
    <row r="630" spans="1:20" x14ac:dyDescent="0.25">
      <c r="A630" s="5">
        <v>43963</v>
      </c>
      <c r="B630">
        <v>2.3389999999999999E-3</v>
      </c>
      <c r="C630">
        <v>2.6900000000000001E-3</v>
      </c>
      <c r="D630">
        <v>1.9910000000000001E-3</v>
      </c>
      <c r="E630">
        <v>2.4139999999999999E-3</v>
      </c>
      <c r="F630">
        <v>85365371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0.21030042918454875</v>
      </c>
      <c r="Q630">
        <f t="shared" si="990"/>
        <v>17952374.158798233</v>
      </c>
      <c r="R630">
        <f t="shared" si="991"/>
        <v>-594290806.2010566</v>
      </c>
      <c r="S630">
        <f t="shared" si="992"/>
        <v>-5942.908062010566</v>
      </c>
      <c r="T630">
        <f t="shared" si="993"/>
        <v>-5.9429080620105657</v>
      </c>
    </row>
    <row r="631" spans="1:20" x14ac:dyDescent="0.25">
      <c r="A631" s="5">
        <v>43962</v>
      </c>
      <c r="B631">
        <v>2.176E-3</v>
      </c>
      <c r="C631">
        <v>2.372E-3</v>
      </c>
      <c r="D631">
        <v>2.0720000000000001E-3</v>
      </c>
      <c r="E631">
        <v>2.3500000000000001E-3</v>
      </c>
      <c r="F631">
        <v>26847212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0.85333333333333405</v>
      </c>
      <c r="Q631">
        <f t="shared" si="990"/>
        <v>22909620.906666685</v>
      </c>
      <c r="R631">
        <f t="shared" si="991"/>
        <v>-612243180.35985482</v>
      </c>
      <c r="S631">
        <f t="shared" si="992"/>
        <v>-6122.431803598548</v>
      </c>
      <c r="T631">
        <f t="shared" si="993"/>
        <v>-6.1224318035985483</v>
      </c>
    </row>
    <row r="632" spans="1:20" x14ac:dyDescent="0.25">
      <c r="A632" s="5">
        <v>43961</v>
      </c>
      <c r="B632">
        <v>2.4399999999999999E-3</v>
      </c>
      <c r="C632">
        <v>2.4399999999999999E-3</v>
      </c>
      <c r="D632">
        <v>2.032E-3</v>
      </c>
      <c r="E632">
        <v>2.153E-3</v>
      </c>
      <c r="F632">
        <v>27217183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-0.40686274509803905</v>
      </c>
      <c r="Q632">
        <f t="shared" si="990"/>
        <v>-11073657.789215682</v>
      </c>
      <c r="R632">
        <f t="shared" si="991"/>
        <v>-635152801.26652145</v>
      </c>
      <c r="S632">
        <f t="shared" si="992"/>
        <v>-6351.5280126652142</v>
      </c>
      <c r="T632">
        <f t="shared" si="993"/>
        <v>-6.3515280126652138</v>
      </c>
    </row>
    <row r="633" spans="1:20" x14ac:dyDescent="0.25">
      <c r="A633" s="5">
        <v>43960</v>
      </c>
      <c r="B633">
        <v>2.3449999999999999E-3</v>
      </c>
      <c r="C633">
        <v>2.5240000000000002E-3</v>
      </c>
      <c r="D633">
        <v>2.3449999999999999E-3</v>
      </c>
      <c r="E633">
        <v>2.447E-3</v>
      </c>
      <c r="F633">
        <v>39895156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0.13966480446927262</v>
      </c>
      <c r="Q633">
        <f t="shared" si="990"/>
        <v>5571949.1620111289</v>
      </c>
      <c r="R633">
        <f t="shared" si="991"/>
        <v>-624079143.47730577</v>
      </c>
      <c r="S633">
        <f t="shared" si="992"/>
        <v>-6240.7914347730575</v>
      </c>
      <c r="T633">
        <f t="shared" si="993"/>
        <v>-6.2407914347730573</v>
      </c>
    </row>
    <row r="634" spans="1:20" x14ac:dyDescent="0.25">
      <c r="A634" s="5">
        <v>43959</v>
      </c>
      <c r="B634">
        <v>2.163E-3</v>
      </c>
      <c r="C634">
        <v>2.3830000000000001E-3</v>
      </c>
      <c r="D634">
        <v>2.1120000000000002E-3</v>
      </c>
      <c r="E634">
        <v>2.3340000000000001E-3</v>
      </c>
      <c r="F634">
        <v>17677049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0.63837638376383765</v>
      </c>
      <c r="Q634">
        <f t="shared" si="990"/>
        <v>11284610.616236163</v>
      </c>
      <c r="R634">
        <f t="shared" si="991"/>
        <v>-629651092.63931692</v>
      </c>
      <c r="S634">
        <f t="shared" si="992"/>
        <v>-6296.510926393169</v>
      </c>
      <c r="T634">
        <f t="shared" si="993"/>
        <v>-6.2965109263931689</v>
      </c>
    </row>
    <row r="635" spans="1:20" x14ac:dyDescent="0.25">
      <c r="A635" s="5">
        <v>43958</v>
      </c>
      <c r="B635">
        <v>2.1059999999999998E-3</v>
      </c>
      <c r="C635">
        <v>2.176E-3</v>
      </c>
      <c r="D635">
        <v>2.1050000000000001E-3</v>
      </c>
      <c r="E635">
        <v>2.1649999999999998E-3</v>
      </c>
      <c r="F635">
        <v>11091188</v>
      </c>
      <c r="G635">
        <v>0</v>
      </c>
      <c r="L635" t="s">
        <v>8</v>
      </c>
      <c r="M635" t="s">
        <v>8</v>
      </c>
      <c r="N635" t="s">
        <v>7</v>
      </c>
      <c r="P635">
        <f t="shared" si="989"/>
        <v>0.69014084507041751</v>
      </c>
      <c r="Q635">
        <f t="shared" si="990"/>
        <v>7654481.8591548735</v>
      </c>
      <c r="R635">
        <f t="shared" si="991"/>
        <v>-640935703.25555313</v>
      </c>
      <c r="S635">
        <f t="shared" si="992"/>
        <v>-6409.3570325555311</v>
      </c>
      <c r="T635">
        <f t="shared" si="993"/>
        <v>-6.4093570325555307</v>
      </c>
    </row>
    <row r="636" spans="1:20" x14ac:dyDescent="0.25">
      <c r="A636" s="5">
        <v>43957</v>
      </c>
      <c r="B636">
        <v>2.127E-3</v>
      </c>
      <c r="C636">
        <v>2.2000000000000001E-3</v>
      </c>
      <c r="D636">
        <v>2.1029999999999998E-3</v>
      </c>
      <c r="E636">
        <v>2.1280000000000001E-3</v>
      </c>
      <c r="F636">
        <v>20196695</v>
      </c>
      <c r="G636">
        <v>0</v>
      </c>
      <c r="L636" t="s">
        <v>8</v>
      </c>
      <c r="M636" t="s">
        <v>8</v>
      </c>
      <c r="N636" t="s">
        <v>7</v>
      </c>
      <c r="P636">
        <f t="shared" si="989"/>
        <v>-0.48453608247422258</v>
      </c>
      <c r="Q636">
        <f t="shared" si="990"/>
        <v>-9786027.4742267188</v>
      </c>
      <c r="R636">
        <f t="shared" si="991"/>
        <v>-648590185.11470795</v>
      </c>
      <c r="S636">
        <f t="shared" si="992"/>
        <v>-6485.9018511470795</v>
      </c>
      <c r="T636">
        <f t="shared" si="993"/>
        <v>-6.4859018511470792</v>
      </c>
    </row>
    <row r="637" spans="1:20" x14ac:dyDescent="0.25">
      <c r="A637" s="5">
        <v>43956</v>
      </c>
      <c r="B637">
        <v>2.0560000000000001E-3</v>
      </c>
      <c r="C637">
        <v>2.1589999999999999E-3</v>
      </c>
      <c r="D637">
        <v>2.0349999999999999E-3</v>
      </c>
      <c r="E637">
        <v>2.1350000000000002E-3</v>
      </c>
      <c r="F637">
        <v>9330477</v>
      </c>
      <c r="G637">
        <v>0</v>
      </c>
      <c r="L637" t="s">
        <v>8</v>
      </c>
      <c r="M637" t="s">
        <v>8</v>
      </c>
      <c r="N637" t="s">
        <v>7</v>
      </c>
      <c r="P637">
        <f t="shared" si="989"/>
        <v>0.61290322580645618</v>
      </c>
      <c r="Q637">
        <f t="shared" si="990"/>
        <v>5718679.4516129456</v>
      </c>
      <c r="R637">
        <f t="shared" si="991"/>
        <v>-638804157.64048123</v>
      </c>
      <c r="S637">
        <f t="shared" si="992"/>
        <v>-6388.0415764048121</v>
      </c>
      <c r="T637">
        <f t="shared" si="993"/>
        <v>-6.3880415764048122</v>
      </c>
    </row>
    <row r="638" spans="1:20" x14ac:dyDescent="0.25">
      <c r="A638" s="5">
        <v>43955</v>
      </c>
      <c r="B638">
        <v>2.0899999999999998E-3</v>
      </c>
      <c r="C638">
        <v>2.117E-3</v>
      </c>
      <c r="D638">
        <v>1.9719999999999998E-3</v>
      </c>
      <c r="E638">
        <v>2.0530000000000001E-3</v>
      </c>
      <c r="F638">
        <v>16432985</v>
      </c>
      <c r="G638">
        <v>0</v>
      </c>
      <c r="L638" t="s">
        <v>7</v>
      </c>
      <c r="M638" t="s">
        <v>8</v>
      </c>
      <c r="N638" t="s">
        <v>7</v>
      </c>
      <c r="P638">
        <f t="shared" si="989"/>
        <v>0.1172413793103483</v>
      </c>
      <c r="Q638">
        <f t="shared" si="990"/>
        <v>1926625.8275862639</v>
      </c>
      <c r="R638">
        <f t="shared" si="991"/>
        <v>-644522837.09209418</v>
      </c>
      <c r="S638">
        <f t="shared" si="992"/>
        <v>-6445.2283709209414</v>
      </c>
      <c r="T638">
        <f t="shared" si="993"/>
        <v>-6.4452283709209413</v>
      </c>
    </row>
    <row r="639" spans="1:20" x14ac:dyDescent="0.25">
      <c r="A639" s="5">
        <v>43954</v>
      </c>
      <c r="B639">
        <v>2.1549999999999998E-3</v>
      </c>
      <c r="C639">
        <v>2.225E-3</v>
      </c>
      <c r="D639">
        <v>2.0560000000000001E-3</v>
      </c>
      <c r="E639">
        <v>2.0969999999999999E-3</v>
      </c>
      <c r="F639">
        <v>26458934</v>
      </c>
      <c r="G639">
        <v>0</v>
      </c>
      <c r="L639" t="s">
        <v>8</v>
      </c>
      <c r="M639" t="s">
        <v>8</v>
      </c>
      <c r="N639" t="s">
        <v>7</v>
      </c>
      <c r="P639">
        <f t="shared" si="989"/>
        <v>-0.51479289940828599</v>
      </c>
      <c r="Q639">
        <f t="shared" si="990"/>
        <v>-13620871.349112477</v>
      </c>
      <c r="R639">
        <f t="shared" si="991"/>
        <v>-646449462.91968048</v>
      </c>
      <c r="S639">
        <f t="shared" si="992"/>
        <v>-6464.4946291968045</v>
      </c>
      <c r="T639">
        <f t="shared" si="993"/>
        <v>-6.4644946291968042</v>
      </c>
    </row>
    <row r="640" spans="1:20" x14ac:dyDescent="0.25">
      <c r="A640" s="5">
        <v>43953</v>
      </c>
      <c r="B640">
        <v>2.0939999999999999E-3</v>
      </c>
      <c r="C640">
        <v>2.1949999999999999E-3</v>
      </c>
      <c r="D640">
        <v>2.049E-3</v>
      </c>
      <c r="E640">
        <v>2.147E-3</v>
      </c>
      <c r="F640">
        <v>21131318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0.34246575342465874</v>
      </c>
      <c r="Q640">
        <f t="shared" si="990"/>
        <v>7236752.7397260526</v>
      </c>
      <c r="R640">
        <f t="shared" si="991"/>
        <v>-632828591.57056797</v>
      </c>
      <c r="S640">
        <f t="shared" si="992"/>
        <v>-6328.2859157056801</v>
      </c>
      <c r="T640">
        <f t="shared" si="993"/>
        <v>-6.3282859157056803</v>
      </c>
    </row>
    <row r="641" spans="1:20" x14ac:dyDescent="0.25">
      <c r="A641" s="5">
        <v>43952</v>
      </c>
      <c r="B641">
        <v>1.951E-3</v>
      </c>
      <c r="C641">
        <v>2.1250000000000002E-3</v>
      </c>
      <c r="D641">
        <v>1.951E-3</v>
      </c>
      <c r="E641">
        <v>2.0769999999999999E-3</v>
      </c>
      <c r="F641">
        <v>14934392</v>
      </c>
      <c r="G641">
        <v>0</v>
      </c>
      <c r="L641" t="s">
        <v>8</v>
      </c>
      <c r="M641" t="s">
        <v>8</v>
      </c>
      <c r="N641" t="s">
        <v>7</v>
      </c>
      <c r="P641">
        <f t="shared" si="989"/>
        <v>0.44827586206896242</v>
      </c>
      <c r="Q641">
        <f t="shared" si="990"/>
        <v>6694727.4482758157</v>
      </c>
      <c r="R641">
        <f t="shared" si="991"/>
        <v>-640065344.31029403</v>
      </c>
      <c r="S641">
        <f t="shared" si="992"/>
        <v>-6400.6534431029404</v>
      </c>
      <c r="T641">
        <f t="shared" si="993"/>
        <v>-6.4006534431029403</v>
      </c>
    </row>
    <row r="642" spans="1:20" x14ac:dyDescent="0.25">
      <c r="A642" s="5">
        <v>43951</v>
      </c>
      <c r="B642">
        <v>2.0609999999999999E-3</v>
      </c>
      <c r="C642">
        <v>2.1670000000000001E-3</v>
      </c>
      <c r="D642">
        <v>1.9E-3</v>
      </c>
      <c r="E642">
        <v>1.9559999999999998E-3</v>
      </c>
      <c r="F642">
        <v>28729850</v>
      </c>
      <c r="G642">
        <v>0</v>
      </c>
      <c r="L642" t="s">
        <v>7</v>
      </c>
      <c r="M642" t="s">
        <v>8</v>
      </c>
      <c r="N642" t="s">
        <v>7</v>
      </c>
      <c r="P642">
        <f t="shared" si="989"/>
        <v>-0.5805243445692897</v>
      </c>
      <c r="Q642">
        <f t="shared" si="990"/>
        <v>-16678377.340824008</v>
      </c>
      <c r="R642">
        <f t="shared" si="991"/>
        <v>-646760071.75856984</v>
      </c>
      <c r="S642">
        <f t="shared" si="992"/>
        <v>-6467.6007175856985</v>
      </c>
      <c r="T642">
        <f t="shared" si="993"/>
        <v>-6.4676007175856984</v>
      </c>
    </row>
    <row r="643" spans="1:20" x14ac:dyDescent="0.25">
      <c r="A643" s="5">
        <v>43950</v>
      </c>
      <c r="B643">
        <v>1.9499999999999999E-3</v>
      </c>
      <c r="C643">
        <v>2.1640000000000001E-3</v>
      </c>
      <c r="D643">
        <v>1.934E-3</v>
      </c>
      <c r="E643">
        <v>2.0739999999999999E-3</v>
      </c>
      <c r="F643">
        <v>45767511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0.21739130434782461</v>
      </c>
      <c r="Q643">
        <f t="shared" si="990"/>
        <v>9949458.9130434114</v>
      </c>
      <c r="R643">
        <f t="shared" si="991"/>
        <v>-630081694.41774583</v>
      </c>
      <c r="S643">
        <f t="shared" si="992"/>
        <v>-6300.816944177458</v>
      </c>
      <c r="T643">
        <f t="shared" si="993"/>
        <v>-6.3008169441774582</v>
      </c>
    </row>
    <row r="644" spans="1:20" x14ac:dyDescent="0.25">
      <c r="A644" s="5">
        <v>43949</v>
      </c>
      <c r="B644">
        <v>1.9400000000000001E-3</v>
      </c>
      <c r="C644">
        <v>1.9789999999999999E-3</v>
      </c>
      <c r="D644">
        <v>1.887E-3</v>
      </c>
      <c r="E644">
        <v>1.936E-3</v>
      </c>
      <c r="F644">
        <v>10204793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6.5217391304349517E-2</v>
      </c>
      <c r="Q644">
        <f t="shared" si="990"/>
        <v>665529.97826088686</v>
      </c>
      <c r="R644">
        <f t="shared" si="991"/>
        <v>-640031153.33078921</v>
      </c>
      <c r="S644">
        <f t="shared" si="992"/>
        <v>-6400.3115333078922</v>
      </c>
      <c r="T644">
        <f t="shared" si="993"/>
        <v>-6.4003115333078924</v>
      </c>
    </row>
    <row r="645" spans="1:20" x14ac:dyDescent="0.25">
      <c r="A645" s="5">
        <v>43948</v>
      </c>
      <c r="B645">
        <v>2.0149999999999999E-3</v>
      </c>
      <c r="C645">
        <v>2.0860000000000002E-3</v>
      </c>
      <c r="D645">
        <v>1.874E-3</v>
      </c>
      <c r="E645">
        <v>1.9400000000000001E-3</v>
      </c>
      <c r="F645">
        <v>30458057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-0.37735849056603743</v>
      </c>
      <c r="Q645">
        <f t="shared" si="990"/>
        <v>-11493606.415094331</v>
      </c>
      <c r="R645">
        <f t="shared" si="991"/>
        <v>-640696683.30905008</v>
      </c>
      <c r="S645">
        <f t="shared" si="992"/>
        <v>-6406.9668330905006</v>
      </c>
      <c r="T645">
        <f t="shared" si="993"/>
        <v>-6.4069668330905003</v>
      </c>
    </row>
    <row r="646" spans="1:20" x14ac:dyDescent="0.25">
      <c r="A646" s="5">
        <v>43947</v>
      </c>
      <c r="B646">
        <v>1.9009999999999999E-3</v>
      </c>
      <c r="C646">
        <v>2.0219999999999999E-3</v>
      </c>
      <c r="D646">
        <v>1.882E-3</v>
      </c>
      <c r="E646">
        <v>2E-3</v>
      </c>
      <c r="F646">
        <v>37413435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0.68571428571428716</v>
      </c>
      <c r="Q646">
        <f t="shared" ref="Q646:Q709" si="995">F646*P646</f>
        <v>25654926.85714291</v>
      </c>
      <c r="R646">
        <f t="shared" ref="R646:R709" si="996">R647+Q646</f>
        <v>-629203076.89395571</v>
      </c>
      <c r="S646">
        <f t="shared" ref="S646:S709" si="997">R646/100000</f>
        <v>-6292.0307689395568</v>
      </c>
      <c r="T646">
        <f t="shared" ref="T646:T709" si="998">S646/1000</f>
        <v>-6.2920307689395569</v>
      </c>
    </row>
    <row r="647" spans="1:20" x14ac:dyDescent="0.25">
      <c r="A647" s="5">
        <v>43946</v>
      </c>
      <c r="B647">
        <v>1.8829999999999999E-3</v>
      </c>
      <c r="C647">
        <v>1.951E-3</v>
      </c>
      <c r="D647">
        <v>1.828E-3</v>
      </c>
      <c r="E647">
        <v>1.9009999999999999E-3</v>
      </c>
      <c r="F647">
        <v>18768758</v>
      </c>
      <c r="G647">
        <v>0</v>
      </c>
      <c r="L647" t="s">
        <v>7</v>
      </c>
      <c r="M647" t="s">
        <v>8</v>
      </c>
      <c r="N647" t="s">
        <v>7</v>
      </c>
      <c r="P647">
        <f t="shared" si="994"/>
        <v>0.18699186991869746</v>
      </c>
      <c r="Q647">
        <f t="shared" si="995"/>
        <v>3509605.1544715124</v>
      </c>
      <c r="R647">
        <f t="shared" si="996"/>
        <v>-654858003.75109863</v>
      </c>
      <c r="S647">
        <f t="shared" si="997"/>
        <v>-6548.5800375109866</v>
      </c>
      <c r="T647">
        <f t="shared" si="998"/>
        <v>-6.5485800375109866</v>
      </c>
    </row>
    <row r="648" spans="1:20" x14ac:dyDescent="0.25">
      <c r="A648" s="5">
        <v>43945</v>
      </c>
      <c r="B648">
        <v>1.7520000000000001E-3</v>
      </c>
      <c r="C648">
        <v>2.0590000000000001E-3</v>
      </c>
      <c r="D648">
        <v>1.7440000000000001E-3</v>
      </c>
      <c r="E648">
        <v>1.89E-3</v>
      </c>
      <c r="F648">
        <v>19832115</v>
      </c>
      <c r="G648">
        <v>0</v>
      </c>
      <c r="L648" t="s">
        <v>8</v>
      </c>
      <c r="M648" t="s">
        <v>8</v>
      </c>
      <c r="N648" t="s">
        <v>7</v>
      </c>
      <c r="P648">
        <f t="shared" si="994"/>
        <v>-7.301587301587377E-2</v>
      </c>
      <c r="Q648">
        <f t="shared" si="995"/>
        <v>-1448059.1904762054</v>
      </c>
      <c r="R648">
        <f t="shared" si="996"/>
        <v>-658367608.90557015</v>
      </c>
      <c r="S648">
        <f t="shared" si="997"/>
        <v>-6583.6760890557016</v>
      </c>
      <c r="T648">
        <f t="shared" si="998"/>
        <v>-6.583676089055702</v>
      </c>
    </row>
    <row r="649" spans="1:20" x14ac:dyDescent="0.25">
      <c r="A649" s="5">
        <v>43944</v>
      </c>
      <c r="B649">
        <v>1.7489999999999999E-3</v>
      </c>
      <c r="C649">
        <v>1.8550000000000001E-3</v>
      </c>
      <c r="D649">
        <v>1.688E-3</v>
      </c>
      <c r="E649">
        <v>1.7520000000000001E-3</v>
      </c>
      <c r="F649">
        <v>18176474</v>
      </c>
      <c r="G649">
        <v>0</v>
      </c>
      <c r="L649" t="s">
        <v>8</v>
      </c>
      <c r="M649" t="s">
        <v>8</v>
      </c>
      <c r="N649" t="s">
        <v>7</v>
      </c>
      <c r="P649">
        <f t="shared" si="994"/>
        <v>-0.23353293413173629</v>
      </c>
      <c r="Q649">
        <f t="shared" si="995"/>
        <v>-4244805.3053892171</v>
      </c>
      <c r="R649">
        <f t="shared" si="996"/>
        <v>-656919549.71509397</v>
      </c>
      <c r="S649">
        <f t="shared" si="997"/>
        <v>-6569.1954971509394</v>
      </c>
      <c r="T649">
        <f t="shared" si="998"/>
        <v>-6.5691954971509396</v>
      </c>
    </row>
    <row r="650" spans="1:20" x14ac:dyDescent="0.25">
      <c r="A650" s="5">
        <v>43943</v>
      </c>
      <c r="B650">
        <v>1.7420000000000001E-3</v>
      </c>
      <c r="C650">
        <v>1.763E-3</v>
      </c>
      <c r="D650">
        <v>1.6440000000000001E-3</v>
      </c>
      <c r="E650">
        <v>1.755E-3</v>
      </c>
      <c r="F650">
        <v>20796417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0.86554621848739532</v>
      </c>
      <c r="Q650">
        <f t="shared" si="995"/>
        <v>18000260.092436984</v>
      </c>
      <c r="R650">
        <f t="shared" si="996"/>
        <v>-652674744.4097048</v>
      </c>
      <c r="S650">
        <f t="shared" si="997"/>
        <v>-6526.7474440970482</v>
      </c>
      <c r="T650">
        <f t="shared" si="998"/>
        <v>-6.5267474440970483</v>
      </c>
    </row>
    <row r="651" spans="1:20" x14ac:dyDescent="0.25">
      <c r="A651" s="5">
        <v>43942</v>
      </c>
      <c r="B651">
        <v>1.673E-3</v>
      </c>
      <c r="C651">
        <v>1.769E-3</v>
      </c>
      <c r="D651">
        <v>1.627E-3</v>
      </c>
      <c r="E651">
        <v>1.75E-3</v>
      </c>
      <c r="F651">
        <v>13168667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0.73239436619718423</v>
      </c>
      <c r="Q651">
        <f t="shared" si="995"/>
        <v>9644657.5211267751</v>
      </c>
      <c r="R651">
        <f t="shared" si="996"/>
        <v>-670675004.50214183</v>
      </c>
      <c r="S651">
        <f t="shared" si="997"/>
        <v>-6706.7500450214184</v>
      </c>
      <c r="T651">
        <f t="shared" si="998"/>
        <v>-6.7067500450214181</v>
      </c>
    </row>
    <row r="652" spans="1:20" x14ac:dyDescent="0.25">
      <c r="A652" s="5">
        <v>43941</v>
      </c>
      <c r="B652">
        <v>1.7359999999999999E-3</v>
      </c>
      <c r="C652">
        <v>1.802E-3</v>
      </c>
      <c r="D652">
        <v>1.6459999999999999E-3</v>
      </c>
      <c r="E652">
        <v>1.6639999999999999E-3</v>
      </c>
      <c r="F652">
        <v>9579975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-0.76923076923076938</v>
      </c>
      <c r="Q652">
        <f t="shared" si="995"/>
        <v>-7369211.5384615399</v>
      </c>
      <c r="R652">
        <f t="shared" si="996"/>
        <v>-680319662.02326858</v>
      </c>
      <c r="S652">
        <f t="shared" si="997"/>
        <v>-6803.1966202326857</v>
      </c>
      <c r="T652">
        <f t="shared" si="998"/>
        <v>-6.8031966202326855</v>
      </c>
    </row>
    <row r="653" spans="1:20" x14ac:dyDescent="0.25">
      <c r="A653" s="5">
        <v>43940</v>
      </c>
      <c r="B653">
        <v>1.836E-3</v>
      </c>
      <c r="C653">
        <v>1.836E-3</v>
      </c>
      <c r="D653">
        <v>1.725E-3</v>
      </c>
      <c r="E653">
        <v>1.766E-3</v>
      </c>
      <c r="F653">
        <v>8317670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-0.26126126126126081</v>
      </c>
      <c r="Q653">
        <f t="shared" si="995"/>
        <v>-2173084.9549549511</v>
      </c>
      <c r="R653">
        <f t="shared" si="996"/>
        <v>-672950450.48480701</v>
      </c>
      <c r="S653">
        <f t="shared" si="997"/>
        <v>-6729.5045048480697</v>
      </c>
      <c r="T653">
        <f t="shared" si="998"/>
        <v>-6.7295045048480695</v>
      </c>
    </row>
    <row r="654" spans="1:20" x14ac:dyDescent="0.25">
      <c r="A654" s="5">
        <v>43939</v>
      </c>
      <c r="B654">
        <v>1.7719999999999999E-3</v>
      </c>
      <c r="C654">
        <v>1.8389999999999999E-3</v>
      </c>
      <c r="D654">
        <v>1.761E-3</v>
      </c>
      <c r="E654">
        <v>1.825E-3</v>
      </c>
      <c r="F654">
        <v>13514627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0.64102564102564319</v>
      </c>
      <c r="Q654">
        <f t="shared" si="995"/>
        <v>8663222.4358974658</v>
      </c>
      <c r="R654">
        <f t="shared" si="996"/>
        <v>-670777365.52985203</v>
      </c>
      <c r="S654">
        <f t="shared" si="997"/>
        <v>-6707.7736552985207</v>
      </c>
      <c r="T654">
        <f t="shared" si="998"/>
        <v>-6.7077736552985208</v>
      </c>
    </row>
    <row r="655" spans="1:20" x14ac:dyDescent="0.25">
      <c r="A655" s="5">
        <v>43938</v>
      </c>
      <c r="B655">
        <v>1.7910000000000001E-3</v>
      </c>
      <c r="C655">
        <v>1.8029999999999999E-3</v>
      </c>
      <c r="D655">
        <v>1.7129999999999999E-3</v>
      </c>
      <c r="E655">
        <v>1.784E-3</v>
      </c>
      <c r="F655">
        <v>11779823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0.57777777777777961</v>
      </c>
      <c r="Q655">
        <f t="shared" si="995"/>
        <v>6806119.9555555768</v>
      </c>
      <c r="R655">
        <f t="shared" si="996"/>
        <v>-679440587.9657495</v>
      </c>
      <c r="S655">
        <f t="shared" si="997"/>
        <v>-6794.4058796574955</v>
      </c>
      <c r="T655">
        <f t="shared" si="998"/>
        <v>-6.7944058796574955</v>
      </c>
    </row>
    <row r="656" spans="1:20" x14ac:dyDescent="0.25">
      <c r="A656" s="5">
        <v>43937</v>
      </c>
      <c r="B656">
        <v>1.611E-3</v>
      </c>
      <c r="C656">
        <v>1.805E-3</v>
      </c>
      <c r="D656">
        <v>1.601E-3</v>
      </c>
      <c r="E656">
        <v>1.794E-3</v>
      </c>
      <c r="F656">
        <v>20227302</v>
      </c>
      <c r="G656">
        <v>0</v>
      </c>
      <c r="L656" t="s">
        <v>8</v>
      </c>
      <c r="M656" t="s">
        <v>7</v>
      </c>
      <c r="N656" t="s">
        <v>7</v>
      </c>
      <c r="P656">
        <f t="shared" si="994"/>
        <v>0.89215686274509864</v>
      </c>
      <c r="Q656">
        <f t="shared" si="995"/>
        <v>18045926.294117659</v>
      </c>
      <c r="R656">
        <f t="shared" si="996"/>
        <v>-686246707.92130506</v>
      </c>
      <c r="S656">
        <f t="shared" si="997"/>
        <v>-6862.467079213051</v>
      </c>
      <c r="T656">
        <f t="shared" si="998"/>
        <v>-6.8624670792130509</v>
      </c>
    </row>
    <row r="657" spans="1:20" x14ac:dyDescent="0.25">
      <c r="A657" s="5">
        <v>43936</v>
      </c>
      <c r="B657">
        <v>1.619E-3</v>
      </c>
      <c r="C657">
        <v>1.691E-3</v>
      </c>
      <c r="D657">
        <v>1.536E-3</v>
      </c>
      <c r="E657">
        <v>1.6119999999999999E-3</v>
      </c>
      <c r="F657">
        <v>17151949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-1.9354838709678593E-2</v>
      </c>
      <c r="Q657">
        <f t="shared" si="995"/>
        <v>-331973.20645163301</v>
      </c>
      <c r="R657">
        <f t="shared" si="996"/>
        <v>-704292634.21542275</v>
      </c>
      <c r="S657">
        <f t="shared" si="997"/>
        <v>-7042.9263421542273</v>
      </c>
      <c r="T657">
        <f t="shared" si="998"/>
        <v>-7.0429263421542272</v>
      </c>
    </row>
    <row r="658" spans="1:20" x14ac:dyDescent="0.25">
      <c r="A658" s="5">
        <v>43935</v>
      </c>
      <c r="B658">
        <v>1.6000000000000001E-3</v>
      </c>
      <c r="C658">
        <v>1.7110000000000001E-3</v>
      </c>
      <c r="D658">
        <v>1.5790000000000001E-3</v>
      </c>
      <c r="E658">
        <v>1.614E-3</v>
      </c>
      <c r="F658">
        <v>16347832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-0.46969696969697139</v>
      </c>
      <c r="Q658">
        <f t="shared" si="995"/>
        <v>-7678527.1515151793</v>
      </c>
      <c r="R658">
        <f t="shared" si="996"/>
        <v>-703960661.0089711</v>
      </c>
      <c r="S658">
        <f t="shared" si="997"/>
        <v>-7039.6066100897106</v>
      </c>
      <c r="T658">
        <f t="shared" si="998"/>
        <v>-7.0396066100897103</v>
      </c>
    </row>
    <row r="659" spans="1:20" x14ac:dyDescent="0.25">
      <c r="A659" s="5">
        <v>43934</v>
      </c>
      <c r="B659">
        <v>1.6750000000000001E-3</v>
      </c>
      <c r="C659">
        <v>1.6750000000000001E-3</v>
      </c>
      <c r="D659">
        <v>1.5510000000000001E-3</v>
      </c>
      <c r="E659">
        <v>1.619E-3</v>
      </c>
      <c r="F659">
        <v>16679663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9.677419354838597E-2</v>
      </c>
      <c r="Q659">
        <f t="shared" si="995"/>
        <v>1614160.9354838522</v>
      </c>
      <c r="R659">
        <f t="shared" si="996"/>
        <v>-696282133.85745597</v>
      </c>
      <c r="S659">
        <f t="shared" si="997"/>
        <v>-6962.8213385745594</v>
      </c>
      <c r="T659">
        <f t="shared" si="998"/>
        <v>-6.9628213385745594</v>
      </c>
    </row>
    <row r="660" spans="1:20" x14ac:dyDescent="0.25">
      <c r="A660" s="5">
        <v>43933</v>
      </c>
      <c r="B660">
        <v>1.665E-3</v>
      </c>
      <c r="C660">
        <v>1.7329999999999999E-3</v>
      </c>
      <c r="D660">
        <v>1.652E-3</v>
      </c>
      <c r="E660">
        <v>1.6750000000000001E-3</v>
      </c>
      <c r="F660">
        <v>10462527</v>
      </c>
      <c r="G660">
        <v>0</v>
      </c>
      <c r="L660" t="s">
        <v>7</v>
      </c>
      <c r="M660" t="s">
        <v>7</v>
      </c>
      <c r="N660" t="s">
        <v>7</v>
      </c>
      <c r="P660">
        <f t="shared" si="994"/>
        <v>-0.43209876543209769</v>
      </c>
      <c r="Q660">
        <f t="shared" si="995"/>
        <v>-4520844.9999999888</v>
      </c>
      <c r="R660">
        <f t="shared" si="996"/>
        <v>-697896294.79293978</v>
      </c>
      <c r="S660">
        <f t="shared" si="997"/>
        <v>-6978.9629479293981</v>
      </c>
      <c r="T660">
        <f t="shared" si="998"/>
        <v>-6.9789629479293982</v>
      </c>
    </row>
    <row r="661" spans="1:20" x14ac:dyDescent="0.25">
      <c r="A661" s="5">
        <v>43932</v>
      </c>
      <c r="B661">
        <v>1.6800000000000001E-3</v>
      </c>
      <c r="C661">
        <v>1.701E-3</v>
      </c>
      <c r="D661">
        <v>1.621E-3</v>
      </c>
      <c r="E661">
        <v>1.65E-3</v>
      </c>
      <c r="F661">
        <v>16624563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-0.2750000000000013</v>
      </c>
      <c r="Q661">
        <f t="shared" si="995"/>
        <v>-4571754.8250000216</v>
      </c>
      <c r="R661">
        <f t="shared" si="996"/>
        <v>-693375449.79293978</v>
      </c>
      <c r="S661">
        <f t="shared" si="997"/>
        <v>-6933.754497929398</v>
      </c>
      <c r="T661">
        <f t="shared" si="998"/>
        <v>-6.9337544979293977</v>
      </c>
    </row>
    <row r="662" spans="1:20" x14ac:dyDescent="0.25">
      <c r="A662" s="5">
        <v>43931</v>
      </c>
      <c r="B662">
        <v>1.807E-3</v>
      </c>
      <c r="C662">
        <v>1.815E-3</v>
      </c>
      <c r="D662">
        <v>1.6310000000000001E-3</v>
      </c>
      <c r="E662">
        <v>1.6789999999999999E-3</v>
      </c>
      <c r="F662">
        <v>18008160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-0.47826086956521863</v>
      </c>
      <c r="Q662">
        <f t="shared" si="995"/>
        <v>-8612598.2608695868</v>
      </c>
      <c r="R662">
        <f t="shared" si="996"/>
        <v>-688803694.96793973</v>
      </c>
      <c r="S662">
        <f t="shared" si="997"/>
        <v>-6888.0369496793974</v>
      </c>
      <c r="T662">
        <f t="shared" si="998"/>
        <v>-6.8880369496793969</v>
      </c>
    </row>
    <row r="663" spans="1:20" x14ac:dyDescent="0.25">
      <c r="A663" s="5">
        <v>43930</v>
      </c>
      <c r="B663">
        <v>1.846E-3</v>
      </c>
      <c r="C663">
        <v>1.8710000000000001E-3</v>
      </c>
      <c r="D663">
        <v>1.751E-3</v>
      </c>
      <c r="E663">
        <v>1.817E-3</v>
      </c>
      <c r="F663">
        <v>21927138</v>
      </c>
      <c r="G663">
        <v>0</v>
      </c>
      <c r="L663" t="s">
        <v>7</v>
      </c>
      <c r="M663" t="s">
        <v>7</v>
      </c>
      <c r="N663" t="s">
        <v>7</v>
      </c>
      <c r="P663">
        <f t="shared" si="994"/>
        <v>0.10000000000000055</v>
      </c>
      <c r="Q663">
        <f t="shared" si="995"/>
        <v>2192713.8000000119</v>
      </c>
      <c r="R663">
        <f t="shared" si="996"/>
        <v>-680191096.70707011</v>
      </c>
      <c r="S663">
        <f t="shared" si="997"/>
        <v>-6801.9109670707012</v>
      </c>
      <c r="T663">
        <f t="shared" si="998"/>
        <v>-6.8019109670707012</v>
      </c>
    </row>
    <row r="664" spans="1:20" x14ac:dyDescent="0.25">
      <c r="A664" s="5">
        <v>43929</v>
      </c>
      <c r="B664">
        <v>1.766E-3</v>
      </c>
      <c r="C664">
        <v>1.9E-3</v>
      </c>
      <c r="D664">
        <v>1.766E-3</v>
      </c>
      <c r="E664">
        <v>1.8469999999999999E-3</v>
      </c>
      <c r="F664">
        <v>33309322</v>
      </c>
      <c r="G664">
        <v>0</v>
      </c>
      <c r="L664" t="s">
        <v>8</v>
      </c>
      <c r="M664" t="s">
        <v>7</v>
      </c>
      <c r="N664" t="s">
        <v>7</v>
      </c>
      <c r="P664">
        <f t="shared" si="994"/>
        <v>0.20895522388059562</v>
      </c>
      <c r="Q664">
        <f t="shared" si="995"/>
        <v>6960156.8358208491</v>
      </c>
      <c r="R664">
        <f t="shared" si="996"/>
        <v>-682383810.50707006</v>
      </c>
      <c r="S664">
        <f t="shared" si="997"/>
        <v>-6823.8381050707003</v>
      </c>
      <c r="T664">
        <f t="shared" si="998"/>
        <v>-6.8238381050707</v>
      </c>
    </row>
    <row r="665" spans="1:20" x14ac:dyDescent="0.25">
      <c r="A665" s="5">
        <v>43928</v>
      </c>
      <c r="B665">
        <v>1.7489999999999999E-3</v>
      </c>
      <c r="C665">
        <v>1.8489999999999999E-3</v>
      </c>
      <c r="D665">
        <v>1.6900000000000001E-3</v>
      </c>
      <c r="E665">
        <v>1.7769999999999999E-3</v>
      </c>
      <c r="F665">
        <v>63430519</v>
      </c>
      <c r="G665">
        <v>0</v>
      </c>
      <c r="L665" t="s">
        <v>8</v>
      </c>
      <c r="M665" t="s">
        <v>7</v>
      </c>
      <c r="N665" t="s">
        <v>7</v>
      </c>
      <c r="P665">
        <f t="shared" si="994"/>
        <v>9.43396226415084E-2</v>
      </c>
      <c r="Q665">
        <f t="shared" si="995"/>
        <v>5984011.2264150288</v>
      </c>
      <c r="R665">
        <f t="shared" si="996"/>
        <v>-689343967.34289086</v>
      </c>
      <c r="S665">
        <f t="shared" si="997"/>
        <v>-6893.4396734289085</v>
      </c>
      <c r="T665">
        <f t="shared" si="998"/>
        <v>-6.8934396734289081</v>
      </c>
    </row>
    <row r="666" spans="1:20" x14ac:dyDescent="0.25">
      <c r="A666" s="5">
        <v>43927</v>
      </c>
      <c r="B666">
        <v>1.6590000000000001E-3</v>
      </c>
      <c r="C666">
        <v>1.7669999999999999E-3</v>
      </c>
      <c r="D666">
        <v>1.6479999999999999E-3</v>
      </c>
      <c r="E666">
        <v>1.751E-3</v>
      </c>
      <c r="F666">
        <v>55471423</v>
      </c>
      <c r="G666">
        <v>0</v>
      </c>
      <c r="L666" t="s">
        <v>8</v>
      </c>
      <c r="M666" t="s">
        <v>7</v>
      </c>
      <c r="N666" t="s">
        <v>7</v>
      </c>
      <c r="P666">
        <f t="shared" si="994"/>
        <v>0.73109243697479054</v>
      </c>
      <c r="Q666">
        <f t="shared" si="995"/>
        <v>40554737.823529445</v>
      </c>
      <c r="R666">
        <f t="shared" si="996"/>
        <v>-695327978.5693059</v>
      </c>
      <c r="S666">
        <f t="shared" si="997"/>
        <v>-6953.2797856930592</v>
      </c>
      <c r="T666">
        <f t="shared" si="998"/>
        <v>-6.9532797856930593</v>
      </c>
    </row>
    <row r="667" spans="1:20" x14ac:dyDescent="0.25">
      <c r="A667" s="5">
        <v>43926</v>
      </c>
      <c r="B667">
        <v>1.7030000000000001E-3</v>
      </c>
      <c r="C667">
        <v>1.7240000000000001E-3</v>
      </c>
      <c r="D667">
        <v>1.6509999999999999E-3</v>
      </c>
      <c r="E667">
        <v>1.6509999999999999E-3</v>
      </c>
      <c r="F667">
        <v>16798500</v>
      </c>
      <c r="G667">
        <v>0</v>
      </c>
      <c r="L667" t="s">
        <v>8</v>
      </c>
      <c r="M667" t="s">
        <v>7</v>
      </c>
      <c r="N667" t="s">
        <v>7</v>
      </c>
      <c r="P667">
        <f t="shared" si="994"/>
        <v>-1</v>
      </c>
      <c r="Q667">
        <f t="shared" si="995"/>
        <v>-16798500</v>
      </c>
      <c r="R667">
        <f t="shared" si="996"/>
        <v>-735882716.39283538</v>
      </c>
      <c r="S667">
        <f t="shared" si="997"/>
        <v>-7358.8271639283539</v>
      </c>
      <c r="T667">
        <f t="shared" si="998"/>
        <v>-7.3588271639283542</v>
      </c>
    </row>
    <row r="668" spans="1:20" x14ac:dyDescent="0.25">
      <c r="A668" s="5">
        <v>43925</v>
      </c>
      <c r="B668">
        <v>1.6949999999999999E-3</v>
      </c>
      <c r="C668">
        <v>1.7390000000000001E-3</v>
      </c>
      <c r="D668">
        <v>1.678E-3</v>
      </c>
      <c r="E668">
        <v>1.7030000000000001E-3</v>
      </c>
      <c r="F668">
        <v>11116927</v>
      </c>
      <c r="G668">
        <v>0</v>
      </c>
      <c r="L668" t="s">
        <v>8</v>
      </c>
      <c r="M668" t="s">
        <v>7</v>
      </c>
      <c r="N668" t="s">
        <v>7</v>
      </c>
      <c r="P668">
        <f t="shared" si="994"/>
        <v>-0.18032786885245786</v>
      </c>
      <c r="Q668">
        <f t="shared" si="995"/>
        <v>-2004691.7540983479</v>
      </c>
      <c r="R668">
        <f t="shared" si="996"/>
        <v>-719084216.39283538</v>
      </c>
      <c r="S668">
        <f t="shared" si="997"/>
        <v>-7190.8421639283542</v>
      </c>
      <c r="T668">
        <f t="shared" si="998"/>
        <v>-7.1908421639283544</v>
      </c>
    </row>
    <row r="669" spans="1:20" x14ac:dyDescent="0.25">
      <c r="A669" s="5">
        <v>43924</v>
      </c>
      <c r="B669">
        <v>1.67E-3</v>
      </c>
      <c r="C669">
        <v>1.7099999999999999E-3</v>
      </c>
      <c r="D669">
        <v>1.6360000000000001E-3</v>
      </c>
      <c r="E669">
        <v>1.676E-3</v>
      </c>
      <c r="F669">
        <v>31276774</v>
      </c>
      <c r="G669">
        <v>0</v>
      </c>
      <c r="L669" t="s">
        <v>8</v>
      </c>
      <c r="M669" t="s">
        <v>7</v>
      </c>
      <c r="N669" t="s">
        <v>7</v>
      </c>
      <c r="P669">
        <f t="shared" si="994"/>
        <v>8.1081081081080295E-2</v>
      </c>
      <c r="Q669">
        <f t="shared" si="995"/>
        <v>2535954.6486486238</v>
      </c>
      <c r="R669">
        <f t="shared" si="996"/>
        <v>-717079524.63873708</v>
      </c>
      <c r="S669">
        <f t="shared" si="997"/>
        <v>-7170.7952463873708</v>
      </c>
      <c r="T669">
        <f t="shared" si="998"/>
        <v>-7.170795246387371</v>
      </c>
    </row>
    <row r="670" spans="1:20" x14ac:dyDescent="0.25">
      <c r="A670" s="5">
        <v>43923</v>
      </c>
      <c r="B670">
        <v>1.702E-3</v>
      </c>
      <c r="C670">
        <v>1.74E-3</v>
      </c>
      <c r="D670">
        <v>1.6299999999999999E-3</v>
      </c>
      <c r="E670">
        <v>1.6720000000000001E-3</v>
      </c>
      <c r="F670">
        <v>68264567</v>
      </c>
      <c r="G670">
        <v>0</v>
      </c>
      <c r="L670" t="s">
        <v>8</v>
      </c>
      <c r="M670" t="s">
        <v>7</v>
      </c>
      <c r="N670" t="s">
        <v>7</v>
      </c>
      <c r="P670">
        <f t="shared" si="994"/>
        <v>-0.23636363636363408</v>
      </c>
      <c r="Q670">
        <f t="shared" si="995"/>
        <v>-16135261.290908935</v>
      </c>
      <c r="R670">
        <f t="shared" si="996"/>
        <v>-719615479.2873857</v>
      </c>
      <c r="S670">
        <f t="shared" si="997"/>
        <v>-7196.1547928738573</v>
      </c>
      <c r="T670">
        <f t="shared" si="998"/>
        <v>-7.1961547928738572</v>
      </c>
    </row>
    <row r="671" spans="1:20" x14ac:dyDescent="0.25">
      <c r="A671" s="5">
        <v>43922</v>
      </c>
      <c r="B671">
        <v>1.6659999999999999E-3</v>
      </c>
      <c r="C671">
        <v>1.7049999999999999E-3</v>
      </c>
      <c r="D671">
        <v>1.598E-3</v>
      </c>
      <c r="E671">
        <v>1.6900000000000001E-3</v>
      </c>
      <c r="F671">
        <v>73136685</v>
      </c>
      <c r="G671">
        <v>0</v>
      </c>
      <c r="L671" t="s">
        <v>7</v>
      </c>
      <c r="M671" t="s">
        <v>7</v>
      </c>
      <c r="N671" t="s">
        <v>7</v>
      </c>
      <c r="P671">
        <f t="shared" si="994"/>
        <v>0.71962616822430214</v>
      </c>
      <c r="Q671">
        <f t="shared" si="995"/>
        <v>52631072.383177795</v>
      </c>
      <c r="R671">
        <f t="shared" si="996"/>
        <v>-703480217.99647677</v>
      </c>
      <c r="S671">
        <f t="shared" si="997"/>
        <v>-7034.8021799647677</v>
      </c>
      <c r="T671">
        <f t="shared" si="998"/>
        <v>-7.0348021799647675</v>
      </c>
    </row>
    <row r="672" spans="1:20" x14ac:dyDescent="0.25">
      <c r="A672" s="5">
        <v>43921</v>
      </c>
      <c r="B672">
        <v>1.7589999999999999E-3</v>
      </c>
      <c r="C672">
        <v>1.7750000000000001E-3</v>
      </c>
      <c r="D672">
        <v>1.655E-3</v>
      </c>
      <c r="E672">
        <v>1.6659999999999999E-3</v>
      </c>
      <c r="F672">
        <v>143206043</v>
      </c>
      <c r="G672">
        <v>0</v>
      </c>
      <c r="L672" t="s">
        <v>7</v>
      </c>
      <c r="M672" t="s">
        <v>7</v>
      </c>
      <c r="N672" t="s">
        <v>7</v>
      </c>
      <c r="P672">
        <f t="shared" si="994"/>
        <v>-0.81666666666666776</v>
      </c>
      <c r="Q672">
        <f t="shared" si="995"/>
        <v>-116951601.7833335</v>
      </c>
      <c r="R672">
        <f t="shared" si="996"/>
        <v>-756111290.37965453</v>
      </c>
      <c r="S672">
        <f t="shared" si="997"/>
        <v>-7561.1129037965457</v>
      </c>
      <c r="T672">
        <f t="shared" si="998"/>
        <v>-7.5611129037965457</v>
      </c>
    </row>
    <row r="673" spans="1:20" x14ac:dyDescent="0.25">
      <c r="A673" s="5">
        <v>43920</v>
      </c>
      <c r="B673">
        <v>1.774E-3</v>
      </c>
      <c r="C673">
        <v>1.9449999999999999E-3</v>
      </c>
      <c r="D673">
        <v>1.7459999999999999E-3</v>
      </c>
      <c r="E673">
        <v>1.774E-3</v>
      </c>
      <c r="F673">
        <v>24881671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-0.71859296482412027</v>
      </c>
      <c r="Q673">
        <f t="shared" si="995"/>
        <v>-17879793.733668335</v>
      </c>
      <c r="R673">
        <f t="shared" si="996"/>
        <v>-639159688.59632099</v>
      </c>
      <c r="S673">
        <f t="shared" si="997"/>
        <v>-6391.5968859632103</v>
      </c>
      <c r="T673">
        <f t="shared" si="998"/>
        <v>-6.3915968859632102</v>
      </c>
    </row>
    <row r="674" spans="1:20" x14ac:dyDescent="0.25">
      <c r="A674" s="5">
        <v>43919</v>
      </c>
      <c r="B674">
        <v>1.9449999999999999E-3</v>
      </c>
      <c r="C674">
        <v>1.9449999999999999E-3</v>
      </c>
      <c r="D674">
        <v>1.768E-3</v>
      </c>
      <c r="E674">
        <v>1.771E-3</v>
      </c>
      <c r="F674">
        <v>6955265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-0.96610169491525466</v>
      </c>
      <c r="Q674">
        <f t="shared" si="995"/>
        <v>-6719493.3050847491</v>
      </c>
      <c r="R674">
        <f t="shared" si="996"/>
        <v>-621279894.86265266</v>
      </c>
      <c r="S674">
        <f t="shared" si="997"/>
        <v>-6212.7989486265269</v>
      </c>
      <c r="T674">
        <f t="shared" si="998"/>
        <v>-6.2127989486265269</v>
      </c>
    </row>
    <row r="675" spans="1:20" x14ac:dyDescent="0.25">
      <c r="A675" s="5">
        <v>43918</v>
      </c>
      <c r="B675">
        <v>1.905E-3</v>
      </c>
      <c r="C675">
        <v>1.9680000000000001E-3</v>
      </c>
      <c r="D675">
        <v>1.8010000000000001E-3</v>
      </c>
      <c r="E675">
        <v>1.9449999999999999E-3</v>
      </c>
      <c r="F675">
        <v>6960750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0.72455089820359009</v>
      </c>
      <c r="Q675">
        <f t="shared" si="995"/>
        <v>5043417.6646706397</v>
      </c>
      <c r="R675">
        <f t="shared" si="996"/>
        <v>-614560401.55756795</v>
      </c>
      <c r="S675">
        <f t="shared" si="997"/>
        <v>-6145.6040155756791</v>
      </c>
      <c r="T675">
        <f t="shared" si="998"/>
        <v>-6.145604015575679</v>
      </c>
    </row>
    <row r="676" spans="1:20" x14ac:dyDescent="0.25">
      <c r="A676" s="5">
        <v>43917</v>
      </c>
      <c r="B676">
        <v>2.0609999999999999E-3</v>
      </c>
      <c r="C676">
        <v>2.124E-3</v>
      </c>
      <c r="D676">
        <v>1.872E-3</v>
      </c>
      <c r="E676">
        <v>1.9449999999999999E-3</v>
      </c>
      <c r="F676">
        <v>10565349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-0.42063492063492131</v>
      </c>
      <c r="Q676">
        <f t="shared" si="995"/>
        <v>-4444154.7380952453</v>
      </c>
      <c r="R676">
        <f t="shared" si="996"/>
        <v>-619603819.22223854</v>
      </c>
      <c r="S676">
        <f t="shared" si="997"/>
        <v>-6196.0381922223851</v>
      </c>
      <c r="T676">
        <f t="shared" si="998"/>
        <v>-6.1960381922223853</v>
      </c>
    </row>
    <row r="677" spans="1:20" x14ac:dyDescent="0.25">
      <c r="A677" s="5">
        <v>43916</v>
      </c>
      <c r="B677">
        <v>2.013E-3</v>
      </c>
      <c r="C677">
        <v>2.2629999999999998E-3</v>
      </c>
      <c r="D677">
        <v>1.939E-3</v>
      </c>
      <c r="E677">
        <v>2.055E-3</v>
      </c>
      <c r="F677">
        <v>21310173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-0.28395061728395027</v>
      </c>
      <c r="Q677">
        <f t="shared" si="995"/>
        <v>-6051036.7777777705</v>
      </c>
      <c r="R677">
        <f t="shared" si="996"/>
        <v>-615159664.48414326</v>
      </c>
      <c r="S677">
        <f t="shared" si="997"/>
        <v>-6151.5966448414329</v>
      </c>
      <c r="T677">
        <f t="shared" si="998"/>
        <v>-6.1515966448414332</v>
      </c>
    </row>
    <row r="678" spans="1:20" x14ac:dyDescent="0.25">
      <c r="A678" s="5">
        <v>43915</v>
      </c>
      <c r="B678">
        <v>2.0179999999999998E-3</v>
      </c>
      <c r="C678">
        <v>2.026E-3</v>
      </c>
      <c r="D678">
        <v>1.859E-3</v>
      </c>
      <c r="E678">
        <v>2.0100000000000001E-3</v>
      </c>
      <c r="F678">
        <v>14228586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0.80838323353293473</v>
      </c>
      <c r="Q678">
        <f t="shared" si="995"/>
        <v>11502150.359281445</v>
      </c>
      <c r="R678">
        <f t="shared" si="996"/>
        <v>-609108627.70636547</v>
      </c>
      <c r="S678">
        <f t="shared" si="997"/>
        <v>-6091.086277063655</v>
      </c>
      <c r="T678">
        <f t="shared" si="998"/>
        <v>-6.0910862770636554</v>
      </c>
    </row>
    <row r="679" spans="1:20" x14ac:dyDescent="0.25">
      <c r="A679" s="5">
        <v>43914</v>
      </c>
      <c r="B679">
        <v>1.967E-3</v>
      </c>
      <c r="C679">
        <v>2.1350000000000002E-3</v>
      </c>
      <c r="D679">
        <v>1.9580000000000001E-3</v>
      </c>
      <c r="E679">
        <v>2.0179999999999998E-3</v>
      </c>
      <c r="F679">
        <v>11682507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-0.32203389830508816</v>
      </c>
      <c r="Q679">
        <f t="shared" si="995"/>
        <v>-3762163.2711864808</v>
      </c>
      <c r="R679">
        <f t="shared" si="996"/>
        <v>-620610778.06564689</v>
      </c>
      <c r="S679">
        <f t="shared" si="997"/>
        <v>-6206.107780656469</v>
      </c>
      <c r="T679">
        <f t="shared" si="998"/>
        <v>-6.2061077806564686</v>
      </c>
    </row>
    <row r="680" spans="1:20" x14ac:dyDescent="0.25">
      <c r="A680" s="5">
        <v>43913</v>
      </c>
      <c r="B680">
        <v>1.73E-3</v>
      </c>
      <c r="C680">
        <v>1.9840000000000001E-3</v>
      </c>
      <c r="D680">
        <v>1.642E-3</v>
      </c>
      <c r="E680">
        <v>1.967E-3</v>
      </c>
      <c r="F680">
        <v>14396336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0.90058479532163693</v>
      </c>
      <c r="Q680">
        <f t="shared" si="995"/>
        <v>12965121.309941513</v>
      </c>
      <c r="R680">
        <f t="shared" si="996"/>
        <v>-616848614.79446042</v>
      </c>
      <c r="S680">
        <f t="shared" si="997"/>
        <v>-6168.4861479446045</v>
      </c>
      <c r="T680">
        <f t="shared" si="998"/>
        <v>-6.1684861479446047</v>
      </c>
    </row>
    <row r="681" spans="1:20" x14ac:dyDescent="0.25">
      <c r="A681" s="5">
        <v>43912</v>
      </c>
      <c r="B681">
        <v>1.9009999999999999E-3</v>
      </c>
      <c r="C681">
        <v>2.0899999999999998E-3</v>
      </c>
      <c r="D681">
        <v>1.73E-3</v>
      </c>
      <c r="E681">
        <v>1.7600000000000001E-3</v>
      </c>
      <c r="F681">
        <v>15745696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-0.83333333333333282</v>
      </c>
      <c r="Q681">
        <f t="shared" si="995"/>
        <v>-13121413.333333325</v>
      </c>
      <c r="R681">
        <f t="shared" si="996"/>
        <v>-629813736.10440195</v>
      </c>
      <c r="S681">
        <f t="shared" si="997"/>
        <v>-6298.1373610440196</v>
      </c>
      <c r="T681">
        <f t="shared" si="998"/>
        <v>-6.2981373610440192</v>
      </c>
    </row>
    <row r="682" spans="1:20" x14ac:dyDescent="0.25">
      <c r="A682" s="5">
        <v>43911</v>
      </c>
      <c r="B682">
        <v>1.934E-3</v>
      </c>
      <c r="C682">
        <v>2.0230000000000001E-3</v>
      </c>
      <c r="D682">
        <v>1.779E-3</v>
      </c>
      <c r="E682">
        <v>1.9E-3</v>
      </c>
      <c r="F682">
        <v>11407124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-8.1967213114756063E-3</v>
      </c>
      <c r="Q682">
        <f t="shared" si="995"/>
        <v>-93501.016393444865</v>
      </c>
      <c r="R682">
        <f t="shared" si="996"/>
        <v>-616692322.77106857</v>
      </c>
      <c r="S682">
        <f t="shared" si="997"/>
        <v>-6166.9232277106858</v>
      </c>
      <c r="T682">
        <f t="shared" si="998"/>
        <v>-6.1669232277106856</v>
      </c>
    </row>
    <row r="683" spans="1:20" x14ac:dyDescent="0.25">
      <c r="A683" s="5">
        <v>43910</v>
      </c>
      <c r="B683">
        <v>1.804E-3</v>
      </c>
      <c r="C683">
        <v>2.3649999999999999E-3</v>
      </c>
      <c r="D683">
        <v>1.7459999999999999E-3</v>
      </c>
      <c r="E683">
        <v>1.944E-3</v>
      </c>
      <c r="F683">
        <v>50093549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-0.36025848142164768</v>
      </c>
      <c r="Q683">
        <f t="shared" si="995"/>
        <v>-18046625.891760897</v>
      </c>
      <c r="R683">
        <f t="shared" si="996"/>
        <v>-616598821.75467515</v>
      </c>
      <c r="S683">
        <f t="shared" si="997"/>
        <v>-6165.9882175467519</v>
      </c>
      <c r="T683">
        <f t="shared" si="998"/>
        <v>-6.1659882175467517</v>
      </c>
    </row>
    <row r="684" spans="1:20" x14ac:dyDescent="0.25">
      <c r="A684" s="5">
        <v>43909</v>
      </c>
      <c r="B684">
        <v>1.469E-3</v>
      </c>
      <c r="C684">
        <v>1.8619999999999999E-3</v>
      </c>
      <c r="D684">
        <v>1.4419999999999999E-3</v>
      </c>
      <c r="E684">
        <v>1.805E-3</v>
      </c>
      <c r="F684">
        <v>15687381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0.72857142857142865</v>
      </c>
      <c r="Q684">
        <f t="shared" si="995"/>
        <v>11429377.585714286</v>
      </c>
      <c r="R684">
        <f t="shared" si="996"/>
        <v>-598552195.8629142</v>
      </c>
      <c r="S684">
        <f t="shared" si="997"/>
        <v>-5985.5219586291423</v>
      </c>
      <c r="T684">
        <f t="shared" si="998"/>
        <v>-5.9855219586291426</v>
      </c>
    </row>
    <row r="685" spans="1:20" x14ac:dyDescent="0.25">
      <c r="A685" s="5">
        <v>43908</v>
      </c>
      <c r="B685">
        <v>1.4170000000000001E-3</v>
      </c>
      <c r="C685">
        <v>1.487E-3</v>
      </c>
      <c r="D685">
        <v>1.3179999999999999E-3</v>
      </c>
      <c r="E685">
        <v>1.449E-3</v>
      </c>
      <c r="F685">
        <v>12319437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0.55029585798816527</v>
      </c>
      <c r="Q685">
        <f t="shared" si="995"/>
        <v>6779335.1538461484</v>
      </c>
      <c r="R685">
        <f t="shared" si="996"/>
        <v>-609981573.44862854</v>
      </c>
      <c r="S685">
        <f t="shared" si="997"/>
        <v>-6099.8157344862857</v>
      </c>
      <c r="T685">
        <f t="shared" si="998"/>
        <v>-6.0998157344862856</v>
      </c>
    </row>
    <row r="686" spans="1:20" x14ac:dyDescent="0.25">
      <c r="A686" s="5">
        <v>43907</v>
      </c>
      <c r="B686">
        <v>1.322E-3</v>
      </c>
      <c r="C686">
        <v>1.4679999999999999E-3</v>
      </c>
      <c r="D686">
        <v>1.2999999999999999E-3</v>
      </c>
      <c r="E686">
        <v>1.4159999999999999E-3</v>
      </c>
      <c r="F686">
        <v>8619337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0.38095238095238126</v>
      </c>
      <c r="Q686">
        <f t="shared" si="995"/>
        <v>3283556.9523809552</v>
      </c>
      <c r="R686">
        <f t="shared" si="996"/>
        <v>-616760908.60247469</v>
      </c>
      <c r="S686">
        <f t="shared" si="997"/>
        <v>-6167.6090860247468</v>
      </c>
      <c r="T686">
        <f t="shared" si="998"/>
        <v>-6.167609086024747</v>
      </c>
    </row>
    <row r="687" spans="1:20" x14ac:dyDescent="0.25">
      <c r="A687" s="5">
        <v>43906</v>
      </c>
      <c r="B687">
        <v>1.5070000000000001E-3</v>
      </c>
      <c r="C687">
        <v>1.5070000000000001E-3</v>
      </c>
      <c r="D687">
        <v>1.1230000000000001E-3</v>
      </c>
      <c r="E687">
        <v>1.317E-3</v>
      </c>
      <c r="F687">
        <v>28613808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1.0416666666666356E-2</v>
      </c>
      <c r="Q687">
        <f t="shared" si="995"/>
        <v>298060.49999999109</v>
      </c>
      <c r="R687">
        <f t="shared" si="996"/>
        <v>-620044465.55485559</v>
      </c>
      <c r="S687">
        <f t="shared" si="997"/>
        <v>-6200.4446555485556</v>
      </c>
      <c r="T687">
        <f t="shared" si="998"/>
        <v>-6.200444655548556</v>
      </c>
    </row>
    <row r="688" spans="1:20" x14ac:dyDescent="0.25">
      <c r="A688" s="5">
        <v>43905</v>
      </c>
      <c r="B688">
        <v>1.493E-3</v>
      </c>
      <c r="C688">
        <v>1.6459999999999999E-3</v>
      </c>
      <c r="D688">
        <v>1.4790000000000001E-3</v>
      </c>
      <c r="E688">
        <v>1.518E-3</v>
      </c>
      <c r="F688">
        <v>17365618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-0.53293413173652682</v>
      </c>
      <c r="Q688">
        <f t="shared" si="995"/>
        <v>-9254730.5508982018</v>
      </c>
      <c r="R688">
        <f t="shared" si="996"/>
        <v>-620342526.05485559</v>
      </c>
      <c r="S688">
        <f t="shared" si="997"/>
        <v>-6203.4252605485563</v>
      </c>
      <c r="T688">
        <f t="shared" si="998"/>
        <v>-6.2034252605485563</v>
      </c>
    </row>
    <row r="689" spans="1:20" x14ac:dyDescent="0.25">
      <c r="A689" s="5">
        <v>43904</v>
      </c>
      <c r="B689">
        <v>1.5969999999999999E-3</v>
      </c>
      <c r="C689">
        <v>1.645E-3</v>
      </c>
      <c r="D689">
        <v>1.4840000000000001E-3</v>
      </c>
      <c r="E689">
        <v>1.493E-3</v>
      </c>
      <c r="F689">
        <v>21032528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-0.88819875776397639</v>
      </c>
      <c r="Q689">
        <f t="shared" si="995"/>
        <v>-18681065.242236052</v>
      </c>
      <c r="R689">
        <f t="shared" si="996"/>
        <v>-611087795.50395739</v>
      </c>
      <c r="S689">
        <f t="shared" si="997"/>
        <v>-6110.8779550395739</v>
      </c>
      <c r="T689">
        <f t="shared" si="998"/>
        <v>-6.110877955039574</v>
      </c>
    </row>
    <row r="690" spans="1:20" x14ac:dyDescent="0.25">
      <c r="A690" s="5">
        <v>43903</v>
      </c>
      <c r="B690">
        <v>1.2880000000000001E-3</v>
      </c>
      <c r="C690">
        <v>1.6509999999999999E-3</v>
      </c>
      <c r="D690">
        <v>1.0009999999999999E-3</v>
      </c>
      <c r="E690">
        <v>1.645E-3</v>
      </c>
      <c r="F690">
        <v>29932600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0.9815384615384618</v>
      </c>
      <c r="Q690">
        <f t="shared" si="995"/>
        <v>29379998.153846163</v>
      </c>
      <c r="R690">
        <f t="shared" si="996"/>
        <v>-592406730.26172137</v>
      </c>
      <c r="S690">
        <f t="shared" si="997"/>
        <v>-5924.0673026172135</v>
      </c>
      <c r="T690">
        <f t="shared" si="998"/>
        <v>-5.9240673026172139</v>
      </c>
    </row>
    <row r="691" spans="1:20" x14ac:dyDescent="0.25">
      <c r="A691" s="5">
        <v>43902</v>
      </c>
      <c r="B691">
        <v>2.7030000000000001E-3</v>
      </c>
      <c r="C691">
        <v>2.7030000000000001E-3</v>
      </c>
      <c r="D691">
        <v>1.2110000000000001E-3</v>
      </c>
      <c r="E691">
        <v>1.2639999999999999E-3</v>
      </c>
      <c r="F691">
        <v>61283846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-0.92895442359249347</v>
      </c>
      <c r="Q691">
        <f t="shared" si="995"/>
        <v>-56929899.836461134</v>
      </c>
      <c r="R691">
        <f t="shared" si="996"/>
        <v>-621786728.41556752</v>
      </c>
      <c r="S691">
        <f t="shared" si="997"/>
        <v>-6217.8672841556754</v>
      </c>
      <c r="T691">
        <f t="shared" si="998"/>
        <v>-6.217867284155675</v>
      </c>
    </row>
    <row r="692" spans="1:20" x14ac:dyDescent="0.25">
      <c r="A692" s="5">
        <v>43901</v>
      </c>
      <c r="B692">
        <v>2.9020000000000001E-3</v>
      </c>
      <c r="C692">
        <v>2.9290000000000002E-3</v>
      </c>
      <c r="D692">
        <v>2.496E-3</v>
      </c>
      <c r="E692">
        <v>2.7000000000000001E-3</v>
      </c>
      <c r="F692">
        <v>14384770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-5.773672055427214E-2</v>
      </c>
      <c r="Q692">
        <f t="shared" si="995"/>
        <v>-830529.4457274772</v>
      </c>
      <c r="R692">
        <f t="shared" si="996"/>
        <v>-564856828.57910633</v>
      </c>
      <c r="S692">
        <f t="shared" si="997"/>
        <v>-5648.5682857910633</v>
      </c>
      <c r="T692">
        <f t="shared" si="998"/>
        <v>-5.6485682857910637</v>
      </c>
    </row>
    <row r="693" spans="1:20" x14ac:dyDescent="0.25">
      <c r="A693" s="5">
        <v>43900</v>
      </c>
      <c r="B693">
        <v>2.8400000000000001E-3</v>
      </c>
      <c r="C693">
        <v>3.0000000000000001E-3</v>
      </c>
      <c r="D693">
        <v>2.6770000000000001E-3</v>
      </c>
      <c r="E693">
        <v>2.9269999999999999E-3</v>
      </c>
      <c r="F693">
        <v>10508140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0.54798761609907021</v>
      </c>
      <c r="Q693">
        <f t="shared" si="995"/>
        <v>5758330.5882352833</v>
      </c>
      <c r="R693">
        <f t="shared" si="996"/>
        <v>-564026299.13337886</v>
      </c>
      <c r="S693">
        <f t="shared" si="997"/>
        <v>-5640.2629913337887</v>
      </c>
      <c r="T693">
        <f t="shared" si="998"/>
        <v>-5.6402629913337883</v>
      </c>
    </row>
    <row r="694" spans="1:20" x14ac:dyDescent="0.25">
      <c r="A694" s="5">
        <v>43899</v>
      </c>
      <c r="B694">
        <v>2.9120000000000001E-3</v>
      </c>
      <c r="C694">
        <v>2.9650000000000002E-3</v>
      </c>
      <c r="D694">
        <v>2.6710000000000002E-3</v>
      </c>
      <c r="E694">
        <v>2.8310000000000002E-3</v>
      </c>
      <c r="F694">
        <v>10267041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8.8435374149659809E-2</v>
      </c>
      <c r="Q694">
        <f t="shared" si="995"/>
        <v>907969.61224489741</v>
      </c>
      <c r="R694">
        <f t="shared" si="996"/>
        <v>-569784629.72161412</v>
      </c>
      <c r="S694">
        <f t="shared" si="997"/>
        <v>-5697.8462972161415</v>
      </c>
      <c r="T694">
        <f t="shared" si="998"/>
        <v>-5.6978462972161417</v>
      </c>
    </row>
    <row r="695" spans="1:20" x14ac:dyDescent="0.25">
      <c r="A695" s="5">
        <v>43898</v>
      </c>
      <c r="B695">
        <v>3.4150000000000001E-3</v>
      </c>
      <c r="C695">
        <v>3.4150000000000001E-3</v>
      </c>
      <c r="D695">
        <v>2.8800000000000002E-3</v>
      </c>
      <c r="E695">
        <v>2.882E-3</v>
      </c>
      <c r="F695">
        <v>19300293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-0.99252336448598188</v>
      </c>
      <c r="Q695">
        <f t="shared" si="995"/>
        <v>-19155991.743925244</v>
      </c>
      <c r="R695">
        <f t="shared" si="996"/>
        <v>-570692599.33385897</v>
      </c>
      <c r="S695">
        <f t="shared" si="997"/>
        <v>-5706.9259933385893</v>
      </c>
      <c r="T695">
        <f t="shared" si="998"/>
        <v>-5.7069259933385892</v>
      </c>
    </row>
    <row r="696" spans="1:20" x14ac:dyDescent="0.25">
      <c r="A696" s="5">
        <v>43897</v>
      </c>
      <c r="B696">
        <v>3.4069999999999999E-3</v>
      </c>
      <c r="C696">
        <v>3.607E-3</v>
      </c>
      <c r="D696">
        <v>3.3170000000000001E-3</v>
      </c>
      <c r="E696">
        <v>3.421E-3</v>
      </c>
      <c r="F696">
        <v>17241667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-0.2827586206896554</v>
      </c>
      <c r="Q696">
        <f t="shared" si="995"/>
        <v>-4875229.9793103486</v>
      </c>
      <c r="R696">
        <f t="shared" si="996"/>
        <v>-551536607.58993375</v>
      </c>
      <c r="S696">
        <f t="shared" si="997"/>
        <v>-5515.3660758993374</v>
      </c>
      <c r="T696">
        <f t="shared" si="998"/>
        <v>-5.5153660758993377</v>
      </c>
    </row>
    <row r="697" spans="1:20" x14ac:dyDescent="0.25">
      <c r="A697" s="5">
        <v>43896</v>
      </c>
      <c r="B697">
        <v>3.3800000000000002E-3</v>
      </c>
      <c r="C697">
        <v>3.64E-3</v>
      </c>
      <c r="D697">
        <v>3.3679999999999999E-3</v>
      </c>
      <c r="E697">
        <v>3.4069999999999999E-3</v>
      </c>
      <c r="F697">
        <v>33631484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-0.71323529411764741</v>
      </c>
      <c r="Q697">
        <f t="shared" si="995"/>
        <v>-23987161.382352952</v>
      </c>
      <c r="R697">
        <f t="shared" si="996"/>
        <v>-546661377.61062336</v>
      </c>
      <c r="S697">
        <f t="shared" si="997"/>
        <v>-5466.6137761062337</v>
      </c>
      <c r="T697">
        <f t="shared" si="998"/>
        <v>-5.4666137761062341</v>
      </c>
    </row>
    <row r="698" spans="1:20" x14ac:dyDescent="0.25">
      <c r="A698" s="5">
        <v>43895</v>
      </c>
      <c r="B698">
        <v>3.0049999999999999E-3</v>
      </c>
      <c r="C698">
        <v>3.6610000000000002E-3</v>
      </c>
      <c r="D698">
        <v>2.9919999999999999E-3</v>
      </c>
      <c r="E698">
        <v>3.375E-3</v>
      </c>
      <c r="F698">
        <v>29136869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0.14499252615844516</v>
      </c>
      <c r="Q698">
        <f t="shared" si="995"/>
        <v>4224628.24065769</v>
      </c>
      <c r="R698">
        <f t="shared" si="996"/>
        <v>-522674216.22827035</v>
      </c>
      <c r="S698">
        <f t="shared" si="997"/>
        <v>-5226.7421622827032</v>
      </c>
      <c r="T698">
        <f t="shared" si="998"/>
        <v>-5.2267421622827035</v>
      </c>
    </row>
    <row r="699" spans="1:20" x14ac:dyDescent="0.25">
      <c r="A699" s="5">
        <v>43894</v>
      </c>
      <c r="B699">
        <v>3.0300000000000001E-3</v>
      </c>
      <c r="C699">
        <v>3.166E-3</v>
      </c>
      <c r="D699">
        <v>2.98E-3</v>
      </c>
      <c r="E699">
        <v>3.0100000000000001E-3</v>
      </c>
      <c r="F699">
        <v>6421030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-0.67741935483870874</v>
      </c>
      <c r="Q699">
        <f t="shared" si="995"/>
        <v>-4349729.9999999944</v>
      </c>
      <c r="R699">
        <f t="shared" si="996"/>
        <v>-526898844.46892804</v>
      </c>
      <c r="S699">
        <f t="shared" si="997"/>
        <v>-5268.9884446892802</v>
      </c>
      <c r="T699">
        <f t="shared" si="998"/>
        <v>-5.2689884446892803</v>
      </c>
    </row>
    <row r="700" spans="1:20" x14ac:dyDescent="0.25">
      <c r="A700" s="5">
        <v>43893</v>
      </c>
      <c r="B700">
        <v>3.1700000000000001E-3</v>
      </c>
      <c r="C700">
        <v>3.1960000000000001E-3</v>
      </c>
      <c r="D700">
        <v>2.9480000000000001E-3</v>
      </c>
      <c r="E700">
        <v>3.0360000000000001E-3</v>
      </c>
      <c r="F700">
        <v>12923721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-0.29032258064516142</v>
      </c>
      <c r="Q700">
        <f t="shared" si="995"/>
        <v>-3752048.0322580663</v>
      </c>
      <c r="R700">
        <f t="shared" si="996"/>
        <v>-522549114.46892804</v>
      </c>
      <c r="S700">
        <f t="shared" si="997"/>
        <v>-5225.4911446892802</v>
      </c>
      <c r="T700">
        <f t="shared" si="998"/>
        <v>-5.22549114468928</v>
      </c>
    </row>
    <row r="701" spans="1:20" x14ac:dyDescent="0.25">
      <c r="A701" s="5">
        <v>43892</v>
      </c>
      <c r="B701">
        <v>2.8860000000000001E-3</v>
      </c>
      <c r="C701">
        <v>3.179E-3</v>
      </c>
      <c r="D701">
        <v>2.826E-3</v>
      </c>
      <c r="E701">
        <v>3.1570000000000001E-3</v>
      </c>
      <c r="F701">
        <v>10108598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0.8753541076487259</v>
      </c>
      <c r="Q701">
        <f t="shared" si="995"/>
        <v>8848602.7818696946</v>
      </c>
      <c r="R701">
        <f t="shared" si="996"/>
        <v>-518797066.43666995</v>
      </c>
      <c r="S701">
        <f t="shared" si="997"/>
        <v>-5187.9706643666996</v>
      </c>
      <c r="T701">
        <f t="shared" si="998"/>
        <v>-5.1879706643666994</v>
      </c>
    </row>
    <row r="702" spans="1:20" x14ac:dyDescent="0.25">
      <c r="A702" s="5">
        <v>43891</v>
      </c>
      <c r="B702">
        <v>3.0460000000000001E-3</v>
      </c>
      <c r="C702">
        <v>3.0959999999999998E-3</v>
      </c>
      <c r="D702">
        <v>2.8080000000000002E-3</v>
      </c>
      <c r="E702">
        <v>2.8869999999999998E-3</v>
      </c>
      <c r="F702">
        <v>10802082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-0.45138888888889067</v>
      </c>
      <c r="Q702">
        <f t="shared" si="995"/>
        <v>-4875939.7916666856</v>
      </c>
      <c r="R702">
        <f t="shared" si="996"/>
        <v>-527645669.21853966</v>
      </c>
      <c r="S702">
        <f t="shared" si="997"/>
        <v>-5276.4566921853966</v>
      </c>
      <c r="T702">
        <f t="shared" si="998"/>
        <v>-5.2764566921853966</v>
      </c>
    </row>
    <row r="703" spans="1:20" x14ac:dyDescent="0.25">
      <c r="A703" s="5">
        <v>43890</v>
      </c>
      <c r="B703">
        <v>3.0899999999999999E-3</v>
      </c>
      <c r="C703">
        <v>3.2260000000000001E-3</v>
      </c>
      <c r="D703">
        <v>3.0219999999999999E-3</v>
      </c>
      <c r="E703">
        <v>3.0409999999999999E-3</v>
      </c>
      <c r="F703">
        <v>5262464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-0.81372549019607943</v>
      </c>
      <c r="Q703">
        <f t="shared" si="995"/>
        <v>-4282201.098039221</v>
      </c>
      <c r="R703">
        <f t="shared" si="996"/>
        <v>-522769729.42687297</v>
      </c>
      <c r="S703">
        <f t="shared" si="997"/>
        <v>-5227.6972942687298</v>
      </c>
      <c r="T703">
        <f t="shared" si="998"/>
        <v>-5.2276972942687294</v>
      </c>
    </row>
    <row r="704" spans="1:20" x14ac:dyDescent="0.25">
      <c r="A704" s="5">
        <v>43889</v>
      </c>
      <c r="B704">
        <v>3.081E-3</v>
      </c>
      <c r="C704">
        <v>3.1359999999999999E-3</v>
      </c>
      <c r="D704">
        <v>2.8999999999999998E-3</v>
      </c>
      <c r="E704">
        <v>3.0860000000000002E-3</v>
      </c>
      <c r="F704">
        <v>16590942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0.57627118644068076</v>
      </c>
      <c r="Q704">
        <f t="shared" si="995"/>
        <v>9560881.8305085208</v>
      </c>
      <c r="R704">
        <f t="shared" si="996"/>
        <v>-518487528.32883376</v>
      </c>
      <c r="S704">
        <f t="shared" si="997"/>
        <v>-5184.8752832883374</v>
      </c>
      <c r="T704">
        <f t="shared" si="998"/>
        <v>-5.1848752832883376</v>
      </c>
    </row>
    <row r="705" spans="1:20" x14ac:dyDescent="0.25">
      <c r="A705" s="5">
        <v>43888</v>
      </c>
      <c r="B705">
        <v>2.9099999999999998E-3</v>
      </c>
      <c r="C705">
        <v>3.3089999999999999E-3</v>
      </c>
      <c r="D705">
        <v>2.8050000000000002E-3</v>
      </c>
      <c r="E705">
        <v>3.055E-3</v>
      </c>
      <c r="F705">
        <v>14270047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-7.9365079365081338E-3</v>
      </c>
      <c r="Q705">
        <f t="shared" si="995"/>
        <v>-113254.34126984408</v>
      </c>
      <c r="R705">
        <f t="shared" si="996"/>
        <v>-528048410.15934229</v>
      </c>
      <c r="S705">
        <f t="shared" si="997"/>
        <v>-5280.4841015934226</v>
      </c>
      <c r="T705">
        <f t="shared" si="998"/>
        <v>-5.280484101593423</v>
      </c>
    </row>
    <row r="706" spans="1:20" x14ac:dyDescent="0.25">
      <c r="A706" s="5">
        <v>43887</v>
      </c>
      <c r="B706">
        <v>3.2919999999999998E-3</v>
      </c>
      <c r="C706">
        <v>3.333E-3</v>
      </c>
      <c r="D706">
        <v>2.8E-3</v>
      </c>
      <c r="E706">
        <v>2.9169999999999999E-3</v>
      </c>
      <c r="F706">
        <v>14310520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-0.56097560975609795</v>
      </c>
      <c r="Q706">
        <f t="shared" si="995"/>
        <v>-8027852.6829268346</v>
      </c>
      <c r="R706">
        <f t="shared" si="996"/>
        <v>-527935155.81807244</v>
      </c>
      <c r="S706">
        <f t="shared" si="997"/>
        <v>-5279.3515581807242</v>
      </c>
      <c r="T706">
        <f t="shared" si="998"/>
        <v>-5.279351558180724</v>
      </c>
    </row>
    <row r="707" spans="1:20" x14ac:dyDescent="0.25">
      <c r="A707" s="5">
        <v>43886</v>
      </c>
      <c r="B707">
        <v>3.6480000000000002E-3</v>
      </c>
      <c r="C707">
        <v>3.656E-3</v>
      </c>
      <c r="D707">
        <v>3.0469999999999998E-3</v>
      </c>
      <c r="E707">
        <v>3.2919999999999998E-3</v>
      </c>
      <c r="F707">
        <v>28258887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-0.19540229885057495</v>
      </c>
      <c r="Q707">
        <f t="shared" si="995"/>
        <v>-5521851.4827586273</v>
      </c>
      <c r="R707">
        <f t="shared" si="996"/>
        <v>-519907303.1351456</v>
      </c>
      <c r="S707">
        <f t="shared" si="997"/>
        <v>-5199.0730313514559</v>
      </c>
      <c r="T707">
        <f t="shared" si="998"/>
        <v>-5.1990730313514559</v>
      </c>
    </row>
    <row r="708" spans="1:20" x14ac:dyDescent="0.25">
      <c r="A708" s="5">
        <v>43885</v>
      </c>
      <c r="B708">
        <v>4.0200000000000001E-3</v>
      </c>
      <c r="C708">
        <v>4.0600000000000002E-3</v>
      </c>
      <c r="D708">
        <v>3.4710000000000001E-3</v>
      </c>
      <c r="E708">
        <v>3.6480000000000002E-3</v>
      </c>
      <c r="F708">
        <v>27887796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-0.39898132427843791</v>
      </c>
      <c r="Q708">
        <f t="shared" si="995"/>
        <v>-11126709.779286923</v>
      </c>
      <c r="R708">
        <f t="shared" si="996"/>
        <v>-514385451.65238696</v>
      </c>
      <c r="S708">
        <f t="shared" si="997"/>
        <v>-5143.8545165238693</v>
      </c>
      <c r="T708">
        <f t="shared" si="998"/>
        <v>-5.1438545165238692</v>
      </c>
    </row>
    <row r="709" spans="1:20" x14ac:dyDescent="0.25">
      <c r="A709" s="5">
        <v>43884</v>
      </c>
      <c r="B709">
        <v>3.8110000000000002E-3</v>
      </c>
      <c r="C709">
        <v>4.0969999999999999E-3</v>
      </c>
      <c r="D709">
        <v>3.7260000000000001E-3</v>
      </c>
      <c r="E709">
        <v>4.0210000000000003E-3</v>
      </c>
      <c r="F709">
        <v>16178298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0.59029649595687483</v>
      </c>
      <c r="Q709">
        <f t="shared" si="995"/>
        <v>9549992.6199461166</v>
      </c>
      <c r="R709">
        <f t="shared" si="996"/>
        <v>-503258741.87310004</v>
      </c>
      <c r="S709">
        <f t="shared" si="997"/>
        <v>-5032.5874187310001</v>
      </c>
      <c r="T709">
        <f t="shared" si="998"/>
        <v>-5.0325874187310005</v>
      </c>
    </row>
    <row r="710" spans="1:20" x14ac:dyDescent="0.25">
      <c r="A710" s="5">
        <v>43883</v>
      </c>
      <c r="B710">
        <v>3.9170000000000003E-3</v>
      </c>
      <c r="C710">
        <v>3.9420000000000002E-3</v>
      </c>
      <c r="D710">
        <v>3.8E-3</v>
      </c>
      <c r="E710">
        <v>3.8479999999999999E-3</v>
      </c>
      <c r="F710">
        <v>7431432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-0.32394366197183383</v>
      </c>
      <c r="Q710">
        <f t="shared" ref="Q710:Q766" si="1000">F710*P710</f>
        <v>-2407365.2957746689</v>
      </c>
      <c r="R710">
        <f t="shared" ref="R710:R766" si="1001">R711+Q710</f>
        <v>-512808734.49304616</v>
      </c>
      <c r="S710">
        <f t="shared" ref="S710:S766" si="1002">R710/100000</f>
        <v>-5128.0873449304618</v>
      </c>
      <c r="T710">
        <f t="shared" ref="T710:T766" si="1003">S710/1000</f>
        <v>-5.1280873449304618</v>
      </c>
    </row>
    <row r="711" spans="1:20" x14ac:dyDescent="0.25">
      <c r="A711" s="5">
        <v>43882</v>
      </c>
      <c r="B711">
        <v>3.9820000000000003E-3</v>
      </c>
      <c r="C711">
        <v>4.1599999999999996E-3</v>
      </c>
      <c r="D711">
        <v>3.839E-3</v>
      </c>
      <c r="E711">
        <v>3.9379999999999997E-3</v>
      </c>
      <c r="F711">
        <v>16988867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-0.38317757009345921</v>
      </c>
      <c r="Q711">
        <f t="shared" si="1000"/>
        <v>-6509752.7757009557</v>
      </c>
      <c r="R711">
        <f t="shared" si="1001"/>
        <v>-510401369.19727147</v>
      </c>
      <c r="S711">
        <f t="shared" si="1002"/>
        <v>-5104.0136919727147</v>
      </c>
      <c r="T711">
        <f t="shared" si="1003"/>
        <v>-5.1040136919727148</v>
      </c>
    </row>
    <row r="712" spans="1:20" x14ac:dyDescent="0.25">
      <c r="A712" s="5">
        <v>43881</v>
      </c>
      <c r="B712">
        <v>4.0800000000000003E-3</v>
      </c>
      <c r="C712">
        <v>4.1669999999999997E-3</v>
      </c>
      <c r="D712">
        <v>3.8E-3</v>
      </c>
      <c r="E712">
        <v>4.0000000000000001E-3</v>
      </c>
      <c r="F712">
        <v>32272639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8.991825613079156E-2</v>
      </c>
      <c r="Q712">
        <f t="shared" si="1000"/>
        <v>2901899.4196185726</v>
      </c>
      <c r="R712">
        <f t="shared" si="1001"/>
        <v>-503891616.42157054</v>
      </c>
      <c r="S712">
        <f t="shared" si="1002"/>
        <v>-5038.9161642157051</v>
      </c>
      <c r="T712">
        <f t="shared" si="1003"/>
        <v>-5.0389161642157054</v>
      </c>
    </row>
    <row r="713" spans="1:20" x14ac:dyDescent="0.25">
      <c r="A713" s="5">
        <v>43880</v>
      </c>
      <c r="B713">
        <v>4.5250000000000004E-3</v>
      </c>
      <c r="C713">
        <v>4.7270000000000003E-3</v>
      </c>
      <c r="D713">
        <v>4.0499999999999998E-3</v>
      </c>
      <c r="E713">
        <v>4.1060000000000003E-3</v>
      </c>
      <c r="F713">
        <v>35496176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-0.83456425406203705</v>
      </c>
      <c r="Q713">
        <f t="shared" si="1000"/>
        <v>-29623839.645494781</v>
      </c>
      <c r="R713">
        <f t="shared" si="1001"/>
        <v>-506793515.84118909</v>
      </c>
      <c r="S713">
        <f t="shared" si="1002"/>
        <v>-5067.9351584118913</v>
      </c>
      <c r="T713">
        <f t="shared" si="1003"/>
        <v>-5.067935158411891</v>
      </c>
    </row>
    <row r="714" spans="1:20" x14ac:dyDescent="0.25">
      <c r="A714" s="5">
        <v>43879</v>
      </c>
      <c r="B714">
        <v>4.9399999999999999E-3</v>
      </c>
      <c r="C714">
        <v>5.3460000000000001E-3</v>
      </c>
      <c r="D714">
        <v>4.5069999999999997E-3</v>
      </c>
      <c r="E714">
        <v>4.5669999999999999E-3</v>
      </c>
      <c r="F714">
        <v>83167828</v>
      </c>
      <c r="G714">
        <v>0</v>
      </c>
      <c r="L714" t="s">
        <v>7</v>
      </c>
      <c r="M714" t="s">
        <v>7</v>
      </c>
      <c r="N714" t="s">
        <v>7</v>
      </c>
      <c r="P714">
        <f t="shared" si="999"/>
        <v>-0.85697258641239538</v>
      </c>
      <c r="Q714">
        <f t="shared" si="1000"/>
        <v>-71272548.667461231</v>
      </c>
      <c r="R714">
        <f t="shared" si="1001"/>
        <v>-477169676.19569433</v>
      </c>
      <c r="S714">
        <f t="shared" si="1002"/>
        <v>-4771.6967619569432</v>
      </c>
      <c r="T714">
        <f t="shared" si="1003"/>
        <v>-4.7716967619569433</v>
      </c>
    </row>
    <row r="715" spans="1:20" x14ac:dyDescent="0.25">
      <c r="A715" s="5">
        <v>43878</v>
      </c>
      <c r="B715">
        <v>5.6449999999999998E-3</v>
      </c>
      <c r="C715">
        <v>9.4999999999999998E-3</v>
      </c>
      <c r="D715">
        <v>4.4549999999999998E-3</v>
      </c>
      <c r="E715">
        <v>4.9399999999999999E-3</v>
      </c>
      <c r="F715">
        <v>346115169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-0.80773042616451929</v>
      </c>
      <c r="Q715">
        <f t="shared" si="1000"/>
        <v>-279567752.95837462</v>
      </c>
      <c r="R715">
        <f t="shared" si="1001"/>
        <v>-405897127.52823311</v>
      </c>
      <c r="S715">
        <f t="shared" si="1002"/>
        <v>-4058.9712752823311</v>
      </c>
      <c r="T715">
        <f t="shared" si="1003"/>
        <v>-4.0589712752823308</v>
      </c>
    </row>
    <row r="716" spans="1:20" x14ac:dyDescent="0.25">
      <c r="A716" s="5">
        <v>43877</v>
      </c>
      <c r="B716">
        <v>5.1830000000000001E-3</v>
      </c>
      <c r="C716">
        <v>5.8430000000000001E-3</v>
      </c>
      <c r="D716">
        <v>4.9699999999999996E-3</v>
      </c>
      <c r="E716">
        <v>5.6839999999999998E-3</v>
      </c>
      <c r="F716">
        <v>14197279</v>
      </c>
      <c r="G716">
        <v>0</v>
      </c>
      <c r="L716" t="s">
        <v>8</v>
      </c>
      <c r="M716" t="s">
        <v>7</v>
      </c>
      <c r="N716" t="s">
        <v>8</v>
      </c>
      <c r="P716">
        <f t="shared" si="999"/>
        <v>0.63573883161511979</v>
      </c>
      <c r="Q716">
        <f t="shared" si="1000"/>
        <v>9025761.5635738764</v>
      </c>
      <c r="R716">
        <f t="shared" si="1001"/>
        <v>-126329374.56985851</v>
      </c>
      <c r="S716">
        <f t="shared" si="1002"/>
        <v>-1263.2937456985851</v>
      </c>
      <c r="T716">
        <f t="shared" si="1003"/>
        <v>-1.2632937456985851</v>
      </c>
    </row>
    <row r="717" spans="1:20" x14ac:dyDescent="0.25">
      <c r="A717" s="5">
        <v>43876</v>
      </c>
      <c r="B717">
        <v>5.5449999999999996E-3</v>
      </c>
      <c r="C717">
        <v>6.0590000000000001E-3</v>
      </c>
      <c r="D717">
        <v>4.9610000000000001E-3</v>
      </c>
      <c r="E717">
        <v>5.2030000000000002E-3</v>
      </c>
      <c r="F717">
        <v>36248997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-0.55919854280510017</v>
      </c>
      <c r="Q717">
        <f t="shared" si="1000"/>
        <v>-20270386.300546449</v>
      </c>
      <c r="R717">
        <f t="shared" si="1001"/>
        <v>-135355136.13343239</v>
      </c>
      <c r="S717">
        <f t="shared" si="1002"/>
        <v>-1353.5513613343239</v>
      </c>
      <c r="T717">
        <f t="shared" si="1003"/>
        <v>-1.353551361334324</v>
      </c>
    </row>
    <row r="718" spans="1:20" x14ac:dyDescent="0.25">
      <c r="A718" s="5">
        <v>43875</v>
      </c>
      <c r="B718">
        <v>4.6979999999999999E-3</v>
      </c>
      <c r="C718">
        <v>6.1510000000000002E-3</v>
      </c>
      <c r="D718">
        <v>4.6449999999999998E-3</v>
      </c>
      <c r="E718">
        <v>5.522E-3</v>
      </c>
      <c r="F718">
        <v>39757213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0.16467463479415664</v>
      </c>
      <c r="Q718">
        <f t="shared" si="1000"/>
        <v>6547004.5312084965</v>
      </c>
      <c r="R718">
        <f t="shared" si="1001"/>
        <v>-115084749.83288594</v>
      </c>
      <c r="S718">
        <f t="shared" si="1002"/>
        <v>-1150.8474983288593</v>
      </c>
      <c r="T718">
        <f t="shared" si="1003"/>
        <v>-1.1508474983288592</v>
      </c>
    </row>
    <row r="719" spans="1:20" x14ac:dyDescent="0.25">
      <c r="A719" s="5">
        <v>43874</v>
      </c>
      <c r="B719">
        <v>4.5009999999999998E-3</v>
      </c>
      <c r="C719">
        <v>4.7429999999999998E-3</v>
      </c>
      <c r="D719">
        <v>4.3839999999999999E-3</v>
      </c>
      <c r="E719">
        <v>4.6560000000000004E-3</v>
      </c>
      <c r="F719">
        <v>17915980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0.51532033426184165</v>
      </c>
      <c r="Q719">
        <f t="shared" si="1000"/>
        <v>9232468.8022284694</v>
      </c>
      <c r="R719">
        <f t="shared" si="1001"/>
        <v>-121631754.36409444</v>
      </c>
      <c r="S719">
        <f t="shared" si="1002"/>
        <v>-1216.3175436409445</v>
      </c>
      <c r="T719">
        <f t="shared" si="1003"/>
        <v>-1.2163175436409444</v>
      </c>
    </row>
    <row r="720" spans="1:20" x14ac:dyDescent="0.25">
      <c r="A720" s="5">
        <v>43873</v>
      </c>
      <c r="B720">
        <v>4.4120000000000001E-3</v>
      </c>
      <c r="C720">
        <v>4.5750000000000001E-3</v>
      </c>
      <c r="D720">
        <v>4.3E-3</v>
      </c>
      <c r="E720">
        <v>4.4879999999999998E-3</v>
      </c>
      <c r="F720">
        <v>14556732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0.36727272727272547</v>
      </c>
      <c r="Q720">
        <f t="shared" si="1000"/>
        <v>5346290.661818156</v>
      </c>
      <c r="R720">
        <f t="shared" si="1001"/>
        <v>-130864223.1663229</v>
      </c>
      <c r="S720">
        <f t="shared" si="1002"/>
        <v>-1308.642231663229</v>
      </c>
      <c r="T720">
        <f t="shared" si="1003"/>
        <v>-1.3086422316632291</v>
      </c>
    </row>
    <row r="721" spans="1:20" x14ac:dyDescent="0.25">
      <c r="A721" s="5">
        <v>43872</v>
      </c>
      <c r="B721">
        <v>4.2529999999999998E-3</v>
      </c>
      <c r="C721">
        <v>4.496E-3</v>
      </c>
      <c r="D721">
        <v>4.1960000000000001E-3</v>
      </c>
      <c r="E721">
        <v>4.4120000000000001E-3</v>
      </c>
      <c r="F721">
        <v>23215677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0.44000000000000067</v>
      </c>
      <c r="Q721">
        <f t="shared" si="1000"/>
        <v>10214897.880000016</v>
      </c>
      <c r="R721">
        <f t="shared" si="1001"/>
        <v>-136210513.82814106</v>
      </c>
      <c r="S721">
        <f t="shared" si="1002"/>
        <v>-1362.1051382814107</v>
      </c>
      <c r="T721">
        <f t="shared" si="1003"/>
        <v>-1.3621051382814107</v>
      </c>
    </row>
    <row r="722" spans="1:20" x14ac:dyDescent="0.25">
      <c r="A722" s="5">
        <v>43871</v>
      </c>
      <c r="B722">
        <v>3.8110000000000002E-3</v>
      </c>
      <c r="C722">
        <v>4.2989999999999999E-3</v>
      </c>
      <c r="D722">
        <v>3.7260000000000001E-3</v>
      </c>
      <c r="E722">
        <v>4.2529999999999998E-3</v>
      </c>
      <c r="F722">
        <v>20057683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0.83944153577661407</v>
      </c>
      <c r="Q722">
        <f t="shared" si="1000"/>
        <v>16837252.221640483</v>
      </c>
      <c r="R722">
        <f t="shared" si="1001"/>
        <v>-146425411.70814109</v>
      </c>
      <c r="S722">
        <f t="shared" si="1002"/>
        <v>-1464.2541170814109</v>
      </c>
      <c r="T722">
        <f t="shared" si="1003"/>
        <v>-1.464254117081411</v>
      </c>
    </row>
    <row r="723" spans="1:20" x14ac:dyDescent="0.25">
      <c r="A723" s="5">
        <v>43870</v>
      </c>
      <c r="B723">
        <v>3.9189999999999997E-3</v>
      </c>
      <c r="C723">
        <v>4.0429999999999997E-3</v>
      </c>
      <c r="D723">
        <v>3.7450000000000001E-3</v>
      </c>
      <c r="E723">
        <v>3.8110000000000002E-3</v>
      </c>
      <c r="F723">
        <v>15663958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-0.55704697986577068</v>
      </c>
      <c r="Q723">
        <f t="shared" si="1000"/>
        <v>-8725560.4966442771</v>
      </c>
      <c r="R723">
        <f t="shared" si="1001"/>
        <v>-163262663.92978156</v>
      </c>
      <c r="S723">
        <f t="shared" si="1002"/>
        <v>-1632.6266392978155</v>
      </c>
      <c r="T723">
        <f t="shared" si="1003"/>
        <v>-1.6326266392978155</v>
      </c>
    </row>
    <row r="724" spans="1:20" x14ac:dyDescent="0.25">
      <c r="A724" s="5">
        <v>43869</v>
      </c>
      <c r="B724">
        <v>3.7859999999999999E-3</v>
      </c>
      <c r="C724">
        <v>4.1000000000000003E-3</v>
      </c>
      <c r="D724">
        <v>3.6050000000000001E-3</v>
      </c>
      <c r="E724">
        <v>3.9090000000000001E-3</v>
      </c>
      <c r="F724">
        <v>19909316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0.22828282828282781</v>
      </c>
      <c r="Q724">
        <f t="shared" si="1000"/>
        <v>4544954.9656565562</v>
      </c>
      <c r="R724">
        <f t="shared" si="1001"/>
        <v>-154537103.43313727</v>
      </c>
      <c r="S724">
        <f t="shared" si="1002"/>
        <v>-1545.3710343313726</v>
      </c>
      <c r="T724">
        <f t="shared" si="1003"/>
        <v>-1.5453710343313727</v>
      </c>
    </row>
    <row r="725" spans="1:20" x14ac:dyDescent="0.25">
      <c r="A725" s="5">
        <v>43868</v>
      </c>
      <c r="B725">
        <v>3.4390000000000002E-3</v>
      </c>
      <c r="C725">
        <v>3.7680000000000001E-3</v>
      </c>
      <c r="D725">
        <v>3.418E-3</v>
      </c>
      <c r="E725">
        <v>3.7680000000000001E-3</v>
      </c>
      <c r="F725">
        <v>13343290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1</v>
      </c>
      <c r="Q725">
        <f t="shared" si="1000"/>
        <v>13343290</v>
      </c>
      <c r="R725">
        <f t="shared" si="1001"/>
        <v>-159082058.39879382</v>
      </c>
      <c r="S725">
        <f t="shared" si="1002"/>
        <v>-1590.8205839879381</v>
      </c>
      <c r="T725">
        <f t="shared" si="1003"/>
        <v>-1.5908205839879381</v>
      </c>
    </row>
    <row r="726" spans="1:20" x14ac:dyDescent="0.25">
      <c r="A726" s="5">
        <v>43867</v>
      </c>
      <c r="B726">
        <v>3.15E-3</v>
      </c>
      <c r="C726">
        <v>3.4390000000000002E-3</v>
      </c>
      <c r="D726">
        <v>3.114E-3</v>
      </c>
      <c r="E726">
        <v>3.4390000000000002E-3</v>
      </c>
      <c r="F726">
        <v>16573154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1</v>
      </c>
      <c r="Q726">
        <f t="shared" si="1000"/>
        <v>16573154</v>
      </c>
      <c r="R726">
        <f t="shared" si="1001"/>
        <v>-172425348.39879382</v>
      </c>
      <c r="S726">
        <f t="shared" si="1002"/>
        <v>-1724.2534839879381</v>
      </c>
      <c r="T726">
        <f t="shared" si="1003"/>
        <v>-1.7242534839879382</v>
      </c>
    </row>
    <row r="727" spans="1:20" x14ac:dyDescent="0.25">
      <c r="A727" s="5">
        <v>43866</v>
      </c>
      <c r="B727">
        <v>3.2759999999999998E-3</v>
      </c>
      <c r="C727">
        <v>3.3470000000000001E-3</v>
      </c>
      <c r="D727">
        <v>3.0019999999999999E-3</v>
      </c>
      <c r="E727">
        <v>3.15E-3</v>
      </c>
      <c r="F727">
        <v>31833278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-0.14202898550724627</v>
      </c>
      <c r="Q727">
        <f t="shared" si="1000"/>
        <v>-4521248.1797101414</v>
      </c>
      <c r="R727">
        <f t="shared" si="1001"/>
        <v>-188998502.39879382</v>
      </c>
      <c r="S727">
        <f t="shared" si="1002"/>
        <v>-1889.9850239879381</v>
      </c>
      <c r="T727">
        <f t="shared" si="1003"/>
        <v>-1.8899850239879381</v>
      </c>
    </row>
    <row r="728" spans="1:20" x14ac:dyDescent="0.25">
      <c r="A728" s="5">
        <v>43865</v>
      </c>
      <c r="B728">
        <v>2.9239999999999999E-3</v>
      </c>
      <c r="C728">
        <v>3.274E-3</v>
      </c>
      <c r="D728">
        <v>2.9239999999999999E-3</v>
      </c>
      <c r="E728">
        <v>3.2450000000000001E-3</v>
      </c>
      <c r="F728">
        <v>19804748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0.83428571428571463</v>
      </c>
      <c r="Q728">
        <f t="shared" si="1000"/>
        <v>16522818.331428578</v>
      </c>
      <c r="R728">
        <f t="shared" si="1001"/>
        <v>-184477254.21908367</v>
      </c>
      <c r="S728">
        <f t="shared" si="1002"/>
        <v>-1844.7725421908367</v>
      </c>
      <c r="T728">
        <f t="shared" si="1003"/>
        <v>-1.8447725421908368</v>
      </c>
    </row>
    <row r="729" spans="1:20" x14ac:dyDescent="0.25">
      <c r="A729" s="5">
        <v>43864</v>
      </c>
      <c r="B729">
        <v>2.911E-3</v>
      </c>
      <c r="C729">
        <v>2.9859999999999999E-3</v>
      </c>
      <c r="D729">
        <v>2.8809999999999999E-3</v>
      </c>
      <c r="E729">
        <v>2.9220000000000001E-3</v>
      </c>
      <c r="F729">
        <v>4455561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-0.21904761904761497</v>
      </c>
      <c r="Q729">
        <f t="shared" si="1000"/>
        <v>-975980.02857141034</v>
      </c>
      <c r="R729">
        <f t="shared" si="1001"/>
        <v>-201000072.55051225</v>
      </c>
      <c r="S729">
        <f t="shared" si="1002"/>
        <v>-2010.0007255051225</v>
      </c>
      <c r="T729">
        <f t="shared" si="1003"/>
        <v>-2.0100007255051224</v>
      </c>
    </row>
    <row r="730" spans="1:20" x14ac:dyDescent="0.25">
      <c r="A730" s="5">
        <v>43863</v>
      </c>
      <c r="B730">
        <v>2.8990000000000001E-3</v>
      </c>
      <c r="C730">
        <v>3.0000000000000001E-3</v>
      </c>
      <c r="D730">
        <v>2.8830000000000001E-3</v>
      </c>
      <c r="E730">
        <v>2.9160000000000002E-3</v>
      </c>
      <c r="F730">
        <v>7978515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-0.43589743589743474</v>
      </c>
      <c r="Q730">
        <f t="shared" si="1000"/>
        <v>-3477814.2307692217</v>
      </c>
      <c r="R730">
        <f t="shared" si="1001"/>
        <v>-200024092.52194086</v>
      </c>
      <c r="S730">
        <f t="shared" si="1002"/>
        <v>-2000.2409252194086</v>
      </c>
      <c r="T730">
        <f t="shared" si="1003"/>
        <v>-2.0002409252194084</v>
      </c>
    </row>
    <row r="731" spans="1:20" x14ac:dyDescent="0.25">
      <c r="A731" s="5">
        <v>43862</v>
      </c>
      <c r="B731">
        <v>2.8999999999999998E-3</v>
      </c>
      <c r="C731">
        <v>2.9390000000000002E-3</v>
      </c>
      <c r="D731">
        <v>2.8730000000000001E-3</v>
      </c>
      <c r="E731">
        <v>2.9190000000000002E-3</v>
      </c>
      <c r="F731">
        <v>2832775</v>
      </c>
      <c r="G731">
        <v>0</v>
      </c>
      <c r="L731" t="s">
        <v>7</v>
      </c>
      <c r="M731" t="s">
        <v>7</v>
      </c>
      <c r="N731" t="s">
        <v>7</v>
      </c>
      <c r="P731">
        <f t="shared" si="999"/>
        <v>0.39393939393939315</v>
      </c>
      <c r="Q731">
        <f t="shared" si="1000"/>
        <v>1115941.6666666644</v>
      </c>
      <c r="R731">
        <f t="shared" si="1001"/>
        <v>-196546278.29117164</v>
      </c>
      <c r="S731">
        <f t="shared" si="1002"/>
        <v>-1965.4627829117164</v>
      </c>
      <c r="T731">
        <f t="shared" si="1003"/>
        <v>-1.9654627829117164</v>
      </c>
    </row>
    <row r="732" spans="1:20" x14ac:dyDescent="0.25">
      <c r="A732" s="5">
        <v>43861</v>
      </c>
      <c r="B732">
        <v>2.8159999999999999E-3</v>
      </c>
      <c r="C732">
        <v>2.9320000000000001E-3</v>
      </c>
      <c r="D732">
        <v>2.8059999999999999E-3</v>
      </c>
      <c r="E732">
        <v>2.898E-3</v>
      </c>
      <c r="F732">
        <v>5041757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0.46031746031745857</v>
      </c>
      <c r="Q732">
        <f t="shared" si="1000"/>
        <v>2320808.7777777691</v>
      </c>
      <c r="R732">
        <f t="shared" si="1001"/>
        <v>-197662219.9578383</v>
      </c>
      <c r="S732">
        <f t="shared" si="1002"/>
        <v>-1976.6221995783831</v>
      </c>
      <c r="T732">
        <f t="shared" si="1003"/>
        <v>-1.976622199578383</v>
      </c>
    </row>
    <row r="733" spans="1:20" x14ac:dyDescent="0.25">
      <c r="A733" s="5">
        <v>43860</v>
      </c>
      <c r="B733">
        <v>2.8310000000000002E-3</v>
      </c>
      <c r="C733">
        <v>2.8660000000000001E-3</v>
      </c>
      <c r="D733">
        <v>2.7659999999999998E-3</v>
      </c>
      <c r="E733">
        <v>2.8159999999999999E-3</v>
      </c>
      <c r="F733">
        <v>3830950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</v>
      </c>
      <c r="Q733">
        <f t="shared" si="1000"/>
        <v>0</v>
      </c>
      <c r="R733">
        <f t="shared" si="1001"/>
        <v>-199983028.73561606</v>
      </c>
      <c r="S733">
        <f t="shared" si="1002"/>
        <v>-1999.8302873561606</v>
      </c>
      <c r="T733">
        <f t="shared" si="1003"/>
        <v>-1.9998302873561606</v>
      </c>
    </row>
    <row r="734" spans="1:20" x14ac:dyDescent="0.25">
      <c r="A734" s="5">
        <v>43859</v>
      </c>
      <c r="B734">
        <v>2.8869999999999998E-3</v>
      </c>
      <c r="C734">
        <v>2.9420000000000002E-3</v>
      </c>
      <c r="D734">
        <v>2.833E-3</v>
      </c>
      <c r="E734">
        <v>2.833E-3</v>
      </c>
      <c r="F734">
        <v>5120315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-1</v>
      </c>
      <c r="Q734">
        <f t="shared" si="1000"/>
        <v>-5120315</v>
      </c>
      <c r="R734">
        <f t="shared" si="1001"/>
        <v>-199983028.73561606</v>
      </c>
      <c r="S734">
        <f t="shared" si="1002"/>
        <v>-1999.8302873561606</v>
      </c>
      <c r="T734">
        <f t="shared" si="1003"/>
        <v>-1.9998302873561606</v>
      </c>
    </row>
    <row r="735" spans="1:20" x14ac:dyDescent="0.25">
      <c r="A735" s="5">
        <v>43858</v>
      </c>
      <c r="B735">
        <v>2.9520000000000002E-3</v>
      </c>
      <c r="C735">
        <v>3.0130000000000001E-3</v>
      </c>
      <c r="D735">
        <v>2.8860000000000001E-3</v>
      </c>
      <c r="E735">
        <v>2.8860000000000001E-3</v>
      </c>
      <c r="F735">
        <v>10453774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-1</v>
      </c>
      <c r="Q735">
        <f t="shared" si="1000"/>
        <v>-10453774</v>
      </c>
      <c r="R735">
        <f t="shared" si="1001"/>
        <v>-194862713.73561606</v>
      </c>
      <c r="S735">
        <f t="shared" si="1002"/>
        <v>-1948.6271373561606</v>
      </c>
      <c r="T735">
        <f t="shared" si="1003"/>
        <v>-1.9486271373561606</v>
      </c>
    </row>
    <row r="736" spans="1:20" x14ac:dyDescent="0.25">
      <c r="A736" s="5">
        <v>43857</v>
      </c>
      <c r="B736">
        <v>2.9949999999999998E-3</v>
      </c>
      <c r="C736">
        <v>3.039E-3</v>
      </c>
      <c r="D736">
        <v>2.9350000000000001E-3</v>
      </c>
      <c r="E736">
        <v>2.9580000000000001E-3</v>
      </c>
      <c r="F736">
        <v>8464776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-0.55769230769230704</v>
      </c>
      <c r="Q736">
        <f t="shared" si="1000"/>
        <v>-4720740.4615384564</v>
      </c>
      <c r="R736">
        <f t="shared" si="1001"/>
        <v>-184408939.73561606</v>
      </c>
      <c r="S736">
        <f t="shared" si="1002"/>
        <v>-1844.0893973561606</v>
      </c>
      <c r="T736">
        <f t="shared" si="1003"/>
        <v>-1.8440893973561605</v>
      </c>
    </row>
    <row r="737" spans="1:20" x14ac:dyDescent="0.25">
      <c r="A737" s="5">
        <v>43856</v>
      </c>
      <c r="B737">
        <v>2.9160000000000002E-3</v>
      </c>
      <c r="C737">
        <v>2.993E-3</v>
      </c>
      <c r="D737">
        <v>2.8999999999999998E-3</v>
      </c>
      <c r="E737">
        <v>2.993E-3</v>
      </c>
      <c r="F737">
        <v>1557667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1</v>
      </c>
      <c r="Q737">
        <f t="shared" si="1000"/>
        <v>1557667</v>
      </c>
      <c r="R737">
        <f t="shared" si="1001"/>
        <v>-179688199.27407759</v>
      </c>
      <c r="S737">
        <f t="shared" si="1002"/>
        <v>-1796.881992740776</v>
      </c>
      <c r="T737">
        <f t="shared" si="1003"/>
        <v>-1.796881992740776</v>
      </c>
    </row>
    <row r="738" spans="1:20" x14ac:dyDescent="0.25">
      <c r="A738" s="5">
        <v>43855</v>
      </c>
      <c r="B738">
        <v>2.8050000000000002E-3</v>
      </c>
      <c r="C738">
        <v>3.0000000000000001E-3</v>
      </c>
      <c r="D738">
        <v>2.7680000000000001E-3</v>
      </c>
      <c r="E738">
        <v>2.9680000000000002E-3</v>
      </c>
      <c r="F738">
        <v>13051212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0.72413793103448354</v>
      </c>
      <c r="Q738">
        <f t="shared" si="1000"/>
        <v>9450877.6551724244</v>
      </c>
      <c r="R738">
        <f t="shared" si="1001"/>
        <v>-181245866.27407759</v>
      </c>
      <c r="S738">
        <f t="shared" si="1002"/>
        <v>-1812.4586627407759</v>
      </c>
      <c r="T738">
        <f t="shared" si="1003"/>
        <v>-1.8124586627407759</v>
      </c>
    </row>
    <row r="739" spans="1:20" x14ac:dyDescent="0.25">
      <c r="A739" s="5">
        <v>43854</v>
      </c>
      <c r="B739">
        <v>2.823E-3</v>
      </c>
      <c r="C739">
        <v>2.8770000000000002E-3</v>
      </c>
      <c r="D739">
        <v>2.7139999999999998E-3</v>
      </c>
      <c r="E739">
        <v>2.823E-3</v>
      </c>
      <c r="F739">
        <v>2737775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0.33742331288343436</v>
      </c>
      <c r="Q739">
        <f t="shared" si="1000"/>
        <v>923789.11042944447</v>
      </c>
      <c r="R739">
        <f t="shared" si="1001"/>
        <v>-190696743.92925003</v>
      </c>
      <c r="S739">
        <f t="shared" si="1002"/>
        <v>-1906.9674392925003</v>
      </c>
      <c r="T739">
        <f t="shared" si="1003"/>
        <v>-1.9069674392925002</v>
      </c>
    </row>
    <row r="740" spans="1:20" x14ac:dyDescent="0.25">
      <c r="A740" s="5">
        <v>43853</v>
      </c>
      <c r="B740">
        <v>2.8860000000000001E-3</v>
      </c>
      <c r="C740">
        <v>2.9290000000000002E-3</v>
      </c>
      <c r="D740">
        <v>2.8029999999999999E-3</v>
      </c>
      <c r="E740">
        <v>2.859E-3</v>
      </c>
      <c r="F740">
        <v>4285152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-0.11111111111111188</v>
      </c>
      <c r="Q740">
        <f t="shared" si="1000"/>
        <v>-476128.00000000332</v>
      </c>
      <c r="R740">
        <f t="shared" si="1001"/>
        <v>-191620533.03967947</v>
      </c>
      <c r="S740">
        <f t="shared" si="1002"/>
        <v>-1916.2053303967946</v>
      </c>
      <c r="T740">
        <f t="shared" si="1003"/>
        <v>-1.9162053303967945</v>
      </c>
    </row>
    <row r="741" spans="1:20" x14ac:dyDescent="0.25">
      <c r="A741" s="5">
        <v>43852</v>
      </c>
      <c r="B741">
        <v>2.9090000000000001E-3</v>
      </c>
      <c r="C741">
        <v>2.9329999999999998E-3</v>
      </c>
      <c r="D741">
        <v>2.872E-3</v>
      </c>
      <c r="E741">
        <v>2.918E-3</v>
      </c>
      <c r="F741">
        <v>2376419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0.50819672131148008</v>
      </c>
      <c r="Q741">
        <f t="shared" si="1000"/>
        <v>1207688.3442623061</v>
      </c>
      <c r="R741">
        <f t="shared" si="1001"/>
        <v>-191144405.03967947</v>
      </c>
      <c r="S741">
        <f t="shared" si="1002"/>
        <v>-1911.4440503967946</v>
      </c>
      <c r="T741">
        <f t="shared" si="1003"/>
        <v>-1.9114440503967947</v>
      </c>
    </row>
    <row r="742" spans="1:20" x14ac:dyDescent="0.25">
      <c r="A742" s="5">
        <v>43851</v>
      </c>
      <c r="B742">
        <v>2.8660000000000001E-3</v>
      </c>
      <c r="C742">
        <v>2.9090000000000001E-3</v>
      </c>
      <c r="D742">
        <v>2.8249999999999998E-3</v>
      </c>
      <c r="E742">
        <v>2.9090000000000001E-3</v>
      </c>
      <c r="F742">
        <v>3301670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1</v>
      </c>
      <c r="Q742">
        <f t="shared" si="1000"/>
        <v>3301670</v>
      </c>
      <c r="R742">
        <f t="shared" si="1001"/>
        <v>-192352093.38394177</v>
      </c>
      <c r="S742">
        <f t="shared" si="1002"/>
        <v>-1923.5209338394177</v>
      </c>
      <c r="T742">
        <f t="shared" si="1003"/>
        <v>-1.9235209338394177</v>
      </c>
    </row>
    <row r="743" spans="1:20" x14ac:dyDescent="0.25">
      <c r="A743" s="5">
        <v>43850</v>
      </c>
      <c r="B743">
        <v>2.8900000000000002E-3</v>
      </c>
      <c r="C743">
        <v>2.9030000000000002E-3</v>
      </c>
      <c r="D743">
        <v>2.833E-3</v>
      </c>
      <c r="E743">
        <v>2.8990000000000001E-3</v>
      </c>
      <c r="F743">
        <v>2958995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0.88571428571428323</v>
      </c>
      <c r="Q743">
        <f t="shared" si="1000"/>
        <v>2620824.1428571357</v>
      </c>
      <c r="R743">
        <f t="shared" si="1001"/>
        <v>-195653763.38394177</v>
      </c>
      <c r="S743">
        <f t="shared" si="1002"/>
        <v>-1956.5376338394176</v>
      </c>
      <c r="T743">
        <f t="shared" si="1003"/>
        <v>-1.9565376338394176</v>
      </c>
    </row>
    <row r="744" spans="1:20" x14ac:dyDescent="0.25">
      <c r="A744" s="5">
        <v>43849</v>
      </c>
      <c r="B744">
        <v>3.0070000000000001E-3</v>
      </c>
      <c r="C744">
        <v>3.0690000000000001E-3</v>
      </c>
      <c r="D744">
        <v>2.8019999999999998E-3</v>
      </c>
      <c r="E744">
        <v>2.9030000000000002E-3</v>
      </c>
      <c r="F744">
        <v>11188732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-0.24344569288389306</v>
      </c>
      <c r="Q744">
        <f t="shared" si="1000"/>
        <v>-2723848.6142321867</v>
      </c>
      <c r="R744">
        <f t="shared" si="1001"/>
        <v>-198274587.5267989</v>
      </c>
      <c r="S744">
        <f t="shared" si="1002"/>
        <v>-1982.745875267989</v>
      </c>
      <c r="T744">
        <f t="shared" si="1003"/>
        <v>-1.982745875267989</v>
      </c>
    </row>
    <row r="745" spans="1:20" x14ac:dyDescent="0.25">
      <c r="A745" s="5">
        <v>43848</v>
      </c>
      <c r="B745">
        <v>3.0040000000000002E-3</v>
      </c>
      <c r="C745">
        <v>3.0639999999999999E-3</v>
      </c>
      <c r="D745">
        <v>2.9489999999999998E-3</v>
      </c>
      <c r="E745">
        <v>3.0049999999999999E-3</v>
      </c>
      <c r="F745">
        <v>10440587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-2.6086956521738803E-2</v>
      </c>
      <c r="Q745">
        <f t="shared" si="1000"/>
        <v>-272363.13913043134</v>
      </c>
      <c r="R745">
        <f t="shared" si="1001"/>
        <v>-195550738.91256672</v>
      </c>
      <c r="S745">
        <f t="shared" si="1002"/>
        <v>-1955.5073891256673</v>
      </c>
      <c r="T745">
        <f t="shared" si="1003"/>
        <v>-1.9555073891256674</v>
      </c>
    </row>
    <row r="746" spans="1:20" x14ac:dyDescent="0.25">
      <c r="A746" s="5">
        <v>43847</v>
      </c>
      <c r="B746">
        <v>2.9299999999999999E-3</v>
      </c>
      <c r="C746">
        <v>3.2190000000000001E-3</v>
      </c>
      <c r="D746">
        <v>2.856E-3</v>
      </c>
      <c r="E746">
        <v>2.993E-3</v>
      </c>
      <c r="F746">
        <v>22865187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-0.2451790633608818</v>
      </c>
      <c r="Q746">
        <f t="shared" si="1000"/>
        <v>-5606065.1322314106</v>
      </c>
      <c r="R746">
        <f t="shared" si="1001"/>
        <v>-195278375.77343628</v>
      </c>
      <c r="S746">
        <f t="shared" si="1002"/>
        <v>-1952.7837577343628</v>
      </c>
      <c r="T746">
        <f t="shared" si="1003"/>
        <v>-1.9527837577343627</v>
      </c>
    </row>
    <row r="747" spans="1:20" x14ac:dyDescent="0.25">
      <c r="A747" s="5">
        <v>43846</v>
      </c>
      <c r="B747">
        <v>2.9350000000000001E-3</v>
      </c>
      <c r="C747">
        <v>2.954E-3</v>
      </c>
      <c r="D747">
        <v>2.869E-3</v>
      </c>
      <c r="E747">
        <v>2.9529999999999999E-3</v>
      </c>
      <c r="F747">
        <v>4714578</v>
      </c>
      <c r="G747">
        <v>0</v>
      </c>
      <c r="L747" t="s">
        <v>8</v>
      </c>
      <c r="M747" t="s">
        <v>7</v>
      </c>
      <c r="N747" t="s">
        <v>7</v>
      </c>
      <c r="P747">
        <f t="shared" si="999"/>
        <v>0.97647058823529098</v>
      </c>
      <c r="Q747">
        <f t="shared" si="1000"/>
        <v>4603646.7529411614</v>
      </c>
      <c r="R747">
        <f t="shared" si="1001"/>
        <v>-189672310.64120486</v>
      </c>
      <c r="S747">
        <f t="shared" si="1002"/>
        <v>-1896.7231064120485</v>
      </c>
      <c r="T747">
        <f t="shared" si="1003"/>
        <v>-1.8967231064120484</v>
      </c>
    </row>
    <row r="748" spans="1:20" x14ac:dyDescent="0.25">
      <c r="A748" s="5">
        <v>43845</v>
      </c>
      <c r="B748">
        <v>2.8E-3</v>
      </c>
      <c r="C748">
        <v>3.0000000000000001E-3</v>
      </c>
      <c r="D748">
        <v>2.764E-3</v>
      </c>
      <c r="E748">
        <v>2.9359999999999998E-3</v>
      </c>
      <c r="F748">
        <v>30226382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0.45762711864406586</v>
      </c>
      <c r="Q748">
        <f t="shared" si="1000"/>
        <v>13832412.101694856</v>
      </c>
      <c r="R748">
        <f t="shared" si="1001"/>
        <v>-194275957.39414603</v>
      </c>
      <c r="S748">
        <f t="shared" si="1002"/>
        <v>-1942.7595739414603</v>
      </c>
      <c r="T748">
        <f t="shared" si="1003"/>
        <v>-1.9427595739414603</v>
      </c>
    </row>
    <row r="749" spans="1:20" x14ac:dyDescent="0.25">
      <c r="A749" s="5">
        <v>43844</v>
      </c>
      <c r="B749">
        <v>2.8400000000000001E-3</v>
      </c>
      <c r="C749">
        <v>2.879E-3</v>
      </c>
      <c r="D749">
        <v>2.7729999999999999E-3</v>
      </c>
      <c r="E749">
        <v>2.8340000000000001E-3</v>
      </c>
      <c r="F749">
        <v>17654715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0.1509433962264185</v>
      </c>
      <c r="Q749">
        <f t="shared" si="1000"/>
        <v>2664862.6415094943</v>
      </c>
      <c r="R749">
        <f t="shared" si="1001"/>
        <v>-208108369.49584088</v>
      </c>
      <c r="S749">
        <f t="shared" si="1002"/>
        <v>-2081.0836949584086</v>
      </c>
      <c r="T749">
        <f t="shared" si="1003"/>
        <v>-2.0810836949584086</v>
      </c>
    </row>
    <row r="750" spans="1:20" x14ac:dyDescent="0.25">
      <c r="A750" s="5">
        <v>43843</v>
      </c>
      <c r="B750">
        <v>2.8579999999999999E-3</v>
      </c>
      <c r="C750">
        <v>2.8760000000000001E-3</v>
      </c>
      <c r="D750">
        <v>2.7699999999999999E-3</v>
      </c>
      <c r="E750">
        <v>2.8509999999999998E-3</v>
      </c>
      <c r="F750">
        <v>5911457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0.52830188679244838</v>
      </c>
      <c r="Q750">
        <f t="shared" si="1000"/>
        <v>3123033.8867924265</v>
      </c>
      <c r="R750">
        <f t="shared" si="1001"/>
        <v>-210773232.13735038</v>
      </c>
      <c r="S750">
        <f t="shared" si="1002"/>
        <v>-2107.732321373504</v>
      </c>
      <c r="T750">
        <f t="shared" si="1003"/>
        <v>-2.1077323213735037</v>
      </c>
    </row>
    <row r="751" spans="1:20" x14ac:dyDescent="0.25">
      <c r="A751" s="5">
        <v>43842</v>
      </c>
      <c r="B751">
        <v>2.7980000000000001E-3</v>
      </c>
      <c r="C751">
        <v>2.8999999999999998E-3</v>
      </c>
      <c r="D751">
        <v>2.7980000000000001E-3</v>
      </c>
      <c r="E751">
        <v>2.859E-3</v>
      </c>
      <c r="F751">
        <v>7981329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0.19607843137255018</v>
      </c>
      <c r="Q751">
        <f t="shared" si="1000"/>
        <v>1564966.4705882445</v>
      </c>
      <c r="R751">
        <f t="shared" si="1001"/>
        <v>-213896266.0241428</v>
      </c>
      <c r="S751">
        <f t="shared" si="1002"/>
        <v>-2138.9626602414282</v>
      </c>
      <c r="T751">
        <f t="shared" si="1003"/>
        <v>-2.1389626602414284</v>
      </c>
    </row>
    <row r="752" spans="1:20" x14ac:dyDescent="0.25">
      <c r="A752" s="5">
        <v>43841</v>
      </c>
      <c r="B752">
        <v>2.8310000000000002E-3</v>
      </c>
      <c r="C752">
        <v>2.8830000000000001E-3</v>
      </c>
      <c r="D752">
        <v>2.787E-3</v>
      </c>
      <c r="E752">
        <v>2.8210000000000002E-3</v>
      </c>
      <c r="F752">
        <v>14763027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-0.29166666666666424</v>
      </c>
      <c r="Q752">
        <f t="shared" si="1000"/>
        <v>-4305882.8749999646</v>
      </c>
      <c r="R752">
        <f t="shared" si="1001"/>
        <v>-215461232.49473104</v>
      </c>
      <c r="S752">
        <f t="shared" si="1002"/>
        <v>-2154.6123249473103</v>
      </c>
      <c r="T752">
        <f t="shared" si="1003"/>
        <v>-2.1546123249473101</v>
      </c>
    </row>
    <row r="753" spans="1:20" x14ac:dyDescent="0.25">
      <c r="A753" s="5">
        <v>43840</v>
      </c>
      <c r="B753">
        <v>2.7599999999999999E-3</v>
      </c>
      <c r="C753">
        <v>2.8570000000000002E-3</v>
      </c>
      <c r="D753">
        <v>2.6830000000000001E-3</v>
      </c>
      <c r="E753">
        <v>2.8440000000000002E-3</v>
      </c>
      <c r="F753">
        <v>8606131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0.85057471264367834</v>
      </c>
      <c r="Q753">
        <f t="shared" si="1000"/>
        <v>7320157.4022988519</v>
      </c>
      <c r="R753">
        <f t="shared" si="1001"/>
        <v>-211155349.61973107</v>
      </c>
      <c r="S753">
        <f t="shared" si="1002"/>
        <v>-2111.5534961973108</v>
      </c>
      <c r="T753">
        <f t="shared" si="1003"/>
        <v>-2.1115534961973106</v>
      </c>
    </row>
    <row r="754" spans="1:20" x14ac:dyDescent="0.25">
      <c r="A754" s="5">
        <v>43839</v>
      </c>
      <c r="B754">
        <v>2.8249999999999998E-3</v>
      </c>
      <c r="C754">
        <v>2.8630000000000001E-3</v>
      </c>
      <c r="D754">
        <v>2.7339999999999999E-3</v>
      </c>
      <c r="E754">
        <v>2.7590000000000002E-3</v>
      </c>
      <c r="F754">
        <v>7763408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-0.61240310077519</v>
      </c>
      <c r="Q754">
        <f t="shared" si="1000"/>
        <v>-4754335.1317829164</v>
      </c>
      <c r="R754">
        <f t="shared" si="1001"/>
        <v>-218475507.02202991</v>
      </c>
      <c r="S754">
        <f t="shared" si="1002"/>
        <v>-2184.7550702202989</v>
      </c>
      <c r="T754">
        <f t="shared" si="1003"/>
        <v>-2.1847550702202989</v>
      </c>
    </row>
    <row r="755" spans="1:20" x14ac:dyDescent="0.25">
      <c r="A755" s="5">
        <v>43838</v>
      </c>
      <c r="B755">
        <v>3.0149999999999999E-3</v>
      </c>
      <c r="C755">
        <v>3.0279999999999999E-3</v>
      </c>
      <c r="D755">
        <v>2.7399999999999998E-3</v>
      </c>
      <c r="E755">
        <v>2.8400000000000001E-3</v>
      </c>
      <c r="F755">
        <v>38570622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-0.30555555555555386</v>
      </c>
      <c r="Q755">
        <f t="shared" si="1000"/>
        <v>-11785467.833333269</v>
      </c>
      <c r="R755">
        <f t="shared" si="1001"/>
        <v>-213721171.89024699</v>
      </c>
      <c r="S755">
        <f t="shared" si="1002"/>
        <v>-2137.2117189024698</v>
      </c>
      <c r="T755">
        <f t="shared" si="1003"/>
        <v>-2.1372117189024697</v>
      </c>
    </row>
    <row r="756" spans="1:20" x14ac:dyDescent="0.25">
      <c r="A756" s="5">
        <v>43837</v>
      </c>
      <c r="B756">
        <v>3.0969999999999999E-3</v>
      </c>
      <c r="C756">
        <v>3.156E-3</v>
      </c>
      <c r="D756">
        <v>2.9229999999999998E-3</v>
      </c>
      <c r="E756">
        <v>2.9919999999999999E-3</v>
      </c>
      <c r="F756">
        <v>15791962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-0.40772532188841193</v>
      </c>
      <c r="Q756">
        <f t="shared" si="1000"/>
        <v>-6438782.7896995693</v>
      </c>
      <c r="R756">
        <f t="shared" si="1001"/>
        <v>-201935704.05691373</v>
      </c>
      <c r="S756">
        <f t="shared" si="1002"/>
        <v>-2019.3570405691373</v>
      </c>
      <c r="T756">
        <f t="shared" si="1003"/>
        <v>-2.0193570405691372</v>
      </c>
    </row>
    <row r="757" spans="1:20" x14ac:dyDescent="0.25">
      <c r="A757" s="5">
        <v>43836</v>
      </c>
      <c r="B757">
        <v>3.173E-3</v>
      </c>
      <c r="C757">
        <v>3.258E-3</v>
      </c>
      <c r="D757">
        <v>3.0500000000000002E-3</v>
      </c>
      <c r="E757">
        <v>3.0929999999999998E-3</v>
      </c>
      <c r="F757">
        <v>24960203</v>
      </c>
      <c r="G757">
        <v>0</v>
      </c>
      <c r="L757" t="s">
        <v>7</v>
      </c>
      <c r="M757" t="s">
        <v>8</v>
      </c>
      <c r="N757" t="s">
        <v>7</v>
      </c>
      <c r="P757">
        <f t="shared" si="999"/>
        <v>-0.58653846153846478</v>
      </c>
      <c r="Q757">
        <f t="shared" si="1000"/>
        <v>-14640119.067307774</v>
      </c>
      <c r="R757">
        <f t="shared" si="1001"/>
        <v>-195496921.26721415</v>
      </c>
      <c r="S757">
        <f t="shared" si="1002"/>
        <v>-1954.9692126721416</v>
      </c>
      <c r="T757">
        <f t="shared" si="1003"/>
        <v>-1.9549692126721416</v>
      </c>
    </row>
    <row r="758" spans="1:20" x14ac:dyDescent="0.25">
      <c r="A758" s="5">
        <v>43835</v>
      </c>
      <c r="B758">
        <v>3.209E-3</v>
      </c>
      <c r="C758">
        <v>3.2680000000000001E-3</v>
      </c>
      <c r="D758">
        <v>3.1689999999999999E-3</v>
      </c>
      <c r="E758">
        <v>3.1689999999999999E-3</v>
      </c>
      <c r="F758">
        <v>7456808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-1</v>
      </c>
      <c r="Q758">
        <f t="shared" si="1000"/>
        <v>-7456808</v>
      </c>
      <c r="R758">
        <f t="shared" si="1001"/>
        <v>-180856802.19990638</v>
      </c>
      <c r="S758">
        <f t="shared" si="1002"/>
        <v>-1808.5680219990638</v>
      </c>
      <c r="T758">
        <f t="shared" si="1003"/>
        <v>-1.8085680219990639</v>
      </c>
    </row>
    <row r="759" spans="1:20" x14ac:dyDescent="0.25">
      <c r="A759" s="5">
        <v>43834</v>
      </c>
      <c r="B759">
        <v>3.3479999999999998E-3</v>
      </c>
      <c r="C759">
        <v>3.3630000000000001E-3</v>
      </c>
      <c r="D759">
        <v>3.1510000000000002E-3</v>
      </c>
      <c r="E759">
        <v>3.209E-3</v>
      </c>
      <c r="F759">
        <v>11585180</v>
      </c>
      <c r="G759">
        <v>0</v>
      </c>
      <c r="L759" t="s">
        <v>7</v>
      </c>
      <c r="M759" t="s">
        <v>8</v>
      </c>
      <c r="N759" t="s">
        <v>7</v>
      </c>
      <c r="P759">
        <f t="shared" si="999"/>
        <v>-0.45283018867924618</v>
      </c>
      <c r="Q759">
        <f t="shared" si="1000"/>
        <v>-5246119.245283029</v>
      </c>
      <c r="R759">
        <f t="shared" si="1001"/>
        <v>-173399994.19990638</v>
      </c>
      <c r="S759">
        <f t="shared" si="1002"/>
        <v>-1733.9999419990638</v>
      </c>
      <c r="T759">
        <f t="shared" si="1003"/>
        <v>-1.7339999419990639</v>
      </c>
    </row>
    <row r="760" spans="1:20" x14ac:dyDescent="0.25">
      <c r="A760" s="5">
        <v>43833</v>
      </c>
      <c r="B760">
        <v>3.2620000000000001E-3</v>
      </c>
      <c r="C760">
        <v>3.4030000000000002E-3</v>
      </c>
      <c r="D760">
        <v>3.1849999999999999E-3</v>
      </c>
      <c r="E760">
        <v>3.3479999999999998E-3</v>
      </c>
      <c r="F760">
        <v>10352349</v>
      </c>
      <c r="G760">
        <v>0</v>
      </c>
      <c r="L760" t="s">
        <v>7</v>
      </c>
      <c r="M760" t="s">
        <v>8</v>
      </c>
      <c r="N760" t="s">
        <v>7</v>
      </c>
      <c r="P760">
        <f t="shared" si="999"/>
        <v>0.49541284403669467</v>
      </c>
      <c r="Q760">
        <f t="shared" si="1000"/>
        <v>5128686.6605504323</v>
      </c>
      <c r="R760">
        <f t="shared" si="1001"/>
        <v>-168153874.95462334</v>
      </c>
      <c r="S760">
        <f t="shared" si="1002"/>
        <v>-1681.5387495462335</v>
      </c>
      <c r="T760">
        <f t="shared" si="1003"/>
        <v>-1.6815387495462335</v>
      </c>
    </row>
    <row r="761" spans="1:20" x14ac:dyDescent="0.25">
      <c r="A761" s="5">
        <v>43832</v>
      </c>
      <c r="B761">
        <v>3.3270000000000001E-3</v>
      </c>
      <c r="C761">
        <v>3.4429999999999999E-3</v>
      </c>
      <c r="D761">
        <v>3.1640000000000001E-3</v>
      </c>
      <c r="E761">
        <v>3.2929999999999999E-3</v>
      </c>
      <c r="F761">
        <v>14634100</v>
      </c>
      <c r="G761">
        <v>0</v>
      </c>
      <c r="L761" t="s">
        <v>8</v>
      </c>
      <c r="M761" t="s">
        <v>8</v>
      </c>
      <c r="N761" t="s">
        <v>7</v>
      </c>
      <c r="P761">
        <f t="shared" si="999"/>
        <v>-7.5268817204301813E-2</v>
      </c>
      <c r="Q761">
        <f t="shared" si="1000"/>
        <v>-1101491.3978494732</v>
      </c>
      <c r="R761">
        <f t="shared" si="1001"/>
        <v>-173282561.61517379</v>
      </c>
      <c r="S761">
        <f t="shared" si="1002"/>
        <v>-1732.8256161517379</v>
      </c>
      <c r="T761">
        <f t="shared" si="1003"/>
        <v>-1.7328256161517379</v>
      </c>
    </row>
    <row r="762" spans="1:20" x14ac:dyDescent="0.25">
      <c r="A762" s="5">
        <v>43831</v>
      </c>
      <c r="B762">
        <v>3.1849999999999999E-3</v>
      </c>
      <c r="C762">
        <v>3.3899999999999998E-3</v>
      </c>
      <c r="D762">
        <v>3.0999999999999999E-3</v>
      </c>
      <c r="E762">
        <v>3.3270000000000001E-3</v>
      </c>
      <c r="F762">
        <v>12111017</v>
      </c>
      <c r="G762">
        <v>0</v>
      </c>
      <c r="L762" t="s">
        <v>7</v>
      </c>
      <c r="M762" t="s">
        <v>8</v>
      </c>
      <c r="N762" t="s">
        <v>7</v>
      </c>
      <c r="P762">
        <f t="shared" si="999"/>
        <v>0.56551724137931236</v>
      </c>
      <c r="Q762">
        <f t="shared" si="1000"/>
        <v>6848988.9241379555</v>
      </c>
      <c r="R762">
        <f t="shared" si="1001"/>
        <v>-172181070.21732432</v>
      </c>
      <c r="S762">
        <f t="shared" si="1002"/>
        <v>-1721.8107021732433</v>
      </c>
      <c r="T762">
        <f t="shared" si="1003"/>
        <v>-1.7218107021732432</v>
      </c>
    </row>
    <row r="763" spans="1:20" x14ac:dyDescent="0.25">
      <c r="A763" s="5">
        <v>43830</v>
      </c>
      <c r="B763">
        <v>3.186E-3</v>
      </c>
      <c r="C763">
        <v>3.2330000000000002E-3</v>
      </c>
      <c r="D763">
        <v>3.15E-3</v>
      </c>
      <c r="E763">
        <v>3.1679999999999998E-3</v>
      </c>
      <c r="F763">
        <v>1344427</v>
      </c>
      <c r="G763">
        <v>0</v>
      </c>
      <c r="L763" t="s">
        <v>8</v>
      </c>
      <c r="M763" t="s">
        <v>8</v>
      </c>
      <c r="N763" t="s">
        <v>7</v>
      </c>
      <c r="P763">
        <f t="shared" si="999"/>
        <v>-0.5662650602409699</v>
      </c>
      <c r="Q763">
        <f t="shared" si="1000"/>
        <v>-761302.0361445864</v>
      </c>
      <c r="R763">
        <f t="shared" si="1001"/>
        <v>-179030059.14146227</v>
      </c>
      <c r="S763">
        <f t="shared" si="1002"/>
        <v>-1790.3005914146227</v>
      </c>
      <c r="T763">
        <f t="shared" si="1003"/>
        <v>-1.7903005914146226</v>
      </c>
    </row>
    <row r="764" spans="1:20" x14ac:dyDescent="0.25">
      <c r="A764" s="5">
        <v>43829</v>
      </c>
      <c r="B764">
        <v>3.2269999999999998E-3</v>
      </c>
      <c r="C764">
        <v>3.2620000000000001E-3</v>
      </c>
      <c r="D764">
        <v>3.1749999999999999E-3</v>
      </c>
      <c r="E764">
        <v>3.1900000000000001E-3</v>
      </c>
      <c r="F764">
        <v>1544799</v>
      </c>
      <c r="G764">
        <v>0</v>
      </c>
      <c r="L764" t="s">
        <v>8</v>
      </c>
      <c r="M764" t="s">
        <v>8</v>
      </c>
      <c r="N764" t="s">
        <v>7</v>
      </c>
      <c r="P764">
        <f t="shared" si="999"/>
        <v>-0.65517241379309865</v>
      </c>
      <c r="Q764">
        <f t="shared" si="1000"/>
        <v>-1012109.689655165</v>
      </c>
      <c r="R764">
        <f t="shared" si="1001"/>
        <v>-178268757.10531768</v>
      </c>
      <c r="S764">
        <f t="shared" si="1002"/>
        <v>-1782.6875710531767</v>
      </c>
      <c r="T764">
        <f t="shared" si="1003"/>
        <v>-1.7826875710531767</v>
      </c>
    </row>
    <row r="765" spans="1:20" x14ac:dyDescent="0.25">
      <c r="A765" s="5">
        <v>43828</v>
      </c>
      <c r="B765">
        <v>3.2009999999999999E-3</v>
      </c>
      <c r="C765">
        <v>3.3040000000000001E-3</v>
      </c>
      <c r="D765">
        <v>3.1900000000000001E-3</v>
      </c>
      <c r="E765">
        <v>3.2290000000000001E-3</v>
      </c>
      <c r="F765">
        <v>5220741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-0.31578947368421073</v>
      </c>
      <c r="Q765">
        <f t="shared" si="1000"/>
        <v>-1648655.05263158</v>
      </c>
      <c r="R765">
        <f t="shared" si="1001"/>
        <v>-177256647.41566253</v>
      </c>
      <c r="S765">
        <f t="shared" si="1002"/>
        <v>-1772.5664741566252</v>
      </c>
      <c r="T765">
        <f t="shared" si="1003"/>
        <v>-1.7725664741566252</v>
      </c>
    </row>
    <row r="766" spans="1:20" x14ac:dyDescent="0.25">
      <c r="A766" s="5">
        <v>43827</v>
      </c>
      <c r="B766">
        <v>3.248E-3</v>
      </c>
      <c r="C766">
        <v>3.2789999999999998E-3</v>
      </c>
      <c r="D766">
        <v>3.1979999999999999E-3</v>
      </c>
      <c r="E766">
        <v>3.202E-3</v>
      </c>
      <c r="F766">
        <v>4116159</v>
      </c>
      <c r="G766">
        <v>0</v>
      </c>
      <c r="L766" t="s">
        <v>8</v>
      </c>
      <c r="M766" t="s">
        <v>8</v>
      </c>
      <c r="N766" t="s">
        <v>7</v>
      </c>
      <c r="P766">
        <f t="shared" si="999"/>
        <v>-0.90123456790123202</v>
      </c>
      <c r="Q766">
        <f t="shared" si="1000"/>
        <v>-3709624.7777777673</v>
      </c>
      <c r="R766">
        <f t="shared" si="1001"/>
        <v>-175607992.36303094</v>
      </c>
      <c r="S766">
        <f t="shared" si="1002"/>
        <v>-1756.0799236303094</v>
      </c>
      <c r="T766">
        <f t="shared" si="1003"/>
        <v>-1.7560799236303093</v>
      </c>
    </row>
    <row r="767" spans="1:20" x14ac:dyDescent="0.25">
      <c r="A767" s="5">
        <v>43826</v>
      </c>
      <c r="B767">
        <v>3.1909999999999998E-3</v>
      </c>
      <c r="C767">
        <v>3.336E-3</v>
      </c>
      <c r="D767">
        <v>3.1589999999999999E-3</v>
      </c>
      <c r="E767">
        <v>3.248E-3</v>
      </c>
      <c r="F767">
        <v>6788362</v>
      </c>
      <c r="G767">
        <v>0</v>
      </c>
      <c r="L767" t="s">
        <v>8</v>
      </c>
      <c r="M767" t="s">
        <v>8</v>
      </c>
      <c r="N767" t="s">
        <v>7</v>
      </c>
      <c r="P767">
        <f t="shared" ref="P767:P830" si="1004">IF(C767=D767,0,((E767-D767)-(C767-E767))/(C767-D767))</f>
        <v>5.6497175141250414E-3</v>
      </c>
      <c r="Q767">
        <f t="shared" ref="Q767:Q830" si="1005">F767*P767</f>
        <v>38352.327683620897</v>
      </c>
      <c r="R767">
        <f t="shared" ref="R767:R830" si="1006">R768+Q767</f>
        <v>-171898367.58525318</v>
      </c>
      <c r="S767">
        <f t="shared" ref="S767:S830" si="1007">R767/100000</f>
        <v>-1718.9836758525319</v>
      </c>
      <c r="T767">
        <f t="shared" ref="T767:T830" si="1008">S767/1000</f>
        <v>-1.7189836758525319</v>
      </c>
    </row>
    <row r="768" spans="1:20" x14ac:dyDescent="0.25">
      <c r="A768" s="5">
        <v>43825</v>
      </c>
      <c r="B768">
        <v>3.1670000000000001E-3</v>
      </c>
      <c r="C768">
        <v>3.274E-3</v>
      </c>
      <c r="D768">
        <v>3.0920000000000001E-3</v>
      </c>
      <c r="E768">
        <v>3.1819999999999999E-3</v>
      </c>
      <c r="F768">
        <v>6513929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-1.0989010989012456E-2</v>
      </c>
      <c r="Q768">
        <f t="shared" si="1005"/>
        <v>-71581.637362646914</v>
      </c>
      <c r="R768">
        <f t="shared" si="1006"/>
        <v>-171936719.91293681</v>
      </c>
      <c r="S768">
        <f t="shared" si="1007"/>
        <v>-1719.3671991293681</v>
      </c>
      <c r="T768">
        <f t="shared" si="1008"/>
        <v>-1.7193671991293682</v>
      </c>
    </row>
    <row r="769" spans="1:20" x14ac:dyDescent="0.25">
      <c r="A769" s="5">
        <v>43824</v>
      </c>
      <c r="B769">
        <v>3.271E-3</v>
      </c>
      <c r="C769">
        <v>3.2859999999999999E-3</v>
      </c>
      <c r="D769">
        <v>3.127E-3</v>
      </c>
      <c r="E769">
        <v>3.1719999999999999E-3</v>
      </c>
      <c r="F769">
        <v>6711372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-0.43396226415094413</v>
      </c>
      <c r="Q769">
        <f t="shared" si="1005"/>
        <v>-2912482.1886792504</v>
      </c>
      <c r="R769">
        <f t="shared" si="1006"/>
        <v>-171865138.27557415</v>
      </c>
      <c r="S769">
        <f t="shared" si="1007"/>
        <v>-1718.6513827557415</v>
      </c>
      <c r="T769">
        <f t="shared" si="1008"/>
        <v>-1.7186513827557415</v>
      </c>
    </row>
    <row r="770" spans="1:20" x14ac:dyDescent="0.25">
      <c r="A770" s="5">
        <v>43823</v>
      </c>
      <c r="B770">
        <v>3.0839999999999999E-3</v>
      </c>
      <c r="C770">
        <v>3.5729999999999998E-3</v>
      </c>
      <c r="D770">
        <v>3.0400000000000002E-3</v>
      </c>
      <c r="E770">
        <v>3.2720000000000002E-3</v>
      </c>
      <c r="F770">
        <v>39417516</v>
      </c>
      <c r="G770">
        <v>0</v>
      </c>
      <c r="L770" t="s">
        <v>8</v>
      </c>
      <c r="M770" t="s">
        <v>8</v>
      </c>
      <c r="N770" t="s">
        <v>7</v>
      </c>
      <c r="P770">
        <f t="shared" si="1004"/>
        <v>-0.1294559099437142</v>
      </c>
      <c r="Q770">
        <f t="shared" si="1005"/>
        <v>-5102830.4015009133</v>
      </c>
      <c r="R770">
        <f t="shared" si="1006"/>
        <v>-168952656.0868949</v>
      </c>
      <c r="S770">
        <f t="shared" si="1007"/>
        <v>-1689.526560868949</v>
      </c>
      <c r="T770">
        <f t="shared" si="1008"/>
        <v>-1.6895265608689489</v>
      </c>
    </row>
    <row r="771" spans="1:20" x14ac:dyDescent="0.25">
      <c r="A771" s="5">
        <v>43822</v>
      </c>
      <c r="B771">
        <v>3.2000000000000002E-3</v>
      </c>
      <c r="C771">
        <v>3.2569999999999999E-3</v>
      </c>
      <c r="D771">
        <v>3.045E-3</v>
      </c>
      <c r="E771">
        <v>3.0739999999999999E-3</v>
      </c>
      <c r="F771">
        <v>5761636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-0.72641509433962304</v>
      </c>
      <c r="Q771">
        <f t="shared" si="1005"/>
        <v>-4185339.3584905681</v>
      </c>
      <c r="R771">
        <f t="shared" si="1006"/>
        <v>-163849825.68539399</v>
      </c>
      <c r="S771">
        <f t="shared" si="1007"/>
        <v>-1638.4982568539399</v>
      </c>
      <c r="T771">
        <f t="shared" si="1008"/>
        <v>-1.6384982568539399</v>
      </c>
    </row>
    <row r="772" spans="1:20" x14ac:dyDescent="0.25">
      <c r="A772" s="5">
        <v>43821</v>
      </c>
      <c r="B772">
        <v>3.202E-3</v>
      </c>
      <c r="C772">
        <v>3.2569999999999999E-3</v>
      </c>
      <c r="D772">
        <v>3.1800000000000001E-3</v>
      </c>
      <c r="E772">
        <v>3.222E-3</v>
      </c>
      <c r="F772">
        <v>3892834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9.0909090909091939E-2</v>
      </c>
      <c r="Q772">
        <f t="shared" si="1005"/>
        <v>353894.00000000402</v>
      </c>
      <c r="R772">
        <f t="shared" si="1006"/>
        <v>-159664486.32690343</v>
      </c>
      <c r="S772">
        <f t="shared" si="1007"/>
        <v>-1596.6448632690344</v>
      </c>
      <c r="T772">
        <f t="shared" si="1008"/>
        <v>-1.5966448632690344</v>
      </c>
    </row>
    <row r="773" spans="1:20" x14ac:dyDescent="0.25">
      <c r="A773" s="5">
        <v>43820</v>
      </c>
      <c r="B773">
        <v>3.3180000000000002E-3</v>
      </c>
      <c r="C773">
        <v>3.3670000000000002E-3</v>
      </c>
      <c r="D773">
        <v>3.186E-3</v>
      </c>
      <c r="E773">
        <v>3.1960000000000001E-3</v>
      </c>
      <c r="F773">
        <v>4253435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-0.88950276243093906</v>
      </c>
      <c r="Q773">
        <f t="shared" si="1005"/>
        <v>-3783442.1823204411</v>
      </c>
      <c r="R773">
        <f t="shared" si="1006"/>
        <v>-160018380.32690343</v>
      </c>
      <c r="S773">
        <f t="shared" si="1007"/>
        <v>-1600.1838032690343</v>
      </c>
      <c r="T773">
        <f t="shared" si="1008"/>
        <v>-1.6001838032690343</v>
      </c>
    </row>
    <row r="774" spans="1:20" x14ac:dyDescent="0.25">
      <c r="A774" s="5">
        <v>43819</v>
      </c>
      <c r="B774">
        <v>3.2829999999999999E-3</v>
      </c>
      <c r="C774">
        <v>3.4199999999999999E-3</v>
      </c>
      <c r="D774">
        <v>3.1649999999999998E-3</v>
      </c>
      <c r="E774">
        <v>3.3319999999999999E-3</v>
      </c>
      <c r="F774">
        <v>6138662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0.30980392156862774</v>
      </c>
      <c r="Q774">
        <f t="shared" si="1005"/>
        <v>1901781.5607843155</v>
      </c>
      <c r="R774">
        <f t="shared" si="1006"/>
        <v>-156234938.14458299</v>
      </c>
      <c r="S774">
        <f t="shared" si="1007"/>
        <v>-1562.34938144583</v>
      </c>
      <c r="T774">
        <f t="shared" si="1008"/>
        <v>-1.56234938144583</v>
      </c>
    </row>
    <row r="775" spans="1:20" x14ac:dyDescent="0.25">
      <c r="A775" s="5">
        <v>43818</v>
      </c>
      <c r="B775">
        <v>3.2750000000000001E-3</v>
      </c>
      <c r="C775">
        <v>3.3349999999999999E-3</v>
      </c>
      <c r="D775">
        <v>3.1050000000000001E-3</v>
      </c>
      <c r="E775">
        <v>3.2659999999999998E-3</v>
      </c>
      <c r="F775">
        <v>7022845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0.39999999999999886</v>
      </c>
      <c r="Q775">
        <f t="shared" si="1005"/>
        <v>2809137.9999999921</v>
      </c>
      <c r="R775">
        <f t="shared" si="1006"/>
        <v>-158136719.7053673</v>
      </c>
      <c r="S775">
        <f t="shared" si="1007"/>
        <v>-1581.367197053673</v>
      </c>
      <c r="T775">
        <f t="shared" si="1008"/>
        <v>-1.5813671970536729</v>
      </c>
    </row>
    <row r="776" spans="1:20" x14ac:dyDescent="0.25">
      <c r="A776" s="5">
        <v>43817</v>
      </c>
      <c r="B776">
        <v>2.993E-3</v>
      </c>
      <c r="C776">
        <v>3.4689999999999999E-3</v>
      </c>
      <c r="D776">
        <v>2.9369999999999999E-3</v>
      </c>
      <c r="E776">
        <v>3.2750000000000001E-3</v>
      </c>
      <c r="F776">
        <v>12752462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0.27067669172932424</v>
      </c>
      <c r="Q776">
        <f t="shared" si="1005"/>
        <v>3451794.2255639215</v>
      </c>
      <c r="R776">
        <f t="shared" si="1006"/>
        <v>-160945857.7053673</v>
      </c>
      <c r="S776">
        <f t="shared" si="1007"/>
        <v>-1609.458577053673</v>
      </c>
      <c r="T776">
        <f t="shared" si="1008"/>
        <v>-1.6094585770536731</v>
      </c>
    </row>
    <row r="777" spans="1:20" x14ac:dyDescent="0.25">
      <c r="A777" s="5">
        <v>43816</v>
      </c>
      <c r="B777">
        <v>3.1419999999999998E-3</v>
      </c>
      <c r="C777">
        <v>3.395E-3</v>
      </c>
      <c r="D777">
        <v>2.97E-3</v>
      </c>
      <c r="E777">
        <v>2.9919999999999999E-3</v>
      </c>
      <c r="F777">
        <v>14473717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-0.89647058823529469</v>
      </c>
      <c r="Q777">
        <f t="shared" si="1005"/>
        <v>-12975261.592941185</v>
      </c>
      <c r="R777">
        <f t="shared" si="1006"/>
        <v>-164397651.93093121</v>
      </c>
      <c r="S777">
        <f t="shared" si="1007"/>
        <v>-1643.9765193093122</v>
      </c>
      <c r="T777">
        <f t="shared" si="1008"/>
        <v>-1.6439765193093121</v>
      </c>
    </row>
    <row r="778" spans="1:20" x14ac:dyDescent="0.25">
      <c r="A778" s="5">
        <v>43815</v>
      </c>
      <c r="B778">
        <v>3.47E-3</v>
      </c>
      <c r="C778">
        <v>3.49E-3</v>
      </c>
      <c r="D778">
        <v>3.1329999999999999E-3</v>
      </c>
      <c r="E778">
        <v>3.1540000000000001E-3</v>
      </c>
      <c r="F778">
        <v>19603091</v>
      </c>
      <c r="G778">
        <v>0</v>
      </c>
      <c r="L778" t="s">
        <v>7</v>
      </c>
      <c r="M778" t="s">
        <v>7</v>
      </c>
      <c r="N778" t="s">
        <v>8</v>
      </c>
      <c r="P778">
        <f t="shared" si="1004"/>
        <v>-0.88235294117646956</v>
      </c>
      <c r="Q778">
        <f t="shared" si="1005"/>
        <v>-17296844.999999981</v>
      </c>
      <c r="R778">
        <f t="shared" si="1006"/>
        <v>-151422390.33799002</v>
      </c>
      <c r="S778">
        <f t="shared" si="1007"/>
        <v>-1514.2239033799001</v>
      </c>
      <c r="T778">
        <f t="shared" si="1008"/>
        <v>-1.5142239033799001</v>
      </c>
    </row>
    <row r="779" spans="1:20" x14ac:dyDescent="0.25">
      <c r="A779" s="5">
        <v>43814</v>
      </c>
      <c r="B779">
        <v>3.5149999999999999E-3</v>
      </c>
      <c r="C779">
        <v>3.571E-3</v>
      </c>
      <c r="D779">
        <v>3.3860000000000001E-3</v>
      </c>
      <c r="E779">
        <v>3.5000000000000001E-3</v>
      </c>
      <c r="F779">
        <v>17268278</v>
      </c>
      <c r="G779">
        <v>0</v>
      </c>
      <c r="L779" t="s">
        <v>7</v>
      </c>
      <c r="M779" t="s">
        <v>7</v>
      </c>
      <c r="N779" t="s">
        <v>8</v>
      </c>
      <c r="P779">
        <f t="shared" si="1004"/>
        <v>0.23243243243243303</v>
      </c>
      <c r="Q779">
        <f t="shared" si="1005"/>
        <v>4013707.8594594696</v>
      </c>
      <c r="R779">
        <f t="shared" si="1006"/>
        <v>-134125545.33799003</v>
      </c>
      <c r="S779">
        <f t="shared" si="1007"/>
        <v>-1341.2554533799002</v>
      </c>
      <c r="T779">
        <f t="shared" si="1008"/>
        <v>-1.3412554533799002</v>
      </c>
    </row>
    <row r="780" spans="1:20" x14ac:dyDescent="0.25">
      <c r="A780" s="5">
        <v>43813</v>
      </c>
      <c r="B780">
        <v>4.0299999999999997E-3</v>
      </c>
      <c r="C780">
        <v>4.0480000000000004E-3</v>
      </c>
      <c r="D780">
        <v>3.388E-3</v>
      </c>
      <c r="E780">
        <v>3.4910000000000002E-3</v>
      </c>
      <c r="F780">
        <v>25968639</v>
      </c>
      <c r="G780">
        <v>0</v>
      </c>
      <c r="L780" t="s">
        <v>7</v>
      </c>
      <c r="M780" t="s">
        <v>7</v>
      </c>
      <c r="N780" t="s">
        <v>8</v>
      </c>
      <c r="P780">
        <f t="shared" si="1004"/>
        <v>-0.68787878787878742</v>
      </c>
      <c r="Q780">
        <f t="shared" si="1005"/>
        <v>-17863275.918181807</v>
      </c>
      <c r="R780">
        <f t="shared" si="1006"/>
        <v>-138139253.19744951</v>
      </c>
      <c r="S780">
        <f t="shared" si="1007"/>
        <v>-1381.3925319744951</v>
      </c>
      <c r="T780">
        <f t="shared" si="1008"/>
        <v>-1.3813925319744951</v>
      </c>
    </row>
    <row r="781" spans="1:20" x14ac:dyDescent="0.25">
      <c r="A781" s="5">
        <v>43812</v>
      </c>
      <c r="B781">
        <v>3.852E-3</v>
      </c>
      <c r="C781">
        <v>4.2690000000000002E-3</v>
      </c>
      <c r="D781">
        <v>3.833E-3</v>
      </c>
      <c r="E781">
        <v>4.0499999999999998E-3</v>
      </c>
      <c r="F781">
        <v>24120683</v>
      </c>
      <c r="G781">
        <v>0</v>
      </c>
      <c r="L781" t="s">
        <v>8</v>
      </c>
      <c r="M781" t="s">
        <v>8</v>
      </c>
      <c r="N781" t="s">
        <v>8</v>
      </c>
      <c r="P781">
        <f t="shared" si="1004"/>
        <v>-4.5871559633043537E-3</v>
      </c>
      <c r="Q781">
        <f t="shared" si="1005"/>
        <v>-110645.33486242394</v>
      </c>
      <c r="R781">
        <f t="shared" si="1006"/>
        <v>-120275977.27926768</v>
      </c>
      <c r="S781">
        <f t="shared" si="1007"/>
        <v>-1202.7597727926768</v>
      </c>
      <c r="T781">
        <f t="shared" si="1008"/>
        <v>-1.2027597727926769</v>
      </c>
    </row>
    <row r="782" spans="1:20" x14ac:dyDescent="0.25">
      <c r="A782" s="5">
        <v>43811</v>
      </c>
      <c r="B782">
        <v>4.0610000000000004E-3</v>
      </c>
      <c r="C782">
        <v>4.15E-3</v>
      </c>
      <c r="D782">
        <v>3.7919999999999998E-3</v>
      </c>
      <c r="E782">
        <v>3.852E-3</v>
      </c>
      <c r="F782">
        <v>35734831</v>
      </c>
      <c r="G782">
        <v>0</v>
      </c>
      <c r="L782" t="s">
        <v>7</v>
      </c>
      <c r="M782" t="s">
        <v>8</v>
      </c>
      <c r="N782" t="s">
        <v>8</v>
      </c>
      <c r="P782">
        <f t="shared" si="1004"/>
        <v>-0.66480446927374237</v>
      </c>
      <c r="Q782">
        <f t="shared" si="1005"/>
        <v>-23756675.357541878</v>
      </c>
      <c r="R782">
        <f t="shared" si="1006"/>
        <v>-120165331.94440526</v>
      </c>
      <c r="S782">
        <f t="shared" si="1007"/>
        <v>-1201.6533194440526</v>
      </c>
      <c r="T782">
        <f t="shared" si="1008"/>
        <v>-1.2016533194440526</v>
      </c>
    </row>
    <row r="783" spans="1:20" x14ac:dyDescent="0.25">
      <c r="A783" s="5">
        <v>43810</v>
      </c>
      <c r="B783">
        <v>3.6280000000000001E-3</v>
      </c>
      <c r="C783">
        <v>4.2979999999999997E-3</v>
      </c>
      <c r="D783">
        <v>3.5609999999999999E-3</v>
      </c>
      <c r="E783">
        <v>4.0689999999999997E-3</v>
      </c>
      <c r="F783">
        <v>66110305</v>
      </c>
      <c r="G783">
        <v>0</v>
      </c>
      <c r="L783" t="s">
        <v>8</v>
      </c>
      <c r="M783" t="s">
        <v>8</v>
      </c>
      <c r="N783" t="s">
        <v>8</v>
      </c>
      <c r="P783">
        <f t="shared" si="1004"/>
        <v>0.37856173677069171</v>
      </c>
      <c r="Q783">
        <f t="shared" si="1005"/>
        <v>25026831.879240144</v>
      </c>
      <c r="R783">
        <f t="shared" si="1006"/>
        <v>-96408656.586863384</v>
      </c>
      <c r="S783">
        <f t="shared" si="1007"/>
        <v>-964.08656586863378</v>
      </c>
      <c r="T783">
        <f t="shared" si="1008"/>
        <v>-0.96408656586863384</v>
      </c>
    </row>
    <row r="784" spans="1:20" x14ac:dyDescent="0.25">
      <c r="A784" s="5">
        <v>43809</v>
      </c>
      <c r="B784">
        <v>3.454E-3</v>
      </c>
      <c r="C784">
        <v>3.6589999999999999E-3</v>
      </c>
      <c r="D784">
        <v>3.2030000000000001E-3</v>
      </c>
      <c r="E784">
        <v>3.5869999999999999E-3</v>
      </c>
      <c r="F784">
        <v>15692832</v>
      </c>
      <c r="G784">
        <v>0</v>
      </c>
      <c r="L784" t="s">
        <v>8</v>
      </c>
      <c r="M784" t="s">
        <v>8</v>
      </c>
      <c r="N784" t="s">
        <v>8</v>
      </c>
      <c r="P784">
        <f t="shared" si="1004"/>
        <v>0.68421052631578927</v>
      </c>
      <c r="Q784">
        <f t="shared" si="1005"/>
        <v>10737200.84210526</v>
      </c>
      <c r="R784">
        <f t="shared" si="1006"/>
        <v>-121435488.46610352</v>
      </c>
      <c r="S784">
        <f t="shared" si="1007"/>
        <v>-1214.3548846610352</v>
      </c>
      <c r="T784">
        <f t="shared" si="1008"/>
        <v>-1.2143548846610352</v>
      </c>
    </row>
    <row r="785" spans="1:20" x14ac:dyDescent="0.25">
      <c r="A785" s="5">
        <v>43808</v>
      </c>
      <c r="B785">
        <v>3.4399999999999999E-3</v>
      </c>
      <c r="C785">
        <v>3.5370000000000002E-3</v>
      </c>
      <c r="D785">
        <v>3.3419999999999999E-3</v>
      </c>
      <c r="E785">
        <v>3.4610000000000001E-3</v>
      </c>
      <c r="F785">
        <v>15244387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0.22051282051282053</v>
      </c>
      <c r="Q785">
        <f t="shared" si="1005"/>
        <v>3361582.7743589748</v>
      </c>
      <c r="R785">
        <f t="shared" si="1006"/>
        <v>-132172689.30820878</v>
      </c>
      <c r="S785">
        <f t="shared" si="1007"/>
        <v>-1321.7268930820878</v>
      </c>
      <c r="T785">
        <f t="shared" si="1008"/>
        <v>-1.3217268930820878</v>
      </c>
    </row>
    <row r="786" spans="1:20" x14ac:dyDescent="0.25">
      <c r="A786" s="5">
        <v>43807</v>
      </c>
      <c r="B786">
        <v>3.539E-3</v>
      </c>
      <c r="C786">
        <v>3.5959999999999998E-3</v>
      </c>
      <c r="D786">
        <v>3.441E-3</v>
      </c>
      <c r="E786">
        <v>3.4420000000000002E-3</v>
      </c>
      <c r="F786">
        <v>8998086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-0.98709677419354669</v>
      </c>
      <c r="Q786">
        <f t="shared" si="1005"/>
        <v>-8881981.6645161137</v>
      </c>
      <c r="R786">
        <f t="shared" si="1006"/>
        <v>-135534272.08256775</v>
      </c>
      <c r="S786">
        <f t="shared" si="1007"/>
        <v>-1355.3427208256776</v>
      </c>
      <c r="T786">
        <f t="shared" si="1008"/>
        <v>-1.3553427208256776</v>
      </c>
    </row>
    <row r="787" spans="1:20" x14ac:dyDescent="0.25">
      <c r="A787" s="5">
        <v>43806</v>
      </c>
      <c r="B787">
        <v>3.2929999999999999E-3</v>
      </c>
      <c r="C787">
        <v>3.5760000000000002E-3</v>
      </c>
      <c r="D787">
        <v>3.2929999999999999E-3</v>
      </c>
      <c r="E787">
        <v>3.5760000000000002E-3</v>
      </c>
      <c r="F787">
        <v>12933916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1</v>
      </c>
      <c r="Q787">
        <f t="shared" si="1005"/>
        <v>12933916</v>
      </c>
      <c r="R787">
        <f t="shared" si="1006"/>
        <v>-126652290.41805163</v>
      </c>
      <c r="S787">
        <f t="shared" si="1007"/>
        <v>-1266.5229041805162</v>
      </c>
      <c r="T787">
        <f t="shared" si="1008"/>
        <v>-1.2665229041805162</v>
      </c>
    </row>
    <row r="788" spans="1:20" x14ac:dyDescent="0.25">
      <c r="A788" s="5">
        <v>43805</v>
      </c>
      <c r="B788">
        <v>3.4099999999999998E-3</v>
      </c>
      <c r="C788">
        <v>3.5370000000000002E-3</v>
      </c>
      <c r="D788">
        <v>3.2429999999999998E-3</v>
      </c>
      <c r="E788">
        <v>3.2929999999999999E-3</v>
      </c>
      <c r="F788">
        <v>25024958</v>
      </c>
      <c r="G788">
        <v>0</v>
      </c>
      <c r="L788" t="s">
        <v>7</v>
      </c>
      <c r="M788" t="s">
        <v>8</v>
      </c>
      <c r="N788" t="s">
        <v>8</v>
      </c>
      <c r="P788">
        <f t="shared" si="1004"/>
        <v>-0.65986394557823091</v>
      </c>
      <c r="Q788">
        <f t="shared" si="1005"/>
        <v>-16513067.523809515</v>
      </c>
      <c r="R788">
        <f t="shared" si="1006"/>
        <v>-139586206.41805163</v>
      </c>
      <c r="S788">
        <f t="shared" si="1007"/>
        <v>-1395.8620641805162</v>
      </c>
      <c r="T788">
        <f t="shared" si="1008"/>
        <v>-1.3958620641805162</v>
      </c>
    </row>
    <row r="789" spans="1:20" x14ac:dyDescent="0.25">
      <c r="A789" s="5">
        <v>43804</v>
      </c>
      <c r="B789">
        <v>3.2179999999999999E-3</v>
      </c>
      <c r="C789">
        <v>3.705E-3</v>
      </c>
      <c r="D789">
        <v>3.101E-3</v>
      </c>
      <c r="E789">
        <v>3.405E-3</v>
      </c>
      <c r="F789">
        <v>52594009</v>
      </c>
      <c r="G789">
        <v>0</v>
      </c>
      <c r="L789" t="s">
        <v>8</v>
      </c>
      <c r="M789" t="s">
        <v>8</v>
      </c>
      <c r="N789" t="s">
        <v>8</v>
      </c>
      <c r="P789">
        <f t="shared" si="1004"/>
        <v>6.6225165562915521E-3</v>
      </c>
      <c r="Q789">
        <f t="shared" si="1005"/>
        <v>348304.6953642469</v>
      </c>
      <c r="R789">
        <f t="shared" si="1006"/>
        <v>-123073138.89424212</v>
      </c>
      <c r="S789">
        <f t="shared" si="1007"/>
        <v>-1230.7313889424213</v>
      </c>
      <c r="T789">
        <f t="shared" si="1008"/>
        <v>-1.2307313889424214</v>
      </c>
    </row>
    <row r="790" spans="1:20" x14ac:dyDescent="0.25">
      <c r="A790" s="5">
        <v>43803</v>
      </c>
      <c r="B790">
        <v>2.8540000000000002E-3</v>
      </c>
      <c r="C790">
        <v>3.313E-3</v>
      </c>
      <c r="D790">
        <v>2.7980000000000001E-3</v>
      </c>
      <c r="E790">
        <v>3.2190000000000001E-3</v>
      </c>
      <c r="F790">
        <v>28615358</v>
      </c>
      <c r="G790">
        <v>0</v>
      </c>
      <c r="L790" t="s">
        <v>8</v>
      </c>
      <c r="M790" t="s">
        <v>8</v>
      </c>
      <c r="N790" t="s">
        <v>7</v>
      </c>
      <c r="P790">
        <f t="shared" si="1004"/>
        <v>0.63495145631067984</v>
      </c>
      <c r="Q790">
        <f t="shared" si="1005"/>
        <v>18169363.234951463</v>
      </c>
      <c r="R790">
        <f t="shared" si="1006"/>
        <v>-123421443.58960637</v>
      </c>
      <c r="S790">
        <f t="shared" si="1007"/>
        <v>-1234.2144358960638</v>
      </c>
      <c r="T790">
        <f t="shared" si="1008"/>
        <v>-1.2342144358960638</v>
      </c>
    </row>
    <row r="791" spans="1:20" x14ac:dyDescent="0.25">
      <c r="A791" s="5">
        <v>43802</v>
      </c>
      <c r="B791">
        <v>2.8570000000000002E-3</v>
      </c>
      <c r="C791">
        <v>2.8960000000000001E-3</v>
      </c>
      <c r="D791">
        <v>2.823E-3</v>
      </c>
      <c r="E791">
        <v>2.8540000000000002E-3</v>
      </c>
      <c r="F791">
        <v>3984322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-0.15068493150684525</v>
      </c>
      <c r="Q791">
        <f t="shared" si="1005"/>
        <v>-600377.28767121665</v>
      </c>
      <c r="R791">
        <f t="shared" si="1006"/>
        <v>-141590806.82455784</v>
      </c>
      <c r="S791">
        <f t="shared" si="1007"/>
        <v>-1415.9080682455783</v>
      </c>
      <c r="T791">
        <f t="shared" si="1008"/>
        <v>-1.4159080682455782</v>
      </c>
    </row>
    <row r="792" spans="1:20" x14ac:dyDescent="0.25">
      <c r="A792" s="5">
        <v>43801</v>
      </c>
      <c r="B792">
        <v>2.8739999999999998E-3</v>
      </c>
      <c r="C792">
        <v>2.8990000000000001E-3</v>
      </c>
      <c r="D792">
        <v>2.7889999999999998E-3</v>
      </c>
      <c r="E792">
        <v>2.8660000000000001E-3</v>
      </c>
      <c r="F792">
        <v>3974496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0.4000000000000008</v>
      </c>
      <c r="Q792">
        <f t="shared" si="1005"/>
        <v>1589798.4000000032</v>
      </c>
      <c r="R792">
        <f t="shared" si="1006"/>
        <v>-140990429.53688663</v>
      </c>
      <c r="S792">
        <f t="shared" si="1007"/>
        <v>-1409.9042953688663</v>
      </c>
      <c r="T792">
        <f t="shared" si="1008"/>
        <v>-1.4099042953688663</v>
      </c>
    </row>
    <row r="793" spans="1:20" x14ac:dyDescent="0.25">
      <c r="A793" s="5">
        <v>43800</v>
      </c>
      <c r="B793">
        <v>2.954E-3</v>
      </c>
      <c r="C793">
        <v>2.954E-3</v>
      </c>
      <c r="D793">
        <v>2.8289999999999999E-3</v>
      </c>
      <c r="E793">
        <v>2.885E-3</v>
      </c>
      <c r="F793">
        <v>5272632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-0.10399999999999983</v>
      </c>
      <c r="Q793">
        <f t="shared" si="1005"/>
        <v>-548353.72799999907</v>
      </c>
      <c r="R793">
        <f t="shared" si="1006"/>
        <v>-142580227.93688664</v>
      </c>
      <c r="S793">
        <f t="shared" si="1007"/>
        <v>-1425.8022793688665</v>
      </c>
      <c r="T793">
        <f t="shared" si="1008"/>
        <v>-1.4258022793688665</v>
      </c>
    </row>
    <row r="794" spans="1:20" x14ac:dyDescent="0.25">
      <c r="A794" s="5">
        <v>43799</v>
      </c>
      <c r="B794">
        <v>3.0530000000000002E-3</v>
      </c>
      <c r="C794">
        <v>3.0820000000000001E-3</v>
      </c>
      <c r="D794">
        <v>2.8999999999999998E-3</v>
      </c>
      <c r="E794">
        <v>2.954E-3</v>
      </c>
      <c r="F794">
        <v>5770945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-0.40659340659340509</v>
      </c>
      <c r="Q794">
        <f t="shared" si="1005"/>
        <v>-2346428.186813178</v>
      </c>
      <c r="R794">
        <f t="shared" si="1006"/>
        <v>-142031874.20888665</v>
      </c>
      <c r="S794">
        <f t="shared" si="1007"/>
        <v>-1420.3187420888664</v>
      </c>
      <c r="T794">
        <f t="shared" si="1008"/>
        <v>-1.4203187420888663</v>
      </c>
    </row>
    <row r="795" spans="1:20" x14ac:dyDescent="0.25">
      <c r="A795" s="5">
        <v>43798</v>
      </c>
      <c r="B795">
        <v>3.0240000000000002E-3</v>
      </c>
      <c r="C795">
        <v>3.1220000000000002E-3</v>
      </c>
      <c r="D795">
        <v>3.0179999999999998E-3</v>
      </c>
      <c r="E795">
        <v>3.0530000000000002E-3</v>
      </c>
      <c r="F795">
        <v>5725360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-0.32692307692307332</v>
      </c>
      <c r="Q795">
        <f t="shared" si="1005"/>
        <v>-1871752.307692287</v>
      </c>
      <c r="R795">
        <f t="shared" si="1006"/>
        <v>-139685446.02207348</v>
      </c>
      <c r="S795">
        <f t="shared" si="1007"/>
        <v>-1396.8544602207348</v>
      </c>
      <c r="T795">
        <f t="shared" si="1008"/>
        <v>-1.3968544602207349</v>
      </c>
    </row>
    <row r="796" spans="1:20" x14ac:dyDescent="0.25">
      <c r="A796" s="5">
        <v>43797</v>
      </c>
      <c r="B796">
        <v>2.96E-3</v>
      </c>
      <c r="C796">
        <v>3.2049999999999999E-3</v>
      </c>
      <c r="D796">
        <v>2.9380000000000001E-3</v>
      </c>
      <c r="E796">
        <v>3.0240000000000002E-3</v>
      </c>
      <c r="F796">
        <v>20414908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-0.35580524344569153</v>
      </c>
      <c r="Q796">
        <f t="shared" si="1005"/>
        <v>-7263731.3108613957</v>
      </c>
      <c r="R796">
        <f t="shared" si="1006"/>
        <v>-137813693.71438119</v>
      </c>
      <c r="S796">
        <f t="shared" si="1007"/>
        <v>-1378.1369371438118</v>
      </c>
      <c r="T796">
        <f t="shared" si="1008"/>
        <v>-1.3781369371438117</v>
      </c>
    </row>
    <row r="797" spans="1:20" x14ac:dyDescent="0.25">
      <c r="A797" s="5">
        <v>43796</v>
      </c>
      <c r="B797">
        <v>2.892E-3</v>
      </c>
      <c r="C797">
        <v>3.0899999999999999E-3</v>
      </c>
      <c r="D797">
        <v>2.8029999999999999E-3</v>
      </c>
      <c r="E797">
        <v>2.954E-3</v>
      </c>
      <c r="F797">
        <v>25507366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5.2264808362370241E-2</v>
      </c>
      <c r="Q797">
        <f t="shared" si="1005"/>
        <v>1333137.5958188383</v>
      </c>
      <c r="R797">
        <f t="shared" si="1006"/>
        <v>-130549962.40351978</v>
      </c>
      <c r="S797">
        <f t="shared" si="1007"/>
        <v>-1305.4996240351977</v>
      </c>
      <c r="T797">
        <f t="shared" si="1008"/>
        <v>-1.3054996240351977</v>
      </c>
    </row>
    <row r="798" spans="1:20" x14ac:dyDescent="0.25">
      <c r="A798" s="5">
        <v>43795</v>
      </c>
      <c r="B798">
        <v>2.9420000000000002E-3</v>
      </c>
      <c r="C798">
        <v>2.9989999999999999E-3</v>
      </c>
      <c r="D798">
        <v>2.8839999999999998E-3</v>
      </c>
      <c r="E798">
        <v>2.9090000000000001E-3</v>
      </c>
      <c r="F798">
        <v>7617437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-0.56521739130434323</v>
      </c>
      <c r="Q798">
        <f t="shared" si="1005"/>
        <v>-4305507.8695651824</v>
      </c>
      <c r="R798">
        <f t="shared" si="1006"/>
        <v>-131883099.99933861</v>
      </c>
      <c r="S798">
        <f t="shared" si="1007"/>
        <v>-1318.8309999933861</v>
      </c>
      <c r="T798">
        <f t="shared" si="1008"/>
        <v>-1.318830999993386</v>
      </c>
    </row>
    <row r="799" spans="1:20" x14ac:dyDescent="0.25">
      <c r="A799" s="5">
        <v>43794</v>
      </c>
      <c r="B799">
        <v>2.7460000000000002E-3</v>
      </c>
      <c r="C799">
        <v>2.9810000000000001E-3</v>
      </c>
      <c r="D799">
        <v>2.545E-3</v>
      </c>
      <c r="E799">
        <v>2.9380000000000001E-3</v>
      </c>
      <c r="F799">
        <v>19250149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0.80275229357798139</v>
      </c>
      <c r="Q799">
        <f t="shared" si="1005"/>
        <v>15453101.261467885</v>
      </c>
      <c r="R799">
        <f t="shared" si="1006"/>
        <v>-127577592.12977342</v>
      </c>
      <c r="S799">
        <f t="shared" si="1007"/>
        <v>-1275.7759212977342</v>
      </c>
      <c r="T799">
        <f t="shared" si="1008"/>
        <v>-1.2757759212977342</v>
      </c>
    </row>
    <row r="800" spans="1:20" x14ac:dyDescent="0.25">
      <c r="A800" s="5">
        <v>43793</v>
      </c>
      <c r="B800">
        <v>3.0980000000000001E-3</v>
      </c>
      <c r="C800">
        <v>3.0980000000000001E-3</v>
      </c>
      <c r="D800">
        <v>2.7469999999999999E-3</v>
      </c>
      <c r="E800">
        <v>2.7469999999999999E-3</v>
      </c>
      <c r="F800">
        <v>10367321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-1</v>
      </c>
      <c r="Q800">
        <f t="shared" si="1005"/>
        <v>-10367321</v>
      </c>
      <c r="R800">
        <f t="shared" si="1006"/>
        <v>-143030693.39124131</v>
      </c>
      <c r="S800">
        <f t="shared" si="1007"/>
        <v>-1430.3069339124131</v>
      </c>
      <c r="T800">
        <f t="shared" si="1008"/>
        <v>-1.430306933912413</v>
      </c>
    </row>
    <row r="801" spans="1:20" x14ac:dyDescent="0.25">
      <c r="A801" s="5">
        <v>43792</v>
      </c>
      <c r="B801">
        <v>3.1199999999999999E-3</v>
      </c>
      <c r="C801">
        <v>3.1229999999999999E-3</v>
      </c>
      <c r="D801">
        <v>3.0070000000000001E-3</v>
      </c>
      <c r="E801">
        <v>3.0980000000000001E-3</v>
      </c>
      <c r="F801">
        <v>5592259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0.56896551724138111</v>
      </c>
      <c r="Q801">
        <f t="shared" si="1005"/>
        <v>3181802.5344827687</v>
      </c>
      <c r="R801">
        <f t="shared" si="1006"/>
        <v>-132663372.39124133</v>
      </c>
      <c r="S801">
        <f t="shared" si="1007"/>
        <v>-1326.6337239124132</v>
      </c>
      <c r="T801">
        <f t="shared" si="1008"/>
        <v>-1.3266337239124133</v>
      </c>
    </row>
    <row r="802" spans="1:20" x14ac:dyDescent="0.25">
      <c r="A802" s="5">
        <v>43791</v>
      </c>
      <c r="B802">
        <v>3.2139999999999998E-3</v>
      </c>
      <c r="C802">
        <v>3.3700000000000002E-3</v>
      </c>
      <c r="D802">
        <v>2.9009999999999999E-3</v>
      </c>
      <c r="E802">
        <v>3.1029999999999999E-3</v>
      </c>
      <c r="F802">
        <v>14140484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-0.13859275053304979</v>
      </c>
      <c r="Q802">
        <f t="shared" si="1005"/>
        <v>-1959768.5714285821</v>
      </c>
      <c r="R802">
        <f t="shared" si="1006"/>
        <v>-135845174.92572409</v>
      </c>
      <c r="S802">
        <f t="shared" si="1007"/>
        <v>-1358.4517492572409</v>
      </c>
      <c r="T802">
        <f t="shared" si="1008"/>
        <v>-1.3584517492572408</v>
      </c>
    </row>
    <row r="803" spans="1:20" x14ac:dyDescent="0.25">
      <c r="A803" s="5">
        <v>43790</v>
      </c>
      <c r="B803">
        <v>3.4399999999999999E-3</v>
      </c>
      <c r="C803">
        <v>3.48E-3</v>
      </c>
      <c r="D803">
        <v>3.16E-3</v>
      </c>
      <c r="E803">
        <v>3.2320000000000001E-3</v>
      </c>
      <c r="F803">
        <v>18062126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-0.54999999999999982</v>
      </c>
      <c r="Q803">
        <f t="shared" si="1005"/>
        <v>-9934169.299999997</v>
      </c>
      <c r="R803">
        <f t="shared" si="1006"/>
        <v>-133885406.35429551</v>
      </c>
      <c r="S803">
        <f t="shared" si="1007"/>
        <v>-1338.8540635429551</v>
      </c>
      <c r="T803">
        <f t="shared" si="1008"/>
        <v>-1.3388540635429551</v>
      </c>
    </row>
    <row r="804" spans="1:20" x14ac:dyDescent="0.25">
      <c r="A804" s="5">
        <v>43789</v>
      </c>
      <c r="B804">
        <v>3.6470000000000001E-3</v>
      </c>
      <c r="C804">
        <v>3.6470000000000001E-3</v>
      </c>
      <c r="D804">
        <v>3.4420000000000002E-3</v>
      </c>
      <c r="E804">
        <v>3.447E-3</v>
      </c>
      <c r="F804">
        <v>7465335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-0.95121951219512391</v>
      </c>
      <c r="Q804">
        <f t="shared" si="1005"/>
        <v>-7101172.317073185</v>
      </c>
      <c r="R804">
        <f t="shared" si="1006"/>
        <v>-123951237.05429551</v>
      </c>
      <c r="S804">
        <f t="shared" si="1007"/>
        <v>-1239.5123705429551</v>
      </c>
      <c r="T804">
        <f t="shared" si="1008"/>
        <v>-1.2395123705429552</v>
      </c>
    </row>
    <row r="805" spans="1:20" x14ac:dyDescent="0.25">
      <c r="A805" s="5">
        <v>43788</v>
      </c>
      <c r="B805">
        <v>3.5569999999999998E-3</v>
      </c>
      <c r="C805">
        <v>3.751E-3</v>
      </c>
      <c r="D805">
        <v>3.509E-3</v>
      </c>
      <c r="E805">
        <v>3.614E-3</v>
      </c>
      <c r="F805">
        <v>13748095</v>
      </c>
      <c r="G805">
        <v>0</v>
      </c>
      <c r="L805" t="s">
        <v>8</v>
      </c>
      <c r="M805" t="s">
        <v>7</v>
      </c>
      <c r="N805" t="s">
        <v>7</v>
      </c>
      <c r="P805">
        <f t="shared" si="1004"/>
        <v>-0.1322314049586773</v>
      </c>
      <c r="Q805">
        <f t="shared" si="1005"/>
        <v>-1817929.9173553665</v>
      </c>
      <c r="R805">
        <f t="shared" si="1006"/>
        <v>-116850064.73722233</v>
      </c>
      <c r="S805">
        <f t="shared" si="1007"/>
        <v>-1168.5006473722233</v>
      </c>
      <c r="T805">
        <f t="shared" si="1008"/>
        <v>-1.1685006473722233</v>
      </c>
    </row>
    <row r="806" spans="1:20" x14ac:dyDescent="0.25">
      <c r="A806" s="5">
        <v>43787</v>
      </c>
      <c r="B806">
        <v>3.7000000000000002E-3</v>
      </c>
      <c r="C806">
        <v>3.8400000000000001E-3</v>
      </c>
      <c r="D806">
        <v>3.4009999999999999E-3</v>
      </c>
      <c r="E806">
        <v>3.5590000000000001E-3</v>
      </c>
      <c r="F806">
        <v>15734483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-0.28018223234624101</v>
      </c>
      <c r="Q806">
        <f t="shared" si="1005"/>
        <v>-4408522.5717539797</v>
      </c>
      <c r="R806">
        <f t="shared" si="1006"/>
        <v>-115032134.81986696</v>
      </c>
      <c r="S806">
        <f t="shared" si="1007"/>
        <v>-1150.3213481986695</v>
      </c>
      <c r="T806">
        <f t="shared" si="1008"/>
        <v>-1.1503213481986696</v>
      </c>
    </row>
    <row r="807" spans="1:20" x14ac:dyDescent="0.25">
      <c r="A807" s="5">
        <v>43786</v>
      </c>
      <c r="B807">
        <v>3.7429999999999998E-3</v>
      </c>
      <c r="C807">
        <v>3.751E-3</v>
      </c>
      <c r="D807">
        <v>3.6519999999999999E-3</v>
      </c>
      <c r="E807">
        <v>3.686E-3</v>
      </c>
      <c r="F807">
        <v>5406163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-0.31313131313131048</v>
      </c>
      <c r="Q807">
        <f t="shared" si="1005"/>
        <v>-1692838.9191919048</v>
      </c>
      <c r="R807">
        <f t="shared" si="1006"/>
        <v>-110623612.24811298</v>
      </c>
      <c r="S807">
        <f t="shared" si="1007"/>
        <v>-1106.2361224811298</v>
      </c>
      <c r="T807">
        <f t="shared" si="1008"/>
        <v>-1.1062361224811297</v>
      </c>
    </row>
    <row r="808" spans="1:20" x14ac:dyDescent="0.25">
      <c r="A808" s="5">
        <v>43785</v>
      </c>
      <c r="B808">
        <v>3.5739999999999999E-3</v>
      </c>
      <c r="C808">
        <v>3.9170000000000003E-3</v>
      </c>
      <c r="D808">
        <v>3.5400000000000002E-3</v>
      </c>
      <c r="E808">
        <v>3.705E-3</v>
      </c>
      <c r="F808">
        <v>16774322</v>
      </c>
      <c r="G808">
        <v>0</v>
      </c>
      <c r="L808" t="s">
        <v>8</v>
      </c>
      <c r="M808" t="s">
        <v>7</v>
      </c>
      <c r="N808" t="s">
        <v>7</v>
      </c>
      <c r="P808">
        <f t="shared" si="1004"/>
        <v>-0.12466843501326413</v>
      </c>
      <c r="Q808">
        <f t="shared" si="1005"/>
        <v>-2091228.4721485667</v>
      </c>
      <c r="R808">
        <f t="shared" si="1006"/>
        <v>-108930773.32892106</v>
      </c>
      <c r="S808">
        <f t="shared" si="1007"/>
        <v>-1089.3077332892105</v>
      </c>
      <c r="T808">
        <f t="shared" si="1008"/>
        <v>-1.0893077332892105</v>
      </c>
    </row>
    <row r="809" spans="1:20" x14ac:dyDescent="0.25">
      <c r="A809" s="5">
        <v>43784</v>
      </c>
      <c r="B809">
        <v>3.6489999999999999E-3</v>
      </c>
      <c r="C809">
        <v>3.6840000000000002E-3</v>
      </c>
      <c r="D809">
        <v>3.516E-3</v>
      </c>
      <c r="E809">
        <v>3.5739999999999999E-3</v>
      </c>
      <c r="F809">
        <v>11648030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-0.30952380952381153</v>
      </c>
      <c r="Q809">
        <f t="shared" si="1005"/>
        <v>-3605342.6190476422</v>
      </c>
      <c r="R809">
        <f t="shared" si="1006"/>
        <v>-106839544.8567725</v>
      </c>
      <c r="S809">
        <f t="shared" si="1007"/>
        <v>-1068.395448567725</v>
      </c>
      <c r="T809">
        <f t="shared" si="1008"/>
        <v>-1.0683954485677249</v>
      </c>
    </row>
    <row r="810" spans="1:20" x14ac:dyDescent="0.25">
      <c r="A810" s="5">
        <v>43783</v>
      </c>
      <c r="B810">
        <v>3.787E-3</v>
      </c>
      <c r="C810">
        <v>3.81E-3</v>
      </c>
      <c r="D810">
        <v>3.5869999999999999E-3</v>
      </c>
      <c r="E810">
        <v>3.6540000000000001E-3</v>
      </c>
      <c r="F810">
        <v>19263826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-0.39910313901345124</v>
      </c>
      <c r="Q810">
        <f t="shared" si="1005"/>
        <v>-7688253.426008936</v>
      </c>
      <c r="R810">
        <f t="shared" si="1006"/>
        <v>-103234202.23772486</v>
      </c>
      <c r="S810">
        <f t="shared" si="1007"/>
        <v>-1032.3420223772487</v>
      </c>
      <c r="T810">
        <f t="shared" si="1008"/>
        <v>-1.0323420223772486</v>
      </c>
    </row>
    <row r="811" spans="1:20" x14ac:dyDescent="0.25">
      <c r="A811" s="5">
        <v>43782</v>
      </c>
      <c r="B811">
        <v>3.826E-3</v>
      </c>
      <c r="C811">
        <v>4.0000000000000001E-3</v>
      </c>
      <c r="D811">
        <v>3.7399999999999998E-3</v>
      </c>
      <c r="E811">
        <v>3.79E-3</v>
      </c>
      <c r="F811">
        <v>22587552</v>
      </c>
      <c r="G811">
        <v>0</v>
      </c>
      <c r="L811" t="s">
        <v>8</v>
      </c>
      <c r="M811" t="s">
        <v>8</v>
      </c>
      <c r="N811" t="s">
        <v>7</v>
      </c>
      <c r="P811">
        <f t="shared" si="1004"/>
        <v>-0.61538461538461475</v>
      </c>
      <c r="Q811">
        <f t="shared" si="1005"/>
        <v>-13900031.999999985</v>
      </c>
      <c r="R811">
        <f t="shared" si="1006"/>
        <v>-95545948.811715916</v>
      </c>
      <c r="S811">
        <f t="shared" si="1007"/>
        <v>-955.45948811715914</v>
      </c>
      <c r="T811">
        <f t="shared" si="1008"/>
        <v>-0.95545948811715919</v>
      </c>
    </row>
    <row r="812" spans="1:20" x14ac:dyDescent="0.25">
      <c r="A812" s="5">
        <v>43781</v>
      </c>
      <c r="B812">
        <v>4.0860000000000002E-3</v>
      </c>
      <c r="C812">
        <v>4.1339999999999997E-3</v>
      </c>
      <c r="D812">
        <v>3.741E-3</v>
      </c>
      <c r="E812">
        <v>3.826E-3</v>
      </c>
      <c r="F812">
        <v>27249777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-0.5674300254452922</v>
      </c>
      <c r="Q812">
        <f t="shared" si="1005"/>
        <v>-15462341.656488538</v>
      </c>
      <c r="R812">
        <f t="shared" si="1006"/>
        <v>-81645916.811715931</v>
      </c>
      <c r="S812">
        <f t="shared" si="1007"/>
        <v>-816.45916811715927</v>
      </c>
      <c r="T812">
        <f t="shared" si="1008"/>
        <v>-0.81645916811715924</v>
      </c>
    </row>
    <row r="813" spans="1:20" x14ac:dyDescent="0.25">
      <c r="A813" s="5">
        <v>43780</v>
      </c>
      <c r="B813">
        <v>3.9839999999999997E-3</v>
      </c>
      <c r="C813">
        <v>4.176E-3</v>
      </c>
      <c r="D813">
        <v>3.8600000000000001E-3</v>
      </c>
      <c r="E813">
        <v>4.0790000000000002E-3</v>
      </c>
      <c r="F813">
        <v>16659741</v>
      </c>
      <c r="G813">
        <v>0</v>
      </c>
      <c r="L813" t="s">
        <v>7</v>
      </c>
      <c r="M813" t="s">
        <v>8</v>
      </c>
      <c r="N813" t="s">
        <v>7</v>
      </c>
      <c r="P813">
        <f t="shared" si="1004"/>
        <v>0.38607594936708922</v>
      </c>
      <c r="Q813">
        <f t="shared" si="1005"/>
        <v>6431925.3227848206</v>
      </c>
      <c r="R813">
        <f t="shared" si="1006"/>
        <v>-66183575.1552274</v>
      </c>
      <c r="S813">
        <f t="shared" si="1007"/>
        <v>-661.83575155227402</v>
      </c>
      <c r="T813">
        <f t="shared" si="1008"/>
        <v>-0.66183575155227403</v>
      </c>
    </row>
    <row r="814" spans="1:20" x14ac:dyDescent="0.25">
      <c r="A814" s="5">
        <v>43779</v>
      </c>
      <c r="B814">
        <v>3.7209999999999999E-3</v>
      </c>
      <c r="C814">
        <v>4.2389999999999997E-3</v>
      </c>
      <c r="D814">
        <v>3.6579999999999998E-3</v>
      </c>
      <c r="E814">
        <v>3.9560000000000003E-3</v>
      </c>
      <c r="F814">
        <v>23928122</v>
      </c>
      <c r="G814">
        <v>0</v>
      </c>
      <c r="L814" t="s">
        <v>8</v>
      </c>
      <c r="M814" t="s">
        <v>8</v>
      </c>
      <c r="N814" t="s">
        <v>7</v>
      </c>
      <c r="P814">
        <f t="shared" si="1004"/>
        <v>2.5817555938039805E-2</v>
      </c>
      <c r="Q814">
        <f t="shared" si="1005"/>
        <v>617765.62822724087</v>
      </c>
      <c r="R814">
        <f t="shared" si="1006"/>
        <v>-72615500.478012219</v>
      </c>
      <c r="S814">
        <f t="shared" si="1007"/>
        <v>-726.15500478012223</v>
      </c>
      <c r="T814">
        <f t="shared" si="1008"/>
        <v>-0.72615500478012218</v>
      </c>
    </row>
    <row r="815" spans="1:20" x14ac:dyDescent="0.25">
      <c r="A815" s="5">
        <v>43778</v>
      </c>
      <c r="B815">
        <v>3.5360000000000001E-3</v>
      </c>
      <c r="C815">
        <v>3.9420000000000002E-3</v>
      </c>
      <c r="D815">
        <v>3.5040000000000002E-3</v>
      </c>
      <c r="E815">
        <v>3.7209999999999999E-3</v>
      </c>
      <c r="F815">
        <v>30004287</v>
      </c>
      <c r="G815">
        <v>0</v>
      </c>
      <c r="L815" t="s">
        <v>8</v>
      </c>
      <c r="M815" t="s">
        <v>7</v>
      </c>
      <c r="N815" t="s">
        <v>7</v>
      </c>
      <c r="P815">
        <f t="shared" si="1004"/>
        <v>-9.132420091325413E-3</v>
      </c>
      <c r="Q815">
        <f t="shared" si="1005"/>
        <v>-274011.75342469389</v>
      </c>
      <c r="R815">
        <f t="shared" si="1006"/>
        <v>-73233266.106239453</v>
      </c>
      <c r="S815">
        <f t="shared" si="1007"/>
        <v>-732.33266106239455</v>
      </c>
      <c r="T815">
        <f t="shared" si="1008"/>
        <v>-0.73233266106239459</v>
      </c>
    </row>
    <row r="816" spans="1:20" x14ac:dyDescent="0.25">
      <c r="A816" s="5">
        <v>43777</v>
      </c>
      <c r="B816">
        <v>3.774E-3</v>
      </c>
      <c r="C816">
        <v>3.846E-3</v>
      </c>
      <c r="D816">
        <v>3.4320000000000002E-3</v>
      </c>
      <c r="E816">
        <v>3.5200000000000001E-3</v>
      </c>
      <c r="F816">
        <v>20039590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-0.5748792270531401</v>
      </c>
      <c r="Q816">
        <f t="shared" si="1005"/>
        <v>-11520344.009661837</v>
      </c>
      <c r="R816">
        <f t="shared" si="1006"/>
        <v>-72959254.352814764</v>
      </c>
      <c r="S816">
        <f t="shared" si="1007"/>
        <v>-729.59254352814764</v>
      </c>
      <c r="T816">
        <f t="shared" si="1008"/>
        <v>-0.72959254352814762</v>
      </c>
    </row>
    <row r="817" spans="1:20" x14ac:dyDescent="0.25">
      <c r="A817" s="5">
        <v>43776</v>
      </c>
      <c r="B817">
        <v>3.8110000000000002E-3</v>
      </c>
      <c r="C817">
        <v>3.9500000000000004E-3</v>
      </c>
      <c r="D817">
        <v>3.6380000000000002E-3</v>
      </c>
      <c r="E817">
        <v>3.7750000000000001E-3</v>
      </c>
      <c r="F817">
        <v>13684070</v>
      </c>
      <c r="G817">
        <v>0</v>
      </c>
      <c r="L817" t="s">
        <v>7</v>
      </c>
      <c r="M817" t="s">
        <v>8</v>
      </c>
      <c r="N817" t="s">
        <v>7</v>
      </c>
      <c r="P817">
        <f t="shared" si="1004"/>
        <v>-0.12179487179487258</v>
      </c>
      <c r="Q817">
        <f t="shared" si="1005"/>
        <v>-1666649.551282062</v>
      </c>
      <c r="R817">
        <f t="shared" si="1006"/>
        <v>-61438910.343152925</v>
      </c>
      <c r="S817">
        <f t="shared" si="1007"/>
        <v>-614.38910343152929</v>
      </c>
      <c r="T817">
        <f t="shared" si="1008"/>
        <v>-0.6143891034315293</v>
      </c>
    </row>
    <row r="818" spans="1:20" x14ac:dyDescent="0.25">
      <c r="A818" s="5">
        <v>43775</v>
      </c>
      <c r="B818">
        <v>3.4970000000000001E-3</v>
      </c>
      <c r="C818">
        <v>4.1130000000000003E-3</v>
      </c>
      <c r="D818">
        <v>3.4749999999999998E-3</v>
      </c>
      <c r="E818">
        <v>3.8110000000000002E-3</v>
      </c>
      <c r="F818">
        <v>22391191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5.3291536050156969E-2</v>
      </c>
      <c r="Q818">
        <f t="shared" si="1005"/>
        <v>1193260.9623824502</v>
      </c>
      <c r="R818">
        <f t="shared" si="1006"/>
        <v>-59772260.791870862</v>
      </c>
      <c r="S818">
        <f t="shared" si="1007"/>
        <v>-597.7226079187086</v>
      </c>
      <c r="T818">
        <f t="shared" si="1008"/>
        <v>-0.59772260791870857</v>
      </c>
    </row>
    <row r="819" spans="1:20" x14ac:dyDescent="0.25">
      <c r="A819" s="5">
        <v>43774</v>
      </c>
      <c r="B819">
        <v>3.4749999999999998E-3</v>
      </c>
      <c r="C819">
        <v>3.676E-3</v>
      </c>
      <c r="D819">
        <v>3.3999999999999998E-3</v>
      </c>
      <c r="E819">
        <v>3.48E-3</v>
      </c>
      <c r="F819">
        <v>17344658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-0.42028985507246269</v>
      </c>
      <c r="Q819">
        <f t="shared" si="1005"/>
        <v>-7289783.7971014306</v>
      </c>
      <c r="R819">
        <f t="shared" si="1006"/>
        <v>-60965521.754253313</v>
      </c>
      <c r="S819">
        <f t="shared" si="1007"/>
        <v>-609.65521754253314</v>
      </c>
      <c r="T819">
        <f t="shared" si="1008"/>
        <v>-0.60965521754253316</v>
      </c>
    </row>
    <row r="820" spans="1:20" x14ac:dyDescent="0.25">
      <c r="A820" s="5">
        <v>43773</v>
      </c>
      <c r="B820">
        <v>3.2160000000000001E-3</v>
      </c>
      <c r="C820">
        <v>3.4749999999999998E-3</v>
      </c>
      <c r="D820">
        <v>3.1719999999999999E-3</v>
      </c>
      <c r="E820">
        <v>3.4749999999999998E-3</v>
      </c>
      <c r="F820">
        <v>8508805</v>
      </c>
      <c r="G820">
        <v>0</v>
      </c>
      <c r="L820" t="s">
        <v>8</v>
      </c>
      <c r="M820" t="s">
        <v>7</v>
      </c>
      <c r="N820" t="s">
        <v>7</v>
      </c>
      <c r="P820">
        <f t="shared" si="1004"/>
        <v>1</v>
      </c>
      <c r="Q820">
        <f t="shared" si="1005"/>
        <v>8508805</v>
      </c>
      <c r="R820">
        <f t="shared" si="1006"/>
        <v>-53675737.957151882</v>
      </c>
      <c r="S820">
        <f t="shared" si="1007"/>
        <v>-536.75737957151887</v>
      </c>
      <c r="T820">
        <f t="shared" si="1008"/>
        <v>-0.53675737957151892</v>
      </c>
    </row>
    <row r="821" spans="1:20" x14ac:dyDescent="0.25">
      <c r="A821" s="5">
        <v>43772</v>
      </c>
      <c r="B821">
        <v>3.1900000000000001E-3</v>
      </c>
      <c r="C821">
        <v>3.2439999999999999E-3</v>
      </c>
      <c r="D821">
        <v>3.166E-3</v>
      </c>
      <c r="E821">
        <v>3.2429999999999998E-3</v>
      </c>
      <c r="F821">
        <v>3946326</v>
      </c>
      <c r="G821">
        <v>0</v>
      </c>
      <c r="L821" t="s">
        <v>7</v>
      </c>
      <c r="M821" t="s">
        <v>7</v>
      </c>
      <c r="N821" t="s">
        <v>7</v>
      </c>
      <c r="P821">
        <f t="shared" si="1004"/>
        <v>0.9743589743589709</v>
      </c>
      <c r="Q821">
        <f t="shared" si="1005"/>
        <v>3845138.15384614</v>
      </c>
      <c r="R821">
        <f t="shared" si="1006"/>
        <v>-62184542.957151882</v>
      </c>
      <c r="S821">
        <f t="shared" si="1007"/>
        <v>-621.84542957151882</v>
      </c>
      <c r="T821">
        <f t="shared" si="1008"/>
        <v>-0.62184542957151878</v>
      </c>
    </row>
    <row r="822" spans="1:20" x14ac:dyDescent="0.25">
      <c r="A822" s="5">
        <v>43771</v>
      </c>
      <c r="B822">
        <v>3.1900000000000001E-3</v>
      </c>
      <c r="C822">
        <v>3.274E-3</v>
      </c>
      <c r="D822">
        <v>3.1749999999999999E-3</v>
      </c>
      <c r="E822">
        <v>3.1800000000000001E-3</v>
      </c>
      <c r="F822">
        <v>5008242</v>
      </c>
      <c r="G822">
        <v>0</v>
      </c>
      <c r="L822" t="s">
        <v>7</v>
      </c>
      <c r="M822" t="s">
        <v>7</v>
      </c>
      <c r="N822" t="s">
        <v>7</v>
      </c>
      <c r="P822">
        <f t="shared" si="1004"/>
        <v>-0.89898989898989445</v>
      </c>
      <c r="Q822">
        <f t="shared" si="1005"/>
        <v>-4502358.9696969474</v>
      </c>
      <c r="R822">
        <f t="shared" si="1006"/>
        <v>-66029681.11099802</v>
      </c>
      <c r="S822">
        <f t="shared" si="1007"/>
        <v>-660.29681110998024</v>
      </c>
      <c r="T822">
        <f t="shared" si="1008"/>
        <v>-0.66029681110998029</v>
      </c>
    </row>
    <row r="823" spans="1:20" x14ac:dyDescent="0.25">
      <c r="A823" s="5">
        <v>43770</v>
      </c>
      <c r="B823">
        <v>3.104E-3</v>
      </c>
      <c r="C823">
        <v>3.4359999999999998E-3</v>
      </c>
      <c r="D823">
        <v>3.0479999999999999E-3</v>
      </c>
      <c r="E823">
        <v>3.2490000000000002E-3</v>
      </c>
      <c r="F823">
        <v>30082056</v>
      </c>
      <c r="G823">
        <v>0</v>
      </c>
      <c r="L823" t="s">
        <v>8</v>
      </c>
      <c r="M823" t="s">
        <v>7</v>
      </c>
      <c r="N823" t="s">
        <v>7</v>
      </c>
      <c r="P823">
        <f t="shared" si="1004"/>
        <v>3.6082474226805571E-2</v>
      </c>
      <c r="Q823">
        <f t="shared" si="1005"/>
        <v>1085435.0103093218</v>
      </c>
      <c r="R823">
        <f t="shared" si="1006"/>
        <v>-61527322.141301073</v>
      </c>
      <c r="S823">
        <f t="shared" si="1007"/>
        <v>-615.27322141301079</v>
      </c>
      <c r="T823">
        <f t="shared" si="1008"/>
        <v>-0.61527322141301077</v>
      </c>
    </row>
    <row r="824" spans="1:20" x14ac:dyDescent="0.25">
      <c r="A824" s="5">
        <v>43769</v>
      </c>
      <c r="B824">
        <v>3.1289999999999998E-3</v>
      </c>
      <c r="C824">
        <v>3.1610000000000002E-3</v>
      </c>
      <c r="D824">
        <v>3.0360000000000001E-3</v>
      </c>
      <c r="E824">
        <v>3.1220000000000002E-3</v>
      </c>
      <c r="F824">
        <v>10189781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0.376000000000001</v>
      </c>
      <c r="Q824">
        <f t="shared" si="1005"/>
        <v>3831357.6560000102</v>
      </c>
      <c r="R824">
        <f t="shared" si="1006"/>
        <v>-62612757.151610397</v>
      </c>
      <c r="S824">
        <f t="shared" si="1007"/>
        <v>-626.12757151610401</v>
      </c>
      <c r="T824">
        <f t="shared" si="1008"/>
        <v>-0.62612757151610399</v>
      </c>
    </row>
    <row r="825" spans="1:20" x14ac:dyDescent="0.25">
      <c r="A825" s="5">
        <v>43768</v>
      </c>
      <c r="B825">
        <v>3.2030000000000001E-3</v>
      </c>
      <c r="C825">
        <v>3.2369999999999999E-3</v>
      </c>
      <c r="D825">
        <v>3.0500000000000002E-3</v>
      </c>
      <c r="E825">
        <v>3.14E-3</v>
      </c>
      <c r="F825">
        <v>14221014</v>
      </c>
      <c r="G825">
        <v>0</v>
      </c>
      <c r="L825" t="s">
        <v>7</v>
      </c>
      <c r="M825" t="s">
        <v>7</v>
      </c>
      <c r="N825" t="s">
        <v>7</v>
      </c>
      <c r="P825">
        <f t="shared" si="1004"/>
        <v>-3.7433155080214303E-2</v>
      </c>
      <c r="Q825">
        <f t="shared" si="1005"/>
        <v>-532337.42245989875</v>
      </c>
      <c r="R825">
        <f t="shared" si="1006"/>
        <v>-66444114.807610407</v>
      </c>
      <c r="S825">
        <f t="shared" si="1007"/>
        <v>-664.44114807610413</v>
      </c>
      <c r="T825">
        <f t="shared" si="1008"/>
        <v>-0.6644411480761041</v>
      </c>
    </row>
    <row r="826" spans="1:20" x14ac:dyDescent="0.25">
      <c r="A826" s="5">
        <v>43767</v>
      </c>
      <c r="B826">
        <v>3.3430000000000001E-3</v>
      </c>
      <c r="C826">
        <v>3.3839999999999999E-3</v>
      </c>
      <c r="D826">
        <v>3.1749999999999999E-3</v>
      </c>
      <c r="E826">
        <v>3.238E-3</v>
      </c>
      <c r="F826">
        <v>11552355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-0.39712918660286961</v>
      </c>
      <c r="Q826">
        <f t="shared" si="1005"/>
        <v>-4587777.3444975941</v>
      </c>
      <c r="R826">
        <f t="shared" si="1006"/>
        <v>-65911777.385150507</v>
      </c>
      <c r="S826">
        <f t="shared" si="1007"/>
        <v>-659.11777385150504</v>
      </c>
      <c r="T826">
        <f t="shared" si="1008"/>
        <v>-0.65911777385150505</v>
      </c>
    </row>
    <row r="827" spans="1:20" x14ac:dyDescent="0.25">
      <c r="A827" s="5">
        <v>43766</v>
      </c>
      <c r="B827">
        <v>3.441E-3</v>
      </c>
      <c r="C827">
        <v>3.581E-3</v>
      </c>
      <c r="D827">
        <v>3.2810000000000001E-3</v>
      </c>
      <c r="E827">
        <v>3.3E-3</v>
      </c>
      <c r="F827">
        <v>17003456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-0.87333333333333385</v>
      </c>
      <c r="Q827">
        <f t="shared" si="1005"/>
        <v>-14849684.906666676</v>
      </c>
      <c r="R827">
        <f t="shared" si="1006"/>
        <v>-61324000.040652916</v>
      </c>
      <c r="S827">
        <f t="shared" si="1007"/>
        <v>-613.24000040652913</v>
      </c>
      <c r="T827">
        <f t="shared" si="1008"/>
        <v>-0.61324000040652915</v>
      </c>
    </row>
    <row r="828" spans="1:20" x14ac:dyDescent="0.25">
      <c r="A828" s="5">
        <v>43765</v>
      </c>
      <c r="B828">
        <v>3.5179999999999999E-3</v>
      </c>
      <c r="C828">
        <v>3.6930000000000001E-3</v>
      </c>
      <c r="D828">
        <v>3.3080000000000002E-3</v>
      </c>
      <c r="E828">
        <v>3.447E-3</v>
      </c>
      <c r="F828">
        <v>26064469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-0.27792207792207879</v>
      </c>
      <c r="Q828">
        <f t="shared" si="1005"/>
        <v>-7243891.384415607</v>
      </c>
      <c r="R828">
        <f t="shared" si="1006"/>
        <v>-46474315.133986242</v>
      </c>
      <c r="S828">
        <f t="shared" si="1007"/>
        <v>-464.74315133986244</v>
      </c>
      <c r="T828">
        <f t="shared" si="1008"/>
        <v>-0.46474315133986244</v>
      </c>
    </row>
    <row r="829" spans="1:20" x14ac:dyDescent="0.25">
      <c r="A829" s="5">
        <v>43764</v>
      </c>
      <c r="B829">
        <v>3.49E-3</v>
      </c>
      <c r="C829">
        <v>3.7009999999999999E-3</v>
      </c>
      <c r="D829">
        <v>3.2940000000000001E-3</v>
      </c>
      <c r="E829">
        <v>3.5179999999999999E-3</v>
      </c>
      <c r="F829">
        <v>21566913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0.10073710073710031</v>
      </c>
      <c r="Q829">
        <f t="shared" si="1005"/>
        <v>2172588.2874692781</v>
      </c>
      <c r="R829">
        <f t="shared" si="1006"/>
        <v>-39230423.749570638</v>
      </c>
      <c r="S829">
        <f t="shared" si="1007"/>
        <v>-392.30423749570639</v>
      </c>
      <c r="T829">
        <f t="shared" si="1008"/>
        <v>-0.39230423749570636</v>
      </c>
    </row>
    <row r="830" spans="1:20" x14ac:dyDescent="0.25">
      <c r="A830" s="5">
        <v>43763</v>
      </c>
      <c r="B830">
        <v>3.228E-3</v>
      </c>
      <c r="C830">
        <v>3.542E-3</v>
      </c>
      <c r="D830">
        <v>3.1489999999999999E-3</v>
      </c>
      <c r="E830">
        <v>3.49E-3</v>
      </c>
      <c r="F830">
        <v>14675339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0.73536895674300284</v>
      </c>
      <c r="Q830">
        <f t="shared" si="1005"/>
        <v>10791788.730279902</v>
      </c>
      <c r="R830">
        <f t="shared" si="1006"/>
        <v>-41403012.037039913</v>
      </c>
      <c r="S830">
        <f t="shared" si="1007"/>
        <v>-414.03012037039912</v>
      </c>
      <c r="T830">
        <f t="shared" si="1008"/>
        <v>-0.4140301203703991</v>
      </c>
    </row>
    <row r="831" spans="1:20" x14ac:dyDescent="0.25">
      <c r="A831" s="5">
        <v>43762</v>
      </c>
      <c r="B831">
        <v>3.078E-3</v>
      </c>
      <c r="C831">
        <v>3.2690000000000002E-3</v>
      </c>
      <c r="D831">
        <v>3.0079999999999998E-3</v>
      </c>
      <c r="E831">
        <v>3.2269999999999998E-3</v>
      </c>
      <c r="F831">
        <v>9972948</v>
      </c>
      <c r="G831">
        <v>0</v>
      </c>
      <c r="L831" t="s">
        <v>8</v>
      </c>
      <c r="M831" t="s">
        <v>7</v>
      </c>
      <c r="N831" t="s">
        <v>7</v>
      </c>
      <c r="P831">
        <f t="shared" ref="P831:P889" si="1009">IF(C831=D831,0,((E831-D831)-(C831-E831))/(C831-D831))</f>
        <v>0.6781609195402275</v>
      </c>
      <c r="Q831">
        <f t="shared" ref="Q831:Q889" si="1010">F831*P831</f>
        <v>6763263.5862068729</v>
      </c>
      <c r="R831">
        <f t="shared" ref="R831:R889" si="1011">R832+Q831</f>
        <v>-52194800.767319813</v>
      </c>
      <c r="S831">
        <f t="shared" ref="S831:S889" si="1012">R831/100000</f>
        <v>-521.94800767319816</v>
      </c>
      <c r="T831">
        <f t="shared" ref="T831:T889" si="1013">S831/1000</f>
        <v>-0.52194800767319816</v>
      </c>
    </row>
    <row r="832" spans="1:20" x14ac:dyDescent="0.25">
      <c r="A832" s="5">
        <v>43761</v>
      </c>
      <c r="B832">
        <v>3.339E-3</v>
      </c>
      <c r="C832">
        <v>3.362E-3</v>
      </c>
      <c r="D832">
        <v>3.0100000000000001E-3</v>
      </c>
      <c r="E832">
        <v>3.1059999999999998E-3</v>
      </c>
      <c r="F832">
        <v>7884849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-0.45454545454545586</v>
      </c>
      <c r="Q832">
        <f t="shared" si="1010"/>
        <v>-3584022.2727272832</v>
      </c>
      <c r="R832">
        <f t="shared" si="1011"/>
        <v>-58958064.353526689</v>
      </c>
      <c r="S832">
        <f t="shared" si="1012"/>
        <v>-589.58064353526686</v>
      </c>
      <c r="T832">
        <f t="shared" si="1013"/>
        <v>-0.58958064353526685</v>
      </c>
    </row>
    <row r="833" spans="1:20" x14ac:dyDescent="0.25">
      <c r="A833" s="5">
        <v>43760</v>
      </c>
      <c r="B833">
        <v>3.5409999999999999E-3</v>
      </c>
      <c r="C833">
        <v>3.5409999999999999E-3</v>
      </c>
      <c r="D833">
        <v>3.326E-3</v>
      </c>
      <c r="E833">
        <v>3.3509999999999998E-3</v>
      </c>
      <c r="F833">
        <v>7840230</v>
      </c>
      <c r="G833">
        <v>0</v>
      </c>
      <c r="L833" t="s">
        <v>7</v>
      </c>
      <c r="M833" t="s">
        <v>7</v>
      </c>
      <c r="N833" t="s">
        <v>8</v>
      </c>
      <c r="P833">
        <f t="shared" si="1009"/>
        <v>-0.76744186046511764</v>
      </c>
      <c r="Q833">
        <f t="shared" si="1010"/>
        <v>-6016920.697674429</v>
      </c>
      <c r="R833">
        <f t="shared" si="1011"/>
        <v>-55374042.080799408</v>
      </c>
      <c r="S833">
        <f t="shared" si="1012"/>
        <v>-553.74042080799404</v>
      </c>
      <c r="T833">
        <f t="shared" si="1013"/>
        <v>-0.55374042080799402</v>
      </c>
    </row>
    <row r="834" spans="1:20" x14ac:dyDescent="0.25">
      <c r="A834" s="5">
        <v>43759</v>
      </c>
      <c r="B834">
        <v>3.503E-3</v>
      </c>
      <c r="C834">
        <v>3.565E-3</v>
      </c>
      <c r="D834">
        <v>3.4810000000000002E-3</v>
      </c>
      <c r="E834">
        <v>3.542E-3</v>
      </c>
      <c r="F834">
        <v>3212950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0.45238095238095116</v>
      </c>
      <c r="Q834">
        <f t="shared" si="1010"/>
        <v>1453477.3809523771</v>
      </c>
      <c r="R834">
        <f t="shared" si="1011"/>
        <v>-49357121.383124977</v>
      </c>
      <c r="S834">
        <f t="shared" si="1012"/>
        <v>-493.57121383124979</v>
      </c>
      <c r="T834">
        <f t="shared" si="1013"/>
        <v>-0.4935712138312498</v>
      </c>
    </row>
    <row r="835" spans="1:20" x14ac:dyDescent="0.25">
      <c r="A835" s="5">
        <v>43758</v>
      </c>
      <c r="B835">
        <v>3.346E-3</v>
      </c>
      <c r="C835">
        <v>3.5460000000000001E-3</v>
      </c>
      <c r="D835">
        <v>3.31E-3</v>
      </c>
      <c r="E835">
        <v>3.5040000000000002E-3</v>
      </c>
      <c r="F835">
        <v>7328161</v>
      </c>
      <c r="G835">
        <v>0</v>
      </c>
      <c r="L835" t="s">
        <v>8</v>
      </c>
      <c r="M835" t="s">
        <v>7</v>
      </c>
      <c r="N835" t="s">
        <v>8</v>
      </c>
      <c r="P835">
        <f t="shared" si="1009"/>
        <v>0.64406779661017022</v>
      </c>
      <c r="Q835">
        <f t="shared" si="1010"/>
        <v>4719832.5084745819</v>
      </c>
      <c r="R835">
        <f t="shared" si="1011"/>
        <v>-50810598.764077358</v>
      </c>
      <c r="S835">
        <f t="shared" si="1012"/>
        <v>-508.10598764077361</v>
      </c>
      <c r="T835">
        <f t="shared" si="1013"/>
        <v>-0.50810598764077364</v>
      </c>
    </row>
    <row r="836" spans="1:20" x14ac:dyDescent="0.25">
      <c r="A836" s="5">
        <v>43757</v>
      </c>
      <c r="B836">
        <v>3.4919999999999999E-3</v>
      </c>
      <c r="C836">
        <v>3.4989999999999999E-3</v>
      </c>
      <c r="D836">
        <v>3.3010000000000001E-3</v>
      </c>
      <c r="E836">
        <v>3.346E-3</v>
      </c>
      <c r="F836">
        <v>4664891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-0.54545454545454608</v>
      </c>
      <c r="Q836">
        <f t="shared" si="1010"/>
        <v>-2544486.0000000028</v>
      </c>
      <c r="R836">
        <f t="shared" si="1011"/>
        <v>-55530431.272551939</v>
      </c>
      <c r="S836">
        <f t="shared" si="1012"/>
        <v>-555.30431272551937</v>
      </c>
      <c r="T836">
        <f t="shared" si="1013"/>
        <v>-0.55530431272551939</v>
      </c>
    </row>
    <row r="837" spans="1:20" x14ac:dyDescent="0.25">
      <c r="A837" s="5">
        <v>43756</v>
      </c>
      <c r="B837">
        <v>3.5950000000000001E-3</v>
      </c>
      <c r="C837">
        <v>3.637E-3</v>
      </c>
      <c r="D837">
        <v>3.46E-3</v>
      </c>
      <c r="E837">
        <v>3.4970000000000001E-3</v>
      </c>
      <c r="F837">
        <v>4750010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-0.58192090395480089</v>
      </c>
      <c r="Q837">
        <f t="shared" si="1010"/>
        <v>-2764130.112994344</v>
      </c>
      <c r="R837">
        <f t="shared" si="1011"/>
        <v>-52985945.272551939</v>
      </c>
      <c r="S837">
        <f t="shared" si="1012"/>
        <v>-529.85945272551942</v>
      </c>
      <c r="T837">
        <f t="shared" si="1013"/>
        <v>-0.52985945272551938</v>
      </c>
    </row>
    <row r="838" spans="1:20" x14ac:dyDescent="0.25">
      <c r="A838" s="5">
        <v>43755</v>
      </c>
      <c r="B838">
        <v>3.5349999999999999E-3</v>
      </c>
      <c r="C838">
        <v>3.8049999999999998E-3</v>
      </c>
      <c r="D838">
        <v>3.5049999999999999E-3</v>
      </c>
      <c r="E838">
        <v>3.5959999999999998E-3</v>
      </c>
      <c r="F838">
        <v>12294286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-0.39333333333333359</v>
      </c>
      <c r="Q838">
        <f t="shared" si="1010"/>
        <v>-4835752.4933333369</v>
      </c>
      <c r="R838">
        <f t="shared" si="1011"/>
        <v>-50221815.159557596</v>
      </c>
      <c r="S838">
        <f t="shared" si="1012"/>
        <v>-502.21815159557593</v>
      </c>
      <c r="T838">
        <f t="shared" si="1013"/>
        <v>-0.50221815159557592</v>
      </c>
    </row>
    <row r="839" spans="1:20" x14ac:dyDescent="0.25">
      <c r="A839" s="5">
        <v>43754</v>
      </c>
      <c r="B839">
        <v>3.8310000000000002E-3</v>
      </c>
      <c r="C839">
        <v>3.833E-3</v>
      </c>
      <c r="D839">
        <v>3.411E-3</v>
      </c>
      <c r="E839">
        <v>3.5890000000000002E-3</v>
      </c>
      <c r="F839">
        <v>10389667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-0.15639810426540199</v>
      </c>
      <c r="Q839">
        <f t="shared" si="1010"/>
        <v>-1624924.2227488062</v>
      </c>
      <c r="R839">
        <f t="shared" si="1011"/>
        <v>-45386062.666224256</v>
      </c>
      <c r="S839">
        <f t="shared" si="1012"/>
        <v>-453.86062666224257</v>
      </c>
      <c r="T839">
        <f t="shared" si="1013"/>
        <v>-0.45386062666224258</v>
      </c>
    </row>
    <row r="840" spans="1:20" x14ac:dyDescent="0.25">
      <c r="A840" s="5">
        <v>43753</v>
      </c>
      <c r="B840">
        <v>4.0210000000000003E-3</v>
      </c>
      <c r="C840">
        <v>4.0470000000000002E-3</v>
      </c>
      <c r="D840">
        <v>3.8E-3</v>
      </c>
      <c r="E840">
        <v>3.8319999999999999E-3</v>
      </c>
      <c r="F840">
        <v>5282363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-0.74089068825911031</v>
      </c>
      <c r="Q840">
        <f t="shared" si="1010"/>
        <v>-3913653.5587044586</v>
      </c>
      <c r="R840">
        <f t="shared" si="1011"/>
        <v>-43761138.443475448</v>
      </c>
      <c r="S840">
        <f t="shared" si="1012"/>
        <v>-437.61138443475448</v>
      </c>
      <c r="T840">
        <f t="shared" si="1013"/>
        <v>-0.4376113844347545</v>
      </c>
    </row>
    <row r="841" spans="1:20" x14ac:dyDescent="0.25">
      <c r="A841" s="5">
        <v>43752</v>
      </c>
      <c r="B841">
        <v>3.9509999999999997E-3</v>
      </c>
      <c r="C841">
        <v>4.0639999999999999E-3</v>
      </c>
      <c r="D841">
        <v>3.8479999999999999E-3</v>
      </c>
      <c r="E841">
        <v>4.0220000000000004E-3</v>
      </c>
      <c r="F841">
        <v>8082632</v>
      </c>
      <c r="G841">
        <v>0</v>
      </c>
      <c r="L841" t="s">
        <v>7</v>
      </c>
      <c r="M841" t="s">
        <v>8</v>
      </c>
      <c r="N841" t="s">
        <v>8</v>
      </c>
      <c r="P841">
        <f t="shared" si="1009"/>
        <v>0.61111111111111582</v>
      </c>
      <c r="Q841">
        <f t="shared" si="1010"/>
        <v>4939386.2222222602</v>
      </c>
      <c r="R841">
        <f t="shared" si="1011"/>
        <v>-39847484.884770989</v>
      </c>
      <c r="S841">
        <f t="shared" si="1012"/>
        <v>-398.47484884770989</v>
      </c>
      <c r="T841">
        <f t="shared" si="1013"/>
        <v>-0.39847484884770989</v>
      </c>
    </row>
    <row r="842" spans="1:20" x14ac:dyDescent="0.25">
      <c r="A842" s="5">
        <v>43751</v>
      </c>
      <c r="B842">
        <v>4.0340000000000003E-3</v>
      </c>
      <c r="C842">
        <v>4.1029999999999999E-3</v>
      </c>
      <c r="D842">
        <v>3.9500000000000004E-3</v>
      </c>
      <c r="E842">
        <v>3.9919999999999999E-3</v>
      </c>
      <c r="F842">
        <v>7606964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-0.45098039215686742</v>
      </c>
      <c r="Q842">
        <f t="shared" si="1010"/>
        <v>-3430591.6078431727</v>
      </c>
      <c r="R842">
        <f t="shared" si="1011"/>
        <v>-44786871.106993251</v>
      </c>
      <c r="S842">
        <f t="shared" si="1012"/>
        <v>-447.86871106993249</v>
      </c>
      <c r="T842">
        <f t="shared" si="1013"/>
        <v>-0.44786871106993248</v>
      </c>
    </row>
    <row r="843" spans="1:20" x14ac:dyDescent="0.25">
      <c r="A843" s="5">
        <v>43750</v>
      </c>
      <c r="B843">
        <v>4.0260000000000001E-3</v>
      </c>
      <c r="C843">
        <v>4.1200000000000004E-3</v>
      </c>
      <c r="D843">
        <v>3.98E-3</v>
      </c>
      <c r="E843">
        <v>4.0819999999999997E-3</v>
      </c>
      <c r="F843">
        <v>4295953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0.45714285714284847</v>
      </c>
      <c r="Q843">
        <f t="shared" si="1010"/>
        <v>1963864.2285713912</v>
      </c>
      <c r="R843">
        <f t="shared" si="1011"/>
        <v>-41356279.499150075</v>
      </c>
      <c r="S843">
        <f t="shared" si="1012"/>
        <v>-413.56279499150077</v>
      </c>
      <c r="T843">
        <f t="shared" si="1013"/>
        <v>-0.41356279499150078</v>
      </c>
    </row>
    <row r="844" spans="1:20" x14ac:dyDescent="0.25">
      <c r="A844" s="5">
        <v>43749</v>
      </c>
      <c r="B844">
        <v>4.1700000000000001E-3</v>
      </c>
      <c r="C844">
        <v>4.2890000000000003E-3</v>
      </c>
      <c r="D844">
        <v>3.9979999999999998E-3</v>
      </c>
      <c r="E844">
        <v>4.0130000000000001E-3</v>
      </c>
      <c r="F844">
        <v>5182664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-0.89690721649484373</v>
      </c>
      <c r="Q844">
        <f t="shared" si="1010"/>
        <v>-4648368.7422680324</v>
      </c>
      <c r="R844">
        <f t="shared" si="1011"/>
        <v>-43320143.727721468</v>
      </c>
      <c r="S844">
        <f t="shared" si="1012"/>
        <v>-433.20143727721467</v>
      </c>
      <c r="T844">
        <f t="shared" si="1013"/>
        <v>-0.43320143727721466</v>
      </c>
    </row>
    <row r="845" spans="1:20" x14ac:dyDescent="0.25">
      <c r="A845" s="5">
        <v>43748</v>
      </c>
      <c r="B845">
        <v>4.333E-3</v>
      </c>
      <c r="C845">
        <v>4.3540000000000002E-3</v>
      </c>
      <c r="D845">
        <v>4.1339999999999997E-3</v>
      </c>
      <c r="E845">
        <v>4.235E-3</v>
      </c>
      <c r="F845">
        <v>4377780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-8.1818181818180638E-2</v>
      </c>
      <c r="Q845">
        <f t="shared" si="1010"/>
        <v>-358181.99999999482</v>
      </c>
      <c r="R845">
        <f t="shared" si="1011"/>
        <v>-38671774.985453434</v>
      </c>
      <c r="S845">
        <f t="shared" si="1012"/>
        <v>-386.71774985453436</v>
      </c>
      <c r="T845">
        <f t="shared" si="1013"/>
        <v>-0.38671774985453439</v>
      </c>
    </row>
    <row r="846" spans="1:20" x14ac:dyDescent="0.25">
      <c r="A846" s="5">
        <v>43747</v>
      </c>
      <c r="B846">
        <v>4.1609999999999998E-3</v>
      </c>
      <c r="C846">
        <v>4.4050000000000001E-3</v>
      </c>
      <c r="D846">
        <v>3.9399999999999999E-3</v>
      </c>
      <c r="E846">
        <v>4.326E-3</v>
      </c>
      <c r="F846">
        <v>31745807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0.66021505376344058</v>
      </c>
      <c r="Q846">
        <f t="shared" si="1010"/>
        <v>20959059.67526881</v>
      </c>
      <c r="R846">
        <f t="shared" si="1011"/>
        <v>-38313592.985453442</v>
      </c>
      <c r="S846">
        <f t="shared" si="1012"/>
        <v>-383.13592985453442</v>
      </c>
      <c r="T846">
        <f t="shared" si="1013"/>
        <v>-0.38313592985453443</v>
      </c>
    </row>
    <row r="847" spans="1:20" x14ac:dyDescent="0.25">
      <c r="A847" s="5">
        <v>43746</v>
      </c>
      <c r="B847">
        <v>3.9709999999999997E-3</v>
      </c>
      <c r="C847">
        <v>4.3239999999999997E-3</v>
      </c>
      <c r="D847">
        <v>3.901E-3</v>
      </c>
      <c r="E847">
        <v>4.156E-3</v>
      </c>
      <c r="F847">
        <v>16008137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0.205673758865249</v>
      </c>
      <c r="Q847">
        <f t="shared" si="1010"/>
        <v>3292453.7092198706</v>
      </c>
      <c r="R847">
        <f t="shared" si="1011"/>
        <v>-59272652.660722256</v>
      </c>
      <c r="S847">
        <f t="shared" si="1012"/>
        <v>-592.72652660722258</v>
      </c>
      <c r="T847">
        <f t="shared" si="1013"/>
        <v>-0.59272652660722258</v>
      </c>
    </row>
    <row r="848" spans="1:20" x14ac:dyDescent="0.25">
      <c r="A848" s="5">
        <v>43745</v>
      </c>
      <c r="B848">
        <v>3.5370000000000002E-3</v>
      </c>
      <c r="C848">
        <v>3.9890000000000004E-3</v>
      </c>
      <c r="D848">
        <v>3.4949999999999998E-3</v>
      </c>
      <c r="E848">
        <v>3.9830000000000004E-3</v>
      </c>
      <c r="F848">
        <v>8828797</v>
      </c>
      <c r="G848">
        <v>0</v>
      </c>
      <c r="L848" t="s">
        <v>8</v>
      </c>
      <c r="M848" t="s">
        <v>8</v>
      </c>
      <c r="N848" t="s">
        <v>8</v>
      </c>
      <c r="P848">
        <f t="shared" si="1009"/>
        <v>0.97570850202429182</v>
      </c>
      <c r="Q848">
        <f t="shared" si="1010"/>
        <v>8614332.2955465615</v>
      </c>
      <c r="R848">
        <f t="shared" si="1011"/>
        <v>-62565106.369942129</v>
      </c>
      <c r="S848">
        <f t="shared" si="1012"/>
        <v>-625.65106369942134</v>
      </c>
      <c r="T848">
        <f t="shared" si="1013"/>
        <v>-0.62565106369942136</v>
      </c>
    </row>
    <row r="849" spans="1:20" x14ac:dyDescent="0.25">
      <c r="A849" s="5">
        <v>43744</v>
      </c>
      <c r="B849">
        <v>3.8440000000000002E-3</v>
      </c>
      <c r="C849">
        <v>3.8449999999999999E-3</v>
      </c>
      <c r="D849">
        <v>3.2420000000000001E-3</v>
      </c>
      <c r="E849">
        <v>3.5720000000000001E-3</v>
      </c>
      <c r="F849">
        <v>6341057</v>
      </c>
      <c r="G849">
        <v>0</v>
      </c>
      <c r="L849" t="s">
        <v>7</v>
      </c>
      <c r="M849" t="s">
        <v>7</v>
      </c>
      <c r="N849" t="s">
        <v>8</v>
      </c>
      <c r="P849">
        <f t="shared" si="1009"/>
        <v>9.4527363184079949E-2</v>
      </c>
      <c r="Q849">
        <f t="shared" si="1010"/>
        <v>599403.39800995239</v>
      </c>
      <c r="R849">
        <f t="shared" si="1011"/>
        <v>-71179438.66548869</v>
      </c>
      <c r="S849">
        <f t="shared" si="1012"/>
        <v>-711.79438665488692</v>
      </c>
      <c r="T849">
        <f t="shared" si="1013"/>
        <v>-0.71179438665488692</v>
      </c>
    </row>
    <row r="850" spans="1:20" x14ac:dyDescent="0.25">
      <c r="A850" s="5">
        <v>43743</v>
      </c>
      <c r="B850">
        <v>3.7820000000000002E-3</v>
      </c>
      <c r="C850">
        <v>3.8909999999999999E-3</v>
      </c>
      <c r="D850">
        <v>3.777E-3</v>
      </c>
      <c r="E850">
        <v>3.8349999999999999E-3</v>
      </c>
      <c r="F850">
        <v>1890623</v>
      </c>
      <c r="G850">
        <v>0</v>
      </c>
      <c r="L850" t="s">
        <v>7</v>
      </c>
      <c r="M850" t="s">
        <v>8</v>
      </c>
      <c r="N850" t="s">
        <v>8</v>
      </c>
      <c r="P850">
        <f t="shared" si="1009"/>
        <v>1.7543859649121338E-2</v>
      </c>
      <c r="Q850">
        <f t="shared" si="1010"/>
        <v>33168.824561400732</v>
      </c>
      <c r="R850">
        <f t="shared" si="1011"/>
        <v>-71778842.063498646</v>
      </c>
      <c r="S850">
        <f t="shared" si="1012"/>
        <v>-717.78842063498644</v>
      </c>
      <c r="T850">
        <f t="shared" si="1013"/>
        <v>-0.71778842063498649</v>
      </c>
    </row>
    <row r="851" spans="1:20" x14ac:dyDescent="0.25">
      <c r="A851" s="5">
        <v>43742</v>
      </c>
      <c r="B851">
        <v>3.8649999999999999E-3</v>
      </c>
      <c r="C851">
        <v>4.0949999999999997E-3</v>
      </c>
      <c r="D851">
        <v>3.7039999999999998E-3</v>
      </c>
      <c r="E851">
        <v>3.7829999999999999E-3</v>
      </c>
      <c r="F851">
        <v>19537671</v>
      </c>
      <c r="G851">
        <v>0</v>
      </c>
      <c r="L851" t="s">
        <v>7</v>
      </c>
      <c r="M851" t="s">
        <v>8</v>
      </c>
      <c r="N851" t="s">
        <v>8</v>
      </c>
      <c r="P851">
        <f t="shared" si="1009"/>
        <v>-0.59590792838874629</v>
      </c>
      <c r="Q851">
        <f t="shared" si="1010"/>
        <v>-11642653.051150884</v>
      </c>
      <c r="R851">
        <f t="shared" si="1011"/>
        <v>-71812010.888060048</v>
      </c>
      <c r="S851">
        <f t="shared" si="1012"/>
        <v>-718.12010888060047</v>
      </c>
      <c r="T851">
        <f t="shared" si="1013"/>
        <v>-0.71812010888060052</v>
      </c>
    </row>
    <row r="852" spans="1:20" x14ac:dyDescent="0.25">
      <c r="A852" s="5">
        <v>43741</v>
      </c>
      <c r="B852">
        <v>3.8839999999999999E-3</v>
      </c>
      <c r="C852">
        <v>4.215E-3</v>
      </c>
      <c r="D852">
        <v>3.6619999999999999E-3</v>
      </c>
      <c r="E852">
        <v>3.8809999999999999E-3</v>
      </c>
      <c r="F852">
        <v>30192836</v>
      </c>
      <c r="G852">
        <v>0</v>
      </c>
      <c r="L852" t="s">
        <v>8</v>
      </c>
      <c r="M852" t="s">
        <v>8</v>
      </c>
      <c r="N852" t="s">
        <v>8</v>
      </c>
      <c r="P852">
        <f t="shared" si="1009"/>
        <v>-0.20795660036166377</v>
      </c>
      <c r="Q852">
        <f t="shared" si="1010"/>
        <v>-6278799.5298372554</v>
      </c>
      <c r="R852">
        <f t="shared" si="1011"/>
        <v>-60169357.83690916</v>
      </c>
      <c r="S852">
        <f t="shared" si="1012"/>
        <v>-601.6935783690916</v>
      </c>
      <c r="T852">
        <f t="shared" si="1013"/>
        <v>-0.60169357836909154</v>
      </c>
    </row>
    <row r="853" spans="1:20" x14ac:dyDescent="0.25">
      <c r="A853" s="5">
        <v>43740</v>
      </c>
      <c r="B853">
        <v>3.852E-3</v>
      </c>
      <c r="C853">
        <v>3.9950000000000003E-3</v>
      </c>
      <c r="D853">
        <v>3.7169999999999998E-3</v>
      </c>
      <c r="E853">
        <v>3.9100000000000003E-3</v>
      </c>
      <c r="F853">
        <v>8543889</v>
      </c>
      <c r="G853">
        <v>0</v>
      </c>
      <c r="L853" t="s">
        <v>8</v>
      </c>
      <c r="M853" t="s">
        <v>8</v>
      </c>
      <c r="N853" t="s">
        <v>8</v>
      </c>
      <c r="P853">
        <f t="shared" si="1009"/>
        <v>0.3884892086330945</v>
      </c>
      <c r="Q853">
        <f t="shared" si="1010"/>
        <v>3319208.6762590013</v>
      </c>
      <c r="R853">
        <f t="shared" si="1011"/>
        <v>-53890558.307071902</v>
      </c>
      <c r="S853">
        <f t="shared" si="1012"/>
        <v>-538.90558307071899</v>
      </c>
      <c r="T853">
        <f t="shared" si="1013"/>
        <v>-0.53890558307071901</v>
      </c>
    </row>
    <row r="854" spans="1:20" x14ac:dyDescent="0.25">
      <c r="A854" s="5">
        <v>43739</v>
      </c>
      <c r="B854">
        <v>3.8800000000000002E-3</v>
      </c>
      <c r="C854">
        <v>4.0619999999999996E-3</v>
      </c>
      <c r="D854">
        <v>3.5990000000000002E-3</v>
      </c>
      <c r="E854">
        <v>3.852E-3</v>
      </c>
      <c r="F854">
        <v>19711185</v>
      </c>
      <c r="G854">
        <v>0</v>
      </c>
      <c r="L854" t="s">
        <v>7</v>
      </c>
      <c r="M854" t="s">
        <v>8</v>
      </c>
      <c r="N854" t="s">
        <v>8</v>
      </c>
      <c r="P854">
        <f t="shared" si="1009"/>
        <v>9.2872570194384718E-2</v>
      </c>
      <c r="Q854">
        <f t="shared" si="1010"/>
        <v>1830628.4125270031</v>
      </c>
      <c r="R854">
        <f t="shared" si="1011"/>
        <v>-57209766.983330905</v>
      </c>
      <c r="S854">
        <f t="shared" si="1012"/>
        <v>-572.09766983330906</v>
      </c>
      <c r="T854">
        <f t="shared" si="1013"/>
        <v>-0.57209766983330901</v>
      </c>
    </row>
    <row r="855" spans="1:20" x14ac:dyDescent="0.25">
      <c r="A855" s="5">
        <v>43738</v>
      </c>
      <c r="B855">
        <v>3.4610000000000001E-3</v>
      </c>
      <c r="C855">
        <v>4.1089999999999998E-3</v>
      </c>
      <c r="D855">
        <v>3.2789999999999998E-3</v>
      </c>
      <c r="E855">
        <v>3.8999999999999998E-3</v>
      </c>
      <c r="F855">
        <v>25455268</v>
      </c>
      <c r="G855">
        <v>0</v>
      </c>
      <c r="L855" t="s">
        <v>8</v>
      </c>
      <c r="M855" t="s">
        <v>8</v>
      </c>
      <c r="N855" t="s">
        <v>8</v>
      </c>
      <c r="P855">
        <f t="shared" si="1009"/>
        <v>0.49638554216867475</v>
      </c>
      <c r="Q855">
        <f t="shared" si="1010"/>
        <v>12635627.007228917</v>
      </c>
      <c r="R855">
        <f t="shared" si="1011"/>
        <v>-59040395.395857908</v>
      </c>
      <c r="S855">
        <f t="shared" si="1012"/>
        <v>-590.40395395857911</v>
      </c>
      <c r="T855">
        <f t="shared" si="1013"/>
        <v>-0.59040395395857914</v>
      </c>
    </row>
    <row r="856" spans="1:20" x14ac:dyDescent="0.25">
      <c r="A856" s="5">
        <v>43737</v>
      </c>
      <c r="B856">
        <v>3.2789999999999998E-3</v>
      </c>
      <c r="C856">
        <v>3.5000000000000001E-3</v>
      </c>
      <c r="D856">
        <v>3.1229999999999999E-3</v>
      </c>
      <c r="E856">
        <v>3.46E-3</v>
      </c>
      <c r="F856">
        <v>12715113</v>
      </c>
      <c r="G856">
        <v>0</v>
      </c>
      <c r="L856" t="s">
        <v>8</v>
      </c>
      <c r="M856" t="s">
        <v>8</v>
      </c>
      <c r="N856" t="s">
        <v>8</v>
      </c>
      <c r="P856">
        <f t="shared" si="1009"/>
        <v>0.78779840848806315</v>
      </c>
      <c r="Q856">
        <f t="shared" si="1010"/>
        <v>10016945.785145883</v>
      </c>
      <c r="R856">
        <f t="shared" si="1011"/>
        <v>-71676022.403086826</v>
      </c>
      <c r="S856">
        <f t="shared" si="1012"/>
        <v>-716.76022403086824</v>
      </c>
      <c r="T856">
        <f t="shared" si="1013"/>
        <v>-0.71676022403086825</v>
      </c>
    </row>
    <row r="857" spans="1:20" x14ac:dyDescent="0.25">
      <c r="A857" s="5">
        <v>43736</v>
      </c>
      <c r="B857">
        <v>3.039E-3</v>
      </c>
      <c r="C857">
        <v>3.4199999999999999E-3</v>
      </c>
      <c r="D857">
        <v>3.039E-3</v>
      </c>
      <c r="E857">
        <v>3.2799999999999999E-3</v>
      </c>
      <c r="F857">
        <v>18949602</v>
      </c>
      <c r="G857">
        <v>0</v>
      </c>
      <c r="L857" t="s">
        <v>8</v>
      </c>
      <c r="M857" t="s">
        <v>8</v>
      </c>
      <c r="N857" t="s">
        <v>8</v>
      </c>
      <c r="P857">
        <f t="shared" si="1009"/>
        <v>0.26509186351706038</v>
      </c>
      <c r="Q857">
        <f t="shared" si="1010"/>
        <v>5023385.307086614</v>
      </c>
      <c r="R857">
        <f t="shared" si="1011"/>
        <v>-81692968.188232705</v>
      </c>
      <c r="S857">
        <f t="shared" si="1012"/>
        <v>-816.92968188232703</v>
      </c>
      <c r="T857">
        <f t="shared" si="1013"/>
        <v>-0.81692968188232706</v>
      </c>
    </row>
    <row r="858" spans="1:20" x14ac:dyDescent="0.25">
      <c r="A858" s="5">
        <v>43735</v>
      </c>
      <c r="B858">
        <v>2.9150000000000001E-3</v>
      </c>
      <c r="C858">
        <v>3.1849999999999999E-3</v>
      </c>
      <c r="D858">
        <v>2.771E-3</v>
      </c>
      <c r="E858">
        <v>3.039E-3</v>
      </c>
      <c r="F858">
        <v>15803025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0.29468599033816467</v>
      </c>
      <c r="Q858">
        <f t="shared" si="1010"/>
        <v>4656930.0724637751</v>
      </c>
      <c r="R858">
        <f t="shared" si="1011"/>
        <v>-86716353.495319322</v>
      </c>
      <c r="S858">
        <f t="shared" si="1012"/>
        <v>-867.16353495319322</v>
      </c>
      <c r="T858">
        <f t="shared" si="1013"/>
        <v>-0.8671635349531932</v>
      </c>
    </row>
    <row r="859" spans="1:20" x14ac:dyDescent="0.25">
      <c r="A859" s="5">
        <v>43734</v>
      </c>
      <c r="B859">
        <v>2.8969999999999998E-3</v>
      </c>
      <c r="C859">
        <v>3.0999999999999999E-3</v>
      </c>
      <c r="D859">
        <v>2.7369999999999998E-3</v>
      </c>
      <c r="E859">
        <v>2.921E-3</v>
      </c>
      <c r="F859">
        <v>13719934</v>
      </c>
      <c r="G859">
        <v>0</v>
      </c>
      <c r="L859" t="s">
        <v>7</v>
      </c>
      <c r="M859" t="s">
        <v>8</v>
      </c>
      <c r="N859" t="s">
        <v>7</v>
      </c>
      <c r="P859">
        <f t="shared" si="1009"/>
        <v>1.3774104683196224E-2</v>
      </c>
      <c r="Q859">
        <f t="shared" si="1010"/>
        <v>188979.80716254309</v>
      </c>
      <c r="R859">
        <f t="shared" si="1011"/>
        <v>-91373283.567783102</v>
      </c>
      <c r="S859">
        <f t="shared" si="1012"/>
        <v>-913.73283567783108</v>
      </c>
      <c r="T859">
        <f t="shared" si="1013"/>
        <v>-0.91373283567783103</v>
      </c>
    </row>
    <row r="860" spans="1:20" x14ac:dyDescent="0.25">
      <c r="A860" s="5">
        <v>43733</v>
      </c>
      <c r="B860">
        <v>2.722E-3</v>
      </c>
      <c r="C860">
        <v>3.1930000000000001E-3</v>
      </c>
      <c r="D860">
        <v>2.6689999999999999E-3</v>
      </c>
      <c r="E860">
        <v>2.9269999999999999E-3</v>
      </c>
      <c r="F860">
        <v>19481913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-1.5267175572519451E-2</v>
      </c>
      <c r="Q860">
        <f t="shared" si="1010"/>
        <v>-297433.78625954915</v>
      </c>
      <c r="R860">
        <f t="shared" si="1011"/>
        <v>-91562263.374945641</v>
      </c>
      <c r="S860">
        <f t="shared" si="1012"/>
        <v>-915.62263374945644</v>
      </c>
      <c r="T860">
        <f t="shared" si="1013"/>
        <v>-0.9156226337494564</v>
      </c>
    </row>
    <row r="861" spans="1:20" x14ac:dyDescent="0.25">
      <c r="A861" s="5">
        <v>43732</v>
      </c>
      <c r="B861">
        <v>2.9650000000000002E-3</v>
      </c>
      <c r="C861">
        <v>3.1389999999999999E-3</v>
      </c>
      <c r="D861">
        <v>2.2750000000000001E-3</v>
      </c>
      <c r="E861">
        <v>2.7239999999999999E-3</v>
      </c>
      <c r="F861">
        <v>21489046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3.9351851851851562E-2</v>
      </c>
      <c r="Q861">
        <f t="shared" si="1010"/>
        <v>845633.75462962338</v>
      </c>
      <c r="R861">
        <f t="shared" si="1011"/>
        <v>-91264829.588686094</v>
      </c>
      <c r="S861">
        <f t="shared" si="1012"/>
        <v>-912.64829588686098</v>
      </c>
      <c r="T861">
        <f t="shared" si="1013"/>
        <v>-0.91264829588686103</v>
      </c>
    </row>
    <row r="862" spans="1:20" x14ac:dyDescent="0.25">
      <c r="A862" s="5">
        <v>43731</v>
      </c>
      <c r="B862">
        <v>3.4299999999999999E-3</v>
      </c>
      <c r="C862">
        <v>3.431E-3</v>
      </c>
      <c r="D862">
        <v>2.8700000000000002E-3</v>
      </c>
      <c r="E862">
        <v>3.016E-3</v>
      </c>
      <c r="F862">
        <v>17541115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-0.47950089126559753</v>
      </c>
      <c r="Q862">
        <f t="shared" si="1010"/>
        <v>-8410980.2762923427</v>
      </c>
      <c r="R862">
        <f t="shared" si="1011"/>
        <v>-92110463.343315721</v>
      </c>
      <c r="S862">
        <f t="shared" si="1012"/>
        <v>-921.10463343315723</v>
      </c>
      <c r="T862">
        <f t="shared" si="1013"/>
        <v>-0.92110463343315718</v>
      </c>
    </row>
    <row r="863" spans="1:20" x14ac:dyDescent="0.25">
      <c r="A863" s="5">
        <v>43730</v>
      </c>
      <c r="B863">
        <v>3.8370000000000001E-3</v>
      </c>
      <c r="C863">
        <v>3.8370000000000001E-3</v>
      </c>
      <c r="D863">
        <v>3.297E-3</v>
      </c>
      <c r="E863">
        <v>3.3709999999999999E-3</v>
      </c>
      <c r="F863">
        <v>23084873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-0.72592592592592653</v>
      </c>
      <c r="Q863">
        <f t="shared" si="1010"/>
        <v>-16757907.807407422</v>
      </c>
      <c r="R863">
        <f t="shared" si="1011"/>
        <v>-83699483.067023382</v>
      </c>
      <c r="S863">
        <f t="shared" si="1012"/>
        <v>-836.9948306702338</v>
      </c>
      <c r="T863">
        <f t="shared" si="1013"/>
        <v>-0.83699483067023384</v>
      </c>
    </row>
    <row r="864" spans="1:20" x14ac:dyDescent="0.25">
      <c r="A864" s="5">
        <v>43729</v>
      </c>
      <c r="B864">
        <v>3.8890000000000001E-3</v>
      </c>
      <c r="C864">
        <v>4.1999999999999997E-3</v>
      </c>
      <c r="D864">
        <v>3.7469999999999999E-3</v>
      </c>
      <c r="E864">
        <v>3.8349999999999999E-3</v>
      </c>
      <c r="F864">
        <v>28435083</v>
      </c>
      <c r="G864">
        <v>0</v>
      </c>
      <c r="L864" t="s">
        <v>7</v>
      </c>
      <c r="M864" t="s">
        <v>7</v>
      </c>
      <c r="N864" t="s">
        <v>8</v>
      </c>
      <c r="P864">
        <f t="shared" si="1009"/>
        <v>-0.61147902869757176</v>
      </c>
      <c r="Q864">
        <f t="shared" si="1010"/>
        <v>-17387456.933774836</v>
      </c>
      <c r="R864">
        <f t="shared" si="1011"/>
        <v>-66941575.259615965</v>
      </c>
      <c r="S864">
        <f t="shared" si="1012"/>
        <v>-669.41575259615968</v>
      </c>
      <c r="T864">
        <f t="shared" si="1013"/>
        <v>-0.66941575259615971</v>
      </c>
    </row>
    <row r="865" spans="1:20" x14ac:dyDescent="0.25">
      <c r="A865" s="5">
        <v>43728</v>
      </c>
      <c r="B865">
        <v>3.5690000000000001E-3</v>
      </c>
      <c r="C865">
        <v>5.0400000000000002E-3</v>
      </c>
      <c r="D865">
        <v>3.405E-3</v>
      </c>
      <c r="E865">
        <v>3.888E-3</v>
      </c>
      <c r="F865">
        <v>27358169</v>
      </c>
      <c r="G865">
        <v>0</v>
      </c>
      <c r="L865" t="s">
        <v>8</v>
      </c>
      <c r="M865" t="s">
        <v>8</v>
      </c>
      <c r="N865" t="s">
        <v>8</v>
      </c>
      <c r="P865">
        <f t="shared" si="1009"/>
        <v>-0.40917431192660564</v>
      </c>
      <c r="Q865">
        <f t="shared" si="1010"/>
        <v>-11194259.976146793</v>
      </c>
      <c r="R865">
        <f t="shared" si="1011"/>
        <v>-49554118.325841129</v>
      </c>
      <c r="S865">
        <f t="shared" si="1012"/>
        <v>-495.54118325841131</v>
      </c>
      <c r="T865">
        <f t="shared" si="1013"/>
        <v>-0.49554118325841129</v>
      </c>
    </row>
    <row r="866" spans="1:20" x14ac:dyDescent="0.25">
      <c r="A866" s="5">
        <v>43727</v>
      </c>
      <c r="B866">
        <v>3.4269999999999999E-3</v>
      </c>
      <c r="C866">
        <v>3.6280000000000001E-3</v>
      </c>
      <c r="D866">
        <v>3.2109999999999999E-3</v>
      </c>
      <c r="E866">
        <v>3.6120000000000002E-3</v>
      </c>
      <c r="F866">
        <v>10783330</v>
      </c>
      <c r="G866">
        <v>0</v>
      </c>
      <c r="L866" t="s">
        <v>8</v>
      </c>
      <c r="M866" t="s">
        <v>7</v>
      </c>
      <c r="N866" t="s">
        <v>8</v>
      </c>
      <c r="P866">
        <f t="shared" si="1009"/>
        <v>0.92326139088729042</v>
      </c>
      <c r="Q866">
        <f t="shared" si="1010"/>
        <v>9955832.2541966457</v>
      </c>
      <c r="R866">
        <f t="shared" si="1011"/>
        <v>-38359858.349694334</v>
      </c>
      <c r="S866">
        <f t="shared" si="1012"/>
        <v>-383.59858349694332</v>
      </c>
      <c r="T866">
        <f t="shared" si="1013"/>
        <v>-0.38359858349694331</v>
      </c>
    </row>
    <row r="867" spans="1:20" x14ac:dyDescent="0.25">
      <c r="A867" s="5">
        <v>43726</v>
      </c>
      <c r="B867">
        <v>3.3050000000000002E-3</v>
      </c>
      <c r="C867">
        <v>3.725E-3</v>
      </c>
      <c r="D867">
        <v>3.039E-3</v>
      </c>
      <c r="E867">
        <v>3.4269999999999999E-3</v>
      </c>
      <c r="F867">
        <v>21525341</v>
      </c>
      <c r="G867">
        <v>0</v>
      </c>
      <c r="L867" t="s">
        <v>7</v>
      </c>
      <c r="M867" t="s">
        <v>7</v>
      </c>
      <c r="N867" t="s">
        <v>8</v>
      </c>
      <c r="P867">
        <f t="shared" si="1009"/>
        <v>0.13119533527696764</v>
      </c>
      <c r="Q867">
        <f t="shared" si="1010"/>
        <v>2824024.3294460578</v>
      </c>
      <c r="R867">
        <f t="shared" si="1011"/>
        <v>-48315690.603890978</v>
      </c>
      <c r="S867">
        <f t="shared" si="1012"/>
        <v>-483.15690603890977</v>
      </c>
      <c r="T867">
        <f t="shared" si="1013"/>
        <v>-0.48315690603890976</v>
      </c>
    </row>
    <row r="868" spans="1:20" x14ac:dyDescent="0.25">
      <c r="A868" s="5">
        <v>43725</v>
      </c>
      <c r="B868">
        <v>3.0279999999999999E-3</v>
      </c>
      <c r="C868">
        <v>3.7820000000000002E-3</v>
      </c>
      <c r="D868">
        <v>2.7980000000000001E-3</v>
      </c>
      <c r="E868">
        <v>3.297E-3</v>
      </c>
      <c r="F868">
        <v>21328749</v>
      </c>
      <c r="G868">
        <v>0</v>
      </c>
      <c r="L868" t="s">
        <v>8</v>
      </c>
      <c r="M868" t="s">
        <v>8</v>
      </c>
      <c r="N868" t="s">
        <v>8</v>
      </c>
      <c r="P868">
        <f t="shared" si="1009"/>
        <v>1.4227642276422448E-2</v>
      </c>
      <c r="Q868">
        <f t="shared" si="1010"/>
        <v>303457.810975603</v>
      </c>
      <c r="R868">
        <f t="shared" si="1011"/>
        <v>-51139714.933337033</v>
      </c>
      <c r="S868">
        <f t="shared" si="1012"/>
        <v>-511.39714933337035</v>
      </c>
      <c r="T868">
        <f t="shared" si="1013"/>
        <v>-0.51139714933337033</v>
      </c>
    </row>
    <row r="869" spans="1:20" x14ac:dyDescent="0.25">
      <c r="A869" s="5">
        <v>43724</v>
      </c>
      <c r="B869">
        <v>3.003E-3</v>
      </c>
      <c r="C869">
        <v>3.1340000000000001E-3</v>
      </c>
      <c r="D869">
        <v>2.882E-3</v>
      </c>
      <c r="E869">
        <v>3.0270000000000002E-3</v>
      </c>
      <c r="F869">
        <v>7725604</v>
      </c>
      <c r="G869">
        <v>0</v>
      </c>
      <c r="L869" t="s">
        <v>8</v>
      </c>
      <c r="M869" t="s">
        <v>8</v>
      </c>
      <c r="N869" t="s">
        <v>8</v>
      </c>
      <c r="P869">
        <f t="shared" si="1009"/>
        <v>0.15079365079365184</v>
      </c>
      <c r="Q869">
        <f t="shared" si="1010"/>
        <v>1164972.0317460399</v>
      </c>
      <c r="R869">
        <f t="shared" si="1011"/>
        <v>-51443172.744312637</v>
      </c>
      <c r="S869">
        <f t="shared" si="1012"/>
        <v>-514.43172744312642</v>
      </c>
      <c r="T869">
        <f t="shared" si="1013"/>
        <v>-0.51443172744312637</v>
      </c>
    </row>
    <row r="870" spans="1:20" x14ac:dyDescent="0.25">
      <c r="A870" s="5">
        <v>43723</v>
      </c>
      <c r="B870">
        <v>2.977E-3</v>
      </c>
      <c r="C870">
        <v>3.009E-3</v>
      </c>
      <c r="D870">
        <v>2.882E-3</v>
      </c>
      <c r="E870">
        <v>3.009E-3</v>
      </c>
      <c r="F870">
        <v>5163362</v>
      </c>
      <c r="G870">
        <v>0</v>
      </c>
      <c r="L870" t="s">
        <v>8</v>
      </c>
      <c r="M870" t="s">
        <v>8</v>
      </c>
      <c r="N870" t="s">
        <v>8</v>
      </c>
      <c r="P870">
        <f t="shared" si="1009"/>
        <v>1</v>
      </c>
      <c r="Q870">
        <f t="shared" si="1010"/>
        <v>5163362</v>
      </c>
      <c r="R870">
        <f t="shared" si="1011"/>
        <v>-52608144.776058674</v>
      </c>
      <c r="S870">
        <f t="shared" si="1012"/>
        <v>-526.08144776058668</v>
      </c>
      <c r="T870">
        <f t="shared" si="1013"/>
        <v>-0.52608144776058663</v>
      </c>
    </row>
    <row r="871" spans="1:20" x14ac:dyDescent="0.25">
      <c r="A871" s="5">
        <v>43722</v>
      </c>
      <c r="B871">
        <v>2.9269999999999999E-3</v>
      </c>
      <c r="C871">
        <v>3.0179999999999998E-3</v>
      </c>
      <c r="D871">
        <v>2.882E-3</v>
      </c>
      <c r="E871">
        <v>2.977E-3</v>
      </c>
      <c r="F871">
        <v>2515478</v>
      </c>
      <c r="G871">
        <v>0</v>
      </c>
      <c r="L871" t="s">
        <v>8</v>
      </c>
      <c r="M871" t="s">
        <v>8</v>
      </c>
      <c r="N871" t="s">
        <v>8</v>
      </c>
      <c r="P871">
        <f t="shared" si="1009"/>
        <v>0.39705882352941391</v>
      </c>
      <c r="Q871">
        <f t="shared" si="1010"/>
        <v>998792.73529412306</v>
      </c>
      <c r="R871">
        <f t="shared" si="1011"/>
        <v>-57771506.776058674</v>
      </c>
      <c r="S871">
        <f t="shared" si="1012"/>
        <v>-577.71506776058675</v>
      </c>
      <c r="T871">
        <f t="shared" si="1013"/>
        <v>-0.57771506776058679</v>
      </c>
    </row>
    <row r="872" spans="1:20" x14ac:dyDescent="0.25">
      <c r="A872" s="5">
        <v>43721</v>
      </c>
      <c r="B872">
        <v>2.8310000000000002E-3</v>
      </c>
      <c r="C872">
        <v>3.0219999999999999E-3</v>
      </c>
      <c r="D872">
        <v>2.7070000000000002E-3</v>
      </c>
      <c r="E872">
        <v>2.99E-3</v>
      </c>
      <c r="F872">
        <v>9879064</v>
      </c>
      <c r="G872">
        <v>0</v>
      </c>
      <c r="L872" t="s">
        <v>7</v>
      </c>
      <c r="M872" t="s">
        <v>8</v>
      </c>
      <c r="N872" t="s">
        <v>8</v>
      </c>
      <c r="P872">
        <f t="shared" si="1009"/>
        <v>0.79682539682539721</v>
      </c>
      <c r="Q872">
        <f t="shared" si="1010"/>
        <v>7871889.0920634959</v>
      </c>
      <c r="R872">
        <f t="shared" si="1011"/>
        <v>-58770299.5113528</v>
      </c>
      <c r="S872">
        <f t="shared" si="1012"/>
        <v>-587.702995113528</v>
      </c>
      <c r="T872">
        <f t="shared" si="1013"/>
        <v>-0.58770299511352797</v>
      </c>
    </row>
    <row r="873" spans="1:20" x14ac:dyDescent="0.25">
      <c r="A873" s="5">
        <v>43720</v>
      </c>
      <c r="B873">
        <v>2.7049999999999999E-3</v>
      </c>
      <c r="C873">
        <v>3.0219999999999999E-3</v>
      </c>
      <c r="D873">
        <v>2.594E-3</v>
      </c>
      <c r="E873">
        <v>2.826E-3</v>
      </c>
      <c r="F873">
        <v>18584862</v>
      </c>
      <c r="G873">
        <v>0</v>
      </c>
      <c r="L873" t="s">
        <v>8</v>
      </c>
      <c r="M873" t="s">
        <v>8</v>
      </c>
      <c r="N873" t="s">
        <v>8</v>
      </c>
      <c r="P873">
        <f t="shared" si="1009"/>
        <v>8.4112149532710304E-2</v>
      </c>
      <c r="Q873">
        <f t="shared" si="1010"/>
        <v>1563212.6915887855</v>
      </c>
      <c r="R873">
        <f t="shared" si="1011"/>
        <v>-66642188.603416294</v>
      </c>
      <c r="S873">
        <f t="shared" si="1012"/>
        <v>-666.42188603416298</v>
      </c>
      <c r="T873">
        <f t="shared" si="1013"/>
        <v>-0.66642188603416297</v>
      </c>
    </row>
    <row r="874" spans="1:20" x14ac:dyDescent="0.25">
      <c r="A874" s="5">
        <v>43719</v>
      </c>
      <c r="B874">
        <v>2.7390000000000001E-3</v>
      </c>
      <c r="C874">
        <v>2.7899999999999999E-3</v>
      </c>
      <c r="D874">
        <v>2.5790000000000001E-3</v>
      </c>
      <c r="E874">
        <v>2.7100000000000002E-3</v>
      </c>
      <c r="F874">
        <v>8916457</v>
      </c>
      <c r="G874">
        <v>0</v>
      </c>
      <c r="L874" t="s">
        <v>7</v>
      </c>
      <c r="M874" t="s">
        <v>7</v>
      </c>
      <c r="N874" t="s">
        <v>8</v>
      </c>
      <c r="P874">
        <f t="shared" si="1009"/>
        <v>0.24170616113744223</v>
      </c>
      <c r="Q874">
        <f t="shared" si="1010"/>
        <v>2155162.5924170748</v>
      </c>
      <c r="R874">
        <f t="shared" si="1011"/>
        <v>-68205401.295005083</v>
      </c>
      <c r="S874">
        <f t="shared" si="1012"/>
        <v>-682.05401295005083</v>
      </c>
      <c r="T874">
        <f t="shared" si="1013"/>
        <v>-0.68205401295005086</v>
      </c>
    </row>
    <row r="875" spans="1:20" x14ac:dyDescent="0.25">
      <c r="A875" s="5">
        <v>43718</v>
      </c>
      <c r="B875">
        <v>2.882E-3</v>
      </c>
      <c r="C875">
        <v>3.0339999999999998E-3</v>
      </c>
      <c r="D875">
        <v>2.7000000000000001E-3</v>
      </c>
      <c r="E875">
        <v>2.7100000000000002E-3</v>
      </c>
      <c r="F875">
        <v>25375960</v>
      </c>
      <c r="G875">
        <v>0</v>
      </c>
      <c r="L875" t="s">
        <v>7</v>
      </c>
      <c r="M875" t="s">
        <v>7</v>
      </c>
      <c r="N875" t="s">
        <v>8</v>
      </c>
      <c r="P875">
        <f t="shared" si="1009"/>
        <v>-0.94011976047904167</v>
      </c>
      <c r="Q875">
        <f t="shared" si="1010"/>
        <v>-23856441.437125742</v>
      </c>
      <c r="R875">
        <f t="shared" si="1011"/>
        <v>-70360563.887422159</v>
      </c>
      <c r="S875">
        <f t="shared" si="1012"/>
        <v>-703.60563887422154</v>
      </c>
      <c r="T875">
        <f t="shared" si="1013"/>
        <v>-0.70360563887422156</v>
      </c>
    </row>
    <row r="876" spans="1:20" x14ac:dyDescent="0.25">
      <c r="A876" s="5">
        <v>43717</v>
      </c>
      <c r="B876">
        <v>2.555E-3</v>
      </c>
      <c r="C876">
        <v>3.4480000000000001E-3</v>
      </c>
      <c r="D876">
        <v>2.4359999999999998E-3</v>
      </c>
      <c r="E876">
        <v>2.882E-3</v>
      </c>
      <c r="F876">
        <v>31196870</v>
      </c>
      <c r="G876">
        <v>0</v>
      </c>
      <c r="L876" t="s">
        <v>8</v>
      </c>
      <c r="M876" t="s">
        <v>8</v>
      </c>
      <c r="N876" t="s">
        <v>8</v>
      </c>
      <c r="P876">
        <f t="shared" si="1009"/>
        <v>-0.11857707509881407</v>
      </c>
      <c r="Q876">
        <f t="shared" si="1010"/>
        <v>-3699233.5968379397</v>
      </c>
      <c r="R876">
        <f t="shared" si="1011"/>
        <v>-46504122.450296417</v>
      </c>
      <c r="S876">
        <f t="shared" si="1012"/>
        <v>-465.04122450296416</v>
      </c>
      <c r="T876">
        <f t="shared" si="1013"/>
        <v>-0.46504122450296415</v>
      </c>
    </row>
    <row r="877" spans="1:20" x14ac:dyDescent="0.25">
      <c r="A877" s="5">
        <v>43716</v>
      </c>
      <c r="B877">
        <v>2.65E-3</v>
      </c>
      <c r="C877">
        <v>2.65E-3</v>
      </c>
      <c r="D877">
        <v>2.4780000000000002E-3</v>
      </c>
      <c r="E877">
        <v>2.5850000000000001E-3</v>
      </c>
      <c r="F877">
        <v>2751154</v>
      </c>
      <c r="G877">
        <v>0</v>
      </c>
      <c r="L877" t="s">
        <v>7</v>
      </c>
      <c r="M877" t="s">
        <v>8</v>
      </c>
      <c r="N877" t="s">
        <v>7</v>
      </c>
      <c r="P877">
        <f t="shared" si="1009"/>
        <v>0.24418604651162776</v>
      </c>
      <c r="Q877">
        <f t="shared" si="1010"/>
        <v>671793.41860465077</v>
      </c>
      <c r="R877">
        <f t="shared" si="1011"/>
        <v>-42804888.853458479</v>
      </c>
      <c r="S877">
        <f t="shared" si="1012"/>
        <v>-428.04888853458476</v>
      </c>
      <c r="T877">
        <f t="shared" si="1013"/>
        <v>-0.42804888853458478</v>
      </c>
    </row>
    <row r="878" spans="1:20" x14ac:dyDescent="0.25">
      <c r="A878" s="5">
        <v>43715</v>
      </c>
      <c r="B878">
        <v>2.3879999999999999E-3</v>
      </c>
      <c r="C878">
        <v>2.7460000000000002E-3</v>
      </c>
      <c r="D878">
        <v>2.3519999999999999E-3</v>
      </c>
      <c r="E878">
        <v>2.6459999999999999E-3</v>
      </c>
      <c r="F878">
        <v>6853237</v>
      </c>
      <c r="G878">
        <v>0</v>
      </c>
      <c r="L878" t="s">
        <v>8</v>
      </c>
      <c r="M878" t="s">
        <v>8</v>
      </c>
      <c r="N878" t="s">
        <v>7</v>
      </c>
      <c r="P878">
        <f t="shared" si="1009"/>
        <v>0.49238578680202943</v>
      </c>
      <c r="Q878">
        <f t="shared" si="1010"/>
        <v>3374436.49238578</v>
      </c>
      <c r="R878">
        <f t="shared" si="1011"/>
        <v>-43476682.272063129</v>
      </c>
      <c r="S878">
        <f t="shared" si="1012"/>
        <v>-434.7668227206313</v>
      </c>
      <c r="T878">
        <f t="shared" si="1013"/>
        <v>-0.43476682272063127</v>
      </c>
    </row>
    <row r="879" spans="1:20" x14ac:dyDescent="0.25">
      <c r="A879" s="5">
        <v>43714</v>
      </c>
      <c r="B879">
        <v>2.3809999999999999E-3</v>
      </c>
      <c r="C879">
        <v>2.5200000000000001E-3</v>
      </c>
      <c r="D879">
        <v>2.3519999999999999E-3</v>
      </c>
      <c r="E879">
        <v>2.3999999999999998E-3</v>
      </c>
      <c r="F879">
        <v>4357801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-0.42857142857143077</v>
      </c>
      <c r="Q879">
        <f t="shared" si="1010"/>
        <v>-1867629.0000000095</v>
      </c>
      <c r="R879">
        <f t="shared" si="1011"/>
        <v>-46851118.764448911</v>
      </c>
      <c r="S879">
        <f t="shared" si="1012"/>
        <v>-468.5111876444891</v>
      </c>
      <c r="T879">
        <f t="shared" si="1013"/>
        <v>-0.46851118764448912</v>
      </c>
    </row>
    <row r="880" spans="1:20" x14ac:dyDescent="0.25">
      <c r="A880" s="5">
        <v>43713</v>
      </c>
      <c r="B880">
        <v>2.5409999999999999E-3</v>
      </c>
      <c r="C880">
        <v>2.5739999999999999E-3</v>
      </c>
      <c r="D880">
        <v>2.3670000000000002E-3</v>
      </c>
      <c r="E880">
        <v>2.4190000000000001E-3</v>
      </c>
      <c r="F880">
        <v>13570241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-0.49758454106280159</v>
      </c>
      <c r="Q880">
        <f t="shared" si="1010"/>
        <v>-6752342.1400966141</v>
      </c>
      <c r="R880">
        <f t="shared" si="1011"/>
        <v>-44983489.764448904</v>
      </c>
      <c r="S880">
        <f t="shared" si="1012"/>
        <v>-449.83489764448905</v>
      </c>
      <c r="T880">
        <f t="shared" si="1013"/>
        <v>-0.44983489764448903</v>
      </c>
    </row>
    <row r="881" spans="1:20" x14ac:dyDescent="0.25">
      <c r="A881" s="5">
        <v>43712</v>
      </c>
      <c r="B881">
        <v>2.676E-3</v>
      </c>
      <c r="C881">
        <v>2.6779999999999998E-3</v>
      </c>
      <c r="D881">
        <v>2.5490000000000001E-3</v>
      </c>
      <c r="E881">
        <v>2.5820000000000001E-3</v>
      </c>
      <c r="F881">
        <v>2934081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-0.48837209302325424</v>
      </c>
      <c r="Q881">
        <f t="shared" si="1010"/>
        <v>-1432923.2790697629</v>
      </c>
      <c r="R881">
        <f t="shared" si="1011"/>
        <v>-38231147.624352291</v>
      </c>
      <c r="S881">
        <f t="shared" si="1012"/>
        <v>-382.31147624352292</v>
      </c>
      <c r="T881">
        <f t="shared" si="1013"/>
        <v>-0.38231147624352291</v>
      </c>
    </row>
    <row r="882" spans="1:20" x14ac:dyDescent="0.25">
      <c r="A882" s="5">
        <v>43711</v>
      </c>
      <c r="B882">
        <v>2.6649999999999998E-3</v>
      </c>
      <c r="C882">
        <v>2.722E-3</v>
      </c>
      <c r="D882">
        <v>2.5010000000000002E-3</v>
      </c>
      <c r="E882">
        <v>2.6640000000000001E-3</v>
      </c>
      <c r="F882">
        <v>10271117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0.47511312217194629</v>
      </c>
      <c r="Q882">
        <f t="shared" si="1010"/>
        <v>4879942.4660633542</v>
      </c>
      <c r="R882">
        <f t="shared" si="1011"/>
        <v>-36798224.345282525</v>
      </c>
      <c r="S882">
        <f t="shared" si="1012"/>
        <v>-367.98224345282523</v>
      </c>
      <c r="T882">
        <f t="shared" si="1013"/>
        <v>-0.36798224345282521</v>
      </c>
    </row>
    <row r="883" spans="1:20" x14ac:dyDescent="0.25">
      <c r="A883" s="5">
        <v>43710</v>
      </c>
      <c r="B883">
        <v>2.6120000000000002E-3</v>
      </c>
      <c r="C883">
        <v>2.7239999999999999E-3</v>
      </c>
      <c r="D883">
        <v>2.5990000000000002E-3</v>
      </c>
      <c r="E883">
        <v>2.666E-3</v>
      </c>
      <c r="F883">
        <v>3429671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7.1999999999999328E-2</v>
      </c>
      <c r="Q883">
        <f t="shared" si="1010"/>
        <v>246936.31199999771</v>
      </c>
      <c r="R883">
        <f t="shared" si="1011"/>
        <v>-41678166.811345883</v>
      </c>
      <c r="S883">
        <f t="shared" si="1012"/>
        <v>-416.78166811345881</v>
      </c>
      <c r="T883">
        <f t="shared" si="1013"/>
        <v>-0.41678166811345879</v>
      </c>
    </row>
    <row r="884" spans="1:20" x14ac:dyDescent="0.25">
      <c r="A884" s="5">
        <v>43709</v>
      </c>
      <c r="B884">
        <v>2.6970000000000002E-3</v>
      </c>
      <c r="C884">
        <v>2.7899999999999999E-3</v>
      </c>
      <c r="D884">
        <v>2.5769999999999999E-3</v>
      </c>
      <c r="E884">
        <v>2.6480000000000002E-3</v>
      </c>
      <c r="F884">
        <v>10542570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-0.33333333333333059</v>
      </c>
      <c r="Q884">
        <f t="shared" si="1010"/>
        <v>-3514189.9999999711</v>
      </c>
      <c r="R884">
        <f t="shared" si="1011"/>
        <v>-41925103.123345882</v>
      </c>
      <c r="S884">
        <f t="shared" si="1012"/>
        <v>-419.25103123345883</v>
      </c>
      <c r="T884">
        <f t="shared" si="1013"/>
        <v>-0.41925103123345886</v>
      </c>
    </row>
    <row r="885" spans="1:20" x14ac:dyDescent="0.25">
      <c r="A885" s="5">
        <v>43708</v>
      </c>
      <c r="B885">
        <v>2.503E-3</v>
      </c>
      <c r="C885">
        <v>2.8270000000000001E-3</v>
      </c>
      <c r="D885">
        <v>2.503E-3</v>
      </c>
      <c r="E885">
        <v>2.6949999999999999E-3</v>
      </c>
      <c r="F885">
        <v>20789236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0.18518518518518429</v>
      </c>
      <c r="Q885">
        <f t="shared" si="1010"/>
        <v>3849858.5185185</v>
      </c>
      <c r="R885">
        <f t="shared" si="1011"/>
        <v>-38410913.123345912</v>
      </c>
      <c r="S885">
        <f t="shared" si="1012"/>
        <v>-384.1091312334591</v>
      </c>
      <c r="T885">
        <f t="shared" si="1013"/>
        <v>-0.38410913123345908</v>
      </c>
    </row>
    <row r="886" spans="1:20" x14ac:dyDescent="0.25">
      <c r="A886" s="5">
        <v>43707</v>
      </c>
      <c r="B886">
        <v>2.4550000000000002E-3</v>
      </c>
      <c r="C886">
        <v>2.532E-3</v>
      </c>
      <c r="D886">
        <v>2.4299999999999999E-3</v>
      </c>
      <c r="E886">
        <v>2.503E-3</v>
      </c>
      <c r="F886">
        <v>7174832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0.43137254901960942</v>
      </c>
      <c r="Q886">
        <f t="shared" si="1010"/>
        <v>3095025.5686274623</v>
      </c>
      <c r="R886">
        <f t="shared" si="1011"/>
        <v>-42260771.641864412</v>
      </c>
      <c r="S886">
        <f t="shared" si="1012"/>
        <v>-422.60771641864409</v>
      </c>
      <c r="T886">
        <f t="shared" si="1013"/>
        <v>-0.42260771641864409</v>
      </c>
    </row>
    <row r="887" spans="1:20" x14ac:dyDescent="0.25">
      <c r="A887" s="5">
        <v>43706</v>
      </c>
      <c r="B887">
        <v>2.7569999999999999E-3</v>
      </c>
      <c r="C887">
        <v>2.7569999999999999E-3</v>
      </c>
      <c r="D887">
        <v>2.4250000000000001E-3</v>
      </c>
      <c r="E887">
        <v>2.454E-3</v>
      </c>
      <c r="F887">
        <v>9671985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-0.82530120481927738</v>
      </c>
      <c r="Q887">
        <f t="shared" si="1010"/>
        <v>-7982300.8734939788</v>
      </c>
      <c r="R887">
        <f t="shared" si="1011"/>
        <v>-45355797.210491873</v>
      </c>
      <c r="S887">
        <f t="shared" si="1012"/>
        <v>-453.55797210491875</v>
      </c>
      <c r="T887">
        <f t="shared" si="1013"/>
        <v>-0.45355797210491877</v>
      </c>
    </row>
    <row r="888" spans="1:20" x14ac:dyDescent="0.25">
      <c r="A888" s="5">
        <v>43705</v>
      </c>
      <c r="B888">
        <v>3.0219999999999999E-3</v>
      </c>
      <c r="C888">
        <v>3.5460000000000001E-3</v>
      </c>
      <c r="D888">
        <v>2.6619999999999999E-3</v>
      </c>
      <c r="E888">
        <v>2.7599999999999999E-3</v>
      </c>
      <c r="F888">
        <v>37835019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-0.77828054298642546</v>
      </c>
      <c r="Q888">
        <f t="shared" si="1010"/>
        <v>-29446259.131221723</v>
      </c>
      <c r="R888">
        <f t="shared" si="1011"/>
        <v>-37373496.336997896</v>
      </c>
      <c r="S888">
        <f t="shared" si="1012"/>
        <v>-373.73496336997897</v>
      </c>
      <c r="T888">
        <f t="shared" si="1013"/>
        <v>-0.37373496336997897</v>
      </c>
    </row>
    <row r="889" spans="1:20" x14ac:dyDescent="0.25">
      <c r="A889" s="5">
        <v>43704</v>
      </c>
      <c r="B889">
        <v>3.3999999999999998E-3</v>
      </c>
      <c r="C889">
        <v>4.0000000000000001E-3</v>
      </c>
      <c r="D889">
        <v>2.892E-3</v>
      </c>
      <c r="E889">
        <v>3.0279999999999999E-3</v>
      </c>
      <c r="F889">
        <v>10506434</v>
      </c>
      <c r="G889">
        <v>0</v>
      </c>
      <c r="P889">
        <f t="shared" si="1009"/>
        <v>-0.75451263537906166</v>
      </c>
      <c r="Q889">
        <f t="shared" si="1010"/>
        <v>-7927237.2057761764</v>
      </c>
      <c r="R889">
        <f t="shared" si="1011"/>
        <v>-7927237.2057761764</v>
      </c>
      <c r="S889">
        <f t="shared" si="1012"/>
        <v>-79.272372057761771</v>
      </c>
      <c r="T889">
        <f t="shared" si="1013"/>
        <v>-7.9272372057761775E-2</v>
      </c>
    </row>
    <row r="890" spans="1:20" x14ac:dyDescent="0.25">
      <c r="A890" s="5"/>
      <c r="C890" s="4"/>
      <c r="D890" s="4"/>
    </row>
    <row r="891" spans="1:20" x14ac:dyDescent="0.25">
      <c r="A891" s="5"/>
      <c r="C891" s="4"/>
      <c r="D891" s="4"/>
    </row>
    <row r="892" spans="1:20" x14ac:dyDescent="0.25">
      <c r="A892" s="5"/>
      <c r="C892" s="4"/>
      <c r="D892" s="4"/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X821" sqref="OX82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$A$820</v>
      </c>
      <c r="D111" s="1" t="str">
        <f>ADDRESS(C121-1,D121,1,1)</f>
        <v>$OX$820</v>
      </c>
      <c r="E111"/>
    </row>
    <row r="112" spans="1:5" x14ac:dyDescent="0.25">
      <c r="A112" s="7">
        <v>12164.144957890772</v>
      </c>
      <c r="C112" s="1" t="str">
        <f>ADDRESS(C121,1,1,1)</f>
        <v>$A$821</v>
      </c>
      <c r="D112" s="1" t="str">
        <f>ADDRESS(C121,D121-1,1,1)</f>
        <v>$OW$821</v>
      </c>
      <c r="E112"/>
    </row>
    <row r="113" spans="1:5" x14ac:dyDescent="0.25">
      <c r="A113" s="7">
        <v>11925.63231165762</v>
      </c>
      <c r="C113" s="1" t="str">
        <f>ADDRESS(C121+1,1,1,1)</f>
        <v>$A$822</v>
      </c>
      <c r="D113" s="1" t="str">
        <f>ADDRESS(C121-1,D121+1,1,1)</f>
        <v>$OY$820</v>
      </c>
    </row>
    <row r="114" spans="1:5" x14ac:dyDescent="0.25">
      <c r="A114" s="7">
        <v>11691.796383978059</v>
      </c>
      <c r="C114" s="1" t="str">
        <f>ADDRESS(C121,D121,1,1)</f>
        <v>$OX$821</v>
      </c>
      <c r="D114" s="1" t="str">
        <f>ADDRESS(C121+1,D121+1,1,1)</f>
        <v>$OY$822</v>
      </c>
    </row>
    <row r="115" spans="1:5" x14ac:dyDescent="0.25">
      <c r="A115" s="7">
        <v>11462.545474488292</v>
      </c>
      <c r="C115" s="1" t="str">
        <f>ADDRESS(C121+1,D121,1,1)</f>
        <v>$OX$822</v>
      </c>
    </row>
    <row r="116" spans="1:5" x14ac:dyDescent="0.25">
      <c r="A116" s="7">
        <v>11237.789680870874</v>
      </c>
      <c r="C116" s="1">
        <f>C117-1</f>
        <v>820</v>
      </c>
    </row>
    <row r="117" spans="1:5" x14ac:dyDescent="0.25">
      <c r="A117" s="7">
        <v>11017.440863598895</v>
      </c>
      <c r="C117" s="1">
        <f>C121</f>
        <v>821</v>
      </c>
      <c r="D117" s="1">
        <f>D121</f>
        <v>414</v>
      </c>
    </row>
    <row r="118" spans="1:5" x14ac:dyDescent="0.25">
      <c r="A118" s="7">
        <v>10801.412611371465</v>
      </c>
      <c r="C118" s="1">
        <f>C117+1</f>
        <v>822</v>
      </c>
      <c r="D118" s="1">
        <f>D117+1</f>
        <v>415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821</v>
      </c>
      <c r="D121" s="19">
        <v>414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R821</v>
      </c>
      <c r="D123" s="1" t="str">
        <f>"C"&amp;D121</f>
        <v>C414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9.717617659540009E-3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302" x14ac:dyDescent="0.25">
      <c r="A721" s="7">
        <v>7.0400701055846782E-2</v>
      </c>
      <c r="B721"/>
      <c r="C721"/>
      <c r="D721"/>
      <c r="E721"/>
      <c r="F721" s="27" t="s">
        <v>7</v>
      </c>
    </row>
    <row r="722" spans="1:302" x14ac:dyDescent="0.25">
      <c r="A722" s="7">
        <v>6.9020295152790956E-2</v>
      </c>
      <c r="B722"/>
      <c r="C722"/>
      <c r="D722"/>
      <c r="E722"/>
      <c r="F722" s="27" t="s">
        <v>7</v>
      </c>
    </row>
    <row r="723" spans="1:302" x14ac:dyDescent="0.25">
      <c r="A723" s="7">
        <v>6.7666956032147993E-2</v>
      </c>
      <c r="B723"/>
      <c r="C723"/>
      <c r="D723"/>
      <c r="E723"/>
      <c r="F723" s="27" t="s">
        <v>7</v>
      </c>
      <c r="JW723" s="27" t="s">
        <v>8</v>
      </c>
    </row>
    <row r="724" spans="1:302" x14ac:dyDescent="0.25">
      <c r="A724" s="7">
        <v>6.6340152972694105E-2</v>
      </c>
      <c r="B724"/>
      <c r="C724"/>
      <c r="D724"/>
      <c r="E724"/>
      <c r="F724" s="27" t="s">
        <v>7</v>
      </c>
      <c r="JW724" s="27" t="s">
        <v>8</v>
      </c>
      <c r="JX724" s="27" t="s">
        <v>7</v>
      </c>
    </row>
    <row r="725" spans="1:302" x14ac:dyDescent="0.25">
      <c r="A725" s="7">
        <v>6.5039365659504023E-2</v>
      </c>
      <c r="B725"/>
      <c r="C725"/>
      <c r="D725"/>
      <c r="E725"/>
      <c r="F725" s="27" t="s">
        <v>7</v>
      </c>
      <c r="JW725" s="27" t="s">
        <v>8</v>
      </c>
      <c r="JX725" s="27" t="s">
        <v>7</v>
      </c>
    </row>
    <row r="726" spans="1:302" x14ac:dyDescent="0.25">
      <c r="A726" s="7">
        <v>6.3764083979905906E-2</v>
      </c>
      <c r="B726"/>
      <c r="C726"/>
      <c r="D726"/>
      <c r="E726"/>
      <c r="F726" s="27" t="s">
        <v>7</v>
      </c>
      <c r="JW726" s="27" t="s">
        <v>8</v>
      </c>
      <c r="JX726" s="27" t="s">
        <v>7</v>
      </c>
    </row>
    <row r="727" spans="1:302" x14ac:dyDescent="0.25">
      <c r="A727" s="7">
        <v>6.251380782343717E-2</v>
      </c>
      <c r="B727"/>
      <c r="C727"/>
      <c r="D727"/>
      <c r="E727"/>
      <c r="F727" s="27" t="s">
        <v>7</v>
      </c>
      <c r="JW727" s="27" t="s">
        <v>8</v>
      </c>
      <c r="JX727" s="27" t="s">
        <v>7</v>
      </c>
    </row>
    <row r="728" spans="1:302" x14ac:dyDescent="0.25">
      <c r="A728" s="7">
        <v>6.1288046885722716E-2</v>
      </c>
      <c r="B728"/>
      <c r="C728"/>
      <c r="D728"/>
      <c r="E728"/>
      <c r="F728" s="27" t="s">
        <v>7</v>
      </c>
      <c r="JW728" s="27" t="s">
        <v>8</v>
      </c>
      <c r="JX728" s="27" t="s">
        <v>7</v>
      </c>
    </row>
    <row r="729" spans="1:302" x14ac:dyDescent="0.25">
      <c r="A729" s="7">
        <v>6.0086320476198739E-2</v>
      </c>
      <c r="B729"/>
      <c r="C729"/>
      <c r="D729"/>
      <c r="E729"/>
      <c r="F729" s="27" t="s">
        <v>7</v>
      </c>
      <c r="JW729" s="27" t="s">
        <v>8</v>
      </c>
      <c r="JX729" s="27" t="s">
        <v>7</v>
      </c>
    </row>
    <row r="730" spans="1:302" x14ac:dyDescent="0.25">
      <c r="A730" s="7">
        <v>5.8908157329606609E-2</v>
      </c>
      <c r="B730"/>
      <c r="C730"/>
      <c r="D730"/>
      <c r="E730"/>
      <c r="F730" s="27" t="s">
        <v>7</v>
      </c>
      <c r="JW730" s="27" t="s">
        <v>8</v>
      </c>
      <c r="JX730" s="27" t="s">
        <v>7</v>
      </c>
    </row>
    <row r="731" spans="1:302" x14ac:dyDescent="0.25">
      <c r="A731" s="7">
        <v>5.7753095421182947E-2</v>
      </c>
      <c r="B731"/>
      <c r="C731"/>
      <c r="D731"/>
      <c r="E731"/>
      <c r="F731" s="27" t="s">
        <v>7</v>
      </c>
      <c r="II731" s="27" t="s">
        <v>8</v>
      </c>
      <c r="JW731" s="27" t="s">
        <v>8</v>
      </c>
      <c r="JX731" s="27" t="s">
        <v>7</v>
      </c>
    </row>
    <row r="732" spans="1:302" x14ac:dyDescent="0.25">
      <c r="A732" s="7">
        <v>5.6620681785473484E-2</v>
      </c>
      <c r="B732"/>
      <c r="C732"/>
      <c r="D732"/>
      <c r="E732"/>
      <c r="F732" s="27" t="s">
        <v>7</v>
      </c>
      <c r="II732" s="27" t="s">
        <v>8</v>
      </c>
      <c r="IJ732" s="27" t="s">
        <v>7</v>
      </c>
      <c r="JW732" s="27" t="s">
        <v>8</v>
      </c>
      <c r="JX732" s="27" t="s">
        <v>7</v>
      </c>
    </row>
    <row r="733" spans="1:302" x14ac:dyDescent="0.25">
      <c r="A733" s="7">
        <v>5.5510472338699497E-2</v>
      </c>
      <c r="B733"/>
      <c r="C733"/>
      <c r="D733"/>
      <c r="E733"/>
      <c r="F733" s="27" t="s">
        <v>7</v>
      </c>
      <c r="II733" s="27" t="s">
        <v>8</v>
      </c>
      <c r="IJ733" s="27" t="s">
        <v>7</v>
      </c>
      <c r="JW733" s="27" t="s">
        <v>8</v>
      </c>
      <c r="JX733" s="27" t="s">
        <v>7</v>
      </c>
    </row>
    <row r="734" spans="1:302" x14ac:dyDescent="0.25">
      <c r="A734" s="7">
        <v>5.4422031704607354E-2</v>
      </c>
      <c r="B734"/>
      <c r="C734"/>
      <c r="D734"/>
      <c r="E734"/>
      <c r="F734" s="27" t="s">
        <v>7</v>
      </c>
      <c r="II734" s="27" t="s">
        <v>8</v>
      </c>
      <c r="IJ734" s="27" t="s">
        <v>7</v>
      </c>
      <c r="JW734" s="27" t="s">
        <v>8</v>
      </c>
      <c r="JX734" s="27" t="s">
        <v>7</v>
      </c>
      <c r="KO734" s="27" t="s">
        <v>8</v>
      </c>
    </row>
    <row r="735" spans="1:302" x14ac:dyDescent="0.25">
      <c r="A735" s="7">
        <v>5.3354933043732705E-2</v>
      </c>
      <c r="B735"/>
      <c r="C735"/>
      <c r="D735"/>
      <c r="E735"/>
      <c r="F735" s="27" t="s">
        <v>7</v>
      </c>
      <c r="II735" s="27" t="s">
        <v>8</v>
      </c>
      <c r="IJ735" s="27" t="s">
        <v>7</v>
      </c>
      <c r="JW735" s="27" t="s">
        <v>8</v>
      </c>
      <c r="JX735" s="27" t="s">
        <v>7</v>
      </c>
      <c r="KO735" s="27" t="s">
        <v>8</v>
      </c>
      <c r="KP735" s="27" t="s">
        <v>7</v>
      </c>
    </row>
    <row r="736" spans="1:302" x14ac:dyDescent="0.25">
      <c r="A736" s="7">
        <v>5.2308757886012455E-2</v>
      </c>
      <c r="B736"/>
      <c r="C736"/>
      <c r="D736"/>
      <c r="E736"/>
      <c r="F736" s="27" t="s">
        <v>7</v>
      </c>
      <c r="II736" s="27" t="s">
        <v>8</v>
      </c>
      <c r="IJ736" s="27" t="s">
        <v>7</v>
      </c>
      <c r="JW736" s="27" t="s">
        <v>8</v>
      </c>
      <c r="JX736" s="27" t="s">
        <v>7</v>
      </c>
      <c r="JY736" s="27" t="s">
        <v>8</v>
      </c>
      <c r="KO736" s="27" t="s">
        <v>8</v>
      </c>
      <c r="KP736" s="27" t="s">
        <v>7</v>
      </c>
    </row>
    <row r="737" spans="1:347" x14ac:dyDescent="0.25">
      <c r="A737" s="7">
        <v>5.1283095966678877E-2</v>
      </c>
      <c r="B737"/>
      <c r="C737"/>
      <c r="D737"/>
      <c r="E737"/>
      <c r="F737" s="27" t="s">
        <v>7</v>
      </c>
      <c r="II737" s="27" t="s">
        <v>8</v>
      </c>
      <c r="IJ737" s="27" t="s">
        <v>7</v>
      </c>
      <c r="JW737" s="27" t="s">
        <v>8</v>
      </c>
      <c r="JX737" s="27" t="s">
        <v>7</v>
      </c>
      <c r="JY737" s="27" t="s">
        <v>8</v>
      </c>
      <c r="JZ737" s="27" t="s">
        <v>7</v>
      </c>
      <c r="KM737" s="27" t="s">
        <v>8</v>
      </c>
      <c r="KO737" s="27" t="s">
        <v>8</v>
      </c>
      <c r="KP737" s="27" t="s">
        <v>7</v>
      </c>
    </row>
    <row r="738" spans="1:347" x14ac:dyDescent="0.25">
      <c r="A738" s="7">
        <v>5.0277545065371444E-2</v>
      </c>
      <c r="B738"/>
      <c r="C738"/>
      <c r="D738"/>
      <c r="E738"/>
      <c r="F738" s="27" t="s">
        <v>7</v>
      </c>
      <c r="II738" s="27" t="s">
        <v>8</v>
      </c>
      <c r="IJ738" s="27" t="s">
        <v>7</v>
      </c>
      <c r="JW738" s="27" t="s">
        <v>8</v>
      </c>
      <c r="JX738" s="27" t="s">
        <v>7</v>
      </c>
      <c r="JY738" s="27" t="s">
        <v>8</v>
      </c>
      <c r="JZ738" s="27" t="s">
        <v>7</v>
      </c>
      <c r="KM738" s="27" t="s">
        <v>8</v>
      </c>
      <c r="KN738" s="27" t="s">
        <v>7</v>
      </c>
      <c r="KO738" s="27" t="s">
        <v>8</v>
      </c>
      <c r="KP738" s="27" t="s">
        <v>7</v>
      </c>
    </row>
    <row r="739" spans="1:347" x14ac:dyDescent="0.25">
      <c r="A739" s="7">
        <v>4.9291710848403378E-2</v>
      </c>
      <c r="B739"/>
      <c r="C739"/>
      <c r="D739"/>
      <c r="E739"/>
      <c r="F739" s="27" t="s">
        <v>7</v>
      </c>
      <c r="II739" s="27" t="s">
        <v>8</v>
      </c>
      <c r="IJ739" s="27" t="s">
        <v>7</v>
      </c>
      <c r="JW739" s="27" t="s">
        <v>8</v>
      </c>
      <c r="JX739" s="27" t="s">
        <v>7</v>
      </c>
      <c r="JY739" s="27" t="s">
        <v>8</v>
      </c>
      <c r="JZ739" s="27" t="s">
        <v>7</v>
      </c>
      <c r="KM739" s="27" t="s">
        <v>8</v>
      </c>
      <c r="KN739" s="27" t="s">
        <v>7</v>
      </c>
      <c r="KO739" s="27" t="s">
        <v>8</v>
      </c>
      <c r="KP739" s="27" t="s">
        <v>7</v>
      </c>
    </row>
    <row r="740" spans="1:347" x14ac:dyDescent="0.25">
      <c r="A740" s="7">
        <v>4.8325206714120959E-2</v>
      </c>
      <c r="B740"/>
      <c r="C740"/>
      <c r="D740"/>
      <c r="E740"/>
      <c r="F740" s="27" t="s">
        <v>7</v>
      </c>
      <c r="II740" s="27" t="s">
        <v>8</v>
      </c>
      <c r="IJ740" s="27" t="s">
        <v>7</v>
      </c>
      <c r="JW740" s="27" t="s">
        <v>8</v>
      </c>
      <c r="JX740" s="27" t="s">
        <v>7</v>
      </c>
      <c r="JY740" s="27" t="s">
        <v>8</v>
      </c>
      <c r="JZ740" s="27" t="s">
        <v>7</v>
      </c>
      <c r="KM740" s="27" t="s">
        <v>8</v>
      </c>
      <c r="KN740" s="27" t="s">
        <v>7</v>
      </c>
      <c r="KO740" s="27" t="s">
        <v>8</v>
      </c>
      <c r="KP740" s="27" t="s">
        <v>7</v>
      </c>
    </row>
    <row r="741" spans="1:347" x14ac:dyDescent="0.25">
      <c r="A741" s="7">
        <v>4.7377653641295057E-2</v>
      </c>
      <c r="B741"/>
      <c r="C741"/>
      <c r="D741"/>
      <c r="E741"/>
      <c r="F741" s="27" t="s">
        <v>7</v>
      </c>
      <c r="II741" s="27" t="s">
        <v>8</v>
      </c>
      <c r="IJ741" s="27" t="s">
        <v>7</v>
      </c>
      <c r="IK741" s="27" t="s">
        <v>8</v>
      </c>
      <c r="JW741" s="27" t="s">
        <v>8</v>
      </c>
      <c r="JX741" s="27" t="s">
        <v>7</v>
      </c>
      <c r="JY741" s="27" t="s">
        <v>8</v>
      </c>
      <c r="JZ741" s="27" t="s">
        <v>7</v>
      </c>
      <c r="KM741" s="27" t="s">
        <v>8</v>
      </c>
      <c r="KN741" s="27" t="s">
        <v>7</v>
      </c>
      <c r="KO741" s="27" t="s">
        <v>8</v>
      </c>
      <c r="KP741" s="27" t="s">
        <v>7</v>
      </c>
    </row>
    <row r="742" spans="1:347" x14ac:dyDescent="0.25">
      <c r="A742" s="7">
        <v>4.644868004048535E-2</v>
      </c>
      <c r="B742"/>
      <c r="C742"/>
      <c r="D742"/>
      <c r="E742"/>
      <c r="F742" s="27" t="s">
        <v>7</v>
      </c>
      <c r="II742" s="27" t="s">
        <v>8</v>
      </c>
      <c r="IJ742" s="27" t="s">
        <v>7</v>
      </c>
      <c r="IK742" s="27" t="s">
        <v>8</v>
      </c>
      <c r="IL742" s="27" t="s">
        <v>7</v>
      </c>
      <c r="JW742" s="27" t="s">
        <v>8</v>
      </c>
      <c r="JX742" s="27" t="s">
        <v>7</v>
      </c>
      <c r="JY742" s="27" t="s">
        <v>8</v>
      </c>
      <c r="JZ742" s="27" t="s">
        <v>7</v>
      </c>
      <c r="KC742" s="27" t="s">
        <v>8</v>
      </c>
      <c r="KM742" s="27" t="s">
        <v>8</v>
      </c>
      <c r="KN742" s="27" t="s">
        <v>7</v>
      </c>
      <c r="KO742" s="27" t="s">
        <v>8</v>
      </c>
      <c r="KP742" s="27" t="s">
        <v>7</v>
      </c>
    </row>
    <row r="743" spans="1:347" x14ac:dyDescent="0.25">
      <c r="A743" s="7">
        <v>4.5537921608318974E-2</v>
      </c>
      <c r="B743"/>
      <c r="C743"/>
      <c r="D743"/>
      <c r="E743"/>
      <c r="F743" s="27" t="s">
        <v>7</v>
      </c>
      <c r="II743" s="27" t="s">
        <v>8</v>
      </c>
      <c r="IJ743" s="27" t="s">
        <v>7</v>
      </c>
      <c r="IK743" s="27" t="s">
        <v>8</v>
      </c>
      <c r="IL743" s="27" t="s">
        <v>7</v>
      </c>
      <c r="IQ743" s="27" t="s">
        <v>8</v>
      </c>
      <c r="JW743" s="27" t="s">
        <v>8</v>
      </c>
      <c r="JX743" s="27" t="s">
        <v>7</v>
      </c>
      <c r="JY743" s="27" t="s">
        <v>8</v>
      </c>
      <c r="JZ743" s="27" t="s">
        <v>7</v>
      </c>
      <c r="KA743" s="27" t="s">
        <v>8</v>
      </c>
      <c r="KC743" s="27" t="s">
        <v>8</v>
      </c>
      <c r="KD743" s="27" t="s">
        <v>7</v>
      </c>
      <c r="KM743" s="27" t="s">
        <v>8</v>
      </c>
      <c r="KN743" s="27" t="s">
        <v>7</v>
      </c>
      <c r="KO743" s="27" t="s">
        <v>8</v>
      </c>
      <c r="KP743" s="27" t="s">
        <v>7</v>
      </c>
    </row>
    <row r="744" spans="1:347" x14ac:dyDescent="0.25">
      <c r="A744" s="7">
        <v>4.4645021184626446E-2</v>
      </c>
      <c r="B744"/>
      <c r="C744"/>
      <c r="D744"/>
      <c r="E744"/>
      <c r="F744" s="27" t="s">
        <v>7</v>
      </c>
      <c r="II744" s="27" t="s">
        <v>8</v>
      </c>
      <c r="IJ744" s="27" t="s">
        <v>7</v>
      </c>
      <c r="IK744" s="27" t="s">
        <v>8</v>
      </c>
      <c r="IL744" s="27" t="s">
        <v>7</v>
      </c>
      <c r="IQ744" s="27" t="s">
        <v>8</v>
      </c>
      <c r="IR744" s="27" t="s">
        <v>7</v>
      </c>
      <c r="JW744" s="27" t="s">
        <v>8</v>
      </c>
      <c r="JX744" s="27" t="s">
        <v>7</v>
      </c>
      <c r="JY744" s="27" t="s">
        <v>8</v>
      </c>
      <c r="JZ744" s="27" t="s">
        <v>7</v>
      </c>
      <c r="KA744" s="27" t="s">
        <v>8</v>
      </c>
      <c r="KB744" s="27" t="s">
        <v>7</v>
      </c>
      <c r="KC744" s="27" t="s">
        <v>8</v>
      </c>
      <c r="KD744" s="27" t="s">
        <v>7</v>
      </c>
      <c r="KE744" s="27" t="s">
        <v>8</v>
      </c>
      <c r="KM744" s="27" t="s">
        <v>8</v>
      </c>
      <c r="KN744" s="27" t="s">
        <v>7</v>
      </c>
      <c r="KO744" s="27" t="s">
        <v>8</v>
      </c>
      <c r="KP744" s="27" t="s">
        <v>7</v>
      </c>
    </row>
    <row r="745" spans="1:347" x14ac:dyDescent="0.25">
      <c r="A745" s="7">
        <v>4.3769628612378868E-2</v>
      </c>
      <c r="B745"/>
      <c r="C745"/>
      <c r="D745"/>
      <c r="E745"/>
      <c r="F745" s="27" t="s">
        <v>7</v>
      </c>
      <c r="II745" s="27" t="s">
        <v>8</v>
      </c>
      <c r="IJ745" s="27" t="s">
        <v>7</v>
      </c>
      <c r="IK745" s="27" t="s">
        <v>8</v>
      </c>
      <c r="IL745" s="27" t="s">
        <v>7</v>
      </c>
      <c r="IQ745" s="27" t="s">
        <v>8</v>
      </c>
      <c r="IR745" s="27" t="s">
        <v>7</v>
      </c>
      <c r="JU745" s="27" t="s">
        <v>8</v>
      </c>
      <c r="JW745" s="27" t="s">
        <v>8</v>
      </c>
      <c r="JX745" s="27" t="s">
        <v>7</v>
      </c>
      <c r="JY745" s="27" t="s">
        <v>8</v>
      </c>
      <c r="JZ745" s="27" t="s">
        <v>7</v>
      </c>
      <c r="KA745" s="27" t="s">
        <v>8</v>
      </c>
      <c r="KB745" s="27" t="s">
        <v>7</v>
      </c>
      <c r="KC745" s="27" t="s">
        <v>8</v>
      </c>
      <c r="KD745" s="27" t="s">
        <v>7</v>
      </c>
      <c r="KE745" s="27" t="s">
        <v>8</v>
      </c>
      <c r="KF745" s="27" t="s">
        <v>7</v>
      </c>
      <c r="KK745" s="27" t="s">
        <v>8</v>
      </c>
      <c r="KM745" s="27" t="s">
        <v>8</v>
      </c>
      <c r="KN745" s="27" t="s">
        <v>7</v>
      </c>
      <c r="KO745" s="27" t="s">
        <v>8</v>
      </c>
      <c r="KP745" s="27" t="s">
        <v>7</v>
      </c>
    </row>
    <row r="746" spans="1:347" x14ac:dyDescent="0.25">
      <c r="A746" s="7">
        <v>4.2911400600371442E-2</v>
      </c>
      <c r="B746"/>
      <c r="C746"/>
      <c r="D746"/>
      <c r="E746"/>
      <c r="F746" s="27" t="s">
        <v>7</v>
      </c>
      <c r="II746" s="27" t="s">
        <v>8</v>
      </c>
      <c r="IJ746" s="27" t="s">
        <v>7</v>
      </c>
      <c r="IK746" s="27" t="s">
        <v>8</v>
      </c>
      <c r="IL746" s="27" t="s">
        <v>7</v>
      </c>
      <c r="IQ746" s="27" t="s">
        <v>8</v>
      </c>
      <c r="IR746" s="27" t="s">
        <v>7</v>
      </c>
      <c r="JU746" s="27" t="s">
        <v>8</v>
      </c>
      <c r="JV746" s="27" t="s">
        <v>7</v>
      </c>
      <c r="JW746" s="27" t="s">
        <v>8</v>
      </c>
      <c r="JX746" s="27" t="s">
        <v>7</v>
      </c>
      <c r="JY746" s="27" t="s">
        <v>8</v>
      </c>
      <c r="JZ746" s="27" t="s">
        <v>7</v>
      </c>
      <c r="KB746" s="27" t="s">
        <v>7</v>
      </c>
      <c r="KC746" s="27" t="s">
        <v>8</v>
      </c>
      <c r="KD746" s="27" t="s">
        <v>7</v>
      </c>
      <c r="KE746" s="27" t="s">
        <v>8</v>
      </c>
      <c r="KF746" s="27" t="s">
        <v>7</v>
      </c>
      <c r="KK746" s="27" t="s">
        <v>8</v>
      </c>
      <c r="KL746" s="27" t="s">
        <v>7</v>
      </c>
      <c r="KM746" s="27" t="s">
        <v>8</v>
      </c>
      <c r="KN746" s="27" t="s">
        <v>7</v>
      </c>
      <c r="KO746" s="27" t="s">
        <v>8</v>
      </c>
      <c r="KP746" s="27" t="s">
        <v>7</v>
      </c>
    </row>
    <row r="747" spans="1:347" x14ac:dyDescent="0.25">
      <c r="A747" s="7">
        <v>4.2070000588599457E-2</v>
      </c>
      <c r="B747"/>
      <c r="C747"/>
      <c r="D747"/>
      <c r="E747"/>
      <c r="F747" s="27" t="s">
        <v>7</v>
      </c>
      <c r="IG747" s="27" t="s">
        <v>8</v>
      </c>
      <c r="II747" s="27" t="s">
        <v>8</v>
      </c>
      <c r="IJ747" s="27" t="s">
        <v>7</v>
      </c>
      <c r="IK747" s="27" t="s">
        <v>8</v>
      </c>
      <c r="IL747" s="27" t="s">
        <v>7</v>
      </c>
      <c r="IM747" s="27" t="s">
        <v>8</v>
      </c>
      <c r="IQ747" s="27" t="s">
        <v>8</v>
      </c>
      <c r="IR747" s="27" t="s">
        <v>7</v>
      </c>
      <c r="JI747" s="27" t="s">
        <v>8</v>
      </c>
      <c r="JS747" s="27" t="s">
        <v>8</v>
      </c>
      <c r="JU747" s="27" t="s">
        <v>8</v>
      </c>
      <c r="JV747" s="27" t="s">
        <v>7</v>
      </c>
      <c r="JW747" s="27" t="s">
        <v>8</v>
      </c>
      <c r="JX747" s="27" t="s">
        <v>7</v>
      </c>
      <c r="JY747" s="27" t="s">
        <v>8</v>
      </c>
      <c r="KB747" s="27" t="s">
        <v>7</v>
      </c>
      <c r="KC747" s="27" t="s">
        <v>8</v>
      </c>
      <c r="KD747" s="27" t="s">
        <v>7</v>
      </c>
      <c r="KE747" s="27" t="s">
        <v>8</v>
      </c>
      <c r="KF747" s="27" t="s">
        <v>7</v>
      </c>
      <c r="KK747" s="27" t="s">
        <v>8</v>
      </c>
      <c r="KL747" s="27" t="s">
        <v>7</v>
      </c>
      <c r="KM747" s="27" t="s">
        <v>8</v>
      </c>
      <c r="KN747" s="27" t="s">
        <v>7</v>
      </c>
      <c r="KO747" s="27" t="s">
        <v>8</v>
      </c>
      <c r="KP747" s="27" t="s">
        <v>7</v>
      </c>
    </row>
    <row r="748" spans="1:347" x14ac:dyDescent="0.25">
      <c r="A748" s="7">
        <v>4.1245098616273977E-2</v>
      </c>
      <c r="B748"/>
      <c r="C748"/>
      <c r="D748"/>
      <c r="E748"/>
      <c r="F748" s="27" t="s">
        <v>7</v>
      </c>
      <c r="IG748" s="27" t="s">
        <v>8</v>
      </c>
      <c r="IH748" s="27" t="s">
        <v>7</v>
      </c>
      <c r="II748" s="27" t="s">
        <v>8</v>
      </c>
      <c r="IJ748" s="27" t="s">
        <v>7</v>
      </c>
      <c r="IK748" s="27" t="s">
        <v>8</v>
      </c>
      <c r="IL748" s="27" t="s">
        <v>7</v>
      </c>
      <c r="IM748" s="27" t="s">
        <v>8</v>
      </c>
      <c r="IN748" s="27" t="s">
        <v>7</v>
      </c>
      <c r="IQ748" s="27" t="s">
        <v>8</v>
      </c>
      <c r="IR748" s="27" t="s">
        <v>7</v>
      </c>
      <c r="JI748" s="27" t="s">
        <v>8</v>
      </c>
      <c r="JJ748" s="27" t="s">
        <v>7</v>
      </c>
      <c r="JM748" s="27" t="s">
        <v>8</v>
      </c>
      <c r="JO748" s="27" t="s">
        <v>8</v>
      </c>
      <c r="JS748" s="27" t="s">
        <v>8</v>
      </c>
      <c r="JT748" s="27" t="s">
        <v>7</v>
      </c>
      <c r="JU748" s="27" t="s">
        <v>8</v>
      </c>
      <c r="JV748" s="27" t="s">
        <v>7</v>
      </c>
      <c r="JW748" s="27" t="s">
        <v>8</v>
      </c>
      <c r="JX748" s="27" t="s">
        <v>7</v>
      </c>
      <c r="JY748" s="27" t="s">
        <v>8</v>
      </c>
      <c r="KB748" s="27" t="s">
        <v>7</v>
      </c>
      <c r="KC748" s="27" t="s">
        <v>8</v>
      </c>
      <c r="KD748" s="27" t="s">
        <v>7</v>
      </c>
      <c r="KF748" s="27" t="s">
        <v>7</v>
      </c>
      <c r="KK748" s="27" t="s">
        <v>8</v>
      </c>
      <c r="KL748" s="27" t="s">
        <v>7</v>
      </c>
      <c r="KM748" s="27" t="s">
        <v>8</v>
      </c>
      <c r="KN748" s="27" t="s">
        <v>7</v>
      </c>
      <c r="KO748" s="27" t="s">
        <v>8</v>
      </c>
      <c r="KP748" s="27" t="s">
        <v>7</v>
      </c>
    </row>
    <row r="749" spans="1:347" x14ac:dyDescent="0.25">
      <c r="A749" s="7">
        <v>4.043637119242547E-2</v>
      </c>
      <c r="B749"/>
      <c r="C749"/>
      <c r="D749"/>
      <c r="E749"/>
      <c r="F749" s="27" t="s">
        <v>7</v>
      </c>
      <c r="IG749" s="27" t="s">
        <v>8</v>
      </c>
      <c r="IH749" s="27" t="s">
        <v>7</v>
      </c>
      <c r="II749" s="27" t="s">
        <v>8</v>
      </c>
      <c r="IJ749" s="27" t="s">
        <v>7</v>
      </c>
      <c r="IK749" s="27" t="s">
        <v>8</v>
      </c>
      <c r="IL749" s="27" t="s">
        <v>7</v>
      </c>
      <c r="IM749" s="27" t="s">
        <v>8</v>
      </c>
      <c r="IN749" s="27" t="s">
        <v>7</v>
      </c>
      <c r="IQ749" s="27" t="s">
        <v>8</v>
      </c>
      <c r="IR749" s="27" t="s">
        <v>7</v>
      </c>
      <c r="JI749" s="27" t="s">
        <v>8</v>
      </c>
      <c r="JJ749" s="27" t="s">
        <v>7</v>
      </c>
      <c r="JM749" s="27" t="s">
        <v>8</v>
      </c>
      <c r="JN749" s="27" t="s">
        <v>7</v>
      </c>
      <c r="JO749" s="27" t="s">
        <v>8</v>
      </c>
      <c r="JP749" s="27" t="s">
        <v>7</v>
      </c>
      <c r="JS749" s="27" t="s">
        <v>8</v>
      </c>
      <c r="JT749" s="27" t="s">
        <v>7</v>
      </c>
      <c r="JU749" s="27" t="s">
        <v>8</v>
      </c>
      <c r="JV749" s="27" t="s">
        <v>7</v>
      </c>
      <c r="JW749" s="27" t="s">
        <v>8</v>
      </c>
      <c r="JX749" s="27" t="s">
        <v>7</v>
      </c>
      <c r="JY749" s="27" t="s">
        <v>8</v>
      </c>
      <c r="KB749" s="27" t="s">
        <v>7</v>
      </c>
      <c r="KF749" s="27" t="s">
        <v>7</v>
      </c>
      <c r="KK749" s="27" t="s">
        <v>8</v>
      </c>
      <c r="KL749" s="27" t="s">
        <v>7</v>
      </c>
      <c r="KM749" s="27" t="s">
        <v>8</v>
      </c>
      <c r="KN749" s="27" t="s">
        <v>7</v>
      </c>
      <c r="KO749" s="27" t="s">
        <v>8</v>
      </c>
      <c r="KP749" s="27" t="s">
        <v>7</v>
      </c>
    </row>
    <row r="750" spans="1:347" x14ac:dyDescent="0.25">
      <c r="A750" s="7">
        <v>3.9643501169044582E-2</v>
      </c>
      <c r="B750"/>
      <c r="C750"/>
      <c r="D750"/>
      <c r="E750"/>
      <c r="F750" s="27" t="s">
        <v>7</v>
      </c>
      <c r="IG750" s="27" t="s">
        <v>8</v>
      </c>
      <c r="IH750" s="27" t="s">
        <v>7</v>
      </c>
      <c r="II750" s="27" t="s">
        <v>8</v>
      </c>
      <c r="IJ750" s="27" t="s">
        <v>7</v>
      </c>
      <c r="IK750" s="27" t="s">
        <v>8</v>
      </c>
      <c r="IL750" s="27" t="s">
        <v>7</v>
      </c>
      <c r="IM750" s="27" t="s">
        <v>8</v>
      </c>
      <c r="IN750" s="27" t="s">
        <v>7</v>
      </c>
      <c r="IQ750" s="27" t="s">
        <v>8</v>
      </c>
      <c r="IR750" s="27" t="s">
        <v>7</v>
      </c>
      <c r="IY750" s="27" t="s">
        <v>8</v>
      </c>
      <c r="JI750" s="27" t="s">
        <v>8</v>
      </c>
      <c r="JJ750" s="27" t="s">
        <v>7</v>
      </c>
      <c r="JM750" s="27" t="s">
        <v>8</v>
      </c>
      <c r="JN750" s="27" t="s">
        <v>7</v>
      </c>
      <c r="JO750" s="27" t="s">
        <v>8</v>
      </c>
      <c r="JP750" s="27" t="s">
        <v>7</v>
      </c>
      <c r="JS750" s="27" t="s">
        <v>8</v>
      </c>
      <c r="JT750" s="27" t="s">
        <v>7</v>
      </c>
      <c r="JU750" s="27" t="s">
        <v>8</v>
      </c>
      <c r="JV750" s="27" t="s">
        <v>7</v>
      </c>
      <c r="JX750" s="27" t="s">
        <v>7</v>
      </c>
      <c r="JY750" s="27" t="s">
        <v>8</v>
      </c>
      <c r="KF750" s="27" t="s">
        <v>7</v>
      </c>
      <c r="KK750" s="27" t="s">
        <v>8</v>
      </c>
      <c r="KL750" s="27" t="s">
        <v>7</v>
      </c>
      <c r="KM750" s="27" t="s">
        <v>8</v>
      </c>
      <c r="KN750" s="27" t="s">
        <v>7</v>
      </c>
      <c r="KO750" s="27" t="s">
        <v>8</v>
      </c>
      <c r="KP750" s="27" t="s">
        <v>7</v>
      </c>
    </row>
    <row r="751" spans="1:347" x14ac:dyDescent="0.25">
      <c r="A751" s="7">
        <v>3.8866177616710372E-2</v>
      </c>
      <c r="B751"/>
      <c r="C751"/>
      <c r="D751"/>
      <c r="E751"/>
      <c r="F751" s="27" t="s">
        <v>7</v>
      </c>
      <c r="IG751" s="27" t="s">
        <v>8</v>
      </c>
      <c r="IH751" s="27" t="s">
        <v>7</v>
      </c>
      <c r="II751" s="27" t="s">
        <v>8</v>
      </c>
      <c r="IJ751" s="27" t="s">
        <v>7</v>
      </c>
      <c r="IK751" s="27" t="s">
        <v>8</v>
      </c>
      <c r="IL751" s="27" t="s">
        <v>7</v>
      </c>
      <c r="IM751" s="27" t="s">
        <v>8</v>
      </c>
      <c r="IN751" s="27" t="s">
        <v>7</v>
      </c>
      <c r="IQ751" s="27" t="s">
        <v>8</v>
      </c>
      <c r="IR751" s="27" t="s">
        <v>7</v>
      </c>
      <c r="IY751" s="27" t="s">
        <v>8</v>
      </c>
      <c r="IZ751" s="27" t="s">
        <v>7</v>
      </c>
      <c r="JI751" s="27" t="s">
        <v>8</v>
      </c>
      <c r="JJ751" s="27" t="s">
        <v>7</v>
      </c>
      <c r="JM751" s="27" t="s">
        <v>8</v>
      </c>
      <c r="JN751" s="27" t="s">
        <v>7</v>
      </c>
      <c r="JO751" s="27" t="s">
        <v>8</v>
      </c>
      <c r="JP751" s="27" t="s">
        <v>7</v>
      </c>
      <c r="JS751" s="27" t="s">
        <v>8</v>
      </c>
      <c r="JT751" s="27" t="s">
        <v>7</v>
      </c>
      <c r="JX751" s="27" t="s">
        <v>7</v>
      </c>
      <c r="KF751" s="27" t="s">
        <v>7</v>
      </c>
      <c r="KK751" s="27" t="s">
        <v>8</v>
      </c>
      <c r="KL751" s="27" t="s">
        <v>7</v>
      </c>
      <c r="KM751" s="27" t="s">
        <v>8</v>
      </c>
      <c r="KN751" s="27" t="s">
        <v>7</v>
      </c>
      <c r="KO751" s="27" t="s">
        <v>8</v>
      </c>
      <c r="KP751" s="27" t="s">
        <v>7</v>
      </c>
    </row>
    <row r="752" spans="1:347" x14ac:dyDescent="0.25">
      <c r="A752" s="7">
        <v>3.8104095702657229E-2</v>
      </c>
      <c r="B752"/>
      <c r="C752"/>
      <c r="D752"/>
      <c r="E752"/>
      <c r="F752" s="27" t="s">
        <v>7</v>
      </c>
      <c r="IG752" s="27" t="s">
        <v>8</v>
      </c>
      <c r="IH752" s="27" t="s">
        <v>7</v>
      </c>
      <c r="II752" s="27" t="s">
        <v>8</v>
      </c>
      <c r="IJ752" s="27" t="s">
        <v>7</v>
      </c>
      <c r="IK752" s="27" t="s">
        <v>8</v>
      </c>
      <c r="IL752" s="27" t="s">
        <v>7</v>
      </c>
      <c r="IM752" s="27" t="s">
        <v>8</v>
      </c>
      <c r="IN752" s="27" t="s">
        <v>7</v>
      </c>
      <c r="IO752" s="27" t="s">
        <v>8</v>
      </c>
      <c r="IQ752" s="27" t="s">
        <v>8</v>
      </c>
      <c r="IR752" s="27" t="s">
        <v>7</v>
      </c>
      <c r="IY752" s="27" t="s">
        <v>8</v>
      </c>
      <c r="IZ752" s="27" t="s">
        <v>7</v>
      </c>
      <c r="JI752" s="27" t="s">
        <v>8</v>
      </c>
      <c r="JJ752" s="27" t="s">
        <v>7</v>
      </c>
      <c r="JK752" s="27" t="s">
        <v>8</v>
      </c>
      <c r="JM752" s="27" t="s">
        <v>8</v>
      </c>
      <c r="JN752" s="27" t="s">
        <v>7</v>
      </c>
      <c r="JO752" s="27" t="s">
        <v>8</v>
      </c>
      <c r="JP752" s="27" t="s">
        <v>7</v>
      </c>
      <c r="JS752" s="27" t="s">
        <v>8</v>
      </c>
      <c r="KF752" s="27" t="s">
        <v>7</v>
      </c>
      <c r="KK752" s="27" t="s">
        <v>8</v>
      </c>
      <c r="KL752" s="27" t="s">
        <v>7</v>
      </c>
      <c r="KM752" s="27" t="s">
        <v>8</v>
      </c>
      <c r="KN752" s="27" t="s">
        <v>7</v>
      </c>
      <c r="KP752" s="27" t="s">
        <v>7</v>
      </c>
      <c r="MI752" s="27" t="s">
        <v>8</v>
      </c>
    </row>
    <row r="753" spans="1:352" x14ac:dyDescent="0.25">
      <c r="A753" s="7">
        <v>3.7356956571232579E-2</v>
      </c>
      <c r="B753"/>
      <c r="C753"/>
      <c r="D753"/>
      <c r="E753"/>
      <c r="F753" s="27" t="s">
        <v>7</v>
      </c>
      <c r="IG753" s="27" t="s">
        <v>8</v>
      </c>
      <c r="IH753" s="27" t="s">
        <v>7</v>
      </c>
      <c r="II753" s="27" t="s">
        <v>8</v>
      </c>
      <c r="IJ753" s="27" t="s">
        <v>7</v>
      </c>
      <c r="IL753" s="27" t="s">
        <v>7</v>
      </c>
      <c r="IM753" s="27" t="s">
        <v>8</v>
      </c>
      <c r="IN753" s="27" t="s">
        <v>7</v>
      </c>
      <c r="IO753" s="27" t="s">
        <v>8</v>
      </c>
      <c r="IP753" s="27" t="s">
        <v>7</v>
      </c>
      <c r="IQ753" s="27" t="s">
        <v>8</v>
      </c>
      <c r="IR753" s="27" t="s">
        <v>7</v>
      </c>
      <c r="IU753" s="27" t="s">
        <v>8</v>
      </c>
      <c r="IY753" s="27" t="s">
        <v>8</v>
      </c>
      <c r="IZ753" s="27" t="s">
        <v>7</v>
      </c>
      <c r="JI753" s="27" t="s">
        <v>8</v>
      </c>
      <c r="JJ753" s="27" t="s">
        <v>7</v>
      </c>
      <c r="JK753" s="27" t="s">
        <v>8</v>
      </c>
      <c r="JL753" s="27" t="s">
        <v>7</v>
      </c>
      <c r="JM753" s="27" t="s">
        <v>8</v>
      </c>
      <c r="JN753" s="27" t="s">
        <v>7</v>
      </c>
      <c r="JO753" s="27" t="s">
        <v>8</v>
      </c>
      <c r="JP753" s="27" t="s">
        <v>7</v>
      </c>
      <c r="JS753" s="27" t="s">
        <v>8</v>
      </c>
      <c r="KF753" s="27" t="s">
        <v>7</v>
      </c>
      <c r="KK753" s="27" t="s">
        <v>8</v>
      </c>
      <c r="KL753" s="27" t="s">
        <v>7</v>
      </c>
      <c r="KP753" s="27" t="s">
        <v>7</v>
      </c>
      <c r="MG753" s="27" t="s">
        <v>8</v>
      </c>
      <c r="MI753" s="27" t="s">
        <v>8</v>
      </c>
      <c r="MJ753" s="27" t="s">
        <v>7</v>
      </c>
    </row>
    <row r="754" spans="1:352" x14ac:dyDescent="0.25">
      <c r="A754" s="7">
        <v>3.6624467226698605E-2</v>
      </c>
      <c r="B754"/>
      <c r="C754"/>
      <c r="D754"/>
      <c r="E754"/>
      <c r="F754" s="27" t="s">
        <v>7</v>
      </c>
      <c r="IG754" s="27" t="s">
        <v>8</v>
      </c>
      <c r="IH754" s="27" t="s">
        <v>7</v>
      </c>
      <c r="II754" s="27" t="s">
        <v>8</v>
      </c>
      <c r="IL754" s="27" t="s">
        <v>7</v>
      </c>
      <c r="IN754" s="27" t="s">
        <v>7</v>
      </c>
      <c r="IO754" s="27" t="s">
        <v>8</v>
      </c>
      <c r="IP754" s="27" t="s">
        <v>7</v>
      </c>
      <c r="IQ754" s="27" t="s">
        <v>8</v>
      </c>
      <c r="IR754" s="27" t="s">
        <v>7</v>
      </c>
      <c r="IS754" s="27" t="s">
        <v>8</v>
      </c>
      <c r="IU754" s="27" t="s">
        <v>8</v>
      </c>
      <c r="IV754" s="27" t="s">
        <v>7</v>
      </c>
      <c r="IY754" s="27" t="s">
        <v>8</v>
      </c>
      <c r="IZ754" s="27" t="s">
        <v>7</v>
      </c>
      <c r="JE754" s="27" t="s">
        <v>8</v>
      </c>
      <c r="JI754" s="27" t="s">
        <v>8</v>
      </c>
      <c r="JJ754" s="27" t="s">
        <v>7</v>
      </c>
      <c r="JK754" s="27" t="s">
        <v>8</v>
      </c>
      <c r="JL754" s="27" t="s">
        <v>7</v>
      </c>
      <c r="JM754" s="27" t="s">
        <v>8</v>
      </c>
      <c r="JN754" s="27" t="s">
        <v>7</v>
      </c>
      <c r="JP754" s="27" t="s">
        <v>7</v>
      </c>
      <c r="JS754" s="27" t="s">
        <v>8</v>
      </c>
      <c r="KF754" s="27" t="s">
        <v>7</v>
      </c>
      <c r="KK754" s="27" t="s">
        <v>8</v>
      </c>
      <c r="KP754" s="27" t="s">
        <v>7</v>
      </c>
      <c r="MG754" s="27" t="s">
        <v>8</v>
      </c>
      <c r="MH754" s="27" t="s">
        <v>7</v>
      </c>
      <c r="MI754" s="27" t="s">
        <v>8</v>
      </c>
      <c r="MJ754" s="27" t="s">
        <v>7</v>
      </c>
    </row>
    <row r="755" spans="1:352" x14ac:dyDescent="0.25">
      <c r="A755" s="7">
        <v>3.5906340418331961E-2</v>
      </c>
      <c r="B755"/>
      <c r="C755"/>
      <c r="D755"/>
      <c r="E755"/>
      <c r="F755" s="27" t="s">
        <v>7</v>
      </c>
      <c r="IG755" s="27" t="s">
        <v>8</v>
      </c>
      <c r="IH755" s="27" t="s">
        <v>7</v>
      </c>
      <c r="II755" s="27" t="s">
        <v>8</v>
      </c>
      <c r="IN755" s="27" t="s">
        <v>7</v>
      </c>
      <c r="IO755" s="27" t="s">
        <v>8</v>
      </c>
      <c r="IP755" s="27" t="s">
        <v>7</v>
      </c>
      <c r="IQ755" s="27" t="s">
        <v>8</v>
      </c>
      <c r="IR755" s="27" t="s">
        <v>7</v>
      </c>
      <c r="IS755" s="27" t="s">
        <v>8</v>
      </c>
      <c r="IT755" s="27" t="s">
        <v>7</v>
      </c>
      <c r="IU755" s="27" t="s">
        <v>8</v>
      </c>
      <c r="IV755" s="27" t="s">
        <v>7</v>
      </c>
      <c r="IY755" s="27" t="s">
        <v>8</v>
      </c>
      <c r="IZ755" s="27" t="s">
        <v>7</v>
      </c>
      <c r="JC755" s="27" t="s">
        <v>8</v>
      </c>
      <c r="JE755" s="27" t="s">
        <v>8</v>
      </c>
      <c r="JF755" s="27" t="s">
        <v>7</v>
      </c>
      <c r="JI755" s="27" t="s">
        <v>8</v>
      </c>
      <c r="JJ755" s="27" t="s">
        <v>7</v>
      </c>
      <c r="JK755" s="27" t="s">
        <v>8</v>
      </c>
      <c r="JL755" s="27" t="s">
        <v>7</v>
      </c>
      <c r="JM755" s="27" t="s">
        <v>8</v>
      </c>
      <c r="JP755" s="27" t="s">
        <v>7</v>
      </c>
      <c r="JQ755" s="27" t="s">
        <v>8</v>
      </c>
      <c r="JS755" s="27" t="s">
        <v>8</v>
      </c>
      <c r="KF755" s="27" t="s">
        <v>7</v>
      </c>
      <c r="KG755" s="27" t="s">
        <v>8</v>
      </c>
      <c r="KK755" s="27" t="s">
        <v>8</v>
      </c>
      <c r="KP755" s="27" t="s">
        <v>7</v>
      </c>
      <c r="MG755" s="27" t="s">
        <v>8</v>
      </c>
      <c r="MH755" s="27" t="s">
        <v>7</v>
      </c>
      <c r="MI755" s="27" t="s">
        <v>8</v>
      </c>
      <c r="MJ755" s="27" t="s">
        <v>7</v>
      </c>
    </row>
    <row r="756" spans="1:352" x14ac:dyDescent="0.25">
      <c r="A756" s="7">
        <v>3.5202294527776436E-2</v>
      </c>
      <c r="B756"/>
      <c r="C756"/>
      <c r="D756"/>
      <c r="E756"/>
      <c r="F756" s="27" t="s">
        <v>7</v>
      </c>
      <c r="IG756" s="27" t="s">
        <v>8</v>
      </c>
      <c r="IH756" s="27" t="s">
        <v>7</v>
      </c>
      <c r="II756" s="27" t="s">
        <v>8</v>
      </c>
      <c r="IN756" s="27" t="s">
        <v>7</v>
      </c>
      <c r="IP756" s="27" t="s">
        <v>7</v>
      </c>
      <c r="IR756" s="27" t="s">
        <v>7</v>
      </c>
      <c r="IS756" s="27" t="s">
        <v>8</v>
      </c>
      <c r="IT756" s="27" t="s">
        <v>7</v>
      </c>
      <c r="IU756" s="27" t="s">
        <v>8</v>
      </c>
      <c r="IV756" s="27" t="s">
        <v>7</v>
      </c>
      <c r="IW756" s="27" t="s">
        <v>8</v>
      </c>
      <c r="IY756" s="27" t="s">
        <v>8</v>
      </c>
      <c r="IZ756" s="27" t="s">
        <v>7</v>
      </c>
      <c r="JC756" s="27" t="s">
        <v>8</v>
      </c>
      <c r="JD756" s="27" t="s">
        <v>7</v>
      </c>
      <c r="JE756" s="27" t="s">
        <v>8</v>
      </c>
      <c r="JF756" s="27" t="s">
        <v>7</v>
      </c>
      <c r="JI756" s="27" t="s">
        <v>8</v>
      </c>
      <c r="JJ756" s="27" t="s">
        <v>7</v>
      </c>
      <c r="JK756" s="27" t="s">
        <v>8</v>
      </c>
      <c r="JL756" s="27" t="s">
        <v>7</v>
      </c>
      <c r="JP756" s="27" t="s">
        <v>7</v>
      </c>
      <c r="JQ756" s="27" t="s">
        <v>8</v>
      </c>
      <c r="JR756" s="27" t="s">
        <v>7</v>
      </c>
      <c r="JS756" s="27" t="s">
        <v>8</v>
      </c>
      <c r="KF756" s="27" t="s">
        <v>7</v>
      </c>
      <c r="KG756" s="27" t="s">
        <v>8</v>
      </c>
      <c r="KH756" s="27" t="s">
        <v>7</v>
      </c>
      <c r="KK756" s="27" t="s">
        <v>8</v>
      </c>
      <c r="KP756" s="27" t="s">
        <v>7</v>
      </c>
      <c r="KQ756" s="27" t="s">
        <v>8</v>
      </c>
      <c r="MG756" s="27" t="s">
        <v>8</v>
      </c>
      <c r="MH756" s="27" t="s">
        <v>7</v>
      </c>
      <c r="MI756" s="27" t="s">
        <v>8</v>
      </c>
      <c r="MJ756" s="27" t="s">
        <v>7</v>
      </c>
    </row>
    <row r="757" spans="1:352" x14ac:dyDescent="0.25">
      <c r="A757" s="7">
        <v>3.451205345860435E-2</v>
      </c>
      <c r="B757"/>
      <c r="C757"/>
      <c r="D757"/>
      <c r="E757"/>
      <c r="F757" s="27" t="s">
        <v>7</v>
      </c>
      <c r="IG757" s="27" t="s">
        <v>8</v>
      </c>
      <c r="IH757" s="27" t="s">
        <v>7</v>
      </c>
      <c r="II757" s="27" t="s">
        <v>8</v>
      </c>
      <c r="IR757" s="27" t="s">
        <v>7</v>
      </c>
      <c r="IS757" s="27" t="s">
        <v>8</v>
      </c>
      <c r="IT757" s="27" t="s">
        <v>7</v>
      </c>
      <c r="IU757" s="27" t="s">
        <v>8</v>
      </c>
      <c r="IV757" s="27" t="s">
        <v>7</v>
      </c>
      <c r="IW757" s="27" t="s">
        <v>8</v>
      </c>
      <c r="IX757" s="27" t="s">
        <v>7</v>
      </c>
      <c r="IY757" s="27" t="s">
        <v>8</v>
      </c>
      <c r="IZ757" s="27" t="s">
        <v>7</v>
      </c>
      <c r="JC757" s="27" t="s">
        <v>8</v>
      </c>
      <c r="JD757" s="27" t="s">
        <v>7</v>
      </c>
      <c r="JE757" s="27" t="s">
        <v>8</v>
      </c>
      <c r="JF757" s="27" t="s">
        <v>7</v>
      </c>
      <c r="JG757" s="27" t="s">
        <v>8</v>
      </c>
      <c r="JI757" s="27" t="s">
        <v>8</v>
      </c>
      <c r="JJ757" s="27" t="s">
        <v>7</v>
      </c>
      <c r="JK757" s="27" t="s">
        <v>8</v>
      </c>
      <c r="JP757" s="27" t="s">
        <v>7</v>
      </c>
      <c r="JQ757" s="27" t="s">
        <v>8</v>
      </c>
      <c r="JR757" s="27" t="s">
        <v>7</v>
      </c>
      <c r="JS757" s="27" t="s">
        <v>8</v>
      </c>
      <c r="KF757" s="27" t="s">
        <v>7</v>
      </c>
      <c r="KG757" s="27" t="s">
        <v>8</v>
      </c>
      <c r="KH757" s="27" t="s">
        <v>7</v>
      </c>
      <c r="KI757" s="27" t="s">
        <v>8</v>
      </c>
      <c r="KK757" s="27" t="s">
        <v>8</v>
      </c>
      <c r="KP757" s="27" t="s">
        <v>7</v>
      </c>
      <c r="KQ757" s="27" t="s">
        <v>8</v>
      </c>
      <c r="KR757" s="27" t="s">
        <v>7</v>
      </c>
      <c r="MG757" s="27" t="s">
        <v>8</v>
      </c>
      <c r="MH757" s="27" t="s">
        <v>7</v>
      </c>
      <c r="MI757" s="27" t="s">
        <v>8</v>
      </c>
      <c r="MJ757" s="27" t="s">
        <v>7</v>
      </c>
    </row>
    <row r="758" spans="1:352" x14ac:dyDescent="0.25">
      <c r="A758" s="7">
        <v>3.3835346528043479E-2</v>
      </c>
      <c r="B758"/>
      <c r="C758"/>
      <c r="D758"/>
      <c r="E758"/>
      <c r="F758" s="27" t="s">
        <v>7</v>
      </c>
      <c r="IG758" s="27" t="s">
        <v>8</v>
      </c>
      <c r="IH758" s="27" t="s">
        <v>7</v>
      </c>
      <c r="II758" s="27" t="s">
        <v>8</v>
      </c>
      <c r="IR758" s="27" t="s">
        <v>7</v>
      </c>
      <c r="IS758" s="27" t="s">
        <v>8</v>
      </c>
      <c r="IT758" s="27" t="s">
        <v>7</v>
      </c>
      <c r="IU758" s="27" t="s">
        <v>8</v>
      </c>
      <c r="IV758" s="27" t="s">
        <v>7</v>
      </c>
      <c r="IW758" s="27" t="s">
        <v>8</v>
      </c>
      <c r="IX758" s="27" t="s">
        <v>7</v>
      </c>
      <c r="IY758" s="27" t="s">
        <v>8</v>
      </c>
      <c r="IZ758" s="27" t="s">
        <v>7</v>
      </c>
      <c r="JC758" s="27" t="s">
        <v>8</v>
      </c>
      <c r="JD758" s="27" t="s">
        <v>7</v>
      </c>
      <c r="JE758" s="27" t="s">
        <v>8</v>
      </c>
      <c r="JF758" s="27" t="s">
        <v>7</v>
      </c>
      <c r="JG758" s="27" t="s">
        <v>8</v>
      </c>
      <c r="JH758" s="27" t="s">
        <v>7</v>
      </c>
      <c r="JI758" s="27" t="s">
        <v>8</v>
      </c>
      <c r="JJ758" s="27" t="s">
        <v>7</v>
      </c>
      <c r="JP758" s="27" t="s">
        <v>7</v>
      </c>
      <c r="JR758" s="27" t="s">
        <v>7</v>
      </c>
      <c r="KF758" s="27" t="s">
        <v>7</v>
      </c>
      <c r="KG758" s="27" t="s">
        <v>8</v>
      </c>
      <c r="KH758" s="27" t="s">
        <v>7</v>
      </c>
      <c r="KI758" s="27" t="s">
        <v>8</v>
      </c>
      <c r="KJ758" s="27" t="s">
        <v>7</v>
      </c>
      <c r="KK758" s="27" t="s">
        <v>8</v>
      </c>
      <c r="KP758" s="27" t="s">
        <v>7</v>
      </c>
      <c r="KQ758" s="27" t="s">
        <v>8</v>
      </c>
      <c r="KR758" s="27" t="s">
        <v>7</v>
      </c>
      <c r="MG758" s="27" t="s">
        <v>8</v>
      </c>
      <c r="MH758" s="27" t="s">
        <v>7</v>
      </c>
      <c r="MI758" s="27" t="s">
        <v>8</v>
      </c>
      <c r="MJ758" s="27" t="s">
        <v>7</v>
      </c>
      <c r="MK758" s="27" t="s">
        <v>8</v>
      </c>
    </row>
    <row r="759" spans="1:352" x14ac:dyDescent="0.25">
      <c r="A759" s="7">
        <v>3.3171908360826938E-2</v>
      </c>
      <c r="B759"/>
      <c r="C759"/>
      <c r="D759"/>
      <c r="E759"/>
      <c r="F759" s="27" t="s">
        <v>7</v>
      </c>
      <c r="IG759" s="27" t="s">
        <v>8</v>
      </c>
      <c r="IH759" s="27" t="s">
        <v>7</v>
      </c>
      <c r="II759" s="27" t="s">
        <v>8</v>
      </c>
      <c r="IR759" s="27" t="s">
        <v>7</v>
      </c>
      <c r="IS759" s="27" t="s">
        <v>8</v>
      </c>
      <c r="IT759" s="27" t="s">
        <v>7</v>
      </c>
      <c r="IU759" s="27" t="s">
        <v>8</v>
      </c>
      <c r="IV759" s="27" t="s">
        <v>7</v>
      </c>
      <c r="IW759" s="27" t="s">
        <v>8</v>
      </c>
      <c r="IX759" s="27" t="s">
        <v>7</v>
      </c>
      <c r="IY759" s="27" t="s">
        <v>8</v>
      </c>
      <c r="IZ759" s="27" t="s">
        <v>7</v>
      </c>
      <c r="JA759" s="27" t="s">
        <v>8</v>
      </c>
      <c r="JC759" s="27" t="s">
        <v>8</v>
      </c>
      <c r="JD759" s="27" t="s">
        <v>7</v>
      </c>
      <c r="JE759" s="27" t="s">
        <v>8</v>
      </c>
      <c r="JF759" s="27" t="s">
        <v>7</v>
      </c>
      <c r="JG759" s="27" t="s">
        <v>8</v>
      </c>
      <c r="JH759" s="27" t="s">
        <v>7</v>
      </c>
      <c r="JI759" s="27" t="s">
        <v>8</v>
      </c>
      <c r="KF759" s="27" t="s">
        <v>7</v>
      </c>
      <c r="KH759" s="27" t="s">
        <v>7</v>
      </c>
      <c r="KI759" s="27" t="s">
        <v>8</v>
      </c>
      <c r="KJ759" s="27" t="s">
        <v>7</v>
      </c>
      <c r="KK759" s="27" t="s">
        <v>8</v>
      </c>
      <c r="KP759" s="27" t="s">
        <v>7</v>
      </c>
      <c r="KR759" s="27" t="s">
        <v>7</v>
      </c>
      <c r="MG759" s="27" t="s">
        <v>8</v>
      </c>
      <c r="MH759" s="27" t="s">
        <v>7</v>
      </c>
      <c r="MI759" s="27" t="s">
        <v>8</v>
      </c>
      <c r="MJ759" s="27" t="s">
        <v>7</v>
      </c>
      <c r="MK759" s="27" t="s">
        <v>8</v>
      </c>
      <c r="ML759" s="27" t="s">
        <v>7</v>
      </c>
    </row>
    <row r="760" spans="1:352" x14ac:dyDescent="0.25">
      <c r="A760" s="7">
        <v>3.2521478785124451E-2</v>
      </c>
      <c r="B760"/>
      <c r="C760"/>
      <c r="D760"/>
      <c r="E760"/>
      <c r="F760" s="27" t="s">
        <v>7</v>
      </c>
      <c r="IG760" s="27" t="s">
        <v>8</v>
      </c>
      <c r="IH760" s="27" t="s">
        <v>7</v>
      </c>
      <c r="II760" s="27" t="s">
        <v>8</v>
      </c>
      <c r="IR760" s="27" t="s">
        <v>7</v>
      </c>
      <c r="IT760" s="27" t="s">
        <v>7</v>
      </c>
      <c r="IU760" s="27" t="s">
        <v>8</v>
      </c>
      <c r="IV760" s="27" t="s">
        <v>7</v>
      </c>
      <c r="IW760" s="27" t="s">
        <v>8</v>
      </c>
      <c r="IX760" s="27" t="s">
        <v>7</v>
      </c>
      <c r="IY760" s="27" t="s">
        <v>8</v>
      </c>
      <c r="IZ760" s="27" t="s">
        <v>7</v>
      </c>
      <c r="JA760" s="27" t="s">
        <v>8</v>
      </c>
      <c r="JB760" s="27" t="s">
        <v>7</v>
      </c>
      <c r="JC760" s="27" t="s">
        <v>8</v>
      </c>
      <c r="JD760" s="27" t="s">
        <v>7</v>
      </c>
      <c r="JE760" s="27" t="s">
        <v>8</v>
      </c>
      <c r="JF760" s="27" t="s">
        <v>7</v>
      </c>
      <c r="JG760" s="27" t="s">
        <v>8</v>
      </c>
      <c r="JH760" s="27" t="s">
        <v>7</v>
      </c>
      <c r="JI760" s="27" t="s">
        <v>8</v>
      </c>
      <c r="KH760" s="27" t="s">
        <v>7</v>
      </c>
      <c r="KI760" s="27" t="s">
        <v>8</v>
      </c>
      <c r="KJ760" s="27" t="s">
        <v>7</v>
      </c>
      <c r="KK760" s="27" t="s">
        <v>8</v>
      </c>
      <c r="KR760" s="27" t="s">
        <v>7</v>
      </c>
      <c r="MG760" s="27" t="s">
        <v>8</v>
      </c>
      <c r="MH760" s="27" t="s">
        <v>7</v>
      </c>
      <c r="MI760" s="27" t="s">
        <v>8</v>
      </c>
      <c r="MJ760" s="27" t="s">
        <v>7</v>
      </c>
      <c r="MK760" s="27" t="s">
        <v>8</v>
      </c>
      <c r="ML760" s="27" t="s">
        <v>7</v>
      </c>
    </row>
    <row r="761" spans="1:352" x14ac:dyDescent="0.25">
      <c r="A761" s="7">
        <v>3.1883802730514173E-2</v>
      </c>
      <c r="B761"/>
      <c r="C761"/>
      <c r="D761"/>
      <c r="E761"/>
      <c r="F761" s="27" t="s">
        <v>7</v>
      </c>
      <c r="IG761" s="27" t="s">
        <v>8</v>
      </c>
      <c r="IH761" s="27" t="s">
        <v>7</v>
      </c>
      <c r="II761" s="27" t="s">
        <v>8</v>
      </c>
      <c r="IT761" s="27" t="s">
        <v>7</v>
      </c>
      <c r="IU761" s="27" t="s">
        <v>8</v>
      </c>
      <c r="IV761" s="27" t="s">
        <v>7</v>
      </c>
      <c r="IX761" s="27" t="s">
        <v>7</v>
      </c>
      <c r="IY761" s="27" t="s">
        <v>8</v>
      </c>
      <c r="IZ761" s="27" t="s">
        <v>7</v>
      </c>
      <c r="JA761" s="27" t="s">
        <v>8</v>
      </c>
      <c r="JB761" s="27" t="s">
        <v>7</v>
      </c>
      <c r="JC761" s="27" t="s">
        <v>8</v>
      </c>
      <c r="JD761" s="27" t="s">
        <v>7</v>
      </c>
      <c r="JF761" s="27" t="s">
        <v>7</v>
      </c>
      <c r="JG761" s="27" t="s">
        <v>8</v>
      </c>
      <c r="JH761" s="27" t="s">
        <v>7</v>
      </c>
      <c r="JI761" s="27" t="s">
        <v>8</v>
      </c>
      <c r="KH761" s="27" t="s">
        <v>7</v>
      </c>
      <c r="KI761" s="27" t="s">
        <v>8</v>
      </c>
      <c r="KJ761" s="27" t="s">
        <v>7</v>
      </c>
      <c r="KK761" s="27" t="s">
        <v>8</v>
      </c>
      <c r="KR761" s="27" t="s">
        <v>7</v>
      </c>
      <c r="MG761" s="27" t="s">
        <v>8</v>
      </c>
      <c r="MH761" s="27" t="s">
        <v>7</v>
      </c>
      <c r="MI761" s="27" t="s">
        <v>8</v>
      </c>
      <c r="MJ761" s="27" t="s">
        <v>7</v>
      </c>
      <c r="MK761" s="27" t="s">
        <v>8</v>
      </c>
      <c r="ML761" s="27" t="s">
        <v>7</v>
      </c>
    </row>
    <row r="762" spans="1:352" x14ac:dyDescent="0.25">
      <c r="A762" s="7">
        <v>3.1258630127955073E-2</v>
      </c>
      <c r="B762"/>
      <c r="C762"/>
      <c r="D762"/>
      <c r="E762"/>
      <c r="F762" s="27" t="s">
        <v>7</v>
      </c>
      <c r="IG762" s="27" t="s">
        <v>8</v>
      </c>
      <c r="IH762" s="27" t="s">
        <v>7</v>
      </c>
      <c r="II762" s="27" t="s">
        <v>8</v>
      </c>
      <c r="IT762" s="27" t="s">
        <v>7</v>
      </c>
      <c r="IX762" s="27" t="s">
        <v>7</v>
      </c>
      <c r="IY762" s="27" t="s">
        <v>8</v>
      </c>
      <c r="IZ762" s="27" t="s">
        <v>7</v>
      </c>
      <c r="JA762" s="27" t="s">
        <v>8</v>
      </c>
      <c r="JB762" s="27" t="s">
        <v>7</v>
      </c>
      <c r="JC762" s="27" t="s">
        <v>8</v>
      </c>
      <c r="JF762" s="27" t="s">
        <v>7</v>
      </c>
      <c r="JG762" s="27" t="s">
        <v>8</v>
      </c>
      <c r="JH762" s="27" t="s">
        <v>7</v>
      </c>
      <c r="KH762" s="27" t="s">
        <v>7</v>
      </c>
      <c r="KI762" s="27" t="s">
        <v>8</v>
      </c>
      <c r="KJ762" s="27" t="s">
        <v>7</v>
      </c>
      <c r="KR762" s="27" t="s">
        <v>7</v>
      </c>
      <c r="KS762" s="27" t="s">
        <v>8</v>
      </c>
      <c r="MG762" s="27" t="s">
        <v>8</v>
      </c>
      <c r="MH762" s="27" t="s">
        <v>7</v>
      </c>
      <c r="MJ762" s="27" t="s">
        <v>7</v>
      </c>
      <c r="MK762" s="27" t="s">
        <v>8</v>
      </c>
      <c r="ML762" s="27" t="s">
        <v>7</v>
      </c>
    </row>
    <row r="763" spans="1:352" x14ac:dyDescent="0.25">
      <c r="A763" s="7">
        <v>3.064571581172066E-2</v>
      </c>
      <c r="B763"/>
      <c r="C763"/>
      <c r="D763"/>
      <c r="E763"/>
      <c r="F763" s="27" t="s">
        <v>7</v>
      </c>
      <c r="IG763" s="27" t="s">
        <v>8</v>
      </c>
      <c r="IH763" s="27" t="s">
        <v>7</v>
      </c>
      <c r="II763" s="27" t="s">
        <v>8</v>
      </c>
      <c r="IX763" s="27" t="s">
        <v>7</v>
      </c>
      <c r="IY763" s="27" t="s">
        <v>8</v>
      </c>
      <c r="IZ763" s="27" t="s">
        <v>7</v>
      </c>
      <c r="JA763" s="27" t="s">
        <v>8</v>
      </c>
      <c r="JB763" s="27" t="s">
        <v>7</v>
      </c>
      <c r="JC763" s="27" t="s">
        <v>8</v>
      </c>
      <c r="JF763" s="27" t="s">
        <v>7</v>
      </c>
      <c r="JG763" s="27" t="s">
        <v>8</v>
      </c>
      <c r="KH763" s="27" t="s">
        <v>7</v>
      </c>
      <c r="KI763" s="27" t="s">
        <v>8</v>
      </c>
      <c r="KR763" s="27" t="s">
        <v>7</v>
      </c>
      <c r="KS763" s="27" t="s">
        <v>8</v>
      </c>
      <c r="KT763" s="27" t="s">
        <v>7</v>
      </c>
      <c r="MG763" s="27" t="s">
        <v>8</v>
      </c>
      <c r="MJ763" s="27" t="s">
        <v>7</v>
      </c>
      <c r="MK763" s="27" t="s">
        <v>8</v>
      </c>
      <c r="ML763" s="27" t="s">
        <v>7</v>
      </c>
    </row>
    <row r="764" spans="1:352" x14ac:dyDescent="0.25">
      <c r="A764" s="7">
        <v>3.0044819423255549E-2</v>
      </c>
      <c r="B764"/>
      <c r="C764"/>
      <c r="D764"/>
      <c r="E764"/>
      <c r="F764" s="27" t="s">
        <v>7</v>
      </c>
      <c r="IG764" s="27" t="s">
        <v>8</v>
      </c>
      <c r="IH764" s="27" t="s">
        <v>7</v>
      </c>
      <c r="II764" s="27" t="s">
        <v>8</v>
      </c>
      <c r="IX764" s="27" t="s">
        <v>7</v>
      </c>
      <c r="IY764" s="27" t="s">
        <v>8</v>
      </c>
      <c r="IZ764" s="27" t="s">
        <v>7</v>
      </c>
      <c r="JA764" s="27" t="s">
        <v>8</v>
      </c>
      <c r="JB764" s="27" t="s">
        <v>7</v>
      </c>
      <c r="JC764" s="27" t="s">
        <v>8</v>
      </c>
      <c r="JF764" s="27" t="s">
        <v>7</v>
      </c>
      <c r="JG764" s="27" t="s">
        <v>8</v>
      </c>
      <c r="KH764" s="27" t="s">
        <v>7</v>
      </c>
      <c r="KI764" s="27" t="s">
        <v>8</v>
      </c>
      <c r="KR764" s="27" t="s">
        <v>7</v>
      </c>
      <c r="KS764" s="27" t="s">
        <v>8</v>
      </c>
      <c r="KT764" s="27" t="s">
        <v>7</v>
      </c>
      <c r="MG764" s="27" t="s">
        <v>8</v>
      </c>
      <c r="MJ764" s="27" t="s">
        <v>7</v>
      </c>
      <c r="ML764" s="27" t="s">
        <v>7</v>
      </c>
    </row>
    <row r="765" spans="1:352" x14ac:dyDescent="0.25">
      <c r="A765" s="7">
        <v>2.9455705316917203E-2</v>
      </c>
      <c r="B765"/>
      <c r="C765"/>
      <c r="D765"/>
      <c r="E765"/>
      <c r="F765" s="27" t="s">
        <v>7</v>
      </c>
      <c r="IG765" s="27" t="s">
        <v>8</v>
      </c>
      <c r="IH765" s="27" t="s">
        <v>7</v>
      </c>
      <c r="II765" s="27" t="s">
        <v>8</v>
      </c>
      <c r="IX765" s="27" t="s">
        <v>7</v>
      </c>
      <c r="IY765" s="27" t="s">
        <v>8</v>
      </c>
      <c r="IZ765" s="27" t="s">
        <v>7</v>
      </c>
      <c r="JA765" s="27" t="s">
        <v>8</v>
      </c>
      <c r="JB765" s="27" t="s">
        <v>7</v>
      </c>
      <c r="JC765" s="27" t="s">
        <v>8</v>
      </c>
      <c r="JF765" s="27" t="s">
        <v>7</v>
      </c>
      <c r="JG765" s="27" t="s">
        <v>8</v>
      </c>
      <c r="KH765" s="27" t="s">
        <v>7</v>
      </c>
      <c r="KI765" s="27" t="s">
        <v>8</v>
      </c>
      <c r="KR765" s="27" t="s">
        <v>7</v>
      </c>
      <c r="KT765" s="27" t="s">
        <v>7</v>
      </c>
      <c r="MG765" s="27" t="s">
        <v>8</v>
      </c>
      <c r="ML765" s="27" t="s">
        <v>7</v>
      </c>
      <c r="MM765" s="27" t="s">
        <v>8</v>
      </c>
    </row>
    <row r="766" spans="1:352" x14ac:dyDescent="0.25">
      <c r="A766" s="7">
        <v>2.8878142467565884E-2</v>
      </c>
      <c r="B766"/>
      <c r="C766"/>
      <c r="D766"/>
      <c r="E766"/>
      <c r="F766" s="27" t="s">
        <v>7</v>
      </c>
      <c r="IG766" s="27" t="s">
        <v>8</v>
      </c>
      <c r="IH766" s="27" t="s">
        <v>7</v>
      </c>
      <c r="II766" s="27" t="s">
        <v>8</v>
      </c>
      <c r="IX766" s="27" t="s">
        <v>7</v>
      </c>
      <c r="IY766" s="27" t="s">
        <v>8</v>
      </c>
      <c r="IZ766" s="27" t="s">
        <v>7</v>
      </c>
      <c r="JA766" s="27" t="s">
        <v>8</v>
      </c>
      <c r="JB766" s="27" t="s">
        <v>7</v>
      </c>
      <c r="JC766" s="27" t="s">
        <v>8</v>
      </c>
      <c r="JF766" s="27" t="s">
        <v>7</v>
      </c>
      <c r="JG766" s="27" t="s">
        <v>8</v>
      </c>
      <c r="KH766" s="27" t="s">
        <v>7</v>
      </c>
      <c r="KI766" s="27" t="s">
        <v>8</v>
      </c>
      <c r="KT766" s="27" t="s">
        <v>7</v>
      </c>
      <c r="MG766" s="27" t="s">
        <v>8</v>
      </c>
      <c r="ML766" s="27" t="s">
        <v>7</v>
      </c>
      <c r="MM766" s="27" t="s">
        <v>8</v>
      </c>
      <c r="MN766" s="27" t="s">
        <v>7</v>
      </c>
    </row>
    <row r="767" spans="1:352" x14ac:dyDescent="0.25">
      <c r="A767" s="7">
        <v>2.8311904379966554E-2</v>
      </c>
      <c r="B767"/>
      <c r="C767"/>
      <c r="D767"/>
      <c r="E767"/>
      <c r="F767" s="27" t="s">
        <v>7</v>
      </c>
      <c r="IG767" s="27" t="s">
        <v>8</v>
      </c>
      <c r="IH767" s="27" t="s">
        <v>7</v>
      </c>
      <c r="II767" s="27" t="s">
        <v>8</v>
      </c>
      <c r="IX767" s="27" t="s">
        <v>7</v>
      </c>
      <c r="IY767" s="27" t="s">
        <v>8</v>
      </c>
      <c r="IZ767" s="27" t="s">
        <v>7</v>
      </c>
      <c r="JA767" s="27" t="s">
        <v>8</v>
      </c>
      <c r="JB767" s="27" t="s">
        <v>7</v>
      </c>
      <c r="JF767" s="27" t="s">
        <v>7</v>
      </c>
      <c r="JG767" s="27" t="s">
        <v>8</v>
      </c>
      <c r="KH767" s="27" t="s">
        <v>7</v>
      </c>
      <c r="KI767" s="27" t="s">
        <v>8</v>
      </c>
      <c r="KT767" s="27" t="s">
        <v>7</v>
      </c>
      <c r="MG767" s="27" t="s">
        <v>8</v>
      </c>
      <c r="ML767" s="27" t="s">
        <v>7</v>
      </c>
      <c r="MM767" s="27" t="s">
        <v>8</v>
      </c>
      <c r="MN767" s="27" t="s">
        <v>7</v>
      </c>
    </row>
    <row r="768" spans="1:352" x14ac:dyDescent="0.25">
      <c r="A768" s="7">
        <v>2.7756768999967207E-2</v>
      </c>
      <c r="B768"/>
      <c r="C768"/>
      <c r="D768"/>
      <c r="E768"/>
      <c r="F768" s="27" t="s">
        <v>7</v>
      </c>
      <c r="IG768" s="27" t="s">
        <v>8</v>
      </c>
      <c r="IH768" s="27" t="s">
        <v>7</v>
      </c>
      <c r="II768" s="27" t="s">
        <v>8</v>
      </c>
      <c r="IX768" s="27" t="s">
        <v>7</v>
      </c>
      <c r="IY768" s="27" t="s">
        <v>8</v>
      </c>
      <c r="IZ768" s="27" t="s">
        <v>7</v>
      </c>
      <c r="JA768" s="27" t="s">
        <v>8</v>
      </c>
      <c r="JF768" s="27" t="s">
        <v>7</v>
      </c>
      <c r="JG768" s="27" t="s">
        <v>8</v>
      </c>
      <c r="KH768" s="27" t="s">
        <v>7</v>
      </c>
      <c r="KI768" s="27" t="s">
        <v>8</v>
      </c>
      <c r="KT768" s="27" t="s">
        <v>7</v>
      </c>
      <c r="MG768" s="27" t="s">
        <v>8</v>
      </c>
      <c r="ML768" s="27" t="s">
        <v>7</v>
      </c>
      <c r="MN768" s="27" t="s">
        <v>7</v>
      </c>
    </row>
    <row r="769" spans="1:389" x14ac:dyDescent="0.25">
      <c r="A769" s="7">
        <v>2.7212518627418834E-2</v>
      </c>
      <c r="B769"/>
      <c r="C769"/>
      <c r="D769"/>
      <c r="E769"/>
      <c r="F769" s="27" t="s">
        <v>7</v>
      </c>
      <c r="IG769" s="27" t="s">
        <v>8</v>
      </c>
      <c r="IH769" s="27" t="s">
        <v>7</v>
      </c>
      <c r="II769" s="27" t="s">
        <v>8</v>
      </c>
      <c r="IX769" s="27" t="s">
        <v>7</v>
      </c>
      <c r="IY769" s="27" t="s">
        <v>8</v>
      </c>
      <c r="IZ769" s="27" t="s">
        <v>7</v>
      </c>
      <c r="JA769" s="27" t="s">
        <v>8</v>
      </c>
      <c r="JF769" s="27" t="s">
        <v>7</v>
      </c>
      <c r="JG769" s="27" t="s">
        <v>8</v>
      </c>
      <c r="KH769" s="27" t="s">
        <v>7</v>
      </c>
      <c r="KT769" s="27" t="s">
        <v>7</v>
      </c>
      <c r="MG769" s="27" t="s">
        <v>8</v>
      </c>
      <c r="MN769" s="27" t="s">
        <v>7</v>
      </c>
    </row>
    <row r="770" spans="1:389" x14ac:dyDescent="0.25">
      <c r="A770" s="7">
        <v>2.6678939830802779E-2</v>
      </c>
      <c r="B770"/>
      <c r="C770"/>
      <c r="D770"/>
      <c r="E770"/>
      <c r="F770" s="27" t="s">
        <v>7</v>
      </c>
      <c r="IG770" s="27" t="s">
        <v>8</v>
      </c>
      <c r="IH770" s="27" t="s">
        <v>7</v>
      </c>
      <c r="IX770" s="27" t="s">
        <v>7</v>
      </c>
      <c r="IY770" s="27" t="s">
        <v>8</v>
      </c>
      <c r="IZ770" s="27" t="s">
        <v>7</v>
      </c>
      <c r="JA770" s="27" t="s">
        <v>8</v>
      </c>
      <c r="JF770" s="27" t="s">
        <v>7</v>
      </c>
      <c r="KT770" s="27" t="s">
        <v>7</v>
      </c>
      <c r="KU770" s="27" t="s">
        <v>8</v>
      </c>
      <c r="LG770" s="27" t="s">
        <v>8</v>
      </c>
      <c r="MG770" s="27" t="s">
        <v>8</v>
      </c>
      <c r="MN770" s="27" t="s">
        <v>7</v>
      </c>
    </row>
    <row r="771" spans="1:389" x14ac:dyDescent="0.25">
      <c r="A771" s="7">
        <v>2.615582336353214E-2</v>
      </c>
      <c r="B771"/>
      <c r="C771"/>
      <c r="D771"/>
      <c r="E771"/>
      <c r="F771" s="27" t="s">
        <v>7</v>
      </c>
      <c r="IG771" s="27" t="s">
        <v>8</v>
      </c>
      <c r="IX771" s="27" t="s">
        <v>7</v>
      </c>
      <c r="IY771" s="27" t="s">
        <v>8</v>
      </c>
      <c r="IZ771" s="27" t="s">
        <v>7</v>
      </c>
      <c r="JA771" s="27" t="s">
        <v>8</v>
      </c>
      <c r="KT771" s="27" t="s">
        <v>7</v>
      </c>
      <c r="KU771" s="27" t="s">
        <v>8</v>
      </c>
      <c r="KV771" s="27" t="s">
        <v>7</v>
      </c>
      <c r="LG771" s="27" t="s">
        <v>8</v>
      </c>
      <c r="LH771" s="27" t="s">
        <v>7</v>
      </c>
      <c r="MG771" s="27" t="s">
        <v>8</v>
      </c>
      <c r="MN771" s="27" t="s">
        <v>7</v>
      </c>
    </row>
    <row r="772" spans="1:389" x14ac:dyDescent="0.25">
      <c r="A772" s="7">
        <v>2.5642964081894253E-2</v>
      </c>
      <c r="B772"/>
      <c r="C772"/>
      <c r="D772"/>
      <c r="E772"/>
      <c r="F772" s="27" t="s">
        <v>7</v>
      </c>
      <c r="HQ772" s="27" t="s">
        <v>8</v>
      </c>
      <c r="IG772" s="27" t="s">
        <v>8</v>
      </c>
      <c r="IX772" s="27" t="s">
        <v>7</v>
      </c>
      <c r="IY772" s="27" t="s">
        <v>8</v>
      </c>
      <c r="IZ772" s="27" t="s">
        <v>7</v>
      </c>
      <c r="JA772" s="27" t="s">
        <v>8</v>
      </c>
      <c r="KT772" s="27" t="s">
        <v>7</v>
      </c>
      <c r="KU772" s="27" t="s">
        <v>8</v>
      </c>
      <c r="KV772" s="27" t="s">
        <v>7</v>
      </c>
      <c r="LC772" s="27" t="s">
        <v>8</v>
      </c>
      <c r="LG772" s="27" t="s">
        <v>8</v>
      </c>
      <c r="LH772" s="27" t="s">
        <v>7</v>
      </c>
      <c r="MC772" s="27" t="s">
        <v>8</v>
      </c>
      <c r="ME772" s="27" t="s">
        <v>8</v>
      </c>
      <c r="MG772" s="27" t="s">
        <v>8</v>
      </c>
      <c r="MN772" s="27" t="s">
        <v>7</v>
      </c>
    </row>
    <row r="773" spans="1:389" x14ac:dyDescent="0.25">
      <c r="A773" s="7">
        <v>2.5140160864602207E-2</v>
      </c>
      <c r="B773"/>
      <c r="C773"/>
      <c r="D773"/>
      <c r="E773"/>
      <c r="F773" s="27" t="s">
        <v>7</v>
      </c>
      <c r="HQ773" s="27" t="s">
        <v>8</v>
      </c>
      <c r="HR773" s="27" t="s">
        <v>7</v>
      </c>
      <c r="IG773" s="27" t="s">
        <v>8</v>
      </c>
      <c r="IX773" s="27" t="s">
        <v>7</v>
      </c>
      <c r="IY773" s="27" t="s">
        <v>8</v>
      </c>
      <c r="IZ773" s="27" t="s">
        <v>7</v>
      </c>
      <c r="KT773" s="27" t="s">
        <v>7</v>
      </c>
      <c r="KU773" s="27" t="s">
        <v>8</v>
      </c>
      <c r="KV773" s="27" t="s">
        <v>7</v>
      </c>
      <c r="LC773" s="27" t="s">
        <v>8</v>
      </c>
      <c r="LD773" s="27" t="s">
        <v>7</v>
      </c>
      <c r="LG773" s="27" t="s">
        <v>8</v>
      </c>
      <c r="LH773" s="27" t="s">
        <v>7</v>
      </c>
      <c r="MC773" s="27" t="s">
        <v>8</v>
      </c>
      <c r="MD773" s="27" t="s">
        <v>7</v>
      </c>
      <c r="ME773" s="27" t="s">
        <v>8</v>
      </c>
      <c r="MF773" s="27" t="s">
        <v>7</v>
      </c>
      <c r="MG773" s="27" t="s">
        <v>8</v>
      </c>
      <c r="MN773" s="27" t="s">
        <v>7</v>
      </c>
      <c r="MO773" s="27" t="s">
        <v>8</v>
      </c>
    </row>
    <row r="774" spans="1:389" x14ac:dyDescent="0.25">
      <c r="A774" s="7">
        <v>2.4647216533923735E-2</v>
      </c>
      <c r="B774"/>
      <c r="C774"/>
      <c r="D774"/>
      <c r="E774"/>
      <c r="F774" s="27" t="s">
        <v>7</v>
      </c>
      <c r="HQ774" s="27" t="s">
        <v>8</v>
      </c>
      <c r="HR774" s="27" t="s">
        <v>7</v>
      </c>
      <c r="IG774" s="27" t="s">
        <v>8</v>
      </c>
      <c r="IX774" s="27" t="s">
        <v>7</v>
      </c>
      <c r="IY774" s="27" t="s">
        <v>8</v>
      </c>
      <c r="KT774" s="27" t="s">
        <v>7</v>
      </c>
      <c r="KU774" s="27" t="s">
        <v>8</v>
      </c>
      <c r="KV774" s="27" t="s">
        <v>7</v>
      </c>
      <c r="LC774" s="27" t="s">
        <v>8</v>
      </c>
      <c r="LD774" s="27" t="s">
        <v>7</v>
      </c>
      <c r="LG774" s="27" t="s">
        <v>8</v>
      </c>
      <c r="LH774" s="27" t="s">
        <v>7</v>
      </c>
      <c r="MC774" s="27" t="s">
        <v>8</v>
      </c>
      <c r="MD774" s="27" t="s">
        <v>7</v>
      </c>
      <c r="ME774" s="27" t="s">
        <v>8</v>
      </c>
      <c r="MF774" s="27" t="s">
        <v>7</v>
      </c>
      <c r="MG774" s="27" t="s">
        <v>8</v>
      </c>
      <c r="MN774" s="27" t="s">
        <v>7</v>
      </c>
      <c r="MO774" s="27" t="s">
        <v>8</v>
      </c>
      <c r="MP774" s="27" t="s">
        <v>7</v>
      </c>
    </row>
    <row r="775" spans="1:389" x14ac:dyDescent="0.25">
      <c r="A775" s="7">
        <v>2.4163937778356601E-2</v>
      </c>
      <c r="B775"/>
      <c r="C775"/>
      <c r="D775"/>
      <c r="E775"/>
      <c r="F775" s="27" t="s">
        <v>7</v>
      </c>
      <c r="HQ775" s="27" t="s">
        <v>8</v>
      </c>
      <c r="HR775" s="27" t="s">
        <v>7</v>
      </c>
      <c r="IG775" s="27" t="s">
        <v>8</v>
      </c>
      <c r="IX775" s="27" t="s">
        <v>7</v>
      </c>
      <c r="IY775" s="27" t="s">
        <v>8</v>
      </c>
      <c r="KT775" s="27" t="s">
        <v>7</v>
      </c>
      <c r="KU775" s="27" t="s">
        <v>8</v>
      </c>
      <c r="KV775" s="27" t="s">
        <v>7</v>
      </c>
      <c r="LA775" s="27" t="s">
        <v>8</v>
      </c>
      <c r="LC775" s="27" t="s">
        <v>8</v>
      </c>
      <c r="LD775" s="27" t="s">
        <v>7</v>
      </c>
      <c r="LG775" s="27" t="s">
        <v>8</v>
      </c>
      <c r="LH775" s="27" t="s">
        <v>7</v>
      </c>
      <c r="MC775" s="27" t="s">
        <v>8</v>
      </c>
      <c r="MD775" s="27" t="s">
        <v>7</v>
      </c>
      <c r="ME775" s="27" t="s">
        <v>8</v>
      </c>
      <c r="MF775" s="27" t="s">
        <v>7</v>
      </c>
      <c r="MG775" s="27" t="s">
        <v>8</v>
      </c>
      <c r="MN775" s="27" t="s">
        <v>7</v>
      </c>
      <c r="MO775" s="27" t="s">
        <v>8</v>
      </c>
      <c r="MP775" s="27" t="s">
        <v>7</v>
      </c>
    </row>
    <row r="776" spans="1:389" x14ac:dyDescent="0.25">
      <c r="A776" s="7">
        <v>2.3690135076820197E-2</v>
      </c>
      <c r="B776"/>
      <c r="C776"/>
      <c r="D776"/>
      <c r="E776"/>
      <c r="F776" s="27" t="s">
        <v>7</v>
      </c>
      <c r="HQ776" s="27" t="s">
        <v>8</v>
      </c>
      <c r="HR776" s="27" t="s">
        <v>7</v>
      </c>
      <c r="IG776" s="27" t="s">
        <v>8</v>
      </c>
      <c r="IX776" s="27" t="s">
        <v>7</v>
      </c>
      <c r="IY776" s="27" t="s">
        <v>8</v>
      </c>
      <c r="KT776" s="27" t="s">
        <v>7</v>
      </c>
      <c r="KU776" s="27" t="s">
        <v>8</v>
      </c>
      <c r="KV776" s="27" t="s">
        <v>7</v>
      </c>
      <c r="KY776" s="27" t="s">
        <v>8</v>
      </c>
      <c r="LA776" s="27" t="s">
        <v>8</v>
      </c>
      <c r="LB776" s="27" t="s">
        <v>7</v>
      </c>
      <c r="LC776" s="27" t="s">
        <v>8</v>
      </c>
      <c r="LD776" s="27" t="s">
        <v>7</v>
      </c>
      <c r="LE776" s="27" t="s">
        <v>8</v>
      </c>
      <c r="LG776" s="27" t="s">
        <v>8</v>
      </c>
      <c r="LH776" s="27" t="s">
        <v>7</v>
      </c>
      <c r="MC776" s="27" t="s">
        <v>8</v>
      </c>
      <c r="MD776" s="27" t="s">
        <v>7</v>
      </c>
      <c r="ME776" s="27" t="s">
        <v>8</v>
      </c>
      <c r="MF776" s="27" t="s">
        <v>7</v>
      </c>
      <c r="MG776" s="27" t="s">
        <v>8</v>
      </c>
      <c r="MN776" s="27" t="s">
        <v>7</v>
      </c>
      <c r="MO776" s="27" t="s">
        <v>8</v>
      </c>
      <c r="MP776" s="27" t="s">
        <v>7</v>
      </c>
      <c r="NM776" s="27" t="s">
        <v>8</v>
      </c>
      <c r="NO776" s="27" t="s">
        <v>8</v>
      </c>
      <c r="NS776" s="27" t="s">
        <v>8</v>
      </c>
    </row>
    <row r="777" spans="1:389" x14ac:dyDescent="0.25">
      <c r="A777" s="7">
        <v>2.3225622624333527E-2</v>
      </c>
      <c r="B777"/>
      <c r="C777"/>
      <c r="D777"/>
      <c r="E777"/>
      <c r="F777" s="27" t="s">
        <v>7</v>
      </c>
      <c r="HQ777" s="27" t="s">
        <v>8</v>
      </c>
      <c r="HR777" s="27" t="s">
        <v>7</v>
      </c>
      <c r="IG777" s="27" t="s">
        <v>8</v>
      </c>
      <c r="IX777" s="27" t="s">
        <v>7</v>
      </c>
      <c r="IY777" s="27" t="s">
        <v>8</v>
      </c>
      <c r="KT777" s="27" t="s">
        <v>7</v>
      </c>
      <c r="KU777" s="27" t="s">
        <v>8</v>
      </c>
      <c r="KV777" s="27" t="s">
        <v>7</v>
      </c>
      <c r="KY777" s="27" t="s">
        <v>8</v>
      </c>
      <c r="KZ777" s="27" t="s">
        <v>7</v>
      </c>
      <c r="LA777" s="27" t="s">
        <v>8</v>
      </c>
      <c r="LB777" s="27" t="s">
        <v>7</v>
      </c>
      <c r="LC777" s="27" t="s">
        <v>8</v>
      </c>
      <c r="LD777" s="27" t="s">
        <v>7</v>
      </c>
      <c r="LE777" s="27" t="s">
        <v>8</v>
      </c>
      <c r="LF777" s="27" t="s">
        <v>7</v>
      </c>
      <c r="LG777" s="27" t="s">
        <v>8</v>
      </c>
      <c r="LH777" s="27" t="s">
        <v>7</v>
      </c>
      <c r="MC777" s="27" t="s">
        <v>8</v>
      </c>
      <c r="MD777" s="27" t="s">
        <v>7</v>
      </c>
      <c r="ME777" s="27" t="s">
        <v>8</v>
      </c>
      <c r="MF777" s="27" t="s">
        <v>7</v>
      </c>
      <c r="MN777" s="27" t="s">
        <v>7</v>
      </c>
      <c r="MO777" s="27" t="s">
        <v>8</v>
      </c>
      <c r="MP777" s="27" t="s">
        <v>7</v>
      </c>
      <c r="NM777" s="27" t="s">
        <v>8</v>
      </c>
      <c r="NN777" s="27" t="s">
        <v>7</v>
      </c>
      <c r="NO777" s="27" t="s">
        <v>8</v>
      </c>
      <c r="NP777" s="27" t="s">
        <v>7</v>
      </c>
      <c r="NS777" s="27" t="s">
        <v>8</v>
      </c>
      <c r="NT777" s="27" t="s">
        <v>7</v>
      </c>
      <c r="NU777" s="27" t="s">
        <v>8</v>
      </c>
    </row>
    <row r="778" spans="1:389" x14ac:dyDescent="0.25">
      <c r="A778" s="7">
        <v>2.2770218259150519E-2</v>
      </c>
      <c r="B778"/>
      <c r="C778"/>
      <c r="D778"/>
      <c r="E778"/>
      <c r="F778" s="27" t="s">
        <v>7</v>
      </c>
      <c r="HQ778" s="27" t="s">
        <v>8</v>
      </c>
      <c r="HR778" s="27" t="s">
        <v>7</v>
      </c>
      <c r="IG778" s="27" t="s">
        <v>8</v>
      </c>
      <c r="IX778" s="27" t="s">
        <v>7</v>
      </c>
      <c r="IY778" s="27" t="s">
        <v>8</v>
      </c>
      <c r="KT778" s="27" t="s">
        <v>7</v>
      </c>
      <c r="KU778" s="27" t="s">
        <v>8</v>
      </c>
      <c r="KV778" s="27" t="s">
        <v>7</v>
      </c>
      <c r="KW778" s="27" t="s">
        <v>8</v>
      </c>
      <c r="KY778" s="27" t="s">
        <v>8</v>
      </c>
      <c r="KZ778" s="27" t="s">
        <v>7</v>
      </c>
      <c r="LA778" s="27" t="s">
        <v>8</v>
      </c>
      <c r="LB778" s="27" t="s">
        <v>7</v>
      </c>
      <c r="LC778" s="27" t="s">
        <v>8</v>
      </c>
      <c r="LD778" s="27" t="s">
        <v>7</v>
      </c>
      <c r="LE778" s="27" t="s">
        <v>8</v>
      </c>
      <c r="LF778" s="27" t="s">
        <v>7</v>
      </c>
      <c r="LG778" s="27" t="s">
        <v>8</v>
      </c>
      <c r="LH778" s="27" t="s">
        <v>7</v>
      </c>
      <c r="LW778" s="27" t="s">
        <v>8</v>
      </c>
      <c r="MC778" s="27" t="s">
        <v>8</v>
      </c>
      <c r="MD778" s="27" t="s">
        <v>7</v>
      </c>
      <c r="ME778" s="27" t="s">
        <v>8</v>
      </c>
      <c r="MN778" s="27" t="s">
        <v>7</v>
      </c>
      <c r="MO778" s="27" t="s">
        <v>8</v>
      </c>
      <c r="MP778" s="27" t="s">
        <v>7</v>
      </c>
      <c r="MQ778" s="27" t="s">
        <v>8</v>
      </c>
      <c r="NC778" s="27" t="s">
        <v>8</v>
      </c>
      <c r="NG778" s="27" t="s">
        <v>8</v>
      </c>
      <c r="NM778" s="27" t="s">
        <v>8</v>
      </c>
      <c r="NN778" s="27" t="s">
        <v>7</v>
      </c>
      <c r="NO778" s="27" t="s">
        <v>8</v>
      </c>
      <c r="NP778" s="27" t="s">
        <v>7</v>
      </c>
      <c r="NS778" s="27" t="s">
        <v>8</v>
      </c>
      <c r="NT778" s="27" t="s">
        <v>7</v>
      </c>
      <c r="NU778" s="27" t="s">
        <v>8</v>
      </c>
      <c r="NV778" s="27" t="s">
        <v>7</v>
      </c>
    </row>
    <row r="779" spans="1:389" x14ac:dyDescent="0.25">
      <c r="A779" s="7">
        <v>2.2323743391324039E-2</v>
      </c>
      <c r="B779"/>
      <c r="C779"/>
      <c r="D779"/>
      <c r="E779"/>
      <c r="F779" s="27" t="s">
        <v>7</v>
      </c>
      <c r="HQ779" s="27" t="s">
        <v>8</v>
      </c>
      <c r="HR779" s="27" t="s">
        <v>7</v>
      </c>
      <c r="IG779" s="27" t="s">
        <v>8</v>
      </c>
      <c r="IX779" s="27" t="s">
        <v>7</v>
      </c>
      <c r="KT779" s="27" t="s">
        <v>7</v>
      </c>
      <c r="KV779" s="27" t="s">
        <v>7</v>
      </c>
      <c r="KW779" s="27" t="s">
        <v>8</v>
      </c>
      <c r="KX779" s="27" t="s">
        <v>7</v>
      </c>
      <c r="KY779" s="27" t="s">
        <v>8</v>
      </c>
      <c r="KZ779" s="27" t="s">
        <v>7</v>
      </c>
      <c r="LA779" s="27" t="s">
        <v>8</v>
      </c>
      <c r="LB779" s="27" t="s">
        <v>7</v>
      </c>
      <c r="LC779" s="27" t="s">
        <v>8</v>
      </c>
      <c r="LD779" s="27" t="s">
        <v>7</v>
      </c>
      <c r="LE779" s="27" t="s">
        <v>8</v>
      </c>
      <c r="LF779" s="27" t="s">
        <v>7</v>
      </c>
      <c r="LG779" s="27" t="s">
        <v>8</v>
      </c>
      <c r="LH779" s="27" t="s">
        <v>7</v>
      </c>
      <c r="LI779" s="27" t="s">
        <v>8</v>
      </c>
      <c r="LW779" s="27" t="s">
        <v>8</v>
      </c>
      <c r="LX779" s="27" t="s">
        <v>7</v>
      </c>
      <c r="MC779" s="27" t="s">
        <v>8</v>
      </c>
      <c r="MD779" s="27" t="s">
        <v>7</v>
      </c>
      <c r="ME779" s="27" t="s">
        <v>8</v>
      </c>
      <c r="MN779" s="27" t="s">
        <v>7</v>
      </c>
      <c r="MP779" s="27" t="s">
        <v>7</v>
      </c>
      <c r="MQ779" s="27" t="s">
        <v>8</v>
      </c>
      <c r="MR779" s="27" t="s">
        <v>7</v>
      </c>
      <c r="NC779" s="27" t="s">
        <v>8</v>
      </c>
      <c r="ND779" s="27" t="s">
        <v>7</v>
      </c>
      <c r="NG779" s="27" t="s">
        <v>8</v>
      </c>
      <c r="NH779" s="27" t="s">
        <v>7</v>
      </c>
      <c r="NM779" s="27" t="s">
        <v>8</v>
      </c>
      <c r="NN779" s="27" t="s">
        <v>7</v>
      </c>
      <c r="NO779" s="27" t="s">
        <v>8</v>
      </c>
      <c r="NP779" s="27" t="s">
        <v>7</v>
      </c>
      <c r="NS779" s="27" t="s">
        <v>8</v>
      </c>
      <c r="NT779" s="27" t="s">
        <v>7</v>
      </c>
      <c r="NU779" s="27" t="s">
        <v>8</v>
      </c>
      <c r="NV779" s="27" t="s">
        <v>7</v>
      </c>
    </row>
    <row r="780" spans="1:389" x14ac:dyDescent="0.25">
      <c r="A780" s="7">
        <v>2.188602293267063E-2</v>
      </c>
      <c r="B780"/>
      <c r="C780"/>
      <c r="D780"/>
      <c r="E780"/>
      <c r="F780" s="27" t="s">
        <v>7</v>
      </c>
      <c r="HQ780" s="27" t="s">
        <v>8</v>
      </c>
      <c r="HR780" s="27" t="s">
        <v>7</v>
      </c>
      <c r="IG780" s="27" t="s">
        <v>8</v>
      </c>
      <c r="KV780" s="27" t="s">
        <v>7</v>
      </c>
      <c r="KW780" s="27" t="s">
        <v>8</v>
      </c>
      <c r="KX780" s="27" t="s">
        <v>7</v>
      </c>
      <c r="KY780" s="27" t="s">
        <v>8</v>
      </c>
      <c r="KZ780" s="27" t="s">
        <v>7</v>
      </c>
      <c r="LA780" s="27" t="s">
        <v>8</v>
      </c>
      <c r="LB780" s="27" t="s">
        <v>7</v>
      </c>
      <c r="LC780" s="27" t="s">
        <v>8</v>
      </c>
      <c r="LD780" s="27" t="s">
        <v>7</v>
      </c>
      <c r="LE780" s="27" t="s">
        <v>8</v>
      </c>
      <c r="LF780" s="27" t="s">
        <v>7</v>
      </c>
      <c r="LG780" s="27" t="s">
        <v>8</v>
      </c>
      <c r="LH780" s="27" t="s">
        <v>7</v>
      </c>
      <c r="LI780" s="27" t="s">
        <v>8</v>
      </c>
      <c r="LJ780" s="27" t="s">
        <v>7</v>
      </c>
      <c r="LW780" s="27" t="s">
        <v>8</v>
      </c>
      <c r="LX780" s="27" t="s">
        <v>7</v>
      </c>
      <c r="MC780" s="27" t="s">
        <v>8</v>
      </c>
      <c r="MD780" s="27" t="s">
        <v>7</v>
      </c>
      <c r="MP780" s="27" t="s">
        <v>7</v>
      </c>
      <c r="MQ780" s="27" t="s">
        <v>8</v>
      </c>
      <c r="MR780" s="27" t="s">
        <v>7</v>
      </c>
      <c r="NC780" s="27" t="s">
        <v>8</v>
      </c>
      <c r="ND780" s="27" t="s">
        <v>7</v>
      </c>
      <c r="NG780" s="27" t="s">
        <v>8</v>
      </c>
      <c r="NH780" s="27" t="s">
        <v>7</v>
      </c>
      <c r="NK780" s="27" t="s">
        <v>8</v>
      </c>
      <c r="NM780" s="27" t="s">
        <v>8</v>
      </c>
      <c r="NN780" s="27" t="s">
        <v>7</v>
      </c>
      <c r="NP780" s="27" t="s">
        <v>7</v>
      </c>
      <c r="NS780" s="27" t="s">
        <v>8</v>
      </c>
      <c r="NT780" s="27" t="s">
        <v>7</v>
      </c>
      <c r="NU780" s="27" t="s">
        <v>8</v>
      </c>
      <c r="NV780" s="27" t="s">
        <v>7</v>
      </c>
    </row>
    <row r="781" spans="1:389" x14ac:dyDescent="0.25">
      <c r="A781" s="7">
        <v>2.1456885228108461E-2</v>
      </c>
      <c r="B781"/>
      <c r="C781"/>
      <c r="D781"/>
      <c r="E781"/>
      <c r="F781" s="27" t="s">
        <v>7</v>
      </c>
      <c r="HQ781" s="27" t="s">
        <v>8</v>
      </c>
      <c r="HR781" s="27" t="s">
        <v>7</v>
      </c>
      <c r="IG781" s="27" t="s">
        <v>8</v>
      </c>
      <c r="KV781" s="27" t="s">
        <v>7</v>
      </c>
      <c r="KX781" s="27" t="s">
        <v>7</v>
      </c>
      <c r="KY781" s="27" t="s">
        <v>8</v>
      </c>
      <c r="KZ781" s="27" t="s">
        <v>7</v>
      </c>
      <c r="LA781" s="27" t="s">
        <v>8</v>
      </c>
      <c r="LB781" s="27" t="s">
        <v>7</v>
      </c>
      <c r="LD781" s="27" t="s">
        <v>7</v>
      </c>
      <c r="LE781" s="27" t="s">
        <v>8</v>
      </c>
      <c r="LF781" s="27" t="s">
        <v>7</v>
      </c>
      <c r="LG781" s="27" t="s">
        <v>8</v>
      </c>
      <c r="LH781" s="27" t="s">
        <v>7</v>
      </c>
      <c r="LI781" s="27" t="s">
        <v>8</v>
      </c>
      <c r="LJ781" s="27" t="s">
        <v>7</v>
      </c>
      <c r="LW781" s="27" t="s">
        <v>8</v>
      </c>
      <c r="LX781" s="27" t="s">
        <v>7</v>
      </c>
      <c r="MC781" s="27" t="s">
        <v>8</v>
      </c>
      <c r="MP781" s="27" t="s">
        <v>7</v>
      </c>
      <c r="MQ781" s="27" t="s">
        <v>8</v>
      </c>
      <c r="MR781" s="27" t="s">
        <v>7</v>
      </c>
      <c r="MS781" s="27" t="s">
        <v>8</v>
      </c>
      <c r="NC781" s="27" t="s">
        <v>8</v>
      </c>
      <c r="ND781" s="27" t="s">
        <v>7</v>
      </c>
      <c r="NE781" s="27" t="s">
        <v>8</v>
      </c>
      <c r="NG781" s="27" t="s">
        <v>8</v>
      </c>
      <c r="NH781" s="27" t="s">
        <v>7</v>
      </c>
      <c r="NK781" s="27" t="s">
        <v>8</v>
      </c>
      <c r="NL781" s="27" t="s">
        <v>7</v>
      </c>
      <c r="NM781" s="27" t="s">
        <v>8</v>
      </c>
      <c r="NP781" s="27" t="s">
        <v>7</v>
      </c>
      <c r="NS781" s="27" t="s">
        <v>8</v>
      </c>
      <c r="NT781" s="27" t="s">
        <v>7</v>
      </c>
      <c r="NU781" s="27" t="s">
        <v>8</v>
      </c>
      <c r="NV781" s="27" t="s">
        <v>7</v>
      </c>
    </row>
    <row r="782" spans="1:389" x14ac:dyDescent="0.25">
      <c r="A782" s="7">
        <v>2.1036161988341632E-2</v>
      </c>
      <c r="B782"/>
      <c r="C782"/>
      <c r="D782"/>
      <c r="E782"/>
      <c r="F782" s="27" t="s">
        <v>7</v>
      </c>
      <c r="HQ782" s="27" t="s">
        <v>8</v>
      </c>
      <c r="HR782" s="27" t="s">
        <v>7</v>
      </c>
      <c r="IG782" s="27" t="s">
        <v>8</v>
      </c>
      <c r="KX782" s="27" t="s">
        <v>7</v>
      </c>
      <c r="KY782" s="27" t="s">
        <v>8</v>
      </c>
      <c r="KZ782" s="27" t="s">
        <v>7</v>
      </c>
      <c r="LA782" s="27" t="s">
        <v>8</v>
      </c>
      <c r="LD782" s="27" t="s">
        <v>7</v>
      </c>
      <c r="LF782" s="27" t="s">
        <v>7</v>
      </c>
      <c r="LG782" s="27" t="s">
        <v>8</v>
      </c>
      <c r="LH782" s="27" t="s">
        <v>7</v>
      </c>
      <c r="LI782" s="27" t="s">
        <v>8</v>
      </c>
      <c r="LJ782" s="27" t="s">
        <v>7</v>
      </c>
      <c r="LW782" s="27" t="s">
        <v>8</v>
      </c>
      <c r="LX782" s="27" t="s">
        <v>7</v>
      </c>
      <c r="MA782" s="27" t="s">
        <v>8</v>
      </c>
      <c r="MC782" s="27" t="s">
        <v>8</v>
      </c>
      <c r="MP782" s="27" t="s">
        <v>7</v>
      </c>
      <c r="MQ782" s="27" t="s">
        <v>8</v>
      </c>
      <c r="MR782" s="27" t="s">
        <v>7</v>
      </c>
      <c r="MS782" s="27" t="s">
        <v>8</v>
      </c>
      <c r="MT782" s="27" t="s">
        <v>7</v>
      </c>
      <c r="NC782" s="27" t="s">
        <v>8</v>
      </c>
      <c r="ND782" s="27" t="s">
        <v>7</v>
      </c>
      <c r="NE782" s="27" t="s">
        <v>8</v>
      </c>
      <c r="NF782" s="27" t="s">
        <v>7</v>
      </c>
      <c r="NG782" s="27" t="s">
        <v>8</v>
      </c>
      <c r="NH782" s="27" t="s">
        <v>7</v>
      </c>
      <c r="NK782" s="27" t="s">
        <v>8</v>
      </c>
      <c r="NL782" s="27" t="s">
        <v>7</v>
      </c>
      <c r="NM782" s="27" t="s">
        <v>8</v>
      </c>
      <c r="NP782" s="27" t="s">
        <v>7</v>
      </c>
      <c r="NS782" s="27" t="s">
        <v>8</v>
      </c>
      <c r="NT782" s="27" t="s">
        <v>7</v>
      </c>
      <c r="NU782" s="27" t="s">
        <v>8</v>
      </c>
      <c r="NV782" s="27" t="s">
        <v>7</v>
      </c>
    </row>
    <row r="783" spans="1:389" x14ac:dyDescent="0.25">
      <c r="A783" s="7">
        <v>2.0623688223864345E-2</v>
      </c>
      <c r="B783"/>
      <c r="C783"/>
      <c r="D783"/>
      <c r="E783"/>
      <c r="F783" s="27" t="s">
        <v>7</v>
      </c>
      <c r="HQ783" s="27" t="s">
        <v>8</v>
      </c>
      <c r="HR783" s="27" t="s">
        <v>7</v>
      </c>
      <c r="IG783" s="27" t="s">
        <v>8</v>
      </c>
      <c r="KX783" s="27" t="s">
        <v>7</v>
      </c>
      <c r="KY783" s="27" t="s">
        <v>8</v>
      </c>
      <c r="KZ783" s="27" t="s">
        <v>7</v>
      </c>
      <c r="LF783" s="27" t="s">
        <v>7</v>
      </c>
      <c r="LG783" s="27" t="s">
        <v>8</v>
      </c>
      <c r="LH783" s="27" t="s">
        <v>7</v>
      </c>
      <c r="LI783" s="27" t="s">
        <v>8</v>
      </c>
      <c r="LJ783" s="27" t="s">
        <v>7</v>
      </c>
      <c r="LW783" s="27" t="s">
        <v>8</v>
      </c>
      <c r="LX783" s="27" t="s">
        <v>7</v>
      </c>
      <c r="MA783" s="27" t="s">
        <v>8</v>
      </c>
      <c r="MB783" s="27" t="s">
        <v>7</v>
      </c>
      <c r="MC783" s="27" t="s">
        <v>8</v>
      </c>
      <c r="MP783" s="27" t="s">
        <v>7</v>
      </c>
      <c r="MQ783" s="27" t="s">
        <v>8</v>
      </c>
      <c r="MR783" s="27" t="s">
        <v>7</v>
      </c>
      <c r="MS783" s="27" t="s">
        <v>8</v>
      </c>
      <c r="MT783" s="27" t="s">
        <v>7</v>
      </c>
      <c r="NC783" s="27" t="s">
        <v>8</v>
      </c>
      <c r="ND783" s="27" t="s">
        <v>7</v>
      </c>
      <c r="NE783" s="27" t="s">
        <v>8</v>
      </c>
      <c r="NF783" s="27" t="s">
        <v>7</v>
      </c>
      <c r="NG783" s="27" t="s">
        <v>8</v>
      </c>
      <c r="NH783" s="27" t="s">
        <v>7</v>
      </c>
      <c r="NI783" s="27" t="s">
        <v>8</v>
      </c>
      <c r="NK783" s="27" t="s">
        <v>8</v>
      </c>
      <c r="NL783" s="27" t="s">
        <v>7</v>
      </c>
      <c r="NM783" s="27" t="s">
        <v>8</v>
      </c>
      <c r="NP783" s="27" t="s">
        <v>7</v>
      </c>
      <c r="NS783" s="27" t="s">
        <v>8</v>
      </c>
      <c r="NT783" s="27" t="s">
        <v>7</v>
      </c>
      <c r="NV783" s="27" t="s">
        <v>7</v>
      </c>
    </row>
    <row r="784" spans="1:389" x14ac:dyDescent="0.25">
      <c r="A784" s="7">
        <v>2.021930218025916E-2</v>
      </c>
      <c r="B784"/>
      <c r="C784"/>
      <c r="D784"/>
      <c r="E784"/>
      <c r="F784" s="27" t="s">
        <v>7</v>
      </c>
      <c r="HQ784" s="27" t="s">
        <v>8</v>
      </c>
      <c r="HR784" s="27" t="s">
        <v>7</v>
      </c>
      <c r="IG784" s="27" t="s">
        <v>8</v>
      </c>
      <c r="KX784" s="27" t="s">
        <v>7</v>
      </c>
      <c r="KY784" s="27" t="s">
        <v>8</v>
      </c>
      <c r="LF784" s="27" t="s">
        <v>7</v>
      </c>
      <c r="LG784" s="27" t="s">
        <v>8</v>
      </c>
      <c r="LH784" s="27" t="s">
        <v>7</v>
      </c>
      <c r="LI784" s="27" t="s">
        <v>8</v>
      </c>
      <c r="LJ784" s="27" t="s">
        <v>7</v>
      </c>
      <c r="LW784" s="27" t="s">
        <v>8</v>
      </c>
      <c r="LX784" s="27" t="s">
        <v>7</v>
      </c>
      <c r="LY784" s="27" t="s">
        <v>8</v>
      </c>
      <c r="MA784" s="27" t="s">
        <v>8</v>
      </c>
      <c r="MB784" s="27" t="s">
        <v>7</v>
      </c>
      <c r="MC784" s="27" t="s">
        <v>8</v>
      </c>
      <c r="MP784" s="27" t="s">
        <v>7</v>
      </c>
      <c r="MQ784" s="27" t="s">
        <v>8</v>
      </c>
      <c r="MR784" s="27" t="s">
        <v>7</v>
      </c>
      <c r="MS784" s="27" t="s">
        <v>8</v>
      </c>
      <c r="MT784" s="27" t="s">
        <v>7</v>
      </c>
      <c r="NA784" s="27" t="s">
        <v>8</v>
      </c>
      <c r="NC784" s="27" t="s">
        <v>8</v>
      </c>
      <c r="ND784" s="27" t="s">
        <v>7</v>
      </c>
      <c r="NE784" s="27" t="s">
        <v>8</v>
      </c>
      <c r="NF784" s="27" t="s">
        <v>7</v>
      </c>
      <c r="NG784" s="27" t="s">
        <v>8</v>
      </c>
      <c r="NH784" s="27" t="s">
        <v>7</v>
      </c>
      <c r="NI784" s="27" t="s">
        <v>8</v>
      </c>
      <c r="NJ784" s="27" t="s">
        <v>7</v>
      </c>
      <c r="NK784" s="27" t="s">
        <v>8</v>
      </c>
      <c r="NL784" s="27" t="s">
        <v>7</v>
      </c>
      <c r="NM784" s="27" t="s">
        <v>8</v>
      </c>
      <c r="NP784" s="27" t="s">
        <v>7</v>
      </c>
      <c r="NQ784" s="27" t="s">
        <v>8</v>
      </c>
      <c r="NS784" s="27" t="s">
        <v>8</v>
      </c>
      <c r="NV784" s="27" t="s">
        <v>7</v>
      </c>
      <c r="NY784" s="27" t="s">
        <v>8</v>
      </c>
    </row>
    <row r="785" spans="1:408" x14ac:dyDescent="0.25">
      <c r="A785" s="7">
        <v>1.9822845274763884E-2</v>
      </c>
      <c r="B785"/>
      <c r="C785"/>
      <c r="D785"/>
      <c r="E785"/>
      <c r="F785" s="27" t="s">
        <v>7</v>
      </c>
      <c r="HQ785" s="27" t="s">
        <v>8</v>
      </c>
      <c r="HR785" s="27" t="s">
        <v>7</v>
      </c>
      <c r="IG785" s="27" t="s">
        <v>8</v>
      </c>
      <c r="KX785" s="27" t="s">
        <v>7</v>
      </c>
      <c r="KY785" s="27" t="s">
        <v>8</v>
      </c>
      <c r="LF785" s="27" t="s">
        <v>7</v>
      </c>
      <c r="LG785" s="27" t="s">
        <v>8</v>
      </c>
      <c r="LH785" s="27" t="s">
        <v>7</v>
      </c>
      <c r="LJ785" s="27" t="s">
        <v>7</v>
      </c>
      <c r="LW785" s="27" t="s">
        <v>8</v>
      </c>
      <c r="LX785" s="27" t="s">
        <v>7</v>
      </c>
      <c r="LY785" s="27" t="s">
        <v>8</v>
      </c>
      <c r="LZ785" s="27" t="s">
        <v>7</v>
      </c>
      <c r="MA785" s="27" t="s">
        <v>8</v>
      </c>
      <c r="MB785" s="27" t="s">
        <v>7</v>
      </c>
      <c r="MP785" s="27" t="s">
        <v>7</v>
      </c>
      <c r="MR785" s="27" t="s">
        <v>7</v>
      </c>
      <c r="MS785" s="27" t="s">
        <v>8</v>
      </c>
      <c r="MT785" s="27" t="s">
        <v>7</v>
      </c>
      <c r="MY785" s="27" t="s">
        <v>8</v>
      </c>
      <c r="NA785" s="27" t="s">
        <v>8</v>
      </c>
      <c r="NB785" s="27" t="s">
        <v>7</v>
      </c>
      <c r="NC785" s="27" t="s">
        <v>8</v>
      </c>
      <c r="ND785" s="27" t="s">
        <v>7</v>
      </c>
      <c r="NE785" s="27" t="s">
        <v>8</v>
      </c>
      <c r="NF785" s="27" t="s">
        <v>7</v>
      </c>
      <c r="NH785" s="27" t="s">
        <v>7</v>
      </c>
      <c r="NI785" s="27" t="s">
        <v>8</v>
      </c>
      <c r="NJ785" s="27" t="s">
        <v>7</v>
      </c>
      <c r="NK785" s="27" t="s">
        <v>8</v>
      </c>
      <c r="NL785" s="27" t="s">
        <v>7</v>
      </c>
      <c r="NM785" s="27" t="s">
        <v>8</v>
      </c>
      <c r="NP785" s="27" t="s">
        <v>7</v>
      </c>
      <c r="NQ785" s="27" t="s">
        <v>8</v>
      </c>
      <c r="NR785" s="27" t="s">
        <v>7</v>
      </c>
      <c r="NS785" s="27" t="s">
        <v>8</v>
      </c>
      <c r="NV785" s="27" t="s">
        <v>7</v>
      </c>
      <c r="NW785" s="27" t="s">
        <v>8</v>
      </c>
      <c r="NY785" s="27" t="s">
        <v>8</v>
      </c>
      <c r="NZ785" s="27" t="s">
        <v>7</v>
      </c>
    </row>
    <row r="786" spans="1:408" x14ac:dyDescent="0.25">
      <c r="A786" s="7">
        <v>1.9434162034082238E-2</v>
      </c>
      <c r="B786"/>
      <c r="C786"/>
      <c r="D786"/>
      <c r="E786"/>
      <c r="F786" s="27" t="s">
        <v>7</v>
      </c>
      <c r="HQ786" s="27" t="s">
        <v>8</v>
      </c>
      <c r="HR786" s="27" t="s">
        <v>7</v>
      </c>
      <c r="IA786" s="27" t="s">
        <v>8</v>
      </c>
      <c r="IE786" s="27" t="s">
        <v>8</v>
      </c>
      <c r="IG786" s="27" t="s">
        <v>8</v>
      </c>
      <c r="KX786" s="27" t="s">
        <v>7</v>
      </c>
      <c r="KY786" s="27" t="s">
        <v>8</v>
      </c>
      <c r="LF786" s="27" t="s">
        <v>7</v>
      </c>
      <c r="LG786" s="27" t="s">
        <v>8</v>
      </c>
      <c r="LJ786" s="27" t="s">
        <v>7</v>
      </c>
      <c r="LW786" s="27" t="s">
        <v>8</v>
      </c>
      <c r="LX786" s="27" t="s">
        <v>7</v>
      </c>
      <c r="LY786" s="27" t="s">
        <v>8</v>
      </c>
      <c r="LZ786" s="27" t="s">
        <v>7</v>
      </c>
      <c r="MA786" s="27" t="s">
        <v>8</v>
      </c>
      <c r="MR786" s="27" t="s">
        <v>7</v>
      </c>
      <c r="MS786" s="27" t="s">
        <v>8</v>
      </c>
      <c r="MT786" s="27" t="s">
        <v>7</v>
      </c>
      <c r="MY786" s="27" t="s">
        <v>8</v>
      </c>
      <c r="MZ786" s="27" t="s">
        <v>7</v>
      </c>
      <c r="NA786" s="27" t="s">
        <v>8</v>
      </c>
      <c r="NB786" s="27" t="s">
        <v>7</v>
      </c>
      <c r="NC786" s="27" t="s">
        <v>8</v>
      </c>
      <c r="ND786" s="27" t="s">
        <v>7</v>
      </c>
      <c r="NH786" s="27" t="s">
        <v>7</v>
      </c>
      <c r="NI786" s="27" t="s">
        <v>8</v>
      </c>
      <c r="NJ786" s="27" t="s">
        <v>7</v>
      </c>
      <c r="NL786" s="27" t="s">
        <v>7</v>
      </c>
      <c r="NP786" s="27" t="s">
        <v>7</v>
      </c>
      <c r="NQ786" s="27" t="s">
        <v>8</v>
      </c>
      <c r="NR786" s="27" t="s">
        <v>7</v>
      </c>
      <c r="NS786" s="27" t="s">
        <v>8</v>
      </c>
      <c r="NV786" s="27" t="s">
        <v>7</v>
      </c>
      <c r="NW786" s="27" t="s">
        <v>8</v>
      </c>
      <c r="NX786" s="27" t="s">
        <v>7</v>
      </c>
      <c r="NY786" s="27" t="s">
        <v>8</v>
      </c>
      <c r="NZ786" s="27" t="s">
        <v>7</v>
      </c>
    </row>
    <row r="787" spans="1:408" x14ac:dyDescent="0.25">
      <c r="A787" s="7">
        <v>1.9053100033413959E-2</v>
      </c>
      <c r="B787"/>
      <c r="C787"/>
      <c r="D787"/>
      <c r="E787"/>
      <c r="F787" s="27" t="s">
        <v>7</v>
      </c>
      <c r="HQ787" s="27" t="s">
        <v>8</v>
      </c>
      <c r="HR787" s="27" t="s">
        <v>7</v>
      </c>
      <c r="IA787" s="27" t="s">
        <v>8</v>
      </c>
      <c r="IB787" s="27" t="s">
        <v>7</v>
      </c>
      <c r="IE787" s="27" t="s">
        <v>8</v>
      </c>
      <c r="IF787" s="27" t="s">
        <v>7</v>
      </c>
      <c r="IG787" s="27" t="s">
        <v>8</v>
      </c>
      <c r="KX787" s="27" t="s">
        <v>7</v>
      </c>
      <c r="KY787" s="27" t="s">
        <v>8</v>
      </c>
      <c r="LF787" s="27" t="s">
        <v>7</v>
      </c>
      <c r="LJ787" s="27" t="s">
        <v>7</v>
      </c>
      <c r="LW787" s="27" t="s">
        <v>8</v>
      </c>
      <c r="LX787" s="27" t="s">
        <v>7</v>
      </c>
      <c r="LY787" s="27" t="s">
        <v>8</v>
      </c>
      <c r="LZ787" s="27" t="s">
        <v>7</v>
      </c>
      <c r="MA787" s="27" t="s">
        <v>8</v>
      </c>
      <c r="MR787" s="27" t="s">
        <v>7</v>
      </c>
      <c r="MS787" s="27" t="s">
        <v>8</v>
      </c>
      <c r="MT787" s="27" t="s">
        <v>7</v>
      </c>
      <c r="MW787" s="27" t="s">
        <v>8</v>
      </c>
      <c r="MY787" s="27" t="s">
        <v>8</v>
      </c>
      <c r="MZ787" s="27" t="s">
        <v>7</v>
      </c>
      <c r="NA787" s="27" t="s">
        <v>8</v>
      </c>
      <c r="NB787" s="27" t="s">
        <v>7</v>
      </c>
      <c r="NH787" s="27" t="s">
        <v>7</v>
      </c>
      <c r="NI787" s="27" t="s">
        <v>8</v>
      </c>
      <c r="NP787" s="27" t="s">
        <v>7</v>
      </c>
      <c r="NR787" s="27" t="s">
        <v>7</v>
      </c>
      <c r="NS787" s="27" t="s">
        <v>8</v>
      </c>
      <c r="NV787" s="27" t="s">
        <v>7</v>
      </c>
      <c r="NW787" s="27" t="s">
        <v>8</v>
      </c>
      <c r="NX787" s="27" t="s">
        <v>7</v>
      </c>
      <c r="NY787" s="27" t="s">
        <v>8</v>
      </c>
      <c r="NZ787" s="27" t="s">
        <v>7</v>
      </c>
    </row>
    <row r="788" spans="1:408" x14ac:dyDescent="0.25">
      <c r="A788" s="7">
        <v>1.867950983668035E-2</v>
      </c>
      <c r="B788"/>
      <c r="C788"/>
      <c r="D788"/>
      <c r="E788"/>
      <c r="F788" s="27" t="s">
        <v>7</v>
      </c>
      <c r="HQ788" s="27" t="s">
        <v>8</v>
      </c>
      <c r="HR788" s="27" t="s">
        <v>7</v>
      </c>
      <c r="HY788" s="27" t="s">
        <v>8</v>
      </c>
      <c r="IA788" s="27" t="s">
        <v>8</v>
      </c>
      <c r="IB788" s="27" t="s">
        <v>7</v>
      </c>
      <c r="IE788" s="27" t="s">
        <v>8</v>
      </c>
      <c r="IF788" s="27" t="s">
        <v>7</v>
      </c>
      <c r="IG788" s="27" t="s">
        <v>8</v>
      </c>
      <c r="KX788" s="27" t="s">
        <v>7</v>
      </c>
      <c r="KY788" s="27" t="s">
        <v>8</v>
      </c>
      <c r="LJ788" s="27" t="s">
        <v>7</v>
      </c>
      <c r="LW788" s="27" t="s">
        <v>8</v>
      </c>
      <c r="LX788" s="27" t="s">
        <v>7</v>
      </c>
      <c r="LY788" s="27" t="s">
        <v>8</v>
      </c>
      <c r="LZ788" s="27" t="s">
        <v>7</v>
      </c>
      <c r="MR788" s="27" t="s">
        <v>7</v>
      </c>
      <c r="MS788" s="27" t="s">
        <v>8</v>
      </c>
      <c r="MT788" s="27" t="s">
        <v>7</v>
      </c>
      <c r="MU788" s="27" t="s">
        <v>8</v>
      </c>
      <c r="MW788" s="27" t="s">
        <v>8</v>
      </c>
      <c r="MX788" s="27" t="s">
        <v>7</v>
      </c>
      <c r="MY788" s="27" t="s">
        <v>8</v>
      </c>
      <c r="MZ788" s="27" t="s">
        <v>7</v>
      </c>
      <c r="NH788" s="27" t="s">
        <v>7</v>
      </c>
      <c r="NI788" s="27" t="s">
        <v>8</v>
      </c>
      <c r="NR788" s="27" t="s">
        <v>7</v>
      </c>
      <c r="NS788" s="27" t="s">
        <v>8</v>
      </c>
      <c r="NV788" s="27" t="s">
        <v>7</v>
      </c>
      <c r="NX788" s="27" t="s">
        <v>7</v>
      </c>
      <c r="NY788" s="27" t="s">
        <v>8</v>
      </c>
      <c r="NZ788" s="27" t="s">
        <v>7</v>
      </c>
    </row>
    <row r="789" spans="1:408" x14ac:dyDescent="0.25">
      <c r="A789" s="7">
        <v>1.8313244937921913E-2</v>
      </c>
      <c r="B789"/>
      <c r="C789"/>
      <c r="D789"/>
      <c r="E789"/>
      <c r="F789" s="27" t="s">
        <v>7</v>
      </c>
      <c r="HQ789" s="27" t="s">
        <v>8</v>
      </c>
      <c r="HR789" s="27" t="s">
        <v>7</v>
      </c>
      <c r="HY789" s="27" t="s">
        <v>8</v>
      </c>
      <c r="HZ789" s="27" t="s">
        <v>7</v>
      </c>
      <c r="IA789" s="27" t="s">
        <v>8</v>
      </c>
      <c r="IB789" s="27" t="s">
        <v>7</v>
      </c>
      <c r="IE789" s="27" t="s">
        <v>8</v>
      </c>
      <c r="IF789" s="27" t="s">
        <v>7</v>
      </c>
      <c r="IG789" s="27" t="s">
        <v>8</v>
      </c>
      <c r="KX789" s="27" t="s">
        <v>7</v>
      </c>
      <c r="LJ789" s="27" t="s">
        <v>7</v>
      </c>
      <c r="LW789" s="27" t="s">
        <v>8</v>
      </c>
      <c r="LX789" s="27" t="s">
        <v>7</v>
      </c>
      <c r="LY789" s="27" t="s">
        <v>8</v>
      </c>
      <c r="MR789" s="27" t="s">
        <v>7</v>
      </c>
      <c r="MS789" s="27" t="s">
        <v>8</v>
      </c>
      <c r="MT789" s="27" t="s">
        <v>7</v>
      </c>
      <c r="MU789" s="27" t="s">
        <v>8</v>
      </c>
      <c r="MV789" s="27" t="s">
        <v>7</v>
      </c>
      <c r="MW789" s="27" t="s">
        <v>8</v>
      </c>
      <c r="MX789" s="27" t="s">
        <v>7</v>
      </c>
      <c r="MY789" s="27" t="s">
        <v>8</v>
      </c>
      <c r="NH789" s="27" t="s">
        <v>7</v>
      </c>
      <c r="NR789" s="27" t="s">
        <v>7</v>
      </c>
      <c r="NS789" s="27" t="s">
        <v>8</v>
      </c>
      <c r="NX789" s="27" t="s">
        <v>7</v>
      </c>
      <c r="NY789" s="27" t="s">
        <v>8</v>
      </c>
      <c r="NZ789" s="27" t="s">
        <v>7</v>
      </c>
    </row>
    <row r="790" spans="1:408" x14ac:dyDescent="0.25">
      <c r="A790" s="7">
        <v>1.7954161703845013E-2</v>
      </c>
      <c r="B790"/>
      <c r="C790"/>
      <c r="D790"/>
      <c r="E790"/>
      <c r="F790" s="27" t="s">
        <v>7</v>
      </c>
      <c r="HQ790" s="27" t="s">
        <v>8</v>
      </c>
      <c r="HR790" s="27" t="s">
        <v>7</v>
      </c>
      <c r="HY790" s="27" t="s">
        <v>8</v>
      </c>
      <c r="HZ790" s="27" t="s">
        <v>7</v>
      </c>
      <c r="IA790" s="27" t="s">
        <v>8</v>
      </c>
      <c r="IB790" s="27" t="s">
        <v>7</v>
      </c>
      <c r="IE790" s="27" t="s">
        <v>8</v>
      </c>
      <c r="IF790" s="27" t="s">
        <v>7</v>
      </c>
      <c r="IG790" s="27" t="s">
        <v>8</v>
      </c>
      <c r="LJ790" s="27" t="s">
        <v>7</v>
      </c>
      <c r="LW790" s="27" t="s">
        <v>8</v>
      </c>
      <c r="LX790" s="27" t="s">
        <v>7</v>
      </c>
      <c r="LY790" s="27" t="s">
        <v>8</v>
      </c>
      <c r="MR790" s="27" t="s">
        <v>7</v>
      </c>
      <c r="MS790" s="27" t="s">
        <v>8</v>
      </c>
      <c r="MT790" s="27" t="s">
        <v>7</v>
      </c>
      <c r="MU790" s="27" t="s">
        <v>8</v>
      </c>
      <c r="MV790" s="27" t="s">
        <v>7</v>
      </c>
      <c r="MW790" s="27" t="s">
        <v>8</v>
      </c>
      <c r="MX790" s="27" t="s">
        <v>7</v>
      </c>
      <c r="NR790" s="27" t="s">
        <v>7</v>
      </c>
      <c r="NX790" s="27" t="s">
        <v>7</v>
      </c>
      <c r="NZ790" s="27" t="s">
        <v>7</v>
      </c>
    </row>
    <row r="791" spans="1:408" x14ac:dyDescent="0.25">
      <c r="A791" s="7">
        <v>1.7602119317495109E-2</v>
      </c>
      <c r="B791"/>
      <c r="C791"/>
      <c r="D791"/>
      <c r="E791"/>
      <c r="F791" s="27" t="s">
        <v>7</v>
      </c>
      <c r="HQ791" s="27" t="s">
        <v>8</v>
      </c>
      <c r="HR791" s="27" t="s">
        <v>7</v>
      </c>
      <c r="HY791" s="27" t="s">
        <v>8</v>
      </c>
      <c r="HZ791" s="27" t="s">
        <v>7</v>
      </c>
      <c r="IA791" s="27" t="s">
        <v>8</v>
      </c>
      <c r="IB791" s="27" t="s">
        <v>7</v>
      </c>
      <c r="IC791" s="27" t="s">
        <v>8</v>
      </c>
      <c r="IE791" s="27" t="s">
        <v>8</v>
      </c>
      <c r="IF791" s="27" t="s">
        <v>7</v>
      </c>
      <c r="IG791" s="27" t="s">
        <v>8</v>
      </c>
      <c r="LJ791" s="27" t="s">
        <v>7</v>
      </c>
      <c r="LK791" s="27" t="s">
        <v>8</v>
      </c>
      <c r="LM791" s="27" t="s">
        <v>8</v>
      </c>
      <c r="LW791" s="27" t="s">
        <v>8</v>
      </c>
      <c r="LX791" s="27" t="s">
        <v>7</v>
      </c>
      <c r="MR791" s="27" t="s">
        <v>7</v>
      </c>
      <c r="MT791" s="27" t="s">
        <v>7</v>
      </c>
      <c r="MU791" s="27" t="s">
        <v>8</v>
      </c>
      <c r="MV791" s="27" t="s">
        <v>7</v>
      </c>
      <c r="NZ791" s="27" t="s">
        <v>7</v>
      </c>
      <c r="OQ791" s="27" t="s">
        <v>8</v>
      </c>
    </row>
    <row r="792" spans="1:408" x14ac:dyDescent="0.25">
      <c r="A792" s="7">
        <v>1.7256979723034419E-2</v>
      </c>
      <c r="B792"/>
      <c r="C792"/>
      <c r="D792"/>
      <c r="E792"/>
      <c r="F792" s="27" t="s">
        <v>7</v>
      </c>
      <c r="HQ792" s="27" t="s">
        <v>8</v>
      </c>
      <c r="HR792" s="27" t="s">
        <v>7</v>
      </c>
      <c r="HY792" s="27" t="s">
        <v>8</v>
      </c>
      <c r="HZ792" s="27" t="s">
        <v>7</v>
      </c>
      <c r="IA792" s="27" t="s">
        <v>8</v>
      </c>
      <c r="IB792" s="27" t="s">
        <v>7</v>
      </c>
      <c r="IC792" s="27" t="s">
        <v>8</v>
      </c>
      <c r="ID792" s="27" t="s">
        <v>7</v>
      </c>
      <c r="IE792" s="27" t="s">
        <v>8</v>
      </c>
      <c r="IF792" s="27" t="s">
        <v>7</v>
      </c>
      <c r="IG792" s="27" t="s">
        <v>8</v>
      </c>
      <c r="LJ792" s="27" t="s">
        <v>7</v>
      </c>
      <c r="LK792" s="27" t="s">
        <v>8</v>
      </c>
      <c r="LL792" s="27" t="s">
        <v>7</v>
      </c>
      <c r="LM792" s="27" t="s">
        <v>8</v>
      </c>
      <c r="LN792" s="27" t="s">
        <v>7</v>
      </c>
      <c r="LW792" s="27" t="s">
        <v>8</v>
      </c>
      <c r="MT792" s="27" t="s">
        <v>7</v>
      </c>
      <c r="NZ792" s="27" t="s">
        <v>7</v>
      </c>
      <c r="OQ792" s="27" t="s">
        <v>8</v>
      </c>
      <c r="OR792" s="27" t="s">
        <v>7</v>
      </c>
    </row>
    <row r="793" spans="1:408" x14ac:dyDescent="0.25">
      <c r="A793" s="7">
        <v>1.6918607571602372E-2</v>
      </c>
      <c r="B793"/>
      <c r="C793"/>
      <c r="D793"/>
      <c r="E793"/>
      <c r="F793" s="27" t="s">
        <v>7</v>
      </c>
      <c r="HQ793" s="27" t="s">
        <v>8</v>
      </c>
      <c r="HR793" s="27" t="s">
        <v>7</v>
      </c>
      <c r="HY793" s="27" t="s">
        <v>8</v>
      </c>
      <c r="HZ793" s="27" t="s">
        <v>7</v>
      </c>
      <c r="IA793" s="27" t="s">
        <v>8</v>
      </c>
      <c r="IB793" s="27" t="s">
        <v>7</v>
      </c>
      <c r="IC793" s="27" t="s">
        <v>8</v>
      </c>
      <c r="ID793" s="27" t="s">
        <v>7</v>
      </c>
      <c r="IE793" s="27" t="s">
        <v>8</v>
      </c>
      <c r="IF793" s="27" t="s">
        <v>7</v>
      </c>
      <c r="IG793" s="27" t="s">
        <v>8</v>
      </c>
      <c r="LJ793" s="27" t="s">
        <v>7</v>
      </c>
      <c r="LK793" s="27" t="s">
        <v>8</v>
      </c>
      <c r="LL793" s="27" t="s">
        <v>7</v>
      </c>
      <c r="LM793" s="27" t="s">
        <v>8</v>
      </c>
      <c r="LN793" s="27" t="s">
        <v>7</v>
      </c>
      <c r="LW793" s="27" t="s">
        <v>8</v>
      </c>
      <c r="NZ793" s="27" t="s">
        <v>7</v>
      </c>
      <c r="OQ793" s="27" t="s">
        <v>8</v>
      </c>
      <c r="OR793" s="27" t="s">
        <v>7</v>
      </c>
    </row>
    <row r="794" spans="1:408" x14ac:dyDescent="0.25">
      <c r="A794" s="7">
        <v>1.6586870168237622E-2</v>
      </c>
      <c r="B794"/>
      <c r="C794"/>
      <c r="D794"/>
      <c r="E794"/>
      <c r="F794" s="27" t="s">
        <v>7</v>
      </c>
      <c r="HQ794" s="27" t="s">
        <v>8</v>
      </c>
      <c r="HR794" s="27" t="s">
        <v>7</v>
      </c>
      <c r="HY794" s="27" t="s">
        <v>8</v>
      </c>
      <c r="HZ794" s="27" t="s">
        <v>7</v>
      </c>
      <c r="IA794" s="27" t="s">
        <v>8</v>
      </c>
      <c r="IB794" s="27" t="s">
        <v>7</v>
      </c>
      <c r="IC794" s="27" t="s">
        <v>8</v>
      </c>
      <c r="ID794" s="27" t="s">
        <v>7</v>
      </c>
      <c r="IE794" s="27" t="s">
        <v>8</v>
      </c>
      <c r="IF794" s="27" t="s">
        <v>7</v>
      </c>
      <c r="IG794" s="27" t="s">
        <v>8</v>
      </c>
      <c r="LJ794" s="27" t="s">
        <v>7</v>
      </c>
      <c r="LK794" s="27" t="s">
        <v>8</v>
      </c>
      <c r="LL794" s="27" t="s">
        <v>7</v>
      </c>
      <c r="LM794" s="27" t="s">
        <v>8</v>
      </c>
      <c r="LN794" s="27" t="s">
        <v>7</v>
      </c>
      <c r="LO794" s="27" t="s">
        <v>8</v>
      </c>
      <c r="LS794" s="27" t="s">
        <v>8</v>
      </c>
      <c r="LU794" s="27" t="s">
        <v>8</v>
      </c>
      <c r="LW794" s="27" t="s">
        <v>8</v>
      </c>
      <c r="NZ794" s="27" t="s">
        <v>7</v>
      </c>
      <c r="OQ794" s="27" t="s">
        <v>8</v>
      </c>
      <c r="OR794" s="27" t="s">
        <v>7</v>
      </c>
    </row>
    <row r="795" spans="1:408" x14ac:dyDescent="0.25">
      <c r="A795" s="7">
        <v>1.6261637419840807E-2</v>
      </c>
      <c r="B795"/>
      <c r="C795"/>
      <c r="D795"/>
      <c r="E795"/>
      <c r="F795" s="27" t="s">
        <v>7</v>
      </c>
      <c r="HQ795" s="27" t="s">
        <v>8</v>
      </c>
      <c r="HR795" s="27" t="s">
        <v>7</v>
      </c>
      <c r="HY795" s="27" t="s">
        <v>8</v>
      </c>
      <c r="HZ795" s="27" t="s">
        <v>7</v>
      </c>
      <c r="IA795" s="27" t="s">
        <v>8</v>
      </c>
      <c r="IB795" s="27" t="s">
        <v>7</v>
      </c>
      <c r="IC795" s="27" t="s">
        <v>8</v>
      </c>
      <c r="ID795" s="27" t="s">
        <v>7</v>
      </c>
      <c r="IE795" s="27" t="s">
        <v>8</v>
      </c>
      <c r="IF795" s="27" t="s">
        <v>7</v>
      </c>
      <c r="LJ795" s="27" t="s">
        <v>7</v>
      </c>
      <c r="LK795" s="27" t="s">
        <v>8</v>
      </c>
      <c r="LL795" s="27" t="s">
        <v>7</v>
      </c>
      <c r="LM795" s="27" t="s">
        <v>8</v>
      </c>
      <c r="LN795" s="27" t="s">
        <v>7</v>
      </c>
      <c r="LO795" s="27" t="s">
        <v>8</v>
      </c>
      <c r="LP795" s="27" t="s">
        <v>7</v>
      </c>
      <c r="LS795" s="27" t="s">
        <v>8</v>
      </c>
      <c r="LT795" s="27" t="s">
        <v>7</v>
      </c>
      <c r="LU795" s="27" t="s">
        <v>8</v>
      </c>
      <c r="LV795" s="27" t="s">
        <v>7</v>
      </c>
      <c r="LW795" s="27" t="s">
        <v>8</v>
      </c>
      <c r="NZ795" s="27" t="s">
        <v>7</v>
      </c>
      <c r="OQ795" s="27" t="s">
        <v>8</v>
      </c>
      <c r="OR795" s="27" t="s">
        <v>7</v>
      </c>
    </row>
    <row r="796" spans="1:408" x14ac:dyDescent="0.25">
      <c r="A796" s="7">
        <v>1.5942781784157655E-2</v>
      </c>
      <c r="B796"/>
      <c r="C796"/>
      <c r="D796"/>
      <c r="E796"/>
      <c r="F796" s="27" t="s">
        <v>7</v>
      </c>
      <c r="HQ796" s="27" t="s">
        <v>8</v>
      </c>
      <c r="HR796" s="27" t="s">
        <v>7</v>
      </c>
      <c r="HY796" s="27" t="s">
        <v>8</v>
      </c>
      <c r="HZ796" s="27" t="s">
        <v>7</v>
      </c>
      <c r="IA796" s="27" t="s">
        <v>8</v>
      </c>
      <c r="IB796" s="27" t="s">
        <v>7</v>
      </c>
      <c r="IC796" s="27" t="s">
        <v>8</v>
      </c>
      <c r="ID796" s="27" t="s">
        <v>7</v>
      </c>
      <c r="IE796" s="27" t="s">
        <v>8</v>
      </c>
      <c r="LJ796" s="27" t="s">
        <v>7</v>
      </c>
      <c r="LK796" s="27" t="s">
        <v>8</v>
      </c>
      <c r="LL796" s="27" t="s">
        <v>7</v>
      </c>
      <c r="LM796" s="27" t="s">
        <v>8</v>
      </c>
      <c r="LN796" s="27" t="s">
        <v>7</v>
      </c>
      <c r="LO796" s="27" t="s">
        <v>8</v>
      </c>
      <c r="LP796" s="27" t="s">
        <v>7</v>
      </c>
      <c r="LS796" s="27" t="s">
        <v>8</v>
      </c>
      <c r="LT796" s="27" t="s">
        <v>7</v>
      </c>
      <c r="LU796" s="27" t="s">
        <v>8</v>
      </c>
      <c r="LV796" s="27" t="s">
        <v>7</v>
      </c>
      <c r="LW796" s="27" t="s">
        <v>8</v>
      </c>
      <c r="NZ796" s="27" t="s">
        <v>7</v>
      </c>
      <c r="OA796" s="27" t="s">
        <v>8</v>
      </c>
      <c r="OQ796" s="27" t="s">
        <v>8</v>
      </c>
      <c r="OR796" s="27" t="s">
        <v>7</v>
      </c>
    </row>
    <row r="797" spans="1:408" x14ac:dyDescent="0.25">
      <c r="A797" s="7">
        <v>1.5630178219762408E-2</v>
      </c>
      <c r="B797"/>
      <c r="C797"/>
      <c r="D797"/>
      <c r="E797"/>
      <c r="F797" s="27" t="s">
        <v>7</v>
      </c>
      <c r="HQ797" s="27" t="s">
        <v>8</v>
      </c>
      <c r="HR797" s="27" t="s">
        <v>7</v>
      </c>
      <c r="HS797" s="27" t="s">
        <v>8</v>
      </c>
      <c r="HY797" s="27" t="s">
        <v>8</v>
      </c>
      <c r="HZ797" s="27" t="s">
        <v>7</v>
      </c>
      <c r="IA797" s="27" t="s">
        <v>8</v>
      </c>
      <c r="IB797" s="27" t="s">
        <v>7</v>
      </c>
      <c r="IC797" s="27" t="s">
        <v>8</v>
      </c>
      <c r="ID797" s="27" t="s">
        <v>7</v>
      </c>
      <c r="IE797" s="27" t="s">
        <v>8</v>
      </c>
      <c r="LJ797" s="27" t="s">
        <v>7</v>
      </c>
      <c r="LK797" s="27" t="s">
        <v>8</v>
      </c>
      <c r="LL797" s="27" t="s">
        <v>7</v>
      </c>
      <c r="LN797" s="27" t="s">
        <v>7</v>
      </c>
      <c r="LO797" s="27" t="s">
        <v>8</v>
      </c>
      <c r="LP797" s="27" t="s">
        <v>7</v>
      </c>
      <c r="LS797" s="27" t="s">
        <v>8</v>
      </c>
      <c r="LT797" s="27" t="s">
        <v>7</v>
      </c>
      <c r="LU797" s="27" t="s">
        <v>8</v>
      </c>
      <c r="LV797" s="27" t="s">
        <v>7</v>
      </c>
      <c r="LW797" s="27" t="s">
        <v>8</v>
      </c>
      <c r="NZ797" s="27" t="s">
        <v>7</v>
      </c>
      <c r="OA797" s="27" t="s">
        <v>8</v>
      </c>
      <c r="OB797" s="27" t="s">
        <v>7</v>
      </c>
      <c r="OC797" s="27" t="s">
        <v>8</v>
      </c>
      <c r="OQ797" s="27" t="s">
        <v>8</v>
      </c>
      <c r="OR797" s="27" t="s">
        <v>7</v>
      </c>
    </row>
    <row r="798" spans="1:408" x14ac:dyDescent="0.25">
      <c r="A798" s="7">
        <v>1.5323704137021967E-2</v>
      </c>
      <c r="B798"/>
      <c r="C798"/>
      <c r="D798"/>
      <c r="E798"/>
      <c r="F798" s="27" t="s">
        <v>7</v>
      </c>
      <c r="HQ798" s="27" t="s">
        <v>8</v>
      </c>
      <c r="HR798" s="27" t="s">
        <v>7</v>
      </c>
      <c r="HS798" s="27" t="s">
        <v>8</v>
      </c>
      <c r="HT798" s="27" t="s">
        <v>7</v>
      </c>
      <c r="HY798" s="27" t="s">
        <v>8</v>
      </c>
      <c r="HZ798" s="27" t="s">
        <v>7</v>
      </c>
      <c r="IA798" s="27" t="s">
        <v>8</v>
      </c>
      <c r="IB798" s="27" t="s">
        <v>7</v>
      </c>
      <c r="IC798" s="27" t="s">
        <v>8</v>
      </c>
      <c r="ID798" s="27" t="s">
        <v>7</v>
      </c>
      <c r="IE798" s="27" t="s">
        <v>8</v>
      </c>
      <c r="LJ798" s="27" t="s">
        <v>7</v>
      </c>
      <c r="LN798" s="27" t="s">
        <v>7</v>
      </c>
      <c r="LP798" s="27" t="s">
        <v>7</v>
      </c>
      <c r="LQ798" s="27" t="s">
        <v>8</v>
      </c>
      <c r="LS798" s="27" t="s">
        <v>8</v>
      </c>
      <c r="LT798" s="27" t="s">
        <v>7</v>
      </c>
      <c r="LU798" s="27" t="s">
        <v>8</v>
      </c>
      <c r="LV798" s="27" t="s">
        <v>7</v>
      </c>
      <c r="LW798" s="27" t="s">
        <v>8</v>
      </c>
      <c r="NZ798" s="27" t="s">
        <v>7</v>
      </c>
      <c r="OA798" s="27" t="s">
        <v>8</v>
      </c>
      <c r="OB798" s="27" t="s">
        <v>7</v>
      </c>
      <c r="OC798" s="27" t="s">
        <v>8</v>
      </c>
      <c r="OD798" s="27" t="s">
        <v>7</v>
      </c>
      <c r="OQ798" s="27" t="s">
        <v>8</v>
      </c>
      <c r="OR798" s="27" t="s">
        <v>7</v>
      </c>
    </row>
    <row r="799" spans="1:408" x14ac:dyDescent="0.25">
      <c r="A799" s="7">
        <v>1.5023239350021535E-2</v>
      </c>
      <c r="B799"/>
      <c r="C799"/>
      <c r="D799"/>
      <c r="E799"/>
      <c r="F799" s="27" t="s">
        <v>7</v>
      </c>
      <c r="HQ799" s="27" t="s">
        <v>8</v>
      </c>
      <c r="HR799" s="27" t="s">
        <v>7</v>
      </c>
      <c r="HS799" s="27" t="s">
        <v>8</v>
      </c>
      <c r="HT799" s="27" t="s">
        <v>7</v>
      </c>
      <c r="HY799" s="27" t="s">
        <v>8</v>
      </c>
      <c r="HZ799" s="27" t="s">
        <v>7</v>
      </c>
      <c r="IA799" s="27" t="s">
        <v>8</v>
      </c>
      <c r="IB799" s="27" t="s">
        <v>7</v>
      </c>
      <c r="ID799" s="27" t="s">
        <v>7</v>
      </c>
      <c r="IE799" s="27" t="s">
        <v>8</v>
      </c>
      <c r="LP799" s="27" t="s">
        <v>7</v>
      </c>
      <c r="LQ799" s="27" t="s">
        <v>8</v>
      </c>
      <c r="LR799" s="27" t="s">
        <v>7</v>
      </c>
      <c r="LS799" s="27" t="s">
        <v>8</v>
      </c>
      <c r="LT799" s="27" t="s">
        <v>7</v>
      </c>
      <c r="LU799" s="27" t="s">
        <v>8</v>
      </c>
      <c r="LV799" s="27" t="s">
        <v>7</v>
      </c>
      <c r="NZ799" s="27" t="s">
        <v>7</v>
      </c>
      <c r="OA799" s="27" t="s">
        <v>8</v>
      </c>
      <c r="OB799" s="27" t="s">
        <v>7</v>
      </c>
      <c r="OC799" s="27" t="s">
        <v>8</v>
      </c>
      <c r="OD799" s="27" t="s">
        <v>7</v>
      </c>
      <c r="OQ799" s="27" t="s">
        <v>8</v>
      </c>
      <c r="OR799" s="27" t="s">
        <v>7</v>
      </c>
    </row>
    <row r="800" spans="1:408" x14ac:dyDescent="0.25">
      <c r="A800" s="7">
        <v>1.4728666029432878E-2</v>
      </c>
      <c r="B800"/>
      <c r="C800"/>
      <c r="D800"/>
      <c r="E800"/>
      <c r="F800" s="27" t="s">
        <v>7</v>
      </c>
      <c r="HQ800" s="27" t="s">
        <v>8</v>
      </c>
      <c r="HR800" s="27" t="s">
        <v>7</v>
      </c>
      <c r="HS800" s="27" t="s">
        <v>8</v>
      </c>
      <c r="HT800" s="27" t="s">
        <v>7</v>
      </c>
      <c r="HY800" s="27" t="s">
        <v>8</v>
      </c>
      <c r="HZ800" s="27" t="s">
        <v>7</v>
      </c>
      <c r="IA800" s="27" t="s">
        <v>8</v>
      </c>
      <c r="ID800" s="27" t="s">
        <v>7</v>
      </c>
      <c r="IE800" s="27" t="s">
        <v>8</v>
      </c>
      <c r="LP800" s="27" t="s">
        <v>7</v>
      </c>
      <c r="LQ800" s="27" t="s">
        <v>8</v>
      </c>
      <c r="LR800" s="27" t="s">
        <v>7</v>
      </c>
      <c r="LS800" s="27" t="s">
        <v>8</v>
      </c>
      <c r="LT800" s="27" t="s">
        <v>7</v>
      </c>
      <c r="NZ800" s="27" t="s">
        <v>7</v>
      </c>
      <c r="OA800" s="27" t="s">
        <v>8</v>
      </c>
      <c r="OB800" s="27" t="s">
        <v>7</v>
      </c>
      <c r="OC800" s="27" t="s">
        <v>8</v>
      </c>
      <c r="OD800" s="27" t="s">
        <v>7</v>
      </c>
      <c r="OQ800" s="27" t="s">
        <v>8</v>
      </c>
      <c r="OR800" s="27" t="s">
        <v>7</v>
      </c>
    </row>
    <row r="801" spans="1:414" x14ac:dyDescent="0.25">
      <c r="A801" s="7">
        <v>1.4439868656306743E-2</v>
      </c>
      <c r="B801"/>
      <c r="C801"/>
      <c r="D801"/>
      <c r="E801"/>
      <c r="F801" s="27" t="s">
        <v>7</v>
      </c>
      <c r="HQ801" s="27" t="s">
        <v>8</v>
      </c>
      <c r="HR801" s="27" t="s">
        <v>7</v>
      </c>
      <c r="HS801" s="27" t="s">
        <v>8</v>
      </c>
      <c r="HT801" s="27" t="s">
        <v>7</v>
      </c>
      <c r="HW801" s="27" t="s">
        <v>8</v>
      </c>
      <c r="HY801" s="27" t="s">
        <v>8</v>
      </c>
      <c r="HZ801" s="27" t="s">
        <v>7</v>
      </c>
      <c r="IA801" s="27" t="s">
        <v>8</v>
      </c>
      <c r="ID801" s="27" t="s">
        <v>7</v>
      </c>
      <c r="IE801" s="27" t="s">
        <v>8</v>
      </c>
      <c r="LP801" s="27" t="s">
        <v>7</v>
      </c>
      <c r="LR801" s="27" t="s">
        <v>7</v>
      </c>
      <c r="LS801" s="27" t="s">
        <v>8</v>
      </c>
      <c r="NZ801" s="27" t="s">
        <v>7</v>
      </c>
      <c r="OA801" s="27" t="s">
        <v>8</v>
      </c>
      <c r="OB801" s="27" t="s">
        <v>7</v>
      </c>
      <c r="OC801" s="27" t="s">
        <v>8</v>
      </c>
      <c r="OD801" s="27" t="s">
        <v>7</v>
      </c>
      <c r="OQ801" s="27" t="s">
        <v>8</v>
      </c>
      <c r="OR801" s="27" t="s">
        <v>7</v>
      </c>
    </row>
    <row r="802" spans="1:414" x14ac:dyDescent="0.25">
      <c r="A802" s="7">
        <v>1.4156733976771318E-2</v>
      </c>
      <c r="B802"/>
      <c r="C802"/>
      <c r="D802"/>
      <c r="E802"/>
      <c r="F802" s="27" t="s">
        <v>7</v>
      </c>
      <c r="HQ802" s="27" t="s">
        <v>8</v>
      </c>
      <c r="HR802" s="27" t="s">
        <v>7</v>
      </c>
      <c r="HS802" s="27" t="s">
        <v>8</v>
      </c>
      <c r="HT802" s="27" t="s">
        <v>7</v>
      </c>
      <c r="HW802" s="27" t="s">
        <v>8</v>
      </c>
      <c r="HX802" s="27" t="s">
        <v>7</v>
      </c>
      <c r="HY802" s="27" t="s">
        <v>8</v>
      </c>
      <c r="HZ802" s="27" t="s">
        <v>7</v>
      </c>
      <c r="ID802" s="27" t="s">
        <v>7</v>
      </c>
      <c r="IE802" s="27" t="s">
        <v>8</v>
      </c>
      <c r="LR802" s="18" t="s">
        <v>7</v>
      </c>
      <c r="LS802" s="27" t="s">
        <v>8</v>
      </c>
      <c r="NZ802" s="27" t="s">
        <v>7</v>
      </c>
      <c r="OA802" s="27" t="s">
        <v>8</v>
      </c>
      <c r="OB802" s="27" t="s">
        <v>7</v>
      </c>
      <c r="OD802" s="27" t="s">
        <v>7</v>
      </c>
      <c r="OQ802" s="27" t="s">
        <v>8</v>
      </c>
      <c r="OR802" s="27" t="s">
        <v>7</v>
      </c>
    </row>
    <row r="803" spans="1:414" x14ac:dyDescent="0.25">
      <c r="A803" s="7">
        <v>1.3879150957618939E-2</v>
      </c>
      <c r="B803"/>
      <c r="C803"/>
      <c r="D803"/>
      <c r="E803"/>
      <c r="F803" s="27" t="s">
        <v>7</v>
      </c>
      <c r="HQ803" s="27" t="s">
        <v>8</v>
      </c>
      <c r="HR803" s="27" t="s">
        <v>7</v>
      </c>
      <c r="HS803" s="27" t="s">
        <v>8</v>
      </c>
      <c r="HT803" s="27" t="s">
        <v>7</v>
      </c>
      <c r="HW803" s="27" t="s">
        <v>8</v>
      </c>
      <c r="HX803" s="27" t="s">
        <v>7</v>
      </c>
      <c r="HY803" s="27" t="s">
        <v>8</v>
      </c>
      <c r="ID803" s="27" t="s">
        <v>7</v>
      </c>
      <c r="IE803" s="27" t="s">
        <v>8</v>
      </c>
      <c r="LR803" s="27" t="s">
        <v>7</v>
      </c>
      <c r="LS803" s="27" t="s">
        <v>8</v>
      </c>
      <c r="NZ803" s="27" t="s">
        <v>7</v>
      </c>
      <c r="OA803" s="27" t="s">
        <v>8</v>
      </c>
      <c r="OD803" s="27" t="s">
        <v>7</v>
      </c>
      <c r="OQ803" s="27" t="s">
        <v>8</v>
      </c>
      <c r="OR803" s="27" t="s">
        <v>7</v>
      </c>
    </row>
    <row r="804" spans="1:414" x14ac:dyDescent="0.25">
      <c r="A804" s="7">
        <v>1.3607010742763666E-2</v>
      </c>
      <c r="B804"/>
      <c r="C804"/>
      <c r="D804"/>
      <c r="E804"/>
      <c r="F804" s="27" t="s">
        <v>7</v>
      </c>
      <c r="HQ804" s="27" t="s">
        <v>8</v>
      </c>
      <c r="HR804" s="27" t="s">
        <v>7</v>
      </c>
      <c r="HS804" s="27" t="s">
        <v>8</v>
      </c>
      <c r="HT804" s="27" t="s">
        <v>7</v>
      </c>
      <c r="HW804" s="27" t="s">
        <v>8</v>
      </c>
      <c r="HX804" s="27" t="s">
        <v>7</v>
      </c>
      <c r="HY804" s="27" t="s">
        <v>8</v>
      </c>
      <c r="ID804" s="27" t="s">
        <v>7</v>
      </c>
      <c r="IE804" s="27" t="s">
        <v>8</v>
      </c>
      <c r="LR804" s="27" t="s">
        <v>7</v>
      </c>
      <c r="LS804" s="27" t="s">
        <v>8</v>
      </c>
      <c r="NZ804" s="27" t="s">
        <v>7</v>
      </c>
      <c r="OA804" s="27" t="s">
        <v>8</v>
      </c>
      <c r="OD804" s="27" t="s">
        <v>7</v>
      </c>
      <c r="OQ804" s="27" t="s">
        <v>8</v>
      </c>
      <c r="OR804" s="27" t="s">
        <v>7</v>
      </c>
      <c r="OU804" s="27" t="s">
        <v>8</v>
      </c>
    </row>
    <row r="805" spans="1:414" x14ac:dyDescent="0.25">
      <c r="A805" s="7">
        <v>1.3340206610552614E-2</v>
      </c>
      <c r="B805"/>
      <c r="C805"/>
      <c r="D805"/>
      <c r="E805"/>
      <c r="F805" s="27" t="s">
        <v>7</v>
      </c>
      <c r="HQ805" s="27" t="s">
        <v>8</v>
      </c>
      <c r="HR805" s="27" t="s">
        <v>7</v>
      </c>
      <c r="HS805" s="27" t="s">
        <v>8</v>
      </c>
      <c r="HT805" s="27" t="s">
        <v>7</v>
      </c>
      <c r="HW805" s="27" t="s">
        <v>8</v>
      </c>
      <c r="HX805" s="27" t="s">
        <v>7</v>
      </c>
      <c r="HY805" s="27" t="s">
        <v>8</v>
      </c>
      <c r="ID805" s="27" t="s">
        <v>7</v>
      </c>
      <c r="IE805" s="27" t="s">
        <v>8</v>
      </c>
      <c r="LR805" s="27" t="s">
        <v>7</v>
      </c>
      <c r="NZ805" s="27" t="s">
        <v>7</v>
      </c>
      <c r="OD805" s="27" t="s">
        <v>7</v>
      </c>
      <c r="OQ805" s="27" t="s">
        <v>8</v>
      </c>
      <c r="OR805" s="27" t="s">
        <v>7</v>
      </c>
      <c r="OS805" s="27" t="s">
        <v>8</v>
      </c>
      <c r="OU805" s="27" t="s">
        <v>8</v>
      </c>
      <c r="OV805" s="27" t="s">
        <v>7</v>
      </c>
    </row>
    <row r="806" spans="1:414" x14ac:dyDescent="0.25">
      <c r="A806" s="7">
        <v>1.3078633931914328E-2</v>
      </c>
      <c r="B806"/>
      <c r="C806"/>
      <c r="D806"/>
      <c r="E806"/>
      <c r="F806" s="27" t="s">
        <v>7</v>
      </c>
      <c r="HQ806" s="27" t="s">
        <v>8</v>
      </c>
      <c r="HR806" s="27" t="s">
        <v>7</v>
      </c>
      <c r="HS806" s="27" t="s">
        <v>8</v>
      </c>
      <c r="HT806" s="27" t="s">
        <v>7</v>
      </c>
      <c r="HW806" s="27" t="s">
        <v>8</v>
      </c>
      <c r="HX806" s="27" t="s">
        <v>7</v>
      </c>
      <c r="HY806" s="27" t="s">
        <v>8</v>
      </c>
      <c r="ID806" s="27" t="s">
        <v>7</v>
      </c>
      <c r="OD806" s="27" t="s">
        <v>7</v>
      </c>
      <c r="OE806" s="27" t="s">
        <v>8</v>
      </c>
      <c r="OM806" s="27" t="s">
        <v>8</v>
      </c>
      <c r="OQ806" s="27" t="s">
        <v>8</v>
      </c>
      <c r="OR806" s="27" t="s">
        <v>7</v>
      </c>
      <c r="OS806" s="27" t="s">
        <v>8</v>
      </c>
      <c r="OT806" s="27" t="s">
        <v>7</v>
      </c>
      <c r="OU806" s="27" t="s">
        <v>8</v>
      </c>
      <c r="OV806" s="27" t="s">
        <v>7</v>
      </c>
    </row>
    <row r="807" spans="1:414" x14ac:dyDescent="0.25">
      <c r="A807" s="7">
        <v>1.2822190129327771E-2</v>
      </c>
      <c r="B807"/>
      <c r="C807"/>
      <c r="D807"/>
      <c r="E807"/>
      <c r="F807" s="27" t="s">
        <v>7</v>
      </c>
      <c r="HQ807" s="27" t="s">
        <v>8</v>
      </c>
      <c r="HR807" s="27" t="s">
        <v>7</v>
      </c>
      <c r="HS807" s="27" t="s">
        <v>8</v>
      </c>
      <c r="HT807" s="27" t="s">
        <v>7</v>
      </c>
      <c r="HW807" s="27" t="s">
        <v>8</v>
      </c>
      <c r="HX807" s="27" t="s">
        <v>7</v>
      </c>
      <c r="HY807" s="27" t="s">
        <v>8</v>
      </c>
      <c r="OD807" s="27" t="s">
        <v>7</v>
      </c>
      <c r="OE807" s="27" t="s">
        <v>8</v>
      </c>
      <c r="OF807" s="27" t="s">
        <v>7</v>
      </c>
      <c r="OK807" s="27" t="s">
        <v>8</v>
      </c>
      <c r="OM807" s="27" t="s">
        <v>8</v>
      </c>
      <c r="ON807" s="27" t="s">
        <v>7</v>
      </c>
      <c r="OQ807" s="27" t="s">
        <v>8</v>
      </c>
      <c r="OR807" s="27" t="s">
        <v>7</v>
      </c>
      <c r="OS807" s="27" t="s">
        <v>8</v>
      </c>
      <c r="OT807" s="27" t="s">
        <v>7</v>
      </c>
      <c r="OU807" s="27" t="s">
        <v>8</v>
      </c>
      <c r="OV807" s="27" t="s">
        <v>7</v>
      </c>
    </row>
    <row r="808" spans="1:414" x14ac:dyDescent="0.25">
      <c r="A808" s="7">
        <v>1.2570774636595854E-2</v>
      </c>
      <c r="B808"/>
      <c r="C808"/>
      <c r="D808"/>
      <c r="E808"/>
      <c r="F808" s="27" t="s">
        <v>7</v>
      </c>
      <c r="HQ808" s="27" t="s">
        <v>8</v>
      </c>
      <c r="HR808" s="27" t="s">
        <v>7</v>
      </c>
      <c r="HS808" s="27" t="s">
        <v>8</v>
      </c>
      <c r="HT808" s="27" t="s">
        <v>7</v>
      </c>
      <c r="HW808" s="27" t="s">
        <v>8</v>
      </c>
      <c r="HX808" s="27" t="s">
        <v>7</v>
      </c>
      <c r="HY808" s="27" t="s">
        <v>8</v>
      </c>
      <c r="OD808" s="27" t="s">
        <v>7</v>
      </c>
      <c r="OE808" s="27" t="s">
        <v>8</v>
      </c>
      <c r="OF808" s="27" t="s">
        <v>7</v>
      </c>
      <c r="OK808" s="27" t="s">
        <v>8</v>
      </c>
      <c r="OL808" s="27" t="s">
        <v>7</v>
      </c>
      <c r="OM808" s="27" t="s">
        <v>8</v>
      </c>
      <c r="ON808" s="27" t="s">
        <v>7</v>
      </c>
      <c r="OQ808" s="27" t="s">
        <v>8</v>
      </c>
      <c r="OR808" s="27" t="s">
        <v>7</v>
      </c>
      <c r="OS808" s="27" t="s">
        <v>8</v>
      </c>
      <c r="OT808" s="27" t="s">
        <v>7</v>
      </c>
      <c r="OU808" s="27" t="s">
        <v>8</v>
      </c>
      <c r="OV808" s="27" t="s">
        <v>7</v>
      </c>
    </row>
    <row r="809" spans="1:414" x14ac:dyDescent="0.25">
      <c r="A809" s="7">
        <v>1.23242888594077E-2</v>
      </c>
      <c r="B809"/>
      <c r="C809"/>
      <c r="D809"/>
      <c r="E809"/>
      <c r="F809" s="27" t="s">
        <v>7</v>
      </c>
      <c r="HQ809" s="27" t="s">
        <v>8</v>
      </c>
      <c r="HR809" s="27" t="s">
        <v>7</v>
      </c>
      <c r="HS809" s="27" t="s">
        <v>8</v>
      </c>
      <c r="HT809" s="27" t="s">
        <v>7</v>
      </c>
      <c r="HU809" s="27" t="s">
        <v>8</v>
      </c>
      <c r="HW809" s="27" t="s">
        <v>8</v>
      </c>
      <c r="HX809" s="27" t="s">
        <v>7</v>
      </c>
      <c r="HY809" s="27" t="s">
        <v>8</v>
      </c>
      <c r="OD809" s="27" t="s">
        <v>7</v>
      </c>
      <c r="OE809" s="27" t="s">
        <v>8</v>
      </c>
      <c r="OF809" s="27" t="s">
        <v>7</v>
      </c>
      <c r="OK809" s="27" t="s">
        <v>8</v>
      </c>
      <c r="OL809" s="27" t="s">
        <v>7</v>
      </c>
      <c r="OM809" s="27" t="s">
        <v>8</v>
      </c>
      <c r="ON809" s="27" t="s">
        <v>7</v>
      </c>
      <c r="OO809" s="27" t="s">
        <v>8</v>
      </c>
      <c r="OQ809" s="27" t="s">
        <v>8</v>
      </c>
      <c r="OR809" s="27" t="s">
        <v>7</v>
      </c>
      <c r="OS809" s="27" t="s">
        <v>8</v>
      </c>
      <c r="OT809" s="27" t="s">
        <v>7</v>
      </c>
      <c r="OU809" s="27" t="s">
        <v>8</v>
      </c>
      <c r="OV809" s="27" t="s">
        <v>7</v>
      </c>
    </row>
    <row r="810" spans="1:414" x14ac:dyDescent="0.25">
      <c r="A810" s="7">
        <v>1.2082636136674216E-2</v>
      </c>
      <c r="B810"/>
      <c r="C810"/>
      <c r="D810"/>
      <c r="E810"/>
      <c r="F810" s="27" t="s">
        <v>7</v>
      </c>
      <c r="HQ810" s="27" t="s">
        <v>8</v>
      </c>
      <c r="HR810" s="27" t="s">
        <v>7</v>
      </c>
      <c r="HS810" s="27" t="s">
        <v>8</v>
      </c>
      <c r="HT810" s="27" t="s">
        <v>7</v>
      </c>
      <c r="HU810" s="27" t="s">
        <v>8</v>
      </c>
      <c r="HV810" s="27" t="s">
        <v>7</v>
      </c>
      <c r="HW810" s="27" t="s">
        <v>8</v>
      </c>
      <c r="HX810" s="27" t="s">
        <v>7</v>
      </c>
      <c r="HY810" s="27" t="s">
        <v>8</v>
      </c>
      <c r="OD810" s="27" t="s">
        <v>7</v>
      </c>
      <c r="OF810" s="27" t="s">
        <v>7</v>
      </c>
      <c r="OG810" s="27" t="s">
        <v>8</v>
      </c>
      <c r="OK810" s="27" t="s">
        <v>8</v>
      </c>
      <c r="OL810" s="27" t="s">
        <v>7</v>
      </c>
      <c r="OM810" s="27" t="s">
        <v>8</v>
      </c>
      <c r="ON810" s="27" t="s">
        <v>7</v>
      </c>
      <c r="OO810" s="27" t="s">
        <v>8</v>
      </c>
      <c r="OP810" s="27" t="s">
        <v>7</v>
      </c>
      <c r="OQ810" s="27" t="s">
        <v>8</v>
      </c>
      <c r="OR810" s="27" t="s">
        <v>7</v>
      </c>
      <c r="OS810" s="27" t="s">
        <v>8</v>
      </c>
      <c r="OT810" s="27" t="s">
        <v>7</v>
      </c>
      <c r="OU810" s="27" t="s">
        <v>8</v>
      </c>
      <c r="OV810" s="27" t="s">
        <v>7</v>
      </c>
    </row>
    <row r="811" spans="1:414" x14ac:dyDescent="0.25">
      <c r="A811" s="7">
        <v>1.184572170262178E-2</v>
      </c>
      <c r="B811"/>
      <c r="C811"/>
      <c r="D811"/>
      <c r="E811"/>
      <c r="F811" s="27" t="s">
        <v>7</v>
      </c>
      <c r="HQ811" s="27" t="s">
        <v>8</v>
      </c>
      <c r="HR811" s="27" t="s">
        <v>7</v>
      </c>
      <c r="HS811" s="27" t="s">
        <v>8</v>
      </c>
      <c r="HT811" s="27" t="s">
        <v>7</v>
      </c>
      <c r="HU811" s="27" t="s">
        <v>8</v>
      </c>
      <c r="HV811" s="27" t="s">
        <v>7</v>
      </c>
      <c r="HW811" s="27" t="s">
        <v>8</v>
      </c>
      <c r="HX811" s="27" t="s">
        <v>7</v>
      </c>
      <c r="HY811" s="27" t="s">
        <v>8</v>
      </c>
      <c r="OF811" s="27" t="s">
        <v>7</v>
      </c>
      <c r="OG811" s="27" t="s">
        <v>8</v>
      </c>
      <c r="OH811" s="27" t="s">
        <v>7</v>
      </c>
      <c r="OK811" s="27" t="s">
        <v>8</v>
      </c>
      <c r="OL811" s="27" t="s">
        <v>7</v>
      </c>
      <c r="ON811" s="27" t="s">
        <v>7</v>
      </c>
      <c r="OO811" s="27" t="s">
        <v>8</v>
      </c>
      <c r="OP811" s="27" t="s">
        <v>7</v>
      </c>
      <c r="OQ811" s="27" t="s">
        <v>8</v>
      </c>
      <c r="OR811" s="27" t="s">
        <v>7</v>
      </c>
      <c r="OS811" s="27" t="s">
        <v>8</v>
      </c>
      <c r="OT811" s="27" t="s">
        <v>7</v>
      </c>
      <c r="OU811" s="27" t="s">
        <v>8</v>
      </c>
      <c r="OV811" s="27" t="s">
        <v>7</v>
      </c>
      <c r="OW811" s="27" t="s">
        <v>8</v>
      </c>
    </row>
    <row r="812" spans="1:414" x14ac:dyDescent="0.25">
      <c r="A812" s="7">
        <v>1.1613452649629196E-2</v>
      </c>
      <c r="B812"/>
      <c r="C812"/>
      <c r="D812"/>
      <c r="E812"/>
      <c r="F812" s="27" t="s">
        <v>7</v>
      </c>
      <c r="HQ812" s="27" t="s">
        <v>8</v>
      </c>
      <c r="HR812" s="27" t="s">
        <v>7</v>
      </c>
      <c r="HS812" s="27" t="s">
        <v>8</v>
      </c>
      <c r="HT812" s="27" t="s">
        <v>7</v>
      </c>
      <c r="HU812" s="27" t="s">
        <v>8</v>
      </c>
      <c r="HV812" s="27" t="s">
        <v>7</v>
      </c>
      <c r="HW812" s="27" t="s">
        <v>8</v>
      </c>
      <c r="HX812" s="27" t="s">
        <v>7</v>
      </c>
      <c r="HY812" s="27" t="s">
        <v>8</v>
      </c>
      <c r="OF812" s="27" t="s">
        <v>7</v>
      </c>
      <c r="OG812" s="27" t="s">
        <v>8</v>
      </c>
      <c r="OH812" s="27" t="s">
        <v>7</v>
      </c>
      <c r="OK812" s="27" t="s">
        <v>8</v>
      </c>
      <c r="ON812" s="27" t="s">
        <v>7</v>
      </c>
      <c r="OO812" s="27" t="s">
        <v>8</v>
      </c>
      <c r="OP812" s="27" t="s">
        <v>7</v>
      </c>
      <c r="OR812" s="27" t="s">
        <v>7</v>
      </c>
      <c r="OS812" s="27" t="s">
        <v>8</v>
      </c>
      <c r="OT812" s="27" t="s">
        <v>7</v>
      </c>
      <c r="OU812" s="27" t="s">
        <v>8</v>
      </c>
      <c r="OV812" s="27" t="s">
        <v>7</v>
      </c>
      <c r="OW812" s="27" t="s">
        <v>8</v>
      </c>
      <c r="OX812" s="27" t="s">
        <v>7</v>
      </c>
    </row>
    <row r="813" spans="1:414" x14ac:dyDescent="0.25">
      <c r="A813" s="7">
        <v>1.138573789179333E-2</v>
      </c>
      <c r="B813"/>
      <c r="C813"/>
      <c r="D813"/>
      <c r="E813"/>
      <c r="F813" s="27" t="s">
        <v>7</v>
      </c>
      <c r="HQ813" s="27" t="s">
        <v>8</v>
      </c>
      <c r="HR813" s="27" t="s">
        <v>7</v>
      </c>
      <c r="HS813" s="27" t="s">
        <v>8</v>
      </c>
      <c r="HT813" s="27" t="s">
        <v>7</v>
      </c>
      <c r="HU813" s="27" t="s">
        <v>8</v>
      </c>
      <c r="HV813" s="27" t="s">
        <v>7</v>
      </c>
      <c r="HW813" s="27" t="s">
        <v>8</v>
      </c>
      <c r="HX813" s="27" t="s">
        <v>7</v>
      </c>
      <c r="HY813" s="27" t="s">
        <v>8</v>
      </c>
      <c r="OF813" s="27" t="s">
        <v>7</v>
      </c>
      <c r="OG813" s="27" t="s">
        <v>8</v>
      </c>
      <c r="OH813" s="27" t="s">
        <v>7</v>
      </c>
      <c r="OK813" s="27" t="s">
        <v>8</v>
      </c>
      <c r="ON813" s="27" t="s">
        <v>7</v>
      </c>
      <c r="OR813" s="27" t="s">
        <v>7</v>
      </c>
      <c r="OS813" s="27" t="s">
        <v>8</v>
      </c>
      <c r="OT813" s="27" t="s">
        <v>7</v>
      </c>
      <c r="OU813" s="27" t="s">
        <v>8</v>
      </c>
      <c r="OV813" s="27" t="s">
        <v>7</v>
      </c>
      <c r="OW813" s="27" t="s">
        <v>8</v>
      </c>
      <c r="OX813" s="27" t="s">
        <v>7</v>
      </c>
    </row>
    <row r="814" spans="1:414" x14ac:dyDescent="0.25">
      <c r="A814" s="7">
        <v>1.1162488129209149E-2</v>
      </c>
      <c r="B814"/>
      <c r="C814"/>
      <c r="D814"/>
      <c r="E814"/>
      <c r="F814" s="27" t="s">
        <v>7</v>
      </c>
      <c r="HQ814" s="27" t="s">
        <v>8</v>
      </c>
      <c r="HR814" s="27" t="s">
        <v>7</v>
      </c>
      <c r="HS814" s="27" t="s">
        <v>8</v>
      </c>
      <c r="HT814" s="27" t="s">
        <v>7</v>
      </c>
      <c r="HU814" s="27" t="s">
        <v>8</v>
      </c>
      <c r="HV814" s="27" t="s">
        <v>7</v>
      </c>
      <c r="HW814" s="27" t="s">
        <v>8</v>
      </c>
      <c r="HX814" s="27" t="s">
        <v>7</v>
      </c>
      <c r="OF814" s="27" t="s">
        <v>7</v>
      </c>
      <c r="OG814" s="27" t="s">
        <v>8</v>
      </c>
      <c r="OH814" s="27" t="s">
        <v>7</v>
      </c>
      <c r="OK814" s="27" t="s">
        <v>8</v>
      </c>
      <c r="OR814" s="27" t="s">
        <v>7</v>
      </c>
      <c r="OS814" s="27" t="s">
        <v>8</v>
      </c>
      <c r="OT814" s="27" t="s">
        <v>7</v>
      </c>
      <c r="OV814" s="27" t="s">
        <v>7</v>
      </c>
      <c r="OW814" s="27" t="s">
        <v>8</v>
      </c>
      <c r="OX814" s="27" t="s">
        <v>7</v>
      </c>
    </row>
    <row r="815" spans="1:414" x14ac:dyDescent="0.25">
      <c r="A815" s="7">
        <v>1.0943615812950145E-2</v>
      </c>
      <c r="B815"/>
      <c r="C815"/>
      <c r="D815"/>
      <c r="E815"/>
      <c r="F815" s="27" t="s">
        <v>7</v>
      </c>
      <c r="HQ815" s="27" t="s">
        <v>8</v>
      </c>
      <c r="HR815" s="27" t="s">
        <v>7</v>
      </c>
      <c r="HS815" s="27" t="s">
        <v>8</v>
      </c>
      <c r="HT815" s="27" t="s">
        <v>7</v>
      </c>
      <c r="HU815" s="27" t="s">
        <v>8</v>
      </c>
      <c r="HV815" s="27" t="s">
        <v>7</v>
      </c>
      <c r="HW815" s="27" t="s">
        <v>8</v>
      </c>
      <c r="OF815" s="27" t="s">
        <v>7</v>
      </c>
      <c r="OG815" s="27" t="s">
        <v>8</v>
      </c>
      <c r="OH815" s="27" t="s">
        <v>7</v>
      </c>
      <c r="OI815" s="27" t="s">
        <v>8</v>
      </c>
      <c r="OK815" s="27" t="s">
        <v>8</v>
      </c>
      <c r="OR815" s="27" t="s">
        <v>7</v>
      </c>
      <c r="OS815" s="27" t="s">
        <v>8</v>
      </c>
      <c r="OV815" s="27" t="s">
        <v>7</v>
      </c>
      <c r="OW815" s="27" t="s">
        <v>8</v>
      </c>
      <c r="OX815" s="27" t="s">
        <v>7</v>
      </c>
    </row>
    <row r="816" spans="1:414" x14ac:dyDescent="0.25">
      <c r="A816" s="7">
        <v>1.0729035110735436E-2</v>
      </c>
      <c r="B816"/>
      <c r="C816"/>
      <c r="D816"/>
      <c r="E816"/>
      <c r="F816" s="27" t="s">
        <v>7</v>
      </c>
      <c r="HQ816" s="27" t="s">
        <v>8</v>
      </c>
      <c r="HR816" s="27" t="s">
        <v>7</v>
      </c>
      <c r="HS816" s="27" t="s">
        <v>8</v>
      </c>
      <c r="HT816" s="27" t="s">
        <v>7</v>
      </c>
      <c r="HU816" s="27" t="s">
        <v>8</v>
      </c>
      <c r="HV816" s="27" t="s">
        <v>7</v>
      </c>
      <c r="HW816" s="27" t="s">
        <v>8</v>
      </c>
      <c r="OF816" s="27" t="s">
        <v>7</v>
      </c>
      <c r="OG816" s="27" t="s">
        <v>8</v>
      </c>
      <c r="OH816" s="27" t="s">
        <v>7</v>
      </c>
      <c r="OI816" s="27" t="s">
        <v>8</v>
      </c>
      <c r="OJ816" s="27" t="s">
        <v>7</v>
      </c>
      <c r="OK816" s="27" t="s">
        <v>8</v>
      </c>
      <c r="OR816" s="27" t="s">
        <v>7</v>
      </c>
      <c r="OS816" s="27" t="s">
        <v>8</v>
      </c>
      <c r="OV816" s="27" t="s">
        <v>7</v>
      </c>
      <c r="OW816" s="27" t="s">
        <v>8</v>
      </c>
      <c r="OX816" s="27" t="s">
        <v>7</v>
      </c>
    </row>
    <row r="817" spans="1:414" x14ac:dyDescent="0.25">
      <c r="A817" s="7">
        <v>1.0518661873270036E-2</v>
      </c>
      <c r="B817"/>
      <c r="C817"/>
      <c r="D817"/>
      <c r="E817"/>
      <c r="F817" s="27" t="s">
        <v>7</v>
      </c>
      <c r="HQ817" s="27" t="s">
        <v>8</v>
      </c>
      <c r="HR817" s="27" t="s">
        <v>7</v>
      </c>
      <c r="HS817" s="27" t="s">
        <v>8</v>
      </c>
      <c r="HT817" s="27" t="s">
        <v>7</v>
      </c>
      <c r="HU817" s="27" t="s">
        <v>8</v>
      </c>
      <c r="HV817" s="27" t="s">
        <v>7</v>
      </c>
      <c r="HW817" s="27" t="s">
        <v>8</v>
      </c>
      <c r="OF817" s="27" t="s">
        <v>7</v>
      </c>
      <c r="OH817" s="27" t="s">
        <v>7</v>
      </c>
      <c r="OI817" s="27" t="s">
        <v>8</v>
      </c>
      <c r="OJ817" s="27" t="s">
        <v>7</v>
      </c>
      <c r="OK817" s="27" t="s">
        <v>8</v>
      </c>
      <c r="OR817" s="27" t="s">
        <v>7</v>
      </c>
      <c r="OS817" s="27" t="s">
        <v>8</v>
      </c>
      <c r="OV817" s="27" t="s">
        <v>7</v>
      </c>
      <c r="OW817" s="27" t="s">
        <v>8</v>
      </c>
      <c r="OX817" s="27" t="s">
        <v>7</v>
      </c>
    </row>
    <row r="818" spans="1:414" x14ac:dyDescent="0.25">
      <c r="A818" s="7">
        <v>1.0312413601245135E-2</v>
      </c>
      <c r="B818"/>
      <c r="C818"/>
      <c r="D818"/>
      <c r="E818"/>
      <c r="F818" s="27" t="s">
        <v>7</v>
      </c>
      <c r="HQ818" s="27" t="s">
        <v>8</v>
      </c>
      <c r="HR818" s="27" t="s">
        <v>7</v>
      </c>
      <c r="HS818" s="27" t="s">
        <v>8</v>
      </c>
      <c r="HT818" s="27" t="s">
        <v>7</v>
      </c>
      <c r="HV818" s="27" t="s">
        <v>7</v>
      </c>
      <c r="HW818" s="27" t="s">
        <v>8</v>
      </c>
      <c r="OH818" s="27" t="s">
        <v>7</v>
      </c>
      <c r="OI818" s="27" t="s">
        <v>8</v>
      </c>
      <c r="OJ818" s="27" t="s">
        <v>7</v>
      </c>
      <c r="OR818" s="27" t="s">
        <v>7</v>
      </c>
      <c r="OS818" s="27" t="s">
        <v>8</v>
      </c>
      <c r="OV818" s="27" t="s">
        <v>7</v>
      </c>
      <c r="OW818" s="27" t="s">
        <v>8</v>
      </c>
      <c r="OX818" s="27" t="s">
        <v>7</v>
      </c>
    </row>
    <row r="819" spans="1:414" x14ac:dyDescent="0.25">
      <c r="A819" s="7">
        <v>1.0110209412985426E-2</v>
      </c>
      <c r="B819"/>
      <c r="C819"/>
      <c r="D819"/>
      <c r="E819"/>
      <c r="F819" s="27" t="s">
        <v>7</v>
      </c>
      <c r="HQ819" s="27" t="s">
        <v>8</v>
      </c>
      <c r="HR819" s="27" t="s">
        <v>7</v>
      </c>
      <c r="HS819" s="27" t="s">
        <v>8</v>
      </c>
      <c r="HV819" s="27" t="s">
        <v>7</v>
      </c>
      <c r="HW819" s="27" t="s">
        <v>8</v>
      </c>
      <c r="OH819" s="27" t="s">
        <v>7</v>
      </c>
      <c r="OI819" s="27" t="s">
        <v>8</v>
      </c>
      <c r="OR819" s="27" t="s">
        <v>7</v>
      </c>
      <c r="OS819" s="27" t="s">
        <v>8</v>
      </c>
      <c r="OV819" s="27" t="s">
        <v>7</v>
      </c>
      <c r="OW819" s="27" t="s">
        <v>8</v>
      </c>
      <c r="OX819" s="27" t="s">
        <v>7</v>
      </c>
    </row>
    <row r="820" spans="1:414" x14ac:dyDescent="0.25">
      <c r="A820" s="7">
        <v>9.9119700127308103E-3</v>
      </c>
      <c r="B820"/>
      <c r="C820"/>
      <c r="D820"/>
      <c r="E820"/>
      <c r="F820" s="27" t="s">
        <v>7</v>
      </c>
      <c r="HQ820" s="27" t="s">
        <v>8</v>
      </c>
      <c r="HR820" s="27" t="s">
        <v>7</v>
      </c>
      <c r="HS820" s="27" t="s">
        <v>8</v>
      </c>
      <c r="HV820" s="27" t="s">
        <v>7</v>
      </c>
      <c r="HW820" s="27" t="s">
        <v>8</v>
      </c>
      <c r="OH820" s="27" t="s">
        <v>7</v>
      </c>
      <c r="OR820" s="27" t="s">
        <v>7</v>
      </c>
      <c r="OS820" s="27" t="s">
        <v>8</v>
      </c>
      <c r="OV820" s="27" t="s">
        <v>7</v>
      </c>
      <c r="OW820" s="27" t="s">
        <v>8</v>
      </c>
      <c r="OX820" s="27" t="s">
        <v>7</v>
      </c>
    </row>
    <row r="821" spans="1:414" x14ac:dyDescent="0.25">
      <c r="A821" s="7">
        <v>9.717617659540009E-3</v>
      </c>
      <c r="B821"/>
      <c r="C821"/>
      <c r="D821"/>
      <c r="E821"/>
      <c r="F821" s="27" t="s">
        <v>7</v>
      </c>
      <c r="HQ821" s="27" t="s">
        <v>8</v>
      </c>
      <c r="HR821" s="27" t="s">
        <v>7</v>
      </c>
      <c r="HS821" s="27" t="s">
        <v>8</v>
      </c>
      <c r="HV821" s="27" t="s">
        <v>7</v>
      </c>
      <c r="HW821" s="27" t="s">
        <v>8</v>
      </c>
      <c r="OR821" s="27" t="s">
        <v>7</v>
      </c>
      <c r="OV821" s="27" t="s">
        <v>7</v>
      </c>
      <c r="OW821" s="27" t="s">
        <v>8</v>
      </c>
      <c r="OX821" s="27" t="s">
        <v>7</v>
      </c>
    </row>
    <row r="822" spans="1:414" x14ac:dyDescent="0.25">
      <c r="A822" s="7">
        <v>9.5270761368039299E-3</v>
      </c>
      <c r="B822"/>
      <c r="C822"/>
      <c r="D822"/>
      <c r="E822"/>
      <c r="F822" s="27" t="s">
        <v>7</v>
      </c>
      <c r="HQ822" s="27" t="s">
        <v>8</v>
      </c>
      <c r="HR822" s="27" t="s">
        <v>7</v>
      </c>
      <c r="HS822" s="27" t="s">
        <v>8</v>
      </c>
      <c r="HV822" s="27" t="s">
        <v>7</v>
      </c>
      <c r="HW822" s="27" t="s">
        <v>8</v>
      </c>
      <c r="OV822" s="27" t="s">
        <v>7</v>
      </c>
      <c r="OW822" s="27" t="s">
        <v>8</v>
      </c>
    </row>
    <row r="823" spans="1:414" x14ac:dyDescent="0.25">
      <c r="A823" s="7">
        <v>9.3402707223567936E-3</v>
      </c>
      <c r="B823"/>
      <c r="C823"/>
      <c r="D823"/>
      <c r="E823"/>
      <c r="F823" s="27" t="s">
        <v>7</v>
      </c>
      <c r="BU823" s="27" t="s">
        <v>8</v>
      </c>
      <c r="HQ823" s="27" t="s">
        <v>8</v>
      </c>
      <c r="HR823" s="27" t="s">
        <v>7</v>
      </c>
      <c r="HS823" s="27" t="s">
        <v>8</v>
      </c>
      <c r="HV823" s="27" t="s">
        <v>7</v>
      </c>
      <c r="HW823" s="27" t="s">
        <v>8</v>
      </c>
      <c r="OV823" s="27" t="s">
        <v>7</v>
      </c>
      <c r="OW823" s="27" t="s">
        <v>8</v>
      </c>
    </row>
    <row r="824" spans="1:414" x14ac:dyDescent="0.25">
      <c r="A824" s="7">
        <v>9.1571281591733261E-3</v>
      </c>
      <c r="B824"/>
      <c r="C824"/>
      <c r="D824"/>
      <c r="E824"/>
      <c r="F824" s="27" t="s">
        <v>7</v>
      </c>
      <c r="BU824" s="27" t="s">
        <v>8</v>
      </c>
      <c r="BV824" s="27" t="s">
        <v>7</v>
      </c>
      <c r="HQ824" s="27" t="s">
        <v>8</v>
      </c>
      <c r="HR824" s="27" t="s">
        <v>7</v>
      </c>
      <c r="HS824" s="27" t="s">
        <v>8</v>
      </c>
      <c r="HV824" s="27" t="s">
        <v>7</v>
      </c>
      <c r="HW824" s="27" t="s">
        <v>8</v>
      </c>
      <c r="OV824" s="27" t="s">
        <v>7</v>
      </c>
    </row>
    <row r="825" spans="1:414" x14ac:dyDescent="0.25">
      <c r="A825" s="7">
        <v>8.9775766266405148E-3</v>
      </c>
      <c r="B825"/>
      <c r="C825"/>
      <c r="D825"/>
      <c r="E825"/>
      <c r="F825" s="27" t="s">
        <v>7</v>
      </c>
      <c r="BU825" s="27" t="s">
        <v>8</v>
      </c>
      <c r="BV825" s="27" t="s">
        <v>7</v>
      </c>
      <c r="HQ825" s="27" t="s">
        <v>8</v>
      </c>
      <c r="HR825" s="27" t="s">
        <v>7</v>
      </c>
      <c r="HS825" s="27" t="s">
        <v>8</v>
      </c>
      <c r="HV825" s="27" t="s">
        <v>7</v>
      </c>
      <c r="HW825" s="27" t="s">
        <v>8</v>
      </c>
    </row>
    <row r="826" spans="1:414" x14ac:dyDescent="0.25">
      <c r="A826" s="7">
        <v>8.8015457123926614E-3</v>
      </c>
      <c r="B826"/>
      <c r="C826"/>
      <c r="D826"/>
      <c r="E826"/>
      <c r="F826" s="27" t="s">
        <v>7</v>
      </c>
      <c r="BU826" s="27" t="s">
        <v>8</v>
      </c>
      <c r="BV826" s="27" t="s">
        <v>7</v>
      </c>
      <c r="HQ826" s="27" t="s">
        <v>8</v>
      </c>
      <c r="HR826" s="27" t="s">
        <v>7</v>
      </c>
      <c r="HS826" s="27" t="s">
        <v>8</v>
      </c>
      <c r="HV826" s="27" t="s">
        <v>7</v>
      </c>
      <c r="HW826" s="27" t="s">
        <v>8</v>
      </c>
    </row>
    <row r="827" spans="1:414" x14ac:dyDescent="0.25">
      <c r="A827" s="7">
        <v>8.6289663846986879E-3</v>
      </c>
      <c r="B827"/>
      <c r="C827"/>
      <c r="D827"/>
      <c r="E827"/>
      <c r="F827" s="27" t="s">
        <v>7</v>
      </c>
      <c r="BU827" s="27" t="s">
        <v>8</v>
      </c>
      <c r="BV827" s="27" t="s">
        <v>7</v>
      </c>
      <c r="HQ827" s="27" t="s">
        <v>8</v>
      </c>
      <c r="HR827" s="27" t="s">
        <v>7</v>
      </c>
      <c r="HS827" s="27" t="s">
        <v>8</v>
      </c>
      <c r="HV827" s="27" t="s">
        <v>7</v>
      </c>
      <c r="HW827" s="27" t="s">
        <v>8</v>
      </c>
    </row>
    <row r="828" spans="1:414" x14ac:dyDescent="0.25">
      <c r="A828" s="7">
        <v>8.4597709653908715E-3</v>
      </c>
      <c r="B828"/>
      <c r="C828"/>
      <c r="D828"/>
      <c r="E828"/>
      <c r="F828" s="27" t="s">
        <v>7</v>
      </c>
      <c r="BU828" s="27" t="s">
        <v>8</v>
      </c>
      <c r="BV828" s="27" t="s">
        <v>7</v>
      </c>
      <c r="HQ828" s="27" t="s">
        <v>8</v>
      </c>
      <c r="HR828" s="27" t="s">
        <v>7</v>
      </c>
      <c r="HS828" s="27" t="s">
        <v>8</v>
      </c>
      <c r="HV828" s="27" t="s">
        <v>7</v>
      </c>
      <c r="HW828" s="27" t="s">
        <v>8</v>
      </c>
    </row>
    <row r="829" spans="1:414" x14ac:dyDescent="0.25">
      <c r="A829" s="7">
        <v>8.2938931033243839E-3</v>
      </c>
      <c r="B829"/>
      <c r="C829"/>
      <c r="D829"/>
      <c r="E829"/>
      <c r="F829" s="27" t="s">
        <v>7</v>
      </c>
      <c r="BU829" s="27" t="s">
        <v>8</v>
      </c>
      <c r="BV829" s="27" t="s">
        <v>7</v>
      </c>
      <c r="HQ829" s="27" t="s">
        <v>8</v>
      </c>
      <c r="HR829" s="27" t="s">
        <v>7</v>
      </c>
      <c r="HS829" s="27" t="s">
        <v>8</v>
      </c>
      <c r="HV829" s="27" t="s">
        <v>7</v>
      </c>
      <c r="HW829" s="27" t="s">
        <v>8</v>
      </c>
    </row>
    <row r="830" spans="1:414" x14ac:dyDescent="0.25">
      <c r="A830" s="7">
        <v>8.1312677483572383E-3</v>
      </c>
      <c r="B830"/>
      <c r="C830"/>
      <c r="D830"/>
      <c r="E830"/>
      <c r="F830" s="27" t="s">
        <v>7</v>
      </c>
      <c r="BU830" s="27" t="s">
        <v>8</v>
      </c>
      <c r="BV830" s="27" t="s">
        <v>7</v>
      </c>
      <c r="HQ830" s="27" t="s">
        <v>8</v>
      </c>
      <c r="HR830" s="27" t="s">
        <v>7</v>
      </c>
      <c r="HS830" s="27" t="s">
        <v>8</v>
      </c>
      <c r="HV830" s="27" t="s">
        <v>7</v>
      </c>
    </row>
    <row r="831" spans="1:414" x14ac:dyDescent="0.25">
      <c r="A831" s="7">
        <v>7.9718311258404305E-3</v>
      </c>
      <c r="B831"/>
      <c r="C831"/>
      <c r="D831"/>
      <c r="E831"/>
      <c r="F831" s="27" t="s">
        <v>7</v>
      </c>
      <c r="BU831" s="27" t="s">
        <v>8</v>
      </c>
      <c r="BV831" s="27" t="s">
        <v>7</v>
      </c>
      <c r="HQ831" s="27" t="s">
        <v>8</v>
      </c>
      <c r="HR831" s="27" t="s">
        <v>7</v>
      </c>
      <c r="HS831" s="27" t="s">
        <v>8</v>
      </c>
    </row>
    <row r="832" spans="1:414" x14ac:dyDescent="0.25">
      <c r="A832" s="7">
        <v>7.8155207116082648E-3</v>
      </c>
      <c r="B832"/>
      <c r="C832"/>
      <c r="D832"/>
      <c r="E832"/>
      <c r="F832" s="27" t="s">
        <v>7</v>
      </c>
      <c r="BU832" s="27" t="s">
        <v>8</v>
      </c>
      <c r="BV832" s="27" t="s">
        <v>7</v>
      </c>
      <c r="HQ832" s="27" t="s">
        <v>8</v>
      </c>
      <c r="HR832" s="27" t="s">
        <v>7</v>
      </c>
      <c r="HS832" s="27" t="s">
        <v>8</v>
      </c>
    </row>
    <row r="833" spans="1:227" x14ac:dyDescent="0.25">
      <c r="A833" s="7">
        <v>7.6622752074590825E-3</v>
      </c>
      <c r="B833"/>
      <c r="C833"/>
      <c r="D833"/>
      <c r="E833"/>
      <c r="F833" s="27" t="s">
        <v>7</v>
      </c>
      <c r="BU833" s="27" t="s">
        <v>8</v>
      </c>
      <c r="BV833" s="27" t="s">
        <v>7</v>
      </c>
      <c r="HQ833" s="27" t="s">
        <v>8</v>
      </c>
      <c r="HR833" s="27" t="s">
        <v>7</v>
      </c>
      <c r="HS833" s="27" t="s">
        <v>8</v>
      </c>
    </row>
    <row r="834" spans="1:227" x14ac:dyDescent="0.25">
      <c r="A834" s="7">
        <v>7.5120345171167469E-3</v>
      </c>
      <c r="B834"/>
      <c r="C834"/>
      <c r="D834"/>
      <c r="E834"/>
      <c r="F834" s="27" t="s">
        <v>7</v>
      </c>
      <c r="BU834" s="27" t="s">
        <v>8</v>
      </c>
      <c r="BV834" s="27" t="s">
        <v>7</v>
      </c>
      <c r="HQ834" s="27" t="s">
        <v>8</v>
      </c>
      <c r="HR834" s="27" t="s">
        <v>7</v>
      </c>
      <c r="HS834" s="27" t="s">
        <v>8</v>
      </c>
    </row>
    <row r="835" spans="1:227" x14ac:dyDescent="0.25">
      <c r="A835" s="7">
        <v>7.3647397226634772E-3</v>
      </c>
      <c r="B835"/>
      <c r="C835"/>
      <c r="D835"/>
      <c r="E835"/>
      <c r="F835" s="27" t="s">
        <v>7</v>
      </c>
      <c r="BU835" s="27" t="s">
        <v>8</v>
      </c>
      <c r="BV835" s="27" t="s">
        <v>7</v>
      </c>
      <c r="HQ835" s="27" t="s">
        <v>8</v>
      </c>
      <c r="HR835" s="27" t="s">
        <v>7</v>
      </c>
      <c r="HS835" s="27" t="s">
        <v>8</v>
      </c>
    </row>
    <row r="836" spans="1:227" x14ac:dyDescent="0.25">
      <c r="A836" s="7">
        <v>7.2203330614347815E-3</v>
      </c>
      <c r="B836"/>
      <c r="C836"/>
      <c r="D836"/>
      <c r="E836"/>
      <c r="F836" s="27" t="s">
        <v>7</v>
      </c>
      <c r="BU836" s="27" t="s">
        <v>8</v>
      </c>
      <c r="BV836" s="27" t="s">
        <v>7</v>
      </c>
      <c r="HQ836" s="27" t="s">
        <v>8</v>
      </c>
      <c r="HR836" s="27" t="s">
        <v>7</v>
      </c>
      <c r="HS836" s="27" t="s">
        <v>8</v>
      </c>
    </row>
    <row r="837" spans="1:227" x14ac:dyDescent="0.25">
      <c r="A837" s="7">
        <v>7.0787579033674327E-3</v>
      </c>
      <c r="B837"/>
      <c r="C837"/>
      <c r="D837"/>
      <c r="E837"/>
      <c r="F837" s="27" t="s">
        <v>7</v>
      </c>
      <c r="BU837" s="27" t="s">
        <v>8</v>
      </c>
      <c r="BV837" s="27" t="s">
        <v>7</v>
      </c>
      <c r="HQ837" s="27" t="s">
        <v>8</v>
      </c>
      <c r="HR837" s="27" t="s">
        <v>7</v>
      </c>
      <c r="HS837" s="27" t="s">
        <v>8</v>
      </c>
    </row>
    <row r="838" spans="1:227" x14ac:dyDescent="0.25">
      <c r="A838" s="7">
        <v>6.9399587287916013E-3</v>
      </c>
      <c r="B838"/>
      <c r="C838"/>
      <c r="D838"/>
      <c r="E838"/>
      <c r="F838" s="27" t="s">
        <v>7</v>
      </c>
      <c r="BU838" s="27" t="s">
        <v>8</v>
      </c>
      <c r="BV838" s="27" t="s">
        <v>7</v>
      </c>
      <c r="HQ838" s="27" t="s">
        <v>8</v>
      </c>
      <c r="HR838" s="27" t="s">
        <v>7</v>
      </c>
      <c r="HS838" s="27" t="s">
        <v>8</v>
      </c>
    </row>
    <row r="839" spans="1:227" x14ac:dyDescent="0.25">
      <c r="A839" s="7">
        <v>6.8038811066584333E-3</v>
      </c>
      <c r="B839"/>
      <c r="C839"/>
      <c r="D839"/>
      <c r="E839"/>
      <c r="F839" s="27" t="s">
        <v>7</v>
      </c>
      <c r="BU839" s="27" t="s">
        <v>8</v>
      </c>
      <c r="BV839" s="27" t="s">
        <v>7</v>
      </c>
      <c r="HQ839" s="27" t="s">
        <v>8</v>
      </c>
      <c r="HR839" s="27" t="s">
        <v>7</v>
      </c>
      <c r="HS839" s="27" t="s">
        <v>8</v>
      </c>
    </row>
    <row r="840" spans="1:227" x14ac:dyDescent="0.25">
      <c r="A840" s="7">
        <v>6.6704716731945425E-3</v>
      </c>
      <c r="B840"/>
      <c r="C840"/>
      <c r="D840"/>
      <c r="E840"/>
      <c r="F840" s="27" t="s">
        <v>7</v>
      </c>
      <c r="BU840" s="27" t="s">
        <v>8</v>
      </c>
      <c r="BV840" s="27" t="s">
        <v>7</v>
      </c>
      <c r="HQ840" s="27" t="s">
        <v>8</v>
      </c>
      <c r="HR840" s="27" t="s">
        <v>7</v>
      </c>
      <c r="HS840" s="27" t="s">
        <v>8</v>
      </c>
    </row>
    <row r="841" spans="1:227" x14ac:dyDescent="0.25">
      <c r="A841" s="7">
        <v>6.5396781109750427E-3</v>
      </c>
      <c r="B841"/>
      <c r="C841"/>
      <c r="D841"/>
      <c r="E841"/>
      <c r="F841" s="27" t="s">
        <v>7</v>
      </c>
      <c r="BU841" s="27" t="s">
        <v>8</v>
      </c>
      <c r="BV841" s="27" t="s">
        <v>7</v>
      </c>
      <c r="HQ841" s="27" t="s">
        <v>8</v>
      </c>
      <c r="HR841" s="27" t="s">
        <v>7</v>
      </c>
      <c r="HS841" s="27" t="s">
        <v>8</v>
      </c>
    </row>
    <row r="842" spans="1:227" x14ac:dyDescent="0.25">
      <c r="A842" s="7">
        <v>6.4114491284069045E-3</v>
      </c>
      <c r="B842"/>
      <c r="C842"/>
      <c r="D842"/>
      <c r="E842"/>
      <c r="F842" s="27" t="s">
        <v>7</v>
      </c>
      <c r="BU842" s="27" t="s">
        <v>8</v>
      </c>
      <c r="BV842" s="27" t="s">
        <v>7</v>
      </c>
      <c r="HQ842" s="27" t="s">
        <v>8</v>
      </c>
      <c r="HR842" s="27" t="s">
        <v>7</v>
      </c>
      <c r="HS842" s="27" t="s">
        <v>8</v>
      </c>
    </row>
    <row r="843" spans="1:227" x14ac:dyDescent="0.25">
      <c r="A843" s="7">
        <v>6.2857344396146115E-3</v>
      </c>
      <c r="B843"/>
      <c r="C843"/>
      <c r="D843"/>
      <c r="E843"/>
      <c r="F843" s="27" t="s">
        <v>7</v>
      </c>
      <c r="BU843" s="27" t="s">
        <v>8</v>
      </c>
      <c r="BV843" s="27" t="s">
        <v>7</v>
      </c>
      <c r="HO843" s="27" t="s">
        <v>8</v>
      </c>
      <c r="HQ843" s="27" t="s">
        <v>8</v>
      </c>
      <c r="HR843" s="27" t="s">
        <v>7</v>
      </c>
      <c r="HS843" s="27" t="s">
        <v>8</v>
      </c>
    </row>
    <row r="844" spans="1:227" x14ac:dyDescent="0.25">
      <c r="A844" s="7">
        <v>6.1624847447202076E-3</v>
      </c>
      <c r="B844"/>
      <c r="C844"/>
      <c r="D844"/>
      <c r="E844"/>
      <c r="F844" s="27" t="s">
        <v>7</v>
      </c>
      <c r="BU844" s="27" t="s">
        <v>8</v>
      </c>
      <c r="BV844" s="27" t="s">
        <v>7</v>
      </c>
      <c r="HO844" s="27" t="s">
        <v>8</v>
      </c>
      <c r="HP844" s="27" t="s">
        <v>7</v>
      </c>
      <c r="HQ844" s="27" t="s">
        <v>8</v>
      </c>
      <c r="HR844" s="27" t="s">
        <v>7</v>
      </c>
      <c r="HS844" s="27" t="s">
        <v>8</v>
      </c>
    </row>
    <row r="845" spans="1:227" x14ac:dyDescent="0.25">
      <c r="A845" s="7">
        <v>6.0416517105100079E-3</v>
      </c>
      <c r="B845"/>
      <c r="C845"/>
      <c r="D845"/>
      <c r="E845"/>
      <c r="F845" s="27" t="s">
        <v>7</v>
      </c>
      <c r="BS845" s="27" t="s">
        <v>8</v>
      </c>
      <c r="BU845" s="27" t="s">
        <v>8</v>
      </c>
      <c r="BV845" s="27" t="s">
        <v>7</v>
      </c>
      <c r="HO845" s="27" t="s">
        <v>8</v>
      </c>
      <c r="HP845" s="27" t="s">
        <v>7</v>
      </c>
      <c r="HQ845" s="27" t="s">
        <v>8</v>
      </c>
      <c r="HR845" s="27" t="s">
        <v>7</v>
      </c>
      <c r="HS845" s="27" t="s">
        <v>8</v>
      </c>
    </row>
    <row r="846" spans="1:227" x14ac:dyDescent="0.25">
      <c r="A846" s="7">
        <v>5.9231879514803996E-3</v>
      </c>
      <c r="B846"/>
      <c r="C846"/>
      <c r="D846"/>
      <c r="E846"/>
      <c r="F846" s="27" t="s">
        <v>7</v>
      </c>
      <c r="BS846" s="27" t="s">
        <v>8</v>
      </c>
      <c r="BT846" s="27" t="s">
        <v>7</v>
      </c>
      <c r="BU846" s="27" t="s">
        <v>8</v>
      </c>
      <c r="BV846" s="27" t="s">
        <v>7</v>
      </c>
      <c r="HO846" s="27" t="s">
        <v>8</v>
      </c>
      <c r="HP846" s="27" t="s">
        <v>7</v>
      </c>
      <c r="HQ846" s="27" t="s">
        <v>8</v>
      </c>
      <c r="HR846" s="27" t="s">
        <v>7</v>
      </c>
      <c r="HS846" s="27" t="s">
        <v>8</v>
      </c>
    </row>
    <row r="847" spans="1:227" x14ac:dyDescent="0.25">
      <c r="A847" s="7">
        <v>5.8070470112552936E-3</v>
      </c>
      <c r="B847"/>
      <c r="C847"/>
      <c r="D847"/>
      <c r="E847"/>
      <c r="F847" s="27" t="s">
        <v>7</v>
      </c>
      <c r="BS847" s="27" t="s">
        <v>8</v>
      </c>
      <c r="BT847" s="27" t="s">
        <v>7</v>
      </c>
      <c r="BU847" s="27" t="s">
        <v>8</v>
      </c>
      <c r="BV847" s="27" t="s">
        <v>7</v>
      </c>
      <c r="FC847" s="27" t="s">
        <v>8</v>
      </c>
      <c r="HO847" s="27" t="s">
        <v>8</v>
      </c>
      <c r="HP847" s="27" t="s">
        <v>7</v>
      </c>
      <c r="HQ847" s="27" t="s">
        <v>8</v>
      </c>
      <c r="HR847" s="27" t="s">
        <v>7</v>
      </c>
      <c r="HS847" s="27" t="s">
        <v>8</v>
      </c>
    </row>
    <row r="848" spans="1:227" x14ac:dyDescent="0.25">
      <c r="A848" s="7">
        <v>5.6931833443679353E-3</v>
      </c>
      <c r="B848"/>
      <c r="C848"/>
      <c r="D848"/>
      <c r="E848"/>
      <c r="F848" s="27" t="s">
        <v>7</v>
      </c>
      <c r="BS848" s="27" t="s">
        <v>8</v>
      </c>
      <c r="BT848" s="27" t="s">
        <v>7</v>
      </c>
      <c r="BU848" s="27" t="s">
        <v>8</v>
      </c>
      <c r="BV848" s="27" t="s">
        <v>7</v>
      </c>
      <c r="FC848" s="27" t="s">
        <v>8</v>
      </c>
      <c r="FD848" s="27" t="s">
        <v>7</v>
      </c>
      <c r="HO848" s="27" t="s">
        <v>8</v>
      </c>
      <c r="HP848" s="27" t="s">
        <v>7</v>
      </c>
      <c r="HQ848" s="27" t="s">
        <v>8</v>
      </c>
      <c r="HR848" s="27" t="s">
        <v>7</v>
      </c>
      <c r="HS848" s="27" t="s">
        <v>8</v>
      </c>
    </row>
    <row r="849" spans="1:227" x14ac:dyDescent="0.25">
      <c r="A849" s="7">
        <v>5.5815522983999367E-3</v>
      </c>
      <c r="B849"/>
      <c r="C849"/>
      <c r="D849"/>
      <c r="E849"/>
      <c r="F849" s="27" t="s">
        <v>7</v>
      </c>
      <c r="BS849" s="27" t="s">
        <v>8</v>
      </c>
      <c r="BT849" s="27" t="s">
        <v>7</v>
      </c>
      <c r="BU849" s="27" t="s">
        <v>8</v>
      </c>
      <c r="BV849" s="27" t="s">
        <v>7</v>
      </c>
      <c r="EO849" s="27" t="s">
        <v>8</v>
      </c>
      <c r="FC849" s="27" t="s">
        <v>8</v>
      </c>
      <c r="FD849" s="27" t="s">
        <v>7</v>
      </c>
      <c r="HO849" s="27" t="s">
        <v>8</v>
      </c>
      <c r="HP849" s="27" t="s">
        <v>7</v>
      </c>
      <c r="HQ849" s="27" t="s">
        <v>8</v>
      </c>
      <c r="HR849" s="27" t="s">
        <v>7</v>
      </c>
      <c r="HS849" s="27" t="s">
        <v>8</v>
      </c>
    </row>
    <row r="850" spans="1:227" x14ac:dyDescent="0.25">
      <c r="A850" s="7">
        <v>5.4721100964705257E-3</v>
      </c>
      <c r="B850"/>
      <c r="C850"/>
      <c r="D850"/>
      <c r="E850"/>
      <c r="F850" s="27" t="s">
        <v>7</v>
      </c>
      <c r="BS850" s="27" t="s">
        <v>8</v>
      </c>
      <c r="BT850" s="27" t="s">
        <v>7</v>
      </c>
      <c r="BU850" s="27" t="s">
        <v>8</v>
      </c>
      <c r="BV850" s="27" t="s">
        <v>7</v>
      </c>
      <c r="EO850" s="27" t="s">
        <v>8</v>
      </c>
      <c r="EP850" s="27" t="s">
        <v>7</v>
      </c>
      <c r="EY850" s="27" t="s">
        <v>8</v>
      </c>
      <c r="FC850" s="27" t="s">
        <v>8</v>
      </c>
      <c r="FD850" s="27" t="s">
        <v>7</v>
      </c>
      <c r="HO850" s="27" t="s">
        <v>8</v>
      </c>
      <c r="HP850" s="27" t="s">
        <v>7</v>
      </c>
      <c r="HQ850" s="27" t="s">
        <v>8</v>
      </c>
      <c r="HR850" s="27" t="s">
        <v>7</v>
      </c>
      <c r="HS850" s="27" t="s">
        <v>8</v>
      </c>
    </row>
    <row r="851" spans="1:227" x14ac:dyDescent="0.25">
      <c r="A851" s="7">
        <v>5.3648138200691423E-3</v>
      </c>
      <c r="B851"/>
      <c r="C851"/>
      <c r="D851"/>
      <c r="E851"/>
      <c r="F851" s="27" t="s">
        <v>7</v>
      </c>
      <c r="BS851" s="27" t="s">
        <v>8</v>
      </c>
      <c r="BT851" s="27" t="s">
        <v>7</v>
      </c>
      <c r="BU851" s="27" t="s">
        <v>8</v>
      </c>
      <c r="BV851" s="27" t="s">
        <v>7</v>
      </c>
      <c r="EO851" s="27" t="s">
        <v>8</v>
      </c>
      <c r="EP851" s="27" t="s">
        <v>7</v>
      </c>
      <c r="EQ851" s="27" t="s">
        <v>8</v>
      </c>
      <c r="ES851" s="27" t="s">
        <v>8</v>
      </c>
      <c r="EY851" s="27" t="s">
        <v>8</v>
      </c>
      <c r="EZ851" s="27" t="s">
        <v>7</v>
      </c>
      <c r="FA851" s="27" t="s">
        <v>8</v>
      </c>
      <c r="FC851" s="27" t="s">
        <v>8</v>
      </c>
      <c r="FD851" s="27" t="s">
        <v>7</v>
      </c>
      <c r="FI851" s="27" t="s">
        <v>8</v>
      </c>
      <c r="HO851" s="27" t="s">
        <v>8</v>
      </c>
      <c r="HP851" s="27" t="s">
        <v>7</v>
      </c>
      <c r="HQ851" s="27" t="s">
        <v>8</v>
      </c>
      <c r="HR851" s="27" t="s">
        <v>7</v>
      </c>
      <c r="HS851" s="27" t="s">
        <v>8</v>
      </c>
    </row>
    <row r="852" spans="1:227" x14ac:dyDescent="0.25">
      <c r="A852" s="7">
        <v>5.2596213922246494E-3</v>
      </c>
      <c r="B852"/>
      <c r="C852"/>
      <c r="D852"/>
      <c r="E852"/>
      <c r="F852" s="27" t="s">
        <v>7</v>
      </c>
      <c r="BS852" s="27" t="s">
        <v>8</v>
      </c>
      <c r="BT852" s="27" t="s">
        <v>7</v>
      </c>
      <c r="BU852" s="27" t="s">
        <v>8</v>
      </c>
      <c r="BV852" s="27" t="s">
        <v>7</v>
      </c>
      <c r="EO852" s="27" t="s">
        <v>8</v>
      </c>
      <c r="EP852" s="27" t="s">
        <v>7</v>
      </c>
      <c r="EQ852" s="27" t="s">
        <v>8</v>
      </c>
      <c r="ER852" s="27" t="s">
        <v>7</v>
      </c>
      <c r="ES852" s="27" t="s">
        <v>8</v>
      </c>
      <c r="ET852" s="27" t="s">
        <v>7</v>
      </c>
      <c r="EY852" s="27" t="s">
        <v>8</v>
      </c>
      <c r="EZ852" s="27" t="s">
        <v>7</v>
      </c>
      <c r="FA852" s="27" t="s">
        <v>8</v>
      </c>
      <c r="FB852" s="27" t="s">
        <v>7</v>
      </c>
      <c r="FC852" s="27" t="s">
        <v>8</v>
      </c>
      <c r="FD852" s="27" t="s">
        <v>7</v>
      </c>
      <c r="FI852" s="27" t="s">
        <v>8</v>
      </c>
      <c r="FJ852" s="27" t="s">
        <v>7</v>
      </c>
      <c r="HO852" s="27" t="s">
        <v>8</v>
      </c>
      <c r="HP852" s="27" t="s">
        <v>7</v>
      </c>
      <c r="HQ852" s="27" t="s">
        <v>8</v>
      </c>
      <c r="HR852" s="27" t="s">
        <v>7</v>
      </c>
      <c r="HS852" s="27" t="s">
        <v>8</v>
      </c>
    </row>
    <row r="853" spans="1:227" x14ac:dyDescent="0.25">
      <c r="A853" s="7">
        <v>5.1564915610045588E-3</v>
      </c>
      <c r="B853"/>
      <c r="C853"/>
      <c r="D853"/>
      <c r="E853"/>
      <c r="F853" s="27" t="s">
        <v>7</v>
      </c>
      <c r="BS853" s="27" t="s">
        <v>8</v>
      </c>
      <c r="BT853" s="27" t="s">
        <v>7</v>
      </c>
      <c r="BU853" s="27" t="s">
        <v>8</v>
      </c>
      <c r="BV853" s="27" t="s">
        <v>7</v>
      </c>
      <c r="EO853" s="27" t="s">
        <v>8</v>
      </c>
      <c r="EP853" s="27" t="s">
        <v>7</v>
      </c>
      <c r="EQ853" s="27" t="s">
        <v>8</v>
      </c>
      <c r="ER853" s="27" t="s">
        <v>7</v>
      </c>
      <c r="ES853" s="27" t="s">
        <v>8</v>
      </c>
      <c r="ET853" s="27" t="s">
        <v>7</v>
      </c>
      <c r="EY853" s="27" t="s">
        <v>8</v>
      </c>
      <c r="EZ853" s="27" t="s">
        <v>7</v>
      </c>
      <c r="FA853" s="27" t="s">
        <v>8</v>
      </c>
      <c r="FB853" s="27" t="s">
        <v>7</v>
      </c>
      <c r="FC853" s="27" t="s">
        <v>8</v>
      </c>
      <c r="FD853" s="27" t="s">
        <v>7</v>
      </c>
      <c r="FI853" s="27" t="s">
        <v>8</v>
      </c>
      <c r="FJ853" s="27" t="s">
        <v>7</v>
      </c>
      <c r="HO853" s="27" t="s">
        <v>8</v>
      </c>
      <c r="HP853" s="27" t="s">
        <v>7</v>
      </c>
      <c r="HQ853" s="27" t="s">
        <v>8</v>
      </c>
      <c r="HR853" s="27" t="s">
        <v>7</v>
      </c>
      <c r="HS853" s="27" t="s">
        <v>8</v>
      </c>
    </row>
    <row r="854" spans="1:227" x14ac:dyDescent="0.25">
      <c r="A854" s="7">
        <v>5.0553838833378023E-3</v>
      </c>
      <c r="B854"/>
      <c r="C854"/>
      <c r="D854"/>
      <c r="E854"/>
      <c r="F854" s="27" t="s">
        <v>7</v>
      </c>
      <c r="BS854" s="27" t="s">
        <v>8</v>
      </c>
      <c r="BT854" s="27" t="s">
        <v>7</v>
      </c>
      <c r="BV854" s="27" t="s">
        <v>7</v>
      </c>
      <c r="EO854" s="27" t="s">
        <v>8</v>
      </c>
      <c r="EP854" s="27" t="s">
        <v>7</v>
      </c>
      <c r="EQ854" s="27" t="s">
        <v>8</v>
      </c>
      <c r="ER854" s="27" t="s">
        <v>7</v>
      </c>
      <c r="ES854" s="27" t="s">
        <v>8</v>
      </c>
      <c r="ET854" s="27" t="s">
        <v>7</v>
      </c>
      <c r="EY854" s="27" t="s">
        <v>8</v>
      </c>
      <c r="EZ854" s="27" t="s">
        <v>7</v>
      </c>
      <c r="FA854" s="27" t="s">
        <v>8</v>
      </c>
      <c r="FB854" s="27" t="s">
        <v>7</v>
      </c>
      <c r="FC854" s="27" t="s">
        <v>8</v>
      </c>
      <c r="FD854" s="27" t="s">
        <v>7</v>
      </c>
      <c r="FE854" s="27" t="s">
        <v>8</v>
      </c>
      <c r="FI854" s="27" t="s">
        <v>8</v>
      </c>
      <c r="FJ854" s="27" t="s">
        <v>7</v>
      </c>
      <c r="HO854" s="27" t="s">
        <v>8</v>
      </c>
      <c r="HP854" s="27" t="s">
        <v>7</v>
      </c>
      <c r="HQ854" s="27" t="s">
        <v>8</v>
      </c>
      <c r="HR854" s="27" t="s">
        <v>7</v>
      </c>
    </row>
    <row r="855" spans="1:227" x14ac:dyDescent="0.25">
      <c r="A855" s="7">
        <v>4.9562587091547079E-3</v>
      </c>
      <c r="B855"/>
      <c r="C855"/>
      <c r="D855"/>
      <c r="E855"/>
      <c r="F855" s="27" t="s">
        <v>7</v>
      </c>
      <c r="Q855" s="27" t="s">
        <v>8</v>
      </c>
      <c r="BS855" s="27" t="s">
        <v>8</v>
      </c>
      <c r="BV855" s="27" t="s">
        <v>7</v>
      </c>
      <c r="EO855" s="27" t="s">
        <v>8</v>
      </c>
      <c r="EP855" s="27" t="s">
        <v>7</v>
      </c>
      <c r="EQ855" s="27" t="s">
        <v>8</v>
      </c>
      <c r="ER855" s="27" t="s">
        <v>7</v>
      </c>
      <c r="ES855" s="27" t="s">
        <v>8</v>
      </c>
      <c r="ET855" s="27" t="s">
        <v>7</v>
      </c>
      <c r="EW855" s="27" t="s">
        <v>8</v>
      </c>
      <c r="EY855" s="27" t="s">
        <v>8</v>
      </c>
      <c r="EZ855" s="27" t="s">
        <v>7</v>
      </c>
      <c r="FA855" s="27" t="s">
        <v>8</v>
      </c>
      <c r="FB855" s="27" t="s">
        <v>7</v>
      </c>
      <c r="FC855" s="27" t="s">
        <v>8</v>
      </c>
      <c r="FD855" s="27" t="s">
        <v>7</v>
      </c>
      <c r="FE855" s="27" t="s">
        <v>8</v>
      </c>
      <c r="FF855" s="27" t="s">
        <v>7</v>
      </c>
      <c r="FG855" s="27" t="s">
        <v>8</v>
      </c>
      <c r="FI855" s="27" t="s">
        <v>8</v>
      </c>
      <c r="FJ855" s="27" t="s">
        <v>7</v>
      </c>
      <c r="GW855" s="27" t="s">
        <v>8</v>
      </c>
      <c r="HO855" s="27" t="s">
        <v>8</v>
      </c>
      <c r="HP855" s="27" t="s">
        <v>7</v>
      </c>
      <c r="HQ855" s="27" t="s">
        <v>8</v>
      </c>
    </row>
    <row r="856" spans="1:227" x14ac:dyDescent="0.25">
      <c r="A856" s="7">
        <v>4.8590771658379491E-3</v>
      </c>
      <c r="B856"/>
      <c r="C856"/>
      <c r="D856"/>
      <c r="E856"/>
      <c r="F856" s="27" t="s">
        <v>7</v>
      </c>
      <c r="Q856" s="27" t="s">
        <v>8</v>
      </c>
      <c r="R856" s="27" t="s">
        <v>7</v>
      </c>
      <c r="BS856" s="27" t="s">
        <v>8</v>
      </c>
      <c r="BV856" s="27" t="s">
        <v>7</v>
      </c>
      <c r="EO856" s="27" t="s">
        <v>8</v>
      </c>
      <c r="EP856" s="27" t="s">
        <v>7</v>
      </c>
      <c r="EQ856" s="27" t="s">
        <v>8</v>
      </c>
      <c r="ER856" s="27" t="s">
        <v>7</v>
      </c>
      <c r="ES856" s="27" t="s">
        <v>8</v>
      </c>
      <c r="ET856" s="27" t="s">
        <v>7</v>
      </c>
      <c r="EW856" s="27" t="s">
        <v>8</v>
      </c>
      <c r="EX856" s="27" t="s">
        <v>7</v>
      </c>
      <c r="EY856" s="27" t="s">
        <v>8</v>
      </c>
      <c r="EZ856" s="27" t="s">
        <v>7</v>
      </c>
      <c r="FA856" s="27" t="s">
        <v>8</v>
      </c>
      <c r="FB856" s="27" t="s">
        <v>7</v>
      </c>
      <c r="FC856" s="27" t="s">
        <v>8</v>
      </c>
      <c r="FD856" s="27" t="s">
        <v>7</v>
      </c>
      <c r="FE856" s="27" t="s">
        <v>8</v>
      </c>
      <c r="FF856" s="27" t="s">
        <v>7</v>
      </c>
      <c r="FG856" s="27" t="s">
        <v>8</v>
      </c>
      <c r="FH856" s="27" t="s">
        <v>7</v>
      </c>
      <c r="FI856" s="27" t="s">
        <v>8</v>
      </c>
      <c r="FJ856" s="27" t="s">
        <v>7</v>
      </c>
      <c r="GW856" s="27" t="s">
        <v>8</v>
      </c>
      <c r="GX856" s="27" t="s">
        <v>7</v>
      </c>
      <c r="HI856" s="27" t="s">
        <v>8</v>
      </c>
      <c r="HO856" s="27" t="s">
        <v>8</v>
      </c>
      <c r="HP856" s="27" t="s">
        <v>7</v>
      </c>
      <c r="HQ856" s="27" t="s">
        <v>8</v>
      </c>
    </row>
    <row r="857" spans="1:227" x14ac:dyDescent="0.25">
      <c r="A857" s="7">
        <v>4.7638011429783815E-3</v>
      </c>
      <c r="B857"/>
      <c r="C857"/>
      <c r="D857"/>
      <c r="E857"/>
      <c r="F857" s="27" t="s">
        <v>7</v>
      </c>
      <c r="Q857" s="27" t="s">
        <v>8</v>
      </c>
      <c r="R857" s="27" t="s">
        <v>7</v>
      </c>
      <c r="BS857" s="27" t="s">
        <v>8</v>
      </c>
      <c r="BV857" s="27" t="s">
        <v>7</v>
      </c>
      <c r="EO857" s="27" t="s">
        <v>8</v>
      </c>
      <c r="EP857" s="27" t="s">
        <v>7</v>
      </c>
      <c r="EQ857" s="27" t="s">
        <v>8</v>
      </c>
      <c r="ER857" s="27" t="s">
        <v>7</v>
      </c>
      <c r="ES857" s="27" t="s">
        <v>8</v>
      </c>
      <c r="ET857" s="27" t="s">
        <v>7</v>
      </c>
      <c r="EU857" s="27" t="s">
        <v>8</v>
      </c>
      <c r="EW857" s="27" t="s">
        <v>8</v>
      </c>
      <c r="EX857" s="27" t="s">
        <v>7</v>
      </c>
      <c r="EY857" s="27" t="s">
        <v>8</v>
      </c>
      <c r="EZ857" s="27" t="s">
        <v>7</v>
      </c>
      <c r="FB857" s="27" t="s">
        <v>7</v>
      </c>
      <c r="FC857" s="27" t="s">
        <v>8</v>
      </c>
      <c r="FD857" s="27" t="s">
        <v>7</v>
      </c>
      <c r="FE857" s="27" t="s">
        <v>8</v>
      </c>
      <c r="FF857" s="27" t="s">
        <v>7</v>
      </c>
      <c r="FG857" s="27" t="s">
        <v>8</v>
      </c>
      <c r="FH857" s="27" t="s">
        <v>7</v>
      </c>
      <c r="FI857" s="27" t="s">
        <v>8</v>
      </c>
      <c r="FJ857" s="27" t="s">
        <v>7</v>
      </c>
      <c r="GW857" s="27" t="s">
        <v>8</v>
      </c>
      <c r="GX857" s="27" t="s">
        <v>7</v>
      </c>
      <c r="HI857" s="27" t="s">
        <v>8</v>
      </c>
      <c r="HJ857" s="27" t="s">
        <v>7</v>
      </c>
      <c r="HO857" s="27" t="s">
        <v>8</v>
      </c>
      <c r="HP857" s="27" t="s">
        <v>7</v>
      </c>
      <c r="HQ857" s="27" t="s">
        <v>8</v>
      </c>
    </row>
    <row r="858" spans="1:227" x14ac:dyDescent="0.25">
      <c r="A858" s="7">
        <v>4.6703932774297859E-3</v>
      </c>
      <c r="B858"/>
      <c r="C858"/>
      <c r="D858"/>
      <c r="E858"/>
      <c r="F858" s="27" t="s">
        <v>7</v>
      </c>
      <c r="Q858" s="27" t="s">
        <v>8</v>
      </c>
      <c r="R858" s="27" t="s">
        <v>7</v>
      </c>
      <c r="BS858" s="27" t="s">
        <v>8</v>
      </c>
      <c r="BV858" s="27" t="s">
        <v>7</v>
      </c>
      <c r="EO858" s="27" t="s">
        <v>8</v>
      </c>
      <c r="EP858" s="27" t="s">
        <v>7</v>
      </c>
      <c r="EQ858" s="27" t="s">
        <v>8</v>
      </c>
      <c r="ER858" s="27" t="s">
        <v>7</v>
      </c>
      <c r="ES858" s="27" t="s">
        <v>8</v>
      </c>
      <c r="ET858" s="27" t="s">
        <v>7</v>
      </c>
      <c r="EU858" s="27" t="s">
        <v>8</v>
      </c>
      <c r="EV858" s="27" t="s">
        <v>7</v>
      </c>
      <c r="EW858" s="27" t="s">
        <v>8</v>
      </c>
      <c r="EX858" s="27" t="s">
        <v>7</v>
      </c>
      <c r="EY858" s="27" t="s">
        <v>8</v>
      </c>
      <c r="FB858" s="27" t="s">
        <v>7</v>
      </c>
      <c r="FC858" s="27" t="s">
        <v>8</v>
      </c>
      <c r="FD858" s="27" t="s">
        <v>7</v>
      </c>
      <c r="FF858" s="27" t="s">
        <v>7</v>
      </c>
      <c r="FG858" s="27" t="s">
        <v>8</v>
      </c>
      <c r="FH858" s="27" t="s">
        <v>7</v>
      </c>
      <c r="FI858" s="27" t="s">
        <v>8</v>
      </c>
      <c r="FJ858" s="27" t="s">
        <v>7</v>
      </c>
      <c r="GW858" s="27" t="s">
        <v>8</v>
      </c>
      <c r="GX858" s="27" t="s">
        <v>7</v>
      </c>
      <c r="HI858" s="27" t="s">
        <v>8</v>
      </c>
      <c r="HJ858" s="27" t="s">
        <v>7</v>
      </c>
      <c r="HO858" s="27" t="s">
        <v>8</v>
      </c>
      <c r="HP858" s="27" t="s">
        <v>7</v>
      </c>
      <c r="HQ858" s="27" t="s">
        <v>8</v>
      </c>
    </row>
    <row r="859" spans="1:227" x14ac:dyDescent="0.25">
      <c r="A859" s="7">
        <v>4.5788169386566527E-3</v>
      </c>
      <c r="B859"/>
      <c r="C859"/>
      <c r="D859"/>
      <c r="E859"/>
      <c r="F859" s="27" t="s">
        <v>7</v>
      </c>
      <c r="Q859" s="27" t="s">
        <v>8</v>
      </c>
      <c r="R859" s="27" t="s">
        <v>7</v>
      </c>
      <c r="BS859" s="27" t="s">
        <v>8</v>
      </c>
      <c r="BV859" s="27" t="s">
        <v>7</v>
      </c>
      <c r="EO859" s="27" t="s">
        <v>8</v>
      </c>
      <c r="EP859" s="27" t="s">
        <v>7</v>
      </c>
      <c r="EQ859" s="27" t="s">
        <v>8</v>
      </c>
      <c r="ER859" s="27" t="s">
        <v>7</v>
      </c>
      <c r="ET859" s="27" t="s">
        <v>7</v>
      </c>
      <c r="EU859" s="27" t="s">
        <v>8</v>
      </c>
      <c r="EV859" s="27" t="s">
        <v>7</v>
      </c>
      <c r="EW859" s="27" t="s">
        <v>8</v>
      </c>
      <c r="EX859" s="27" t="s">
        <v>7</v>
      </c>
      <c r="EY859" s="27" t="s">
        <v>8</v>
      </c>
      <c r="FB859" s="27" t="s">
        <v>7</v>
      </c>
      <c r="FF859" s="27" t="s">
        <v>7</v>
      </c>
      <c r="FH859" s="27" t="s">
        <v>7</v>
      </c>
      <c r="FI859" s="27" t="s">
        <v>8</v>
      </c>
      <c r="FJ859" s="27" t="s">
        <v>7</v>
      </c>
      <c r="GW859" s="27" t="s">
        <v>8</v>
      </c>
      <c r="GX859" s="27" t="s">
        <v>7</v>
      </c>
      <c r="HI859" s="27" t="s">
        <v>8</v>
      </c>
      <c r="HJ859" s="27" t="s">
        <v>7</v>
      </c>
      <c r="HO859" s="27" t="s">
        <v>8</v>
      </c>
      <c r="HP859" s="27" t="s">
        <v>7</v>
      </c>
      <c r="HQ859" s="27" t="s">
        <v>8</v>
      </c>
    </row>
    <row r="860" spans="1:227" x14ac:dyDescent="0.25">
      <c r="A860" s="7">
        <v>4.4890362143692672E-3</v>
      </c>
      <c r="B860"/>
      <c r="C860"/>
      <c r="D860"/>
      <c r="E860"/>
      <c r="F860" s="27" t="s">
        <v>7</v>
      </c>
      <c r="Q860" s="27" t="s">
        <v>8</v>
      </c>
      <c r="R860" s="27" t="s">
        <v>7</v>
      </c>
      <c r="BS860" s="27" t="s">
        <v>8</v>
      </c>
      <c r="BV860" s="27" t="s">
        <v>7</v>
      </c>
      <c r="EO860" s="27" t="s">
        <v>8</v>
      </c>
      <c r="EP860" s="27" t="s">
        <v>7</v>
      </c>
      <c r="EQ860" s="27" t="s">
        <v>8</v>
      </c>
      <c r="ET860" s="27" t="s">
        <v>7</v>
      </c>
      <c r="EU860" s="27" t="s">
        <v>8</v>
      </c>
      <c r="EV860" s="27" t="s">
        <v>7</v>
      </c>
      <c r="EW860" s="27" t="s">
        <v>8</v>
      </c>
      <c r="EX860" s="27" t="s">
        <v>7</v>
      </c>
      <c r="EY860" s="27" t="s">
        <v>8</v>
      </c>
      <c r="FH860" s="27" t="s">
        <v>7</v>
      </c>
      <c r="FJ860" s="27" t="s">
        <v>7</v>
      </c>
      <c r="GW860" s="27" t="s">
        <v>8</v>
      </c>
      <c r="GX860" s="27" t="s">
        <v>7</v>
      </c>
      <c r="GY860" s="27" t="s">
        <v>8</v>
      </c>
      <c r="HC860" s="27" t="s">
        <v>8</v>
      </c>
      <c r="HI860" s="27" t="s">
        <v>8</v>
      </c>
      <c r="HJ860" s="27" t="s">
        <v>7</v>
      </c>
      <c r="HO860" s="27" t="s">
        <v>8</v>
      </c>
      <c r="HP860" s="27" t="s">
        <v>7</v>
      </c>
      <c r="HQ860" s="27" t="s">
        <v>8</v>
      </c>
    </row>
    <row r="861" spans="1:227" x14ac:dyDescent="0.25">
      <c r="A861" s="7">
        <v>4.4010158964404578E-3</v>
      </c>
      <c r="B861"/>
      <c r="C861"/>
      <c r="D861"/>
      <c r="E861"/>
      <c r="F861" s="27" t="s">
        <v>7</v>
      </c>
      <c r="Q861" s="27" t="s">
        <v>8</v>
      </c>
      <c r="R861" s="27" t="s">
        <v>7</v>
      </c>
      <c r="Y861" s="27" t="s">
        <v>8</v>
      </c>
      <c r="BS861" s="27" t="s">
        <v>8</v>
      </c>
      <c r="BV861" s="27" t="s">
        <v>7</v>
      </c>
      <c r="EG861" s="27" t="s">
        <v>8</v>
      </c>
      <c r="EO861" s="27" t="s">
        <v>8</v>
      </c>
      <c r="EP861" s="27" t="s">
        <v>7</v>
      </c>
      <c r="ET861" s="27" t="s">
        <v>7</v>
      </c>
      <c r="EU861" s="27" t="s">
        <v>8</v>
      </c>
      <c r="EV861" s="27" t="s">
        <v>7</v>
      </c>
      <c r="EX861" s="27" t="s">
        <v>7</v>
      </c>
      <c r="FJ861" s="27" t="s">
        <v>7</v>
      </c>
      <c r="GW861" s="27" t="s">
        <v>8</v>
      </c>
      <c r="GX861" s="27" t="s">
        <v>7</v>
      </c>
      <c r="GY861" s="27" t="s">
        <v>8</v>
      </c>
      <c r="GZ861" s="27" t="s">
        <v>7</v>
      </c>
      <c r="HC861" s="27" t="s">
        <v>8</v>
      </c>
      <c r="HD861" s="27" t="s">
        <v>7</v>
      </c>
      <c r="HG861" s="27" t="s">
        <v>8</v>
      </c>
      <c r="HI861" s="27" t="s">
        <v>8</v>
      </c>
      <c r="HJ861" s="27" t="s">
        <v>7</v>
      </c>
      <c r="HO861" s="27" t="s">
        <v>8</v>
      </c>
      <c r="HP861" s="27" t="s">
        <v>7</v>
      </c>
      <c r="HQ861" s="27" t="s">
        <v>8</v>
      </c>
    </row>
    <row r="862" spans="1:227" x14ac:dyDescent="0.25">
      <c r="A862" s="7">
        <v>4.314721467098488E-3</v>
      </c>
      <c r="B862"/>
      <c r="C862"/>
      <c r="D862"/>
      <c r="E862"/>
      <c r="F862" s="27" t="s">
        <v>7</v>
      </c>
      <c r="Q862" s="27" t="s">
        <v>8</v>
      </c>
      <c r="R862" s="27" t="s">
        <v>7</v>
      </c>
      <c r="Y862" s="27" t="s">
        <v>8</v>
      </c>
      <c r="Z862" s="27" t="s">
        <v>7</v>
      </c>
      <c r="BS862" s="27" t="s">
        <v>8</v>
      </c>
      <c r="BV862" s="27" t="s">
        <v>7</v>
      </c>
      <c r="EG862" s="27" t="s">
        <v>8</v>
      </c>
      <c r="EH862" s="27" t="s">
        <v>7</v>
      </c>
      <c r="EI862" s="27" t="s">
        <v>8</v>
      </c>
      <c r="EO862" s="27" t="s">
        <v>8</v>
      </c>
      <c r="ET862" s="27" t="s">
        <v>7</v>
      </c>
      <c r="EU862" s="27" t="s">
        <v>8</v>
      </c>
      <c r="FJ862" s="27" t="s">
        <v>7</v>
      </c>
      <c r="GW862" s="27" t="s">
        <v>8</v>
      </c>
      <c r="GX862" s="27" t="s">
        <v>7</v>
      </c>
      <c r="GY862" s="27" t="s">
        <v>8</v>
      </c>
      <c r="GZ862" s="27" t="s">
        <v>7</v>
      </c>
      <c r="HC862" s="27" t="s">
        <v>8</v>
      </c>
      <c r="HD862" s="27" t="s">
        <v>7</v>
      </c>
      <c r="HE862" s="27" t="s">
        <v>8</v>
      </c>
      <c r="HG862" s="27" t="s">
        <v>8</v>
      </c>
      <c r="HH862" s="27" t="s">
        <v>7</v>
      </c>
      <c r="HI862" s="27" t="s">
        <v>8</v>
      </c>
      <c r="HJ862" s="27" t="s">
        <v>7</v>
      </c>
      <c r="HO862" s="27" t="s">
        <v>8</v>
      </c>
      <c r="HP862" s="27" t="s">
        <v>7</v>
      </c>
      <c r="HQ862" s="27" t="s">
        <v>8</v>
      </c>
    </row>
    <row r="863" spans="1:227" x14ac:dyDescent="0.25">
      <c r="A863" s="7">
        <v>4.2301190853906746E-3</v>
      </c>
      <c r="B863"/>
      <c r="C863"/>
      <c r="D863"/>
      <c r="E863"/>
      <c r="F863" s="27" t="s">
        <v>7</v>
      </c>
      <c r="Q863" s="27" t="s">
        <v>8</v>
      </c>
      <c r="R863" s="27" t="s">
        <v>7</v>
      </c>
      <c r="Y863" s="27" t="s">
        <v>8</v>
      </c>
      <c r="Z863" s="27" t="s">
        <v>7</v>
      </c>
      <c r="AM863" s="27" t="s">
        <v>8</v>
      </c>
      <c r="BA863" s="27" t="s">
        <v>8</v>
      </c>
      <c r="BC863" s="27" t="s">
        <v>8</v>
      </c>
      <c r="BS863" s="27" t="s">
        <v>8</v>
      </c>
      <c r="BV863" s="27" t="s">
        <v>7</v>
      </c>
      <c r="EG863" s="27" t="s">
        <v>8</v>
      </c>
      <c r="EH863" s="27" t="s">
        <v>7</v>
      </c>
      <c r="EI863" s="27" t="s">
        <v>8</v>
      </c>
      <c r="EJ863" s="27" t="s">
        <v>7</v>
      </c>
      <c r="EO863" s="27" t="s">
        <v>8</v>
      </c>
      <c r="ET863" s="27" t="s">
        <v>7</v>
      </c>
      <c r="EU863" s="27" t="s">
        <v>8</v>
      </c>
      <c r="FJ863" s="27" t="s">
        <v>7</v>
      </c>
      <c r="GM863" s="27" t="s">
        <v>8</v>
      </c>
      <c r="GO863" s="27" t="s">
        <v>8</v>
      </c>
      <c r="GW863" s="27" t="s">
        <v>8</v>
      </c>
      <c r="GX863" s="27" t="s">
        <v>7</v>
      </c>
      <c r="GY863" s="27" t="s">
        <v>8</v>
      </c>
      <c r="GZ863" s="27" t="s">
        <v>7</v>
      </c>
      <c r="HA863" s="27" t="s">
        <v>8</v>
      </c>
      <c r="HC863" s="27" t="s">
        <v>8</v>
      </c>
      <c r="HD863" s="27" t="s">
        <v>7</v>
      </c>
      <c r="HE863" s="27" t="s">
        <v>8</v>
      </c>
      <c r="HF863" s="27" t="s">
        <v>7</v>
      </c>
      <c r="HG863" s="27" t="s">
        <v>8</v>
      </c>
      <c r="HH863" s="27" t="s">
        <v>7</v>
      </c>
      <c r="HI863" s="27" t="s">
        <v>8</v>
      </c>
      <c r="HJ863" s="27" t="s">
        <v>7</v>
      </c>
      <c r="HK863" s="27" t="s">
        <v>8</v>
      </c>
      <c r="HO863" s="27" t="s">
        <v>8</v>
      </c>
      <c r="HP863" s="27" t="s">
        <v>7</v>
      </c>
      <c r="HQ863" s="27" t="s">
        <v>8</v>
      </c>
    </row>
    <row r="864" spans="1:227" x14ac:dyDescent="0.25">
      <c r="A864" s="7">
        <v>4.1471755739124266E-3</v>
      </c>
      <c r="B864"/>
      <c r="C864"/>
      <c r="D864"/>
      <c r="E864"/>
      <c r="F864" s="27" t="s">
        <v>7</v>
      </c>
      <c r="Q864" s="27" t="s">
        <v>8</v>
      </c>
      <c r="R864" s="27" t="s">
        <v>7</v>
      </c>
      <c r="W864" s="27" t="s">
        <v>8</v>
      </c>
      <c r="Y864" s="27" t="s">
        <v>8</v>
      </c>
      <c r="Z864" s="27" t="s">
        <v>7</v>
      </c>
      <c r="AM864" s="27" t="s">
        <v>8</v>
      </c>
      <c r="AN864" s="27" t="s">
        <v>7</v>
      </c>
      <c r="BA864" s="27" t="s">
        <v>8</v>
      </c>
      <c r="BB864" s="27" t="s">
        <v>7</v>
      </c>
      <c r="BC864" s="27" t="s">
        <v>8</v>
      </c>
      <c r="BD864" s="27" t="s">
        <v>7</v>
      </c>
      <c r="BS864" s="27" t="s">
        <v>8</v>
      </c>
      <c r="BV864" s="27" t="s">
        <v>7</v>
      </c>
      <c r="BW864" s="27" t="s">
        <v>8</v>
      </c>
      <c r="EA864" s="27" t="s">
        <v>8</v>
      </c>
      <c r="EG864" s="27" t="s">
        <v>8</v>
      </c>
      <c r="EH864" s="27" t="s">
        <v>7</v>
      </c>
      <c r="EI864" s="27" t="s">
        <v>8</v>
      </c>
      <c r="EJ864" s="27" t="s">
        <v>7</v>
      </c>
      <c r="EM864" s="27" t="s">
        <v>8</v>
      </c>
      <c r="EO864" s="27" t="s">
        <v>8</v>
      </c>
      <c r="ET864" s="27" t="s">
        <v>7</v>
      </c>
      <c r="EU864" s="27" t="s">
        <v>8</v>
      </c>
      <c r="FJ864" s="27" t="s">
        <v>7</v>
      </c>
      <c r="GM864" s="27" t="s">
        <v>8</v>
      </c>
      <c r="GN864" s="27" t="s">
        <v>7</v>
      </c>
      <c r="GO864" s="27" t="s">
        <v>8</v>
      </c>
      <c r="GP864" s="27" t="s">
        <v>7</v>
      </c>
      <c r="GU864" s="27" t="s">
        <v>8</v>
      </c>
      <c r="GW864" s="27" t="s">
        <v>8</v>
      </c>
      <c r="GX864" s="27" t="s">
        <v>7</v>
      </c>
      <c r="GY864" s="27" t="s">
        <v>8</v>
      </c>
      <c r="GZ864" s="27" t="s">
        <v>7</v>
      </c>
      <c r="HA864" s="27" t="s">
        <v>8</v>
      </c>
      <c r="HB864" s="27" t="s">
        <v>7</v>
      </c>
      <c r="HC864" s="27" t="s">
        <v>8</v>
      </c>
      <c r="HD864" s="27" t="s">
        <v>7</v>
      </c>
      <c r="HE864" s="27" t="s">
        <v>8</v>
      </c>
      <c r="HF864" s="27" t="s">
        <v>7</v>
      </c>
      <c r="HG864" s="27" t="s">
        <v>8</v>
      </c>
      <c r="HH864" s="27" t="s">
        <v>7</v>
      </c>
      <c r="HI864" s="27" t="s">
        <v>8</v>
      </c>
      <c r="HJ864" s="27" t="s">
        <v>7</v>
      </c>
      <c r="HK864" s="27" t="s">
        <v>8</v>
      </c>
      <c r="HL864" s="27" t="s">
        <v>7</v>
      </c>
      <c r="HO864" s="27" t="s">
        <v>8</v>
      </c>
      <c r="HP864" s="27" t="s">
        <v>7</v>
      </c>
      <c r="HQ864" s="27" t="s">
        <v>8</v>
      </c>
    </row>
    <row r="865" spans="1:225" x14ac:dyDescent="0.25">
      <c r="A865" s="7">
        <v>4.0658584057964966E-3</v>
      </c>
      <c r="B865"/>
      <c r="C865"/>
      <c r="D865"/>
      <c r="E865"/>
      <c r="F865" s="27" t="s">
        <v>7</v>
      </c>
      <c r="Q865" s="27" t="s">
        <v>8</v>
      </c>
      <c r="R865" s="27" t="s">
        <v>7</v>
      </c>
      <c r="U865" s="27" t="s">
        <v>8</v>
      </c>
      <c r="W865" s="27" t="s">
        <v>8</v>
      </c>
      <c r="X865" s="27" t="s">
        <v>7</v>
      </c>
      <c r="Y865" s="27" t="s">
        <v>8</v>
      </c>
      <c r="Z865" s="27" t="s">
        <v>7</v>
      </c>
      <c r="AK865" s="27" t="s">
        <v>8</v>
      </c>
      <c r="AM865" s="27" t="s">
        <v>8</v>
      </c>
      <c r="AN865" s="27" t="s">
        <v>7</v>
      </c>
      <c r="BA865" s="27" t="s">
        <v>8</v>
      </c>
      <c r="BB865" s="27" t="s">
        <v>7</v>
      </c>
      <c r="BC865" s="27" t="s">
        <v>8</v>
      </c>
      <c r="BD865" s="27" t="s">
        <v>7</v>
      </c>
      <c r="BQ865" s="27" t="s">
        <v>8</v>
      </c>
      <c r="BS865" s="27" t="s">
        <v>8</v>
      </c>
      <c r="BV865" s="27" t="s">
        <v>7</v>
      </c>
      <c r="BW865" s="27" t="s">
        <v>8</v>
      </c>
      <c r="BX865" s="27" t="s">
        <v>7</v>
      </c>
      <c r="EA865" s="27" t="s">
        <v>8</v>
      </c>
      <c r="EB865" s="27" t="s">
        <v>7</v>
      </c>
      <c r="EG865" s="27" t="s">
        <v>8</v>
      </c>
      <c r="EH865" s="27" t="s">
        <v>7</v>
      </c>
      <c r="EI865" s="27" t="s">
        <v>8</v>
      </c>
      <c r="EJ865" s="27" t="s">
        <v>7</v>
      </c>
      <c r="EM865" s="27" t="s">
        <v>8</v>
      </c>
      <c r="EN865" s="27" t="s">
        <v>7</v>
      </c>
      <c r="EO865" s="27" t="s">
        <v>8</v>
      </c>
      <c r="ET865" s="27" t="s">
        <v>7</v>
      </c>
      <c r="EU865" s="27" t="s">
        <v>8</v>
      </c>
      <c r="FJ865" s="27" t="s">
        <v>7</v>
      </c>
      <c r="FK865" s="27" t="s">
        <v>8</v>
      </c>
      <c r="GM865" s="27" t="s">
        <v>8</v>
      </c>
      <c r="GN865" s="27" t="s">
        <v>7</v>
      </c>
      <c r="GO865" s="27" t="s">
        <v>8</v>
      </c>
      <c r="GP865" s="27" t="s">
        <v>7</v>
      </c>
      <c r="GS865" s="27" t="s">
        <v>8</v>
      </c>
      <c r="GU865" s="27" t="s">
        <v>8</v>
      </c>
      <c r="GV865" s="27" t="s">
        <v>7</v>
      </c>
      <c r="GW865" s="27" t="s">
        <v>8</v>
      </c>
      <c r="GX865" s="27" t="s">
        <v>7</v>
      </c>
      <c r="GY865" s="27" t="s">
        <v>8</v>
      </c>
      <c r="GZ865" s="27" t="s">
        <v>7</v>
      </c>
      <c r="HA865" s="27" t="s">
        <v>8</v>
      </c>
      <c r="HB865" s="27" t="s">
        <v>7</v>
      </c>
      <c r="HC865" s="27" t="s">
        <v>8</v>
      </c>
      <c r="HD865" s="27" t="s">
        <v>7</v>
      </c>
      <c r="HE865" s="27" t="s">
        <v>8</v>
      </c>
      <c r="HF865" s="27" t="s">
        <v>7</v>
      </c>
      <c r="HG865" s="27" t="s">
        <v>8</v>
      </c>
      <c r="HH865" s="27" t="s">
        <v>7</v>
      </c>
      <c r="HI865" s="27" t="s">
        <v>8</v>
      </c>
      <c r="HJ865" s="27" t="s">
        <v>7</v>
      </c>
      <c r="HK865" s="27" t="s">
        <v>8</v>
      </c>
      <c r="HL865" s="27" t="s">
        <v>7</v>
      </c>
      <c r="HO865" s="27" t="s">
        <v>8</v>
      </c>
      <c r="HP865" s="27" t="s">
        <v>7</v>
      </c>
      <c r="HQ865" s="27" t="s">
        <v>8</v>
      </c>
    </row>
    <row r="866" spans="1:225" x14ac:dyDescent="0.25">
      <c r="A866" s="7">
        <v>3.9861356919573491E-3</v>
      </c>
      <c r="B866"/>
      <c r="C866"/>
      <c r="D866"/>
      <c r="E866"/>
      <c r="F866" s="27" t="s">
        <v>7</v>
      </c>
      <c r="Q866" s="27" t="s">
        <v>8</v>
      </c>
      <c r="R866" s="27" t="s">
        <v>7</v>
      </c>
      <c r="U866" s="27" t="s">
        <v>8</v>
      </c>
      <c r="V866" s="27" t="s">
        <v>7</v>
      </c>
      <c r="W866" s="27" t="s">
        <v>8</v>
      </c>
      <c r="X866" s="27" t="s">
        <v>7</v>
      </c>
      <c r="Y866" s="27" t="s">
        <v>8</v>
      </c>
      <c r="Z866" s="27" t="s">
        <v>7</v>
      </c>
      <c r="AK866" s="27" t="s">
        <v>8</v>
      </c>
      <c r="AL866" s="27" t="s">
        <v>7</v>
      </c>
      <c r="AM866" s="27" t="s">
        <v>8</v>
      </c>
      <c r="AN866" s="27" t="s">
        <v>7</v>
      </c>
      <c r="AO866" s="27" t="s">
        <v>8</v>
      </c>
      <c r="BA866" s="27" t="s">
        <v>8</v>
      </c>
      <c r="BB866" s="27" t="s">
        <v>7</v>
      </c>
      <c r="BC866" s="27" t="s">
        <v>8</v>
      </c>
      <c r="BD866" s="27" t="s">
        <v>7</v>
      </c>
      <c r="BQ866" s="27" t="s">
        <v>8</v>
      </c>
      <c r="BR866" s="27" t="s">
        <v>7</v>
      </c>
      <c r="BS866" s="27" t="s">
        <v>8</v>
      </c>
      <c r="BV866" s="27" t="s">
        <v>7</v>
      </c>
      <c r="BW866" s="27" t="s">
        <v>8</v>
      </c>
      <c r="BX866" s="27" t="s">
        <v>7</v>
      </c>
      <c r="DO866" s="27" t="s">
        <v>8</v>
      </c>
      <c r="EA866" s="27" t="s">
        <v>8</v>
      </c>
      <c r="EB866" s="27" t="s">
        <v>7</v>
      </c>
      <c r="EC866" s="27" t="s">
        <v>8</v>
      </c>
      <c r="EE866" s="27" t="s">
        <v>8</v>
      </c>
      <c r="EG866" s="27" t="s">
        <v>8</v>
      </c>
      <c r="EH866" s="27" t="s">
        <v>7</v>
      </c>
      <c r="EI866" s="27" t="s">
        <v>8</v>
      </c>
      <c r="EJ866" s="27" t="s">
        <v>7</v>
      </c>
      <c r="EK866" s="27" t="s">
        <v>8</v>
      </c>
      <c r="EM866" s="27" t="s">
        <v>8</v>
      </c>
      <c r="EN866" s="27" t="s">
        <v>7</v>
      </c>
      <c r="EO866" s="27" t="s">
        <v>8</v>
      </c>
      <c r="ET866" s="27" t="s">
        <v>7</v>
      </c>
      <c r="EU866" s="27" t="s">
        <v>8</v>
      </c>
      <c r="FJ866" s="27" t="s">
        <v>7</v>
      </c>
      <c r="FK866" s="27" t="s">
        <v>8</v>
      </c>
      <c r="FL866" s="27" t="s">
        <v>7</v>
      </c>
      <c r="FQ866" s="27" t="s">
        <v>8</v>
      </c>
      <c r="GM866" s="27" t="s">
        <v>8</v>
      </c>
      <c r="GN866" s="27" t="s">
        <v>7</v>
      </c>
      <c r="GO866" s="27" t="s">
        <v>8</v>
      </c>
      <c r="GP866" s="27" t="s">
        <v>7</v>
      </c>
      <c r="GQ866" s="27" t="s">
        <v>8</v>
      </c>
      <c r="GS866" s="27" t="s">
        <v>8</v>
      </c>
      <c r="GT866" s="27" t="s">
        <v>7</v>
      </c>
      <c r="GU866" s="27" t="s">
        <v>8</v>
      </c>
      <c r="GV866" s="27" t="s">
        <v>7</v>
      </c>
      <c r="GW866" s="27" t="s">
        <v>8</v>
      </c>
      <c r="GX866" s="27" t="s">
        <v>7</v>
      </c>
      <c r="GY866" s="27" t="s">
        <v>8</v>
      </c>
      <c r="GZ866" s="27" t="s">
        <v>7</v>
      </c>
      <c r="HA866" s="27" t="s">
        <v>8</v>
      </c>
      <c r="HB866" s="27" t="s">
        <v>7</v>
      </c>
      <c r="HD866" s="27" t="s">
        <v>7</v>
      </c>
      <c r="HE866" s="27" t="s">
        <v>8</v>
      </c>
      <c r="HF866" s="27" t="s">
        <v>7</v>
      </c>
      <c r="HG866" s="27" t="s">
        <v>8</v>
      </c>
      <c r="HH866" s="27" t="s">
        <v>7</v>
      </c>
      <c r="HI866" s="27" t="s">
        <v>8</v>
      </c>
      <c r="HJ866" s="27" t="s">
        <v>7</v>
      </c>
      <c r="HK866" s="27" t="s">
        <v>8</v>
      </c>
      <c r="HL866" s="27" t="s">
        <v>7</v>
      </c>
      <c r="HM866" s="27" t="s">
        <v>8</v>
      </c>
      <c r="HO866" s="27" t="s">
        <v>8</v>
      </c>
      <c r="HP866" s="27" t="s">
        <v>7</v>
      </c>
    </row>
    <row r="867" spans="1:225" x14ac:dyDescent="0.25">
      <c r="A867" s="7">
        <v>3.9079761685856364E-3</v>
      </c>
      <c r="B867"/>
      <c r="C867"/>
      <c r="D867"/>
      <c r="E867"/>
      <c r="F867" s="27" t="s">
        <v>7</v>
      </c>
      <c r="Q867" s="27" t="s">
        <v>8</v>
      </c>
      <c r="R867" s="27" t="s">
        <v>7</v>
      </c>
      <c r="U867" s="27" t="s">
        <v>8</v>
      </c>
      <c r="V867" s="27" t="s">
        <v>7</v>
      </c>
      <c r="W867" s="27" t="s">
        <v>8</v>
      </c>
      <c r="X867" s="27" t="s">
        <v>7</v>
      </c>
      <c r="Y867" s="27" t="s">
        <v>8</v>
      </c>
      <c r="Z867" s="27" t="s">
        <v>7</v>
      </c>
      <c r="AK867" s="27" t="s">
        <v>8</v>
      </c>
      <c r="AL867" s="27" t="s">
        <v>7</v>
      </c>
      <c r="AM867" s="27" t="s">
        <v>8</v>
      </c>
      <c r="AN867" s="27" t="s">
        <v>7</v>
      </c>
      <c r="AO867" s="27" t="s">
        <v>8</v>
      </c>
      <c r="AP867" s="27" t="s">
        <v>7</v>
      </c>
      <c r="AQ867" s="27" t="s">
        <v>8</v>
      </c>
      <c r="BA867" s="27" t="s">
        <v>8</v>
      </c>
      <c r="BB867" s="27" t="s">
        <v>7</v>
      </c>
      <c r="BC867" s="27" t="s">
        <v>8</v>
      </c>
      <c r="BD867" s="27" t="s">
        <v>7</v>
      </c>
      <c r="BQ867" s="27" t="s">
        <v>8</v>
      </c>
      <c r="BR867" s="27" t="s">
        <v>7</v>
      </c>
      <c r="BS867" s="27" t="s">
        <v>8</v>
      </c>
      <c r="BV867" s="27" t="s">
        <v>7</v>
      </c>
      <c r="BW867" s="27" t="s">
        <v>8</v>
      </c>
      <c r="BX867" s="27" t="s">
        <v>7</v>
      </c>
      <c r="DO867" s="27" t="s">
        <v>8</v>
      </c>
      <c r="DP867" s="27" t="s">
        <v>7</v>
      </c>
      <c r="EA867" s="27" t="s">
        <v>8</v>
      </c>
      <c r="EB867" s="27" t="s">
        <v>7</v>
      </c>
      <c r="EC867" s="27" t="s">
        <v>8</v>
      </c>
      <c r="ED867" s="27" t="s">
        <v>7</v>
      </c>
      <c r="EE867" s="27" t="s">
        <v>8</v>
      </c>
      <c r="EF867" s="27" t="s">
        <v>7</v>
      </c>
      <c r="EG867" s="27" t="s">
        <v>8</v>
      </c>
      <c r="EH867" s="27" t="s">
        <v>7</v>
      </c>
      <c r="EI867" s="27" t="s">
        <v>8</v>
      </c>
      <c r="EJ867" s="27" t="s">
        <v>7</v>
      </c>
      <c r="EK867" s="27" t="s">
        <v>8</v>
      </c>
      <c r="EL867" s="27" t="s">
        <v>7</v>
      </c>
      <c r="EM867" s="27" t="s">
        <v>8</v>
      </c>
      <c r="EN867" s="27" t="s">
        <v>7</v>
      </c>
      <c r="EO867" s="27" t="s">
        <v>8</v>
      </c>
      <c r="ET867" s="27" t="s">
        <v>7</v>
      </c>
      <c r="EU867" s="27" t="s">
        <v>8</v>
      </c>
      <c r="FJ867" s="27" t="s">
        <v>7</v>
      </c>
      <c r="FK867" s="27" t="s">
        <v>8</v>
      </c>
      <c r="FL867" s="27" t="s">
        <v>7</v>
      </c>
      <c r="FQ867" s="27" t="s">
        <v>8</v>
      </c>
      <c r="FR867" s="27" t="s">
        <v>7</v>
      </c>
      <c r="GG867" s="27" t="s">
        <v>8</v>
      </c>
      <c r="GM867" s="27" t="s">
        <v>8</v>
      </c>
      <c r="GN867" s="27" t="s">
        <v>7</v>
      </c>
      <c r="GO867" s="27" t="s">
        <v>8</v>
      </c>
      <c r="GP867" s="27" t="s">
        <v>7</v>
      </c>
      <c r="GQ867" s="27" t="s">
        <v>8</v>
      </c>
      <c r="GR867" s="27" t="s">
        <v>7</v>
      </c>
      <c r="GS867" s="27" t="s">
        <v>8</v>
      </c>
      <c r="GT867" s="27" t="s">
        <v>7</v>
      </c>
      <c r="GU867" s="27" t="s">
        <v>8</v>
      </c>
      <c r="GV867" s="27" t="s">
        <v>7</v>
      </c>
      <c r="GX867" s="27" t="s">
        <v>7</v>
      </c>
      <c r="GY867" s="27" t="s">
        <v>8</v>
      </c>
      <c r="GZ867" s="27" t="s">
        <v>7</v>
      </c>
      <c r="HA867" s="27" t="s">
        <v>8</v>
      </c>
      <c r="HD867" s="27" t="s">
        <v>7</v>
      </c>
      <c r="HE867" s="27" t="s">
        <v>8</v>
      </c>
      <c r="HF867" s="27" t="s">
        <v>7</v>
      </c>
      <c r="HG867" s="27" t="s">
        <v>8</v>
      </c>
      <c r="HH867" s="27" t="s">
        <v>7</v>
      </c>
      <c r="HI867" s="27" t="s">
        <v>8</v>
      </c>
      <c r="HJ867" s="27" t="s">
        <v>7</v>
      </c>
      <c r="HL867" s="27" t="s">
        <v>7</v>
      </c>
      <c r="HM867" s="27" t="s">
        <v>8</v>
      </c>
      <c r="HN867" s="27" t="s">
        <v>7</v>
      </c>
      <c r="HO867" s="27" t="s">
        <v>8</v>
      </c>
    </row>
    <row r="868" spans="1:225" x14ac:dyDescent="0.25">
      <c r="A868" s="7">
        <v>3.8313491848878793E-3</v>
      </c>
      <c r="B868"/>
      <c r="C868"/>
      <c r="D868"/>
      <c r="E868"/>
      <c r="F868" s="27" t="s">
        <v>7</v>
      </c>
      <c r="Q868" s="27" t="s">
        <v>8</v>
      </c>
      <c r="R868" s="27" t="s">
        <v>7</v>
      </c>
      <c r="U868" s="27" t="s">
        <v>8</v>
      </c>
      <c r="V868" s="27" t="s">
        <v>7</v>
      </c>
      <c r="W868" s="27" t="s">
        <v>8</v>
      </c>
      <c r="X868" s="27" t="s">
        <v>7</v>
      </c>
      <c r="Y868" s="27" t="s">
        <v>8</v>
      </c>
      <c r="Z868" s="27" t="s">
        <v>7</v>
      </c>
      <c r="AK868" s="27" t="s">
        <v>8</v>
      </c>
      <c r="AL868" s="27" t="s">
        <v>7</v>
      </c>
      <c r="AM868" s="27" t="s">
        <v>8</v>
      </c>
      <c r="AN868" s="27" t="s">
        <v>7</v>
      </c>
      <c r="AO868" s="27" t="s">
        <v>8</v>
      </c>
      <c r="AP868" s="27" t="s">
        <v>7</v>
      </c>
      <c r="AQ868" s="27" t="s">
        <v>8</v>
      </c>
      <c r="AR868" s="27" t="s">
        <v>7</v>
      </c>
      <c r="BA868" s="27" t="s">
        <v>8</v>
      </c>
      <c r="BB868" s="27" t="s">
        <v>7</v>
      </c>
      <c r="BD868" s="27" t="s">
        <v>7</v>
      </c>
      <c r="BQ868" s="27" t="s">
        <v>8</v>
      </c>
      <c r="BR868" s="27" t="s">
        <v>7</v>
      </c>
      <c r="BS868" s="27" t="s">
        <v>8</v>
      </c>
      <c r="BV868" s="27" t="s">
        <v>7</v>
      </c>
      <c r="BX868" s="27" t="s">
        <v>7</v>
      </c>
      <c r="DO868" s="27" t="s">
        <v>8</v>
      </c>
      <c r="DP868" s="27" t="s">
        <v>7</v>
      </c>
      <c r="EA868" s="27" t="s">
        <v>8</v>
      </c>
      <c r="EB868" s="27" t="s">
        <v>7</v>
      </c>
      <c r="EC868" s="27" t="s">
        <v>8</v>
      </c>
      <c r="ED868" s="27" t="s">
        <v>7</v>
      </c>
      <c r="EE868" s="27" t="s">
        <v>8</v>
      </c>
      <c r="EF868" s="27" t="s">
        <v>7</v>
      </c>
      <c r="EG868" s="27" t="s">
        <v>8</v>
      </c>
      <c r="EH868" s="27" t="s">
        <v>7</v>
      </c>
      <c r="EI868" s="27" t="s">
        <v>8</v>
      </c>
      <c r="EJ868" s="27" t="s">
        <v>7</v>
      </c>
      <c r="EK868" s="27" t="s">
        <v>8</v>
      </c>
      <c r="EL868" s="27" t="s">
        <v>7</v>
      </c>
      <c r="EM868" s="27" t="s">
        <v>8</v>
      </c>
      <c r="EN868" s="27" t="s">
        <v>7</v>
      </c>
      <c r="EO868" s="27" t="s">
        <v>8</v>
      </c>
      <c r="ET868" s="27" t="s">
        <v>7</v>
      </c>
      <c r="EU868" s="27" t="s">
        <v>8</v>
      </c>
      <c r="FJ868" s="27" t="s">
        <v>7</v>
      </c>
      <c r="FL868" s="27" t="s">
        <v>7</v>
      </c>
      <c r="FQ868" s="27" t="s">
        <v>8</v>
      </c>
      <c r="FR868" s="27" t="s">
        <v>7</v>
      </c>
      <c r="GG868" s="27" t="s">
        <v>8</v>
      </c>
      <c r="GH868" s="27" t="s">
        <v>7</v>
      </c>
      <c r="GI868" s="27" t="s">
        <v>8</v>
      </c>
      <c r="GM868" s="27" t="s">
        <v>8</v>
      </c>
      <c r="GN868" s="27" t="s">
        <v>7</v>
      </c>
      <c r="GO868" s="27" t="s">
        <v>8</v>
      </c>
      <c r="GP868" s="27" t="s">
        <v>7</v>
      </c>
      <c r="GQ868" s="27" t="s">
        <v>8</v>
      </c>
      <c r="GR868" s="27" t="s">
        <v>7</v>
      </c>
      <c r="GS868" s="27" t="s">
        <v>8</v>
      </c>
      <c r="GT868" s="27" t="s">
        <v>7</v>
      </c>
      <c r="GU868" s="27" t="s">
        <v>8</v>
      </c>
      <c r="GX868" s="27" t="s">
        <v>7</v>
      </c>
      <c r="GY868" s="27" t="s">
        <v>8</v>
      </c>
      <c r="GZ868" s="27" t="s">
        <v>7</v>
      </c>
      <c r="HD868" s="27" t="s">
        <v>7</v>
      </c>
      <c r="HF868" s="27" t="s">
        <v>7</v>
      </c>
      <c r="HG868" s="27" t="s">
        <v>8</v>
      </c>
      <c r="HH868" s="27" t="s">
        <v>7</v>
      </c>
      <c r="HL868" s="27" t="s">
        <v>7</v>
      </c>
      <c r="HM868" s="27" t="s">
        <v>8</v>
      </c>
      <c r="HN868" s="27" t="s">
        <v>7</v>
      </c>
      <c r="HO868" s="27" t="s">
        <v>8</v>
      </c>
    </row>
    <row r="869" spans="1:225" x14ac:dyDescent="0.25">
      <c r="A869" s="7">
        <v>3.7562246910665485E-3</v>
      </c>
      <c r="B869"/>
      <c r="C869"/>
      <c r="D869"/>
      <c r="E869"/>
      <c r="F869" s="27" t="s">
        <v>7</v>
      </c>
      <c r="O869" s="27" t="s">
        <v>8</v>
      </c>
      <c r="Q869" s="27" t="s">
        <v>8</v>
      </c>
      <c r="R869" s="27" t="s">
        <v>7</v>
      </c>
      <c r="U869" s="27" t="s">
        <v>8</v>
      </c>
      <c r="V869" s="27" t="s">
        <v>7</v>
      </c>
      <c r="W869" s="27" t="s">
        <v>8</v>
      </c>
      <c r="X869" s="27" t="s">
        <v>7</v>
      </c>
      <c r="Y869" s="27" t="s">
        <v>8</v>
      </c>
      <c r="Z869" s="27" t="s">
        <v>7</v>
      </c>
      <c r="AA869" s="27" t="s">
        <v>8</v>
      </c>
      <c r="AK869" s="27" t="s">
        <v>8</v>
      </c>
      <c r="AL869" s="27" t="s">
        <v>7</v>
      </c>
      <c r="AM869" s="27" t="s">
        <v>8</v>
      </c>
      <c r="AN869" s="27" t="s">
        <v>7</v>
      </c>
      <c r="AP869" s="27" t="s">
        <v>7</v>
      </c>
      <c r="AQ869" s="27" t="s">
        <v>8</v>
      </c>
      <c r="AR869" s="27" t="s">
        <v>7</v>
      </c>
      <c r="BA869" s="27" t="s">
        <v>8</v>
      </c>
      <c r="BD869" s="27" t="s">
        <v>7</v>
      </c>
      <c r="BQ869" s="27" t="s">
        <v>8</v>
      </c>
      <c r="BR869" s="27" t="s">
        <v>7</v>
      </c>
      <c r="BX869" s="27" t="s">
        <v>7</v>
      </c>
      <c r="DO869" s="27" t="s">
        <v>8</v>
      </c>
      <c r="DP869" s="27" t="s">
        <v>7</v>
      </c>
      <c r="EA869" s="27" t="s">
        <v>8</v>
      </c>
      <c r="EB869" s="27" t="s">
        <v>7</v>
      </c>
      <c r="EC869" s="27" t="s">
        <v>8</v>
      </c>
      <c r="ED869" s="27" t="s">
        <v>7</v>
      </c>
      <c r="EE869" s="27" t="s">
        <v>8</v>
      </c>
      <c r="EF869" s="27" t="s">
        <v>7</v>
      </c>
      <c r="EG869" s="27" t="s">
        <v>8</v>
      </c>
      <c r="EH869" s="27" t="s">
        <v>7</v>
      </c>
      <c r="EI869" s="27" t="s">
        <v>8</v>
      </c>
      <c r="EJ869" s="27" t="s">
        <v>7</v>
      </c>
      <c r="EK869" s="27" t="s">
        <v>8</v>
      </c>
      <c r="EL869" s="27" t="s">
        <v>7</v>
      </c>
      <c r="EM869" s="27" t="s">
        <v>8</v>
      </c>
      <c r="EN869" s="27" t="s">
        <v>7</v>
      </c>
      <c r="EO869" s="27" t="s">
        <v>8</v>
      </c>
      <c r="ET869" s="27" t="s">
        <v>7</v>
      </c>
      <c r="EU869" s="27" t="s">
        <v>8</v>
      </c>
      <c r="FL869" s="27" t="s">
        <v>7</v>
      </c>
      <c r="FO869" s="27" t="s">
        <v>8</v>
      </c>
      <c r="FQ869" s="27" t="s">
        <v>8</v>
      </c>
      <c r="FR869" s="27" t="s">
        <v>7</v>
      </c>
      <c r="GG869" s="27" t="s">
        <v>8</v>
      </c>
      <c r="GH869" s="27" t="s">
        <v>7</v>
      </c>
      <c r="GI869" s="27" t="s">
        <v>8</v>
      </c>
      <c r="GJ869" s="27" t="s">
        <v>7</v>
      </c>
      <c r="GM869" s="27" t="s">
        <v>8</v>
      </c>
      <c r="GN869" s="27" t="s">
        <v>7</v>
      </c>
      <c r="GO869" s="27" t="s">
        <v>8</v>
      </c>
      <c r="GP869" s="27" t="s">
        <v>7</v>
      </c>
      <c r="GQ869" s="27" t="s">
        <v>8</v>
      </c>
      <c r="GR869" s="27" t="s">
        <v>7</v>
      </c>
      <c r="GS869" s="27" t="s">
        <v>8</v>
      </c>
      <c r="GT869" s="27" t="s">
        <v>7</v>
      </c>
      <c r="GX869" s="27" t="s">
        <v>7</v>
      </c>
      <c r="GY869" s="27" t="s">
        <v>8</v>
      </c>
      <c r="HF869" s="27" t="s">
        <v>7</v>
      </c>
      <c r="HG869" s="27" t="s">
        <v>8</v>
      </c>
      <c r="HL869" s="27" t="s">
        <v>7</v>
      </c>
      <c r="HM869" s="27" t="s">
        <v>8</v>
      </c>
      <c r="HN869" s="27" t="s">
        <v>7</v>
      </c>
      <c r="HO869" s="27" t="s">
        <v>8</v>
      </c>
    </row>
    <row r="870" spans="1:225" x14ac:dyDescent="0.25">
      <c r="A870" s="7">
        <v>3.6825732265358315E-3</v>
      </c>
      <c r="B870"/>
      <c r="C870"/>
      <c r="D870"/>
      <c r="E870"/>
      <c r="F870" s="27" t="s">
        <v>7</v>
      </c>
      <c r="O870" s="27" t="s">
        <v>8</v>
      </c>
      <c r="P870" s="27" t="s">
        <v>7</v>
      </c>
      <c r="Q870" s="27" t="s">
        <v>8</v>
      </c>
      <c r="R870" s="27" t="s">
        <v>7</v>
      </c>
      <c r="U870" s="27" t="s">
        <v>8</v>
      </c>
      <c r="V870" s="27" t="s">
        <v>7</v>
      </c>
      <c r="W870" s="27" t="s">
        <v>8</v>
      </c>
      <c r="X870" s="27" t="s">
        <v>7</v>
      </c>
      <c r="Y870" s="27" t="s">
        <v>8</v>
      </c>
      <c r="Z870" s="27" t="s">
        <v>7</v>
      </c>
      <c r="AA870" s="27" t="s">
        <v>8</v>
      </c>
      <c r="AB870" s="27" t="s">
        <v>7</v>
      </c>
      <c r="AE870" s="27" t="s">
        <v>8</v>
      </c>
      <c r="AK870" s="27" t="s">
        <v>8</v>
      </c>
      <c r="AL870" s="27" t="s">
        <v>7</v>
      </c>
      <c r="AM870" s="27" t="s">
        <v>8</v>
      </c>
      <c r="AP870" s="27" t="s">
        <v>7</v>
      </c>
      <c r="AQ870" s="27" t="s">
        <v>8</v>
      </c>
      <c r="AR870" s="27" t="s">
        <v>7</v>
      </c>
      <c r="AS870" s="27" t="s">
        <v>8</v>
      </c>
      <c r="AY870" s="27" t="s">
        <v>8</v>
      </c>
      <c r="BA870" s="27" t="s">
        <v>8</v>
      </c>
      <c r="BD870" s="27" t="s">
        <v>7</v>
      </c>
      <c r="BQ870" s="27" t="s">
        <v>8</v>
      </c>
      <c r="BX870" s="27" t="s">
        <v>7</v>
      </c>
      <c r="DO870" s="27" t="s">
        <v>8</v>
      </c>
      <c r="DP870" s="27" t="s">
        <v>7</v>
      </c>
      <c r="DQ870" s="27" t="s">
        <v>8</v>
      </c>
      <c r="EA870" s="27" t="s">
        <v>8</v>
      </c>
      <c r="EB870" s="27" t="s">
        <v>7</v>
      </c>
      <c r="EC870" s="27" t="s">
        <v>8</v>
      </c>
      <c r="ED870" s="27" t="s">
        <v>7</v>
      </c>
      <c r="EE870" s="27" t="s">
        <v>8</v>
      </c>
      <c r="EF870" s="27" t="s">
        <v>7</v>
      </c>
      <c r="EG870" s="27" t="s">
        <v>8</v>
      </c>
      <c r="EH870" s="27" t="s">
        <v>7</v>
      </c>
      <c r="EI870" s="27" t="s">
        <v>8</v>
      </c>
      <c r="EJ870" s="27" t="s">
        <v>7</v>
      </c>
      <c r="EK870" s="27" t="s">
        <v>8</v>
      </c>
      <c r="EL870" s="27" t="s">
        <v>7</v>
      </c>
      <c r="EM870" s="27" t="s">
        <v>8</v>
      </c>
      <c r="EN870" s="27" t="s">
        <v>7</v>
      </c>
      <c r="EO870" s="27" t="s">
        <v>8</v>
      </c>
      <c r="ET870" s="27" t="s">
        <v>7</v>
      </c>
      <c r="EU870" s="27" t="s">
        <v>8</v>
      </c>
      <c r="FL870" s="27" t="s">
        <v>7</v>
      </c>
      <c r="FM870" s="27" t="s">
        <v>8</v>
      </c>
      <c r="FO870" s="27" t="s">
        <v>8</v>
      </c>
      <c r="FP870" s="27" t="s">
        <v>7</v>
      </c>
      <c r="FQ870" s="27" t="s">
        <v>8</v>
      </c>
      <c r="FR870" s="27" t="s">
        <v>7</v>
      </c>
      <c r="GG870" s="27" t="s">
        <v>8</v>
      </c>
      <c r="GH870" s="27" t="s">
        <v>7</v>
      </c>
      <c r="GI870" s="27" t="s">
        <v>8</v>
      </c>
      <c r="GJ870" s="27" t="s">
        <v>7</v>
      </c>
      <c r="GM870" s="27" t="s">
        <v>8</v>
      </c>
      <c r="GN870" s="27" t="s">
        <v>7</v>
      </c>
      <c r="GO870" s="27" t="s">
        <v>8</v>
      </c>
      <c r="GP870" s="27" t="s">
        <v>7</v>
      </c>
      <c r="GQ870" s="27" t="s">
        <v>8</v>
      </c>
      <c r="GR870" s="27" t="s">
        <v>7</v>
      </c>
      <c r="GS870" s="27" t="s">
        <v>8</v>
      </c>
      <c r="GX870" s="27" t="s">
        <v>7</v>
      </c>
      <c r="HF870" s="27" t="s">
        <v>7</v>
      </c>
      <c r="HG870" s="27" t="s">
        <v>8</v>
      </c>
      <c r="HL870" s="27" t="s">
        <v>7</v>
      </c>
      <c r="HM870" s="27" t="s">
        <v>8</v>
      </c>
      <c r="HN870" s="27" t="s">
        <v>7</v>
      </c>
      <c r="HO870" s="27" t="s">
        <v>8</v>
      </c>
    </row>
    <row r="871" spans="1:225" x14ac:dyDescent="0.25">
      <c r="A871" s="7">
        <v>3.6103659083684624E-3</v>
      </c>
      <c r="B871"/>
      <c r="C871"/>
      <c r="D871"/>
      <c r="E871"/>
      <c r="F871" s="27" t="s">
        <v>7</v>
      </c>
      <c r="O871" s="27" t="s">
        <v>8</v>
      </c>
      <c r="P871" s="27" t="s">
        <v>7</v>
      </c>
      <c r="Q871" s="27" t="s">
        <v>8</v>
      </c>
      <c r="R871" s="27" t="s">
        <v>7</v>
      </c>
      <c r="U871" s="27" t="s">
        <v>8</v>
      </c>
      <c r="V871" s="27" t="s">
        <v>7</v>
      </c>
      <c r="X871" s="27" t="s">
        <v>7</v>
      </c>
      <c r="Y871" s="27" t="s">
        <v>8</v>
      </c>
      <c r="Z871" s="27" t="s">
        <v>7</v>
      </c>
      <c r="AA871" s="27" t="s">
        <v>8</v>
      </c>
      <c r="AB871" s="27" t="s">
        <v>7</v>
      </c>
      <c r="AE871" s="27" t="s">
        <v>8</v>
      </c>
      <c r="AF871" s="27" t="s">
        <v>7</v>
      </c>
      <c r="AK871" s="27" t="s">
        <v>8</v>
      </c>
      <c r="AL871" s="27" t="s">
        <v>7</v>
      </c>
      <c r="AM871" s="27" t="s">
        <v>8</v>
      </c>
      <c r="AP871" s="27" t="s">
        <v>7</v>
      </c>
      <c r="AQ871" s="27" t="s">
        <v>8</v>
      </c>
      <c r="AR871" s="27" t="s">
        <v>7</v>
      </c>
      <c r="AS871" s="27" t="s">
        <v>8</v>
      </c>
      <c r="AT871" s="27" t="s">
        <v>7</v>
      </c>
      <c r="AY871" s="27" t="s">
        <v>8</v>
      </c>
      <c r="AZ871" s="27" t="s">
        <v>7</v>
      </c>
      <c r="BA871" s="27" t="s">
        <v>8</v>
      </c>
      <c r="BD871" s="27" t="s">
        <v>7</v>
      </c>
      <c r="BQ871" s="27" t="s">
        <v>8</v>
      </c>
      <c r="BX871" s="27" t="s">
        <v>7</v>
      </c>
      <c r="CE871" s="27" t="s">
        <v>8</v>
      </c>
      <c r="DO871" s="27" t="s">
        <v>8</v>
      </c>
      <c r="DP871" s="27" t="s">
        <v>7</v>
      </c>
      <c r="DQ871" s="27" t="s">
        <v>8</v>
      </c>
      <c r="DR871" s="27" t="s">
        <v>7</v>
      </c>
      <c r="DS871" s="27" t="s">
        <v>8</v>
      </c>
      <c r="EA871" s="27" t="s">
        <v>8</v>
      </c>
      <c r="EB871" s="27" t="s">
        <v>7</v>
      </c>
      <c r="EC871" s="27" t="s">
        <v>8</v>
      </c>
      <c r="ED871" s="27" t="s">
        <v>7</v>
      </c>
      <c r="EE871" s="27" t="s">
        <v>8</v>
      </c>
      <c r="EF871" s="27" t="s">
        <v>7</v>
      </c>
      <c r="EG871" s="27" t="s">
        <v>8</v>
      </c>
      <c r="EH871" s="27" t="s">
        <v>7</v>
      </c>
      <c r="EI871" s="27" t="s">
        <v>8</v>
      </c>
      <c r="EJ871" s="27" t="s">
        <v>7</v>
      </c>
      <c r="EK871" s="27" t="s">
        <v>8</v>
      </c>
      <c r="EL871" s="27" t="s">
        <v>7</v>
      </c>
      <c r="EM871" s="27" t="s">
        <v>8</v>
      </c>
      <c r="EN871" s="27" t="s">
        <v>7</v>
      </c>
      <c r="EO871" s="27" t="s">
        <v>8</v>
      </c>
      <c r="ET871" s="27" t="s">
        <v>7</v>
      </c>
      <c r="EU871" s="27" t="s">
        <v>8</v>
      </c>
      <c r="FL871" s="27" t="s">
        <v>7</v>
      </c>
      <c r="FM871" s="27" t="s">
        <v>8</v>
      </c>
      <c r="FN871" s="27" t="s">
        <v>7</v>
      </c>
      <c r="FO871" s="27" t="s">
        <v>8</v>
      </c>
      <c r="FP871" s="27" t="s">
        <v>7</v>
      </c>
      <c r="FQ871" s="27" t="s">
        <v>8</v>
      </c>
      <c r="FR871" s="27" t="s">
        <v>7</v>
      </c>
      <c r="GG871" s="27" t="s">
        <v>8</v>
      </c>
      <c r="GH871" s="27" t="s">
        <v>7</v>
      </c>
      <c r="GI871" s="27" t="s">
        <v>8</v>
      </c>
      <c r="GJ871" s="27" t="s">
        <v>7</v>
      </c>
      <c r="GM871" s="27" t="s">
        <v>8</v>
      </c>
      <c r="GN871" s="27" t="s">
        <v>7</v>
      </c>
      <c r="GP871" s="27" t="s">
        <v>7</v>
      </c>
      <c r="GQ871" s="27" t="s">
        <v>8</v>
      </c>
      <c r="GR871" s="27" t="s">
        <v>7</v>
      </c>
      <c r="GS871" s="27" t="s">
        <v>8</v>
      </c>
      <c r="HF871" s="27" t="s">
        <v>7</v>
      </c>
      <c r="HG871" s="27" t="s">
        <v>8</v>
      </c>
      <c r="HL871" s="27" t="s">
        <v>7</v>
      </c>
      <c r="HM871" s="27" t="s">
        <v>8</v>
      </c>
      <c r="HN871" s="27" t="s">
        <v>7</v>
      </c>
    </row>
    <row r="872" spans="1:225" x14ac:dyDescent="0.25">
      <c r="A872" s="7">
        <v>3.539574419969081E-3</v>
      </c>
      <c r="B872"/>
      <c r="C872"/>
      <c r="D872"/>
      <c r="E872"/>
      <c r="F872" s="27" t="s">
        <v>7</v>
      </c>
      <c r="O872" s="27" t="s">
        <v>8</v>
      </c>
      <c r="P872" s="27" t="s">
        <v>7</v>
      </c>
      <c r="Q872" s="27" t="s">
        <v>8</v>
      </c>
      <c r="R872" s="27" t="s">
        <v>7</v>
      </c>
      <c r="U872" s="27" t="s">
        <v>8</v>
      </c>
      <c r="X872" s="27" t="s">
        <v>7</v>
      </c>
      <c r="Y872" s="27" t="s">
        <v>8</v>
      </c>
      <c r="Z872" s="27" t="s">
        <v>7</v>
      </c>
      <c r="AA872" s="27" t="s">
        <v>8</v>
      </c>
      <c r="AB872" s="27" t="s">
        <v>7</v>
      </c>
      <c r="AC872" s="27" t="s">
        <v>8</v>
      </c>
      <c r="AE872" s="27" t="s">
        <v>8</v>
      </c>
      <c r="AF872" s="27" t="s">
        <v>7</v>
      </c>
      <c r="AG872" s="27" t="s">
        <v>8</v>
      </c>
      <c r="AK872" s="27" t="s">
        <v>8</v>
      </c>
      <c r="AL872" s="27" t="s">
        <v>7</v>
      </c>
      <c r="AM872" s="27" t="s">
        <v>8</v>
      </c>
      <c r="AP872" s="27" t="s">
        <v>7</v>
      </c>
      <c r="AR872" s="27" t="s">
        <v>7</v>
      </c>
      <c r="AS872" s="27" t="s">
        <v>8</v>
      </c>
      <c r="AT872" s="27" t="s">
        <v>7</v>
      </c>
      <c r="AY872" s="27" t="s">
        <v>8</v>
      </c>
      <c r="AZ872" s="27" t="s">
        <v>7</v>
      </c>
      <c r="BA872" s="27" t="s">
        <v>8</v>
      </c>
      <c r="BD872" s="27" t="s">
        <v>7</v>
      </c>
      <c r="BG872" s="27" t="s">
        <v>8</v>
      </c>
      <c r="BQ872" s="27" t="s">
        <v>8</v>
      </c>
      <c r="BX872" s="27" t="s">
        <v>7</v>
      </c>
      <c r="CE872" s="27" t="s">
        <v>8</v>
      </c>
      <c r="CF872" s="27" t="s">
        <v>7</v>
      </c>
      <c r="DO872" s="27" t="s">
        <v>8</v>
      </c>
      <c r="DP872" s="27" t="s">
        <v>7</v>
      </c>
      <c r="DQ872" s="27" t="s">
        <v>8</v>
      </c>
      <c r="DR872" s="27" t="s">
        <v>7</v>
      </c>
      <c r="DS872" s="27" t="s">
        <v>8</v>
      </c>
      <c r="DT872" s="27" t="s">
        <v>7</v>
      </c>
      <c r="DU872" s="27" t="s">
        <v>8</v>
      </c>
      <c r="EA872" s="27" t="s">
        <v>8</v>
      </c>
      <c r="EB872" s="27" t="s">
        <v>7</v>
      </c>
      <c r="EC872" s="27" t="s">
        <v>8</v>
      </c>
      <c r="ED872" s="27" t="s">
        <v>7</v>
      </c>
      <c r="EE872" s="27" t="s">
        <v>8</v>
      </c>
      <c r="EF872" s="27" t="s">
        <v>7</v>
      </c>
      <c r="EH872" s="27" t="s">
        <v>7</v>
      </c>
      <c r="EI872" s="27" t="s">
        <v>8</v>
      </c>
      <c r="EJ872" s="27" t="s">
        <v>7</v>
      </c>
      <c r="EK872" s="27" t="s">
        <v>8</v>
      </c>
      <c r="EL872" s="27" t="s">
        <v>7</v>
      </c>
      <c r="EM872" s="27" t="s">
        <v>8</v>
      </c>
      <c r="EN872" s="27" t="s">
        <v>7</v>
      </c>
      <c r="EO872" s="27" t="s">
        <v>8</v>
      </c>
      <c r="ET872" s="27" t="s">
        <v>7</v>
      </c>
      <c r="EU872" s="27" t="s">
        <v>8</v>
      </c>
      <c r="FL872" s="27" t="s">
        <v>7</v>
      </c>
      <c r="FM872" s="27" t="s">
        <v>8</v>
      </c>
      <c r="FN872" s="27" t="s">
        <v>7</v>
      </c>
      <c r="FO872" s="27" t="s">
        <v>8</v>
      </c>
      <c r="FP872" s="27" t="s">
        <v>7</v>
      </c>
      <c r="FQ872" s="27" t="s">
        <v>8</v>
      </c>
      <c r="FR872" s="27" t="s">
        <v>7</v>
      </c>
      <c r="GG872" s="27" t="s">
        <v>8</v>
      </c>
      <c r="GH872" s="27" t="s">
        <v>7</v>
      </c>
      <c r="GJ872" s="27" t="s">
        <v>7</v>
      </c>
      <c r="GM872" s="27" t="s">
        <v>8</v>
      </c>
      <c r="GP872" s="27" t="s">
        <v>7</v>
      </c>
      <c r="GR872" s="27" t="s">
        <v>7</v>
      </c>
      <c r="HF872" s="27" t="s">
        <v>7</v>
      </c>
      <c r="HG872" s="27" t="s">
        <v>8</v>
      </c>
      <c r="HL872" s="27" t="s">
        <v>7</v>
      </c>
      <c r="HM872" s="27" t="s">
        <v>8</v>
      </c>
    </row>
    <row r="873" spans="1:225" x14ac:dyDescent="0.25">
      <c r="A873" s="7">
        <v>3.4701709999696872E-3</v>
      </c>
      <c r="B873"/>
      <c r="C873"/>
      <c r="D873"/>
      <c r="E873"/>
      <c r="F873" s="27" t="s">
        <v>7</v>
      </c>
      <c r="O873" s="27" t="s">
        <v>8</v>
      </c>
      <c r="P873" s="27" t="s">
        <v>7</v>
      </c>
      <c r="Q873" s="27" t="s">
        <v>8</v>
      </c>
      <c r="R873" s="27" t="s">
        <v>7</v>
      </c>
      <c r="U873" s="27" t="s">
        <v>8</v>
      </c>
      <c r="X873" s="27" t="s">
        <v>7</v>
      </c>
      <c r="Y873" s="27" t="s">
        <v>8</v>
      </c>
      <c r="Z873" s="27" t="s">
        <v>7</v>
      </c>
      <c r="AB873" s="27" t="s">
        <v>7</v>
      </c>
      <c r="AC873" s="27" t="s">
        <v>8</v>
      </c>
      <c r="AD873" s="27" t="s">
        <v>7</v>
      </c>
      <c r="AE873" s="27" t="s">
        <v>8</v>
      </c>
      <c r="AF873" s="27" t="s">
        <v>7</v>
      </c>
      <c r="AG873" s="27" t="s">
        <v>8</v>
      </c>
      <c r="AH873" s="27" t="s">
        <v>7</v>
      </c>
      <c r="AK873" s="27" t="s">
        <v>8</v>
      </c>
      <c r="AL873" s="27" t="s">
        <v>7</v>
      </c>
      <c r="AR873" s="27" t="s">
        <v>7</v>
      </c>
      <c r="AS873" s="27" t="s">
        <v>8</v>
      </c>
      <c r="AT873" s="27" t="s">
        <v>7</v>
      </c>
      <c r="AY873" s="27" t="s">
        <v>8</v>
      </c>
      <c r="AZ873" s="27" t="s">
        <v>7</v>
      </c>
      <c r="BA873" s="27" t="s">
        <v>8</v>
      </c>
      <c r="BD873" s="27" t="s">
        <v>7</v>
      </c>
      <c r="BG873" s="27" t="s">
        <v>8</v>
      </c>
      <c r="BH873" s="27" t="s">
        <v>7</v>
      </c>
      <c r="BQ873" s="27" t="s">
        <v>8</v>
      </c>
      <c r="BX873" s="27" t="s">
        <v>7</v>
      </c>
      <c r="CE873" s="27" t="s">
        <v>8</v>
      </c>
      <c r="CF873" s="27" t="s">
        <v>7</v>
      </c>
      <c r="DO873" s="27" t="s">
        <v>8</v>
      </c>
      <c r="DP873" s="27" t="s">
        <v>7</v>
      </c>
      <c r="DQ873" s="27" t="s">
        <v>8</v>
      </c>
      <c r="DR873" s="27" t="s">
        <v>7</v>
      </c>
      <c r="DS873" s="27" t="s">
        <v>8</v>
      </c>
      <c r="DT873" s="27" t="s">
        <v>7</v>
      </c>
      <c r="DU873" s="27" t="s">
        <v>8</v>
      </c>
      <c r="DV873" s="27" t="s">
        <v>7</v>
      </c>
      <c r="DY873" s="27" t="s">
        <v>8</v>
      </c>
      <c r="EA873" s="27" t="s">
        <v>8</v>
      </c>
      <c r="EB873" s="27" t="s">
        <v>7</v>
      </c>
      <c r="ED873" s="27" t="s">
        <v>7</v>
      </c>
      <c r="EE873" s="27" t="s">
        <v>8</v>
      </c>
      <c r="EH873" s="27" t="s">
        <v>7</v>
      </c>
      <c r="EJ873" s="27" t="s">
        <v>7</v>
      </c>
      <c r="EL873" s="27" t="s">
        <v>7</v>
      </c>
      <c r="EM873" s="27" t="s">
        <v>8</v>
      </c>
      <c r="EN873" s="27" t="s">
        <v>7</v>
      </c>
      <c r="ET873" s="27" t="s">
        <v>7</v>
      </c>
      <c r="EU873" s="27" t="s">
        <v>8</v>
      </c>
      <c r="FL873" s="27" t="s">
        <v>7</v>
      </c>
      <c r="FM873" s="27" t="s">
        <v>8</v>
      </c>
      <c r="FN873" s="27" t="s">
        <v>7</v>
      </c>
      <c r="FO873" s="27" t="s">
        <v>8</v>
      </c>
      <c r="FP873" s="27" t="s">
        <v>7</v>
      </c>
      <c r="FQ873" s="27" t="s">
        <v>8</v>
      </c>
      <c r="FR873" s="27" t="s">
        <v>7</v>
      </c>
      <c r="FS873" s="27" t="s">
        <v>8</v>
      </c>
      <c r="GG873" s="27" t="s">
        <v>8</v>
      </c>
      <c r="GJ873" s="27" t="s">
        <v>7</v>
      </c>
      <c r="GM873" s="27" t="s">
        <v>8</v>
      </c>
      <c r="HF873" s="27" t="s">
        <v>7</v>
      </c>
      <c r="HG873" s="27" t="s">
        <v>8</v>
      </c>
      <c r="HL873" s="27" t="s">
        <v>7</v>
      </c>
      <c r="HM873" s="27" t="s">
        <v>8</v>
      </c>
    </row>
    <row r="874" spans="1:225" x14ac:dyDescent="0.25">
      <c r="A874" s="7">
        <v>3.4021284313428307E-3</v>
      </c>
      <c r="B874"/>
      <c r="C874"/>
      <c r="D874"/>
      <c r="E874"/>
      <c r="F874" s="27" t="s">
        <v>7</v>
      </c>
      <c r="K874" s="27" t="s">
        <v>8</v>
      </c>
      <c r="O874" s="27" t="s">
        <v>8</v>
      </c>
      <c r="P874" s="27" t="s">
        <v>7</v>
      </c>
      <c r="Q874" s="27" t="s">
        <v>8</v>
      </c>
      <c r="R874" s="27" t="s">
        <v>7</v>
      </c>
      <c r="U874" s="27" t="s">
        <v>8</v>
      </c>
      <c r="X874" s="27" t="s">
        <v>7</v>
      </c>
      <c r="Y874" s="27" t="s">
        <v>8</v>
      </c>
      <c r="AB874" s="27" t="s">
        <v>7</v>
      </c>
      <c r="AC874" s="27" t="s">
        <v>8</v>
      </c>
      <c r="AD874" s="27" t="s">
        <v>7</v>
      </c>
      <c r="AE874" s="27" t="s">
        <v>8</v>
      </c>
      <c r="AF874" s="27" t="s">
        <v>7</v>
      </c>
      <c r="AG874" s="27" t="s">
        <v>8</v>
      </c>
      <c r="AH874" s="27" t="s">
        <v>7</v>
      </c>
      <c r="AI874" s="27" t="s">
        <v>8</v>
      </c>
      <c r="AK874" s="27" t="s">
        <v>8</v>
      </c>
      <c r="AR874" s="27" t="s">
        <v>7</v>
      </c>
      <c r="AT874" s="27" t="s">
        <v>7</v>
      </c>
      <c r="AY874" s="27" t="s">
        <v>8</v>
      </c>
      <c r="AZ874" s="27" t="s">
        <v>7</v>
      </c>
      <c r="BA874" s="27" t="s">
        <v>8</v>
      </c>
      <c r="BD874" s="27" t="s">
        <v>7</v>
      </c>
      <c r="BE874" s="27" t="s">
        <v>8</v>
      </c>
      <c r="BG874" s="27" t="s">
        <v>8</v>
      </c>
      <c r="BH874" s="27" t="s">
        <v>7</v>
      </c>
      <c r="BK874" s="27" t="s">
        <v>8</v>
      </c>
      <c r="BQ874" s="27" t="s">
        <v>8</v>
      </c>
      <c r="BX874" s="27" t="s">
        <v>7</v>
      </c>
      <c r="CE874" s="27" t="s">
        <v>8</v>
      </c>
      <c r="CF874" s="27" t="s">
        <v>7</v>
      </c>
      <c r="DO874" s="27" t="s">
        <v>8</v>
      </c>
      <c r="DP874" s="27" t="s">
        <v>7</v>
      </c>
      <c r="DQ874" s="27" t="s">
        <v>8</v>
      </c>
      <c r="DR874" s="27" t="s">
        <v>7</v>
      </c>
      <c r="DS874" s="27" t="s">
        <v>8</v>
      </c>
      <c r="DT874" s="27" t="s">
        <v>7</v>
      </c>
      <c r="DU874" s="27" t="s">
        <v>8</v>
      </c>
      <c r="DV874" s="27" t="s">
        <v>7</v>
      </c>
      <c r="DW874" s="27" t="s">
        <v>8</v>
      </c>
      <c r="DY874" s="27" t="s">
        <v>8</v>
      </c>
      <c r="DZ874" s="27" t="s">
        <v>7</v>
      </c>
      <c r="EA874" s="27" t="s">
        <v>8</v>
      </c>
      <c r="ED874" s="27" t="s">
        <v>7</v>
      </c>
      <c r="EE874" s="27" t="s">
        <v>8</v>
      </c>
      <c r="EL874" s="27" t="s">
        <v>7</v>
      </c>
      <c r="ET874" s="27" t="s">
        <v>7</v>
      </c>
      <c r="EU874" s="27" t="s">
        <v>8</v>
      </c>
      <c r="FL874" s="27" t="s">
        <v>7</v>
      </c>
      <c r="FN874" s="27" t="s">
        <v>7</v>
      </c>
      <c r="FO874" s="27" t="s">
        <v>8</v>
      </c>
      <c r="FP874" s="27" t="s">
        <v>7</v>
      </c>
      <c r="FR874" s="27" t="s">
        <v>7</v>
      </c>
      <c r="FS874" s="27" t="s">
        <v>8</v>
      </c>
      <c r="FT874" s="27" t="s">
        <v>7</v>
      </c>
      <c r="FU874" s="27" t="s">
        <v>8</v>
      </c>
      <c r="FY874" s="27" t="s">
        <v>8</v>
      </c>
      <c r="GA874" s="27" t="s">
        <v>8</v>
      </c>
      <c r="GC874" s="27" t="s">
        <v>8</v>
      </c>
      <c r="GG874" s="27" t="s">
        <v>8</v>
      </c>
      <c r="GJ874" s="27" t="s">
        <v>7</v>
      </c>
      <c r="GM874" s="27" t="s">
        <v>8</v>
      </c>
      <c r="HF874" s="27" t="s">
        <v>7</v>
      </c>
      <c r="HL874" s="27" t="s">
        <v>7</v>
      </c>
      <c r="HM874" s="27" t="s">
        <v>8</v>
      </c>
    </row>
    <row r="875" spans="1:225" x14ac:dyDescent="0.25">
      <c r="A875" s="7">
        <v>3.3354200307282654E-3</v>
      </c>
      <c r="B875"/>
      <c r="C875"/>
      <c r="D875"/>
      <c r="E875"/>
      <c r="F875" s="27" t="s">
        <v>7</v>
      </c>
      <c r="K875" s="27" t="s">
        <v>8</v>
      </c>
      <c r="L875" s="27" t="s">
        <v>7</v>
      </c>
      <c r="O875" s="27" t="s">
        <v>8</v>
      </c>
      <c r="P875" s="27" t="s">
        <v>7</v>
      </c>
      <c r="Q875" s="27" t="s">
        <v>8</v>
      </c>
      <c r="R875" s="27" t="s">
        <v>7</v>
      </c>
      <c r="U875" s="27" t="s">
        <v>8</v>
      </c>
      <c r="X875" s="27" t="s">
        <v>7</v>
      </c>
      <c r="Y875" s="27" t="s">
        <v>8</v>
      </c>
      <c r="AB875" s="27" t="s">
        <v>7</v>
      </c>
      <c r="AD875" s="27" t="s">
        <v>7</v>
      </c>
      <c r="AE875" s="27" t="s">
        <v>8</v>
      </c>
      <c r="AF875" s="27" t="s">
        <v>7</v>
      </c>
      <c r="AH875" s="27" t="s">
        <v>7</v>
      </c>
      <c r="AI875" s="27" t="s">
        <v>8</v>
      </c>
      <c r="AJ875" s="27" t="s">
        <v>7</v>
      </c>
      <c r="AK875" s="27" t="s">
        <v>8</v>
      </c>
      <c r="AT875" s="27" t="s">
        <v>7</v>
      </c>
      <c r="AY875" s="27" t="s">
        <v>8</v>
      </c>
      <c r="AZ875" s="27" t="s">
        <v>7</v>
      </c>
      <c r="BA875" s="27" t="s">
        <v>8</v>
      </c>
      <c r="BD875" s="27" t="s">
        <v>7</v>
      </c>
      <c r="BE875" s="27" t="s">
        <v>8</v>
      </c>
      <c r="BF875" s="27" t="s">
        <v>7</v>
      </c>
      <c r="BG875" s="27" t="s">
        <v>8</v>
      </c>
      <c r="BH875" s="27" t="s">
        <v>7</v>
      </c>
      <c r="BI875" s="27" t="s">
        <v>8</v>
      </c>
      <c r="BK875" s="27" t="s">
        <v>8</v>
      </c>
      <c r="BL875" s="27" t="s">
        <v>7</v>
      </c>
      <c r="BQ875" s="27" t="s">
        <v>8</v>
      </c>
      <c r="BX875" s="27" t="s">
        <v>7</v>
      </c>
      <c r="CE875" s="27" t="s">
        <v>8</v>
      </c>
      <c r="CF875" s="27" t="s">
        <v>7</v>
      </c>
      <c r="DO875" s="27" t="s">
        <v>8</v>
      </c>
      <c r="DP875" s="27" t="s">
        <v>7</v>
      </c>
      <c r="DQ875" s="27" t="s">
        <v>8</v>
      </c>
      <c r="DR875" s="27" t="s">
        <v>7</v>
      </c>
      <c r="DS875" s="27" t="s">
        <v>8</v>
      </c>
      <c r="DT875" s="27" t="s">
        <v>7</v>
      </c>
      <c r="DU875" s="27" t="s">
        <v>8</v>
      </c>
      <c r="DV875" s="27" t="s">
        <v>7</v>
      </c>
      <c r="DW875" s="27" t="s">
        <v>8</v>
      </c>
      <c r="DX875" s="27" t="s">
        <v>7</v>
      </c>
      <c r="DY875" s="27" t="s">
        <v>8</v>
      </c>
      <c r="DZ875" s="27" t="s">
        <v>7</v>
      </c>
      <c r="EA875" s="27" t="s">
        <v>8</v>
      </c>
      <c r="ED875" s="27" t="s">
        <v>7</v>
      </c>
      <c r="EE875" s="27" t="s">
        <v>8</v>
      </c>
      <c r="ET875" s="27" t="s">
        <v>7</v>
      </c>
      <c r="EU875" s="27" t="s">
        <v>8</v>
      </c>
      <c r="FN875" s="27" t="s">
        <v>7</v>
      </c>
      <c r="FR875" s="27" t="s">
        <v>7</v>
      </c>
      <c r="FS875" s="27" t="s">
        <v>8</v>
      </c>
      <c r="FT875" s="27" t="s">
        <v>7</v>
      </c>
      <c r="FU875" s="27" t="s">
        <v>8</v>
      </c>
      <c r="FV875" s="27" t="s">
        <v>7</v>
      </c>
      <c r="FY875" s="27" t="s">
        <v>8</v>
      </c>
      <c r="FZ875" s="27" t="s">
        <v>7</v>
      </c>
      <c r="GA875" s="27" t="s">
        <v>8</v>
      </c>
      <c r="GB875" s="27" t="s">
        <v>7</v>
      </c>
      <c r="GC875" s="27" t="s">
        <v>8</v>
      </c>
      <c r="GD875" s="27" t="s">
        <v>7</v>
      </c>
      <c r="GG875" s="27" t="s">
        <v>8</v>
      </c>
      <c r="GJ875" s="27" t="s">
        <v>7</v>
      </c>
      <c r="GK875" s="27" t="s">
        <v>8</v>
      </c>
      <c r="GM875" s="27" t="s">
        <v>8</v>
      </c>
      <c r="HL875" s="27" t="s">
        <v>7</v>
      </c>
      <c r="HM875" s="27" t="s">
        <v>8</v>
      </c>
    </row>
    <row r="876" spans="1:225" x14ac:dyDescent="0.25">
      <c r="A876" s="7">
        <v>3.2700196379688881E-3</v>
      </c>
      <c r="B876"/>
      <c r="C876"/>
      <c r="D876"/>
      <c r="E876"/>
      <c r="F876" s="27" t="s">
        <v>7</v>
      </c>
      <c r="K876" s="27" t="s">
        <v>8</v>
      </c>
      <c r="L876" s="27" t="s">
        <v>7</v>
      </c>
      <c r="O876" s="27" t="s">
        <v>8</v>
      </c>
      <c r="P876" s="27" t="s">
        <v>7</v>
      </c>
      <c r="Q876" s="27" t="s">
        <v>8</v>
      </c>
      <c r="R876" s="27" t="s">
        <v>7</v>
      </c>
      <c r="U876" s="27" t="s">
        <v>8</v>
      </c>
      <c r="X876" s="27" t="s">
        <v>7</v>
      </c>
      <c r="AD876" s="27" t="s">
        <v>7</v>
      </c>
      <c r="AE876" s="27" t="s">
        <v>8</v>
      </c>
      <c r="AH876" s="27" t="s">
        <v>7</v>
      </c>
      <c r="AI876" s="27" t="s">
        <v>8</v>
      </c>
      <c r="AJ876" s="27" t="s">
        <v>7</v>
      </c>
      <c r="AK876" s="27" t="s">
        <v>8</v>
      </c>
      <c r="AT876" s="27" t="s">
        <v>7</v>
      </c>
      <c r="AY876" s="27" t="s">
        <v>8</v>
      </c>
      <c r="AZ876" s="27" t="s">
        <v>7</v>
      </c>
      <c r="BD876" s="27" t="s">
        <v>7</v>
      </c>
      <c r="BE876" s="27" t="s">
        <v>8</v>
      </c>
      <c r="BF876" s="27" t="s">
        <v>7</v>
      </c>
      <c r="BG876" s="27" t="s">
        <v>8</v>
      </c>
      <c r="BH876" s="27" t="s">
        <v>7</v>
      </c>
      <c r="BI876" s="27" t="s">
        <v>8</v>
      </c>
      <c r="BJ876" s="27" t="s">
        <v>7</v>
      </c>
      <c r="BK876" s="27" t="s">
        <v>8</v>
      </c>
      <c r="BL876" s="27" t="s">
        <v>7</v>
      </c>
      <c r="BQ876" s="27" t="s">
        <v>8</v>
      </c>
      <c r="BX876" s="27" t="s">
        <v>7</v>
      </c>
      <c r="BY876" s="27" t="s">
        <v>8</v>
      </c>
      <c r="CE876" s="27" t="s">
        <v>8</v>
      </c>
      <c r="CF876" s="27" t="s">
        <v>7</v>
      </c>
      <c r="DO876" s="27" t="s">
        <v>8</v>
      </c>
      <c r="DP876" s="27" t="s">
        <v>7</v>
      </c>
      <c r="DQ876" s="27" t="s">
        <v>8</v>
      </c>
      <c r="DR876" s="27" t="s">
        <v>7</v>
      </c>
      <c r="DS876" s="27" t="s">
        <v>8</v>
      </c>
      <c r="DT876" s="27" t="s">
        <v>7</v>
      </c>
      <c r="DU876" s="27" t="s">
        <v>8</v>
      </c>
      <c r="DV876" s="27" t="s">
        <v>7</v>
      </c>
      <c r="DW876" s="27" t="s">
        <v>8</v>
      </c>
      <c r="DX876" s="27" t="s">
        <v>7</v>
      </c>
      <c r="DY876" s="27" t="s">
        <v>8</v>
      </c>
      <c r="DZ876" s="27" t="s">
        <v>7</v>
      </c>
      <c r="EA876" s="27" t="s">
        <v>8</v>
      </c>
      <c r="ED876" s="27" t="s">
        <v>7</v>
      </c>
      <c r="EE876" s="27" t="s">
        <v>8</v>
      </c>
      <c r="ET876" s="27" t="s">
        <v>7</v>
      </c>
      <c r="EU876" s="27" t="s">
        <v>8</v>
      </c>
      <c r="FR876" s="27" t="s">
        <v>7</v>
      </c>
      <c r="FS876" s="27" t="s">
        <v>8</v>
      </c>
      <c r="FT876" s="27" t="s">
        <v>7</v>
      </c>
      <c r="FU876" s="27" t="s">
        <v>8</v>
      </c>
      <c r="FV876" s="27" t="s">
        <v>7</v>
      </c>
      <c r="FY876" s="27" t="s">
        <v>8</v>
      </c>
      <c r="FZ876" s="27" t="s">
        <v>7</v>
      </c>
      <c r="GA876" s="27" t="s">
        <v>8</v>
      </c>
      <c r="GB876" s="27" t="s">
        <v>7</v>
      </c>
      <c r="GC876" s="27" t="s">
        <v>8</v>
      </c>
      <c r="GD876" s="27" t="s">
        <v>7</v>
      </c>
      <c r="GE876" s="27" t="s">
        <v>8</v>
      </c>
      <c r="GG876" s="27" t="s">
        <v>8</v>
      </c>
      <c r="GJ876" s="27" t="s">
        <v>7</v>
      </c>
      <c r="GK876" s="27" t="s">
        <v>8</v>
      </c>
      <c r="GL876" s="27" t="s">
        <v>7</v>
      </c>
      <c r="GM876" s="27" t="s">
        <v>8</v>
      </c>
      <c r="HL876" s="27" t="s">
        <v>7</v>
      </c>
    </row>
    <row r="877" spans="1:225" x14ac:dyDescent="0.25">
      <c r="A877" s="7">
        <v>3.205901605851851E-3</v>
      </c>
      <c r="B877"/>
      <c r="C877"/>
      <c r="D877"/>
      <c r="E877"/>
      <c r="F877" s="27" t="s">
        <v>7</v>
      </c>
      <c r="K877" s="27" t="s">
        <v>8</v>
      </c>
      <c r="L877" s="27" t="s">
        <v>7</v>
      </c>
      <c r="O877" s="27" t="s">
        <v>8</v>
      </c>
      <c r="P877" s="27" t="s">
        <v>7</v>
      </c>
      <c r="Q877" s="27" t="s">
        <v>8</v>
      </c>
      <c r="R877" s="27" t="s">
        <v>7</v>
      </c>
      <c r="U877" s="27" t="s">
        <v>8</v>
      </c>
      <c r="AD877" s="27" t="s">
        <v>7</v>
      </c>
      <c r="AE877" s="27" t="s">
        <v>8</v>
      </c>
      <c r="AH877" s="27" t="s">
        <v>7</v>
      </c>
      <c r="AI877" s="27" t="s">
        <v>8</v>
      </c>
      <c r="AJ877" s="27" t="s">
        <v>7</v>
      </c>
      <c r="AT877" s="27" t="s">
        <v>7</v>
      </c>
      <c r="AY877" s="27" t="s">
        <v>8</v>
      </c>
      <c r="BD877" s="27" t="s">
        <v>7</v>
      </c>
      <c r="BE877" s="27" t="s">
        <v>8</v>
      </c>
      <c r="BF877" s="27" t="s">
        <v>7</v>
      </c>
      <c r="BG877" s="27" t="s">
        <v>8</v>
      </c>
      <c r="BH877" s="27" t="s">
        <v>7</v>
      </c>
      <c r="BI877" s="27" t="s">
        <v>8</v>
      </c>
      <c r="BJ877" s="27" t="s">
        <v>7</v>
      </c>
      <c r="BK877" s="27" t="s">
        <v>8</v>
      </c>
      <c r="BL877" s="27" t="s">
        <v>7</v>
      </c>
      <c r="BM877" s="27" t="s">
        <v>8</v>
      </c>
      <c r="BQ877" s="27" t="s">
        <v>8</v>
      </c>
      <c r="BX877" s="27" t="s">
        <v>7</v>
      </c>
      <c r="BY877" s="27" t="s">
        <v>8</v>
      </c>
      <c r="BZ877" s="27" t="s">
        <v>7</v>
      </c>
      <c r="CA877" s="27" t="s">
        <v>8</v>
      </c>
      <c r="CE877" s="27" t="s">
        <v>8</v>
      </c>
      <c r="CF877" s="27" t="s">
        <v>7</v>
      </c>
      <c r="DO877" s="27" t="s">
        <v>8</v>
      </c>
      <c r="DP877" s="27" t="s">
        <v>7</v>
      </c>
      <c r="DQ877" s="27" t="s">
        <v>8</v>
      </c>
      <c r="DR877" s="27" t="s">
        <v>7</v>
      </c>
      <c r="DT877" s="27" t="s">
        <v>7</v>
      </c>
      <c r="DU877" s="27" t="s">
        <v>8</v>
      </c>
      <c r="DV877" s="27" t="s">
        <v>7</v>
      </c>
      <c r="DW877" s="27" t="s">
        <v>8</v>
      </c>
      <c r="DX877" s="27" t="s">
        <v>7</v>
      </c>
      <c r="DZ877" s="27" t="s">
        <v>7</v>
      </c>
      <c r="EA877" s="27" t="s">
        <v>8</v>
      </c>
      <c r="ED877" s="27" t="s">
        <v>7</v>
      </c>
      <c r="ET877" s="27" t="s">
        <v>7</v>
      </c>
      <c r="EU877" s="27" t="s">
        <v>8</v>
      </c>
      <c r="FR877" s="27" t="s">
        <v>7</v>
      </c>
      <c r="FS877" s="27" t="s">
        <v>8</v>
      </c>
      <c r="FT877" s="27" t="s">
        <v>7</v>
      </c>
      <c r="FU877" s="27" t="s">
        <v>8</v>
      </c>
      <c r="FV877" s="27" t="s">
        <v>7</v>
      </c>
      <c r="FY877" s="27" t="s">
        <v>8</v>
      </c>
      <c r="FZ877" s="27" t="s">
        <v>7</v>
      </c>
      <c r="GA877" s="27" t="s">
        <v>8</v>
      </c>
      <c r="GB877" s="27" t="s">
        <v>7</v>
      </c>
      <c r="GD877" s="27" t="s">
        <v>7</v>
      </c>
      <c r="GE877" s="27" t="s">
        <v>8</v>
      </c>
      <c r="GF877" s="27" t="s">
        <v>7</v>
      </c>
      <c r="GG877" s="27" t="s">
        <v>8</v>
      </c>
      <c r="GJ877" s="27" t="s">
        <v>7</v>
      </c>
      <c r="GK877" s="27" t="s">
        <v>8</v>
      </c>
      <c r="GL877" s="27" t="s">
        <v>7</v>
      </c>
      <c r="GM877" s="27" t="s">
        <v>8</v>
      </c>
    </row>
    <row r="878" spans="1:225" x14ac:dyDescent="0.25">
      <c r="A878" s="7">
        <v>3.1430407900508344E-3</v>
      </c>
      <c r="B878"/>
      <c r="C878"/>
      <c r="D878"/>
      <c r="E878"/>
      <c r="F878" s="27" t="s">
        <v>7</v>
      </c>
      <c r="K878" s="27" t="s">
        <v>8</v>
      </c>
      <c r="L878" s="27" t="s">
        <v>7</v>
      </c>
      <c r="O878" s="27" t="s">
        <v>8</v>
      </c>
      <c r="P878" s="27" t="s">
        <v>7</v>
      </c>
      <c r="Q878" s="27" t="s">
        <v>8</v>
      </c>
      <c r="R878" s="27" t="s">
        <v>7</v>
      </c>
      <c r="S878" s="27" t="s">
        <v>8</v>
      </c>
      <c r="U878" s="27" t="s">
        <v>8</v>
      </c>
      <c r="AD878" s="27" t="s">
        <v>7</v>
      </c>
      <c r="AE878" s="27" t="s">
        <v>8</v>
      </c>
      <c r="AH878" s="27" t="s">
        <v>7</v>
      </c>
      <c r="AI878" s="27" t="s">
        <v>8</v>
      </c>
      <c r="AT878" s="27" t="s">
        <v>7</v>
      </c>
      <c r="AW878" s="27" t="s">
        <v>8</v>
      </c>
      <c r="AY878" s="27" t="s">
        <v>8</v>
      </c>
      <c r="BD878" s="27" t="s">
        <v>7</v>
      </c>
      <c r="BE878" s="27" t="s">
        <v>8</v>
      </c>
      <c r="BF878" s="27" t="s">
        <v>7</v>
      </c>
      <c r="BG878" s="27" t="s">
        <v>8</v>
      </c>
      <c r="BH878" s="27" t="s">
        <v>7</v>
      </c>
      <c r="BJ878" s="27" t="s">
        <v>7</v>
      </c>
      <c r="BL878" s="27" t="s">
        <v>7</v>
      </c>
      <c r="BM878" s="27" t="s">
        <v>8</v>
      </c>
      <c r="BN878" s="27" t="s">
        <v>7</v>
      </c>
      <c r="BQ878" s="27" t="s">
        <v>8</v>
      </c>
      <c r="BX878" s="27" t="s">
        <v>7</v>
      </c>
      <c r="BY878" s="27" t="s">
        <v>8</v>
      </c>
      <c r="BZ878" s="27" t="s">
        <v>7</v>
      </c>
      <c r="CA878" s="27" t="s">
        <v>8</v>
      </c>
      <c r="CB878" s="27" t="s">
        <v>7</v>
      </c>
      <c r="CC878" s="27" t="s">
        <v>8</v>
      </c>
      <c r="CE878" s="27" t="s">
        <v>8</v>
      </c>
      <c r="CF878" s="27" t="s">
        <v>7</v>
      </c>
      <c r="DO878" s="27" t="s">
        <v>8</v>
      </c>
      <c r="DP878" s="27" t="s">
        <v>7</v>
      </c>
      <c r="DQ878" s="27" t="s">
        <v>8</v>
      </c>
      <c r="DT878" s="27" t="s">
        <v>7</v>
      </c>
      <c r="DU878" s="27" t="s">
        <v>8</v>
      </c>
      <c r="DV878" s="27" t="s">
        <v>7</v>
      </c>
      <c r="DW878" s="27" t="s">
        <v>8</v>
      </c>
      <c r="DZ878" s="27" t="s">
        <v>7</v>
      </c>
      <c r="ET878" s="27" t="s">
        <v>7</v>
      </c>
      <c r="EU878" s="27" t="s">
        <v>8</v>
      </c>
      <c r="FR878" s="27" t="s">
        <v>7</v>
      </c>
      <c r="FS878" s="27" t="s">
        <v>8</v>
      </c>
      <c r="FT878" s="27" t="s">
        <v>7</v>
      </c>
      <c r="FU878" s="27" t="s">
        <v>8</v>
      </c>
      <c r="FV878" s="27" t="s">
        <v>7</v>
      </c>
      <c r="FY878" s="27" t="s">
        <v>8</v>
      </c>
      <c r="FZ878" s="27" t="s">
        <v>7</v>
      </c>
      <c r="GD878" s="27" t="s">
        <v>7</v>
      </c>
      <c r="GE878" s="27" t="s">
        <v>8</v>
      </c>
      <c r="GF878" s="27" t="s">
        <v>7</v>
      </c>
      <c r="GG878" s="27" t="s">
        <v>8</v>
      </c>
      <c r="GJ878" s="27" t="s">
        <v>7</v>
      </c>
      <c r="GL878" s="27" t="s">
        <v>7</v>
      </c>
    </row>
    <row r="879" spans="1:225" x14ac:dyDescent="0.25">
      <c r="A879" s="7">
        <v>3.0814125392655241E-3</v>
      </c>
      <c r="B879"/>
      <c r="C879"/>
      <c r="D879"/>
      <c r="E879"/>
      <c r="F879" s="27" t="s">
        <v>7</v>
      </c>
      <c r="K879" s="27" t="s">
        <v>8</v>
      </c>
      <c r="L879" s="27" t="s">
        <v>7</v>
      </c>
      <c r="O879" s="27" t="s">
        <v>8</v>
      </c>
      <c r="P879" s="27" t="s">
        <v>7</v>
      </c>
      <c r="R879" s="27" t="s">
        <v>7</v>
      </c>
      <c r="S879" s="27" t="s">
        <v>8</v>
      </c>
      <c r="T879" s="27" t="s">
        <v>7</v>
      </c>
      <c r="U879" s="27" t="s">
        <v>8</v>
      </c>
      <c r="AD879" s="27" t="s">
        <v>7</v>
      </c>
      <c r="AE879" s="27" t="s">
        <v>8</v>
      </c>
      <c r="AH879" s="27" t="s">
        <v>7</v>
      </c>
      <c r="AT879" s="27" t="s">
        <v>7</v>
      </c>
      <c r="AU879" s="27" t="s">
        <v>8</v>
      </c>
      <c r="AW879" s="27" t="s">
        <v>8</v>
      </c>
      <c r="AX879" s="27" t="s">
        <v>7</v>
      </c>
      <c r="AY879" s="27" t="s">
        <v>8</v>
      </c>
      <c r="BD879" s="27" t="s">
        <v>7</v>
      </c>
      <c r="BE879" s="27" t="s">
        <v>8</v>
      </c>
      <c r="BF879" s="27" t="s">
        <v>7</v>
      </c>
      <c r="BL879" s="27" t="s">
        <v>7</v>
      </c>
      <c r="BM879" s="27" t="s">
        <v>8</v>
      </c>
      <c r="BN879" s="27" t="s">
        <v>7</v>
      </c>
      <c r="BQ879" s="27" t="s">
        <v>8</v>
      </c>
      <c r="BX879" s="27" t="s">
        <v>7</v>
      </c>
      <c r="BY879" s="27" t="s">
        <v>8</v>
      </c>
      <c r="BZ879" s="27" t="s">
        <v>7</v>
      </c>
      <c r="CA879" s="27" t="s">
        <v>8</v>
      </c>
      <c r="CB879" s="27" t="s">
        <v>7</v>
      </c>
      <c r="CC879" s="27" t="s">
        <v>8</v>
      </c>
      <c r="CD879" s="27" t="s">
        <v>7</v>
      </c>
      <c r="CE879" s="27" t="s">
        <v>8</v>
      </c>
      <c r="CF879" s="27" t="s">
        <v>7</v>
      </c>
      <c r="DO879" s="27" t="s">
        <v>8</v>
      </c>
      <c r="DP879" s="27" t="s">
        <v>7</v>
      </c>
      <c r="DQ879" s="27" t="s">
        <v>8</v>
      </c>
      <c r="DT879" s="27" t="s">
        <v>7</v>
      </c>
      <c r="DU879" s="27" t="s">
        <v>8</v>
      </c>
      <c r="DV879" s="27" t="s">
        <v>7</v>
      </c>
      <c r="ET879" s="27" t="s">
        <v>7</v>
      </c>
      <c r="EU879" s="27" t="s">
        <v>8</v>
      </c>
      <c r="FR879" s="27" t="s">
        <v>7</v>
      </c>
      <c r="FS879" s="27" t="s">
        <v>8</v>
      </c>
      <c r="FT879" s="27" t="s">
        <v>7</v>
      </c>
      <c r="FU879" s="27" t="s">
        <v>8</v>
      </c>
      <c r="FV879" s="27" t="s">
        <v>7</v>
      </c>
      <c r="FY879" s="27" t="s">
        <v>8</v>
      </c>
      <c r="GD879" s="27" t="s">
        <v>7</v>
      </c>
      <c r="GE879" s="27" t="s">
        <v>8</v>
      </c>
      <c r="GF879" s="27" t="s">
        <v>7</v>
      </c>
      <c r="GG879" s="27" t="s">
        <v>8</v>
      </c>
    </row>
    <row r="880" spans="1:225" x14ac:dyDescent="0.25">
      <c r="A880" s="7">
        <v>3.0209926855544354E-3</v>
      </c>
      <c r="B880"/>
      <c r="C880"/>
      <c r="D880"/>
      <c r="E880"/>
      <c r="F880" s="27" t="s">
        <v>7</v>
      </c>
      <c r="K880" s="27" t="s">
        <v>8</v>
      </c>
      <c r="L880" s="27" t="s">
        <v>7</v>
      </c>
      <c r="M880" s="27" t="s">
        <v>8</v>
      </c>
      <c r="O880" s="27" t="s">
        <v>8</v>
      </c>
      <c r="R880" s="27" t="s">
        <v>7</v>
      </c>
      <c r="S880" s="27" t="s">
        <v>8</v>
      </c>
      <c r="T880" s="27" t="s">
        <v>7</v>
      </c>
      <c r="U880" s="27" t="s">
        <v>8</v>
      </c>
      <c r="AD880" s="27" t="s">
        <v>7</v>
      </c>
      <c r="AT880" s="27" t="s">
        <v>7</v>
      </c>
      <c r="AU880" s="27" t="s">
        <v>8</v>
      </c>
      <c r="AV880" s="27" t="s">
        <v>7</v>
      </c>
      <c r="AW880" s="27" t="s">
        <v>8</v>
      </c>
      <c r="AX880" s="27" t="s">
        <v>7</v>
      </c>
      <c r="AY880" s="27" t="s">
        <v>8</v>
      </c>
      <c r="BD880" s="27" t="s">
        <v>7</v>
      </c>
      <c r="BE880" s="27" t="s">
        <v>8</v>
      </c>
      <c r="BL880" s="27" t="s">
        <v>7</v>
      </c>
      <c r="BM880" s="27" t="s">
        <v>8</v>
      </c>
      <c r="BN880" s="27" t="s">
        <v>7</v>
      </c>
      <c r="BO880" s="27" t="s">
        <v>8</v>
      </c>
      <c r="BQ880" s="27" t="s">
        <v>8</v>
      </c>
      <c r="BX880" s="27" t="s">
        <v>7</v>
      </c>
      <c r="BY880" s="27" t="s">
        <v>8</v>
      </c>
      <c r="BZ880" s="27" t="s">
        <v>7</v>
      </c>
      <c r="CA880" s="27" t="s">
        <v>8</v>
      </c>
      <c r="CB880" s="27" t="s">
        <v>7</v>
      </c>
      <c r="CC880" s="27" t="s">
        <v>8</v>
      </c>
      <c r="CD880" s="27" t="s">
        <v>7</v>
      </c>
      <c r="CE880" s="27" t="s">
        <v>8</v>
      </c>
      <c r="CF880" s="27" t="s">
        <v>7</v>
      </c>
      <c r="DO880" s="27" t="s">
        <v>8</v>
      </c>
      <c r="DP880" s="27" t="s">
        <v>7</v>
      </c>
      <c r="DQ880" s="27" t="s">
        <v>8</v>
      </c>
      <c r="DT880" s="27" t="s">
        <v>7</v>
      </c>
      <c r="ET880" s="27" t="s">
        <v>7</v>
      </c>
      <c r="FR880" s="27" t="s">
        <v>7</v>
      </c>
      <c r="FT880" s="27" t="s">
        <v>7</v>
      </c>
      <c r="FU880" s="27" t="s">
        <v>8</v>
      </c>
      <c r="FV880" s="27" t="s">
        <v>7</v>
      </c>
      <c r="FY880" s="27" t="s">
        <v>8</v>
      </c>
      <c r="GD880" s="27" t="s">
        <v>7</v>
      </c>
      <c r="GF880" s="27" t="s">
        <v>7</v>
      </c>
      <c r="GG880" s="27" t="s">
        <v>8</v>
      </c>
    </row>
    <row r="881" spans="1:188" x14ac:dyDescent="0.25">
      <c r="A881" s="7">
        <v>2.9617575348572897E-3</v>
      </c>
      <c r="B881"/>
      <c r="C881"/>
      <c r="D881"/>
      <c r="E881"/>
      <c r="F881" s="27" t="s">
        <v>7</v>
      </c>
      <c r="K881" s="27" t="s">
        <v>8</v>
      </c>
      <c r="L881" s="27" t="s">
        <v>7</v>
      </c>
      <c r="M881" s="27" t="s">
        <v>8</v>
      </c>
      <c r="N881" s="27" t="s">
        <v>7</v>
      </c>
      <c r="O881" s="27" t="s">
        <v>8</v>
      </c>
      <c r="R881" s="27" t="s">
        <v>7</v>
      </c>
      <c r="S881" s="27" t="s">
        <v>8</v>
      </c>
      <c r="T881" s="27" t="s">
        <v>7</v>
      </c>
      <c r="U881" s="27" t="s">
        <v>8</v>
      </c>
      <c r="AT881" s="27" t="s">
        <v>7</v>
      </c>
      <c r="AU881" s="27" t="s">
        <v>8</v>
      </c>
      <c r="AV881" s="27" t="s">
        <v>7</v>
      </c>
      <c r="AW881" s="27" t="s">
        <v>8</v>
      </c>
      <c r="AX881" s="27" t="s">
        <v>7</v>
      </c>
      <c r="AY881" s="27" t="s">
        <v>8</v>
      </c>
      <c r="BD881" s="27" t="s">
        <v>7</v>
      </c>
      <c r="BL881" s="27" t="s">
        <v>7</v>
      </c>
      <c r="BM881" s="27" t="s">
        <v>8</v>
      </c>
      <c r="BN881" s="27" t="s">
        <v>7</v>
      </c>
      <c r="BO881" s="27" t="s">
        <v>8</v>
      </c>
      <c r="BP881" s="27" t="s">
        <v>7</v>
      </c>
      <c r="BQ881" s="27" t="s">
        <v>8</v>
      </c>
      <c r="BX881" s="27" t="s">
        <v>7</v>
      </c>
      <c r="BY881" s="27" t="s">
        <v>8</v>
      </c>
      <c r="BZ881" s="27" t="s">
        <v>7</v>
      </c>
      <c r="CA881" s="27" t="s">
        <v>8</v>
      </c>
      <c r="CB881" s="27" t="s">
        <v>7</v>
      </c>
      <c r="CC881" s="27" t="s">
        <v>8</v>
      </c>
      <c r="CD881" s="27" t="s">
        <v>7</v>
      </c>
      <c r="CF881" s="27" t="s">
        <v>7</v>
      </c>
      <c r="CG881" s="27" t="s">
        <v>8</v>
      </c>
      <c r="DM881" s="27" t="s">
        <v>8</v>
      </c>
      <c r="DO881" s="27" t="s">
        <v>8</v>
      </c>
      <c r="DP881" s="27" t="s">
        <v>7</v>
      </c>
      <c r="FT881" s="27" t="s">
        <v>7</v>
      </c>
      <c r="FU881" s="27" t="s">
        <v>8</v>
      </c>
      <c r="FV881" s="27" t="s">
        <v>7</v>
      </c>
      <c r="FW881" s="27" t="s">
        <v>8</v>
      </c>
      <c r="FY881" s="27" t="s">
        <v>8</v>
      </c>
      <c r="GF881" s="27" t="s">
        <v>7</v>
      </c>
    </row>
    <row r="882" spans="1:188" x14ac:dyDescent="0.25">
      <c r="A882" s="7">
        <v>2.9036838577032251E-3</v>
      </c>
      <c r="B882"/>
      <c r="C882"/>
      <c r="D882"/>
      <c r="E882"/>
      <c r="F882" s="27" t="s">
        <v>7</v>
      </c>
      <c r="K882" s="27" t="s">
        <v>8</v>
      </c>
      <c r="L882" s="27" t="s">
        <v>7</v>
      </c>
      <c r="M882" s="27" t="s">
        <v>8</v>
      </c>
      <c r="N882" s="27" t="s">
        <v>7</v>
      </c>
      <c r="O882" s="27" t="s">
        <v>8</v>
      </c>
      <c r="R882" s="27" t="s">
        <v>7</v>
      </c>
      <c r="S882" s="27" t="s">
        <v>8</v>
      </c>
      <c r="T882" s="27" t="s">
        <v>7</v>
      </c>
      <c r="U882" s="27" t="s">
        <v>8</v>
      </c>
      <c r="AT882" s="27" t="s">
        <v>7</v>
      </c>
      <c r="AV882" s="27" t="s">
        <v>7</v>
      </c>
      <c r="AW882" s="27" t="s">
        <v>8</v>
      </c>
      <c r="AX882" s="27" t="s">
        <v>7</v>
      </c>
      <c r="AY882" s="27" t="s">
        <v>8</v>
      </c>
      <c r="BL882" s="27" t="s">
        <v>7</v>
      </c>
      <c r="BM882" s="27" t="s">
        <v>8</v>
      </c>
      <c r="BN882" s="27" t="s">
        <v>7</v>
      </c>
      <c r="BO882" s="27" t="s">
        <v>8</v>
      </c>
      <c r="BP882" s="27" t="s">
        <v>7</v>
      </c>
      <c r="BQ882" s="27" t="s">
        <v>8</v>
      </c>
      <c r="BX882" s="27" t="s">
        <v>7</v>
      </c>
      <c r="BY882" s="27" t="s">
        <v>8</v>
      </c>
      <c r="BZ882" s="27" t="s">
        <v>7</v>
      </c>
      <c r="CB882" s="27" t="s">
        <v>7</v>
      </c>
      <c r="CC882" s="27" t="s">
        <v>8</v>
      </c>
      <c r="CF882" s="27" t="s">
        <v>7</v>
      </c>
      <c r="CG882" s="27" t="s">
        <v>8</v>
      </c>
      <c r="CH882" s="27" t="s">
        <v>7</v>
      </c>
      <c r="DM882" s="27" t="s">
        <v>8</v>
      </c>
      <c r="DN882" s="27" t="s">
        <v>7</v>
      </c>
      <c r="DO882" s="27" t="s">
        <v>8</v>
      </c>
      <c r="FT882" s="27" t="s">
        <v>7</v>
      </c>
      <c r="FU882" s="27" t="s">
        <v>8</v>
      </c>
      <c r="FV882" s="27" t="s">
        <v>7</v>
      </c>
      <c r="FW882" s="27" t="s">
        <v>8</v>
      </c>
      <c r="FX882" s="27" t="s">
        <v>7</v>
      </c>
      <c r="FY882" s="27" t="s">
        <v>8</v>
      </c>
    </row>
    <row r="883" spans="1:188" x14ac:dyDescent="0.25">
      <c r="A883" s="7">
        <v>2.8467488801012012E-3</v>
      </c>
      <c r="B883"/>
      <c r="C883"/>
      <c r="D883"/>
      <c r="E883"/>
      <c r="F883" s="27" t="s">
        <v>7</v>
      </c>
      <c r="K883" s="27" t="s">
        <v>8</v>
      </c>
      <c r="L883" s="27" t="s">
        <v>7</v>
      </c>
      <c r="M883" s="27" t="s">
        <v>8</v>
      </c>
      <c r="N883" s="27" t="s">
        <v>7</v>
      </c>
      <c r="O883" s="27" t="s">
        <v>8</v>
      </c>
      <c r="R883" s="27" t="s">
        <v>7</v>
      </c>
      <c r="S883" s="27" t="s">
        <v>8</v>
      </c>
      <c r="T883" s="27" t="s">
        <v>7</v>
      </c>
      <c r="U883" s="27" t="s">
        <v>8</v>
      </c>
      <c r="AV883" s="27" t="s">
        <v>7</v>
      </c>
      <c r="AW883" s="27" t="s">
        <v>8</v>
      </c>
      <c r="AX883" s="27" t="s">
        <v>7</v>
      </c>
      <c r="AY883" s="27" t="s">
        <v>8</v>
      </c>
      <c r="BL883" s="27" t="s">
        <v>7</v>
      </c>
      <c r="BM883" s="27" t="s">
        <v>8</v>
      </c>
      <c r="BN883" s="27" t="s">
        <v>7</v>
      </c>
      <c r="BO883" s="27" t="s">
        <v>8</v>
      </c>
      <c r="BP883" s="27" t="s">
        <v>7</v>
      </c>
      <c r="BQ883" s="27" t="s">
        <v>8</v>
      </c>
      <c r="BX883" s="27" t="s">
        <v>7</v>
      </c>
      <c r="CB883" s="27" t="s">
        <v>7</v>
      </c>
      <c r="CF883" s="27" t="s">
        <v>7</v>
      </c>
      <c r="CG883" s="27" t="s">
        <v>8</v>
      </c>
      <c r="CH883" s="27" t="s">
        <v>7</v>
      </c>
      <c r="DK883" s="27" t="s">
        <v>8</v>
      </c>
      <c r="DM883" s="27" t="s">
        <v>8</v>
      </c>
      <c r="DN883" s="27" t="s">
        <v>7</v>
      </c>
      <c r="DO883" s="27" t="s">
        <v>8</v>
      </c>
      <c r="FT883" s="27" t="s">
        <v>7</v>
      </c>
      <c r="FV883" s="27" t="s">
        <v>7</v>
      </c>
      <c r="FW883" s="27" t="s">
        <v>8</v>
      </c>
      <c r="FX883" s="27" t="s">
        <v>7</v>
      </c>
      <c r="FY883" s="27" t="s">
        <v>8</v>
      </c>
    </row>
    <row r="884" spans="1:188" x14ac:dyDescent="0.25">
      <c r="A884" s="7">
        <v>2.7909302746090209E-3</v>
      </c>
      <c r="B884"/>
      <c r="C884"/>
      <c r="D884"/>
      <c r="E884"/>
      <c r="F884" s="27" t="s">
        <v>7</v>
      </c>
      <c r="G884" s="27" t="s">
        <v>8</v>
      </c>
      <c r="K884" s="27" t="s">
        <v>8</v>
      </c>
      <c r="L884" s="27" t="s">
        <v>7</v>
      </c>
      <c r="M884" s="27" t="s">
        <v>8</v>
      </c>
      <c r="N884" s="27" t="s">
        <v>7</v>
      </c>
      <c r="O884" s="27" t="s">
        <v>8</v>
      </c>
      <c r="R884" s="27" t="s">
        <v>7</v>
      </c>
      <c r="S884" s="27" t="s">
        <v>8</v>
      </c>
      <c r="T884" s="27" t="s">
        <v>7</v>
      </c>
      <c r="AV884" s="27" t="s">
        <v>7</v>
      </c>
      <c r="AW884" s="27" t="s">
        <v>8</v>
      </c>
      <c r="AX884" s="27" t="s">
        <v>7</v>
      </c>
      <c r="BL884" s="27" t="s">
        <v>7</v>
      </c>
      <c r="BM884" s="27" t="s">
        <v>8</v>
      </c>
      <c r="BN884" s="27" t="s">
        <v>7</v>
      </c>
      <c r="BO884" s="27" t="s">
        <v>8</v>
      </c>
      <c r="BP884" s="27" t="s">
        <v>7</v>
      </c>
      <c r="CF884" s="27" t="s">
        <v>7</v>
      </c>
      <c r="CG884" s="27" t="s">
        <v>8</v>
      </c>
      <c r="CH884" s="27" t="s">
        <v>7</v>
      </c>
      <c r="DK884" s="27" t="s">
        <v>8</v>
      </c>
      <c r="DL884" s="27" t="s">
        <v>7</v>
      </c>
      <c r="DM884" s="27" t="s">
        <v>8</v>
      </c>
      <c r="DN884" s="27" t="s">
        <v>7</v>
      </c>
      <c r="DO884" s="27" t="s">
        <v>8</v>
      </c>
      <c r="FV884" s="27" t="s">
        <v>7</v>
      </c>
      <c r="FX884" s="27" t="s">
        <v>7</v>
      </c>
      <c r="FY884" s="27" t="s">
        <v>8</v>
      </c>
    </row>
    <row r="885" spans="1:188" x14ac:dyDescent="0.25">
      <c r="A885" s="7">
        <v>2.7362061515774716E-3</v>
      </c>
      <c r="B885"/>
      <c r="C885"/>
      <c r="D885"/>
      <c r="E885"/>
      <c r="F885" s="27" t="s">
        <v>7</v>
      </c>
      <c r="G885" s="27" t="s">
        <v>8</v>
      </c>
      <c r="H885" s="27" t="s">
        <v>7</v>
      </c>
      <c r="I885" s="27" t="s">
        <v>8</v>
      </c>
      <c r="K885" s="27" t="s">
        <v>8</v>
      </c>
      <c r="L885" s="27" t="s">
        <v>7</v>
      </c>
      <c r="M885" s="27" t="s">
        <v>8</v>
      </c>
      <c r="N885" s="27" t="s">
        <v>7</v>
      </c>
      <c r="R885" s="27" t="s">
        <v>7</v>
      </c>
      <c r="S885" s="27" t="s">
        <v>8</v>
      </c>
      <c r="AV885" s="27" t="s">
        <v>7</v>
      </c>
      <c r="AW885" s="27" t="s">
        <v>8</v>
      </c>
      <c r="BL885" s="27" t="s">
        <v>7</v>
      </c>
      <c r="BN885" s="27" t="s">
        <v>7</v>
      </c>
      <c r="CF885" s="27" t="s">
        <v>7</v>
      </c>
      <c r="CG885" s="27" t="s">
        <v>8</v>
      </c>
      <c r="CH885" s="27" t="s">
        <v>7</v>
      </c>
      <c r="DK885" s="27" t="s">
        <v>8</v>
      </c>
      <c r="DL885" s="27" t="s">
        <v>7</v>
      </c>
      <c r="DM885" s="27" t="s">
        <v>8</v>
      </c>
      <c r="DN885" s="27" t="s">
        <v>7</v>
      </c>
      <c r="FX885" s="27" t="s">
        <v>7</v>
      </c>
    </row>
    <row r="886" spans="1:188" x14ac:dyDescent="0.25">
      <c r="A886" s="7">
        <v>2.6825550505661486E-3</v>
      </c>
      <c r="B886"/>
      <c r="C886"/>
      <c r="D886"/>
      <c r="E886"/>
      <c r="F886" s="27" t="s">
        <v>7</v>
      </c>
      <c r="G886" s="27" t="s">
        <v>8</v>
      </c>
      <c r="H886" s="27" t="s">
        <v>7</v>
      </c>
      <c r="I886" s="27" t="s">
        <v>8</v>
      </c>
      <c r="J886" s="27" t="s">
        <v>7</v>
      </c>
      <c r="K886" s="27" t="s">
        <v>8</v>
      </c>
      <c r="L886" s="27" t="s">
        <v>7</v>
      </c>
      <c r="M886" s="27" t="s">
        <v>8</v>
      </c>
      <c r="R886" s="27" t="s">
        <v>7</v>
      </c>
      <c r="S886" s="27" t="s">
        <v>8</v>
      </c>
      <c r="AV886" s="27" t="s">
        <v>7</v>
      </c>
      <c r="AW886" s="27" t="s">
        <v>8</v>
      </c>
      <c r="CF886" s="27" t="s">
        <v>7</v>
      </c>
      <c r="CH886" s="27" t="s">
        <v>7</v>
      </c>
      <c r="DI886" s="27" t="s">
        <v>8</v>
      </c>
      <c r="DK886" s="27" t="s">
        <v>8</v>
      </c>
      <c r="DL886" s="27" t="s">
        <v>7</v>
      </c>
      <c r="DM886" s="27" t="s">
        <v>8</v>
      </c>
    </row>
    <row r="887" spans="1:188" x14ac:dyDescent="0.25">
      <c r="A887" s="7">
        <v>2.6299559319275965E-3</v>
      </c>
      <c r="B887"/>
      <c r="C887"/>
      <c r="D887"/>
      <c r="E887"/>
      <c r="F887" s="27" t="s">
        <v>7</v>
      </c>
      <c r="G887" s="27" t="s">
        <v>8</v>
      </c>
      <c r="H887" s="27" t="s">
        <v>7</v>
      </c>
      <c r="I887" s="27" t="s">
        <v>8</v>
      </c>
      <c r="J887" s="27" t="s">
        <v>7</v>
      </c>
      <c r="K887" s="27" t="s">
        <v>8</v>
      </c>
      <c r="L887" s="27" t="s">
        <v>7</v>
      </c>
      <c r="R887" s="27" t="s">
        <v>7</v>
      </c>
      <c r="S887" s="27" t="s">
        <v>8</v>
      </c>
      <c r="AV887" s="27" t="s">
        <v>7</v>
      </c>
      <c r="AW887" s="27" t="s">
        <v>8</v>
      </c>
      <c r="CH887" s="27" t="s">
        <v>7</v>
      </c>
      <c r="DI887" s="27" t="s">
        <v>8</v>
      </c>
      <c r="DJ887" s="27" t="s">
        <v>7</v>
      </c>
      <c r="DK887" s="27" t="s">
        <v>8</v>
      </c>
      <c r="DL887" s="27" t="s">
        <v>7</v>
      </c>
      <c r="DM887" s="27" t="s">
        <v>8</v>
      </c>
    </row>
    <row r="888" spans="1:188" x14ac:dyDescent="0.25">
      <c r="A888" s="7">
        <v>2.578388168556467E-3</v>
      </c>
      <c r="B888"/>
      <c r="C888"/>
      <c r="D888"/>
      <c r="E888"/>
      <c r="F888" s="27" t="s">
        <v>7</v>
      </c>
      <c r="G888" s="27" t="s">
        <v>8</v>
      </c>
      <c r="H888" s="27" t="s">
        <v>7</v>
      </c>
      <c r="I888" s="27" t="s">
        <v>8</v>
      </c>
      <c r="J888" s="27" t="s">
        <v>7</v>
      </c>
      <c r="K888" s="27" t="s">
        <v>8</v>
      </c>
      <c r="R888" s="27" t="s">
        <v>7</v>
      </c>
      <c r="S888" s="27" t="s">
        <v>8</v>
      </c>
      <c r="AV888" s="27" t="s">
        <v>7</v>
      </c>
      <c r="CH888" s="27" t="s">
        <v>7</v>
      </c>
      <c r="DI888" s="27" t="s">
        <v>8</v>
      </c>
      <c r="DJ888" s="27" t="s">
        <v>7</v>
      </c>
      <c r="DK888" s="27" t="s">
        <v>8</v>
      </c>
      <c r="DL888" s="27" t="s">
        <v>7</v>
      </c>
      <c r="DM888" s="27" t="s">
        <v>8</v>
      </c>
    </row>
    <row r="889" spans="1:188" x14ac:dyDescent="0.25">
      <c r="A889" s="7">
        <v>2.5278315378004577E-3</v>
      </c>
      <c r="B889"/>
      <c r="C889"/>
      <c r="D889"/>
      <c r="E889"/>
      <c r="F889" s="27" t="s">
        <v>7</v>
      </c>
      <c r="G889" s="27" t="s">
        <v>8</v>
      </c>
      <c r="H889" s="27" t="s">
        <v>7</v>
      </c>
      <c r="I889" s="27" t="s">
        <v>8</v>
      </c>
      <c r="J889" s="27" t="s">
        <v>7</v>
      </c>
      <c r="K889" s="27" t="s">
        <v>8</v>
      </c>
      <c r="R889" s="27" t="s">
        <v>7</v>
      </c>
      <c r="S889" s="27" t="s">
        <v>8</v>
      </c>
      <c r="CH889" s="27" t="s">
        <v>7</v>
      </c>
      <c r="DI889" s="27" t="s">
        <v>8</v>
      </c>
      <c r="DJ889" s="27" t="s">
        <v>7</v>
      </c>
      <c r="DK889" s="27" t="s">
        <v>8</v>
      </c>
      <c r="DL889" s="27" t="s">
        <v>7</v>
      </c>
      <c r="DM889" s="27" t="s">
        <v>8</v>
      </c>
    </row>
    <row r="890" spans="1:188" x14ac:dyDescent="0.25">
      <c r="A890" s="7">
        <v>2.4782662135298603E-3</v>
      </c>
      <c r="B890"/>
      <c r="C890"/>
      <c r="D890"/>
      <c r="E890"/>
      <c r="F890" s="27" t="s">
        <v>7</v>
      </c>
      <c r="G890" s="27" t="s">
        <v>8</v>
      </c>
      <c r="H890" s="27" t="s">
        <v>7</v>
      </c>
      <c r="I890" s="27" t="s">
        <v>8</v>
      </c>
      <c r="J890" s="27" t="s">
        <v>7</v>
      </c>
      <c r="R890" s="27" t="s">
        <v>7</v>
      </c>
      <c r="S890" s="27" t="s">
        <v>8</v>
      </c>
      <c r="CH890" s="27" t="s">
        <v>7</v>
      </c>
      <c r="DG890" s="27" t="s">
        <v>8</v>
      </c>
      <c r="DI890" s="27" t="s">
        <v>8</v>
      </c>
      <c r="DJ890" s="27" t="s">
        <v>7</v>
      </c>
      <c r="DK890" s="27" t="s">
        <v>8</v>
      </c>
      <c r="DL890" s="27" t="s">
        <v>7</v>
      </c>
    </row>
    <row r="891" spans="1:188" x14ac:dyDescent="0.25">
      <c r="A891" s="7">
        <v>2.4296727583626083E-3</v>
      </c>
      <c r="B891"/>
      <c r="C891"/>
      <c r="D891"/>
      <c r="E891"/>
      <c r="F891" s="27" t="s">
        <v>7</v>
      </c>
      <c r="H891" s="27" t="s">
        <v>7</v>
      </c>
      <c r="I891" s="27" t="s">
        <v>8</v>
      </c>
      <c r="R891" s="27" t="s">
        <v>7</v>
      </c>
      <c r="S891" s="27" t="s">
        <v>8</v>
      </c>
      <c r="CH891" s="27" t="s">
        <v>7</v>
      </c>
      <c r="DG891" s="27" t="s">
        <v>8</v>
      </c>
      <c r="DH891" s="27" t="s">
        <v>7</v>
      </c>
      <c r="DI891" s="27" t="s">
        <v>8</v>
      </c>
      <c r="DJ891" s="27" t="s">
        <v>7</v>
      </c>
    </row>
    <row r="892" spans="1:188" x14ac:dyDescent="0.25">
      <c r="A892" s="7">
        <v>2.3820321160417726E-3</v>
      </c>
      <c r="B892"/>
      <c r="C892"/>
      <c r="D892"/>
      <c r="E892"/>
      <c r="H892" s="27" t="s">
        <v>7</v>
      </c>
      <c r="R892" s="27" t="s">
        <v>7</v>
      </c>
      <c r="S892" s="27" t="s">
        <v>8</v>
      </c>
      <c r="CH892" s="27" t="s">
        <v>7</v>
      </c>
      <c r="DG892" s="27" t="s">
        <v>8</v>
      </c>
      <c r="DH892" s="27" t="s">
        <v>7</v>
      </c>
      <c r="DI892" s="27" t="s">
        <v>8</v>
      </c>
    </row>
    <row r="893" spans="1:188" x14ac:dyDescent="0.25">
      <c r="A893" s="7">
        <v>2.3353256039625224E-3</v>
      </c>
      <c r="B893"/>
      <c r="C893"/>
      <c r="D893"/>
      <c r="E893"/>
      <c r="R893" s="27" t="s">
        <v>7</v>
      </c>
      <c r="S893" s="27" t="s">
        <v>8</v>
      </c>
      <c r="CH893" s="27" t="s">
        <v>7</v>
      </c>
      <c r="CK893" s="27" t="s">
        <v>8</v>
      </c>
      <c r="DG893" s="27" t="s">
        <v>8</v>
      </c>
      <c r="DH893" s="27" t="s">
        <v>7</v>
      </c>
      <c r="DI893" s="27" t="s">
        <v>8</v>
      </c>
    </row>
    <row r="894" spans="1:188" x14ac:dyDescent="0.25">
      <c r="A894" s="7">
        <v>2.2895349058456101E-3</v>
      </c>
      <c r="B894"/>
      <c r="C894"/>
      <c r="D894"/>
      <c r="E894"/>
      <c r="R894" s="27" t="s">
        <v>7</v>
      </c>
      <c r="CH894" s="27" t="s">
        <v>7</v>
      </c>
      <c r="CK894" s="27" t="s">
        <v>8</v>
      </c>
      <c r="CL894" s="27" t="s">
        <v>7</v>
      </c>
      <c r="DG894" s="27" t="s">
        <v>8</v>
      </c>
      <c r="DH894" s="27" t="s">
        <v>7</v>
      </c>
      <c r="DI894" s="27" t="s">
        <v>8</v>
      </c>
    </row>
    <row r="895" spans="1:188" x14ac:dyDescent="0.25">
      <c r="A895" s="7">
        <v>2.24464206455452E-3</v>
      </c>
      <c r="B895"/>
      <c r="C895"/>
      <c r="D895"/>
      <c r="E895"/>
      <c r="CH895" s="27" t="s">
        <v>7</v>
      </c>
      <c r="CK895" s="27" t="s">
        <v>8</v>
      </c>
      <c r="CL895" s="27" t="s">
        <v>7</v>
      </c>
      <c r="CO895" s="27" t="s">
        <v>8</v>
      </c>
      <c r="DG895" s="27" t="s">
        <v>8</v>
      </c>
      <c r="DH895" s="27" t="s">
        <v>7</v>
      </c>
      <c r="DI895" s="27" t="s">
        <v>8</v>
      </c>
    </row>
    <row r="896" spans="1:188" x14ac:dyDescent="0.25">
      <c r="A896" s="7">
        <v>2.200629475053451E-3</v>
      </c>
      <c r="B896"/>
      <c r="C896"/>
      <c r="D896"/>
      <c r="E896"/>
      <c r="CH896" s="27" t="s">
        <v>7</v>
      </c>
      <c r="CK896" s="27" t="s">
        <v>8</v>
      </c>
      <c r="CL896" s="27" t="s">
        <v>7</v>
      </c>
      <c r="CO896" s="27" t="s">
        <v>8</v>
      </c>
      <c r="CP896" s="27" t="s">
        <v>7</v>
      </c>
      <c r="DE896" s="27" t="s">
        <v>8</v>
      </c>
      <c r="DG896" s="27" t="s">
        <v>8</v>
      </c>
      <c r="DH896" s="27" t="s">
        <v>7</v>
      </c>
      <c r="DI896" s="27" t="s">
        <v>8</v>
      </c>
    </row>
    <row r="897" spans="1:113" x14ac:dyDescent="0.25">
      <c r="A897" s="7">
        <v>2.1574798775033832E-3</v>
      </c>
      <c r="B897"/>
      <c r="C897"/>
      <c r="D897"/>
      <c r="E897"/>
      <c r="CH897" s="27" t="s">
        <v>7</v>
      </c>
      <c r="CK897" s="27" t="s">
        <v>8</v>
      </c>
      <c r="CL897" s="27" t="s">
        <v>7</v>
      </c>
      <c r="CO897" s="27" t="s">
        <v>8</v>
      </c>
      <c r="CP897" s="27" t="s">
        <v>7</v>
      </c>
      <c r="DC897" s="27" t="s">
        <v>8</v>
      </c>
      <c r="DE897" s="27" t="s">
        <v>8</v>
      </c>
      <c r="DF897" s="27" t="s">
        <v>7</v>
      </c>
      <c r="DG897" s="27" t="s">
        <v>8</v>
      </c>
      <c r="DH897" s="27" t="s">
        <v>7</v>
      </c>
      <c r="DI897" s="27" t="s">
        <v>8</v>
      </c>
    </row>
    <row r="898" spans="1:113" x14ac:dyDescent="0.25">
      <c r="A898" s="7">
        <v>2.115176350493513E-3</v>
      </c>
      <c r="B898"/>
      <c r="C898"/>
      <c r="D898"/>
      <c r="E898"/>
      <c r="CH898" s="27" t="s">
        <v>7</v>
      </c>
      <c r="CK898" s="27" t="s">
        <v>8</v>
      </c>
      <c r="CL898" s="27" t="s">
        <v>7</v>
      </c>
      <c r="CM898" s="27" t="s">
        <v>8</v>
      </c>
      <c r="CO898" s="27" t="s">
        <v>8</v>
      </c>
      <c r="CP898" s="27" t="s">
        <v>7</v>
      </c>
      <c r="DC898" s="27" t="s">
        <v>8</v>
      </c>
      <c r="DD898" s="27" t="s">
        <v>7</v>
      </c>
      <c r="DE898" s="27" t="s">
        <v>8</v>
      </c>
      <c r="DF898" s="27" t="s">
        <v>7</v>
      </c>
      <c r="DG898" s="27" t="s">
        <v>8</v>
      </c>
      <c r="DH898" s="27" t="s">
        <v>7</v>
      </c>
      <c r="DI898" s="27" t="s">
        <v>8</v>
      </c>
    </row>
    <row r="899" spans="1:113" x14ac:dyDescent="0.25">
      <c r="A899" s="7">
        <v>2.0737023044054047E-3</v>
      </c>
      <c r="B899"/>
      <c r="C899"/>
      <c r="D899"/>
      <c r="E899"/>
      <c r="CH899" s="27" t="s">
        <v>7</v>
      </c>
      <c r="CK899" s="27" t="s">
        <v>8</v>
      </c>
      <c r="CL899" s="27" t="s">
        <v>7</v>
      </c>
      <c r="CM899" s="27" t="s">
        <v>8</v>
      </c>
      <c r="CN899" s="27" t="s">
        <v>7</v>
      </c>
      <c r="CO899" s="27" t="s">
        <v>8</v>
      </c>
      <c r="CP899" s="27" t="s">
        <v>7</v>
      </c>
      <c r="DA899" s="27" t="s">
        <v>8</v>
      </c>
      <c r="DC899" s="27" t="s">
        <v>8</v>
      </c>
      <c r="DD899" s="27" t="s">
        <v>7</v>
      </c>
      <c r="DE899" s="27" t="s">
        <v>8</v>
      </c>
      <c r="DF899" s="27" t="s">
        <v>7</v>
      </c>
      <c r="DG899" s="27" t="s">
        <v>8</v>
      </c>
      <c r="DH899" s="27" t="s">
        <v>7</v>
      </c>
      <c r="DI899" s="27" t="s">
        <v>8</v>
      </c>
    </row>
    <row r="900" spans="1:113" x14ac:dyDescent="0.25">
      <c r="A900" s="7">
        <v>2.0330414749072595E-3</v>
      </c>
      <c r="B900"/>
      <c r="C900"/>
      <c r="D900"/>
      <c r="E900"/>
      <c r="CH900" s="27" t="s">
        <v>7</v>
      </c>
      <c r="CK900" s="27" t="s">
        <v>8</v>
      </c>
      <c r="CL900" s="27" t="s">
        <v>7</v>
      </c>
      <c r="CM900" s="27" t="s">
        <v>8</v>
      </c>
      <c r="CN900" s="27" t="s">
        <v>7</v>
      </c>
      <c r="CO900" s="27" t="s">
        <v>8</v>
      </c>
      <c r="CP900" s="27" t="s">
        <v>7</v>
      </c>
      <c r="CY900" s="27" t="s">
        <v>8</v>
      </c>
      <c r="DA900" s="27" t="s">
        <v>8</v>
      </c>
      <c r="DB900" s="27" t="s">
        <v>7</v>
      </c>
      <c r="DC900" s="27" t="s">
        <v>8</v>
      </c>
      <c r="DD900" s="27" t="s">
        <v>7</v>
      </c>
      <c r="DE900" s="27" t="s">
        <v>8</v>
      </c>
      <c r="DF900" s="27" t="s">
        <v>7</v>
      </c>
      <c r="DG900" s="27" t="s">
        <v>8</v>
      </c>
      <c r="DH900" s="27" t="s">
        <v>7</v>
      </c>
    </row>
    <row r="901" spans="1:113" x14ac:dyDescent="0.25">
      <c r="A901" s="7">
        <v>1.9931779165757446E-3</v>
      </c>
      <c r="B901"/>
      <c r="C901"/>
      <c r="D901"/>
      <c r="E901"/>
      <c r="CH901" s="27" t="s">
        <v>7</v>
      </c>
      <c r="CK901" s="27" t="s">
        <v>8</v>
      </c>
      <c r="CL901" s="27" t="s">
        <v>7</v>
      </c>
      <c r="CM901" s="27" t="s">
        <v>8</v>
      </c>
      <c r="CN901" s="27" t="s">
        <v>7</v>
      </c>
      <c r="CO901" s="27" t="s">
        <v>8</v>
      </c>
      <c r="CP901" s="27" t="s">
        <v>7</v>
      </c>
      <c r="CY901" s="27" t="s">
        <v>8</v>
      </c>
      <c r="CZ901" s="27" t="s">
        <v>7</v>
      </c>
      <c r="DA901" s="27" t="s">
        <v>8</v>
      </c>
      <c r="DB901" s="27" t="s">
        <v>7</v>
      </c>
      <c r="DC901" s="27" t="s">
        <v>8</v>
      </c>
      <c r="DD901" s="27" t="s">
        <v>7</v>
      </c>
      <c r="DE901" s="27" t="s">
        <v>8</v>
      </c>
      <c r="DF901" s="27" t="s">
        <v>7</v>
      </c>
    </row>
    <row r="902" spans="1:113" x14ac:dyDescent="0.25">
      <c r="A902" s="7">
        <v>1.954095996642887E-3</v>
      </c>
      <c r="B902"/>
      <c r="C902"/>
      <c r="D902"/>
      <c r="E902"/>
      <c r="CH902" s="27" t="s">
        <v>7</v>
      </c>
      <c r="CK902" s="27" t="s">
        <v>8</v>
      </c>
      <c r="CL902" s="27" t="s">
        <v>7</v>
      </c>
      <c r="CM902" s="27" t="s">
        <v>8</v>
      </c>
      <c r="CN902" s="27" t="s">
        <v>7</v>
      </c>
      <c r="CO902" s="27" t="s">
        <v>8</v>
      </c>
      <c r="CP902" s="27" t="s">
        <v>7</v>
      </c>
      <c r="CY902" s="27" t="s">
        <v>8</v>
      </c>
      <c r="CZ902" s="27" t="s">
        <v>7</v>
      </c>
      <c r="DA902" s="27" t="s">
        <v>8</v>
      </c>
      <c r="DB902" s="27" t="s">
        <v>7</v>
      </c>
      <c r="DC902" s="27" t="s">
        <v>8</v>
      </c>
      <c r="DD902" s="27" t="s">
        <v>7</v>
      </c>
      <c r="DE902" s="27" t="s">
        <v>8</v>
      </c>
    </row>
    <row r="903" spans="1:113" x14ac:dyDescent="0.25">
      <c r="A903" s="7">
        <v>1.9157803888655755E-3</v>
      </c>
      <c r="B903"/>
      <c r="C903"/>
      <c r="D903"/>
      <c r="E903"/>
      <c r="CH903" s="27" t="s">
        <v>7</v>
      </c>
      <c r="CK903" s="27" t="s">
        <v>8</v>
      </c>
      <c r="CL903" s="27" t="s">
        <v>7</v>
      </c>
      <c r="CM903" s="27" t="s">
        <v>8</v>
      </c>
      <c r="CN903" s="27" t="s">
        <v>7</v>
      </c>
      <c r="CO903" s="27" t="s">
        <v>8</v>
      </c>
      <c r="CP903" s="27" t="s">
        <v>7</v>
      </c>
      <c r="CQ903" s="27" t="s">
        <v>8</v>
      </c>
      <c r="CY903" s="27" t="s">
        <v>8</v>
      </c>
      <c r="CZ903" s="27" t="s">
        <v>7</v>
      </c>
      <c r="DA903" s="27" t="s">
        <v>8</v>
      </c>
      <c r="DB903" s="27" t="s">
        <v>7</v>
      </c>
      <c r="DD903" s="27" t="s">
        <v>7</v>
      </c>
    </row>
    <row r="904" spans="1:113" x14ac:dyDescent="0.25">
      <c r="A904" s="7">
        <v>1.8782160675152703E-3</v>
      </c>
      <c r="B904"/>
      <c r="C904"/>
      <c r="D904"/>
      <c r="E904"/>
      <c r="CH904" s="27" t="s">
        <v>7</v>
      </c>
      <c r="CK904" s="27" t="s">
        <v>8</v>
      </c>
      <c r="CL904" s="27" t="s">
        <v>7</v>
      </c>
      <c r="CM904" s="27" t="s">
        <v>8</v>
      </c>
      <c r="CN904" s="27" t="s">
        <v>7</v>
      </c>
      <c r="CP904" s="27" t="s">
        <v>7</v>
      </c>
      <c r="CQ904" s="27" t="s">
        <v>8</v>
      </c>
      <c r="CR904" s="27" t="s">
        <v>7</v>
      </c>
      <c r="CS904" s="27" t="s">
        <v>8</v>
      </c>
      <c r="CY904" s="27" t="s">
        <v>8</v>
      </c>
      <c r="CZ904" s="27" t="s">
        <v>7</v>
      </c>
      <c r="DA904" s="27" t="s">
        <v>8</v>
      </c>
    </row>
    <row r="905" spans="1:113" x14ac:dyDescent="0.25">
      <c r="A905" s="7">
        <v>1.8413883014855592E-3</v>
      </c>
      <c r="B905"/>
      <c r="C905"/>
      <c r="D905"/>
      <c r="E905"/>
      <c r="CH905" s="27" t="s">
        <v>7</v>
      </c>
      <c r="CK905" s="27" t="s">
        <v>8</v>
      </c>
      <c r="CL905" s="27" t="s">
        <v>7</v>
      </c>
      <c r="CM905" s="27" t="s">
        <v>8</v>
      </c>
      <c r="CP905" s="27" t="s">
        <v>7</v>
      </c>
      <c r="CQ905" s="27" t="s">
        <v>8</v>
      </c>
      <c r="CR905" s="27" t="s">
        <v>7</v>
      </c>
      <c r="CS905" s="27" t="s">
        <v>8</v>
      </c>
      <c r="CT905" s="27" t="s">
        <v>7</v>
      </c>
      <c r="CY905" s="27" t="s">
        <v>8</v>
      </c>
      <c r="CZ905" s="27" t="s">
        <v>7</v>
      </c>
    </row>
    <row r="906" spans="1:113" x14ac:dyDescent="0.25">
      <c r="A906" s="7">
        <v>1.8052826485152542E-3</v>
      </c>
      <c r="B906"/>
      <c r="C906"/>
      <c r="D906"/>
      <c r="E906"/>
      <c r="CH906" s="27" t="s">
        <v>7</v>
      </c>
      <c r="CK906" s="27" t="s">
        <v>8</v>
      </c>
      <c r="CL906" s="27" t="s">
        <v>7</v>
      </c>
      <c r="CM906" s="27" t="s">
        <v>8</v>
      </c>
      <c r="CP906" s="27" t="s">
        <v>7</v>
      </c>
      <c r="CQ906" s="27" t="s">
        <v>8</v>
      </c>
      <c r="CR906" s="27" t="s">
        <v>7</v>
      </c>
      <c r="CS906" s="27" t="s">
        <v>8</v>
      </c>
      <c r="CT906" s="27" t="s">
        <v>7</v>
      </c>
      <c r="CW906" s="27" t="s">
        <v>8</v>
      </c>
      <c r="CY906" s="27" t="s">
        <v>8</v>
      </c>
    </row>
    <row r="907" spans="1:113" x14ac:dyDescent="0.25">
      <c r="A907" s="7">
        <v>1.7698849495247592E-3</v>
      </c>
      <c r="B907"/>
      <c r="C907"/>
      <c r="D907"/>
      <c r="E907"/>
      <c r="CH907" s="27" t="s">
        <v>7</v>
      </c>
      <c r="CK907" s="27" t="s">
        <v>8</v>
      </c>
      <c r="CL907" s="27" t="s">
        <v>7</v>
      </c>
      <c r="CM907" s="27" t="s">
        <v>8</v>
      </c>
      <c r="CP907" s="27" t="s">
        <v>7</v>
      </c>
      <c r="CR907" s="27" t="s">
        <v>7</v>
      </c>
      <c r="CS907" s="27" t="s">
        <v>8</v>
      </c>
      <c r="CT907" s="27" t="s">
        <v>7</v>
      </c>
      <c r="CW907" s="27" t="s">
        <v>8</v>
      </c>
      <c r="CX907" s="27" t="s">
        <v>7</v>
      </c>
      <c r="CY907" s="27" t="s">
        <v>8</v>
      </c>
    </row>
    <row r="908" spans="1:113" x14ac:dyDescent="0.25">
      <c r="A908" s="7">
        <v>1.7351813230634893E-3</v>
      </c>
      <c r="B908"/>
      <c r="C908"/>
      <c r="D908"/>
      <c r="E908"/>
      <c r="CH908" s="27" t="s">
        <v>7</v>
      </c>
      <c r="CK908" s="27" t="s">
        <v>8</v>
      </c>
      <c r="CL908" s="27" t="s">
        <v>7</v>
      </c>
      <c r="CM908" s="27" t="s">
        <v>8</v>
      </c>
      <c r="CR908" s="27" t="s">
        <v>7</v>
      </c>
      <c r="CS908" s="27" t="s">
        <v>8</v>
      </c>
      <c r="CT908" s="27" t="s">
        <v>7</v>
      </c>
      <c r="CW908" s="27" t="s">
        <v>8</v>
      </c>
      <c r="CX908" s="27" t="s">
        <v>7</v>
      </c>
      <c r="CY908" s="27" t="s">
        <v>8</v>
      </c>
    </row>
    <row r="909" spans="1:113" x14ac:dyDescent="0.25">
      <c r="A909" s="7">
        <v>1.701158159866166E-3</v>
      </c>
      <c r="B909"/>
      <c r="C909"/>
      <c r="D909"/>
      <c r="E909"/>
      <c r="CH909" s="27" t="s">
        <v>7</v>
      </c>
      <c r="CK909" s="27" t="s">
        <v>8</v>
      </c>
      <c r="CL909" s="27" t="s">
        <v>7</v>
      </c>
      <c r="CM909" s="27" t="s">
        <v>8</v>
      </c>
      <c r="CR909" s="27" t="s">
        <v>7</v>
      </c>
      <c r="CS909" s="27" t="s">
        <v>8</v>
      </c>
      <c r="CT909" s="27" t="s">
        <v>7</v>
      </c>
      <c r="CU909" s="27" t="s">
        <v>8</v>
      </c>
      <c r="CW909" s="27" t="s">
        <v>8</v>
      </c>
      <c r="CX909" s="27" t="s">
        <v>7</v>
      </c>
      <c r="CY909" s="27" t="s">
        <v>8</v>
      </c>
    </row>
    <row r="910" spans="1:113" x14ac:dyDescent="0.25">
      <c r="A910" s="7">
        <v>1.6678021175158492E-3</v>
      </c>
      <c r="B910"/>
      <c r="C910"/>
      <c r="D910"/>
      <c r="E910"/>
      <c r="CH910" s="27" t="s">
        <v>7</v>
      </c>
      <c r="CK910" s="27" t="s">
        <v>8</v>
      </c>
      <c r="CL910" s="27" t="s">
        <v>7</v>
      </c>
      <c r="CR910" s="27" t="s">
        <v>7</v>
      </c>
      <c r="CS910" s="27" t="s">
        <v>8</v>
      </c>
      <c r="CT910" s="27" t="s">
        <v>7</v>
      </c>
      <c r="CU910" s="27" t="s">
        <v>8</v>
      </c>
      <c r="CV910" s="27" t="s">
        <v>7</v>
      </c>
      <c r="CW910" s="27" t="s">
        <v>8</v>
      </c>
      <c r="CX910" s="27" t="s">
        <v>7</v>
      </c>
      <c r="CY910" s="27" t="s">
        <v>8</v>
      </c>
    </row>
    <row r="911" spans="1:113" x14ac:dyDescent="0.25">
      <c r="A911" s="7">
        <v>1.6351001152116167E-3</v>
      </c>
      <c r="B911"/>
      <c r="C911"/>
      <c r="D911"/>
      <c r="E911"/>
      <c r="CH911" s="27" t="s">
        <v>7</v>
      </c>
      <c r="CI911" s="27" t="s">
        <v>8</v>
      </c>
      <c r="CK911" s="27" t="s">
        <v>8</v>
      </c>
      <c r="CR911" s="27" t="s">
        <v>7</v>
      </c>
      <c r="CS911" s="27" t="s">
        <v>8</v>
      </c>
      <c r="CT911" s="27" t="s">
        <v>7</v>
      </c>
      <c r="CU911" s="27" t="s">
        <v>8</v>
      </c>
      <c r="CV911" s="27" t="s">
        <v>7</v>
      </c>
      <c r="CW911" s="27" t="s">
        <v>8</v>
      </c>
      <c r="CX911" s="27" t="s">
        <v>7</v>
      </c>
    </row>
    <row r="912" spans="1:113" x14ac:dyDescent="0.25">
      <c r="A912" s="7">
        <v>1.60303932863884E-3</v>
      </c>
      <c r="B912"/>
      <c r="C912"/>
      <c r="D912"/>
      <c r="E912"/>
      <c r="CH912" s="27" t="s">
        <v>7</v>
      </c>
      <c r="CI912" s="27" t="s">
        <v>8</v>
      </c>
      <c r="CJ912" s="27" t="s">
        <v>7</v>
      </c>
      <c r="CK912" s="27" t="s">
        <v>8</v>
      </c>
      <c r="CR912" s="27" t="s">
        <v>7</v>
      </c>
      <c r="CT912" s="27" t="s">
        <v>7</v>
      </c>
      <c r="CU912" s="27" t="s">
        <v>8</v>
      </c>
      <c r="CV912" s="27" t="s">
        <v>7</v>
      </c>
      <c r="CW912" s="27" t="s">
        <v>8</v>
      </c>
    </row>
    <row r="913" spans="1:101" x14ac:dyDescent="0.25">
      <c r="A913" s="7">
        <v>1.5716071849400392E-3</v>
      </c>
      <c r="B913"/>
      <c r="C913"/>
      <c r="D913"/>
      <c r="E913"/>
      <c r="CH913" s="27" t="s">
        <v>7</v>
      </c>
      <c r="CI913" s="27" t="s">
        <v>8</v>
      </c>
      <c r="CJ913" s="27" t="s">
        <v>7</v>
      </c>
      <c r="CK913" s="27" t="s">
        <v>8</v>
      </c>
      <c r="CT913" s="27" t="s">
        <v>7</v>
      </c>
      <c r="CV913" s="27" t="s">
        <v>7</v>
      </c>
      <c r="CW913" s="27" t="s">
        <v>8</v>
      </c>
    </row>
    <row r="914" spans="1:101" x14ac:dyDescent="0.25">
      <c r="A914" s="7">
        <v>1.5407913577843522E-3</v>
      </c>
      <c r="B914"/>
      <c r="C914"/>
      <c r="D914"/>
      <c r="E914"/>
      <c r="CH914" s="27" t="s">
        <v>7</v>
      </c>
      <c r="CI914" s="27" t="s">
        <v>8</v>
      </c>
      <c r="CJ914" s="27" t="s">
        <v>7</v>
      </c>
      <c r="CK914" s="27" t="s">
        <v>8</v>
      </c>
      <c r="CV914" s="27" t="s">
        <v>7</v>
      </c>
    </row>
    <row r="915" spans="1:101" x14ac:dyDescent="0.25">
      <c r="A915" s="7">
        <v>1.5105797625336785E-3</v>
      </c>
      <c r="B915"/>
      <c r="C915"/>
      <c r="D915"/>
      <c r="E915"/>
      <c r="CH915" s="27" t="s">
        <v>7</v>
      </c>
      <c r="CI915" s="27" t="s">
        <v>8</v>
      </c>
      <c r="CJ915" s="27" t="s">
        <v>7</v>
      </c>
      <c r="CK915" s="27" t="s">
        <v>8</v>
      </c>
    </row>
    <row r="916" spans="1:101" x14ac:dyDescent="0.25">
      <c r="A916" s="7">
        <v>1.4809605515036064E-3</v>
      </c>
      <c r="B916"/>
      <c r="C916"/>
      <c r="D916"/>
      <c r="E916"/>
      <c r="CH916" s="27" t="s">
        <v>7</v>
      </c>
      <c r="CI916" s="27" t="s">
        <v>8</v>
      </c>
      <c r="CJ916" s="27" t="s">
        <v>7</v>
      </c>
      <c r="CK916" s="27" t="s">
        <v>8</v>
      </c>
    </row>
    <row r="917" spans="1:101" x14ac:dyDescent="0.25">
      <c r="A917" s="7">
        <v>1.4519221093172612E-3</v>
      </c>
      <c r="B917"/>
      <c r="C917"/>
      <c r="D917"/>
      <c r="E917"/>
      <c r="CH917" s="27" t="s">
        <v>7</v>
      </c>
      <c r="CI917" s="27" t="s">
        <v>8</v>
      </c>
      <c r="CJ917" s="27" t="s">
        <v>7</v>
      </c>
      <c r="CK917" s="27" t="s">
        <v>8</v>
      </c>
    </row>
    <row r="918" spans="1:101" x14ac:dyDescent="0.25">
      <c r="A918" s="7">
        <v>1.423453048350256E-3</v>
      </c>
      <c r="B918"/>
      <c r="C918"/>
      <c r="D918"/>
      <c r="E918"/>
      <c r="CH918" s="27" t="s">
        <v>7</v>
      </c>
      <c r="CI918" s="27" t="s">
        <v>8</v>
      </c>
      <c r="CJ918" s="27" t="s">
        <v>7</v>
      </c>
      <c r="CK918" s="27" t="s">
        <v>8</v>
      </c>
    </row>
    <row r="919" spans="1:101" x14ac:dyDescent="0.25">
      <c r="A919" s="7">
        <v>1.3955422042649568E-3</v>
      </c>
      <c r="B919"/>
      <c r="C919"/>
      <c r="D919"/>
      <c r="E919"/>
      <c r="CH919" s="27" t="s">
        <v>7</v>
      </c>
      <c r="CI919" s="27" t="s">
        <v>8</v>
      </c>
      <c r="CJ919" s="27" t="s">
        <v>7</v>
      </c>
      <c r="CK919" s="27" t="s">
        <v>8</v>
      </c>
    </row>
    <row r="920" spans="1:101" x14ac:dyDescent="0.25">
      <c r="A920" s="7">
        <v>1.3681786316323105E-3</v>
      </c>
      <c r="B920"/>
      <c r="C920"/>
      <c r="D920"/>
      <c r="E920"/>
      <c r="CH920" s="27" t="s">
        <v>7</v>
      </c>
      <c r="CI920" s="27" t="s">
        <v>8</v>
      </c>
      <c r="CJ920" s="27" t="s">
        <v>7</v>
      </c>
      <c r="CK920" s="27" t="s">
        <v>8</v>
      </c>
    </row>
    <row r="921" spans="1:101" x14ac:dyDescent="0.25">
      <c r="A921" s="7">
        <v>1.3413515996395203E-3</v>
      </c>
      <c r="B921"/>
      <c r="C921"/>
      <c r="D921"/>
      <c r="E921"/>
      <c r="CH921" s="27" t="s">
        <v>7</v>
      </c>
      <c r="CI921" s="27" t="s">
        <v>8</v>
      </c>
      <c r="CJ921" s="27" t="s">
        <v>7</v>
      </c>
      <c r="CK921" s="27" t="s">
        <v>8</v>
      </c>
    </row>
    <row r="922" spans="1:101" x14ac:dyDescent="0.25">
      <c r="A922" s="7">
        <v>1.3150505878818826E-3</v>
      </c>
      <c r="B922"/>
      <c r="C922"/>
      <c r="D922"/>
      <c r="E922"/>
      <c r="CH922" s="27" t="s">
        <v>7</v>
      </c>
      <c r="CI922" s="27" t="s">
        <v>8</v>
      </c>
      <c r="CJ922" s="27" t="s">
        <v>7</v>
      </c>
      <c r="CK922" s="27" t="s">
        <v>8</v>
      </c>
    </row>
    <row r="923" spans="1:101" x14ac:dyDescent="0.25">
      <c r="A923" s="7">
        <v>1.2892652822371396E-3</v>
      </c>
      <c r="B923"/>
      <c r="C923"/>
      <c r="D923"/>
      <c r="E923"/>
      <c r="CH923" s="27" t="s">
        <v>7</v>
      </c>
      <c r="CI923" s="27" t="s">
        <v>8</v>
      </c>
      <c r="CJ923" s="27" t="s">
        <v>7</v>
      </c>
      <c r="CK923" s="27" t="s">
        <v>8</v>
      </c>
    </row>
    <row r="924" spans="1:101" x14ac:dyDescent="0.25">
      <c r="A924" s="7">
        <v>1.2639855708207251E-3</v>
      </c>
      <c r="B924"/>
      <c r="C924"/>
      <c r="D924"/>
      <c r="E924"/>
      <c r="CH924" s="27" t="s">
        <v>7</v>
      </c>
      <c r="CI924" s="27" t="s">
        <v>8</v>
      </c>
      <c r="CJ924" s="27" t="s">
        <v>7</v>
      </c>
      <c r="CK924" s="27" t="s">
        <v>8</v>
      </c>
    </row>
    <row r="925" spans="1:101" x14ac:dyDescent="0.25">
      <c r="A925" s="7">
        <v>1.2392015400203187E-3</v>
      </c>
      <c r="B925"/>
      <c r="C925"/>
      <c r="D925"/>
      <c r="E925"/>
      <c r="CH925" s="27" t="s">
        <v>7</v>
      </c>
      <c r="CI925" s="27" t="s">
        <v>8</v>
      </c>
      <c r="CJ925" s="27" t="s">
        <v>7</v>
      </c>
      <c r="CK925" s="27" t="s">
        <v>8</v>
      </c>
    </row>
    <row r="926" spans="1:101" x14ac:dyDescent="0.25">
      <c r="A926" s="7">
        <v>1.2149034706081556E-3</v>
      </c>
      <c r="B926"/>
      <c r="C926"/>
      <c r="D926"/>
      <c r="E926"/>
      <c r="CH926" s="27" t="s">
        <v>7</v>
      </c>
      <c r="CI926" s="27" t="s">
        <v>8</v>
      </c>
      <c r="CJ926" s="27" t="s">
        <v>7</v>
      </c>
      <c r="CK926" s="27" t="s">
        <v>8</v>
      </c>
    </row>
    <row r="927" spans="1:101" x14ac:dyDescent="0.25">
      <c r="A927" s="7">
        <v>1.1910818339295644E-3</v>
      </c>
      <c r="B927"/>
      <c r="C927"/>
      <c r="D927"/>
      <c r="E927"/>
      <c r="CH927" s="27" t="s">
        <v>7</v>
      </c>
      <c r="CI927" s="27" t="s">
        <v>8</v>
      </c>
      <c r="CJ927" s="27" t="s">
        <v>7</v>
      </c>
      <c r="CK927" s="27" t="s">
        <v>8</v>
      </c>
    </row>
    <row r="928" spans="1:101" x14ac:dyDescent="0.25">
      <c r="A928" s="7">
        <v>1.1677272881662395E-3</v>
      </c>
      <c r="B928"/>
      <c r="C928"/>
      <c r="D928"/>
      <c r="E928"/>
      <c r="CH928" s="27" t="s">
        <v>7</v>
      </c>
      <c r="CI928" s="27" t="s">
        <v>8</v>
      </c>
      <c r="CJ928" s="27" t="s">
        <v>7</v>
      </c>
      <c r="CK928" s="27" t="s">
        <v>8</v>
      </c>
    </row>
    <row r="929" spans="1:88" x14ac:dyDescent="0.25">
      <c r="A929" s="7">
        <v>1.1448306746727837E-3</v>
      </c>
      <c r="B929"/>
      <c r="C929"/>
      <c r="D929"/>
      <c r="E929"/>
      <c r="CH929" s="27" t="s">
        <v>7</v>
      </c>
      <c r="CI929" s="27" t="s">
        <v>8</v>
      </c>
      <c r="CJ929" s="27" t="s">
        <v>7</v>
      </c>
    </row>
    <row r="930" spans="1:88" x14ac:dyDescent="0.25">
      <c r="A930" s="7">
        <v>1.1223830143850821E-3</v>
      </c>
      <c r="B930"/>
      <c r="C930"/>
      <c r="D930"/>
      <c r="E930"/>
      <c r="CH930" s="27" t="s">
        <v>7</v>
      </c>
      <c r="CI930" s="27" t="s">
        <v>8</v>
      </c>
    </row>
    <row r="931" spans="1:88" x14ac:dyDescent="0.25">
      <c r="A931" s="7">
        <v>1.1003755042991001E-3</v>
      </c>
      <c r="B931"/>
      <c r="C931"/>
      <c r="D931"/>
      <c r="E931"/>
      <c r="CH931" s="27" t="s">
        <v>7</v>
      </c>
      <c r="CI931" s="27" t="s">
        <v>8</v>
      </c>
    </row>
    <row r="932" spans="1:88" x14ac:dyDescent="0.25">
      <c r="A932" s="7">
        <v>1.0787995140187257E-3</v>
      </c>
      <c r="B932"/>
      <c r="C932"/>
      <c r="D932"/>
      <c r="E932"/>
      <c r="CH932" s="27" t="s">
        <v>7</v>
      </c>
      <c r="CI932" s="27" t="s">
        <v>8</v>
      </c>
    </row>
    <row r="933" spans="1:88" x14ac:dyDescent="0.25">
      <c r="A933" s="7">
        <v>1.0576465823712996E-3</v>
      </c>
      <c r="B933"/>
      <c r="C933"/>
      <c r="D933"/>
      <c r="E933"/>
      <c r="CH933" s="27" t="s">
        <v>7</v>
      </c>
      <c r="CI933" s="27" t="s">
        <v>8</v>
      </c>
    </row>
    <row r="934" spans="1:88" x14ac:dyDescent="0.25">
      <c r="A934" s="7">
        <v>1.0369084140895094E-3</v>
      </c>
      <c r="B934"/>
      <c r="C934"/>
      <c r="D934"/>
      <c r="E934"/>
      <c r="CH934" s="27" t="s">
        <v>7</v>
      </c>
      <c r="CI934" s="27" t="s">
        <v>8</v>
      </c>
    </row>
    <row r="935" spans="1:88" x14ac:dyDescent="0.25">
      <c r="A935" s="7">
        <v>1.0165768765583426E-3</v>
      </c>
      <c r="B935"/>
      <c r="C935"/>
      <c r="D935"/>
      <c r="E935"/>
      <c r="CH935" s="27" t="s">
        <v>7</v>
      </c>
    </row>
    <row r="936" spans="1:88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0" operator="equal">
      <formula>$U$1</formula>
    </cfRule>
    <cfRule type="cellIs" dxfId="89" priority="1291" operator="equal">
      <formula>$S$1</formula>
    </cfRule>
  </conditionalFormatting>
  <conditionalFormatting sqref="D27">
    <cfRule type="cellIs" dxfId="88" priority="1288" operator="equal">
      <formula>$S$1</formula>
    </cfRule>
    <cfRule type="cellIs" dxfId="87" priority="1289" operator="equal">
      <formula>$U$1</formula>
    </cfRule>
  </conditionalFormatting>
  <conditionalFormatting sqref="C164">
    <cfRule type="cellIs" dxfId="86" priority="1286" operator="equal">
      <formula>$U$1</formula>
    </cfRule>
    <cfRule type="cellIs" dxfId="85" priority="1287" operator="equal">
      <formula>$S$1</formula>
    </cfRule>
  </conditionalFormatting>
  <conditionalFormatting sqref="D164">
    <cfRule type="cellIs" dxfId="84" priority="1284" operator="equal">
      <formula>$S$1</formula>
    </cfRule>
    <cfRule type="cellIs" dxfId="83" priority="1285" operator="equal">
      <formula>$U$1</formula>
    </cfRule>
  </conditionalFormatting>
  <conditionalFormatting sqref="C55">
    <cfRule type="cellIs" dxfId="82" priority="1282" operator="equal">
      <formula>$U$1</formula>
    </cfRule>
    <cfRule type="cellIs" dxfId="81" priority="1283" operator="equal">
      <formula>$S$1</formula>
    </cfRule>
  </conditionalFormatting>
  <conditionalFormatting sqref="D55">
    <cfRule type="cellIs" dxfId="80" priority="1280" operator="equal">
      <formula>$S$1</formula>
    </cfRule>
    <cfRule type="cellIs" dxfId="79" priority="1281" operator="equal">
      <formula>$U$1</formula>
    </cfRule>
  </conditionalFormatting>
  <conditionalFormatting sqref="C89">
    <cfRule type="cellIs" dxfId="78" priority="1278" operator="equal">
      <formula>$U$1</formula>
    </cfRule>
    <cfRule type="cellIs" dxfId="77" priority="1279" operator="equal">
      <formula>$S$1</formula>
    </cfRule>
  </conditionalFormatting>
  <conditionalFormatting sqref="D89">
    <cfRule type="cellIs" dxfId="76" priority="1276" operator="equal">
      <formula>$S$1</formula>
    </cfRule>
    <cfRule type="cellIs" dxfId="75" priority="1277" operator="equal">
      <formula>$U$1</formula>
    </cfRule>
  </conditionalFormatting>
  <conditionalFormatting sqref="C136">
    <cfRule type="cellIs" dxfId="74" priority="1274" operator="equal">
      <formula>$U$1</formula>
    </cfRule>
    <cfRule type="cellIs" dxfId="73" priority="1275" operator="equal">
      <formula>$S$1</formula>
    </cfRule>
  </conditionalFormatting>
  <conditionalFormatting sqref="D136">
    <cfRule type="cellIs" dxfId="72" priority="1272" operator="equal">
      <formula>$S$1</formula>
    </cfRule>
    <cfRule type="cellIs" dxfId="71" priority="1273" operator="equal">
      <formula>$U$1</formula>
    </cfRule>
  </conditionalFormatting>
  <conditionalFormatting sqref="C1">
    <cfRule type="cellIs" dxfId="70" priority="12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J335" sqref="FJ33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$A$334</v>
      </c>
      <c r="D111" s="1" t="str">
        <f>ADDRESS(C121-1,D121,1,1)</f>
        <v>$FJ$334</v>
      </c>
      <c r="E111"/>
    </row>
    <row r="112" spans="1:5" x14ac:dyDescent="0.25">
      <c r="A112" s="30">
        <v>515.50191262726139</v>
      </c>
      <c r="C112" s="1" t="str">
        <f>ADDRESS(C121,1,1,1)</f>
        <v>$A$335</v>
      </c>
      <c r="D112" s="1" t="str">
        <f>ADDRESS(C121,D121-1,1,1)</f>
        <v>$FI$335</v>
      </c>
      <c r="E112"/>
    </row>
    <row r="113" spans="1:5" x14ac:dyDescent="0.25">
      <c r="A113" s="30">
        <v>490.95420250215363</v>
      </c>
      <c r="C113" s="1" t="str">
        <f>ADDRESS(C121+1,1,1,1)</f>
        <v>$A$336</v>
      </c>
      <c r="D113" s="1" t="str">
        <f>ADDRESS(C121-1,D121+1,1,1)</f>
        <v>$FK$334</v>
      </c>
    </row>
    <row r="114" spans="1:5" x14ac:dyDescent="0.25">
      <c r="A114" s="30">
        <v>467.57543095443202</v>
      </c>
      <c r="C114" s="1" t="str">
        <f>ADDRESS(C121,D121,1,1)</f>
        <v>$FJ$335</v>
      </c>
      <c r="D114" s="1" t="str">
        <f>ADDRESS(C121+1,D121+1,1,1)</f>
        <v>$FK$336</v>
      </c>
    </row>
    <row r="115" spans="1:5" x14ac:dyDescent="0.25">
      <c r="A115" s="30">
        <v>445.30993424231622</v>
      </c>
      <c r="C115" s="1" t="str">
        <f>ADDRESS(C121+1,D121,1,1)</f>
        <v>$FJ$336</v>
      </c>
    </row>
    <row r="116" spans="1:5" x14ac:dyDescent="0.25">
      <c r="A116" s="30">
        <v>424.10469927839637</v>
      </c>
      <c r="C116" s="1">
        <f>C117-1</f>
        <v>334</v>
      </c>
    </row>
    <row r="117" spans="1:5" x14ac:dyDescent="0.25">
      <c r="A117" s="30">
        <v>403.9092374079965</v>
      </c>
      <c r="C117" s="1">
        <f>C121</f>
        <v>335</v>
      </c>
      <c r="D117" s="1">
        <f>D121</f>
        <v>166</v>
      </c>
    </row>
    <row r="118" spans="1:5" x14ac:dyDescent="0.25">
      <c r="A118" s="30">
        <v>384.6754641980919</v>
      </c>
      <c r="C118" s="1">
        <f>C117+1</f>
        <v>336</v>
      </c>
      <c r="D118" s="1">
        <f>D117+1</f>
        <v>167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335</v>
      </c>
      <c r="D121" s="19">
        <v>166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R335</v>
      </c>
      <c r="D123" s="1" t="str">
        <f>"C"&amp;D121</f>
        <v>C166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9.7054703765012563E-3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134" x14ac:dyDescent="0.25">
      <c r="A289" s="30">
        <v>9.1563913320997906E-2</v>
      </c>
      <c r="B289"/>
      <c r="C289"/>
      <c r="D289"/>
      <c r="E289"/>
      <c r="F289" s="27" t="s">
        <v>7</v>
      </c>
    </row>
    <row r="290" spans="1:134" x14ac:dyDescent="0.25">
      <c r="A290" s="30">
        <v>8.7203726972378923E-2</v>
      </c>
      <c r="B290"/>
      <c r="C290"/>
      <c r="D290"/>
      <c r="E290"/>
      <c r="F290" s="27" t="s">
        <v>7</v>
      </c>
    </row>
    <row r="291" spans="1:134" x14ac:dyDescent="0.25">
      <c r="A291" s="30">
        <v>8.3051168545122747E-2</v>
      </c>
      <c r="B291"/>
      <c r="C291"/>
      <c r="D291"/>
      <c r="E291"/>
      <c r="F291" s="27" t="s">
        <v>7</v>
      </c>
    </row>
    <row r="292" spans="1:134" x14ac:dyDescent="0.25">
      <c r="A292" s="30">
        <v>7.9096350995354961E-2</v>
      </c>
      <c r="B292"/>
      <c r="C292"/>
      <c r="D292"/>
      <c r="E292"/>
      <c r="F292" s="27" t="s">
        <v>7</v>
      </c>
    </row>
    <row r="293" spans="1:134" x14ac:dyDescent="0.25">
      <c r="A293" s="30">
        <v>7.5329858090814217E-2</v>
      </c>
      <c r="B293"/>
      <c r="C293"/>
      <c r="D293"/>
      <c r="E293"/>
      <c r="F293" s="27" t="s">
        <v>7</v>
      </c>
    </row>
    <row r="294" spans="1:134" x14ac:dyDescent="0.25">
      <c r="A294" s="30">
        <v>7.1742721991251604E-2</v>
      </c>
      <c r="B294"/>
      <c r="C294"/>
      <c r="D294"/>
      <c r="E294"/>
      <c r="F294" s="27" t="s">
        <v>7</v>
      </c>
    </row>
    <row r="295" spans="1:134" x14ac:dyDescent="0.25">
      <c r="A295" s="30">
        <v>6.8326401896430078E-2</v>
      </c>
      <c r="B295"/>
      <c r="C295"/>
      <c r="D295"/>
      <c r="E295"/>
      <c r="F295" s="27" t="s">
        <v>7</v>
      </c>
      <c r="DS295" s="27" t="s">
        <v>8</v>
      </c>
    </row>
    <row r="296" spans="1:134" x14ac:dyDescent="0.25">
      <c r="A296" s="30">
        <v>6.5072763710885759E-2</v>
      </c>
      <c r="B296"/>
      <c r="C296"/>
      <c r="D296"/>
      <c r="E296"/>
      <c r="F296" s="27" t="s">
        <v>7</v>
      </c>
      <c r="DS296" s="27" t="s">
        <v>8</v>
      </c>
      <c r="DT296" s="27" t="s">
        <v>7</v>
      </c>
    </row>
    <row r="297" spans="1:134" x14ac:dyDescent="0.25">
      <c r="A297" s="30">
        <v>6.197406067703403E-2</v>
      </c>
      <c r="B297"/>
      <c r="C297"/>
      <c r="D297"/>
      <c r="E297"/>
      <c r="F297" s="27" t="s">
        <v>7</v>
      </c>
      <c r="DS297" s="27" t="s">
        <v>8</v>
      </c>
      <c r="DT297" s="27" t="s">
        <v>7</v>
      </c>
    </row>
    <row r="298" spans="1:134" x14ac:dyDescent="0.25">
      <c r="A298" s="30">
        <v>5.9022914930508576E-2</v>
      </c>
      <c r="B298"/>
      <c r="C298"/>
      <c r="D298"/>
      <c r="E298"/>
      <c r="F298" s="27" t="s">
        <v>7</v>
      </c>
      <c r="DS298" s="27" t="s">
        <v>8</v>
      </c>
      <c r="DT298" s="27" t="s">
        <v>7</v>
      </c>
    </row>
    <row r="299" spans="1:134" x14ac:dyDescent="0.25">
      <c r="A299" s="30">
        <v>5.6212299933817669E-2</v>
      </c>
      <c r="B299"/>
      <c r="C299"/>
      <c r="D299"/>
      <c r="E299"/>
      <c r="F299" s="27" t="s">
        <v>7</v>
      </c>
      <c r="CY299" s="27" t="s">
        <v>8</v>
      </c>
      <c r="DS299" s="27" t="s">
        <v>8</v>
      </c>
      <c r="DT299" s="27" t="s">
        <v>7</v>
      </c>
    </row>
    <row r="300" spans="1:134" x14ac:dyDescent="0.25">
      <c r="A300" s="30">
        <v>5.3535523746492994E-2</v>
      </c>
      <c r="B300"/>
      <c r="C300"/>
      <c r="D300"/>
      <c r="E300"/>
      <c r="F300" s="27" t="s">
        <v>7</v>
      </c>
      <c r="CY300" s="27" t="s">
        <v>8</v>
      </c>
      <c r="CZ300" s="27" t="s">
        <v>7</v>
      </c>
      <c r="DS300" s="27" t="s">
        <v>8</v>
      </c>
      <c r="DT300" s="27" t="s">
        <v>7</v>
      </c>
      <c r="EC300" s="27" t="s">
        <v>8</v>
      </c>
    </row>
    <row r="301" spans="1:134" x14ac:dyDescent="0.25">
      <c r="A301" s="30">
        <v>5.0986213091898068E-2</v>
      </c>
      <c r="B301"/>
      <c r="C301"/>
      <c r="D301"/>
      <c r="E301"/>
      <c r="F301" s="27" t="s">
        <v>7</v>
      </c>
      <c r="CY301" s="27" t="s">
        <v>8</v>
      </c>
      <c r="CZ301" s="27" t="s">
        <v>7</v>
      </c>
      <c r="DS301" s="27" t="s">
        <v>8</v>
      </c>
      <c r="DT301" s="27" t="s">
        <v>7</v>
      </c>
      <c r="DU301" s="27" t="s">
        <v>8</v>
      </c>
      <c r="EA301" s="27" t="s">
        <v>8</v>
      </c>
      <c r="EC301" s="27" t="s">
        <v>8</v>
      </c>
      <c r="ED301" s="27" t="s">
        <v>7</v>
      </c>
    </row>
    <row r="302" spans="1:134" x14ac:dyDescent="0.25">
      <c r="A302" s="30">
        <v>4.8558298182760043E-2</v>
      </c>
      <c r="B302"/>
      <c r="C302"/>
      <c r="D302"/>
      <c r="E302"/>
      <c r="F302" s="27" t="s">
        <v>7</v>
      </c>
      <c r="CY302" s="27" t="s">
        <v>8</v>
      </c>
      <c r="CZ302" s="27" t="s">
        <v>7</v>
      </c>
      <c r="DS302" s="27" t="s">
        <v>8</v>
      </c>
      <c r="DT302" s="27" t="s">
        <v>7</v>
      </c>
      <c r="DU302" s="27" t="s">
        <v>8</v>
      </c>
      <c r="DV302" s="27" t="s">
        <v>7</v>
      </c>
      <c r="EA302" s="27" t="s">
        <v>8</v>
      </c>
      <c r="EB302" s="27" t="s">
        <v>7</v>
      </c>
      <c r="EC302" s="27" t="s">
        <v>8</v>
      </c>
      <c r="ED302" s="27" t="s">
        <v>7</v>
      </c>
    </row>
    <row r="303" spans="1:134" x14ac:dyDescent="0.25">
      <c r="A303" s="30">
        <v>4.6245998269295263E-2</v>
      </c>
      <c r="B303"/>
      <c r="C303"/>
      <c r="D303"/>
      <c r="E303"/>
      <c r="F303" s="27" t="s">
        <v>7</v>
      </c>
      <c r="CY303" s="27" t="s">
        <v>8</v>
      </c>
      <c r="CZ303" s="27" t="s">
        <v>7</v>
      </c>
      <c r="DA303" s="27" t="s">
        <v>8</v>
      </c>
      <c r="DS303" s="27" t="s">
        <v>8</v>
      </c>
      <c r="DT303" s="27" t="s">
        <v>7</v>
      </c>
      <c r="DU303" s="27" t="s">
        <v>8</v>
      </c>
      <c r="DV303" s="27" t="s">
        <v>7</v>
      </c>
      <c r="DW303" s="27" t="s">
        <v>8</v>
      </c>
      <c r="EA303" s="27" t="s">
        <v>8</v>
      </c>
      <c r="EB303" s="27" t="s">
        <v>7</v>
      </c>
      <c r="EC303" s="27" t="s">
        <v>8</v>
      </c>
      <c r="ED303" s="27" t="s">
        <v>7</v>
      </c>
    </row>
    <row r="304" spans="1:134" x14ac:dyDescent="0.25">
      <c r="A304" s="30">
        <v>4.4043807875519279E-2</v>
      </c>
      <c r="B304"/>
      <c r="C304"/>
      <c r="D304"/>
      <c r="E304"/>
      <c r="F304" s="27" t="s">
        <v>7</v>
      </c>
      <c r="CY304" s="27" t="s">
        <v>8</v>
      </c>
      <c r="CZ304" s="27" t="s">
        <v>7</v>
      </c>
      <c r="DA304" s="27" t="s">
        <v>8</v>
      </c>
      <c r="DB304" s="27" t="s">
        <v>7</v>
      </c>
      <c r="DE304" s="27" t="s">
        <v>8</v>
      </c>
      <c r="DS304" s="27" t="s">
        <v>8</v>
      </c>
      <c r="DT304" s="27" t="s">
        <v>7</v>
      </c>
      <c r="DU304" s="27" t="s">
        <v>8</v>
      </c>
      <c r="DV304" s="27" t="s">
        <v>7</v>
      </c>
      <c r="DW304" s="27" t="s">
        <v>8</v>
      </c>
      <c r="DX304" s="27" t="s">
        <v>7</v>
      </c>
      <c r="DY304" s="27" t="s">
        <v>8</v>
      </c>
      <c r="EA304" s="27" t="s">
        <v>8</v>
      </c>
      <c r="EB304" s="27" t="s">
        <v>7</v>
      </c>
      <c r="EC304" s="27" t="s">
        <v>8</v>
      </c>
      <c r="ED304" s="27" t="s">
        <v>7</v>
      </c>
    </row>
    <row r="305" spans="1:154" x14ac:dyDescent="0.25">
      <c r="A305" s="30">
        <v>4.1946483690970725E-2</v>
      </c>
      <c r="B305"/>
      <c r="C305"/>
      <c r="D305"/>
      <c r="E305"/>
      <c r="F305" s="27" t="s">
        <v>7</v>
      </c>
      <c r="CW305" s="27" t="s">
        <v>8</v>
      </c>
      <c r="CY305" s="27" t="s">
        <v>8</v>
      </c>
      <c r="CZ305" s="27" t="s">
        <v>7</v>
      </c>
      <c r="DA305" s="27" t="s">
        <v>8</v>
      </c>
      <c r="DB305" s="27" t="s">
        <v>7</v>
      </c>
      <c r="DC305" s="27" t="s">
        <v>8</v>
      </c>
      <c r="DE305" s="27" t="s">
        <v>8</v>
      </c>
      <c r="DF305" s="27" t="s">
        <v>7</v>
      </c>
      <c r="DO305" s="27" t="s">
        <v>8</v>
      </c>
      <c r="DS305" s="27" t="s">
        <v>8</v>
      </c>
      <c r="DT305" s="27" t="s">
        <v>7</v>
      </c>
      <c r="DU305" s="27" t="s">
        <v>8</v>
      </c>
      <c r="DV305" s="27" t="s">
        <v>7</v>
      </c>
      <c r="DW305" s="27" t="s">
        <v>8</v>
      </c>
      <c r="DX305" s="27" t="s">
        <v>7</v>
      </c>
      <c r="DY305" s="27" t="s">
        <v>8</v>
      </c>
      <c r="DZ305" s="27" t="s">
        <v>7</v>
      </c>
      <c r="EA305" s="27" t="s">
        <v>8</v>
      </c>
      <c r="EB305" s="27" t="s">
        <v>7</v>
      </c>
      <c r="EC305" s="27" t="s">
        <v>8</v>
      </c>
      <c r="ED305" s="27" t="s">
        <v>7</v>
      </c>
    </row>
    <row r="306" spans="1:154" x14ac:dyDescent="0.25">
      <c r="A306" s="30">
        <v>3.9949032086638768E-2</v>
      </c>
      <c r="B306"/>
      <c r="C306"/>
      <c r="D306"/>
      <c r="E306"/>
      <c r="F306" s="27" t="s">
        <v>7</v>
      </c>
      <c r="CW306" s="27" t="s">
        <v>8</v>
      </c>
      <c r="CX306" s="27" t="s">
        <v>7</v>
      </c>
      <c r="CY306" s="27" t="s">
        <v>8</v>
      </c>
      <c r="CZ306" s="27" t="s">
        <v>7</v>
      </c>
      <c r="DA306" s="27" t="s">
        <v>8</v>
      </c>
      <c r="DB306" s="27" t="s">
        <v>7</v>
      </c>
      <c r="DC306" s="27" t="s">
        <v>8</v>
      </c>
      <c r="DD306" s="27" t="s">
        <v>7</v>
      </c>
      <c r="DE306" s="27" t="s">
        <v>8</v>
      </c>
      <c r="DF306" s="27" t="s">
        <v>7</v>
      </c>
      <c r="DO306" s="27" t="s">
        <v>8</v>
      </c>
      <c r="DP306" s="27" t="s">
        <v>7</v>
      </c>
      <c r="DQ306" s="27" t="s">
        <v>8</v>
      </c>
      <c r="DS306" s="27" t="s">
        <v>8</v>
      </c>
      <c r="DT306" s="27" t="s">
        <v>7</v>
      </c>
      <c r="DV306" s="27" t="s">
        <v>7</v>
      </c>
      <c r="DX306" s="27" t="s">
        <v>7</v>
      </c>
      <c r="DY306" s="27" t="s">
        <v>8</v>
      </c>
      <c r="DZ306" s="27" t="s">
        <v>7</v>
      </c>
      <c r="EA306" s="27" t="s">
        <v>8</v>
      </c>
      <c r="EB306" s="27" t="s">
        <v>7</v>
      </c>
      <c r="EC306" s="27" t="s">
        <v>8</v>
      </c>
      <c r="ED306" s="27" t="s">
        <v>7</v>
      </c>
    </row>
    <row r="307" spans="1:154" x14ac:dyDescent="0.25">
      <c r="A307" s="30">
        <v>3.8046697225370241E-2</v>
      </c>
      <c r="B307"/>
      <c r="C307"/>
      <c r="D307"/>
      <c r="E307"/>
      <c r="F307" s="27" t="s">
        <v>7</v>
      </c>
      <c r="CW307" s="27" t="s">
        <v>8</v>
      </c>
      <c r="CX307" s="27" t="s">
        <v>7</v>
      </c>
      <c r="CY307" s="27" t="s">
        <v>8</v>
      </c>
      <c r="CZ307" s="27" t="s">
        <v>7</v>
      </c>
      <c r="DB307" s="27" t="s">
        <v>7</v>
      </c>
      <c r="DC307" s="27" t="s">
        <v>8</v>
      </c>
      <c r="DD307" s="27" t="s">
        <v>7</v>
      </c>
      <c r="DE307" s="27" t="s">
        <v>8</v>
      </c>
      <c r="DF307" s="27" t="s">
        <v>7</v>
      </c>
      <c r="DI307" s="27" t="s">
        <v>8</v>
      </c>
      <c r="DO307" s="27" t="s">
        <v>8</v>
      </c>
      <c r="DP307" s="27" t="s">
        <v>7</v>
      </c>
      <c r="DQ307" s="27" t="s">
        <v>8</v>
      </c>
      <c r="DR307" s="27" t="s">
        <v>7</v>
      </c>
      <c r="DS307" s="27" t="s">
        <v>8</v>
      </c>
      <c r="DX307" s="27" t="s">
        <v>7</v>
      </c>
      <c r="DY307" s="27" t="s">
        <v>8</v>
      </c>
      <c r="DZ307" s="27" t="s">
        <v>7</v>
      </c>
      <c r="EB307" s="27" t="s">
        <v>7</v>
      </c>
      <c r="ED307" s="27" t="s">
        <v>7</v>
      </c>
      <c r="EO307" s="27" t="s">
        <v>8</v>
      </c>
    </row>
    <row r="308" spans="1:154" x14ac:dyDescent="0.25">
      <c r="A308" s="30">
        <v>3.6234949738447833E-2</v>
      </c>
      <c r="B308"/>
      <c r="C308"/>
      <c r="D308"/>
      <c r="E308"/>
      <c r="F308" s="27" t="s">
        <v>7</v>
      </c>
      <c r="CW308" s="27" t="s">
        <v>8</v>
      </c>
      <c r="CX308" s="27" t="s">
        <v>7</v>
      </c>
      <c r="CY308" s="27" t="s">
        <v>8</v>
      </c>
      <c r="DB308" s="27" t="s">
        <v>7</v>
      </c>
      <c r="DD308" s="27" t="s">
        <v>7</v>
      </c>
      <c r="DF308" s="27" t="s">
        <v>7</v>
      </c>
      <c r="DG308" s="27" t="s">
        <v>8</v>
      </c>
      <c r="DI308" s="27" t="s">
        <v>8</v>
      </c>
      <c r="DJ308" s="27" t="s">
        <v>7</v>
      </c>
      <c r="DM308" s="27" t="s">
        <v>8</v>
      </c>
      <c r="DO308" s="27" t="s">
        <v>8</v>
      </c>
      <c r="DP308" s="27" t="s">
        <v>7</v>
      </c>
      <c r="DQ308" s="27" t="s">
        <v>8</v>
      </c>
      <c r="DR308" s="27" t="s">
        <v>7</v>
      </c>
      <c r="DS308" s="27" t="s">
        <v>8</v>
      </c>
      <c r="DX308" s="27" t="s">
        <v>7</v>
      </c>
      <c r="DY308" s="27" t="s">
        <v>8</v>
      </c>
      <c r="ED308" s="27" t="s">
        <v>7</v>
      </c>
      <c r="EM308" s="27" t="s">
        <v>8</v>
      </c>
      <c r="EO308" s="27" t="s">
        <v>8</v>
      </c>
      <c r="EP308" s="27" t="s">
        <v>7</v>
      </c>
    </row>
    <row r="309" spans="1:154" x14ac:dyDescent="0.25">
      <c r="A309" s="30">
        <v>3.4509475941378875E-2</v>
      </c>
      <c r="B309"/>
      <c r="C309"/>
      <c r="D309"/>
      <c r="E309"/>
      <c r="F309" s="27" t="s">
        <v>7</v>
      </c>
      <c r="CW309" s="27" t="s">
        <v>8</v>
      </c>
      <c r="CX309" s="27" t="s">
        <v>7</v>
      </c>
      <c r="CY309" s="27" t="s">
        <v>8</v>
      </c>
      <c r="DF309" s="27" t="s">
        <v>7</v>
      </c>
      <c r="DG309" s="27" t="s">
        <v>8</v>
      </c>
      <c r="DH309" s="27" t="s">
        <v>7</v>
      </c>
      <c r="DI309" s="27" t="s">
        <v>8</v>
      </c>
      <c r="DJ309" s="27" t="s">
        <v>7</v>
      </c>
      <c r="DM309" s="27" t="s">
        <v>8</v>
      </c>
      <c r="DN309" s="27" t="s">
        <v>7</v>
      </c>
      <c r="DO309" s="27" t="s">
        <v>8</v>
      </c>
      <c r="DP309" s="27" t="s">
        <v>7</v>
      </c>
      <c r="DR309" s="27" t="s">
        <v>7</v>
      </c>
      <c r="DX309" s="27" t="s">
        <v>7</v>
      </c>
      <c r="DY309" s="27" t="s">
        <v>8</v>
      </c>
      <c r="ED309" s="27" t="s">
        <v>7</v>
      </c>
      <c r="EM309" s="27" t="s">
        <v>8</v>
      </c>
      <c r="EN309" s="27" t="s">
        <v>7</v>
      </c>
      <c r="EO309" s="27" t="s">
        <v>8</v>
      </c>
      <c r="EP309" s="27" t="s">
        <v>7</v>
      </c>
    </row>
    <row r="310" spans="1:154" x14ac:dyDescent="0.25">
      <c r="A310" s="30">
        <v>3.286616756321796E-2</v>
      </c>
      <c r="B310"/>
      <c r="C310"/>
      <c r="D310"/>
      <c r="E310"/>
      <c r="F310" s="27" t="s">
        <v>7</v>
      </c>
      <c r="CW310" s="27" t="s">
        <v>8</v>
      </c>
      <c r="CX310" s="27" t="s">
        <v>7</v>
      </c>
      <c r="CY310" s="27" t="s">
        <v>8</v>
      </c>
      <c r="DF310" s="27" t="s">
        <v>7</v>
      </c>
      <c r="DG310" s="27" t="s">
        <v>8</v>
      </c>
      <c r="DH310" s="27" t="s">
        <v>7</v>
      </c>
      <c r="DI310" s="27" t="s">
        <v>8</v>
      </c>
      <c r="DJ310" s="27" t="s">
        <v>7</v>
      </c>
      <c r="DK310" s="27" t="s">
        <v>8</v>
      </c>
      <c r="DM310" s="27" t="s">
        <v>8</v>
      </c>
      <c r="DN310" s="27" t="s">
        <v>7</v>
      </c>
      <c r="DO310" s="27" t="s">
        <v>8</v>
      </c>
      <c r="DX310" s="27" t="s">
        <v>7</v>
      </c>
      <c r="DY310" s="27" t="s">
        <v>8</v>
      </c>
      <c r="ED310" s="27" t="s">
        <v>7</v>
      </c>
      <c r="EM310" s="27" t="s">
        <v>8</v>
      </c>
      <c r="EN310" s="27" t="s">
        <v>7</v>
      </c>
      <c r="EO310" s="27" t="s">
        <v>8</v>
      </c>
      <c r="EP310" s="27" t="s">
        <v>7</v>
      </c>
    </row>
    <row r="311" spans="1:154" x14ac:dyDescent="0.25">
      <c r="A311" s="30">
        <v>3.1301111964969472E-2</v>
      </c>
      <c r="B311"/>
      <c r="C311"/>
      <c r="D311"/>
      <c r="E311"/>
      <c r="F311" s="27" t="s">
        <v>7</v>
      </c>
      <c r="CW311" s="27" t="s">
        <v>8</v>
      </c>
      <c r="CX311" s="27" t="s">
        <v>7</v>
      </c>
      <c r="CY311" s="27" t="s">
        <v>8</v>
      </c>
      <c r="DF311" s="27" t="s">
        <v>7</v>
      </c>
      <c r="DH311" s="27" t="s">
        <v>7</v>
      </c>
      <c r="DI311" s="27" t="s">
        <v>8</v>
      </c>
      <c r="DJ311" s="27" t="s">
        <v>7</v>
      </c>
      <c r="DK311" s="27" t="s">
        <v>8</v>
      </c>
      <c r="DL311" s="27" t="s">
        <v>7</v>
      </c>
      <c r="DM311" s="27" t="s">
        <v>8</v>
      </c>
      <c r="DN311" s="27" t="s">
        <v>7</v>
      </c>
      <c r="DO311" s="27" t="s">
        <v>8</v>
      </c>
      <c r="DX311" s="27" t="s">
        <v>7</v>
      </c>
      <c r="DY311" s="27" t="s">
        <v>8</v>
      </c>
      <c r="ED311" s="27" t="s">
        <v>7</v>
      </c>
      <c r="EM311" s="27" t="s">
        <v>8</v>
      </c>
      <c r="EN311" s="27" t="s">
        <v>7</v>
      </c>
      <c r="EP311" s="27" t="s">
        <v>7</v>
      </c>
    </row>
    <row r="312" spans="1:154" x14ac:dyDescent="0.25">
      <c r="A312" s="30">
        <v>2.9810582823780438E-2</v>
      </c>
      <c r="B312"/>
      <c r="C312"/>
      <c r="D312"/>
      <c r="E312"/>
      <c r="F312" s="27" t="s">
        <v>7</v>
      </c>
      <c r="CW312" s="27" t="s">
        <v>8</v>
      </c>
      <c r="CX312" s="27" t="s">
        <v>7</v>
      </c>
      <c r="CY312" s="27" t="s">
        <v>8</v>
      </c>
      <c r="DH312" s="27" t="s">
        <v>7</v>
      </c>
      <c r="DI312" s="27" t="s">
        <v>8</v>
      </c>
      <c r="DJ312" s="27" t="s">
        <v>7</v>
      </c>
      <c r="DK312" s="27" t="s">
        <v>8</v>
      </c>
      <c r="DL312" s="27" t="s">
        <v>7</v>
      </c>
      <c r="DM312" s="27" t="s">
        <v>8</v>
      </c>
      <c r="DN312" s="27" t="s">
        <v>7</v>
      </c>
      <c r="DO312" s="27" t="s">
        <v>8</v>
      </c>
      <c r="DX312" s="27" t="s">
        <v>7</v>
      </c>
      <c r="DY312" s="27" t="s">
        <v>8</v>
      </c>
      <c r="ED312" s="27" t="s">
        <v>7</v>
      </c>
      <c r="EM312" s="27" t="s">
        <v>8</v>
      </c>
      <c r="EP312" s="27" t="s">
        <v>7</v>
      </c>
    </row>
    <row r="313" spans="1:154" x14ac:dyDescent="0.25">
      <c r="A313" s="30">
        <v>2.8391031260743264E-2</v>
      </c>
      <c r="B313"/>
      <c r="C313"/>
      <c r="D313"/>
      <c r="E313"/>
      <c r="F313" s="27" t="s">
        <v>7</v>
      </c>
      <c r="CW313" s="27" t="s">
        <v>8</v>
      </c>
      <c r="CX313" s="27" t="s">
        <v>7</v>
      </c>
      <c r="CY313" s="27" t="s">
        <v>8</v>
      </c>
      <c r="DH313" s="27" t="s">
        <v>7</v>
      </c>
      <c r="DI313" s="27" t="s">
        <v>8</v>
      </c>
      <c r="DJ313" s="27" t="s">
        <v>7</v>
      </c>
      <c r="DK313" s="27" t="s">
        <v>8</v>
      </c>
      <c r="DL313" s="27" t="s">
        <v>7</v>
      </c>
      <c r="DN313" s="27" t="s">
        <v>7</v>
      </c>
      <c r="DO313" s="27" t="s">
        <v>8</v>
      </c>
      <c r="DX313" s="27" t="s">
        <v>7</v>
      </c>
      <c r="DY313" s="27" t="s">
        <v>8</v>
      </c>
      <c r="ED313" s="27" t="s">
        <v>7</v>
      </c>
      <c r="EM313" s="27" t="s">
        <v>8</v>
      </c>
      <c r="EP313" s="27" t="s">
        <v>7</v>
      </c>
    </row>
    <row r="314" spans="1:154" x14ac:dyDescent="0.25">
      <c r="A314" s="30">
        <v>2.7039077391184052E-2</v>
      </c>
      <c r="B314"/>
      <c r="C314"/>
      <c r="D314"/>
      <c r="E314"/>
      <c r="F314" s="27" t="s">
        <v>7</v>
      </c>
      <c r="CW314" s="27" t="s">
        <v>8</v>
      </c>
      <c r="CX314" s="27" t="s">
        <v>7</v>
      </c>
      <c r="DH314" s="27" t="s">
        <v>7</v>
      </c>
      <c r="DI314" s="27" t="s">
        <v>8</v>
      </c>
      <c r="DJ314" s="27" t="s">
        <v>7</v>
      </c>
      <c r="DK314" s="27" t="s">
        <v>8</v>
      </c>
      <c r="DN314" s="27" t="s">
        <v>7</v>
      </c>
      <c r="DX314" s="27" t="s">
        <v>7</v>
      </c>
      <c r="ED314" s="27" t="s">
        <v>7</v>
      </c>
      <c r="EM314" s="27" t="s">
        <v>8</v>
      </c>
      <c r="EP314" s="27" t="s">
        <v>7</v>
      </c>
    </row>
    <row r="315" spans="1:154" x14ac:dyDescent="0.25">
      <c r="A315" s="30">
        <v>2.5751502277318133E-2</v>
      </c>
      <c r="B315"/>
      <c r="C315"/>
      <c r="D315"/>
      <c r="E315"/>
      <c r="F315" s="27" t="s">
        <v>7</v>
      </c>
      <c r="CW315" s="27" t="s">
        <v>8</v>
      </c>
      <c r="DH315" s="27" t="s">
        <v>7</v>
      </c>
      <c r="DI315" s="27" t="s">
        <v>8</v>
      </c>
      <c r="DJ315" s="27" t="s">
        <v>7</v>
      </c>
      <c r="ED315" s="27" t="s">
        <v>7</v>
      </c>
      <c r="EE315" s="27" t="s">
        <v>8</v>
      </c>
      <c r="EG315" s="27" t="s">
        <v>8</v>
      </c>
      <c r="EI315" s="27" t="s">
        <v>8</v>
      </c>
      <c r="EM315" s="27" t="s">
        <v>8</v>
      </c>
      <c r="EP315" s="27" t="s">
        <v>7</v>
      </c>
    </row>
    <row r="316" spans="1:154" x14ac:dyDescent="0.25">
      <c r="A316" s="30">
        <v>2.4525240264112496E-2</v>
      </c>
      <c r="B316"/>
      <c r="C316"/>
      <c r="D316"/>
      <c r="E316"/>
      <c r="F316" s="27" t="s">
        <v>7</v>
      </c>
      <c r="CG316" s="27" t="s">
        <v>8</v>
      </c>
      <c r="CW316" s="27" t="s">
        <v>8</v>
      </c>
      <c r="DH316" s="27" t="s">
        <v>7</v>
      </c>
      <c r="DI316" s="27" t="s">
        <v>8</v>
      </c>
      <c r="ED316" s="27" t="s">
        <v>7</v>
      </c>
      <c r="EE316" s="27" t="s">
        <v>8</v>
      </c>
      <c r="EF316" s="27" t="s">
        <v>7</v>
      </c>
      <c r="EG316" s="27" t="s">
        <v>8</v>
      </c>
      <c r="EH316" s="27" t="s">
        <v>7</v>
      </c>
      <c r="EI316" s="27" t="s">
        <v>8</v>
      </c>
      <c r="EJ316" s="27" t="s">
        <v>7</v>
      </c>
      <c r="EM316" s="27" t="s">
        <v>8</v>
      </c>
      <c r="EP316" s="27" t="s">
        <v>7</v>
      </c>
    </row>
    <row r="317" spans="1:154" x14ac:dyDescent="0.25">
      <c r="A317" s="30">
        <v>2.3357371680107129E-2</v>
      </c>
      <c r="B317"/>
      <c r="C317"/>
      <c r="D317"/>
      <c r="E317"/>
      <c r="F317" s="27" t="s">
        <v>7</v>
      </c>
      <c r="CG317" s="27" t="s">
        <v>8</v>
      </c>
      <c r="CH317" s="27" t="s">
        <v>7</v>
      </c>
      <c r="CW317" s="27" t="s">
        <v>8</v>
      </c>
      <c r="DH317" s="27" t="s">
        <v>7</v>
      </c>
      <c r="DI317" s="27" t="s">
        <v>8</v>
      </c>
      <c r="ED317" s="27" t="s">
        <v>7</v>
      </c>
      <c r="EE317" s="27" t="s">
        <v>8</v>
      </c>
      <c r="EF317" s="27" t="s">
        <v>7</v>
      </c>
      <c r="EG317" s="27" t="s">
        <v>8</v>
      </c>
      <c r="EH317" s="27" t="s">
        <v>7</v>
      </c>
      <c r="EI317" s="27" t="s">
        <v>8</v>
      </c>
      <c r="EJ317" s="27" t="s">
        <v>7</v>
      </c>
      <c r="EM317" s="27" t="s">
        <v>8</v>
      </c>
      <c r="EP317" s="27" t="s">
        <v>7</v>
      </c>
      <c r="EU317" s="27" t="s">
        <v>8</v>
      </c>
      <c r="EW317" s="27" t="s">
        <v>8</v>
      </c>
    </row>
    <row r="318" spans="1:154" x14ac:dyDescent="0.25">
      <c r="A318" s="30">
        <v>2.2245115885816305E-2</v>
      </c>
      <c r="B318"/>
      <c r="C318"/>
      <c r="D318"/>
      <c r="E318"/>
      <c r="F318" s="27" t="s">
        <v>7</v>
      </c>
      <c r="CG318" s="27" t="s">
        <v>8</v>
      </c>
      <c r="CH318" s="27" t="s">
        <v>7</v>
      </c>
      <c r="CW318" s="27" t="s">
        <v>8</v>
      </c>
      <c r="DH318" s="27" t="s">
        <v>7</v>
      </c>
      <c r="ED318" s="27" t="s">
        <v>7</v>
      </c>
      <c r="EF318" s="27" t="s">
        <v>7</v>
      </c>
      <c r="EG318" s="27" t="s">
        <v>8</v>
      </c>
      <c r="EH318" s="27" t="s">
        <v>7</v>
      </c>
      <c r="EI318" s="27" t="s">
        <v>8</v>
      </c>
      <c r="EJ318" s="27" t="s">
        <v>7</v>
      </c>
      <c r="EK318" s="27" t="s">
        <v>8</v>
      </c>
      <c r="EM318" s="27" t="s">
        <v>8</v>
      </c>
      <c r="EP318" s="27" t="s">
        <v>7</v>
      </c>
      <c r="ES318" s="27" t="s">
        <v>8</v>
      </c>
      <c r="EU318" s="27" t="s">
        <v>8</v>
      </c>
      <c r="EV318" s="27" t="s">
        <v>7</v>
      </c>
      <c r="EW318" s="27" t="s">
        <v>8</v>
      </c>
      <c r="EX318" s="27" t="s">
        <v>7</v>
      </c>
    </row>
    <row r="319" spans="1:154" x14ac:dyDescent="0.25">
      <c r="A319" s="30">
        <v>2.1185824653158377E-2</v>
      </c>
      <c r="B319"/>
      <c r="C319"/>
      <c r="D319"/>
      <c r="E319"/>
      <c r="F319" s="27" t="s">
        <v>7</v>
      </c>
      <c r="CG319" s="27" t="s">
        <v>8</v>
      </c>
      <c r="CH319" s="27" t="s">
        <v>7</v>
      </c>
      <c r="CW319" s="27" t="s">
        <v>8</v>
      </c>
      <c r="EF319" s="27" t="s">
        <v>7</v>
      </c>
      <c r="EG319" s="27" t="s">
        <v>8</v>
      </c>
      <c r="EH319" s="27" t="s">
        <v>7</v>
      </c>
      <c r="EI319" s="27" t="s">
        <v>8</v>
      </c>
      <c r="EJ319" s="27" t="s">
        <v>7</v>
      </c>
      <c r="EK319" s="27" t="s">
        <v>8</v>
      </c>
      <c r="EL319" s="27" t="s">
        <v>7</v>
      </c>
      <c r="EM319" s="27" t="s">
        <v>8</v>
      </c>
      <c r="EP319" s="27" t="s">
        <v>7</v>
      </c>
      <c r="EQ319" s="27" t="s">
        <v>8</v>
      </c>
      <c r="ES319" s="27" t="s">
        <v>8</v>
      </c>
      <c r="ET319" s="27" t="s">
        <v>7</v>
      </c>
      <c r="EU319" s="27" t="s">
        <v>8</v>
      </c>
      <c r="EV319" s="27" t="s">
        <v>7</v>
      </c>
      <c r="EW319" s="27" t="s">
        <v>8</v>
      </c>
      <c r="EX319" s="27" t="s">
        <v>7</v>
      </c>
    </row>
    <row r="320" spans="1:154" x14ac:dyDescent="0.25">
      <c r="A320" s="30">
        <v>2.0176975860150829E-2</v>
      </c>
      <c r="B320"/>
      <c r="C320"/>
      <c r="D320"/>
      <c r="E320"/>
      <c r="F320" s="27" t="s">
        <v>7</v>
      </c>
      <c r="CG320" s="27" t="s">
        <v>8</v>
      </c>
      <c r="CH320" s="27" t="s">
        <v>7</v>
      </c>
      <c r="CW320" s="27" t="s">
        <v>8</v>
      </c>
      <c r="EF320" s="27" t="s">
        <v>7</v>
      </c>
      <c r="EG320" s="27" t="s">
        <v>8</v>
      </c>
      <c r="EH320" s="27" t="s">
        <v>7</v>
      </c>
      <c r="EI320" s="27" t="s">
        <v>8</v>
      </c>
      <c r="EJ320" s="27" t="s">
        <v>7</v>
      </c>
      <c r="EK320" s="27" t="s">
        <v>8</v>
      </c>
      <c r="EL320" s="27" t="s">
        <v>7</v>
      </c>
      <c r="EM320" s="27" t="s">
        <v>8</v>
      </c>
      <c r="EP320" s="27" t="s">
        <v>7</v>
      </c>
      <c r="EQ320" s="27" t="s">
        <v>8</v>
      </c>
      <c r="ER320" s="27" t="s">
        <v>7</v>
      </c>
      <c r="ES320" s="27" t="s">
        <v>8</v>
      </c>
      <c r="ET320" s="27" t="s">
        <v>7</v>
      </c>
      <c r="EU320" s="27" t="s">
        <v>8</v>
      </c>
      <c r="EV320" s="27" t="s">
        <v>7</v>
      </c>
      <c r="EW320" s="27" t="s">
        <v>8</v>
      </c>
      <c r="EX320" s="27" t="s">
        <v>7</v>
      </c>
    </row>
    <row r="321" spans="1:166" x14ac:dyDescent="0.25">
      <c r="A321" s="30">
        <v>1.9216167485857926E-2</v>
      </c>
      <c r="B321"/>
      <c r="C321"/>
      <c r="D321"/>
      <c r="E321"/>
      <c r="F321" s="27" t="s">
        <v>7</v>
      </c>
      <c r="CG321" s="27" t="s">
        <v>8</v>
      </c>
      <c r="CH321" s="27" t="s">
        <v>7</v>
      </c>
      <c r="CQ321" s="27" t="s">
        <v>8</v>
      </c>
      <c r="CU321" s="27" t="s">
        <v>8</v>
      </c>
      <c r="CW321" s="27" t="s">
        <v>8</v>
      </c>
      <c r="EF321" s="27" t="s">
        <v>7</v>
      </c>
      <c r="EG321" s="27" t="s">
        <v>8</v>
      </c>
      <c r="EH321" s="27" t="s">
        <v>7</v>
      </c>
      <c r="EJ321" s="27" t="s">
        <v>7</v>
      </c>
      <c r="EK321" s="27" t="s">
        <v>8</v>
      </c>
      <c r="EL321" s="27" t="s">
        <v>7</v>
      </c>
      <c r="EM321" s="27" t="s">
        <v>8</v>
      </c>
      <c r="EP321" s="27" t="s">
        <v>7</v>
      </c>
      <c r="EQ321" s="27" t="s">
        <v>8</v>
      </c>
      <c r="ER321" s="27" t="s">
        <v>7</v>
      </c>
      <c r="ES321" s="27" t="s">
        <v>8</v>
      </c>
      <c r="ET321" s="27" t="s">
        <v>7</v>
      </c>
      <c r="EV321" s="27" t="s">
        <v>7</v>
      </c>
      <c r="EW321" s="27" t="s">
        <v>8</v>
      </c>
      <c r="EX321" s="27" t="s">
        <v>7</v>
      </c>
    </row>
    <row r="322" spans="1:166" x14ac:dyDescent="0.25">
      <c r="A322" s="30">
        <v>1.8301111891293256E-2</v>
      </c>
      <c r="B322"/>
      <c r="C322"/>
      <c r="D322"/>
      <c r="E322"/>
      <c r="F322" s="27" t="s">
        <v>7</v>
      </c>
      <c r="CG322" s="27" t="s">
        <v>8</v>
      </c>
      <c r="CH322" s="27" t="s">
        <v>7</v>
      </c>
      <c r="CO322" s="27" t="s">
        <v>8</v>
      </c>
      <c r="CQ322" s="27" t="s">
        <v>8</v>
      </c>
      <c r="CR322" s="27" t="s">
        <v>7</v>
      </c>
      <c r="CU322" s="27" t="s">
        <v>8</v>
      </c>
      <c r="CV322" s="27" t="s">
        <v>7</v>
      </c>
      <c r="CW322" s="27" t="s">
        <v>8</v>
      </c>
      <c r="EF322" s="27" t="s">
        <v>7</v>
      </c>
      <c r="EJ322" s="27" t="s">
        <v>7</v>
      </c>
      <c r="EK322" s="27" t="s">
        <v>8</v>
      </c>
      <c r="EL322" s="27" t="s">
        <v>7</v>
      </c>
      <c r="EM322" s="27" t="s">
        <v>8</v>
      </c>
      <c r="EP322" s="27" t="s">
        <v>7</v>
      </c>
      <c r="ER322" s="27" t="s">
        <v>7</v>
      </c>
      <c r="ES322" s="27" t="s">
        <v>8</v>
      </c>
      <c r="EV322" s="27" t="s">
        <v>7</v>
      </c>
      <c r="EX322" s="27" t="s">
        <v>7</v>
      </c>
    </row>
    <row r="323" spans="1:166" x14ac:dyDescent="0.25">
      <c r="A323" s="30">
        <v>1.7429630372660238E-2</v>
      </c>
      <c r="B323"/>
      <c r="C323"/>
      <c r="D323"/>
      <c r="E323"/>
      <c r="F323" s="27" t="s">
        <v>7</v>
      </c>
      <c r="CG323" s="27" t="s">
        <v>8</v>
      </c>
      <c r="CH323" s="27" t="s">
        <v>7</v>
      </c>
      <c r="CO323" s="27" t="s">
        <v>8</v>
      </c>
      <c r="CP323" s="27" t="s">
        <v>7</v>
      </c>
      <c r="CQ323" s="27" t="s">
        <v>8</v>
      </c>
      <c r="CR323" s="27" t="s">
        <v>7</v>
      </c>
      <c r="CS323" s="27" t="s">
        <v>8</v>
      </c>
      <c r="CU323" s="27" t="s">
        <v>8</v>
      </c>
      <c r="CV323" s="27" t="s">
        <v>7</v>
      </c>
      <c r="CW323" s="27" t="s">
        <v>8</v>
      </c>
      <c r="EJ323" s="27" t="s">
        <v>7</v>
      </c>
      <c r="EK323" s="27" t="s">
        <v>8</v>
      </c>
      <c r="EL323" s="27" t="s">
        <v>7</v>
      </c>
      <c r="ER323" s="27" t="s">
        <v>7</v>
      </c>
      <c r="EX323" s="27" t="s">
        <v>7</v>
      </c>
      <c r="FC323" s="27" t="s">
        <v>8</v>
      </c>
    </row>
    <row r="324" spans="1:166" x14ac:dyDescent="0.25">
      <c r="A324" s="30">
        <v>1.6599647973962125E-2</v>
      </c>
      <c r="B324"/>
      <c r="C324"/>
      <c r="D324"/>
      <c r="E324"/>
      <c r="F324" s="27" t="s">
        <v>7</v>
      </c>
      <c r="CG324" s="27" t="s">
        <v>8</v>
      </c>
      <c r="CH324" s="27" t="s">
        <v>7</v>
      </c>
      <c r="CO324" s="27" t="s">
        <v>8</v>
      </c>
      <c r="CP324" s="27" t="s">
        <v>7</v>
      </c>
      <c r="CQ324" s="27" t="s">
        <v>8</v>
      </c>
      <c r="CR324" s="27" t="s">
        <v>7</v>
      </c>
      <c r="CS324" s="27" t="s">
        <v>8</v>
      </c>
      <c r="CT324" s="27" t="s">
        <v>7</v>
      </c>
      <c r="CU324" s="27" t="s">
        <v>8</v>
      </c>
      <c r="CV324" s="27" t="s">
        <v>7</v>
      </c>
      <c r="EJ324" s="27" t="s">
        <v>7</v>
      </c>
      <c r="EK324" s="27" t="s">
        <v>8</v>
      </c>
      <c r="EX324" s="27" t="s">
        <v>7</v>
      </c>
      <c r="FC324" s="27" t="s">
        <v>8</v>
      </c>
      <c r="FD324" s="27" t="s">
        <v>7</v>
      </c>
    </row>
    <row r="325" spans="1:166" x14ac:dyDescent="0.25">
      <c r="A325" s="30">
        <v>1.580918854663059E-2</v>
      </c>
      <c r="B325"/>
      <c r="C325"/>
      <c r="D325"/>
      <c r="E325"/>
      <c r="F325" s="27" t="s">
        <v>7</v>
      </c>
      <c r="CG325" s="27" t="s">
        <v>8</v>
      </c>
      <c r="CH325" s="27" t="s">
        <v>7</v>
      </c>
      <c r="CI325" s="27" t="s">
        <v>8</v>
      </c>
      <c r="CO325" s="27" t="s">
        <v>8</v>
      </c>
      <c r="CP325" s="27" t="s">
        <v>7</v>
      </c>
      <c r="CQ325" s="27" t="s">
        <v>8</v>
      </c>
      <c r="CR325" s="27" t="s">
        <v>7</v>
      </c>
      <c r="CS325" s="27" t="s">
        <v>8</v>
      </c>
      <c r="CT325" s="27" t="s">
        <v>7</v>
      </c>
      <c r="CU325" s="27" t="s">
        <v>8</v>
      </c>
      <c r="EJ325" s="27" t="s">
        <v>7</v>
      </c>
      <c r="EK325" s="27" t="s">
        <v>8</v>
      </c>
      <c r="EX325" s="27" t="s">
        <v>7</v>
      </c>
      <c r="EY325" s="27" t="s">
        <v>8</v>
      </c>
      <c r="FC325" s="27" t="s">
        <v>8</v>
      </c>
      <c r="FD325" s="27" t="s">
        <v>7</v>
      </c>
    </row>
    <row r="326" spans="1:166" x14ac:dyDescent="0.25">
      <c r="A326" s="30">
        <v>1.5056370044410079E-2</v>
      </c>
      <c r="B326"/>
      <c r="C326"/>
      <c r="D326"/>
      <c r="E326"/>
      <c r="F326" s="27" t="s">
        <v>7</v>
      </c>
      <c r="CG326" s="27" t="s">
        <v>8</v>
      </c>
      <c r="CH326" s="27" t="s">
        <v>7</v>
      </c>
      <c r="CI326" s="27" t="s">
        <v>8</v>
      </c>
      <c r="CJ326" s="27" t="s">
        <v>7</v>
      </c>
      <c r="CO326" s="27" t="s">
        <v>8</v>
      </c>
      <c r="CP326" s="27" t="s">
        <v>7</v>
      </c>
      <c r="CQ326" s="27" t="s">
        <v>8</v>
      </c>
      <c r="CR326" s="27" t="s">
        <v>7</v>
      </c>
      <c r="CT326" s="27" t="s">
        <v>7</v>
      </c>
      <c r="CU326" s="27" t="s">
        <v>8</v>
      </c>
      <c r="EJ326" s="27" t="s">
        <v>7</v>
      </c>
      <c r="EK326" s="27" t="s">
        <v>8</v>
      </c>
      <c r="EX326" s="27" t="s">
        <v>7</v>
      </c>
      <c r="EY326" s="27" t="s">
        <v>8</v>
      </c>
      <c r="EZ326" s="27" t="s">
        <v>7</v>
      </c>
      <c r="FC326" s="27" t="s">
        <v>8</v>
      </c>
      <c r="FD326" s="27" t="s">
        <v>7</v>
      </c>
    </row>
    <row r="327" spans="1:166" x14ac:dyDescent="0.25">
      <c r="A327" s="30">
        <v>1.4339400042295308E-2</v>
      </c>
      <c r="B327"/>
      <c r="C327"/>
      <c r="D327"/>
      <c r="E327"/>
      <c r="F327" s="27" t="s">
        <v>7</v>
      </c>
      <c r="CG327" s="27" t="s">
        <v>8</v>
      </c>
      <c r="CH327" s="27" t="s">
        <v>7</v>
      </c>
      <c r="CI327" s="27" t="s">
        <v>8</v>
      </c>
      <c r="CJ327" s="27" t="s">
        <v>7</v>
      </c>
      <c r="CM327" s="27" t="s">
        <v>8</v>
      </c>
      <c r="CO327" s="27" t="s">
        <v>8</v>
      </c>
      <c r="CP327" s="27" t="s">
        <v>7</v>
      </c>
      <c r="CT327" s="27" t="s">
        <v>7</v>
      </c>
      <c r="CU327" s="27" t="s">
        <v>8</v>
      </c>
      <c r="EJ327" s="18" t="s">
        <v>7</v>
      </c>
      <c r="EK327" s="27" t="s">
        <v>8</v>
      </c>
      <c r="EX327" s="27" t="s">
        <v>7</v>
      </c>
      <c r="EY327" s="27" t="s">
        <v>8</v>
      </c>
      <c r="EZ327" s="27" t="s">
        <v>7</v>
      </c>
      <c r="FC327" s="27" t="s">
        <v>8</v>
      </c>
      <c r="FD327" s="27" t="s">
        <v>7</v>
      </c>
    </row>
    <row r="328" spans="1:166" x14ac:dyDescent="0.25">
      <c r="A328" s="30">
        <v>1.365657146885267E-2</v>
      </c>
      <c r="B328"/>
      <c r="C328"/>
      <c r="D328"/>
      <c r="E328"/>
      <c r="F328" s="27" t="s">
        <v>7</v>
      </c>
      <c r="CG328" s="27" t="s">
        <v>8</v>
      </c>
      <c r="CH328" s="27" t="s">
        <v>7</v>
      </c>
      <c r="CI328" s="27" t="s">
        <v>8</v>
      </c>
      <c r="CJ328" s="27" t="s">
        <v>7</v>
      </c>
      <c r="CK328" s="27" t="s">
        <v>8</v>
      </c>
      <c r="CM328" s="27" t="s">
        <v>8</v>
      </c>
      <c r="CN328" s="27" t="s">
        <v>7</v>
      </c>
      <c r="CO328" s="27" t="s">
        <v>8</v>
      </c>
      <c r="CT328" s="27" t="s">
        <v>7</v>
      </c>
      <c r="CU328" s="27" t="s">
        <v>8</v>
      </c>
      <c r="EJ328" s="27" t="s">
        <v>7</v>
      </c>
      <c r="EX328" s="27" t="s">
        <v>7</v>
      </c>
      <c r="EZ328" s="27" t="s">
        <v>7</v>
      </c>
      <c r="FC328" s="27" t="s">
        <v>8</v>
      </c>
      <c r="FD328" s="27" t="s">
        <v>7</v>
      </c>
    </row>
    <row r="329" spans="1:166" x14ac:dyDescent="0.25">
      <c r="A329" s="30">
        <v>1.3006258541764442E-2</v>
      </c>
      <c r="B329"/>
      <c r="C329"/>
      <c r="D329"/>
      <c r="E329"/>
      <c r="F329" s="27" t="s">
        <v>7</v>
      </c>
      <c r="CG329" s="27" t="s">
        <v>8</v>
      </c>
      <c r="CH329" s="27" t="s">
        <v>7</v>
      </c>
      <c r="CI329" s="27" t="s">
        <v>8</v>
      </c>
      <c r="CJ329" s="27" t="s">
        <v>7</v>
      </c>
      <c r="CK329" s="27" t="s">
        <v>8</v>
      </c>
      <c r="CL329" s="27" t="s">
        <v>7</v>
      </c>
      <c r="CM329" s="27" t="s">
        <v>8</v>
      </c>
      <c r="CN329" s="27" t="s">
        <v>7</v>
      </c>
      <c r="CO329" s="27" t="s">
        <v>8</v>
      </c>
      <c r="CT329" s="27" t="s">
        <v>7</v>
      </c>
      <c r="EZ329" s="27" t="s">
        <v>7</v>
      </c>
      <c r="FC329" s="27" t="s">
        <v>8</v>
      </c>
      <c r="FD329" s="27" t="s">
        <v>7</v>
      </c>
      <c r="FE329" s="27" t="s">
        <v>8</v>
      </c>
      <c r="FG329" s="27" t="s">
        <v>8</v>
      </c>
    </row>
    <row r="330" spans="1:166" x14ac:dyDescent="0.25">
      <c r="A330" s="30">
        <v>1.2386912896918512E-2</v>
      </c>
      <c r="B330"/>
      <c r="C330"/>
      <c r="D330"/>
      <c r="E330"/>
      <c r="F330" s="27" t="s">
        <v>7</v>
      </c>
      <c r="CG330" s="27" t="s">
        <v>8</v>
      </c>
      <c r="CH330" s="27" t="s">
        <v>7</v>
      </c>
      <c r="CI330" s="27" t="s">
        <v>8</v>
      </c>
      <c r="CJ330" s="27" t="s">
        <v>7</v>
      </c>
      <c r="CK330" s="27" t="s">
        <v>8</v>
      </c>
      <c r="CL330" s="27" t="s">
        <v>7</v>
      </c>
      <c r="CM330" s="27" t="s">
        <v>8</v>
      </c>
      <c r="CN330" s="27" t="s">
        <v>7</v>
      </c>
      <c r="CO330" s="27" t="s">
        <v>8</v>
      </c>
      <c r="EZ330" s="27" t="s">
        <v>7</v>
      </c>
      <c r="FC330" s="27" t="s">
        <v>8</v>
      </c>
      <c r="FD330" s="27" t="s">
        <v>7</v>
      </c>
      <c r="FE330" s="27" t="s">
        <v>8</v>
      </c>
      <c r="FF330" s="27" t="s">
        <v>7</v>
      </c>
      <c r="FG330" s="27" t="s">
        <v>8</v>
      </c>
      <c r="FH330" s="27" t="s">
        <v>7</v>
      </c>
    </row>
    <row r="331" spans="1:166" x14ac:dyDescent="0.25">
      <c r="A331" s="30">
        <v>1.179705990182715E-2</v>
      </c>
      <c r="B331"/>
      <c r="C331"/>
      <c r="D331"/>
      <c r="E331"/>
      <c r="F331" s="27" t="s">
        <v>7</v>
      </c>
      <c r="CG331" s="27" t="s">
        <v>8</v>
      </c>
      <c r="CH331" s="27" t="s">
        <v>7</v>
      </c>
      <c r="CI331" s="27" t="s">
        <v>8</v>
      </c>
      <c r="CJ331" s="27" t="s">
        <v>7</v>
      </c>
      <c r="CK331" s="27" t="s">
        <v>8</v>
      </c>
      <c r="CL331" s="27" t="s">
        <v>7</v>
      </c>
      <c r="CM331" s="27" t="s">
        <v>8</v>
      </c>
      <c r="CN331" s="27" t="s">
        <v>7</v>
      </c>
      <c r="CO331" s="27" t="s">
        <v>8</v>
      </c>
      <c r="EZ331" s="27" t="s">
        <v>7</v>
      </c>
      <c r="FA331" s="27" t="s">
        <v>8</v>
      </c>
      <c r="FC331" s="27" t="s">
        <v>8</v>
      </c>
      <c r="FD331" s="27" t="s">
        <v>7</v>
      </c>
      <c r="FE331" s="27" t="s">
        <v>8</v>
      </c>
      <c r="FF331" s="27" t="s">
        <v>7</v>
      </c>
      <c r="FG331" s="27" t="s">
        <v>8</v>
      </c>
      <c r="FH331" s="27" t="s">
        <v>7</v>
      </c>
      <c r="FI331" s="27" t="s">
        <v>8</v>
      </c>
    </row>
    <row r="332" spans="1:166" x14ac:dyDescent="0.25">
      <c r="A332" s="30">
        <v>1.1235295144597281E-2</v>
      </c>
      <c r="B332"/>
      <c r="C332"/>
      <c r="D332"/>
      <c r="E332"/>
      <c r="F332" s="27" t="s">
        <v>7</v>
      </c>
      <c r="CG332" s="27" t="s">
        <v>8</v>
      </c>
      <c r="CH332" s="27" t="s">
        <v>7</v>
      </c>
      <c r="CI332" s="27" t="s">
        <v>8</v>
      </c>
      <c r="CJ332" s="27" t="s">
        <v>7</v>
      </c>
      <c r="CK332" s="27" t="s">
        <v>8</v>
      </c>
      <c r="CL332" s="27" t="s">
        <v>7</v>
      </c>
      <c r="CM332" s="27" t="s">
        <v>8</v>
      </c>
      <c r="CN332" s="27" t="s">
        <v>7</v>
      </c>
      <c r="EZ332" s="27" t="s">
        <v>7</v>
      </c>
      <c r="FA332" s="27" t="s">
        <v>8</v>
      </c>
      <c r="FB332" s="27" t="s">
        <v>7</v>
      </c>
      <c r="FC332" s="27" t="s">
        <v>8</v>
      </c>
      <c r="FD332" s="27" t="s">
        <v>7</v>
      </c>
      <c r="FE332" s="27" t="s">
        <v>8</v>
      </c>
      <c r="FF332" s="27" t="s">
        <v>7</v>
      </c>
      <c r="FH332" s="27" t="s">
        <v>7</v>
      </c>
      <c r="FI332" s="27" t="s">
        <v>8</v>
      </c>
      <c r="FJ332" s="27" t="s">
        <v>7</v>
      </c>
    </row>
    <row r="333" spans="1:166" x14ac:dyDescent="0.25">
      <c r="A333" s="30">
        <v>1.0700281090092644E-2</v>
      </c>
      <c r="B333"/>
      <c r="C333"/>
      <c r="D333"/>
      <c r="E333"/>
      <c r="F333" s="27" t="s">
        <v>7</v>
      </c>
      <c r="CG333" s="27" t="s">
        <v>8</v>
      </c>
      <c r="CH333" s="27" t="s">
        <v>7</v>
      </c>
      <c r="CI333" s="27" t="s">
        <v>8</v>
      </c>
      <c r="CJ333" s="27" t="s">
        <v>7</v>
      </c>
      <c r="CL333" s="27" t="s">
        <v>7</v>
      </c>
      <c r="CM333" s="27" t="s">
        <v>8</v>
      </c>
      <c r="EZ333" s="27" t="s">
        <v>7</v>
      </c>
      <c r="FA333" s="27" t="s">
        <v>8</v>
      </c>
      <c r="FB333" s="27" t="s">
        <v>7</v>
      </c>
      <c r="FC333" s="27" t="s">
        <v>8</v>
      </c>
      <c r="FD333" s="27" t="s">
        <v>7</v>
      </c>
      <c r="FE333" s="27" t="s">
        <v>8</v>
      </c>
      <c r="FH333" s="27" t="s">
        <v>7</v>
      </c>
      <c r="FI333" s="27" t="s">
        <v>8</v>
      </c>
      <c r="FJ333" s="27" t="s">
        <v>7</v>
      </c>
    </row>
    <row r="334" spans="1:166" x14ac:dyDescent="0.25">
      <c r="A334" s="30">
        <v>1.0190743895326324E-2</v>
      </c>
      <c r="B334"/>
      <c r="C334"/>
      <c r="D334"/>
      <c r="E334"/>
      <c r="F334" s="27" t="s">
        <v>7</v>
      </c>
      <c r="CG334" s="27" t="s">
        <v>8</v>
      </c>
      <c r="CH334" s="27" t="s">
        <v>7</v>
      </c>
      <c r="CI334" s="27" t="s">
        <v>8</v>
      </c>
      <c r="CL334" s="27" t="s">
        <v>7</v>
      </c>
      <c r="CM334" s="27" t="s">
        <v>8</v>
      </c>
      <c r="EZ334" s="27" t="s">
        <v>7</v>
      </c>
      <c r="FB334" s="27" t="s">
        <v>7</v>
      </c>
      <c r="FD334" s="27" t="s">
        <v>7</v>
      </c>
      <c r="FH334" s="27" t="s">
        <v>7</v>
      </c>
      <c r="FI334" s="27" t="s">
        <v>8</v>
      </c>
      <c r="FJ334" s="27" t="s">
        <v>7</v>
      </c>
    </row>
    <row r="335" spans="1:166" x14ac:dyDescent="0.25">
      <c r="A335" s="30">
        <v>9.7054703765012563E-3</v>
      </c>
      <c r="B335"/>
      <c r="C335"/>
      <c r="D335"/>
      <c r="E335"/>
      <c r="F335" s="27" t="s">
        <v>7</v>
      </c>
      <c r="CG335" s="27" t="s">
        <v>8</v>
      </c>
      <c r="CH335" s="27" t="s">
        <v>7</v>
      </c>
      <c r="CI335" s="27" t="s">
        <v>8</v>
      </c>
      <c r="CL335" s="27" t="s">
        <v>7</v>
      </c>
      <c r="CM335" s="27" t="s">
        <v>8</v>
      </c>
      <c r="FH335" s="27" t="s">
        <v>7</v>
      </c>
      <c r="FI335" s="27" t="s">
        <v>8</v>
      </c>
      <c r="FJ335" s="27" t="s">
        <v>7</v>
      </c>
    </row>
    <row r="336" spans="1:166" x14ac:dyDescent="0.25">
      <c r="A336" s="30">
        <v>9.2433051204773835E-3</v>
      </c>
      <c r="B336"/>
      <c r="C336"/>
      <c r="D336"/>
      <c r="E336"/>
      <c r="F336" s="27" t="s">
        <v>7</v>
      </c>
      <c r="CG336" s="27" t="s">
        <v>8</v>
      </c>
      <c r="CH336" s="27" t="s">
        <v>7</v>
      </c>
      <c r="CI336" s="27" t="s">
        <v>8</v>
      </c>
      <c r="CL336" s="27" t="s">
        <v>7</v>
      </c>
      <c r="CM336" s="27" t="s">
        <v>8</v>
      </c>
      <c r="FH336" s="27" t="s">
        <v>7</v>
      </c>
    </row>
    <row r="337" spans="1:91" x14ac:dyDescent="0.25">
      <c r="A337" s="30">
        <v>8.8031477337879808E-3</v>
      </c>
      <c r="B337"/>
      <c r="C337"/>
      <c r="D337"/>
      <c r="E337"/>
      <c r="F337" s="27" t="s">
        <v>7</v>
      </c>
      <c r="CG337" s="27" t="s">
        <v>8</v>
      </c>
      <c r="CH337" s="27" t="s">
        <v>7</v>
      </c>
      <c r="CI337" s="27" t="s">
        <v>8</v>
      </c>
      <c r="CL337" s="27" t="s">
        <v>7</v>
      </c>
      <c r="CM337" s="27" t="s">
        <v>8</v>
      </c>
    </row>
    <row r="338" spans="1:91" x14ac:dyDescent="0.25">
      <c r="A338" s="30">
        <v>8.3839502226552166E-3</v>
      </c>
      <c r="B338"/>
      <c r="C338"/>
      <c r="D338"/>
      <c r="E338"/>
      <c r="F338" s="27" t="s">
        <v>7</v>
      </c>
      <c r="CG338" s="27" t="s">
        <v>8</v>
      </c>
      <c r="CH338" s="27" t="s">
        <v>7</v>
      </c>
      <c r="CI338" s="27" t="s">
        <v>8</v>
      </c>
      <c r="CL338" s="27" t="s">
        <v>7</v>
      </c>
    </row>
    <row r="339" spans="1:91" x14ac:dyDescent="0.25">
      <c r="A339" s="30">
        <v>7.9847144977668698E-3</v>
      </c>
      <c r="B339"/>
      <c r="C339"/>
      <c r="D339"/>
      <c r="E339"/>
      <c r="F339" s="27" t="s">
        <v>7</v>
      </c>
      <c r="CG339" s="27" t="s">
        <v>8</v>
      </c>
      <c r="CH339" s="27" t="s">
        <v>7</v>
      </c>
      <c r="CI339" s="27" t="s">
        <v>8</v>
      </c>
    </row>
    <row r="340" spans="1:91" x14ac:dyDescent="0.25">
      <c r="A340" s="30">
        <v>7.6044899978732058E-3</v>
      </c>
      <c r="B340"/>
      <c r="C340"/>
      <c r="D340"/>
      <c r="E340"/>
      <c r="F340" s="27" t="s">
        <v>7</v>
      </c>
      <c r="CG340" s="27" t="s">
        <v>8</v>
      </c>
      <c r="CH340" s="27" t="s">
        <v>7</v>
      </c>
      <c r="CI340" s="27" t="s">
        <v>8</v>
      </c>
    </row>
    <row r="341" spans="1:91" x14ac:dyDescent="0.25">
      <c r="A341" s="30">
        <v>7.2423714265459072E-3</v>
      </c>
      <c r="B341"/>
      <c r="C341"/>
      <c r="D341"/>
      <c r="E341"/>
      <c r="F341" s="27" t="s">
        <v>7</v>
      </c>
      <c r="CG341" s="27" t="s">
        <v>8</v>
      </c>
      <c r="CH341" s="27" t="s">
        <v>7</v>
      </c>
      <c r="CI341" s="27" t="s">
        <v>8</v>
      </c>
    </row>
    <row r="342" spans="1:91" x14ac:dyDescent="0.25">
      <c r="A342" s="30">
        <v>6.8974965967103846E-3</v>
      </c>
      <c r="B342"/>
      <c r="C342"/>
      <c r="D342"/>
      <c r="E342"/>
      <c r="F342" s="27" t="s">
        <v>7</v>
      </c>
      <c r="CG342" s="27" t="s">
        <v>8</v>
      </c>
      <c r="CH342" s="27" t="s">
        <v>7</v>
      </c>
      <c r="CI342" s="27" t="s">
        <v>8</v>
      </c>
    </row>
    <row r="343" spans="1:91" x14ac:dyDescent="0.25">
      <c r="A343" s="30">
        <v>6.5690443778194116E-3</v>
      </c>
      <c r="B343"/>
      <c r="C343"/>
      <c r="D343"/>
      <c r="E343"/>
      <c r="F343" s="27" t="s">
        <v>7</v>
      </c>
      <c r="CG343" s="27" t="s">
        <v>8</v>
      </c>
      <c r="CH343" s="27" t="s">
        <v>7</v>
      </c>
      <c r="CI343" s="27" t="s">
        <v>8</v>
      </c>
    </row>
    <row r="344" spans="1:91" x14ac:dyDescent="0.25">
      <c r="A344" s="30">
        <v>6.2562327407803897E-3</v>
      </c>
      <c r="B344"/>
      <c r="C344"/>
      <c r="D344"/>
      <c r="E344"/>
      <c r="F344" s="27" t="s">
        <v>7</v>
      </c>
      <c r="CE344" s="27" t="s">
        <v>8</v>
      </c>
      <c r="CG344" s="27" t="s">
        <v>8</v>
      </c>
      <c r="CH344" s="27" t="s">
        <v>7</v>
      </c>
      <c r="CI344" s="27" t="s">
        <v>8</v>
      </c>
    </row>
    <row r="345" spans="1:91" x14ac:dyDescent="0.25">
      <c r="A345" s="30">
        <v>5.9583168959813212E-3</v>
      </c>
      <c r="B345"/>
      <c r="C345"/>
      <c r="D345"/>
      <c r="E345"/>
      <c r="F345" s="27" t="s">
        <v>7</v>
      </c>
      <c r="AC345" s="27" t="s">
        <v>8</v>
      </c>
      <c r="CE345" s="27" t="s">
        <v>8</v>
      </c>
      <c r="CF345" s="27" t="s">
        <v>7</v>
      </c>
      <c r="CG345" s="27" t="s">
        <v>8</v>
      </c>
      <c r="CH345" s="27" t="s">
        <v>7</v>
      </c>
      <c r="CI345" s="27" t="s">
        <v>8</v>
      </c>
    </row>
    <row r="346" spans="1:91" x14ac:dyDescent="0.25">
      <c r="A346" s="30">
        <v>5.6745875199822084E-3</v>
      </c>
      <c r="B346"/>
      <c r="C346"/>
      <c r="D346"/>
      <c r="E346"/>
      <c r="F346" s="27" t="s">
        <v>7</v>
      </c>
      <c r="AC346" s="27" t="s">
        <v>8</v>
      </c>
      <c r="AD346" s="27" t="s">
        <v>7</v>
      </c>
      <c r="BI346" s="27" t="s">
        <v>8</v>
      </c>
      <c r="CE346" s="27" t="s">
        <v>8</v>
      </c>
      <c r="CF346" s="27" t="s">
        <v>7</v>
      </c>
      <c r="CG346" s="27" t="s">
        <v>8</v>
      </c>
      <c r="CH346" s="27" t="s">
        <v>7</v>
      </c>
      <c r="CI346" s="27" t="s">
        <v>8</v>
      </c>
    </row>
    <row r="347" spans="1:91" x14ac:dyDescent="0.25">
      <c r="A347" s="30">
        <v>5.4043690666497205E-3</v>
      </c>
      <c r="B347"/>
      <c r="C347"/>
      <c r="D347"/>
      <c r="E347"/>
      <c r="F347" s="27" t="s">
        <v>7</v>
      </c>
      <c r="AC347" s="27" t="s">
        <v>8</v>
      </c>
      <c r="AD347" s="27" t="s">
        <v>7</v>
      </c>
      <c r="BC347" s="27" t="s">
        <v>8</v>
      </c>
      <c r="BE347" s="27" t="s">
        <v>8</v>
      </c>
      <c r="BG347" s="27" t="s">
        <v>8</v>
      </c>
      <c r="BI347" s="27" t="s">
        <v>8</v>
      </c>
      <c r="BJ347" s="27" t="s">
        <v>7</v>
      </c>
      <c r="CE347" s="27" t="s">
        <v>8</v>
      </c>
      <c r="CF347" s="27" t="s">
        <v>7</v>
      </c>
      <c r="CG347" s="27" t="s">
        <v>8</v>
      </c>
      <c r="CH347" s="27" t="s">
        <v>7</v>
      </c>
      <c r="CI347" s="27" t="s">
        <v>8</v>
      </c>
    </row>
    <row r="348" spans="1:91" x14ac:dyDescent="0.25">
      <c r="A348" s="30">
        <v>5.1470181587140174E-3</v>
      </c>
      <c r="B348"/>
      <c r="C348"/>
      <c r="D348"/>
      <c r="E348"/>
      <c r="F348" s="27" t="s">
        <v>7</v>
      </c>
      <c r="AC348" s="27" t="s">
        <v>8</v>
      </c>
      <c r="AD348" s="27" t="s">
        <v>7</v>
      </c>
      <c r="BC348" s="27" t="s">
        <v>8</v>
      </c>
      <c r="BD348" s="27" t="s">
        <v>7</v>
      </c>
      <c r="BE348" s="27" t="s">
        <v>8</v>
      </c>
      <c r="BF348" s="27" t="s">
        <v>7</v>
      </c>
      <c r="BG348" s="27" t="s">
        <v>8</v>
      </c>
      <c r="BH348" s="27" t="s">
        <v>7</v>
      </c>
      <c r="BI348" s="27" t="s">
        <v>8</v>
      </c>
      <c r="BJ348" s="27" t="s">
        <v>7</v>
      </c>
      <c r="CE348" s="27" t="s">
        <v>8</v>
      </c>
      <c r="CF348" s="27" t="s">
        <v>7</v>
      </c>
      <c r="CG348" s="27" t="s">
        <v>8</v>
      </c>
      <c r="CH348" s="27" t="s">
        <v>7</v>
      </c>
    </row>
    <row r="349" spans="1:91" x14ac:dyDescent="0.25">
      <c r="A349" s="30">
        <v>4.9019220559181099E-3</v>
      </c>
      <c r="B349"/>
      <c r="C349"/>
      <c r="D349"/>
      <c r="E349"/>
      <c r="F349" s="27" t="s">
        <v>7</v>
      </c>
      <c r="K349" s="27" t="s">
        <v>8</v>
      </c>
      <c r="AC349" s="27" t="s">
        <v>8</v>
      </c>
      <c r="AD349" s="27" t="s">
        <v>7</v>
      </c>
      <c r="BC349" s="27" t="s">
        <v>8</v>
      </c>
      <c r="BD349" s="27" t="s">
        <v>7</v>
      </c>
      <c r="BE349" s="27" t="s">
        <v>8</v>
      </c>
      <c r="BF349" s="27" t="s">
        <v>7</v>
      </c>
      <c r="BG349" s="27" t="s">
        <v>8</v>
      </c>
      <c r="BH349" s="27" t="s">
        <v>7</v>
      </c>
      <c r="BI349" s="27" t="s">
        <v>8</v>
      </c>
      <c r="BJ349" s="27" t="s">
        <v>7</v>
      </c>
      <c r="BU349" s="27" t="s">
        <v>8</v>
      </c>
      <c r="CC349" s="27" t="s">
        <v>8</v>
      </c>
      <c r="CE349" s="27" t="s">
        <v>8</v>
      </c>
      <c r="CF349" s="27" t="s">
        <v>7</v>
      </c>
      <c r="CG349" s="27" t="s">
        <v>8</v>
      </c>
    </row>
    <row r="350" spans="1:91" x14ac:dyDescent="0.25">
      <c r="A350" s="30">
        <v>4.6684971961124836E-3</v>
      </c>
      <c r="B350"/>
      <c r="C350"/>
      <c r="D350"/>
      <c r="E350"/>
      <c r="F350" s="27" t="s">
        <v>7</v>
      </c>
      <c r="K350" s="27" t="s">
        <v>8</v>
      </c>
      <c r="L350" s="27" t="s">
        <v>7</v>
      </c>
      <c r="AC350" s="27" t="s">
        <v>8</v>
      </c>
      <c r="AD350" s="27" t="s">
        <v>7</v>
      </c>
      <c r="BC350" s="27" t="s">
        <v>8</v>
      </c>
      <c r="BD350" s="27" t="s">
        <v>7</v>
      </c>
      <c r="BE350" s="27" t="s">
        <v>8</v>
      </c>
      <c r="BF350" s="27" t="s">
        <v>7</v>
      </c>
      <c r="BG350" s="27" t="s">
        <v>8</v>
      </c>
      <c r="BH350" s="27" t="s">
        <v>7</v>
      </c>
      <c r="BJ350" s="27" t="s">
        <v>7</v>
      </c>
      <c r="BU350" s="27" t="s">
        <v>8</v>
      </c>
      <c r="BV350" s="27" t="s">
        <v>7</v>
      </c>
      <c r="CC350" s="27" t="s">
        <v>8</v>
      </c>
      <c r="CD350" s="27" t="s">
        <v>7</v>
      </c>
      <c r="CE350" s="27" t="s">
        <v>8</v>
      </c>
      <c r="CF350" s="27" t="s">
        <v>7</v>
      </c>
      <c r="CG350" s="27" t="s">
        <v>8</v>
      </c>
    </row>
    <row r="351" spans="1:91" x14ac:dyDescent="0.25">
      <c r="A351" s="30">
        <v>4.4461878058214112E-3</v>
      </c>
      <c r="B351"/>
      <c r="C351"/>
      <c r="D351"/>
      <c r="E351"/>
      <c r="F351" s="27" t="s">
        <v>7</v>
      </c>
      <c r="K351" s="27" t="s">
        <v>8</v>
      </c>
      <c r="L351" s="27" t="s">
        <v>7</v>
      </c>
      <c r="AC351" s="27" t="s">
        <v>8</v>
      </c>
      <c r="AD351" s="27" t="s">
        <v>7</v>
      </c>
      <c r="AW351" s="27" t="s">
        <v>8</v>
      </c>
      <c r="BC351" s="27" t="s">
        <v>8</v>
      </c>
      <c r="BD351" s="27" t="s">
        <v>7</v>
      </c>
      <c r="BF351" s="27" t="s">
        <v>7</v>
      </c>
      <c r="BG351" s="27" t="s">
        <v>8</v>
      </c>
      <c r="BJ351" s="27" t="s">
        <v>7</v>
      </c>
      <c r="BU351" s="27" t="s">
        <v>8</v>
      </c>
      <c r="BV351" s="27" t="s">
        <v>7</v>
      </c>
      <c r="BW351" s="27" t="s">
        <v>8</v>
      </c>
      <c r="BY351" s="27" t="s">
        <v>8</v>
      </c>
      <c r="CA351" s="27" t="s">
        <v>8</v>
      </c>
      <c r="CC351" s="27" t="s">
        <v>8</v>
      </c>
      <c r="CD351" s="27" t="s">
        <v>7</v>
      </c>
      <c r="CE351" s="27" t="s">
        <v>8</v>
      </c>
      <c r="CF351" s="27" t="s">
        <v>7</v>
      </c>
      <c r="CG351" s="27" t="s">
        <v>8</v>
      </c>
    </row>
    <row r="352" spans="1:91" x14ac:dyDescent="0.25">
      <c r="A352" s="30">
        <v>4.2344645769727711E-3</v>
      </c>
      <c r="B352"/>
      <c r="C352"/>
      <c r="D352"/>
      <c r="E352"/>
      <c r="F352" s="27" t="s">
        <v>7</v>
      </c>
      <c r="K352" s="27" t="s">
        <v>8</v>
      </c>
      <c r="L352" s="27" t="s">
        <v>7</v>
      </c>
      <c r="O352" s="27" t="s">
        <v>8</v>
      </c>
      <c r="U352" s="27" t="s">
        <v>8</v>
      </c>
      <c r="W352" s="27" t="s">
        <v>8</v>
      </c>
      <c r="AC352" s="27" t="s">
        <v>8</v>
      </c>
      <c r="AD352" s="27" t="s">
        <v>7</v>
      </c>
      <c r="AW352" s="27" t="s">
        <v>8</v>
      </c>
      <c r="AX352" s="27" t="s">
        <v>7</v>
      </c>
      <c r="AY352" s="27" t="s">
        <v>8</v>
      </c>
      <c r="BC352" s="27" t="s">
        <v>8</v>
      </c>
      <c r="BF352" s="27" t="s">
        <v>7</v>
      </c>
      <c r="BG352" s="27" t="s">
        <v>8</v>
      </c>
      <c r="BJ352" s="27" t="s">
        <v>7</v>
      </c>
      <c r="BS352" s="27" t="s">
        <v>8</v>
      </c>
      <c r="BU352" s="27" t="s">
        <v>8</v>
      </c>
      <c r="BV352" s="27" t="s">
        <v>7</v>
      </c>
      <c r="BW352" s="27" t="s">
        <v>8</v>
      </c>
      <c r="BX352" s="27" t="s">
        <v>7</v>
      </c>
      <c r="BY352" s="27" t="s">
        <v>8</v>
      </c>
      <c r="BZ352" s="27" t="s">
        <v>7</v>
      </c>
      <c r="CA352" s="27" t="s">
        <v>8</v>
      </c>
      <c r="CB352" s="27" t="s">
        <v>7</v>
      </c>
      <c r="CC352" s="27" t="s">
        <v>8</v>
      </c>
      <c r="CD352" s="27" t="s">
        <v>7</v>
      </c>
      <c r="CE352" s="27" t="s">
        <v>8</v>
      </c>
      <c r="CF352" s="27" t="s">
        <v>7</v>
      </c>
      <c r="CG352" s="27" t="s">
        <v>8</v>
      </c>
    </row>
    <row r="353" spans="1:84" x14ac:dyDescent="0.25">
      <c r="A353" s="30">
        <v>4.0328234066407329E-3</v>
      </c>
      <c r="B353"/>
      <c r="C353"/>
      <c r="D353"/>
      <c r="E353"/>
      <c r="F353" s="27" t="s">
        <v>7</v>
      </c>
      <c r="K353" s="27" t="s">
        <v>8</v>
      </c>
      <c r="L353" s="27" t="s">
        <v>7</v>
      </c>
      <c r="M353" s="27" t="s">
        <v>8</v>
      </c>
      <c r="O353" s="27" t="s">
        <v>8</v>
      </c>
      <c r="P353" s="27" t="s">
        <v>7</v>
      </c>
      <c r="S353" s="27" t="s">
        <v>8</v>
      </c>
      <c r="U353" s="27" t="s">
        <v>8</v>
      </c>
      <c r="V353" s="27" t="s">
        <v>7</v>
      </c>
      <c r="W353" s="27" t="s">
        <v>8</v>
      </c>
      <c r="X353" s="27" t="s">
        <v>7</v>
      </c>
      <c r="AC353" s="27" t="s">
        <v>8</v>
      </c>
      <c r="AD353" s="27" t="s">
        <v>7</v>
      </c>
      <c r="AU353" s="27" t="s">
        <v>8</v>
      </c>
      <c r="AW353" s="27" t="s">
        <v>8</v>
      </c>
      <c r="AX353" s="27" t="s">
        <v>7</v>
      </c>
      <c r="AY353" s="27" t="s">
        <v>8</v>
      </c>
      <c r="AZ353" s="27" t="s">
        <v>7</v>
      </c>
      <c r="BA353" s="27" t="s">
        <v>8</v>
      </c>
      <c r="BC353" s="27" t="s">
        <v>8</v>
      </c>
      <c r="BF353" s="27" t="s">
        <v>7</v>
      </c>
      <c r="BG353" s="27" t="s">
        <v>8</v>
      </c>
      <c r="BJ353" s="27" t="s">
        <v>7</v>
      </c>
      <c r="BK353" s="27" t="s">
        <v>8</v>
      </c>
      <c r="BQ353" s="27" t="s">
        <v>8</v>
      </c>
      <c r="BS353" s="27" t="s">
        <v>8</v>
      </c>
      <c r="BT353" s="27" t="s">
        <v>7</v>
      </c>
      <c r="BU353" s="27" t="s">
        <v>8</v>
      </c>
      <c r="BV353" s="27" t="s">
        <v>7</v>
      </c>
      <c r="BW353" s="27" t="s">
        <v>8</v>
      </c>
      <c r="BX353" s="27" t="s">
        <v>7</v>
      </c>
      <c r="BY353" s="27" t="s">
        <v>8</v>
      </c>
      <c r="BZ353" s="27" t="s">
        <v>7</v>
      </c>
      <c r="CA353" s="27" t="s">
        <v>8</v>
      </c>
      <c r="CB353" s="27" t="s">
        <v>7</v>
      </c>
      <c r="CC353" s="27" t="s">
        <v>8</v>
      </c>
      <c r="CD353" s="27" t="s">
        <v>7</v>
      </c>
      <c r="CE353" s="27" t="s">
        <v>8</v>
      </c>
      <c r="CF353" s="27" t="s">
        <v>7</v>
      </c>
    </row>
    <row r="354" spans="1:84" x14ac:dyDescent="0.25">
      <c r="A354" s="30">
        <v>3.8407841968006963E-3</v>
      </c>
      <c r="B354"/>
      <c r="C354"/>
      <c r="D354"/>
      <c r="E354"/>
      <c r="F354" s="27" t="s">
        <v>7</v>
      </c>
      <c r="K354" s="27" t="s">
        <v>8</v>
      </c>
      <c r="L354" s="27" t="s">
        <v>7</v>
      </c>
      <c r="M354" s="27" t="s">
        <v>8</v>
      </c>
      <c r="N354" s="27" t="s">
        <v>7</v>
      </c>
      <c r="O354" s="27" t="s">
        <v>8</v>
      </c>
      <c r="P354" s="27" t="s">
        <v>7</v>
      </c>
      <c r="S354" s="27" t="s">
        <v>8</v>
      </c>
      <c r="T354" s="27" t="s">
        <v>7</v>
      </c>
      <c r="U354" s="27" t="s">
        <v>8</v>
      </c>
      <c r="V354" s="27" t="s">
        <v>7</v>
      </c>
      <c r="W354" s="27" t="s">
        <v>8</v>
      </c>
      <c r="X354" s="27" t="s">
        <v>7</v>
      </c>
      <c r="AC354" s="27" t="s">
        <v>8</v>
      </c>
      <c r="AD354" s="27" t="s">
        <v>7</v>
      </c>
      <c r="AQ354" s="27" t="s">
        <v>8</v>
      </c>
      <c r="AU354" s="27" t="s">
        <v>8</v>
      </c>
      <c r="AV354" s="27" t="s">
        <v>7</v>
      </c>
      <c r="AW354" s="27" t="s">
        <v>8</v>
      </c>
      <c r="AX354" s="27" t="s">
        <v>7</v>
      </c>
      <c r="AY354" s="27" t="s">
        <v>8</v>
      </c>
      <c r="AZ354" s="27" t="s">
        <v>7</v>
      </c>
      <c r="BA354" s="27" t="s">
        <v>8</v>
      </c>
      <c r="BB354" s="27" t="s">
        <v>7</v>
      </c>
      <c r="BC354" s="27" t="s">
        <v>8</v>
      </c>
      <c r="BF354" s="27" t="s">
        <v>7</v>
      </c>
      <c r="BG354" s="27" t="s">
        <v>8</v>
      </c>
      <c r="BJ354" s="27" t="s">
        <v>7</v>
      </c>
      <c r="BK354" s="27" t="s">
        <v>8</v>
      </c>
      <c r="BL354" s="27" t="s">
        <v>7</v>
      </c>
      <c r="BQ354" s="27" t="s">
        <v>8</v>
      </c>
      <c r="BR354" s="27" t="s">
        <v>7</v>
      </c>
      <c r="BS354" s="27" t="s">
        <v>8</v>
      </c>
      <c r="BT354" s="27" t="s">
        <v>7</v>
      </c>
      <c r="BU354" s="27" t="s">
        <v>8</v>
      </c>
      <c r="BV354" s="27" t="s">
        <v>7</v>
      </c>
      <c r="BW354" s="27" t="s">
        <v>8</v>
      </c>
      <c r="BX354" s="27" t="s">
        <v>7</v>
      </c>
      <c r="BZ354" s="27" t="s">
        <v>7</v>
      </c>
      <c r="CA354" s="27" t="s">
        <v>8</v>
      </c>
      <c r="CB354" s="27" t="s">
        <v>7</v>
      </c>
      <c r="CD354" s="27" t="s">
        <v>7</v>
      </c>
      <c r="CE354" s="27" t="s">
        <v>8</v>
      </c>
    </row>
    <row r="355" spans="1:84" x14ac:dyDescent="0.25">
      <c r="A355" s="30">
        <v>3.6578897112387568E-3</v>
      </c>
      <c r="B355"/>
      <c r="C355"/>
      <c r="D355"/>
      <c r="E355"/>
      <c r="F355" s="27" t="s">
        <v>7</v>
      </c>
      <c r="I355" s="27" t="s">
        <v>8</v>
      </c>
      <c r="K355" s="27" t="s">
        <v>8</v>
      </c>
      <c r="L355" s="27" t="s">
        <v>7</v>
      </c>
      <c r="M355" s="27" t="s">
        <v>8</v>
      </c>
      <c r="N355" s="27" t="s">
        <v>7</v>
      </c>
      <c r="O355" s="27" t="s">
        <v>8</v>
      </c>
      <c r="P355" s="27" t="s">
        <v>7</v>
      </c>
      <c r="Q355" s="27" t="s">
        <v>8</v>
      </c>
      <c r="S355" s="27" t="s">
        <v>8</v>
      </c>
      <c r="T355" s="27" t="s">
        <v>7</v>
      </c>
      <c r="U355" s="27" t="s">
        <v>8</v>
      </c>
      <c r="V355" s="27" t="s">
        <v>7</v>
      </c>
      <c r="W355" s="27" t="s">
        <v>8</v>
      </c>
      <c r="X355" s="27" t="s">
        <v>7</v>
      </c>
      <c r="AC355" s="27" t="s">
        <v>8</v>
      </c>
      <c r="AD355" s="27" t="s">
        <v>7</v>
      </c>
      <c r="AE355" s="27" t="s">
        <v>8</v>
      </c>
      <c r="AQ355" s="27" t="s">
        <v>8</v>
      </c>
      <c r="AR355" s="27" t="s">
        <v>7</v>
      </c>
      <c r="AS355" s="27" t="s">
        <v>8</v>
      </c>
      <c r="AU355" s="27" t="s">
        <v>8</v>
      </c>
      <c r="AV355" s="27" t="s">
        <v>7</v>
      </c>
      <c r="AW355" s="27" t="s">
        <v>8</v>
      </c>
      <c r="AX355" s="27" t="s">
        <v>7</v>
      </c>
      <c r="AY355" s="27" t="s">
        <v>8</v>
      </c>
      <c r="AZ355" s="27" t="s">
        <v>7</v>
      </c>
      <c r="BA355" s="27" t="s">
        <v>8</v>
      </c>
      <c r="BB355" s="27" t="s">
        <v>7</v>
      </c>
      <c r="BC355" s="27" t="s">
        <v>8</v>
      </c>
      <c r="BF355" s="27" t="s">
        <v>7</v>
      </c>
      <c r="BG355" s="27" t="s">
        <v>8</v>
      </c>
      <c r="BJ355" s="27" t="s">
        <v>7</v>
      </c>
      <c r="BK355" s="27" t="s">
        <v>8</v>
      </c>
      <c r="BL355" s="27" t="s">
        <v>7</v>
      </c>
      <c r="BQ355" s="27" t="s">
        <v>8</v>
      </c>
      <c r="BR355" s="27" t="s">
        <v>7</v>
      </c>
      <c r="BS355" s="27" t="s">
        <v>8</v>
      </c>
      <c r="BT355" s="27" t="s">
        <v>7</v>
      </c>
      <c r="BV355" s="27" t="s">
        <v>7</v>
      </c>
      <c r="BZ355" s="27" t="s">
        <v>7</v>
      </c>
      <c r="CA355" s="27" t="s">
        <v>8</v>
      </c>
      <c r="CD355" s="27" t="s">
        <v>7</v>
      </c>
      <c r="CE355" s="27" t="s">
        <v>8</v>
      </c>
    </row>
    <row r="356" spans="1:84" x14ac:dyDescent="0.25">
      <c r="A356" s="30">
        <v>3.4837044868940526E-3</v>
      </c>
      <c r="B356"/>
      <c r="C356"/>
      <c r="D356"/>
      <c r="E356"/>
      <c r="F356" s="27" t="s">
        <v>7</v>
      </c>
      <c r="I356" s="27" t="s">
        <v>8</v>
      </c>
      <c r="J356" s="27" t="s">
        <v>7</v>
      </c>
      <c r="K356" s="27" t="s">
        <v>8</v>
      </c>
      <c r="L356" s="27" t="s">
        <v>7</v>
      </c>
      <c r="M356" s="27" t="s">
        <v>8</v>
      </c>
      <c r="N356" s="27" t="s">
        <v>7</v>
      </c>
      <c r="O356" s="27" t="s">
        <v>8</v>
      </c>
      <c r="P356" s="27" t="s">
        <v>7</v>
      </c>
      <c r="Q356" s="27" t="s">
        <v>8</v>
      </c>
      <c r="R356" s="27" t="s">
        <v>7</v>
      </c>
      <c r="S356" s="27" t="s">
        <v>8</v>
      </c>
      <c r="T356" s="27" t="s">
        <v>7</v>
      </c>
      <c r="V356" s="27" t="s">
        <v>7</v>
      </c>
      <c r="W356" s="27" t="s">
        <v>8</v>
      </c>
      <c r="X356" s="27" t="s">
        <v>7</v>
      </c>
      <c r="Y356" s="27" t="s">
        <v>8</v>
      </c>
      <c r="AC356" s="27" t="s">
        <v>8</v>
      </c>
      <c r="AD356" s="27" t="s">
        <v>7</v>
      </c>
      <c r="AE356" s="27" t="s">
        <v>8</v>
      </c>
      <c r="AF356" s="27" t="s">
        <v>7</v>
      </c>
      <c r="AQ356" s="27" t="s">
        <v>8</v>
      </c>
      <c r="AR356" s="27" t="s">
        <v>7</v>
      </c>
      <c r="AS356" s="27" t="s">
        <v>8</v>
      </c>
      <c r="AT356" s="27" t="s">
        <v>7</v>
      </c>
      <c r="AU356" s="27" t="s">
        <v>8</v>
      </c>
      <c r="AV356" s="27" t="s">
        <v>7</v>
      </c>
      <c r="AW356" s="27" t="s">
        <v>8</v>
      </c>
      <c r="AX356" s="27" t="s">
        <v>7</v>
      </c>
      <c r="AZ356" s="27" t="s">
        <v>7</v>
      </c>
      <c r="BB356" s="27" t="s">
        <v>7</v>
      </c>
      <c r="BF356" s="27" t="s">
        <v>7</v>
      </c>
      <c r="BG356" s="27" t="s">
        <v>8</v>
      </c>
      <c r="BJ356" s="27" t="s">
        <v>7</v>
      </c>
      <c r="BK356" s="27" t="s">
        <v>8</v>
      </c>
      <c r="BL356" s="27" t="s">
        <v>7</v>
      </c>
      <c r="BM356" s="27" t="s">
        <v>8</v>
      </c>
      <c r="BQ356" s="27" t="s">
        <v>8</v>
      </c>
      <c r="BR356" s="27" t="s">
        <v>7</v>
      </c>
      <c r="BS356" s="27" t="s">
        <v>8</v>
      </c>
      <c r="BZ356" s="27" t="s">
        <v>7</v>
      </c>
      <c r="CD356" s="27" t="s">
        <v>7</v>
      </c>
      <c r="CE356" s="27" t="s">
        <v>8</v>
      </c>
    </row>
    <row r="357" spans="1:84" x14ac:dyDescent="0.25">
      <c r="A357" s="30">
        <v>3.3178137970419535E-3</v>
      </c>
      <c r="B357"/>
      <c r="C357"/>
      <c r="D357"/>
      <c r="E357"/>
      <c r="F357" s="27" t="s">
        <v>7</v>
      </c>
      <c r="G357" s="27" t="s">
        <v>8</v>
      </c>
      <c r="I357" s="27" t="s">
        <v>8</v>
      </c>
      <c r="J357" s="27" t="s">
        <v>7</v>
      </c>
      <c r="K357" s="27" t="s">
        <v>8</v>
      </c>
      <c r="L357" s="27" t="s">
        <v>7</v>
      </c>
      <c r="M357" s="27" t="s">
        <v>8</v>
      </c>
      <c r="N357" s="27" t="s">
        <v>7</v>
      </c>
      <c r="P357" s="27" t="s">
        <v>7</v>
      </c>
      <c r="Q357" s="27" t="s">
        <v>8</v>
      </c>
      <c r="R357" s="27" t="s">
        <v>7</v>
      </c>
      <c r="S357" s="27" t="s">
        <v>8</v>
      </c>
      <c r="V357" s="27" t="s">
        <v>7</v>
      </c>
      <c r="W357" s="27" t="s">
        <v>8</v>
      </c>
      <c r="X357" s="27" t="s">
        <v>7</v>
      </c>
      <c r="Y357" s="27" t="s">
        <v>8</v>
      </c>
      <c r="Z357" s="27" t="s">
        <v>7</v>
      </c>
      <c r="AC357" s="27" t="s">
        <v>8</v>
      </c>
      <c r="AD357" s="27" t="s">
        <v>7</v>
      </c>
      <c r="AE357" s="27" t="s">
        <v>8</v>
      </c>
      <c r="AF357" s="27" t="s">
        <v>7</v>
      </c>
      <c r="AQ357" s="27" t="s">
        <v>8</v>
      </c>
      <c r="AR357" s="27" t="s">
        <v>7</v>
      </c>
      <c r="AS357" s="27" t="s">
        <v>8</v>
      </c>
      <c r="AT357" s="27" t="s">
        <v>7</v>
      </c>
      <c r="AU357" s="27" t="s">
        <v>8</v>
      </c>
      <c r="AV357" s="27" t="s">
        <v>7</v>
      </c>
      <c r="BF357" s="27" t="s">
        <v>7</v>
      </c>
      <c r="BG357" s="27" t="s">
        <v>8</v>
      </c>
      <c r="BJ357" s="27" t="s">
        <v>7</v>
      </c>
      <c r="BL357" s="27" t="s">
        <v>7</v>
      </c>
      <c r="BM357" s="27" t="s">
        <v>8</v>
      </c>
      <c r="BN357" s="27" t="s">
        <v>7</v>
      </c>
      <c r="BO357" s="27" t="s">
        <v>8</v>
      </c>
      <c r="BQ357" s="27" t="s">
        <v>8</v>
      </c>
      <c r="BR357" s="27" t="s">
        <v>7</v>
      </c>
      <c r="BS357" s="27" t="s">
        <v>8</v>
      </c>
      <c r="CD357" s="27" t="s">
        <v>7</v>
      </c>
    </row>
    <row r="358" spans="1:84" x14ac:dyDescent="0.25">
      <c r="A358" s="30">
        <v>3.1598226638494781E-3</v>
      </c>
      <c r="B358"/>
      <c r="C358"/>
      <c r="D358"/>
      <c r="E358"/>
      <c r="F358" s="27" t="s">
        <v>7</v>
      </c>
      <c r="G358" s="27" t="s">
        <v>8</v>
      </c>
      <c r="H358" s="27" t="s">
        <v>7</v>
      </c>
      <c r="I358" s="27" t="s">
        <v>8</v>
      </c>
      <c r="J358" s="27" t="s">
        <v>7</v>
      </c>
      <c r="L358" s="27" t="s">
        <v>7</v>
      </c>
      <c r="M358" s="27" t="s">
        <v>8</v>
      </c>
      <c r="P358" s="27" t="s">
        <v>7</v>
      </c>
      <c r="Q358" s="27" t="s">
        <v>8</v>
      </c>
      <c r="R358" s="27" t="s">
        <v>7</v>
      </c>
      <c r="V358" s="27" t="s">
        <v>7</v>
      </c>
      <c r="W358" s="27" t="s">
        <v>8</v>
      </c>
      <c r="X358" s="27" t="s">
        <v>7</v>
      </c>
      <c r="Y358" s="27" t="s">
        <v>8</v>
      </c>
      <c r="Z358" s="27" t="s">
        <v>7</v>
      </c>
      <c r="AA358" s="27" t="s">
        <v>8</v>
      </c>
      <c r="AC358" s="27" t="s">
        <v>8</v>
      </c>
      <c r="AD358" s="27" t="s">
        <v>7</v>
      </c>
      <c r="AE358" s="27" t="s">
        <v>8</v>
      </c>
      <c r="AF358" s="27" t="s">
        <v>7</v>
      </c>
      <c r="AQ358" s="27" t="s">
        <v>8</v>
      </c>
      <c r="AR358" s="27" t="s">
        <v>7</v>
      </c>
      <c r="AS358" s="27" t="s">
        <v>8</v>
      </c>
      <c r="AT358" s="27" t="s">
        <v>7</v>
      </c>
      <c r="BF358" s="27" t="s">
        <v>7</v>
      </c>
      <c r="BG358" s="27" t="s">
        <v>8</v>
      </c>
      <c r="BL358" s="27" t="s">
        <v>7</v>
      </c>
      <c r="BM358" s="27" t="s">
        <v>8</v>
      </c>
      <c r="BN358" s="27" t="s">
        <v>7</v>
      </c>
      <c r="BO358" s="27" t="s">
        <v>8</v>
      </c>
      <c r="BP358" s="27" t="s">
        <v>7</v>
      </c>
      <c r="BQ358" s="27" t="s">
        <v>8</v>
      </c>
      <c r="BR358" s="27" t="s">
        <v>7</v>
      </c>
    </row>
    <row r="359" spans="1:84" x14ac:dyDescent="0.25">
      <c r="A359" s="30">
        <v>3.0093549179518826E-3</v>
      </c>
      <c r="B359"/>
      <c r="C359"/>
      <c r="D359"/>
      <c r="E359"/>
      <c r="F359" s="27" t="s">
        <v>7</v>
      </c>
      <c r="G359" s="27" t="s">
        <v>8</v>
      </c>
      <c r="H359" s="27" t="s">
        <v>7</v>
      </c>
      <c r="I359" s="27" t="s">
        <v>8</v>
      </c>
      <c r="L359" s="27" t="s">
        <v>7</v>
      </c>
      <c r="M359" s="27" t="s">
        <v>8</v>
      </c>
      <c r="P359" s="27" t="s">
        <v>7</v>
      </c>
      <c r="V359" s="27" t="s">
        <v>7</v>
      </c>
      <c r="W359" s="27" t="s">
        <v>8</v>
      </c>
      <c r="X359" s="27" t="s">
        <v>7</v>
      </c>
      <c r="Z359" s="27" t="s">
        <v>7</v>
      </c>
      <c r="AA359" s="27" t="s">
        <v>8</v>
      </c>
      <c r="AB359" s="27" t="s">
        <v>7</v>
      </c>
      <c r="AC359" s="27" t="s">
        <v>8</v>
      </c>
      <c r="AD359" s="27" t="s">
        <v>7</v>
      </c>
      <c r="AE359" s="27" t="s">
        <v>8</v>
      </c>
      <c r="AF359" s="27" t="s">
        <v>7</v>
      </c>
      <c r="AQ359" s="27" t="s">
        <v>8</v>
      </c>
      <c r="AR359" s="27" t="s">
        <v>7</v>
      </c>
      <c r="BF359" s="27" t="s">
        <v>7</v>
      </c>
      <c r="BL359" s="27" t="s">
        <v>7</v>
      </c>
      <c r="BN359" s="27" t="s">
        <v>7</v>
      </c>
      <c r="BO359" s="27" t="s">
        <v>8</v>
      </c>
      <c r="BP359" s="27" t="s">
        <v>7</v>
      </c>
      <c r="BQ359" s="27" t="s">
        <v>8</v>
      </c>
    </row>
    <row r="360" spans="1:84" x14ac:dyDescent="0.25">
      <c r="A360" s="30">
        <v>2.8660523028113155E-3</v>
      </c>
      <c r="B360"/>
      <c r="C360"/>
      <c r="D360"/>
      <c r="E360"/>
      <c r="F360" s="27" t="s">
        <v>7</v>
      </c>
      <c r="G360" s="27" t="s">
        <v>8</v>
      </c>
      <c r="H360" s="27" t="s">
        <v>7</v>
      </c>
      <c r="I360" s="27" t="s">
        <v>8</v>
      </c>
      <c r="L360" s="27" t="s">
        <v>7</v>
      </c>
      <c r="M360" s="27" t="s">
        <v>8</v>
      </c>
      <c r="V360" s="27" t="s">
        <v>7</v>
      </c>
      <c r="W360" s="27" t="s">
        <v>8</v>
      </c>
      <c r="Z360" s="27" t="s">
        <v>7</v>
      </c>
      <c r="AA360" s="27" t="s">
        <v>8</v>
      </c>
      <c r="AB360" s="27" t="s">
        <v>7</v>
      </c>
      <c r="AC360" s="27" t="s">
        <v>8</v>
      </c>
      <c r="AD360" s="27" t="s">
        <v>7</v>
      </c>
      <c r="AF360" s="27" t="s">
        <v>7</v>
      </c>
      <c r="AO360" s="27" t="s">
        <v>8</v>
      </c>
      <c r="AQ360" s="27" t="s">
        <v>8</v>
      </c>
      <c r="BN360" s="27" t="s">
        <v>7</v>
      </c>
      <c r="BP360" s="27" t="s">
        <v>7</v>
      </c>
      <c r="BQ360" s="27" t="s">
        <v>8</v>
      </c>
    </row>
    <row r="361" spans="1:84" x14ac:dyDescent="0.25">
      <c r="A361" s="30">
        <v>2.7295736217250611E-3</v>
      </c>
      <c r="B361"/>
      <c r="C361"/>
      <c r="D361"/>
      <c r="E361"/>
      <c r="F361" s="27" t="s">
        <v>7</v>
      </c>
      <c r="G361" s="27" t="s">
        <v>8</v>
      </c>
      <c r="H361" s="27" t="s">
        <v>7</v>
      </c>
      <c r="I361" s="27" t="s">
        <v>8</v>
      </c>
      <c r="L361" s="27" t="s">
        <v>7</v>
      </c>
      <c r="M361" s="27" t="s">
        <v>8</v>
      </c>
      <c r="V361" s="27" t="s">
        <v>7</v>
      </c>
      <c r="W361" s="27" t="s">
        <v>8</v>
      </c>
      <c r="Z361" s="27" t="s">
        <v>7</v>
      </c>
      <c r="AB361" s="27" t="s">
        <v>7</v>
      </c>
      <c r="AF361" s="27" t="s">
        <v>7</v>
      </c>
      <c r="AO361" s="27" t="s">
        <v>8</v>
      </c>
      <c r="AP361" s="27" t="s">
        <v>7</v>
      </c>
      <c r="AQ361" s="27" t="s">
        <v>8</v>
      </c>
      <c r="BP361" s="27" t="s">
        <v>7</v>
      </c>
    </row>
    <row r="362" spans="1:84" x14ac:dyDescent="0.25">
      <c r="A362" s="30">
        <v>2.5995939254524381E-3</v>
      </c>
      <c r="B362"/>
      <c r="C362"/>
      <c r="D362"/>
      <c r="E362"/>
      <c r="F362" s="27" t="s">
        <v>7</v>
      </c>
      <c r="G362" s="27" t="s">
        <v>8</v>
      </c>
      <c r="H362" s="27" t="s">
        <v>7</v>
      </c>
      <c r="L362" s="27" t="s">
        <v>7</v>
      </c>
      <c r="M362" s="27" t="s">
        <v>8</v>
      </c>
      <c r="V362" s="27" t="s">
        <v>7</v>
      </c>
      <c r="AF362" s="27" t="s">
        <v>7</v>
      </c>
      <c r="AO362" s="27" t="s">
        <v>8</v>
      </c>
      <c r="AP362" s="27" t="s">
        <v>7</v>
      </c>
      <c r="AQ362" s="27" t="s">
        <v>8</v>
      </c>
    </row>
    <row r="363" spans="1:84" x14ac:dyDescent="0.25">
      <c r="A363" s="30">
        <v>2.4758037385261304E-3</v>
      </c>
      <c r="B363"/>
      <c r="C363"/>
      <c r="D363"/>
      <c r="E363"/>
      <c r="F363" s="27" t="s">
        <v>7</v>
      </c>
      <c r="G363" s="27" t="s">
        <v>8</v>
      </c>
      <c r="L363" s="27" t="s">
        <v>7</v>
      </c>
      <c r="M363" s="27" t="s">
        <v>8</v>
      </c>
      <c r="AF363" s="27" t="s">
        <v>7</v>
      </c>
      <c r="AM363" s="27" t="s">
        <v>8</v>
      </c>
      <c r="AO363" s="27" t="s">
        <v>8</v>
      </c>
      <c r="AP363" s="27" t="s">
        <v>7</v>
      </c>
    </row>
    <row r="364" spans="1:84" x14ac:dyDescent="0.25">
      <c r="A364" s="30">
        <v>2.3579083224058374E-3</v>
      </c>
      <c r="B364"/>
      <c r="C364"/>
      <c r="D364"/>
      <c r="E364"/>
      <c r="F364" s="27" t="s">
        <v>7</v>
      </c>
      <c r="L364" s="27" t="s">
        <v>7</v>
      </c>
      <c r="AF364" s="27" t="s">
        <v>7</v>
      </c>
      <c r="AI364" s="27" t="s">
        <v>8</v>
      </c>
      <c r="AM364" s="27" t="s">
        <v>8</v>
      </c>
      <c r="AN364" s="27" t="s">
        <v>7</v>
      </c>
      <c r="AO364" s="27" t="s">
        <v>8</v>
      </c>
    </row>
    <row r="365" spans="1:84" x14ac:dyDescent="0.25">
      <c r="A365" s="30">
        <v>2.245626973719844E-3</v>
      </c>
      <c r="B365"/>
      <c r="C365"/>
      <c r="D365"/>
      <c r="E365"/>
      <c r="AF365" s="27" t="s">
        <v>7</v>
      </c>
      <c r="AI365" s="27" t="s">
        <v>8</v>
      </c>
      <c r="AJ365" s="27" t="s">
        <v>7</v>
      </c>
      <c r="AK365" s="27" t="s">
        <v>8</v>
      </c>
      <c r="AM365" s="27" t="s">
        <v>8</v>
      </c>
      <c r="AN365" s="27" t="s">
        <v>7</v>
      </c>
      <c r="AO365" s="27" t="s">
        <v>8</v>
      </c>
    </row>
    <row r="366" spans="1:84" x14ac:dyDescent="0.25">
      <c r="A366" s="30">
        <v>2.1386923559236601E-3</v>
      </c>
      <c r="B366"/>
      <c r="C366"/>
      <c r="D366"/>
      <c r="E366"/>
      <c r="AF366" s="27" t="s">
        <v>7</v>
      </c>
      <c r="AI366" s="27" t="s">
        <v>8</v>
      </c>
      <c r="AJ366" s="27" t="s">
        <v>7</v>
      </c>
      <c r="AK366" s="27" t="s">
        <v>8</v>
      </c>
      <c r="AL366" s="27" t="s">
        <v>7</v>
      </c>
      <c r="AM366" s="27" t="s">
        <v>8</v>
      </c>
      <c r="AN366" s="27" t="s">
        <v>7</v>
      </c>
      <c r="AO366" s="27" t="s">
        <v>8</v>
      </c>
    </row>
    <row r="367" spans="1:84" x14ac:dyDescent="0.25">
      <c r="A367" s="30">
        <v>2.0368498627844375E-3</v>
      </c>
      <c r="B367"/>
      <c r="C367"/>
      <c r="D367"/>
      <c r="E367"/>
      <c r="AF367" s="27" t="s">
        <v>7</v>
      </c>
      <c r="AI367" s="27" t="s">
        <v>8</v>
      </c>
      <c r="AJ367" s="27" t="s">
        <v>7</v>
      </c>
      <c r="AK367" s="27" t="s">
        <v>8</v>
      </c>
      <c r="AL367" s="27" t="s">
        <v>7</v>
      </c>
      <c r="AM367" s="27" t="s">
        <v>8</v>
      </c>
      <c r="AN367" s="27" t="s">
        <v>7</v>
      </c>
    </row>
    <row r="368" spans="1:84" x14ac:dyDescent="0.25">
      <c r="A368" s="30">
        <v>1.9398570121756541E-3</v>
      </c>
      <c r="B368"/>
      <c r="C368"/>
      <c r="D368"/>
      <c r="E368"/>
      <c r="AF368" s="27" t="s">
        <v>7</v>
      </c>
      <c r="AI368" s="27" t="s">
        <v>8</v>
      </c>
      <c r="AJ368" s="27" t="s">
        <v>7</v>
      </c>
      <c r="AK368" s="27" t="s">
        <v>8</v>
      </c>
      <c r="AL368" s="27" t="s">
        <v>7</v>
      </c>
      <c r="AM368" s="27" t="s">
        <v>8</v>
      </c>
    </row>
    <row r="369" spans="1:39" x14ac:dyDescent="0.25">
      <c r="A369" s="30">
        <v>1.8474828687387174E-3</v>
      </c>
      <c r="B369"/>
      <c r="C369"/>
      <c r="D369"/>
      <c r="E369"/>
      <c r="AF369" s="27" t="s">
        <v>7</v>
      </c>
      <c r="AI369" s="27" t="s">
        <v>8</v>
      </c>
      <c r="AJ369" s="27" t="s">
        <v>7</v>
      </c>
      <c r="AK369" s="27" t="s">
        <v>8</v>
      </c>
      <c r="AL369" s="27" t="s">
        <v>7</v>
      </c>
      <c r="AM369" s="27" t="s">
        <v>8</v>
      </c>
    </row>
    <row r="370" spans="1:39" x14ac:dyDescent="0.25">
      <c r="A370" s="30">
        <v>1.759507494036873E-3</v>
      </c>
      <c r="B370"/>
      <c r="C370"/>
      <c r="D370"/>
      <c r="E370"/>
      <c r="AF370" s="27" t="s">
        <v>7</v>
      </c>
      <c r="AI370" s="27" t="s">
        <v>8</v>
      </c>
      <c r="AJ370" s="27" t="s">
        <v>7</v>
      </c>
      <c r="AK370" s="27" t="s">
        <v>8</v>
      </c>
      <c r="AL370" s="27" t="s">
        <v>7</v>
      </c>
      <c r="AM370" s="27" t="s">
        <v>8</v>
      </c>
    </row>
    <row r="371" spans="1:39" x14ac:dyDescent="0.25">
      <c r="A371" s="30">
        <v>1.6757214228922594E-3</v>
      </c>
      <c r="B371"/>
      <c r="C371"/>
      <c r="D371"/>
      <c r="E371"/>
      <c r="AF371" s="27" t="s">
        <v>7</v>
      </c>
      <c r="AI371" s="27" t="s">
        <v>8</v>
      </c>
      <c r="AJ371" s="27" t="s">
        <v>7</v>
      </c>
      <c r="AL371" s="27" t="s">
        <v>7</v>
      </c>
      <c r="AM371" s="27" t="s">
        <v>8</v>
      </c>
    </row>
    <row r="372" spans="1:39" x14ac:dyDescent="0.25">
      <c r="A372" s="30">
        <v>1.595925164659294E-3</v>
      </c>
      <c r="B372"/>
      <c r="C372"/>
      <c r="D372"/>
      <c r="E372"/>
      <c r="AF372" s="27" t="s">
        <v>7</v>
      </c>
      <c r="AG372" s="27" t="s">
        <v>8</v>
      </c>
      <c r="AI372" s="27" t="s">
        <v>8</v>
      </c>
      <c r="AL372" s="27" t="s">
        <v>7</v>
      </c>
    </row>
    <row r="373" spans="1:39" x14ac:dyDescent="0.25">
      <c r="A373" s="30">
        <v>1.5199287282469461E-3</v>
      </c>
      <c r="B373"/>
      <c r="C373"/>
      <c r="D373"/>
      <c r="E373"/>
      <c r="AF373" s="27" t="s">
        <v>7</v>
      </c>
      <c r="AG373" s="27" t="s">
        <v>8</v>
      </c>
      <c r="AH373" s="27" t="s">
        <v>7</v>
      </c>
      <c r="AI373" s="27" t="s">
        <v>8</v>
      </c>
    </row>
    <row r="374" spans="1:39" x14ac:dyDescent="0.25">
      <c r="A374" s="30">
        <v>1.4475511697589958E-3</v>
      </c>
      <c r="B374"/>
      <c r="C374"/>
      <c r="D374"/>
      <c r="E374"/>
      <c r="AF374" s="27" t="s">
        <v>7</v>
      </c>
      <c r="AG374" s="27" t="s">
        <v>8</v>
      </c>
      <c r="AH374" s="27" t="s">
        <v>7</v>
      </c>
      <c r="AI374" s="27" t="s">
        <v>8</v>
      </c>
    </row>
    <row r="375" spans="1:39" x14ac:dyDescent="0.25">
      <c r="A375" s="30">
        <v>1.3786201616752334E-3</v>
      </c>
      <c r="B375"/>
      <c r="C375"/>
      <c r="D375"/>
      <c r="E375"/>
      <c r="AF375" s="27" t="s">
        <v>7</v>
      </c>
      <c r="AG375" s="27" t="s">
        <v>8</v>
      </c>
      <c r="AH375" s="27" t="s">
        <v>7</v>
      </c>
      <c r="AI375" s="27" t="s">
        <v>8</v>
      </c>
    </row>
    <row r="376" spans="1:39" x14ac:dyDescent="0.25">
      <c r="A376" s="30">
        <v>1.3129715825478407E-3</v>
      </c>
      <c r="B376"/>
      <c r="C376"/>
      <c r="D376"/>
      <c r="E376"/>
      <c r="AF376" s="27" t="s">
        <v>7</v>
      </c>
      <c r="AG376" s="27" t="s">
        <v>8</v>
      </c>
      <c r="AH376" s="27" t="s">
        <v>7</v>
      </c>
      <c r="AI376" s="27" t="s">
        <v>8</v>
      </c>
    </row>
    <row r="377" spans="1:39" x14ac:dyDescent="0.25">
      <c r="A377" s="30">
        <v>1.2504491262360382E-3</v>
      </c>
      <c r="B377"/>
      <c r="C377"/>
      <c r="D377"/>
      <c r="E377"/>
      <c r="AF377" s="27" t="s">
        <v>7</v>
      </c>
      <c r="AG377" s="27" t="s">
        <v>8</v>
      </c>
      <c r="AH377" s="27" t="s">
        <v>7</v>
      </c>
      <c r="AI377" s="27" t="s">
        <v>8</v>
      </c>
    </row>
    <row r="378" spans="1:39" x14ac:dyDescent="0.25">
      <c r="A378" s="30">
        <v>1.1909039297486072E-3</v>
      </c>
      <c r="B378"/>
      <c r="C378"/>
      <c r="D378"/>
      <c r="E378"/>
      <c r="AF378" s="27" t="s">
        <v>7</v>
      </c>
      <c r="AG378" s="27" t="s">
        <v>8</v>
      </c>
      <c r="AH378" s="27" t="s">
        <v>7</v>
      </c>
      <c r="AI378" s="27" t="s">
        <v>8</v>
      </c>
    </row>
    <row r="379" spans="1:39" x14ac:dyDescent="0.25">
      <c r="A379" s="30">
        <v>1.1341942188081969E-3</v>
      </c>
      <c r="B379"/>
      <c r="C379"/>
      <c r="D379"/>
      <c r="E379"/>
      <c r="AF379" s="27" t="s">
        <v>7</v>
      </c>
      <c r="AG379" s="27" t="s">
        <v>8</v>
      </c>
      <c r="AH379" s="27" t="s">
        <v>7</v>
      </c>
    </row>
    <row r="380" spans="1:39" x14ac:dyDescent="0.25">
      <c r="A380" s="30">
        <v>1.0801849702935203E-3</v>
      </c>
      <c r="B380"/>
      <c r="C380"/>
      <c r="D380"/>
      <c r="E380"/>
      <c r="AF380" s="27" t="s">
        <v>7</v>
      </c>
      <c r="AG380" s="27" t="s">
        <v>8</v>
      </c>
    </row>
    <row r="381" spans="1:39" x14ac:dyDescent="0.25">
      <c r="A381" s="30">
        <v>1.0287475907557332E-3</v>
      </c>
      <c r="B381"/>
      <c r="C381"/>
      <c r="D381"/>
      <c r="E381"/>
      <c r="AF381" s="27" t="s">
        <v>7</v>
      </c>
    </row>
    <row r="382" spans="1:39" x14ac:dyDescent="0.25">
      <c r="A382" s="30">
        <v>9.7731021121794646E-4</v>
      </c>
    </row>
    <row r="383" spans="1:39" x14ac:dyDescent="0.25">
      <c r="A383" s="30">
        <v>9.2844470065704904E-4</v>
      </c>
    </row>
    <row r="384" spans="1:39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5" operator="equal">
      <formula>$U$1</formula>
    </cfRule>
    <cfRule type="cellIs" dxfId="67" priority="1306" operator="equal">
      <formula>$S$1</formula>
    </cfRule>
  </conditionalFormatting>
  <conditionalFormatting sqref="D136">
    <cfRule type="cellIs" dxfId="66" priority="1303" operator="equal">
      <formula>$S$1</formula>
    </cfRule>
    <cfRule type="cellIs" dxfId="65" priority="1304" operator="equal">
      <formula>$U$1</formula>
    </cfRule>
  </conditionalFormatting>
  <conditionalFormatting sqref="C162">
    <cfRule type="cellIs" dxfId="64" priority="1301" operator="equal">
      <formula>$U$1</formula>
    </cfRule>
    <cfRule type="cellIs" dxfId="63" priority="1302" operator="equal">
      <formula>$S$1</formula>
    </cfRule>
  </conditionalFormatting>
  <conditionalFormatting sqref="D162">
    <cfRule type="cellIs" dxfId="62" priority="1299" operator="equal">
      <formula>$S$1</formula>
    </cfRule>
    <cfRule type="cellIs" dxfId="61" priority="1300" operator="equal">
      <formula>$U$1</formula>
    </cfRule>
  </conditionalFormatting>
  <conditionalFormatting sqref="C187">
    <cfRule type="cellIs" dxfId="60" priority="1297" operator="equal">
      <formula>$U$1</formula>
    </cfRule>
    <cfRule type="cellIs" dxfId="59" priority="1298" operator="equal">
      <formula>$S$1</formula>
    </cfRule>
  </conditionalFormatting>
  <conditionalFormatting sqref="D187">
    <cfRule type="cellIs" dxfId="58" priority="1295" operator="equal">
      <formula>$S$1</formula>
    </cfRule>
    <cfRule type="cellIs" dxfId="57" priority="1296" operator="equal">
      <formula>$U$1</formula>
    </cfRule>
  </conditionalFormatting>
  <conditionalFormatting sqref="C212">
    <cfRule type="cellIs" dxfId="56" priority="1293" operator="equal">
      <formula>$U$1</formula>
    </cfRule>
    <cfRule type="cellIs" dxfId="55" priority="1294" operator="equal">
      <formula>$S$1</formula>
    </cfRule>
  </conditionalFormatting>
  <conditionalFormatting sqref="D212">
    <cfRule type="cellIs" dxfId="54" priority="1291" operator="equal">
      <formula>$S$1</formula>
    </cfRule>
    <cfRule type="cellIs" dxfId="53" priority="1292" operator="equal">
      <formula>$U$1</formula>
    </cfRule>
  </conditionalFormatting>
  <conditionalFormatting sqref="C237">
    <cfRule type="cellIs" dxfId="52" priority="1289" operator="equal">
      <formula>$U$1</formula>
    </cfRule>
    <cfRule type="cellIs" dxfId="51" priority="1290" operator="equal">
      <formula>$S$1</formula>
    </cfRule>
  </conditionalFormatting>
  <conditionalFormatting sqref="D237">
    <cfRule type="cellIs" dxfId="50" priority="1287" operator="equal">
      <formula>$S$1</formula>
    </cfRule>
    <cfRule type="cellIs" dxfId="49" priority="1288" operator="equal">
      <formula>$U$1</formula>
    </cfRule>
  </conditionalFormatting>
  <conditionalFormatting sqref="C106">
    <cfRule type="cellIs" dxfId="48" priority="1285" operator="equal">
      <formula>$U$1</formula>
    </cfRule>
    <cfRule type="cellIs" dxfId="47" priority="1286" operator="equal">
      <formula>$S$1</formula>
    </cfRule>
  </conditionalFormatting>
  <conditionalFormatting sqref="D106">
    <cfRule type="cellIs" dxfId="46" priority="1283" operator="equal">
      <formula>$S$1</formula>
    </cfRule>
    <cfRule type="cellIs" dxfId="45" priority="1284" operator="equal">
      <formula>$U$1</formula>
    </cfRule>
  </conditionalFormatting>
  <conditionalFormatting sqref="C81">
    <cfRule type="cellIs" dxfId="44" priority="1281" operator="equal">
      <formula>$U$1</formula>
    </cfRule>
    <cfRule type="cellIs" dxfId="43" priority="1282" operator="equal">
      <formula>$S$1</formula>
    </cfRule>
  </conditionalFormatting>
  <conditionalFormatting sqref="D81">
    <cfRule type="cellIs" dxfId="42" priority="1279" operator="equal">
      <formula>$S$1</formula>
    </cfRule>
    <cfRule type="cellIs" dxfId="41" priority="1280" operator="equal">
      <formula>$U$1</formula>
    </cfRule>
  </conditionalFormatting>
  <conditionalFormatting sqref="C56">
    <cfRule type="cellIs" dxfId="40" priority="1277" operator="equal">
      <formula>$U$1</formula>
    </cfRule>
    <cfRule type="cellIs" dxfId="39" priority="1278" operator="equal">
      <formula>$S$1</formula>
    </cfRule>
  </conditionalFormatting>
  <conditionalFormatting sqref="D56">
    <cfRule type="cellIs" dxfId="38" priority="1275" operator="equal">
      <formula>$S$1</formula>
    </cfRule>
    <cfRule type="cellIs" dxfId="37" priority="1276" operator="equal">
      <formula>$U$1</formula>
    </cfRule>
  </conditionalFormatting>
  <conditionalFormatting sqref="C31">
    <cfRule type="cellIs" dxfId="36" priority="1273" operator="equal">
      <formula>$U$1</formula>
    </cfRule>
    <cfRule type="cellIs" dxfId="35" priority="1274" operator="equal">
      <formula>$S$1</formula>
    </cfRule>
  </conditionalFormatting>
  <conditionalFormatting sqref="D31">
    <cfRule type="cellIs" dxfId="34" priority="1271" operator="equal">
      <formula>$S$1</formula>
    </cfRule>
    <cfRule type="cellIs" dxfId="33" priority="12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F170" sqref="BF17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$A$169</v>
      </c>
      <c r="D111" s="1" t="str">
        <f>ADDRESS(C121-1,D121,1,1)</f>
        <v>$BF$169</v>
      </c>
      <c r="E111"/>
    </row>
    <row r="112" spans="1:5" x14ac:dyDescent="0.25">
      <c r="A112" s="30">
        <v>2.3579476910000019</v>
      </c>
      <c r="C112" s="1" t="str">
        <f>ADDRESS(C121,1,1,1)</f>
        <v>$A$170</v>
      </c>
      <c r="D112" s="1" t="str">
        <f>ADDRESS(C121,D121-1,1,1)</f>
        <v>$BE$170</v>
      </c>
      <c r="E112"/>
    </row>
    <row r="113" spans="1:6" x14ac:dyDescent="0.25">
      <c r="A113" s="30">
        <v>2.1435888100000016</v>
      </c>
      <c r="C113" s="1" t="str">
        <f>ADDRESS(C121+1,1,1,1)</f>
        <v>$A$171</v>
      </c>
      <c r="D113" s="1" t="str">
        <f>ADDRESS(C121-1,D121+1,1,1)</f>
        <v>$BG$169</v>
      </c>
    </row>
    <row r="114" spans="1:6" x14ac:dyDescent="0.25">
      <c r="A114" s="30">
        <v>1.9487171000000014</v>
      </c>
      <c r="C114" s="1" t="str">
        <f>ADDRESS(C121,D121,1,1)</f>
        <v>$BF$170</v>
      </c>
      <c r="D114" s="1" t="str">
        <f>ADDRESS(C121+1,D121+1,1,1)</f>
        <v>$BG$171</v>
      </c>
    </row>
    <row r="115" spans="1:6" x14ac:dyDescent="0.25">
      <c r="A115" s="30">
        <v>1.7715610000000011</v>
      </c>
      <c r="C115" s="1" t="str">
        <f>ADDRESS(C121+1,D121,1,1)</f>
        <v>$BF$171</v>
      </c>
    </row>
    <row r="116" spans="1:6" x14ac:dyDescent="0.25">
      <c r="A116" s="30">
        <v>1.6105100000000008</v>
      </c>
      <c r="C116" s="1">
        <f>C117-1</f>
        <v>169</v>
      </c>
    </row>
    <row r="117" spans="1:6" x14ac:dyDescent="0.25">
      <c r="A117" s="30">
        <v>1.4641000000000006</v>
      </c>
      <c r="C117" s="1">
        <f>C121</f>
        <v>170</v>
      </c>
      <c r="D117" s="1">
        <f>D121</f>
        <v>58</v>
      </c>
    </row>
    <row r="118" spans="1:6" x14ac:dyDescent="0.25">
      <c r="A118" s="30">
        <v>1.3310000000000004</v>
      </c>
      <c r="C118" s="1">
        <f>C117+1</f>
        <v>171</v>
      </c>
      <c r="D118" s="1">
        <f>D117+1</f>
        <v>59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170</v>
      </c>
      <c r="D121" s="19">
        <v>58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R170</v>
      </c>
      <c r="D123" s="1" t="str">
        <f>"C"&amp;D121</f>
        <v>C58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9.3704064074506318E-3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56" x14ac:dyDescent="0.25">
      <c r="A145" s="30">
        <v>0.10152559799477026</v>
      </c>
      <c r="B145"/>
      <c r="C145"/>
      <c r="D145"/>
      <c r="E145"/>
      <c r="F145" s="27" t="s">
        <v>7</v>
      </c>
    </row>
    <row r="146" spans="1:56" x14ac:dyDescent="0.25">
      <c r="A146" s="30">
        <v>9.2295998177063854E-2</v>
      </c>
      <c r="B146"/>
      <c r="C146"/>
      <c r="D146"/>
      <c r="E146"/>
      <c r="F146" s="27" t="s">
        <v>7</v>
      </c>
    </row>
    <row r="147" spans="1:56" x14ac:dyDescent="0.25">
      <c r="A147" s="30">
        <v>8.3905452888239848E-2</v>
      </c>
      <c r="B147"/>
      <c r="C147"/>
      <c r="D147"/>
      <c r="E147"/>
      <c r="F147" s="27" t="s">
        <v>7</v>
      </c>
    </row>
    <row r="148" spans="1:56" x14ac:dyDescent="0.25">
      <c r="A148" s="30">
        <v>7.6277684443854396E-2</v>
      </c>
      <c r="B148"/>
      <c r="C148"/>
      <c r="D148"/>
      <c r="E148"/>
      <c r="F148" s="27" t="s">
        <v>7</v>
      </c>
    </row>
    <row r="149" spans="1:56" x14ac:dyDescent="0.25">
      <c r="A149" s="30">
        <v>6.9343349494413078E-2</v>
      </c>
      <c r="B149"/>
      <c r="C149"/>
      <c r="D149"/>
      <c r="E149"/>
      <c r="F149" s="27" t="s">
        <v>7</v>
      </c>
    </row>
    <row r="150" spans="1:56" x14ac:dyDescent="0.25">
      <c r="A150" s="30">
        <v>6.3039408631284613E-2</v>
      </c>
      <c r="B150"/>
      <c r="C150"/>
      <c r="D150"/>
      <c r="E150"/>
      <c r="F150" s="27" t="s">
        <v>7</v>
      </c>
      <c r="AU150" s="27" t="s">
        <v>8</v>
      </c>
    </row>
    <row r="151" spans="1:56" x14ac:dyDescent="0.25">
      <c r="A151" s="30">
        <v>5.7308553301167818E-2</v>
      </c>
      <c r="B151"/>
      <c r="C151"/>
      <c r="D151"/>
      <c r="E151"/>
      <c r="F151" s="27" t="s">
        <v>7</v>
      </c>
      <c r="AO151" s="27" t="s">
        <v>8</v>
      </c>
      <c r="AU151" s="27" t="s">
        <v>8</v>
      </c>
      <c r="AV151" s="27" t="s">
        <v>7</v>
      </c>
    </row>
    <row r="152" spans="1:56" x14ac:dyDescent="0.25">
      <c r="A152" s="30">
        <v>5.2098684819243464E-2</v>
      </c>
      <c r="B152"/>
      <c r="C152"/>
      <c r="D152"/>
      <c r="E152"/>
      <c r="F152" s="27" t="s">
        <v>7</v>
      </c>
      <c r="AO152" s="27" t="s">
        <v>8</v>
      </c>
      <c r="AP152" s="27" t="s">
        <v>7</v>
      </c>
      <c r="AU152" s="27" t="s">
        <v>8</v>
      </c>
      <c r="AV152" s="27" t="s">
        <v>7</v>
      </c>
      <c r="AW152" s="27" t="s">
        <v>8</v>
      </c>
      <c r="AY152" s="27" t="s">
        <v>8</v>
      </c>
    </row>
    <row r="153" spans="1:56" x14ac:dyDescent="0.25">
      <c r="A153" s="30">
        <v>4.7362440744766775E-2</v>
      </c>
      <c r="B153"/>
      <c r="C153"/>
      <c r="D153"/>
      <c r="E153"/>
      <c r="F153" s="27" t="s">
        <v>7</v>
      </c>
      <c r="AO153" s="27" t="s">
        <v>8</v>
      </c>
      <c r="AP153" s="27" t="s">
        <v>7</v>
      </c>
      <c r="AU153" s="27" t="s">
        <v>8</v>
      </c>
      <c r="AV153" s="27" t="s">
        <v>7</v>
      </c>
      <c r="AW153" s="27" t="s">
        <v>8</v>
      </c>
      <c r="AX153" s="27" t="s">
        <v>7</v>
      </c>
      <c r="AY153" s="27" t="s">
        <v>8</v>
      </c>
      <c r="AZ153" s="27" t="s">
        <v>7</v>
      </c>
    </row>
    <row r="154" spans="1:56" x14ac:dyDescent="0.25">
      <c r="A154" s="30">
        <v>4.3056764313424332E-2</v>
      </c>
      <c r="B154"/>
      <c r="C154"/>
      <c r="D154"/>
      <c r="E154"/>
      <c r="F154" s="27" t="s">
        <v>7</v>
      </c>
      <c r="AO154" s="27" t="s">
        <v>8</v>
      </c>
      <c r="AP154" s="27" t="s">
        <v>7</v>
      </c>
      <c r="AU154" s="27" t="s">
        <v>8</v>
      </c>
      <c r="AV154" s="27" t="s">
        <v>7</v>
      </c>
      <c r="AW154" s="27" t="s">
        <v>8</v>
      </c>
      <c r="AX154" s="27" t="s">
        <v>7</v>
      </c>
      <c r="AY154" s="27" t="s">
        <v>8</v>
      </c>
      <c r="AZ154" s="27" t="s">
        <v>7</v>
      </c>
    </row>
    <row r="155" spans="1:56" x14ac:dyDescent="0.25">
      <c r="A155" s="30">
        <v>3.9142513012203929E-2</v>
      </c>
      <c r="B155"/>
      <c r="C155"/>
      <c r="D155"/>
      <c r="E155"/>
      <c r="F155" s="27" t="s">
        <v>7</v>
      </c>
      <c r="AM155" s="27" t="s">
        <v>8</v>
      </c>
      <c r="AO155" s="27" t="s">
        <v>8</v>
      </c>
      <c r="AP155" s="27" t="s">
        <v>7</v>
      </c>
      <c r="AQ155" s="27" t="s">
        <v>8</v>
      </c>
      <c r="AU155" s="27" t="s">
        <v>8</v>
      </c>
      <c r="AV155" s="27" t="s">
        <v>7</v>
      </c>
      <c r="AX155" s="27" t="s">
        <v>7</v>
      </c>
      <c r="AY155" s="27" t="s">
        <v>8</v>
      </c>
      <c r="AZ155" s="27" t="s">
        <v>7</v>
      </c>
    </row>
    <row r="156" spans="1:56" x14ac:dyDescent="0.25">
      <c r="A156" s="30">
        <v>3.55841027383672E-2</v>
      </c>
      <c r="B156"/>
      <c r="C156"/>
      <c r="D156"/>
      <c r="E156"/>
      <c r="F156" s="27" t="s">
        <v>7</v>
      </c>
      <c r="AM156" s="27" t="s">
        <v>8</v>
      </c>
      <c r="AN156" s="27" t="s">
        <v>7</v>
      </c>
      <c r="AO156" s="27" t="s">
        <v>8</v>
      </c>
      <c r="AP156" s="27" t="s">
        <v>7</v>
      </c>
      <c r="AQ156" s="27" t="s">
        <v>8</v>
      </c>
      <c r="AR156" s="27" t="s">
        <v>7</v>
      </c>
      <c r="AS156" s="27" t="s">
        <v>8</v>
      </c>
      <c r="AU156" s="27" t="s">
        <v>8</v>
      </c>
      <c r="AX156" s="27" t="s">
        <v>7</v>
      </c>
      <c r="AY156" s="27" t="s">
        <v>8</v>
      </c>
      <c r="AZ156" s="27" t="s">
        <v>7</v>
      </c>
      <c r="BC156" s="27" t="s">
        <v>8</v>
      </c>
    </row>
    <row r="157" spans="1:56" x14ac:dyDescent="0.25">
      <c r="A157" s="30">
        <v>3.2349184307606541E-2</v>
      </c>
      <c r="B157"/>
      <c r="C157"/>
      <c r="D157"/>
      <c r="E157"/>
      <c r="F157" s="27" t="s">
        <v>7</v>
      </c>
      <c r="AM157" s="27" t="s">
        <v>8</v>
      </c>
      <c r="AN157" s="27" t="s">
        <v>7</v>
      </c>
      <c r="AO157" s="27" t="s">
        <v>8</v>
      </c>
      <c r="AP157" s="27" t="s">
        <v>7</v>
      </c>
      <c r="AQ157" s="27" t="s">
        <v>8</v>
      </c>
      <c r="AR157" s="27" t="s">
        <v>7</v>
      </c>
      <c r="AS157" s="27" t="s">
        <v>8</v>
      </c>
      <c r="AT157" s="27" t="s">
        <v>7</v>
      </c>
      <c r="AU157" s="27" t="s">
        <v>8</v>
      </c>
      <c r="AX157" s="27" t="s">
        <v>7</v>
      </c>
      <c r="AY157" s="27" t="s">
        <v>8</v>
      </c>
      <c r="AZ157" s="27" t="s">
        <v>7</v>
      </c>
      <c r="BC157" s="27" t="s">
        <v>8</v>
      </c>
      <c r="BD157" s="27" t="s">
        <v>7</v>
      </c>
    </row>
    <row r="158" spans="1:56" x14ac:dyDescent="0.25">
      <c r="A158" s="30">
        <v>2.9408349370551395E-2</v>
      </c>
      <c r="B158"/>
      <c r="C158"/>
      <c r="D158"/>
      <c r="E158"/>
      <c r="F158" s="27" t="s">
        <v>7</v>
      </c>
      <c r="AM158" s="27" t="s">
        <v>8</v>
      </c>
      <c r="AN158" s="27" t="s">
        <v>7</v>
      </c>
      <c r="AO158" s="27" t="s">
        <v>8</v>
      </c>
      <c r="AP158" s="27" t="s">
        <v>7</v>
      </c>
      <c r="AQ158" s="27" t="s">
        <v>8</v>
      </c>
      <c r="AR158" s="27" t="s">
        <v>7</v>
      </c>
      <c r="AS158" s="27" t="s">
        <v>8</v>
      </c>
      <c r="AT158" s="27" t="s">
        <v>7</v>
      </c>
      <c r="AU158" s="27" t="s">
        <v>8</v>
      </c>
      <c r="AX158" s="27" t="s">
        <v>7</v>
      </c>
      <c r="AZ158" s="27" t="s">
        <v>7</v>
      </c>
      <c r="BC158" s="27" t="s">
        <v>8</v>
      </c>
      <c r="BD158" s="27" t="s">
        <v>7</v>
      </c>
    </row>
    <row r="159" spans="1:56" x14ac:dyDescent="0.25">
      <c r="A159" s="30">
        <v>2.6734863064137627E-2</v>
      </c>
      <c r="B159"/>
      <c r="C159"/>
      <c r="D159"/>
      <c r="E159"/>
      <c r="F159" s="27" t="s">
        <v>7</v>
      </c>
      <c r="AM159" s="27" t="s">
        <v>8</v>
      </c>
      <c r="AN159" s="27" t="s">
        <v>7</v>
      </c>
      <c r="AP159" s="27" t="s">
        <v>7</v>
      </c>
      <c r="AQ159" s="27" t="s">
        <v>8</v>
      </c>
      <c r="AR159" s="27" t="s">
        <v>7</v>
      </c>
      <c r="AT159" s="27" t="s">
        <v>7</v>
      </c>
      <c r="AZ159" s="27" t="s">
        <v>7</v>
      </c>
      <c r="BA159" s="27" t="s">
        <v>8</v>
      </c>
      <c r="BC159" s="27" t="s">
        <v>8</v>
      </c>
      <c r="BD159" s="27" t="s">
        <v>7</v>
      </c>
    </row>
    <row r="160" spans="1:56" x14ac:dyDescent="0.25">
      <c r="A160" s="30">
        <v>2.4304420967397839E-2</v>
      </c>
      <c r="B160"/>
      <c r="C160"/>
      <c r="D160"/>
      <c r="E160"/>
      <c r="F160" s="27" t="s">
        <v>7</v>
      </c>
      <c r="AG160" s="27" t="s">
        <v>8</v>
      </c>
      <c r="AM160" s="27" t="s">
        <v>8</v>
      </c>
      <c r="AP160" s="27" t="s">
        <v>7</v>
      </c>
      <c r="AZ160" s="27" t="s">
        <v>7</v>
      </c>
      <c r="BA160" s="27" t="s">
        <v>8</v>
      </c>
      <c r="BB160" s="27" t="s">
        <v>7</v>
      </c>
      <c r="BC160" s="27" t="s">
        <v>8</v>
      </c>
      <c r="BD160" s="27" t="s">
        <v>7</v>
      </c>
    </row>
    <row r="161" spans="1:58" x14ac:dyDescent="0.25">
      <c r="A161" s="30">
        <v>2.2094928152179852E-2</v>
      </c>
      <c r="B161"/>
      <c r="C161"/>
      <c r="D161"/>
      <c r="E161"/>
      <c r="F161" s="27" t="s">
        <v>7</v>
      </c>
      <c r="AG161" s="27" t="s">
        <v>8</v>
      </c>
      <c r="AH161" s="27" t="s">
        <v>7</v>
      </c>
      <c r="AM161" s="27" t="s">
        <v>8</v>
      </c>
      <c r="AZ161" s="27" t="s">
        <v>7</v>
      </c>
      <c r="BA161" s="27" t="s">
        <v>8</v>
      </c>
      <c r="BB161" s="27" t="s">
        <v>7</v>
      </c>
      <c r="BC161" s="27" t="s">
        <v>8</v>
      </c>
      <c r="BD161" s="27" t="s">
        <v>7</v>
      </c>
    </row>
    <row r="162" spans="1:58" x14ac:dyDescent="0.25">
      <c r="A162" s="30">
        <v>2.0086298320163499E-2</v>
      </c>
      <c r="B162"/>
      <c r="C162"/>
      <c r="D162"/>
      <c r="E162"/>
      <c r="F162" s="27" t="s">
        <v>7</v>
      </c>
      <c r="AG162" s="27" t="s">
        <v>8</v>
      </c>
      <c r="AH162" s="27" t="s">
        <v>7</v>
      </c>
      <c r="AM162" s="27" t="s">
        <v>8</v>
      </c>
      <c r="AZ162" s="27" t="s">
        <v>7</v>
      </c>
      <c r="BA162" s="27" t="s">
        <v>8</v>
      </c>
      <c r="BB162" s="27" t="s">
        <v>7</v>
      </c>
      <c r="BC162" s="27" t="s">
        <v>8</v>
      </c>
      <c r="BD162" s="27" t="s">
        <v>7</v>
      </c>
    </row>
    <row r="163" spans="1:58" x14ac:dyDescent="0.25">
      <c r="A163" s="30">
        <v>1.8260271200148632E-2</v>
      </c>
      <c r="B163"/>
      <c r="C163"/>
      <c r="D163"/>
      <c r="E163"/>
      <c r="F163" s="27" t="s">
        <v>7</v>
      </c>
      <c r="AG163" s="27" t="s">
        <v>8</v>
      </c>
      <c r="AH163" s="27" t="s">
        <v>7</v>
      </c>
      <c r="AK163" s="27" t="s">
        <v>8</v>
      </c>
      <c r="AM163" s="27" t="s">
        <v>8</v>
      </c>
      <c r="AZ163" s="27" t="s">
        <v>7</v>
      </c>
      <c r="BB163" s="27" t="s">
        <v>7</v>
      </c>
      <c r="BC163" s="27" t="s">
        <v>8</v>
      </c>
      <c r="BD163" s="27" t="s">
        <v>7</v>
      </c>
    </row>
    <row r="164" spans="1:58" x14ac:dyDescent="0.25">
      <c r="A164" s="30">
        <v>1.6600246545589663E-2</v>
      </c>
      <c r="B164"/>
      <c r="C164"/>
      <c r="D164"/>
      <c r="E164"/>
      <c r="F164" s="27" t="s">
        <v>7</v>
      </c>
      <c r="AG164" s="27" t="s">
        <v>8</v>
      </c>
      <c r="AH164" s="27" t="s">
        <v>7</v>
      </c>
      <c r="AK164" s="27" t="s">
        <v>8</v>
      </c>
      <c r="AL164" s="27" t="s">
        <v>7</v>
      </c>
      <c r="AM164" s="27" t="s">
        <v>8</v>
      </c>
      <c r="BB164" s="27" t="s">
        <v>7</v>
      </c>
      <c r="BC164" s="27" t="s">
        <v>8</v>
      </c>
      <c r="BD164" s="27" t="s">
        <v>7</v>
      </c>
      <c r="BE164" s="27" t="s">
        <v>8</v>
      </c>
    </row>
    <row r="165" spans="1:58" x14ac:dyDescent="0.25">
      <c r="A165" s="30">
        <v>1.5091133223263328E-2</v>
      </c>
      <c r="B165"/>
      <c r="C165"/>
      <c r="D165"/>
      <c r="E165"/>
      <c r="F165" s="27" t="s">
        <v>7</v>
      </c>
      <c r="AG165" s="27" t="s">
        <v>8</v>
      </c>
      <c r="AH165" s="27" t="s">
        <v>7</v>
      </c>
      <c r="AI165" s="27" t="s">
        <v>8</v>
      </c>
      <c r="AK165" s="27" t="s">
        <v>8</v>
      </c>
      <c r="AL165" s="27" t="s">
        <v>7</v>
      </c>
      <c r="AM165" s="27" t="s">
        <v>8</v>
      </c>
      <c r="BB165" s="18" t="s">
        <v>7</v>
      </c>
      <c r="BC165" s="27" t="s">
        <v>8</v>
      </c>
      <c r="BD165" s="27" t="s">
        <v>7</v>
      </c>
      <c r="BE165" s="27" t="s">
        <v>8</v>
      </c>
      <c r="BF165" s="27" t="s">
        <v>7</v>
      </c>
    </row>
    <row r="166" spans="1:58" x14ac:dyDescent="0.25">
      <c r="A166" s="30">
        <v>1.3719212021148477E-2</v>
      </c>
      <c r="B166"/>
      <c r="C166"/>
      <c r="D166"/>
      <c r="E166"/>
      <c r="F166" s="27" t="s">
        <v>7</v>
      </c>
      <c r="AG166" s="27" t="s">
        <v>8</v>
      </c>
      <c r="AH166" s="27" t="s">
        <v>7</v>
      </c>
      <c r="AI166" s="27" t="s">
        <v>8</v>
      </c>
      <c r="AJ166" s="27" t="s">
        <v>7</v>
      </c>
      <c r="AK166" s="27" t="s">
        <v>8</v>
      </c>
      <c r="AL166" s="27" t="s">
        <v>7</v>
      </c>
      <c r="BB166" s="27" t="s">
        <v>7</v>
      </c>
      <c r="BD166" s="27" t="s">
        <v>7</v>
      </c>
      <c r="BE166" s="27" t="s">
        <v>8</v>
      </c>
      <c r="BF166" s="27" t="s">
        <v>7</v>
      </c>
    </row>
    <row r="167" spans="1:58" x14ac:dyDescent="0.25">
      <c r="A167" s="30">
        <v>1.2472010928316795E-2</v>
      </c>
      <c r="B167"/>
      <c r="C167"/>
      <c r="D167"/>
      <c r="E167"/>
      <c r="F167" s="27" t="s">
        <v>7</v>
      </c>
      <c r="AG167" s="27" t="s">
        <v>8</v>
      </c>
      <c r="AH167" s="27" t="s">
        <v>7</v>
      </c>
      <c r="AI167" s="27" t="s">
        <v>8</v>
      </c>
      <c r="AJ167" s="27" t="s">
        <v>7</v>
      </c>
      <c r="AK167" s="27" t="s">
        <v>8</v>
      </c>
      <c r="BD167" s="27" t="s">
        <v>7</v>
      </c>
      <c r="BE167" s="27" t="s">
        <v>8</v>
      </c>
      <c r="BF167" s="27" t="s">
        <v>7</v>
      </c>
    </row>
    <row r="168" spans="1:58" x14ac:dyDescent="0.25">
      <c r="A168" s="30">
        <v>1.1338191753015267E-2</v>
      </c>
      <c r="B168"/>
      <c r="C168"/>
      <c r="D168"/>
      <c r="E168"/>
      <c r="F168" s="27" t="s">
        <v>7</v>
      </c>
      <c r="AG168" s="27" t="s">
        <v>8</v>
      </c>
      <c r="AH168" s="27" t="s">
        <v>7</v>
      </c>
      <c r="AI168" s="27" t="s">
        <v>8</v>
      </c>
      <c r="AJ168" s="27" t="s">
        <v>7</v>
      </c>
      <c r="AK168" s="27" t="s">
        <v>8</v>
      </c>
      <c r="BD168" s="27" t="s">
        <v>7</v>
      </c>
      <c r="BE168" s="27" t="s">
        <v>8</v>
      </c>
      <c r="BF168" s="27" t="s">
        <v>7</v>
      </c>
    </row>
    <row r="169" spans="1:58" x14ac:dyDescent="0.25">
      <c r="A169" s="30">
        <v>1.0307447048195697E-2</v>
      </c>
      <c r="B169"/>
      <c r="C169"/>
      <c r="D169"/>
      <c r="E169"/>
      <c r="F169" s="27" t="s">
        <v>7</v>
      </c>
      <c r="AG169" s="27" t="s">
        <v>8</v>
      </c>
      <c r="AH169" s="27" t="s">
        <v>7</v>
      </c>
      <c r="AI169" s="27" t="s">
        <v>8</v>
      </c>
      <c r="AJ169" s="27" t="s">
        <v>7</v>
      </c>
      <c r="AK169" s="27" t="s">
        <v>8</v>
      </c>
      <c r="BD169" s="27" t="s">
        <v>7</v>
      </c>
      <c r="BF169" s="27" t="s">
        <v>7</v>
      </c>
    </row>
    <row r="170" spans="1:58" x14ac:dyDescent="0.25">
      <c r="A170" s="30">
        <v>9.3704064074506318E-3</v>
      </c>
      <c r="B170"/>
      <c r="C170"/>
      <c r="D170"/>
      <c r="E170"/>
      <c r="F170" s="27" t="s">
        <v>7</v>
      </c>
      <c r="M170" s="27" t="s">
        <v>8</v>
      </c>
      <c r="AG170" s="27" t="s">
        <v>8</v>
      </c>
      <c r="AH170" s="27" t="s">
        <v>7</v>
      </c>
      <c r="AI170" s="27" t="s">
        <v>8</v>
      </c>
      <c r="AJ170" s="27" t="s">
        <v>7</v>
      </c>
      <c r="AK170" s="27" t="s">
        <v>8</v>
      </c>
      <c r="BF170" s="27" t="s">
        <v>7</v>
      </c>
    </row>
    <row r="171" spans="1:58" x14ac:dyDescent="0.25">
      <c r="A171" s="30">
        <v>8.5185512795005747E-3</v>
      </c>
      <c r="F171" s="27" t="s">
        <v>7</v>
      </c>
      <c r="M171" s="27" t="s">
        <v>8</v>
      </c>
      <c r="N171" s="27" t="s">
        <v>7</v>
      </c>
      <c r="AG171" s="27" t="s">
        <v>8</v>
      </c>
      <c r="AH171" s="27" t="s">
        <v>7</v>
      </c>
      <c r="AI171" s="27" t="s">
        <v>8</v>
      </c>
      <c r="AJ171" s="27" t="s">
        <v>7</v>
      </c>
    </row>
    <row r="172" spans="1:58" x14ac:dyDescent="0.25">
      <c r="A172" s="30">
        <v>7.744137526818704E-3</v>
      </c>
      <c r="F172" s="27" t="s">
        <v>7</v>
      </c>
      <c r="M172" s="27" t="s">
        <v>8</v>
      </c>
      <c r="N172" s="27" t="s">
        <v>7</v>
      </c>
      <c r="AG172" s="27" t="s">
        <v>8</v>
      </c>
      <c r="AH172" s="27" t="s">
        <v>7</v>
      </c>
      <c r="AI172" s="27" t="s">
        <v>8</v>
      </c>
    </row>
    <row r="173" spans="1:58" x14ac:dyDescent="0.25">
      <c r="A173" s="30">
        <v>7.0401250243806394E-3</v>
      </c>
      <c r="F173" s="27" t="s">
        <v>7</v>
      </c>
      <c r="M173" s="27" t="s">
        <v>8</v>
      </c>
      <c r="N173" s="27" t="s">
        <v>7</v>
      </c>
      <c r="AG173" s="27" t="s">
        <v>8</v>
      </c>
      <c r="AH173" s="27" t="s">
        <v>7</v>
      </c>
      <c r="AI173" s="27" t="s">
        <v>8</v>
      </c>
    </row>
    <row r="174" spans="1:58" x14ac:dyDescent="0.25">
      <c r="A174" s="30">
        <v>6.4001136585278536E-3</v>
      </c>
      <c r="F174" s="27" t="s">
        <v>7</v>
      </c>
      <c r="M174" s="27" t="s">
        <v>8</v>
      </c>
      <c r="N174" s="27" t="s">
        <v>7</v>
      </c>
      <c r="AG174" s="27" t="s">
        <v>8</v>
      </c>
      <c r="AH174" s="27" t="s">
        <v>7</v>
      </c>
      <c r="AI174" s="27" t="s">
        <v>8</v>
      </c>
    </row>
    <row r="175" spans="1:58" x14ac:dyDescent="0.25">
      <c r="A175" s="30">
        <v>5.8182851441162305E-3</v>
      </c>
      <c r="F175" s="27" t="s">
        <v>7</v>
      </c>
      <c r="M175" s="27" t="s">
        <v>8</v>
      </c>
      <c r="N175" s="27" t="s">
        <v>7</v>
      </c>
      <c r="Y175" s="27" t="s">
        <v>8</v>
      </c>
      <c r="AE175" s="27" t="s">
        <v>8</v>
      </c>
      <c r="AG175" s="27" t="s">
        <v>8</v>
      </c>
      <c r="AH175" s="27" t="s">
        <v>7</v>
      </c>
      <c r="AI175" s="27" t="s">
        <v>8</v>
      </c>
    </row>
    <row r="176" spans="1:58" x14ac:dyDescent="0.25">
      <c r="A176" s="30">
        <v>5.2893501310147546E-3</v>
      </c>
      <c r="F176" s="27" t="s">
        <v>7</v>
      </c>
      <c r="M176" s="27" t="s">
        <v>8</v>
      </c>
      <c r="N176" s="27" t="s">
        <v>7</v>
      </c>
      <c r="W176" s="27" t="s">
        <v>8</v>
      </c>
      <c r="Y176" s="27" t="s">
        <v>8</v>
      </c>
      <c r="Z176" s="27" t="s">
        <v>7</v>
      </c>
      <c r="AE176" s="27" t="s">
        <v>8</v>
      </c>
      <c r="AF176" s="27" t="s">
        <v>7</v>
      </c>
      <c r="AG176" s="27" t="s">
        <v>8</v>
      </c>
      <c r="AH176" s="27" t="s">
        <v>7</v>
      </c>
    </row>
    <row r="177" spans="1:33" x14ac:dyDescent="0.25">
      <c r="A177" s="30">
        <v>4.8085001191043222E-3</v>
      </c>
      <c r="F177" s="27" t="s">
        <v>7</v>
      </c>
      <c r="G177" s="27" t="s">
        <v>8</v>
      </c>
      <c r="M177" s="27" t="s">
        <v>8</v>
      </c>
      <c r="N177" s="27" t="s">
        <v>7</v>
      </c>
      <c r="W177" s="27" t="s">
        <v>8</v>
      </c>
      <c r="X177" s="27" t="s">
        <v>7</v>
      </c>
      <c r="Y177" s="27" t="s">
        <v>8</v>
      </c>
      <c r="Z177" s="27" t="s">
        <v>7</v>
      </c>
      <c r="AA177" s="27" t="s">
        <v>8</v>
      </c>
      <c r="AC177" s="27" t="s">
        <v>8</v>
      </c>
      <c r="AE177" s="27" t="s">
        <v>8</v>
      </c>
      <c r="AF177" s="27" t="s">
        <v>7</v>
      </c>
      <c r="AG177" s="27" t="s">
        <v>8</v>
      </c>
    </row>
    <row r="178" spans="1:33" x14ac:dyDescent="0.25">
      <c r="A178" s="30">
        <v>4.3713637446402926E-3</v>
      </c>
      <c r="F178" s="27" t="s">
        <v>7</v>
      </c>
      <c r="G178" s="27" t="s">
        <v>8</v>
      </c>
      <c r="H178" s="27" t="s">
        <v>7</v>
      </c>
      <c r="I178" s="27" t="s">
        <v>8</v>
      </c>
      <c r="M178" s="27" t="s">
        <v>8</v>
      </c>
      <c r="N178" s="27" t="s">
        <v>7</v>
      </c>
      <c r="W178" s="27" t="s">
        <v>8</v>
      </c>
      <c r="X178" s="27" t="s">
        <v>7</v>
      </c>
      <c r="Y178" s="27" t="s">
        <v>8</v>
      </c>
      <c r="Z178" s="27" t="s">
        <v>7</v>
      </c>
      <c r="AA178" s="27" t="s">
        <v>8</v>
      </c>
      <c r="AB178" s="27" t="s">
        <v>7</v>
      </c>
      <c r="AC178" s="27" t="s">
        <v>8</v>
      </c>
      <c r="AD178" s="27" t="s">
        <v>7</v>
      </c>
      <c r="AE178" s="27" t="s">
        <v>8</v>
      </c>
      <c r="AF178" s="27" t="s">
        <v>7</v>
      </c>
    </row>
    <row r="179" spans="1:33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I179" s="27" t="s">
        <v>8</v>
      </c>
      <c r="J179" s="27" t="s">
        <v>7</v>
      </c>
      <c r="K179" s="27" t="s">
        <v>8</v>
      </c>
      <c r="M179" s="27" t="s">
        <v>8</v>
      </c>
      <c r="N179" s="27" t="s">
        <v>7</v>
      </c>
      <c r="U179" s="27" t="s">
        <v>8</v>
      </c>
      <c r="W179" s="27" t="s">
        <v>8</v>
      </c>
      <c r="X179" s="27" t="s">
        <v>7</v>
      </c>
      <c r="Y179" s="27" t="s">
        <v>8</v>
      </c>
      <c r="Z179" s="27" t="s">
        <v>7</v>
      </c>
      <c r="AA179" s="27" t="s">
        <v>8</v>
      </c>
      <c r="AB179" s="27" t="s">
        <v>7</v>
      </c>
      <c r="AC179" s="27" t="s">
        <v>8</v>
      </c>
      <c r="AD179" s="27" t="s">
        <v>7</v>
      </c>
      <c r="AE179" s="27" t="s">
        <v>8</v>
      </c>
    </row>
    <row r="180" spans="1:33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I180" s="27" t="s">
        <v>8</v>
      </c>
      <c r="J180" s="27" t="s">
        <v>7</v>
      </c>
      <c r="K180" s="27" t="s">
        <v>8</v>
      </c>
      <c r="L180" s="27" t="s">
        <v>7</v>
      </c>
      <c r="M180" s="27" t="s">
        <v>8</v>
      </c>
      <c r="N180" s="27" t="s">
        <v>7</v>
      </c>
      <c r="U180" s="27" t="s">
        <v>8</v>
      </c>
      <c r="V180" s="27" t="s">
        <v>7</v>
      </c>
      <c r="W180" s="27" t="s">
        <v>8</v>
      </c>
      <c r="X180" s="27" t="s">
        <v>7</v>
      </c>
      <c r="Y180" s="27" t="s">
        <v>8</v>
      </c>
      <c r="Z180" s="27" t="s">
        <v>7</v>
      </c>
      <c r="AA180" s="27" t="s">
        <v>8</v>
      </c>
      <c r="AB180" s="27" t="s">
        <v>7</v>
      </c>
      <c r="AD180" s="27" t="s">
        <v>7</v>
      </c>
      <c r="AE180" s="27" t="s">
        <v>8</v>
      </c>
    </row>
    <row r="181" spans="1:33" x14ac:dyDescent="0.25">
      <c r="A181" s="30">
        <v>3.2842702814727962E-3</v>
      </c>
      <c r="F181" s="27" t="s">
        <v>7</v>
      </c>
      <c r="G181" s="27" t="s">
        <v>8</v>
      </c>
      <c r="H181" s="27" t="s">
        <v>7</v>
      </c>
      <c r="I181" s="27" t="s">
        <v>8</v>
      </c>
      <c r="J181" s="27" t="s">
        <v>7</v>
      </c>
      <c r="K181" s="27" t="s">
        <v>8</v>
      </c>
      <c r="L181" s="27" t="s">
        <v>7</v>
      </c>
      <c r="M181" s="27" t="s">
        <v>8</v>
      </c>
      <c r="N181" s="27" t="s">
        <v>7</v>
      </c>
      <c r="U181" s="27" t="s">
        <v>8</v>
      </c>
      <c r="V181" s="27" t="s">
        <v>7</v>
      </c>
      <c r="W181" s="27" t="s">
        <v>8</v>
      </c>
      <c r="X181" s="27" t="s">
        <v>7</v>
      </c>
      <c r="Y181" s="27" t="s">
        <v>8</v>
      </c>
      <c r="Z181" s="27" t="s">
        <v>7</v>
      </c>
      <c r="AA181" s="27" t="s">
        <v>8</v>
      </c>
      <c r="AD181" s="27" t="s">
        <v>7</v>
      </c>
    </row>
    <row r="182" spans="1:33" x14ac:dyDescent="0.25">
      <c r="A182" s="30">
        <v>2.9857002558843601E-3</v>
      </c>
      <c r="F182" s="27" t="s">
        <v>7</v>
      </c>
      <c r="G182" s="27" t="s">
        <v>8</v>
      </c>
      <c r="H182" s="27" t="s">
        <v>7</v>
      </c>
      <c r="I182" s="27" t="s">
        <v>8</v>
      </c>
      <c r="J182" s="27" t="s">
        <v>7</v>
      </c>
      <c r="K182" s="27" t="s">
        <v>8</v>
      </c>
      <c r="L182" s="27" t="s">
        <v>7</v>
      </c>
      <c r="M182" s="27" t="s">
        <v>8</v>
      </c>
      <c r="N182" s="27" t="s">
        <v>7</v>
      </c>
      <c r="U182" s="27" t="s">
        <v>8</v>
      </c>
      <c r="V182" s="27" t="s">
        <v>7</v>
      </c>
      <c r="X182" s="27" t="s">
        <v>7</v>
      </c>
      <c r="Z182" s="27" t="s">
        <v>7</v>
      </c>
      <c r="AA182" s="27" t="s">
        <v>8</v>
      </c>
    </row>
    <row r="183" spans="1:33" x14ac:dyDescent="0.25">
      <c r="A183" s="30">
        <v>2.7142729598948726E-3</v>
      </c>
      <c r="F183" s="27" t="s">
        <v>7</v>
      </c>
      <c r="G183" s="27" t="s">
        <v>8</v>
      </c>
      <c r="H183" s="27" t="s">
        <v>7</v>
      </c>
      <c r="I183" s="27" t="s">
        <v>8</v>
      </c>
      <c r="J183" s="27" t="s">
        <v>7</v>
      </c>
      <c r="L183" s="27" t="s">
        <v>7</v>
      </c>
      <c r="N183" s="27" t="s">
        <v>7</v>
      </c>
      <c r="U183" s="27" t="s">
        <v>8</v>
      </c>
      <c r="Z183" s="27" t="s">
        <v>7</v>
      </c>
    </row>
    <row r="184" spans="1:33" x14ac:dyDescent="0.25">
      <c r="A184" s="30">
        <v>2.4675208726317021E-3</v>
      </c>
      <c r="F184" s="27" t="s">
        <v>7</v>
      </c>
      <c r="H184" s="27" t="s">
        <v>7</v>
      </c>
      <c r="N184" s="27" t="s">
        <v>7</v>
      </c>
      <c r="U184" s="27" t="s">
        <v>8</v>
      </c>
    </row>
    <row r="185" spans="1:33" x14ac:dyDescent="0.25">
      <c r="A185" s="30">
        <v>2.2432007933015472E-3</v>
      </c>
      <c r="N185" s="27" t="s">
        <v>7</v>
      </c>
      <c r="Q185" s="27" t="s">
        <v>8</v>
      </c>
      <c r="S185" s="27" t="s">
        <v>8</v>
      </c>
      <c r="U185" s="27" t="s">
        <v>8</v>
      </c>
    </row>
    <row r="186" spans="1:33" x14ac:dyDescent="0.25">
      <c r="A186" s="30">
        <v>2.0392734484559519E-3</v>
      </c>
      <c r="N186" s="27" t="s">
        <v>7</v>
      </c>
      <c r="Q186" s="27" t="s">
        <v>8</v>
      </c>
      <c r="R186" s="27" t="s">
        <v>7</v>
      </c>
      <c r="S186" s="27" t="s">
        <v>8</v>
      </c>
      <c r="T186" s="27" t="s">
        <v>7</v>
      </c>
      <c r="U186" s="27" t="s">
        <v>8</v>
      </c>
    </row>
    <row r="187" spans="1:33" x14ac:dyDescent="0.25">
      <c r="A187" s="30">
        <v>1.8538849531417744E-3</v>
      </c>
      <c r="N187" s="27" t="s">
        <v>7</v>
      </c>
      <c r="Q187" s="27" t="s">
        <v>8</v>
      </c>
      <c r="R187" s="27" t="s">
        <v>7</v>
      </c>
      <c r="S187" s="27" t="s">
        <v>8</v>
      </c>
      <c r="T187" s="27" t="s">
        <v>7</v>
      </c>
      <c r="U187" s="27" t="s">
        <v>8</v>
      </c>
    </row>
    <row r="188" spans="1:33" x14ac:dyDescent="0.25">
      <c r="A188" s="30">
        <v>1.6853499574016129E-3</v>
      </c>
      <c r="N188" s="27" t="s">
        <v>7</v>
      </c>
      <c r="Q188" s="27" t="s">
        <v>8</v>
      </c>
      <c r="R188" s="27" t="s">
        <v>7</v>
      </c>
      <c r="T188" s="27" t="s">
        <v>7</v>
      </c>
    </row>
    <row r="189" spans="1:33" x14ac:dyDescent="0.25">
      <c r="A189" s="30">
        <v>1.5321363249105571E-3</v>
      </c>
      <c r="N189" s="27" t="s">
        <v>7</v>
      </c>
      <c r="O189" s="27" t="s">
        <v>8</v>
      </c>
      <c r="Q189" s="27" t="s">
        <v>8</v>
      </c>
    </row>
    <row r="190" spans="1:33" x14ac:dyDescent="0.25">
      <c r="A190" s="30">
        <v>1.3928512044641427E-3</v>
      </c>
      <c r="N190" s="27" t="s">
        <v>7</v>
      </c>
      <c r="O190" s="27" t="s">
        <v>8</v>
      </c>
      <c r="P190" s="27" t="s">
        <v>7</v>
      </c>
      <c r="Q190" s="27" t="s">
        <v>8</v>
      </c>
    </row>
    <row r="191" spans="1:33" x14ac:dyDescent="0.25">
      <c r="A191" s="30">
        <v>1.2662283676946752E-3</v>
      </c>
      <c r="N191" s="27" t="s">
        <v>7</v>
      </c>
      <c r="O191" s="27" t="s">
        <v>8</v>
      </c>
      <c r="P191" s="27" t="s">
        <v>7</v>
      </c>
      <c r="Q191" s="27" t="s">
        <v>8</v>
      </c>
    </row>
    <row r="192" spans="1:33" x14ac:dyDescent="0.25">
      <c r="A192" s="30">
        <v>1.15111669790425E-3</v>
      </c>
      <c r="N192" s="27" t="s">
        <v>7</v>
      </c>
      <c r="O192" s="27" t="s">
        <v>8</v>
      </c>
      <c r="P192" s="27" t="s">
        <v>7</v>
      </c>
    </row>
    <row r="193" spans="1:14" x14ac:dyDescent="0.25">
      <c r="A193" s="30">
        <v>1.0464697253675E-3</v>
      </c>
      <c r="N193" s="27" t="s">
        <v>7</v>
      </c>
    </row>
    <row r="194" spans="1:14" x14ac:dyDescent="0.25">
      <c r="A194" s="30">
        <v>9.5133611397045449E-4</v>
      </c>
    </row>
    <row r="195" spans="1:14" x14ac:dyDescent="0.25">
      <c r="A195" s="30">
        <v>8.6485101270041313E-4</v>
      </c>
    </row>
    <row r="196" spans="1:14" x14ac:dyDescent="0.25">
      <c r="A196" s="30">
        <v>7.862281933640119E-4</v>
      </c>
    </row>
    <row r="197" spans="1:14" x14ac:dyDescent="0.25">
      <c r="A197" s="30">
        <v>7.0760537402761068E-4</v>
      </c>
    </row>
    <row r="198" spans="1:14" x14ac:dyDescent="0.25">
      <c r="A198" s="30">
        <v>6.368448366248496E-4</v>
      </c>
    </row>
    <row r="199" spans="1:14" x14ac:dyDescent="0.25">
      <c r="A199" s="30">
        <v>5.7316035296236471E-4</v>
      </c>
    </row>
    <row r="200" spans="1:14" x14ac:dyDescent="0.25">
      <c r="A200" s="30">
        <v>5.1584431766612821E-4</v>
      </c>
    </row>
    <row r="201" spans="1:14" x14ac:dyDescent="0.25">
      <c r="A201" s="30">
        <v>4.6425988589951538E-4</v>
      </c>
    </row>
    <row r="202" spans="1:14" x14ac:dyDescent="0.25">
      <c r="A202" s="30">
        <v>4.1783389730956383E-4</v>
      </c>
    </row>
    <row r="203" spans="1:14" x14ac:dyDescent="0.25">
      <c r="A203" s="30">
        <v>3.7605050757860746E-4</v>
      </c>
    </row>
    <row r="204" spans="1:14" x14ac:dyDescent="0.25">
      <c r="A204" s="30">
        <v>3.3844545682074675E-4</v>
      </c>
    </row>
    <row r="205" spans="1:14" x14ac:dyDescent="0.25">
      <c r="A205" s="30">
        <v>3.0460091113867208E-4</v>
      </c>
    </row>
    <row r="206" spans="1:14" x14ac:dyDescent="0.25">
      <c r="A206" s="30">
        <v>2.7414082002480487E-4</v>
      </c>
    </row>
    <row r="207" spans="1:14" x14ac:dyDescent="0.25">
      <c r="A207" s="30">
        <v>2.4672673802232442E-4</v>
      </c>
    </row>
    <row r="208" spans="1:14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89" operator="equal">
      <formula>$U$1</formula>
    </cfRule>
    <cfRule type="cellIs" dxfId="30" priority="1290" operator="equal">
      <formula>$S$1</formula>
    </cfRule>
  </conditionalFormatting>
  <conditionalFormatting sqref="D136">
    <cfRule type="cellIs" dxfId="29" priority="1287" operator="equal">
      <formula>$S$1</formula>
    </cfRule>
    <cfRule type="cellIs" dxfId="28" priority="1288" operator="equal">
      <formula>$U$1</formula>
    </cfRule>
  </conditionalFormatting>
  <conditionalFormatting sqref="C102">
    <cfRule type="cellIs" dxfId="27" priority="1285" operator="equal">
      <formula>$U$1</formula>
    </cfRule>
    <cfRule type="cellIs" dxfId="26" priority="1286" operator="equal">
      <formula>$S$1</formula>
    </cfRule>
  </conditionalFormatting>
  <conditionalFormatting sqref="D102">
    <cfRule type="cellIs" dxfId="25" priority="1283" operator="equal">
      <formula>$S$1</formula>
    </cfRule>
    <cfRule type="cellIs" dxfId="24" priority="1284" operator="equal">
      <formula>$U$1</formula>
    </cfRule>
  </conditionalFormatting>
  <conditionalFormatting sqref="C77">
    <cfRule type="cellIs" dxfId="23" priority="1281" operator="equal">
      <formula>$U$1</formula>
    </cfRule>
    <cfRule type="cellIs" dxfId="22" priority="1282" operator="equal">
      <formula>$S$1</formula>
    </cfRule>
  </conditionalFormatting>
  <conditionalFormatting sqref="D77">
    <cfRule type="cellIs" dxfId="21" priority="1279" operator="equal">
      <formula>$S$1</formula>
    </cfRule>
    <cfRule type="cellIs" dxfId="20" priority="1280" operator="equal">
      <formula>$U$1</formula>
    </cfRule>
  </conditionalFormatting>
  <conditionalFormatting sqref="C52">
    <cfRule type="cellIs" dxfId="19" priority="1277" operator="equal">
      <formula>$U$1</formula>
    </cfRule>
    <cfRule type="cellIs" dxfId="18" priority="1278" operator="equal">
      <formula>$S$1</formula>
    </cfRule>
  </conditionalFormatting>
  <conditionalFormatting sqref="D52">
    <cfRule type="cellIs" dxfId="17" priority="1275" operator="equal">
      <formula>$S$1</formula>
    </cfRule>
    <cfRule type="cellIs" dxfId="16" priority="1276" operator="equal">
      <formula>$U$1</formula>
    </cfRule>
  </conditionalFormatting>
  <conditionalFormatting sqref="C26">
    <cfRule type="cellIs" dxfId="15" priority="1273" operator="equal">
      <formula>$U$1</formula>
    </cfRule>
    <cfRule type="cellIs" dxfId="14" priority="1274" operator="equal">
      <formula>$S$1</formula>
    </cfRule>
  </conditionalFormatting>
  <conditionalFormatting sqref="D26">
    <cfRule type="cellIs" dxfId="13" priority="1271" operator="equal">
      <formula>$S$1</formula>
    </cfRule>
    <cfRule type="cellIs" dxfId="12" priority="12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2022-01-28T01:17:01Z</dcterms:modified>
</cp:coreProperties>
</file>