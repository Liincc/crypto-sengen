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991875D8-593A-4609-8FDF-D01D340FF42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16" i="3"/>
  <c r="C122" i="3"/>
  <c r="C133" i="3" s="1"/>
  <c r="C136" i="3" s="1"/>
  <c r="C116" i="4"/>
  <c r="C118" i="4"/>
  <c r="C136" i="4"/>
  <c r="D136" i="4"/>
  <c r="R765" i="1"/>
  <c r="D136" i="5" l="1"/>
  <c r="C138" i="5" s="1"/>
  <c r="D136" i="3"/>
  <c r="C138" i="3" s="1"/>
  <c r="C138" i="4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<sst xmlns="http://schemas.openxmlformats.org/spreadsheetml/2006/main" count="6648" uniqueCount="34">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</sst>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28.15</c:v>
                </c:pt>
                <c:pt idx="1">
                  <c:v>28.69</c:v>
                </c:pt>
                <c:pt idx="2">
                  <c:v>28.61</c:v>
                </c:pt>
                <c:pt idx="3">
                  <c:v>28.26</c:v>
                </c:pt>
                <c:pt idx="4">
                  <c:v>29.47</c:v>
                </c:pt>
                <c:pt idx="5">
                  <c:v>28.8</c:v>
                </c:pt>
                <c:pt idx="6">
                  <c:v>29.85</c:v>
                </c:pt>
                <c:pt idx="7">
                  <c:v>34.18</c:v>
                </c:pt>
                <c:pt idx="8">
                  <c:v>35.840000000000003</c:v>
                </c:pt>
                <c:pt idx="9">
                  <c:v>36.979999999999997</c:v>
                </c:pt>
                <c:pt idx="10">
                  <c:v>36.18</c:v>
                </c:pt>
                <c:pt idx="11">
                  <c:v>38.06</c:v>
                </c:pt>
                <c:pt idx="12">
                  <c:v>38.56</c:v>
                </c:pt>
                <c:pt idx="13">
                  <c:v>37.21</c:v>
                </c:pt>
                <c:pt idx="14">
                  <c:v>36.01</c:v>
                </c:pt>
                <c:pt idx="15">
                  <c:v>37.31</c:v>
                </c:pt>
                <c:pt idx="16">
                  <c:v>35.880000000000003</c:v>
                </c:pt>
                <c:pt idx="17">
                  <c:v>34.450000000000003</c:v>
                </c:pt>
                <c:pt idx="18">
                  <c:v>35.94</c:v>
                </c:pt>
                <c:pt idx="19">
                  <c:v>35.74</c:v>
                </c:pt>
                <c:pt idx="20">
                  <c:v>36.54</c:v>
                </c:pt>
                <c:pt idx="21">
                  <c:v>38.5</c:v>
                </c:pt>
                <c:pt idx="22">
                  <c:v>38.82</c:v>
                </c:pt>
                <c:pt idx="23">
                  <c:v>40.96</c:v>
                </c:pt>
                <c:pt idx="24">
                  <c:v>41.43</c:v>
                </c:pt>
                <c:pt idx="25">
                  <c:v>42.14</c:v>
                </c:pt>
                <c:pt idx="26">
                  <c:v>41.45</c:v>
                </c:pt>
                <c:pt idx="27">
                  <c:v>40.479999999999997</c:v>
                </c:pt>
                <c:pt idx="28">
                  <c:v>41.03</c:v>
                </c:pt>
                <c:pt idx="29">
                  <c:v>40.64</c:v>
                </c:pt>
                <c:pt idx="30">
                  <c:v>41.89</c:v>
                </c:pt>
                <c:pt idx="31">
                  <c:v>45.43</c:v>
                </c:pt>
                <c:pt idx="32">
                  <c:v>44.91</c:v>
                </c:pt>
                <c:pt idx="33">
                  <c:v>45.23</c:v>
                </c:pt>
                <c:pt idx="34">
                  <c:v>45.79</c:v>
                </c:pt>
                <c:pt idx="35">
                  <c:v>44.64</c:v>
                </c:pt>
                <c:pt idx="36">
                  <c:v>42.65</c:v>
                </c:pt>
                <c:pt idx="37">
                  <c:v>42.72</c:v>
                </c:pt>
                <c:pt idx="38">
                  <c:v>41.25</c:v>
                </c:pt>
                <c:pt idx="39">
                  <c:v>40.619999999999997</c:v>
                </c:pt>
                <c:pt idx="40">
                  <c:v>40.81</c:v>
                </c:pt>
                <c:pt idx="41">
                  <c:v>40.29</c:v>
                </c:pt>
                <c:pt idx="42">
                  <c:v>40.950000000000003</c:v>
                </c:pt>
                <c:pt idx="43">
                  <c:v>42.44</c:v>
                </c:pt>
                <c:pt idx="44">
                  <c:v>41.84</c:v>
                </c:pt>
                <c:pt idx="45">
                  <c:v>39.869999999999997</c:v>
                </c:pt>
                <c:pt idx="46">
                  <c:v>44.32</c:v>
                </c:pt>
                <c:pt idx="47">
                  <c:v>43.5</c:v>
                </c:pt>
                <c:pt idx="48">
                  <c:v>44.21</c:v>
                </c:pt>
                <c:pt idx="49">
                  <c:v>42.5</c:v>
                </c:pt>
                <c:pt idx="50">
                  <c:v>45.99</c:v>
                </c:pt>
                <c:pt idx="51">
                  <c:v>46.27</c:v>
                </c:pt>
                <c:pt idx="52">
                  <c:v>46.27</c:v>
                </c:pt>
                <c:pt idx="53">
                  <c:v>42.11</c:v>
                </c:pt>
                <c:pt idx="54">
                  <c:v>44.54</c:v>
                </c:pt>
                <c:pt idx="55">
                  <c:v>51.36</c:v>
                </c:pt>
                <c:pt idx="56">
                  <c:v>54.31</c:v>
                </c:pt>
                <c:pt idx="57">
                  <c:v>55.23</c:v>
                </c:pt>
                <c:pt idx="58">
                  <c:v>55.4</c:v>
                </c:pt>
                <c:pt idx="59">
                  <c:v>55.77</c:v>
                </c:pt>
                <c:pt idx="60">
                  <c:v>55.11</c:v>
                </c:pt>
                <c:pt idx="61">
                  <c:v>54</c:v>
                </c:pt>
                <c:pt idx="62">
                  <c:v>53.56</c:v>
                </c:pt>
                <c:pt idx="63">
                  <c:v>58.24</c:v>
                </c:pt>
                <c:pt idx="64">
                  <c:v>56.17</c:v>
                </c:pt>
                <c:pt idx="65">
                  <c:v>56.93</c:v>
                </c:pt>
                <c:pt idx="66">
                  <c:v>56.7</c:v>
                </c:pt>
                <c:pt idx="67">
                  <c:v>58.92</c:v>
                </c:pt>
                <c:pt idx="68">
                  <c:v>59.64</c:v>
                </c:pt>
                <c:pt idx="69">
                  <c:v>58.74</c:v>
                </c:pt>
                <c:pt idx="70">
                  <c:v>56.61</c:v>
                </c:pt>
                <c:pt idx="71">
                  <c:v>61.63</c:v>
                </c:pt>
                <c:pt idx="72">
                  <c:v>60.51</c:v>
                </c:pt>
                <c:pt idx="73">
                  <c:v>64.81</c:v>
                </c:pt>
                <c:pt idx="74">
                  <c:v>66.81</c:v>
                </c:pt>
                <c:pt idx="75">
                  <c:v>65.849999999999994</c:v>
                </c:pt>
                <c:pt idx="76">
                  <c:v>65.3</c:v>
                </c:pt>
                <c:pt idx="77">
                  <c:v>66.77</c:v>
                </c:pt>
                <c:pt idx="78">
                  <c:v>67.41</c:v>
                </c:pt>
                <c:pt idx="79">
                  <c:v>71.06</c:v>
                </c:pt>
                <c:pt idx="80">
                  <c:v>69.16</c:v>
                </c:pt>
                <c:pt idx="81">
                  <c:v>64.209999999999994</c:v>
                </c:pt>
                <c:pt idx="82">
                  <c:v>63.4</c:v>
                </c:pt>
                <c:pt idx="83">
                  <c:v>63.8</c:v>
                </c:pt>
                <c:pt idx="84">
                  <c:v>64.28</c:v>
                </c:pt>
                <c:pt idx="85">
                  <c:v>66.010000000000005</c:v>
                </c:pt>
                <c:pt idx="86">
                  <c:v>66.099999999999994</c:v>
                </c:pt>
                <c:pt idx="87">
                  <c:v>64.19</c:v>
                </c:pt>
                <c:pt idx="88">
                  <c:v>65.430000000000007</c:v>
                </c:pt>
                <c:pt idx="89">
                  <c:v>63.38</c:v>
                </c:pt>
                <c:pt idx="90">
                  <c:v>65.209999999999994</c:v>
                </c:pt>
                <c:pt idx="91">
                  <c:v>63.94</c:v>
                </c:pt>
                <c:pt idx="92">
                  <c:v>59.38</c:v>
                </c:pt>
                <c:pt idx="93">
                  <c:v>67.09</c:v>
                </c:pt>
                <c:pt idx="94">
                  <c:v>68.739999999999995</c:v>
                </c:pt>
                <c:pt idx="95">
                  <c:v>67.16</c:v>
                </c:pt>
                <c:pt idx="96">
                  <c:v>68.33</c:v>
                </c:pt>
                <c:pt idx="97">
                  <c:v>68.260000000000005</c:v>
                </c:pt>
                <c:pt idx="98">
                  <c:v>68.5</c:v>
                </c:pt>
                <c:pt idx="99">
                  <c:v>71.47</c:v>
                </c:pt>
                <c:pt idx="100">
                  <c:v>69.44</c:v>
                </c:pt>
                <c:pt idx="101">
                  <c:v>68.180000000000007</c:v>
                </c:pt>
                <c:pt idx="102">
                  <c:v>67.91</c:v>
                </c:pt>
                <c:pt idx="103">
                  <c:v>68.98</c:v>
                </c:pt>
                <c:pt idx="104">
                  <c:v>71.7</c:v>
                </c:pt>
                <c:pt idx="105">
                  <c:v>68.45</c:v>
                </c:pt>
                <c:pt idx="106">
                  <c:v>68.84</c:v>
                </c:pt>
                <c:pt idx="107">
                  <c:v>69.319999999999993</c:v>
                </c:pt>
                <c:pt idx="108">
                  <c:v>69.849999999999994</c:v>
                </c:pt>
                <c:pt idx="109">
                  <c:v>65.45</c:v>
                </c:pt>
                <c:pt idx="110">
                  <c:v>68.39</c:v>
                </c:pt>
                <c:pt idx="111">
                  <c:v>65.989999999999995</c:v>
                </c:pt>
                <c:pt idx="112">
                  <c:v>68.12</c:v>
                </c:pt>
                <c:pt idx="113">
                  <c:v>74</c:v>
                </c:pt>
                <c:pt idx="114">
                  <c:v>62.24</c:v>
                </c:pt>
                <c:pt idx="115">
                  <c:v>58.86</c:v>
                </c:pt>
                <c:pt idx="116">
                  <c:v>58.89</c:v>
                </c:pt>
                <c:pt idx="117">
                  <c:v>58.48</c:v>
                </c:pt>
                <c:pt idx="118">
                  <c:v>56.96</c:v>
                </c:pt>
                <c:pt idx="119">
                  <c:v>51.63</c:v>
                </c:pt>
                <c:pt idx="120">
                  <c:v>49.45</c:v>
                </c:pt>
                <c:pt idx="121">
                  <c:v>48.66</c:v>
                </c:pt>
                <c:pt idx="122">
                  <c:v>50.03</c:v>
                </c:pt>
                <c:pt idx="123">
                  <c:v>51.71</c:v>
                </c:pt>
                <c:pt idx="124">
                  <c:v>52.81</c:v>
                </c:pt>
                <c:pt idx="125">
                  <c:v>52.41</c:v>
                </c:pt>
                <c:pt idx="126">
                  <c:v>57.3</c:v>
                </c:pt>
                <c:pt idx="127">
                  <c:v>55.74</c:v>
                </c:pt>
                <c:pt idx="128">
                  <c:v>50.68</c:v>
                </c:pt>
                <c:pt idx="129">
                  <c:v>58.4</c:v>
                </c:pt>
                <c:pt idx="130">
                  <c:v>64.2</c:v>
                </c:pt>
                <c:pt idx="131">
                  <c:v>66.13</c:v>
                </c:pt>
                <c:pt idx="132">
                  <c:v>65.31</c:v>
                </c:pt>
                <c:pt idx="133">
                  <c:v>67.8</c:v>
                </c:pt>
                <c:pt idx="134">
                  <c:v>68.62</c:v>
                </c:pt>
                <c:pt idx="135">
                  <c:v>66.239999999999995</c:v>
                </c:pt>
                <c:pt idx="136">
                  <c:v>64.16</c:v>
                </c:pt>
                <c:pt idx="137">
                  <c:v>66.52</c:v>
                </c:pt>
                <c:pt idx="138">
                  <c:v>65.319999999999993</c:v>
                </c:pt>
                <c:pt idx="139">
                  <c:v>64.78</c:v>
                </c:pt>
                <c:pt idx="140">
                  <c:v>68.73</c:v>
                </c:pt>
                <c:pt idx="141">
                  <c:v>68.3</c:v>
                </c:pt>
                <c:pt idx="142">
                  <c:v>68.52</c:v>
                </c:pt>
                <c:pt idx="143">
                  <c:v>83.08</c:v>
                </c:pt>
                <c:pt idx="144">
                  <c:v>84.45</c:v>
                </c:pt>
                <c:pt idx="145">
                  <c:v>83</c:v>
                </c:pt>
                <c:pt idx="146">
                  <c:v>84.96</c:v>
                </c:pt>
                <c:pt idx="147">
                  <c:v>80.5</c:v>
                </c:pt>
                <c:pt idx="148">
                  <c:v>78.069999999999993</c:v>
                </c:pt>
                <c:pt idx="149">
                  <c:v>75.92</c:v>
                </c:pt>
                <c:pt idx="150">
                  <c:v>76.89</c:v>
                </c:pt>
                <c:pt idx="151">
                  <c:v>77.180000000000007</c:v>
                </c:pt>
                <c:pt idx="152">
                  <c:v>76.94</c:v>
                </c:pt>
                <c:pt idx="153">
                  <c:v>69.260000000000005</c:v>
                </c:pt>
                <c:pt idx="154">
                  <c:v>63.01</c:v>
                </c:pt>
                <c:pt idx="155">
                  <c:v>69.025999999999996</c:v>
                </c:pt>
                <c:pt idx="156">
                  <c:v>66.932000000000002</c:v>
                </c:pt>
                <c:pt idx="157">
                  <c:v>72.216999999999999</c:v>
                </c:pt>
                <c:pt idx="158">
                  <c:v>71.441000000000003</c:v>
                </c:pt>
                <c:pt idx="159">
                  <c:v>72.292000000000002</c:v>
                </c:pt>
                <c:pt idx="160">
                  <c:v>72.989000000000004</c:v>
                </c:pt>
                <c:pt idx="161">
                  <c:v>63.76</c:v>
                </c:pt>
                <c:pt idx="162">
                  <c:v>60.89</c:v>
                </c:pt>
                <c:pt idx="163">
                  <c:v>61.927</c:v>
                </c:pt>
                <c:pt idx="164">
                  <c:v>66.540000000000006</c:v>
                </c:pt>
                <c:pt idx="165">
                  <c:v>70.484999999999999</c:v>
                </c:pt>
                <c:pt idx="166">
                  <c:v>63.899000000000001</c:v>
                </c:pt>
                <c:pt idx="167">
                  <c:v>62.735999999999997</c:v>
                </c:pt>
                <c:pt idx="168">
                  <c:v>58.262999999999998</c:v>
                </c:pt>
                <c:pt idx="169">
                  <c:v>60.03</c:v>
                </c:pt>
                <c:pt idx="170">
                  <c:v>59.204000000000001</c:v>
                </c:pt>
                <c:pt idx="171">
                  <c:v>59.296999999999997</c:v>
                </c:pt>
                <c:pt idx="172">
                  <c:v>56.192999999999998</c:v>
                </c:pt>
                <c:pt idx="173">
                  <c:v>59.259</c:v>
                </c:pt>
                <c:pt idx="174">
                  <c:v>56.003</c:v>
                </c:pt>
                <c:pt idx="175">
                  <c:v>54.801000000000002</c:v>
                </c:pt>
                <c:pt idx="176">
                  <c:v>54.387</c:v>
                </c:pt>
                <c:pt idx="177">
                  <c:v>53.073</c:v>
                </c:pt>
                <c:pt idx="178">
                  <c:v>55.28</c:v>
                </c:pt>
                <c:pt idx="179">
                  <c:v>50.146999999999998</c:v>
                </c:pt>
                <c:pt idx="180">
                  <c:v>51.594000000000001</c:v>
                </c:pt>
                <c:pt idx="181">
                  <c:v>52.406999999999996</c:v>
                </c:pt>
                <c:pt idx="182">
                  <c:v>46.78</c:v>
                </c:pt>
                <c:pt idx="183">
                  <c:v>46.78</c:v>
                </c:pt>
                <c:pt idx="184">
                  <c:v>47.173000000000002</c:v>
                </c:pt>
                <c:pt idx="185">
                  <c:v>44.064</c:v>
                </c:pt>
                <c:pt idx="186">
                  <c:v>43.353000000000002</c:v>
                </c:pt>
                <c:pt idx="187">
                  <c:v>42.738999999999997</c:v>
                </c:pt>
                <c:pt idx="188">
                  <c:v>40.679000000000002</c:v>
                </c:pt>
                <c:pt idx="189">
                  <c:v>38.081000000000003</c:v>
                </c:pt>
                <c:pt idx="190">
                  <c:v>37.692999999999998</c:v>
                </c:pt>
                <c:pt idx="191">
                  <c:v>34.758000000000003</c:v>
                </c:pt>
                <c:pt idx="192">
                  <c:v>1.2080000000000001E-3</c:v>
                </c:pt>
                <c:pt idx="193">
                  <c:v>1.1999999999999999E-3</c:v>
                </c:pt>
                <c:pt idx="194">
                  <c:v>1.193E-3</c:v>
                </c:pt>
                <c:pt idx="195">
                  <c:v>1.186E-3</c:v>
                </c:pt>
                <c:pt idx="196">
                  <c:v>1.258E-3</c:v>
                </c:pt>
                <c:pt idx="197">
                  <c:v>1.3029999999999999E-3</c:v>
                </c:pt>
                <c:pt idx="198">
                  <c:v>1.279E-3</c:v>
                </c:pt>
                <c:pt idx="199">
                  <c:v>1.3010000000000001E-3</c:v>
                </c:pt>
                <c:pt idx="200">
                  <c:v>1.2949999999999999E-3</c:v>
                </c:pt>
                <c:pt idx="201">
                  <c:v>1.3029999999999999E-3</c:v>
                </c:pt>
                <c:pt idx="202">
                  <c:v>1.3320000000000001E-3</c:v>
                </c:pt>
                <c:pt idx="203">
                  <c:v>1.371E-3</c:v>
                </c:pt>
                <c:pt idx="204">
                  <c:v>1.39E-3</c:v>
                </c:pt>
                <c:pt idx="205">
                  <c:v>1.3960000000000001E-3</c:v>
                </c:pt>
                <c:pt idx="206">
                  <c:v>1.354E-3</c:v>
                </c:pt>
                <c:pt idx="207">
                  <c:v>1.369E-3</c:v>
                </c:pt>
                <c:pt idx="208">
                  <c:v>1.374E-3</c:v>
                </c:pt>
                <c:pt idx="209">
                  <c:v>1.3860000000000001E-3</c:v>
                </c:pt>
                <c:pt idx="210">
                  <c:v>1.4189999999999999E-3</c:v>
                </c:pt>
                <c:pt idx="211">
                  <c:v>1.436E-3</c:v>
                </c:pt>
                <c:pt idx="212">
                  <c:v>1.3309999999999999E-3</c:v>
                </c:pt>
                <c:pt idx="213">
                  <c:v>1.224E-3</c:v>
                </c:pt>
                <c:pt idx="214">
                  <c:v>1.1789999999999999E-3</c:v>
                </c:pt>
                <c:pt idx="215">
                  <c:v>1.193E-3</c:v>
                </c:pt>
                <c:pt idx="216">
                  <c:v>1.2110000000000001E-3</c:v>
                </c:pt>
                <c:pt idx="217">
                  <c:v>1.1869999999999999E-3</c:v>
                </c:pt>
                <c:pt idx="218">
                  <c:v>1.0950000000000001E-3</c:v>
                </c:pt>
                <c:pt idx="219">
                  <c:v>1.0449999999999999E-3</c:v>
                </c:pt>
                <c:pt idx="220">
                  <c:v>1.1789999999999999E-3</c:v>
                </c:pt>
                <c:pt idx="221">
                  <c:v>1.451E-3</c:v>
                </c:pt>
                <c:pt idx="222">
                  <c:v>1.472E-3</c:v>
                </c:pt>
                <c:pt idx="223">
                  <c:v>1.5120000000000001E-3</c:v>
                </c:pt>
                <c:pt idx="224">
                  <c:v>1.518E-3</c:v>
                </c:pt>
                <c:pt idx="225">
                  <c:v>1.4300000000000001E-3</c:v>
                </c:pt>
                <c:pt idx="226">
                  <c:v>1.456E-3</c:v>
                </c:pt>
                <c:pt idx="227">
                  <c:v>1.474E-3</c:v>
                </c:pt>
                <c:pt idx="228">
                  <c:v>1.5070000000000001E-3</c:v>
                </c:pt>
                <c:pt idx="229">
                  <c:v>1.573E-3</c:v>
                </c:pt>
                <c:pt idx="230">
                  <c:v>1.5430000000000001E-3</c:v>
                </c:pt>
                <c:pt idx="231">
                  <c:v>1.8910000000000001E-3</c:v>
                </c:pt>
                <c:pt idx="232">
                  <c:v>1.9059999999999999E-3</c:v>
                </c:pt>
                <c:pt idx="233">
                  <c:v>1.583E-3</c:v>
                </c:pt>
                <c:pt idx="234">
                  <c:v>1.5120000000000001E-3</c:v>
                </c:pt>
                <c:pt idx="235">
                  <c:v>1.5809999999999999E-3</c:v>
                </c:pt>
                <c:pt idx="236">
                  <c:v>1.552E-3</c:v>
                </c:pt>
                <c:pt idx="237">
                  <c:v>1.557E-3</c:v>
                </c:pt>
                <c:pt idx="238">
                  <c:v>1.5759999999999999E-3</c:v>
                </c:pt>
                <c:pt idx="239">
                  <c:v>1.572E-3</c:v>
                </c:pt>
                <c:pt idx="240">
                  <c:v>1.573E-3</c:v>
                </c:pt>
                <c:pt idx="241">
                  <c:v>1.6119999999999999E-3</c:v>
                </c:pt>
                <c:pt idx="242">
                  <c:v>1.6000000000000001E-3</c:v>
                </c:pt>
                <c:pt idx="243">
                  <c:v>1.614E-3</c:v>
                </c:pt>
                <c:pt idx="244">
                  <c:v>1.6379999999999999E-3</c:v>
                </c:pt>
                <c:pt idx="245">
                  <c:v>1.7279999999999999E-3</c:v>
                </c:pt>
                <c:pt idx="246">
                  <c:v>1.6999999999999999E-3</c:v>
                </c:pt>
                <c:pt idx="247">
                  <c:v>1.6360000000000001E-3</c:v>
                </c:pt>
                <c:pt idx="248">
                  <c:v>1.601E-3</c:v>
                </c:pt>
                <c:pt idx="249">
                  <c:v>1.446E-3</c:v>
                </c:pt>
                <c:pt idx="250">
                  <c:v>1.4859999999999999E-3</c:v>
                </c:pt>
                <c:pt idx="251">
                  <c:v>1.64E-3</c:v>
                </c:pt>
                <c:pt idx="252">
                  <c:v>1.6900000000000001E-3</c:v>
                </c:pt>
                <c:pt idx="253">
                  <c:v>1.585E-3</c:v>
                </c:pt>
                <c:pt idx="254">
                  <c:v>2.0400000000000001E-3</c:v>
                </c:pt>
                <c:pt idx="255">
                  <c:v>1.99E-3</c:v>
                </c:pt>
                <c:pt idx="256">
                  <c:v>2.0400000000000001E-3</c:v>
                </c:pt>
                <c:pt idx="257">
                  <c:v>2.0479999999999999E-3</c:v>
                </c:pt>
                <c:pt idx="258">
                  <c:v>2.049E-3</c:v>
                </c:pt>
                <c:pt idx="259">
                  <c:v>1.887E-3</c:v>
                </c:pt>
                <c:pt idx="260">
                  <c:v>1.843E-3</c:v>
                </c:pt>
                <c:pt idx="261">
                  <c:v>2.1069999999999999E-3</c:v>
                </c:pt>
                <c:pt idx="262">
                  <c:v>1.9870000000000001E-3</c:v>
                </c:pt>
                <c:pt idx="263">
                  <c:v>2.1559999999999999E-3</c:v>
                </c:pt>
                <c:pt idx="264">
                  <c:v>2.2330000000000002E-3</c:v>
                </c:pt>
                <c:pt idx="265">
                  <c:v>2.2729999999999998E-3</c:v>
                </c:pt>
                <c:pt idx="266">
                  <c:v>2.4949999999999998E-3</c:v>
                </c:pt>
                <c:pt idx="267">
                  <c:v>2.3210000000000001E-3</c:v>
                </c:pt>
                <c:pt idx="268">
                  <c:v>2.0219999999999999E-3</c:v>
                </c:pt>
                <c:pt idx="269">
                  <c:v>1.6750000000000001E-3</c:v>
                </c:pt>
                <c:pt idx="270">
                  <c:v>1.6440000000000001E-3</c:v>
                </c:pt>
                <c:pt idx="271">
                  <c:v>1.65E-3</c:v>
                </c:pt>
                <c:pt idx="272">
                  <c:v>1.6180000000000001E-3</c:v>
                </c:pt>
                <c:pt idx="273">
                  <c:v>1.6490000000000001E-3</c:v>
                </c:pt>
                <c:pt idx="274">
                  <c:v>1.6670000000000001E-3</c:v>
                </c:pt>
                <c:pt idx="275">
                  <c:v>1.6310000000000001E-3</c:v>
                </c:pt>
                <c:pt idx="276">
                  <c:v>1.603E-3</c:v>
                </c:pt>
                <c:pt idx="277">
                  <c:v>1.5169999999999999E-3</c:v>
                </c:pt>
                <c:pt idx="278">
                  <c:v>1.542E-3</c:v>
                </c:pt>
                <c:pt idx="279">
                  <c:v>1.6410000000000001E-3</c:v>
                </c:pt>
                <c:pt idx="280">
                  <c:v>1.4159999999999999E-3</c:v>
                </c:pt>
                <c:pt idx="281">
                  <c:v>1.5809999999999999E-3</c:v>
                </c:pt>
                <c:pt idx="282">
                  <c:v>1.681E-3</c:v>
                </c:pt>
                <c:pt idx="283">
                  <c:v>1.5640000000000001E-3</c:v>
                </c:pt>
                <c:pt idx="284">
                  <c:v>1.668E-3</c:v>
                </c:pt>
                <c:pt idx="285">
                  <c:v>1.7769999999999999E-3</c:v>
                </c:pt>
                <c:pt idx="286">
                  <c:v>1.8680000000000001E-3</c:v>
                </c:pt>
                <c:pt idx="287">
                  <c:v>1.7030000000000001E-3</c:v>
                </c:pt>
                <c:pt idx="288">
                  <c:v>1.727E-3</c:v>
                </c:pt>
                <c:pt idx="289">
                  <c:v>1.7309999999999999E-3</c:v>
                </c:pt>
                <c:pt idx="290">
                  <c:v>1.7619999999999999E-3</c:v>
                </c:pt>
                <c:pt idx="291">
                  <c:v>1.879E-3</c:v>
                </c:pt>
                <c:pt idx="292">
                  <c:v>1.805E-3</c:v>
                </c:pt>
                <c:pt idx="293">
                  <c:v>1.756E-3</c:v>
                </c:pt>
                <c:pt idx="294">
                  <c:v>1.7489999999999999E-3</c:v>
                </c:pt>
                <c:pt idx="295">
                  <c:v>1.4170000000000001E-3</c:v>
                </c:pt>
                <c:pt idx="296">
                  <c:v>1.2210000000000001E-3</c:v>
                </c:pt>
                <c:pt idx="297">
                  <c:v>7.9600000000000005E-4</c:v>
                </c:pt>
                <c:pt idx="298">
                  <c:v>6.9999999999999999E-4</c:v>
                </c:pt>
                <c:pt idx="299">
                  <c:v>6.5099999999999999E-4</c:v>
                </c:pt>
                <c:pt idx="300">
                  <c:v>6.5700000000000003E-4</c:v>
                </c:pt>
                <c:pt idx="301">
                  <c:v>6.5600000000000001E-4</c:v>
                </c:pt>
                <c:pt idx="302">
                  <c:v>6.7299999999999999E-4</c:v>
                </c:pt>
                <c:pt idx="303">
                  <c:v>6.1300000000000005E-4</c:v>
                </c:pt>
                <c:pt idx="304">
                  <c:v>5.9999999999999995E-4</c:v>
                </c:pt>
                <c:pt idx="305">
                  <c:v>5.8600000000000004E-4</c:v>
                </c:pt>
                <c:pt idx="306">
                  <c:v>5.9500000000000004E-4</c:v>
                </c:pt>
                <c:pt idx="307">
                  <c:v>5.8900000000000001E-4</c:v>
                </c:pt>
                <c:pt idx="308">
                  <c:v>5.8600000000000004E-4</c:v>
                </c:pt>
                <c:pt idx="309">
                  <c:v>5.8399999999999999E-4</c:v>
                </c:pt>
                <c:pt idx="310">
                  <c:v>6.0599999999999998E-4</c:v>
                </c:pt>
                <c:pt idx="311">
                  <c:v>5.5699999999999999E-4</c:v>
                </c:pt>
                <c:pt idx="312">
                  <c:v>5.0699999999999996E-4</c:v>
                </c:pt>
                <c:pt idx="313">
                  <c:v>5.1800000000000001E-4</c:v>
                </c:pt>
                <c:pt idx="314">
                  <c:v>5.22E-4</c:v>
                </c:pt>
                <c:pt idx="315">
                  <c:v>5.2800000000000004E-4</c:v>
                </c:pt>
                <c:pt idx="316">
                  <c:v>5.3300000000000005E-4</c:v>
                </c:pt>
                <c:pt idx="317">
                  <c:v>5.3600000000000002E-4</c:v>
                </c:pt>
                <c:pt idx="318">
                  <c:v>5.3600000000000002E-4</c:v>
                </c:pt>
                <c:pt idx="319">
                  <c:v>5.53E-4</c:v>
                </c:pt>
                <c:pt idx="320">
                  <c:v>5.8399999999999999E-4</c:v>
                </c:pt>
                <c:pt idx="321">
                  <c:v>5.62E-4</c:v>
                </c:pt>
                <c:pt idx="322">
                  <c:v>5.8500000000000002E-4</c:v>
                </c:pt>
                <c:pt idx="323">
                  <c:v>6.2299999999999996E-4</c:v>
                </c:pt>
                <c:pt idx="324">
                  <c:v>5.6599999999999999E-4</c:v>
                </c:pt>
                <c:pt idx="325">
                  <c:v>5.6300000000000002E-4</c:v>
                </c:pt>
                <c:pt idx="326">
                  <c:v>5.6700000000000001E-4</c:v>
                </c:pt>
                <c:pt idx="327">
                  <c:v>5.6700000000000001E-4</c:v>
                </c:pt>
                <c:pt idx="328">
                  <c:v>5.62E-4</c:v>
                </c:pt>
                <c:pt idx="329">
                  <c:v>5.6499999999999996E-4</c:v>
                </c:pt>
                <c:pt idx="330">
                  <c:v>5.53E-4</c:v>
                </c:pt>
                <c:pt idx="331">
                  <c:v>5.4699999999999996E-4</c:v>
                </c:pt>
                <c:pt idx="332">
                  <c:v>5.31E-4</c:v>
                </c:pt>
                <c:pt idx="333">
                  <c:v>5.2999999999999998E-4</c:v>
                </c:pt>
                <c:pt idx="334">
                  <c:v>5.5999999999999995E-4</c:v>
                </c:pt>
                <c:pt idx="335">
                  <c:v>5.5599999999999996E-4</c:v>
                </c:pt>
                <c:pt idx="336">
                  <c:v>5.6099999999999998E-4</c:v>
                </c:pt>
                <c:pt idx="337">
                  <c:v>5.5400000000000002E-4</c:v>
                </c:pt>
                <c:pt idx="338">
                  <c:v>5.4500000000000002E-4</c:v>
                </c:pt>
                <c:pt idx="339">
                  <c:v>6.1300000000000005E-4</c:v>
                </c:pt>
                <c:pt idx="340">
                  <c:v>5.6300000000000002E-4</c:v>
                </c:pt>
                <c:pt idx="341">
                  <c:v>4.5600000000000003E-4</c:v>
                </c:pt>
                <c:pt idx="342">
                  <c:v>4.9299999999999995E-4</c:v>
                </c:pt>
                <c:pt idx="343">
                  <c:v>5.1000000000000004E-4</c:v>
                </c:pt>
                <c:pt idx="344">
                  <c:v>5.2099999999999998E-4</c:v>
                </c:pt>
                <c:pt idx="345">
                  <c:v>5.3399999999999997E-4</c:v>
                </c:pt>
                <c:pt idx="346">
                  <c:v>5.8200000000000005E-4</c:v>
                </c:pt>
                <c:pt idx="347">
                  <c:v>5.3700000000000004E-4</c:v>
                </c:pt>
                <c:pt idx="348">
                  <c:v>3.7399999999999998E-4</c:v>
                </c:pt>
                <c:pt idx="349">
                  <c:v>3.2600000000000001E-4</c:v>
                </c:pt>
                <c:pt idx="350">
                  <c:v>3.1799999999999998E-4</c:v>
                </c:pt>
                <c:pt idx="351">
                  <c:v>3.2000000000000003E-4</c:v>
                </c:pt>
                <c:pt idx="352">
                  <c:v>3.0600000000000001E-4</c:v>
                </c:pt>
                <c:pt idx="353">
                  <c:v>2.9500000000000001E-4</c:v>
                </c:pt>
                <c:pt idx="354">
                  <c:v>3.1599999999999998E-4</c:v>
                </c:pt>
                <c:pt idx="355">
                  <c:v>3.2299999999999999E-4</c:v>
                </c:pt>
                <c:pt idx="356">
                  <c:v>3.1500000000000001E-4</c:v>
                </c:pt>
                <c:pt idx="357">
                  <c:v>2.9999999999999997E-4</c:v>
                </c:pt>
                <c:pt idx="358">
                  <c:v>3.0899999999999998E-4</c:v>
                </c:pt>
                <c:pt idx="359">
                  <c:v>3.1399999999999999E-4</c:v>
                </c:pt>
                <c:pt idx="360">
                  <c:v>3.1500000000000001E-4</c:v>
                </c:pt>
                <c:pt idx="361">
                  <c:v>3.1700000000000001E-4</c:v>
                </c:pt>
                <c:pt idx="362">
                  <c:v>3.1700000000000001E-4</c:v>
                </c:pt>
                <c:pt idx="363">
                  <c:v>3.2000000000000003E-4</c:v>
                </c:pt>
                <c:pt idx="364">
                  <c:v>3.1300000000000002E-4</c:v>
                </c:pt>
                <c:pt idx="365">
                  <c:v>3.19E-4</c:v>
                </c:pt>
                <c:pt idx="366">
                  <c:v>3.2600000000000001E-4</c:v>
                </c:pt>
                <c:pt idx="367">
                  <c:v>3.3399999999999999E-4</c:v>
                </c:pt>
                <c:pt idx="368">
                  <c:v>3.4400000000000001E-4</c:v>
                </c:pt>
                <c:pt idx="369">
                  <c:v>3.3300000000000002E-4</c:v>
                </c:pt>
                <c:pt idx="370">
                  <c:v>3.2299999999999999E-4</c:v>
                </c:pt>
                <c:pt idx="371">
                  <c:v>3.3199999999999999E-4</c:v>
                </c:pt>
                <c:pt idx="372">
                  <c:v>3.4699999999999998E-4</c:v>
                </c:pt>
                <c:pt idx="373">
                  <c:v>3.48E-4</c:v>
                </c:pt>
                <c:pt idx="374">
                  <c:v>3.4600000000000001E-4</c:v>
                </c:pt>
                <c:pt idx="375">
                  <c:v>3.4600000000000001E-4</c:v>
                </c:pt>
                <c:pt idx="376">
                  <c:v>3.5500000000000001E-4</c:v>
                </c:pt>
                <c:pt idx="377">
                  <c:v>3.4900000000000003E-4</c:v>
                </c:pt>
                <c:pt idx="378">
                  <c:v>3.5100000000000002E-4</c:v>
                </c:pt>
                <c:pt idx="379">
                  <c:v>3.6400000000000001E-4</c:v>
                </c:pt>
                <c:pt idx="380">
                  <c:v>3.7399999999999998E-4</c:v>
                </c:pt>
                <c:pt idx="381">
                  <c:v>3.4600000000000001E-4</c:v>
                </c:pt>
                <c:pt idx="382">
                  <c:v>3.5300000000000002E-4</c:v>
                </c:pt>
                <c:pt idx="383">
                  <c:v>3.3599999999999998E-4</c:v>
                </c:pt>
                <c:pt idx="384">
                  <c:v>2.7399999999999999E-4</c:v>
                </c:pt>
                <c:pt idx="385">
                  <c:v>2.5700000000000001E-4</c:v>
                </c:pt>
                <c:pt idx="386">
                  <c:v>2.5599999999999999E-4</c:v>
                </c:pt>
                <c:pt idx="387">
                  <c:v>2.6499999999999999E-4</c:v>
                </c:pt>
                <c:pt idx="388">
                  <c:v>2.7399999999999999E-4</c:v>
                </c:pt>
                <c:pt idx="389">
                  <c:v>2.6400000000000002E-4</c:v>
                </c:pt>
                <c:pt idx="390">
                  <c:v>2.61E-4</c:v>
                </c:pt>
                <c:pt idx="391">
                  <c:v>2.8600000000000001E-4</c:v>
                </c:pt>
                <c:pt idx="392">
                  <c:v>2.8699999999999998E-4</c:v>
                </c:pt>
                <c:pt idx="393">
                  <c:v>2.9500000000000001E-4</c:v>
                </c:pt>
                <c:pt idx="394">
                  <c:v>3.0600000000000001E-4</c:v>
                </c:pt>
                <c:pt idx="395">
                  <c:v>3.19E-4</c:v>
                </c:pt>
                <c:pt idx="396">
                  <c:v>3.2899999999999997E-4</c:v>
                </c:pt>
                <c:pt idx="397">
                  <c:v>3.28E-4</c:v>
                </c:pt>
                <c:pt idx="398">
                  <c:v>3.4400000000000001E-4</c:v>
                </c:pt>
                <c:pt idx="399">
                  <c:v>3.57E-4</c:v>
                </c:pt>
                <c:pt idx="400">
                  <c:v>3.3799999999999998E-4</c:v>
                </c:pt>
                <c:pt idx="401">
                  <c:v>3.8200000000000002E-4</c:v>
                </c:pt>
                <c:pt idx="402">
                  <c:v>4.0200000000000001E-4</c:v>
                </c:pt>
                <c:pt idx="403">
                  <c:v>4.17E-4</c:v>
                </c:pt>
                <c:pt idx="404">
                  <c:v>4.08E-4</c:v>
                </c:pt>
                <c:pt idx="405">
                  <c:v>4.1800000000000002E-4</c:v>
                </c:pt>
                <c:pt idx="406">
                  <c:v>4.2000000000000002E-4</c:v>
                </c:pt>
                <c:pt idx="407">
                  <c:v>4.3800000000000002E-4</c:v>
                </c:pt>
                <c:pt idx="408">
                  <c:v>4.5300000000000001E-4</c:v>
                </c:pt>
                <c:pt idx="409">
                  <c:v>4.5300000000000001E-4</c:v>
                </c:pt>
                <c:pt idx="410">
                  <c:v>4.6299999999999998E-4</c:v>
                </c:pt>
                <c:pt idx="411">
                  <c:v>4.5199999999999998E-4</c:v>
                </c:pt>
                <c:pt idx="412">
                  <c:v>4.5100000000000001E-4</c:v>
                </c:pt>
                <c:pt idx="413">
                  <c:v>4.5600000000000003E-4</c:v>
                </c:pt>
                <c:pt idx="414">
                  <c:v>4.6500000000000003E-4</c:v>
                </c:pt>
                <c:pt idx="415">
                  <c:v>4.6900000000000002E-4</c:v>
                </c:pt>
                <c:pt idx="416">
                  <c:v>4.7399999999999997E-4</c:v>
                </c:pt>
                <c:pt idx="417">
                  <c:v>4.84E-4</c:v>
                </c:pt>
                <c:pt idx="418">
                  <c:v>4.8999999999999998E-4</c:v>
                </c:pt>
                <c:pt idx="419">
                  <c:v>4.9200000000000003E-4</c:v>
                </c:pt>
                <c:pt idx="420">
                  <c:v>4.8200000000000001E-4</c:v>
                </c:pt>
                <c:pt idx="421">
                  <c:v>4.8000000000000001E-4</c:v>
                </c:pt>
                <c:pt idx="422">
                  <c:v>4.8099999999999998E-4</c:v>
                </c:pt>
                <c:pt idx="423">
                  <c:v>4.9299999999999995E-4</c:v>
                </c:pt>
                <c:pt idx="424">
                  <c:v>5.0699999999999996E-4</c:v>
                </c:pt>
                <c:pt idx="425">
                  <c:v>5.13E-4</c:v>
                </c:pt>
                <c:pt idx="426">
                  <c:v>5.0600000000000005E-4</c:v>
                </c:pt>
                <c:pt idx="427">
                  <c:v>4.9399999999999997E-4</c:v>
                </c:pt>
                <c:pt idx="428">
                  <c:v>5.2300000000000003E-4</c:v>
                </c:pt>
                <c:pt idx="429">
                  <c:v>5.2700000000000002E-4</c:v>
                </c:pt>
                <c:pt idx="430">
                  <c:v>5.2899999999999996E-4</c:v>
                </c:pt>
                <c:pt idx="431">
                  <c:v>5.0900000000000001E-4</c:v>
                </c:pt>
                <c:pt idx="432">
                  <c:v>5.2999999999999998E-4</c:v>
                </c:pt>
                <c:pt idx="433">
                  <c:v>5.0500000000000002E-4</c:v>
                </c:pt>
                <c:pt idx="434">
                  <c:v>4.9700000000000005E-4</c:v>
                </c:pt>
                <c:pt idx="435">
                  <c:v>5.2599999999999999E-4</c:v>
                </c:pt>
                <c:pt idx="436">
                  <c:v>4.6000000000000001E-4</c:v>
                </c:pt>
                <c:pt idx="437">
                  <c:v>4.7399999999999997E-4</c:v>
                </c:pt>
                <c:pt idx="438">
                  <c:v>4.6500000000000003E-4</c:v>
                </c:pt>
                <c:pt idx="439">
                  <c:v>4.8000000000000001E-4</c:v>
                </c:pt>
                <c:pt idx="440">
                  <c:v>4.66E-4</c:v>
                </c:pt>
                <c:pt idx="441">
                  <c:v>4.6299999999999998E-4</c:v>
                </c:pt>
                <c:pt idx="442">
                  <c:v>4.75E-4</c:v>
                </c:pt>
                <c:pt idx="443">
                  <c:v>4.8099999999999998E-4</c:v>
                </c:pt>
                <c:pt idx="444">
                  <c:v>4.7800000000000002E-4</c:v>
                </c:pt>
                <c:pt idx="445">
                  <c:v>4.84E-4</c:v>
                </c:pt>
                <c:pt idx="446">
                  <c:v>4.9100000000000001E-4</c:v>
                </c:pt>
                <c:pt idx="447">
                  <c:v>4.9100000000000001E-4</c:v>
                </c:pt>
                <c:pt idx="448">
                  <c:v>4.6799999999999999E-4</c:v>
                </c:pt>
                <c:pt idx="449">
                  <c:v>5.0000000000000001E-4</c:v>
                </c:pt>
                <c:pt idx="450">
                  <c:v>4.9799999999999996E-4</c:v>
                </c:pt>
                <c:pt idx="451">
                  <c:v>5.1099999999999995E-4</c:v>
                </c:pt>
                <c:pt idx="452">
                  <c:v>5.2800000000000004E-4</c:v>
                </c:pt>
                <c:pt idx="453">
                  <c:v>5.13E-4</c:v>
                </c:pt>
                <c:pt idx="454">
                  <c:v>5.2499999999999997E-4</c:v>
                </c:pt>
                <c:pt idx="455">
                  <c:v>5.31E-4</c:v>
                </c:pt>
                <c:pt idx="456">
                  <c:v>5.53E-4</c:v>
                </c:pt>
                <c:pt idx="457">
                  <c:v>5.53E-4</c:v>
                </c:pt>
                <c:pt idx="458">
                  <c:v>5.7300000000000005E-4</c:v>
                </c:pt>
                <c:pt idx="459">
                  <c:v>6.0599999999999998E-4</c:v>
                </c:pt>
                <c:pt idx="460">
                  <c:v>6.0499999999999996E-4</c:v>
                </c:pt>
                <c:pt idx="461">
                  <c:v>6.0999999999999997E-4</c:v>
                </c:pt>
                <c:pt idx="462">
                  <c:v>6.0300000000000002E-4</c:v>
                </c:pt>
                <c:pt idx="463">
                  <c:v>6.1300000000000005E-4</c:v>
                </c:pt>
                <c:pt idx="464">
                  <c:v>6.2699999999999995E-4</c:v>
                </c:pt>
                <c:pt idx="465">
                  <c:v>6.5799999999999995E-4</c:v>
                </c:pt>
                <c:pt idx="466">
                  <c:v>6.7100000000000005E-4</c:v>
                </c:pt>
                <c:pt idx="467">
                  <c:v>6.7100000000000005E-4</c:v>
                </c:pt>
                <c:pt idx="468">
                  <c:v>6.7199999999999996E-4</c:v>
                </c:pt>
                <c:pt idx="469">
                  <c:v>6.8300000000000001E-4</c:v>
                </c:pt>
                <c:pt idx="470">
                  <c:v>6.7900000000000002E-4</c:v>
                </c:pt>
                <c:pt idx="471">
                  <c:v>7.1000000000000002E-4</c:v>
                </c:pt>
                <c:pt idx="472">
                  <c:v>7.1100000000000004E-4</c:v>
                </c:pt>
                <c:pt idx="473">
                  <c:v>7.2900000000000005E-4</c:v>
                </c:pt>
                <c:pt idx="474">
                  <c:v>7.3099999999999999E-4</c:v>
                </c:pt>
                <c:pt idx="475">
                  <c:v>7.3499999999999998E-4</c:v>
                </c:pt>
                <c:pt idx="476">
                  <c:v>7.2999999999999996E-4</c:v>
                </c:pt>
                <c:pt idx="477">
                  <c:v>7.2000000000000005E-4</c:v>
                </c:pt>
                <c:pt idx="478">
                  <c:v>7.2300000000000001E-4</c:v>
                </c:pt>
                <c:pt idx="479">
                  <c:v>7.2599999999999997E-4</c:v>
                </c:pt>
                <c:pt idx="480">
                  <c:v>7.3300000000000004E-4</c:v>
                </c:pt>
                <c:pt idx="481">
                  <c:v>7.3099999999999999E-4</c:v>
                </c:pt>
                <c:pt idx="482">
                  <c:v>7.2099999999999996E-4</c:v>
                </c:pt>
                <c:pt idx="483">
                  <c:v>7.3700000000000002E-4</c:v>
                </c:pt>
                <c:pt idx="484">
                  <c:v>7.4100000000000001E-4</c:v>
                </c:pt>
                <c:pt idx="485">
                  <c:v>7.4299999999999995E-4</c:v>
                </c:pt>
                <c:pt idx="486">
                  <c:v>7.3899999999999997E-4</c:v>
                </c:pt>
                <c:pt idx="487">
                  <c:v>7.4399999999999998E-4</c:v>
                </c:pt>
                <c:pt idx="488">
                  <c:v>7.3899999999999997E-4</c:v>
                </c:pt>
                <c:pt idx="489">
                  <c:v>7.3800000000000005E-4</c:v>
                </c:pt>
                <c:pt idx="490">
                  <c:v>7.2099999999999996E-4</c:v>
                </c:pt>
                <c:pt idx="491">
                  <c:v>7.2400000000000003E-4</c:v>
                </c:pt>
                <c:pt idx="492">
                  <c:v>7.5500000000000003E-4</c:v>
                </c:pt>
                <c:pt idx="493">
                  <c:v>7.5199999999999996E-4</c:v>
                </c:pt>
                <c:pt idx="494">
                  <c:v>7.4600000000000003E-4</c:v>
                </c:pt>
                <c:pt idx="495">
                  <c:v>7.4299999999999995E-4</c:v>
                </c:pt>
                <c:pt idx="496">
                  <c:v>7.5299999999999998E-4</c:v>
                </c:pt>
                <c:pt idx="497">
                  <c:v>7.5699999999999997E-4</c:v>
                </c:pt>
                <c:pt idx="498">
                  <c:v>7.5900000000000002E-4</c:v>
                </c:pt>
                <c:pt idx="499">
                  <c:v>7.76E-4</c:v>
                </c:pt>
                <c:pt idx="500">
                  <c:v>7.9600000000000005E-4</c:v>
                </c:pt>
                <c:pt idx="501">
                  <c:v>8.1400000000000005E-4</c:v>
                </c:pt>
                <c:pt idx="502">
                  <c:v>8.2899999999999998E-4</c:v>
                </c:pt>
                <c:pt idx="503">
                  <c:v>8.2600000000000002E-4</c:v>
                </c:pt>
                <c:pt idx="504">
                  <c:v>8.2799999999999996E-4</c:v>
                </c:pt>
                <c:pt idx="505">
                  <c:v>8.2299999999999995E-4</c:v>
                </c:pt>
                <c:pt idx="506">
                  <c:v>8.1599999999999999E-4</c:v>
                </c:pt>
                <c:pt idx="507">
                  <c:v>8.2399999999999997E-4</c:v>
                </c:pt>
                <c:pt idx="508">
                  <c:v>8.0500000000000005E-4</c:v>
                </c:pt>
                <c:pt idx="509">
                  <c:v>8.0099999999999995E-4</c:v>
                </c:pt>
                <c:pt idx="510">
                  <c:v>8.1700000000000002E-4</c:v>
                </c:pt>
                <c:pt idx="511">
                  <c:v>8.1700000000000002E-4</c:v>
                </c:pt>
                <c:pt idx="512">
                  <c:v>8.4500000000000005E-4</c:v>
                </c:pt>
                <c:pt idx="513">
                  <c:v>8.7500000000000002E-4</c:v>
                </c:pt>
                <c:pt idx="514">
                  <c:v>8.6700000000000004E-4</c:v>
                </c:pt>
                <c:pt idx="515">
                  <c:v>8.7000000000000001E-4</c:v>
                </c:pt>
                <c:pt idx="516">
                  <c:v>8.6799999999999996E-4</c:v>
                </c:pt>
                <c:pt idx="517">
                  <c:v>8.5999999999999998E-4</c:v>
                </c:pt>
                <c:pt idx="518">
                  <c:v>8.4699999999999999E-4</c:v>
                </c:pt>
                <c:pt idx="519">
                  <c:v>8.7500000000000002E-4</c:v>
                </c:pt>
                <c:pt idx="520">
                  <c:v>8.7299999999999997E-4</c:v>
                </c:pt>
                <c:pt idx="521">
                  <c:v>9.2800000000000001E-4</c:v>
                </c:pt>
                <c:pt idx="522">
                  <c:v>9.3000000000000005E-4</c:v>
                </c:pt>
                <c:pt idx="523">
                  <c:v>9.3999999999999997E-4</c:v>
                </c:pt>
                <c:pt idx="524">
                  <c:v>9.3099999999999997E-4</c:v>
                </c:pt>
                <c:pt idx="525">
                  <c:v>9.2500000000000004E-4</c:v>
                </c:pt>
                <c:pt idx="526">
                  <c:v>9.0300000000000005E-4</c:v>
                </c:pt>
                <c:pt idx="527">
                  <c:v>9.4399999999999996E-4</c:v>
                </c:pt>
                <c:pt idx="528">
                  <c:v>9.6100000000000005E-4</c:v>
                </c:pt>
                <c:pt idx="529">
                  <c:v>9.8299999999999993E-4</c:v>
                </c:pt>
                <c:pt idx="530">
                  <c:v>9.4899999999999997E-4</c:v>
                </c:pt>
                <c:pt idx="531">
                  <c:v>9.3000000000000005E-4</c:v>
                </c:pt>
                <c:pt idx="532">
                  <c:v>9.3000000000000005E-4</c:v>
                </c:pt>
                <c:pt idx="533">
                  <c:v>9.1799999999999998E-4</c:v>
                </c:pt>
                <c:pt idx="534">
                  <c:v>9.3000000000000005E-4</c:v>
                </c:pt>
                <c:pt idx="535">
                  <c:v>8.1999999999999998E-4</c:v>
                </c:pt>
                <c:pt idx="536">
                  <c:v>8.2200000000000003E-4</c:v>
                </c:pt>
                <c:pt idx="537">
                  <c:v>8.1499999999999997E-4</c:v>
                </c:pt>
                <c:pt idx="538">
                  <c:v>8.4000000000000003E-4</c:v>
                </c:pt>
                <c:pt idx="539">
                  <c:v>8.4599999999999996E-4</c:v>
                </c:pt>
                <c:pt idx="540">
                  <c:v>8.4000000000000003E-4</c:v>
                </c:pt>
                <c:pt idx="541">
                  <c:v>8.5700000000000001E-4</c:v>
                </c:pt>
                <c:pt idx="542">
                  <c:v>8.5599999999999999E-4</c:v>
                </c:pt>
                <c:pt idx="543">
                  <c:v>8.5400000000000005E-4</c:v>
                </c:pt>
                <c:pt idx="544">
                  <c:v>8.5999999999999998E-4</c:v>
                </c:pt>
                <c:pt idx="545">
                  <c:v>8.5899999999999995E-4</c:v>
                </c:pt>
                <c:pt idx="546">
                  <c:v>8.5400000000000005E-4</c:v>
                </c:pt>
                <c:pt idx="547">
                  <c:v>8.52E-4</c:v>
                </c:pt>
                <c:pt idx="548">
                  <c:v>8.6600000000000002E-4</c:v>
                </c:pt>
                <c:pt idx="549">
                  <c:v>8.2700000000000004E-4</c:v>
                </c:pt>
                <c:pt idx="550">
                  <c:v>9.2000000000000003E-4</c:v>
                </c:pt>
                <c:pt idx="551">
                  <c:v>9.3700000000000001E-4</c:v>
                </c:pt>
                <c:pt idx="552">
                  <c:v>9.4600000000000001E-4</c:v>
                </c:pt>
                <c:pt idx="553">
                  <c:v>9.3599999999999998E-4</c:v>
                </c:pt>
                <c:pt idx="554">
                  <c:v>9.5299999999999996E-4</c:v>
                </c:pt>
                <c:pt idx="555">
                  <c:v>9.4600000000000001E-4</c:v>
                </c:pt>
                <c:pt idx="556">
                  <c:v>9.5E-4</c:v>
                </c:pt>
                <c:pt idx="557">
                  <c:v>9.3499999999999996E-4</c:v>
                </c:pt>
                <c:pt idx="558">
                  <c:v>9.4799999999999995E-4</c:v>
                </c:pt>
                <c:pt idx="559">
                  <c:v>9.3999999999999997E-4</c:v>
                </c:pt>
                <c:pt idx="560">
                  <c:v>9.5100000000000002E-4</c:v>
                </c:pt>
                <c:pt idx="561">
                  <c:v>9.3599999999999998E-4</c:v>
                </c:pt>
                <c:pt idx="562">
                  <c:v>9.4600000000000001E-4</c:v>
                </c:pt>
                <c:pt idx="563">
                  <c:v>9.2599999999999996E-4</c:v>
                </c:pt>
                <c:pt idx="564">
                  <c:v>9.5100000000000002E-4</c:v>
                </c:pt>
                <c:pt idx="565">
                  <c:v>9.7999999999999997E-4</c:v>
                </c:pt>
                <c:pt idx="566">
                  <c:v>9.3899999999999995E-4</c:v>
                </c:pt>
                <c:pt idx="567">
                  <c:v>9.4700000000000003E-4</c:v>
                </c:pt>
                <c:pt idx="568">
                  <c:v>9.5500000000000001E-4</c:v>
                </c:pt>
                <c:pt idx="569">
                  <c:v>9.3400000000000004E-4</c:v>
                </c:pt>
                <c:pt idx="570">
                  <c:v>9.4600000000000001E-4</c:v>
                </c:pt>
                <c:pt idx="571">
                  <c:v>9.1200000000000005E-4</c:v>
                </c:pt>
                <c:pt idx="572">
                  <c:v>9.7199999999999999E-4</c:v>
                </c:pt>
                <c:pt idx="573">
                  <c:v>9.41E-4</c:v>
                </c:pt>
                <c:pt idx="574">
                  <c:v>1E-3</c:v>
                </c:pt>
                <c:pt idx="575">
                  <c:v>1.1230000000000001E-3</c:v>
                </c:pt>
                <c:pt idx="576">
                  <c:v>1.1590000000000001E-3</c:v>
                </c:pt>
                <c:pt idx="577">
                  <c:v>1.1410000000000001E-3</c:v>
                </c:pt>
                <c:pt idx="578">
                  <c:v>1.129E-3</c:v>
                </c:pt>
                <c:pt idx="579">
                  <c:v>8.8699999999999998E-4</c:v>
                </c:pt>
                <c:pt idx="580">
                  <c:v>9.1699999999999995E-4</c:v>
                </c:pt>
                <c:pt idx="581">
                  <c:v>9.19E-4</c:v>
                </c:pt>
                <c:pt idx="582">
                  <c:v>9.2900000000000003E-4</c:v>
                </c:pt>
                <c:pt idx="583">
                  <c:v>9.3499999999999996E-4</c:v>
                </c:pt>
                <c:pt idx="584">
                  <c:v>9.1299999999999997E-4</c:v>
                </c:pt>
                <c:pt idx="585">
                  <c:v>9.1299999999999997E-4</c:v>
                </c:pt>
                <c:pt idx="586">
                  <c:v>9.1500000000000001E-4</c:v>
                </c:pt>
                <c:pt idx="587">
                  <c:v>9.1100000000000003E-4</c:v>
                </c:pt>
                <c:pt idx="588">
                  <c:v>9.0600000000000001E-4</c:v>
                </c:pt>
                <c:pt idx="589">
                  <c:v>9.0899999999999998E-4</c:v>
                </c:pt>
                <c:pt idx="590">
                  <c:v>8.9899999999999995E-4</c:v>
                </c:pt>
                <c:pt idx="591">
                  <c:v>9.0399999999999996E-4</c:v>
                </c:pt>
                <c:pt idx="592">
                  <c:v>9.2199999999999997E-4</c:v>
                </c:pt>
                <c:pt idx="593">
                  <c:v>9.3000000000000005E-4</c:v>
                </c:pt>
                <c:pt idx="594">
                  <c:v>9.1E-4</c:v>
                </c:pt>
                <c:pt idx="595">
                  <c:v>9.0799999999999995E-4</c:v>
                </c:pt>
                <c:pt idx="596">
                  <c:v>9.4300000000000004E-4</c:v>
                </c:pt>
                <c:pt idx="597">
                  <c:v>9.3999999999999997E-4</c:v>
                </c:pt>
                <c:pt idx="598">
                  <c:v>9.5E-4</c:v>
                </c:pt>
                <c:pt idx="599">
                  <c:v>9.5E-4</c:v>
                </c:pt>
                <c:pt idx="600">
                  <c:v>9.5699999999999995E-4</c:v>
                </c:pt>
                <c:pt idx="601">
                  <c:v>9.6000000000000002E-4</c:v>
                </c:pt>
                <c:pt idx="602">
                  <c:v>9.59E-4</c:v>
                </c:pt>
                <c:pt idx="603">
                  <c:v>9.6599999999999995E-4</c:v>
                </c:pt>
                <c:pt idx="604">
                  <c:v>9.6500000000000004E-4</c:v>
                </c:pt>
                <c:pt idx="605">
                  <c:v>9.3499999999999996E-4</c:v>
                </c:pt>
                <c:pt idx="606">
                  <c:v>9.6599999999999995E-4</c:v>
                </c:pt>
                <c:pt idx="607">
                  <c:v>9.9400000000000009E-4</c:v>
                </c:pt>
                <c:pt idx="608">
                  <c:v>9.7199999999999999E-4</c:v>
                </c:pt>
                <c:pt idx="609">
                  <c:v>9.5699999999999995E-4</c:v>
                </c:pt>
                <c:pt idx="610">
                  <c:v>9.7999999999999997E-4</c:v>
                </c:pt>
                <c:pt idx="611">
                  <c:v>9.8999999999999999E-4</c:v>
                </c:pt>
                <c:pt idx="612">
                  <c:v>1.0039999999999999E-3</c:v>
                </c:pt>
                <c:pt idx="613">
                  <c:v>9.7599999999999998E-4</c:v>
                </c:pt>
                <c:pt idx="614">
                  <c:v>9.59E-4</c:v>
                </c:pt>
                <c:pt idx="615">
                  <c:v>9.8400000000000007E-4</c:v>
                </c:pt>
                <c:pt idx="616">
                  <c:v>9.4700000000000003E-4</c:v>
                </c:pt>
                <c:pt idx="617">
                  <c:v>9.4799999999999995E-4</c:v>
                </c:pt>
                <c:pt idx="618">
                  <c:v>9.4200000000000002E-4</c:v>
                </c:pt>
                <c:pt idx="619">
                  <c:v>9.5600000000000004E-4</c:v>
                </c:pt>
                <c:pt idx="620">
                  <c:v>9.3800000000000003E-4</c:v>
                </c:pt>
                <c:pt idx="621">
                  <c:v>9.6299999999999999E-4</c:v>
                </c:pt>
                <c:pt idx="622">
                  <c:v>9.5699999999999995E-4</c:v>
                </c:pt>
                <c:pt idx="623">
                  <c:v>9.3999999999999997E-4</c:v>
                </c:pt>
                <c:pt idx="624">
                  <c:v>9.8900000000000008E-4</c:v>
                </c:pt>
                <c:pt idx="625">
                  <c:v>1.003E-3</c:v>
                </c:pt>
                <c:pt idx="626">
                  <c:v>1.018E-3</c:v>
                </c:pt>
                <c:pt idx="627">
                  <c:v>1.021E-3</c:v>
                </c:pt>
                <c:pt idx="628">
                  <c:v>1.029E-3</c:v>
                </c:pt>
                <c:pt idx="629">
                  <c:v>1.0120000000000001E-3</c:v>
                </c:pt>
                <c:pt idx="630">
                  <c:v>9.9799999999999997E-4</c:v>
                </c:pt>
                <c:pt idx="631">
                  <c:v>1.049E-3</c:v>
                </c:pt>
                <c:pt idx="632">
                  <c:v>1.085E-3</c:v>
                </c:pt>
                <c:pt idx="633">
                  <c:v>1.106E-3</c:v>
                </c:pt>
                <c:pt idx="634">
                  <c:v>1.1169999999999999E-3</c:v>
                </c:pt>
                <c:pt idx="635">
                  <c:v>1.1360000000000001E-3</c:v>
                </c:pt>
                <c:pt idx="636">
                  <c:v>1.155E-3</c:v>
                </c:pt>
                <c:pt idx="637">
                  <c:v>1.1360000000000001E-3</c:v>
                </c:pt>
                <c:pt idx="638">
                  <c:v>1.1460000000000001E-3</c:v>
                </c:pt>
                <c:pt idx="639">
                  <c:v>1.2080000000000001E-3</c:v>
                </c:pt>
                <c:pt idx="640">
                  <c:v>1.214E-3</c:v>
                </c:pt>
                <c:pt idx="641">
                  <c:v>1.2260000000000001E-3</c:v>
                </c:pt>
                <c:pt idx="642">
                  <c:v>1.238E-3</c:v>
                </c:pt>
                <c:pt idx="643">
                  <c:v>1.237E-3</c:v>
                </c:pt>
                <c:pt idx="644">
                  <c:v>1.242E-3</c:v>
                </c:pt>
                <c:pt idx="645">
                  <c:v>1.286E-3</c:v>
                </c:pt>
                <c:pt idx="646">
                  <c:v>1.2979999999999999E-3</c:v>
                </c:pt>
                <c:pt idx="647">
                  <c:v>1.2930000000000001E-3</c:v>
                </c:pt>
                <c:pt idx="648">
                  <c:v>1.361E-3</c:v>
                </c:pt>
                <c:pt idx="649">
                  <c:v>1.3910000000000001E-3</c:v>
                </c:pt>
                <c:pt idx="650">
                  <c:v>1.4139999999999999E-3</c:v>
                </c:pt>
                <c:pt idx="651">
                  <c:v>1.3979999999999999E-3</c:v>
                </c:pt>
                <c:pt idx="652">
                  <c:v>1.413E-3</c:v>
                </c:pt>
                <c:pt idx="653">
                  <c:v>1.446E-3</c:v>
                </c:pt>
                <c:pt idx="654">
                  <c:v>1.444E-3</c:v>
                </c:pt>
                <c:pt idx="655">
                  <c:v>1.449E-3</c:v>
                </c:pt>
                <c:pt idx="656">
                  <c:v>1.4189999999999999E-3</c:v>
                </c:pt>
                <c:pt idx="657">
                  <c:v>1.2999999999999999E-3</c:v>
                </c:pt>
                <c:pt idx="658">
                  <c:v>1.3339999999999999E-3</c:v>
                </c:pt>
                <c:pt idx="659">
                  <c:v>1.281E-3</c:v>
                </c:pt>
                <c:pt idx="660">
                  <c:v>1.0809999999999999E-3</c:v>
                </c:pt>
                <c:pt idx="661">
                  <c:v>1.0889999999999999E-3</c:v>
                </c:pt>
                <c:pt idx="662">
                  <c:v>1.0759999999999999E-3</c:v>
                </c:pt>
                <c:pt idx="663">
                  <c:v>1.077E-3</c:v>
                </c:pt>
                <c:pt idx="664">
                  <c:v>1.0989999999999999E-3</c:v>
                </c:pt>
                <c:pt idx="665">
                  <c:v>1.0939999999999999E-3</c:v>
                </c:pt>
                <c:pt idx="666">
                  <c:v>1.0950000000000001E-3</c:v>
                </c:pt>
                <c:pt idx="667">
                  <c:v>1.1230000000000001E-3</c:v>
                </c:pt>
                <c:pt idx="668">
                  <c:v>1.124E-3</c:v>
                </c:pt>
                <c:pt idx="669">
                  <c:v>1.1169999999999999E-3</c:v>
                </c:pt>
                <c:pt idx="670">
                  <c:v>1.1349999999999999E-3</c:v>
                </c:pt>
                <c:pt idx="671">
                  <c:v>1.134E-3</c:v>
                </c:pt>
                <c:pt idx="672">
                  <c:v>1.132E-3</c:v>
                </c:pt>
                <c:pt idx="673">
                  <c:v>1.126E-3</c:v>
                </c:pt>
                <c:pt idx="674">
                  <c:v>1.139E-3</c:v>
                </c:pt>
                <c:pt idx="675">
                  <c:v>1.1670000000000001E-3</c:v>
                </c:pt>
                <c:pt idx="676">
                  <c:v>1.168E-3</c:v>
                </c:pt>
                <c:pt idx="677">
                  <c:v>1.24E-3</c:v>
                </c:pt>
                <c:pt idx="678">
                  <c:v>1.2049999999999999E-3</c:v>
                </c:pt>
                <c:pt idx="679">
                  <c:v>1.204E-3</c:v>
                </c:pt>
                <c:pt idx="680">
                  <c:v>1.1839999999999999E-3</c:v>
                </c:pt>
                <c:pt idx="681">
                  <c:v>1.1620000000000001E-3</c:v>
                </c:pt>
                <c:pt idx="682">
                  <c:v>1.17E-3</c:v>
                </c:pt>
                <c:pt idx="683">
                  <c:v>1.201E-3</c:v>
                </c:pt>
                <c:pt idx="684">
                  <c:v>1.163E-3</c:v>
                </c:pt>
                <c:pt idx="685">
                  <c:v>1.139E-3</c:v>
                </c:pt>
                <c:pt idx="686">
                  <c:v>1.0629999999999999E-3</c:v>
                </c:pt>
                <c:pt idx="687">
                  <c:v>1.1509999999999999E-3</c:v>
                </c:pt>
                <c:pt idx="688">
                  <c:v>1.2080000000000001E-3</c:v>
                </c:pt>
                <c:pt idx="689">
                  <c:v>1.188E-3</c:v>
                </c:pt>
                <c:pt idx="690">
                  <c:v>1.1280000000000001E-3</c:v>
                </c:pt>
                <c:pt idx="691">
                  <c:v>1.224E-3</c:v>
                </c:pt>
                <c:pt idx="692">
                  <c:v>1.2849999999999999E-3</c:v>
                </c:pt>
                <c:pt idx="693">
                  <c:v>1.3320000000000001E-3</c:v>
                </c:pt>
                <c:pt idx="694">
                  <c:v>1.196E-3</c:v>
                </c:pt>
                <c:pt idx="695">
                  <c:v>1.1329999999999999E-3</c:v>
                </c:pt>
                <c:pt idx="696">
                  <c:v>1.129E-3</c:v>
                </c:pt>
                <c:pt idx="697">
                  <c:v>1.062E-3</c:v>
                </c:pt>
                <c:pt idx="698">
                  <c:v>9.5699999999999995E-4</c:v>
                </c:pt>
                <c:pt idx="699">
                  <c:v>9.5100000000000002E-4</c:v>
                </c:pt>
                <c:pt idx="700">
                  <c:v>9.3099999999999997E-4</c:v>
                </c:pt>
                <c:pt idx="701">
                  <c:v>9.2199999999999997E-4</c:v>
                </c:pt>
                <c:pt idx="702">
                  <c:v>9.7900000000000005E-4</c:v>
                </c:pt>
                <c:pt idx="703">
                  <c:v>1.0280000000000001E-3</c:v>
                </c:pt>
                <c:pt idx="704">
                  <c:v>1.0549999999999999E-3</c:v>
                </c:pt>
                <c:pt idx="705">
                  <c:v>1.0529999999999999E-3</c:v>
                </c:pt>
                <c:pt idx="706">
                  <c:v>1.0740000000000001E-3</c:v>
                </c:pt>
                <c:pt idx="707">
                  <c:v>1.0679999999999999E-3</c:v>
                </c:pt>
                <c:pt idx="708">
                  <c:v>1.0579999999999999E-3</c:v>
                </c:pt>
                <c:pt idx="709">
                  <c:v>1.1069999999999999E-3</c:v>
                </c:pt>
                <c:pt idx="710">
                  <c:v>1.1349999999999999E-3</c:v>
                </c:pt>
                <c:pt idx="711">
                  <c:v>1.129E-3</c:v>
                </c:pt>
                <c:pt idx="712">
                  <c:v>1.176E-3</c:v>
                </c:pt>
                <c:pt idx="713">
                  <c:v>1.2689999999999999E-3</c:v>
                </c:pt>
                <c:pt idx="714">
                  <c:v>1.253E-3</c:v>
                </c:pt>
                <c:pt idx="715">
                  <c:v>1.315E-3</c:v>
                </c:pt>
                <c:pt idx="716">
                  <c:v>1.3389999999999999E-3</c:v>
                </c:pt>
                <c:pt idx="717">
                  <c:v>1.379E-3</c:v>
                </c:pt>
                <c:pt idx="718">
                  <c:v>1.322E-3</c:v>
                </c:pt>
                <c:pt idx="719">
                  <c:v>1.2509999999999999E-3</c:v>
                </c:pt>
                <c:pt idx="720">
                  <c:v>1.178E-3</c:v>
                </c:pt>
                <c:pt idx="721">
                  <c:v>1.1820000000000001E-3</c:v>
                </c:pt>
                <c:pt idx="722">
                  <c:v>1.2229999999999999E-3</c:v>
                </c:pt>
                <c:pt idx="723">
                  <c:v>1.2210000000000001E-3</c:v>
                </c:pt>
                <c:pt idx="724">
                  <c:v>1.281E-3</c:v>
                </c:pt>
                <c:pt idx="725">
                  <c:v>1.1529999999999999E-3</c:v>
                </c:pt>
                <c:pt idx="726">
                  <c:v>1.17E-3</c:v>
                </c:pt>
                <c:pt idx="727">
                  <c:v>1.1709999999999999E-3</c:v>
                </c:pt>
                <c:pt idx="728">
                  <c:v>1.204E-3</c:v>
                </c:pt>
                <c:pt idx="729">
                  <c:v>1.212E-3</c:v>
                </c:pt>
                <c:pt idx="730">
                  <c:v>1.214E-3</c:v>
                </c:pt>
                <c:pt idx="731">
                  <c:v>1.3090000000000001E-3</c:v>
                </c:pt>
                <c:pt idx="732">
                  <c:v>1.3190000000000001E-3</c:v>
                </c:pt>
                <c:pt idx="733">
                  <c:v>1.204E-3</c:v>
                </c:pt>
                <c:pt idx="734">
                  <c:v>1.1820000000000001E-3</c:v>
                </c:pt>
                <c:pt idx="735">
                  <c:v>1.163E-3</c:v>
                </c:pt>
                <c:pt idx="736">
                  <c:v>1.2509999999999999E-3</c:v>
                </c:pt>
                <c:pt idx="737">
                  <c:v>1.2880000000000001E-3</c:v>
                </c:pt>
                <c:pt idx="738">
                  <c:v>1.3320000000000001E-3</c:v>
                </c:pt>
                <c:pt idx="739">
                  <c:v>1.2620000000000001E-3</c:v>
                </c:pt>
                <c:pt idx="740">
                  <c:v>1.2589999999999999E-3</c:v>
                </c:pt>
                <c:pt idx="741">
                  <c:v>1.41E-3</c:v>
                </c:pt>
                <c:pt idx="742">
                  <c:v>1.505E-3</c:v>
                </c:pt>
                <c:pt idx="743">
                  <c:v>1.6869999999999999E-3</c:v>
                </c:pt>
                <c:pt idx="744">
                  <c:v>1.632E-3</c:v>
                </c:pt>
                <c:pt idx="745">
                  <c:v>8.61E-4</c:v>
                </c:pt>
                <c:pt idx="746">
                  <c:v>8.2899999999999998E-4</c:v>
                </c:pt>
                <c:pt idx="747">
                  <c:v>8.0699999999999999E-4</c:v>
                </c:pt>
                <c:pt idx="748">
                  <c:v>7.6800000000000002E-4</c:v>
                </c:pt>
                <c:pt idx="749">
                  <c:v>7.3999999999999999E-4</c:v>
                </c:pt>
                <c:pt idx="750">
                  <c:v>7.76E-4</c:v>
                </c:pt>
                <c:pt idx="751">
                  <c:v>7.2499999999999995E-4</c:v>
                </c:pt>
                <c:pt idx="752">
                  <c:v>7.4399999999999998E-4</c:v>
                </c:pt>
                <c:pt idx="753">
                  <c:v>7.3300000000000004E-4</c:v>
                </c:pt>
                <c:pt idx="754">
                  <c:v>7.2900000000000005E-4</c:v>
                </c:pt>
                <c:pt idx="755">
                  <c:v>7.3300000000000004E-4</c:v>
                </c:pt>
                <c:pt idx="756">
                  <c:v>7.3099999999999999E-4</c:v>
                </c:pt>
                <c:pt idx="757">
                  <c:v>7.3800000000000005E-4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3C-44D8-A6DD-B93EF20EF8C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-9.0009026961560643E-2</c:v>
                </c:pt>
                <c:pt idx="1">
                  <c:v>-8.9978739740331576E-2</c:v>
                </c:pt>
                <c:pt idx="2">
                  <c:v>-8.9802542323746209E-2</c:v>
                </c:pt>
                <c:pt idx="3">
                  <c:v>-8.979185886134021E-2</c:v>
                </c:pt>
                <c:pt idx="4">
                  <c:v>-8.9815979061977164E-2</c:v>
                </c:pt>
                <c:pt idx="5">
                  <c:v>-8.9881422810564729E-2</c:v>
                </c:pt>
                <c:pt idx="6">
                  <c:v>-8.9706827604275147E-2</c:v>
                </c:pt>
                <c:pt idx="7">
                  <c:v>-8.9550887772559928E-2</c:v>
                </c:pt>
                <c:pt idx="8">
                  <c:v>-8.9423196123841975E-2</c:v>
                </c:pt>
                <c:pt idx="9">
                  <c:v>-8.937377036020562E-2</c:v>
                </c:pt>
                <c:pt idx="10">
                  <c:v>-8.9460067441189242E-2</c:v>
                </c:pt>
                <c:pt idx="11">
                  <c:v>-8.9377070682698678E-2</c:v>
                </c:pt>
                <c:pt idx="12">
                  <c:v>-8.9401270871270117E-2</c:v>
                </c:pt>
                <c:pt idx="13">
                  <c:v>-8.9452351121807758E-2</c:v>
                </c:pt>
                <c:pt idx="14">
                  <c:v>-8.9417494336793357E-2</c:v>
                </c:pt>
                <c:pt idx="15">
                  <c:v>-8.9321610283460015E-2</c:v>
                </c:pt>
                <c:pt idx="16">
                  <c:v>-8.9396203450126693E-2</c:v>
                </c:pt>
                <c:pt idx="17">
                  <c:v>-8.9379931873062465E-2</c:v>
                </c:pt>
                <c:pt idx="18">
                  <c:v>-8.9363007763919616E-2</c:v>
                </c:pt>
                <c:pt idx="19">
                  <c:v>-8.9348352329436859E-2</c:v>
                </c:pt>
                <c:pt idx="20">
                  <c:v>-8.9281411375778316E-2</c:v>
                </c:pt>
                <c:pt idx="21">
                  <c:v>-8.9171424205910121E-2</c:v>
                </c:pt>
                <c:pt idx="22">
                  <c:v>-8.9153599802760539E-2</c:v>
                </c:pt>
                <c:pt idx="23">
                  <c:v>-8.9015983975473723E-2</c:v>
                </c:pt>
                <c:pt idx="24">
                  <c:v>-8.894392319808242E-2</c:v>
                </c:pt>
                <c:pt idx="25">
                  <c:v>-8.8879845824948081E-2</c:v>
                </c:pt>
                <c:pt idx="26">
                  <c:v>-8.8895437784948086E-2</c:v>
                </c:pt>
                <c:pt idx="27">
                  <c:v>-8.8924470403740033E-2</c:v>
                </c:pt>
                <c:pt idx="28">
                  <c:v>-8.8891894594165577E-2</c:v>
                </c:pt>
                <c:pt idx="29">
                  <c:v>-8.8928595282907294E-2</c:v>
                </c:pt>
                <c:pt idx="30">
                  <c:v>-8.8858985240614793E-2</c:v>
                </c:pt>
                <c:pt idx="31">
                  <c:v>-8.8760666312850109E-2</c:v>
                </c:pt>
                <c:pt idx="32">
                  <c:v>-8.860452949787212E-2</c:v>
                </c:pt>
                <c:pt idx="33">
                  <c:v>-8.8611088877551286E-2</c:v>
                </c:pt>
                <c:pt idx="34">
                  <c:v>-8.8562527260159965E-2</c:v>
                </c:pt>
                <c:pt idx="35">
                  <c:v>-8.8554681633803381E-2</c:v>
                </c:pt>
                <c:pt idx="36">
                  <c:v>-8.8629804863649519E-2</c:v>
                </c:pt>
                <c:pt idx="37">
                  <c:v>-8.8619867821664797E-2</c:v>
                </c:pt>
                <c:pt idx="38">
                  <c:v>-8.8709923057333578E-2</c:v>
                </c:pt>
                <c:pt idx="39">
                  <c:v>-8.8476318546243007E-2</c:v>
                </c:pt>
                <c:pt idx="40">
                  <c:v>-8.8419751212485034E-2</c:v>
                </c:pt>
                <c:pt idx="41">
                  <c:v>-8.8426323668735055E-2</c:v>
                </c:pt>
                <c:pt idx="42">
                  <c:v>-8.8348201416139888E-2</c:v>
                </c:pt>
                <c:pt idx="43">
                  <c:v>-8.8253012976666198E-2</c:v>
                </c:pt>
                <c:pt idx="44">
                  <c:v>-8.8351468552937393E-2</c:v>
                </c:pt>
                <c:pt idx="45">
                  <c:v>-8.83340332692856E-2</c:v>
                </c:pt>
                <c:pt idx="46">
                  <c:v>-8.8221283887835358E-2</c:v>
                </c:pt>
                <c:pt idx="47">
                  <c:v>-8.8262234821952987E-2</c:v>
                </c:pt>
                <c:pt idx="48">
                  <c:v>-8.8269341777508545E-2</c:v>
                </c:pt>
                <c:pt idx="49">
                  <c:v>-8.8132300457700624E-2</c:v>
                </c:pt>
                <c:pt idx="50">
                  <c:v>-8.8004641557700602E-2</c:v>
                </c:pt>
                <c:pt idx="51">
                  <c:v>-8.8034473483443176E-2</c:v>
                </c:pt>
                <c:pt idx="52">
                  <c:v>-8.8005494812227303E-2</c:v>
                </c:pt>
                <c:pt idx="53">
                  <c:v>-8.8291947158013584E-2</c:v>
                </c:pt>
                <c:pt idx="54">
                  <c:v>-8.8227594732418341E-2</c:v>
                </c:pt>
                <c:pt idx="55">
                  <c:v>-8.834240510378269E-2</c:v>
                </c:pt>
                <c:pt idx="56">
                  <c:v>-8.8290195723576506E-2</c:v>
                </c:pt>
                <c:pt idx="57">
                  <c:v>-8.82981795775995E-2</c:v>
                </c:pt>
                <c:pt idx="58">
                  <c:v>-8.819047001461873E-2</c:v>
                </c:pt>
                <c:pt idx="59">
                  <c:v>-8.8150267958027093E-2</c:v>
                </c:pt>
                <c:pt idx="60">
                  <c:v>-8.8154866285846636E-2</c:v>
                </c:pt>
                <c:pt idx="61">
                  <c:v>-8.8229927718430898E-2</c:v>
                </c:pt>
                <c:pt idx="62">
                  <c:v>-8.8215575431914051E-2</c:v>
                </c:pt>
                <c:pt idx="63">
                  <c:v>-8.8049641319987437E-2</c:v>
                </c:pt>
                <c:pt idx="64">
                  <c:v>-8.7997406479633458E-2</c:v>
                </c:pt>
                <c:pt idx="65">
                  <c:v>-8.7970562038892711E-2</c:v>
                </c:pt>
                <c:pt idx="66">
                  <c:v>-8.8021692020749248E-2</c:v>
                </c:pt>
                <c:pt idx="67">
                  <c:v>-8.7918050510749246E-2</c:v>
                </c:pt>
                <c:pt idx="68">
                  <c:v>-8.7866449355320675E-2</c:v>
                </c:pt>
                <c:pt idx="69">
                  <c:v>-8.7982004669046168E-2</c:v>
                </c:pt>
                <c:pt idx="70">
                  <c:v>-8.8213261228563586E-2</c:v>
                </c:pt>
                <c:pt idx="71">
                  <c:v>-8.7221369256784434E-2</c:v>
                </c:pt>
                <c:pt idx="72">
                  <c:v>-8.7324406397390489E-2</c:v>
                </c:pt>
                <c:pt idx="73">
                  <c:v>-8.7190240723731965E-2</c:v>
                </c:pt>
                <c:pt idx="74">
                  <c:v>-8.7089533438322722E-2</c:v>
                </c:pt>
                <c:pt idx="75">
                  <c:v>-8.7127064966994044E-2</c:v>
                </c:pt>
                <c:pt idx="76">
                  <c:v>-8.7163571991475383E-2</c:v>
                </c:pt>
                <c:pt idx="77">
                  <c:v>-8.7156743417436913E-2</c:v>
                </c:pt>
                <c:pt idx="78">
                  <c:v>-8.713421433691744E-2</c:v>
                </c:pt>
                <c:pt idx="79">
                  <c:v>-8.6631497489196768E-2</c:v>
                </c:pt>
                <c:pt idx="80">
                  <c:v>-8.6847064449962319E-2</c:v>
                </c:pt>
                <c:pt idx="81">
                  <c:v>-8.727697896996231E-2</c:v>
                </c:pt>
                <c:pt idx="82">
                  <c:v>-8.7359154540694026E-2</c:v>
                </c:pt>
                <c:pt idx="83">
                  <c:v>-8.7385545019805139E-2</c:v>
                </c:pt>
                <c:pt idx="84">
                  <c:v>-8.7262745889370344E-2</c:v>
                </c:pt>
                <c:pt idx="85">
                  <c:v>-8.718420154280547E-2</c:v>
                </c:pt>
                <c:pt idx="86">
                  <c:v>-8.7263065654234057E-2</c:v>
                </c:pt>
                <c:pt idx="87">
                  <c:v>-8.7305514115495308E-2</c:v>
                </c:pt>
                <c:pt idx="88">
                  <c:v>-8.7307733855858938E-2</c:v>
                </c:pt>
                <c:pt idx="89">
                  <c:v>-8.7349977821464031E-2</c:v>
                </c:pt>
                <c:pt idx="90">
                  <c:v>-8.7294750185721068E-2</c:v>
                </c:pt>
                <c:pt idx="91">
                  <c:v>-8.7342371241535016E-2</c:v>
                </c:pt>
                <c:pt idx="92">
                  <c:v>-8.7500396673883388E-2</c:v>
                </c:pt>
                <c:pt idx="93">
                  <c:v>-8.7286093321918334E-2</c:v>
                </c:pt>
                <c:pt idx="94">
                  <c:v>-8.7202799161262584E-2</c:v>
                </c:pt>
                <c:pt idx="95">
                  <c:v>-8.7299699432691155E-2</c:v>
                </c:pt>
                <c:pt idx="96">
                  <c:v>-8.7292875186537305E-2</c:v>
                </c:pt>
                <c:pt idx="97">
                  <c:v>-8.7328003299276161E-2</c:v>
                </c:pt>
                <c:pt idx="98">
                  <c:v>-8.7279200321498385E-2</c:v>
                </c:pt>
                <c:pt idx="99">
                  <c:v>-8.6937902494424152E-2</c:v>
                </c:pt>
                <c:pt idx="100">
                  <c:v>-8.7247937933236944E-2</c:v>
                </c:pt>
                <c:pt idx="101">
                  <c:v>-8.7965639783961561E-2</c:v>
                </c:pt>
                <c:pt idx="102">
                  <c:v>-8.7839833648386725E-2</c:v>
                </c:pt>
                <c:pt idx="103">
                  <c:v>-8.7846276722299776E-2</c:v>
                </c:pt>
                <c:pt idx="104">
                  <c:v>-8.7704819381874244E-2</c:v>
                </c:pt>
                <c:pt idx="105">
                  <c:v>-8.7839500850254715E-2</c:v>
                </c:pt>
                <c:pt idx="106">
                  <c:v>-8.7788112318215872E-2</c:v>
                </c:pt>
                <c:pt idx="107">
                  <c:v>-8.7868585351294742E-2</c:v>
                </c:pt>
                <c:pt idx="108">
                  <c:v>-8.7589508193772619E-2</c:v>
                </c:pt>
                <c:pt idx="109">
                  <c:v>-8.7537588292780549E-2</c:v>
                </c:pt>
                <c:pt idx="110">
                  <c:v>-8.7386340544530094E-2</c:v>
                </c:pt>
                <c:pt idx="111">
                  <c:v>-8.7426690492570985E-2</c:v>
                </c:pt>
                <c:pt idx="112">
                  <c:v>-8.7204229275179665E-2</c:v>
                </c:pt>
                <c:pt idx="113">
                  <c:v>-8.6233857651567158E-2</c:v>
                </c:pt>
                <c:pt idx="114">
                  <c:v>-8.83994127723087E-2</c:v>
                </c:pt>
                <c:pt idx="115">
                  <c:v>-8.8657137056777358E-2</c:v>
                </c:pt>
                <c:pt idx="116">
                  <c:v>-8.8762064188356304E-2</c:v>
                </c:pt>
                <c:pt idx="117">
                  <c:v>-8.8803744445827559E-2</c:v>
                </c:pt>
                <c:pt idx="118">
                  <c:v>-8.8830263872988049E-2</c:v>
                </c:pt>
                <c:pt idx="119">
                  <c:v>-8.8968736597834677E-2</c:v>
                </c:pt>
                <c:pt idx="120">
                  <c:v>-8.9073484752873439E-2</c:v>
                </c:pt>
                <c:pt idx="121">
                  <c:v>-8.8999071420364603E-2</c:v>
                </c:pt>
                <c:pt idx="122">
                  <c:v>-8.8772371486154078E-2</c:v>
                </c:pt>
                <c:pt idx="123">
                  <c:v>-8.8589864886154057E-2</c:v>
                </c:pt>
                <c:pt idx="124">
                  <c:v>-8.8634813308554078E-2</c:v>
                </c:pt>
                <c:pt idx="125">
                  <c:v>-8.8620323525906486E-2</c:v>
                </c:pt>
                <c:pt idx="126">
                  <c:v>-8.858476585108635E-2</c:v>
                </c:pt>
                <c:pt idx="127">
                  <c:v>-8.8714634394530562E-2</c:v>
                </c:pt>
                <c:pt idx="128">
                  <c:v>-8.9099139051986909E-2</c:v>
                </c:pt>
                <c:pt idx="129">
                  <c:v>-8.8888742076239938E-2</c:v>
                </c:pt>
                <c:pt idx="130">
                  <c:v>-8.8793776759364951E-2</c:v>
                </c:pt>
                <c:pt idx="131">
                  <c:v>-8.8749148699229813E-2</c:v>
                </c:pt>
                <c:pt idx="132">
                  <c:v>-8.8717992582156638E-2</c:v>
                </c:pt>
                <c:pt idx="133">
                  <c:v>-8.8663419354086462E-2</c:v>
                </c:pt>
                <c:pt idx="134">
                  <c:v>-8.8571846564818174E-2</c:v>
                </c:pt>
                <c:pt idx="135">
                  <c:v>-8.8718518330987317E-2</c:v>
                </c:pt>
                <c:pt idx="136">
                  <c:v>-8.8843640165428409E-2</c:v>
                </c:pt>
                <c:pt idx="137">
                  <c:v>-8.8747848796831522E-2</c:v>
                </c:pt>
                <c:pt idx="138">
                  <c:v>-8.8757082639562807E-2</c:v>
                </c:pt>
                <c:pt idx="139">
                  <c:v>-8.876473388426194E-2</c:v>
                </c:pt>
                <c:pt idx="140">
                  <c:v>-8.8628427504261934E-2</c:v>
                </c:pt>
                <c:pt idx="141">
                  <c:v>-8.8678046670928601E-2</c:v>
                </c:pt>
                <c:pt idx="142">
                  <c:v>-8.8758911987246586E-2</c:v>
                </c:pt>
                <c:pt idx="143">
                  <c:v>-8.8611154479914647E-2</c:v>
                </c:pt>
                <c:pt idx="144">
                  <c:v>-8.8613985448826552E-2</c:v>
                </c:pt>
                <c:pt idx="145">
                  <c:v>-8.8877395567124429E-2</c:v>
                </c:pt>
                <c:pt idx="146">
                  <c:v>-8.8459876957884487E-2</c:v>
                </c:pt>
                <c:pt idx="147">
                  <c:v>-8.8844952198785035E-2</c:v>
                </c:pt>
                <c:pt idx="148">
                  <c:v>-8.913842819613739E-2</c:v>
                </c:pt>
                <c:pt idx="149">
                  <c:v>-8.9320268311074105E-2</c:v>
                </c:pt>
                <c:pt idx="150">
                  <c:v>-8.9194902478210256E-2</c:v>
                </c:pt>
                <c:pt idx="151">
                  <c:v>-8.8818533063224667E-2</c:v>
                </c:pt>
                <c:pt idx="152">
                  <c:v>-8.6283668033886443E-2</c:v>
                </c:pt>
                <c:pt idx="153">
                  <c:v>-8.6703133758524703E-2</c:v>
                </c:pt>
                <c:pt idx="154">
                  <c:v>-8.6969438933601623E-2</c:v>
                </c:pt>
                <c:pt idx="155">
                  <c:v>-8.6645545932634835E-2</c:v>
                </c:pt>
                <c:pt idx="156">
                  <c:v>-8.6589152200035879E-2</c:v>
                </c:pt>
                <c:pt idx="157">
                  <c:v>-8.6396260346837547E-2</c:v>
                </c:pt>
                <c:pt idx="158">
                  <c:v>-8.6287675664607544E-2</c:v>
                </c:pt>
                <c:pt idx="159">
                  <c:v>-8.6247330670360431E-2</c:v>
                </c:pt>
                <c:pt idx="160">
                  <c:v>-8.58287324410167E-2</c:v>
                </c:pt>
                <c:pt idx="161">
                  <c:v>-8.6469789272000303E-2</c:v>
                </c:pt>
                <c:pt idx="162">
                  <c:v>-8.6785646927826143E-2</c:v>
                </c:pt>
                <c:pt idx="163">
                  <c:v>-8.6818078474717716E-2</c:v>
                </c:pt>
                <c:pt idx="164">
                  <c:v>-8.6420547661211766E-2</c:v>
                </c:pt>
                <c:pt idx="165">
                  <c:v>-8.589476208260563E-2</c:v>
                </c:pt>
                <c:pt idx="166">
                  <c:v>-8.6534148929179266E-2</c:v>
                </c:pt>
                <c:pt idx="167">
                  <c:v>-8.6721673990033263E-2</c:v>
                </c:pt>
                <c:pt idx="168">
                  <c:v>-8.7039759182591367E-2</c:v>
                </c:pt>
                <c:pt idx="169">
                  <c:v>-8.6766798803880676E-2</c:v>
                </c:pt>
                <c:pt idx="170">
                  <c:v>-8.6641309605077266E-2</c:v>
                </c:pt>
                <c:pt idx="171">
                  <c:v>-8.6643411836341763E-2</c:v>
                </c:pt>
                <c:pt idx="172">
                  <c:v>-8.68599984772606E-2</c:v>
                </c:pt>
                <c:pt idx="173">
                  <c:v>-8.6569035630496852E-2</c:v>
                </c:pt>
                <c:pt idx="174">
                  <c:v>-8.7002232279550756E-2</c:v>
                </c:pt>
                <c:pt idx="175">
                  <c:v>-8.7178356370352122E-2</c:v>
                </c:pt>
                <c:pt idx="176">
                  <c:v>-8.7408385078962675E-2</c:v>
                </c:pt>
                <c:pt idx="177">
                  <c:v>-8.7676665131669787E-2</c:v>
                </c:pt>
                <c:pt idx="178">
                  <c:v>-8.7138059993967551E-2</c:v>
                </c:pt>
                <c:pt idx="179">
                  <c:v>-8.7207111346649921E-2</c:v>
                </c:pt>
                <c:pt idx="180">
                  <c:v>-8.7034066898629941E-2</c:v>
                </c:pt>
                <c:pt idx="181">
                  <c:v>-8.6751302004704281E-2</c:v>
                </c:pt>
                <c:pt idx="182">
                  <c:v>-8.756686521660853E-2</c:v>
                </c:pt>
                <c:pt idx="183">
                  <c:v>-8.7639440408664976E-2</c:v>
                </c:pt>
                <c:pt idx="184">
                  <c:v>-8.7606084420935038E-2</c:v>
                </c:pt>
                <c:pt idx="185">
                  <c:v>-8.7634032286399655E-2</c:v>
                </c:pt>
                <c:pt idx="186">
                  <c:v>-8.7238571686026972E-2</c:v>
                </c:pt>
                <c:pt idx="187">
                  <c:v>-8.7427552851220516E-2</c:v>
                </c:pt>
                <c:pt idx="188">
                  <c:v>-8.7515670778537183E-2</c:v>
                </c:pt>
                <c:pt idx="189">
                  <c:v>-8.7674759268537183E-2</c:v>
                </c:pt>
                <c:pt idx="190">
                  <c:v>-8.7702271115819741E-2</c:v>
                </c:pt>
                <c:pt idx="191">
                  <c:v>-8.7872569650247603E-2</c:v>
                </c:pt>
                <c:pt idx="192">
                  <c:v>-8.7794340788008518E-2</c:v>
                </c:pt>
                <c:pt idx="193">
                  <c:v>-8.7694433530474264E-2</c:v>
                </c:pt>
                <c:pt idx="194">
                  <c:v>-8.7560732085019716E-2</c:v>
                </c:pt>
                <c:pt idx="195">
                  <c:v>-8.7572516027876857E-2</c:v>
                </c:pt>
                <c:pt idx="196">
                  <c:v>-8.7459437727876857E-2</c:v>
                </c:pt>
                <c:pt idx="197">
                  <c:v>-8.7419110085019722E-2</c:v>
                </c:pt>
                <c:pt idx="198">
                  <c:v>-8.741260594908222E-2</c:v>
                </c:pt>
                <c:pt idx="199">
                  <c:v>-8.7353836731304452E-2</c:v>
                </c:pt>
                <c:pt idx="200">
                  <c:v>-8.7361037379953099E-2</c:v>
                </c:pt>
                <c:pt idx="201">
                  <c:v>-8.7326799961920304E-2</c:v>
                </c:pt>
                <c:pt idx="202">
                  <c:v>-8.7250490176206022E-2</c:v>
                </c:pt>
                <c:pt idx="203">
                  <c:v>-8.7176617863706021E-2</c:v>
                </c:pt>
                <c:pt idx="204">
                  <c:v>-8.7028409495848877E-2</c:v>
                </c:pt>
                <c:pt idx="205">
                  <c:v>-8.7017195812922041E-2</c:v>
                </c:pt>
                <c:pt idx="206">
                  <c:v>-8.6894119888899696E-2</c:v>
                </c:pt>
                <c:pt idx="207">
                  <c:v>-8.6872479853899703E-2</c:v>
                </c:pt>
                <c:pt idx="208">
                  <c:v>-8.6728907319015974E-2</c:v>
                </c:pt>
                <c:pt idx="209">
                  <c:v>-8.6687478976158833E-2</c:v>
                </c:pt>
                <c:pt idx="210">
                  <c:v>-8.6623783182825501E-2</c:v>
                </c:pt>
                <c:pt idx="211">
                  <c:v>-8.6581918223366042E-2</c:v>
                </c:pt>
                <c:pt idx="212">
                  <c:v>-8.6664471596992435E-2</c:v>
                </c:pt>
                <c:pt idx="213">
                  <c:v>-8.667547589136472E-2</c:v>
                </c:pt>
                <c:pt idx="214">
                  <c:v>-8.6783036258031382E-2</c:v>
                </c:pt>
                <c:pt idx="215">
                  <c:v>-8.6659303958031383E-2</c:v>
                </c:pt>
                <c:pt idx="216">
                  <c:v>-8.665172022530411E-2</c:v>
                </c:pt>
                <c:pt idx="217">
                  <c:v>-8.6589714716213198E-2</c:v>
                </c:pt>
                <c:pt idx="218">
                  <c:v>-8.6414575966385035E-2</c:v>
                </c:pt>
                <c:pt idx="219">
                  <c:v>-8.656571277824944E-2</c:v>
                </c:pt>
                <c:pt idx="220">
                  <c:v>-8.6332047650026444E-2</c:v>
                </c:pt>
                <c:pt idx="221">
                  <c:v>-8.601244205163415E-2</c:v>
                </c:pt>
                <c:pt idx="222">
                  <c:v>-8.6086787886799007E-2</c:v>
                </c:pt>
                <c:pt idx="223">
                  <c:v>-8.6010893159875923E-2</c:v>
                </c:pt>
                <c:pt idx="224">
                  <c:v>-8.6094072691125928E-2</c:v>
                </c:pt>
                <c:pt idx="225">
                  <c:v>-8.6075050274459261E-2</c:v>
                </c:pt>
                <c:pt idx="226">
                  <c:v>-8.6071015895511874E-2</c:v>
                </c:pt>
                <c:pt idx="227">
                  <c:v>-8.6032166792063602E-2</c:v>
                </c:pt>
                <c:pt idx="228">
                  <c:v>-8.5918485454035437E-2</c:v>
                </c:pt>
                <c:pt idx="229">
                  <c:v>-8.5676393286727742E-2</c:v>
                </c:pt>
                <c:pt idx="230">
                  <c:v>-8.588837351523454E-2</c:v>
                </c:pt>
                <c:pt idx="231">
                  <c:v>-8.4788116410164108E-2</c:v>
                </c:pt>
                <c:pt idx="232">
                  <c:v>-8.3467190678310335E-2</c:v>
                </c:pt>
                <c:pt idx="233">
                  <c:v>-8.2393149667209162E-2</c:v>
                </c:pt>
                <c:pt idx="234">
                  <c:v>-8.2343710680312612E-2</c:v>
                </c:pt>
                <c:pt idx="235">
                  <c:v>-8.2143343461707957E-2</c:v>
                </c:pt>
                <c:pt idx="236">
                  <c:v>-8.1884836009725584E-2</c:v>
                </c:pt>
                <c:pt idx="237">
                  <c:v>-8.1888486177293163E-2</c:v>
                </c:pt>
                <c:pt idx="238">
                  <c:v>-8.1908784998345779E-2</c:v>
                </c:pt>
                <c:pt idx="239">
                  <c:v>-8.1949669924432741E-2</c:v>
                </c:pt>
                <c:pt idx="240">
                  <c:v>-8.1980682853004166E-2</c:v>
                </c:pt>
                <c:pt idx="241">
                  <c:v>-8.1925320253004169E-2</c:v>
                </c:pt>
                <c:pt idx="242">
                  <c:v>-8.2138131841893058E-2</c:v>
                </c:pt>
                <c:pt idx="243">
                  <c:v>-8.2136831674812311E-2</c:v>
                </c:pt>
                <c:pt idx="244">
                  <c:v>-8.2026595028175553E-2</c:v>
                </c:pt>
                <c:pt idx="245">
                  <c:v>-8.1944260216374298E-2</c:v>
                </c:pt>
                <c:pt idx="246">
                  <c:v>-8.1969277112374297E-2</c:v>
                </c:pt>
                <c:pt idx="247">
                  <c:v>-8.2141880271989695E-2</c:v>
                </c:pt>
                <c:pt idx="248">
                  <c:v>-8.2247964542481497E-2</c:v>
                </c:pt>
                <c:pt idx="249">
                  <c:v>-8.2670412807899371E-2</c:v>
                </c:pt>
                <c:pt idx="250">
                  <c:v>-8.2099456943899363E-2</c:v>
                </c:pt>
                <c:pt idx="251">
                  <c:v>-8.1829336389712168E-2</c:v>
                </c:pt>
                <c:pt idx="252">
                  <c:v>-8.180821429367692E-2</c:v>
                </c:pt>
                <c:pt idx="253">
                  <c:v>-8.2162198859203991E-2</c:v>
                </c:pt>
                <c:pt idx="254">
                  <c:v>-8.1849545818019218E-2</c:v>
                </c:pt>
                <c:pt idx="255">
                  <c:v>-8.2073360854652888E-2</c:v>
                </c:pt>
                <c:pt idx="256">
                  <c:v>-8.2152900126673631E-2</c:v>
                </c:pt>
                <c:pt idx="257">
                  <c:v>-8.2209438748295255E-2</c:v>
                </c:pt>
                <c:pt idx="258">
                  <c:v>-8.2058215513317656E-2</c:v>
                </c:pt>
                <c:pt idx="259">
                  <c:v>-8.2391256107614233E-2</c:v>
                </c:pt>
                <c:pt idx="260">
                  <c:v>-8.2303009346638631E-2</c:v>
                </c:pt>
                <c:pt idx="261">
                  <c:v>-8.1765780193079327E-2</c:v>
                </c:pt>
                <c:pt idx="262">
                  <c:v>-8.2367934541412655E-2</c:v>
                </c:pt>
                <c:pt idx="263">
                  <c:v>-8.1781527313144101E-2</c:v>
                </c:pt>
                <c:pt idx="264">
                  <c:v>-8.1850288759090048E-2</c:v>
                </c:pt>
                <c:pt idx="265">
                  <c:v>-8.1565069324025116E-2</c:v>
                </c:pt>
                <c:pt idx="266">
                  <c:v>-8.1256078150266253E-2</c:v>
                </c:pt>
                <c:pt idx="267">
                  <c:v>-7.8778367508160974E-2</c:v>
                </c:pt>
                <c:pt idx="268">
                  <c:v>-8.0099181159458382E-2</c:v>
                </c:pt>
                <c:pt idx="269">
                  <c:v>-8.1312302801811329E-2</c:v>
                </c:pt>
                <c:pt idx="270">
                  <c:v>-8.1739036962361775E-2</c:v>
                </c:pt>
                <c:pt idx="271">
                  <c:v>-8.1922558438418128E-2</c:v>
                </c:pt>
                <c:pt idx="272">
                  <c:v>-8.2102467478418123E-2</c:v>
                </c:pt>
                <c:pt idx="273">
                  <c:v>-8.1850213880057476E-2</c:v>
                </c:pt>
                <c:pt idx="274">
                  <c:v>-8.2001832946724154E-2</c:v>
                </c:pt>
                <c:pt idx="275">
                  <c:v>-8.1773662921372031E-2</c:v>
                </c:pt>
                <c:pt idx="276">
                  <c:v>-8.1657092983100421E-2</c:v>
                </c:pt>
                <c:pt idx="277">
                  <c:v>-8.2348572236041626E-2</c:v>
                </c:pt>
                <c:pt idx="278">
                  <c:v>-8.1427958809954654E-2</c:v>
                </c:pt>
                <c:pt idx="279">
                  <c:v>-7.9692424349577295E-2</c:v>
                </c:pt>
                <c:pt idx="280">
                  <c:v>-7.3262299588020108E-2</c:v>
                </c:pt>
                <c:pt idx="281">
                  <c:v>-7.2531587742257403E-2</c:v>
                </c:pt>
                <c:pt idx="282">
                  <c:v>-7.2127906529843619E-2</c:v>
                </c:pt>
                <c:pt idx="283">
                  <c:v>-7.3044128250798521E-2</c:v>
                </c:pt>
                <c:pt idx="284">
                  <c:v>-7.2616268329502215E-2</c:v>
                </c:pt>
                <c:pt idx="285">
                  <c:v>-7.2508342510626725E-2</c:v>
                </c:pt>
                <c:pt idx="286">
                  <c:v>-7.2039464054184987E-2</c:v>
                </c:pt>
                <c:pt idx="287">
                  <c:v>-7.3352808460108332E-2</c:v>
                </c:pt>
                <c:pt idx="288">
                  <c:v>-7.3681994310108342E-2</c:v>
                </c:pt>
                <c:pt idx="289">
                  <c:v>-7.4242930247946176E-2</c:v>
                </c:pt>
                <c:pt idx="290">
                  <c:v>-7.4358751849533472E-2</c:v>
                </c:pt>
                <c:pt idx="291">
                  <c:v>-7.3684867371921536E-2</c:v>
                </c:pt>
                <c:pt idx="292">
                  <c:v>-7.3826603066902238E-2</c:v>
                </c:pt>
                <c:pt idx="293">
                  <c:v>-7.5390958923595153E-2</c:v>
                </c:pt>
                <c:pt idx="294">
                  <c:v>-7.4478542801257486E-2</c:v>
                </c:pt>
                <c:pt idx="295">
                  <c:v>-7.7972761938581422E-2</c:v>
                </c:pt>
                <c:pt idx="296">
                  <c:v>-7.4663063194779777E-2</c:v>
                </c:pt>
                <c:pt idx="297">
                  <c:v>-7.8973368767087479E-2</c:v>
                </c:pt>
                <c:pt idx="298">
                  <c:v>-7.9598102326690123E-2</c:v>
                </c:pt>
                <c:pt idx="299">
                  <c:v>-8.0074506617599212E-2</c:v>
                </c:pt>
                <c:pt idx="300">
                  <c:v>-7.9343276907254373E-2</c:v>
                </c:pt>
                <c:pt idx="301">
                  <c:v>-7.9343276907254373E-2</c:v>
                </c:pt>
                <c:pt idx="302">
                  <c:v>-7.9168598498743747E-2</c:v>
                </c:pt>
                <c:pt idx="303">
                  <c:v>-8.0395596880433878E-2</c:v>
                </c:pt>
                <c:pt idx="304">
                  <c:v>-8.0832067720433887E-2</c:v>
                </c:pt>
                <c:pt idx="305">
                  <c:v>-8.1401238978970475E-2</c:v>
                </c:pt>
                <c:pt idx="306">
                  <c:v>-8.1452825601192699E-2</c:v>
                </c:pt>
                <c:pt idx="307">
                  <c:v>-8.0965108492497051E-2</c:v>
                </c:pt>
                <c:pt idx="308">
                  <c:v>-8.0965108492497051E-2</c:v>
                </c:pt>
                <c:pt idx="309">
                  <c:v>-8.0628002601587964E-2</c:v>
                </c:pt>
                <c:pt idx="310">
                  <c:v>-8.0074798199547131E-2</c:v>
                </c:pt>
                <c:pt idx="311">
                  <c:v>-7.8028724936055074E-2</c:v>
                </c:pt>
                <c:pt idx="312">
                  <c:v>-7.7944205159269364E-2</c:v>
                </c:pt>
                <c:pt idx="313">
                  <c:v>-7.7620824117602683E-2</c:v>
                </c:pt>
                <c:pt idx="314">
                  <c:v>-7.7112988367602678E-2</c:v>
                </c:pt>
                <c:pt idx="315">
                  <c:v>-7.700300770093603E-2</c:v>
                </c:pt>
                <c:pt idx="316">
                  <c:v>-7.700300770093603E-2</c:v>
                </c:pt>
                <c:pt idx="317">
                  <c:v>-7.6924106695053659E-2</c:v>
                </c:pt>
                <c:pt idx="318">
                  <c:v>-7.6694757064284441E-2</c:v>
                </c:pt>
                <c:pt idx="319">
                  <c:v>-7.6694757064284441E-2</c:v>
                </c:pt>
                <c:pt idx="320">
                  <c:v>-7.6322348349998723E-2</c:v>
                </c:pt>
                <c:pt idx="321">
                  <c:v>-7.6707479041043497E-2</c:v>
                </c:pt>
                <c:pt idx="322">
                  <c:v>-7.5680985556297736E-2</c:v>
                </c:pt>
                <c:pt idx="323">
                  <c:v>-7.4395525899154893E-2</c:v>
                </c:pt>
                <c:pt idx="324">
                  <c:v>-7.5854729353700356E-2</c:v>
                </c:pt>
                <c:pt idx="325">
                  <c:v>-7.5740612844609437E-2</c:v>
                </c:pt>
                <c:pt idx="326">
                  <c:v>-7.4934156382109429E-2</c:v>
                </c:pt>
                <c:pt idx="327">
                  <c:v>-7.4386709476048835E-2</c:v>
                </c:pt>
                <c:pt idx="328">
                  <c:v>-7.3891603193997554E-2</c:v>
                </c:pt>
                <c:pt idx="329">
                  <c:v>-7.3424412663562783E-2</c:v>
                </c:pt>
                <c:pt idx="330">
                  <c:v>-7.3619257241611544E-2</c:v>
                </c:pt>
                <c:pt idx="331">
                  <c:v>-7.3369885074944893E-2</c:v>
                </c:pt>
                <c:pt idx="332">
                  <c:v>-7.330347523146663E-2</c:v>
                </c:pt>
                <c:pt idx="333">
                  <c:v>-7.2787199964799973E-2</c:v>
                </c:pt>
                <c:pt idx="334">
                  <c:v>-7.2614212251592425E-2</c:v>
                </c:pt>
                <c:pt idx="335">
                  <c:v>-7.2397976877398879E-2</c:v>
                </c:pt>
                <c:pt idx="336">
                  <c:v>-7.208237127739886E-2</c:v>
                </c:pt>
                <c:pt idx="337">
                  <c:v>-7.1719921784065527E-2</c:v>
                </c:pt>
                <c:pt idx="338">
                  <c:v>-7.0728538486922676E-2</c:v>
                </c:pt>
                <c:pt idx="339">
                  <c:v>-7.0995737634974632E-2</c:v>
                </c:pt>
                <c:pt idx="340">
                  <c:v>-7.2094269760464832E-2</c:v>
                </c:pt>
                <c:pt idx="341">
                  <c:v>-7.2266468636521169E-2</c:v>
                </c:pt>
                <c:pt idx="342">
                  <c:v>-7.1536599395704836E-2</c:v>
                </c:pt>
                <c:pt idx="343">
                  <c:v>-7.0825037405908911E-2</c:v>
                </c:pt>
                <c:pt idx="344">
                  <c:v>-7.0580813903469902E-2</c:v>
                </c:pt>
                <c:pt idx="345">
                  <c:v>-6.9667115694167572E-2</c:v>
                </c:pt>
                <c:pt idx="346">
                  <c:v>-6.7998730780608252E-2</c:v>
                </c:pt>
                <c:pt idx="347">
                  <c:v>-6.5681270425345092E-2</c:v>
                </c:pt>
                <c:pt idx="348">
                  <c:v>-7.2602591467898298E-2</c:v>
                </c:pt>
                <c:pt idx="349">
                  <c:v>-7.3634713433687771E-2</c:v>
                </c:pt>
                <c:pt idx="350">
                  <c:v>-7.4209145517898298E-2</c:v>
                </c:pt>
                <c:pt idx="351">
                  <c:v>-7.3111429527575697E-2</c:v>
                </c:pt>
                <c:pt idx="352">
                  <c:v>-7.3711354994242376E-2</c:v>
                </c:pt>
                <c:pt idx="353">
                  <c:v>-7.4446368254242376E-2</c:v>
                </c:pt>
                <c:pt idx="354">
                  <c:v>-7.3919808987575705E-2</c:v>
                </c:pt>
                <c:pt idx="355">
                  <c:v>-7.3754371227575707E-2</c:v>
                </c:pt>
                <c:pt idx="356">
                  <c:v>-7.3513684499004264E-2</c:v>
                </c:pt>
                <c:pt idx="357">
                  <c:v>-7.375421414300426E-2</c:v>
                </c:pt>
                <c:pt idx="358">
                  <c:v>-7.3673516503004272E-2</c:v>
                </c:pt>
                <c:pt idx="359">
                  <c:v>-7.3558551443004258E-2</c:v>
                </c:pt>
                <c:pt idx="360">
                  <c:v>-7.3441319754115372E-2</c:v>
                </c:pt>
                <c:pt idx="361">
                  <c:v>-7.301432550148379E-2</c:v>
                </c:pt>
                <c:pt idx="362">
                  <c:v>-7.3062663145928242E-2</c:v>
                </c:pt>
                <c:pt idx="363">
                  <c:v>-7.2853542851810602E-2</c:v>
                </c:pt>
                <c:pt idx="364">
                  <c:v>-7.1485331810347191E-2</c:v>
                </c:pt>
                <c:pt idx="365">
                  <c:v>-7.0845225977013856E-2</c:v>
                </c:pt>
                <c:pt idx="366">
                  <c:v>-7.0736079594660911E-2</c:v>
                </c:pt>
                <c:pt idx="367">
                  <c:v>-7.0457871179276294E-2</c:v>
                </c:pt>
                <c:pt idx="368">
                  <c:v>-7.0365602655466777E-2</c:v>
                </c:pt>
                <c:pt idx="369">
                  <c:v>-7.0433625355466767E-2</c:v>
                </c:pt>
                <c:pt idx="370">
                  <c:v>-7.0349628633244551E-2</c:v>
                </c:pt>
                <c:pt idx="371">
                  <c:v>-7.0238907853244562E-2</c:v>
                </c:pt>
                <c:pt idx="372">
                  <c:v>-6.9756056380517281E-2</c:v>
                </c:pt>
                <c:pt idx="373">
                  <c:v>-6.9818049805517271E-2</c:v>
                </c:pt>
                <c:pt idx="374">
                  <c:v>-6.9747866447622542E-2</c:v>
                </c:pt>
                <c:pt idx="375">
                  <c:v>-6.9784797770699472E-2</c:v>
                </c:pt>
                <c:pt idx="376">
                  <c:v>-6.9642248570699464E-2</c:v>
                </c:pt>
                <c:pt idx="377">
                  <c:v>-6.9824282870699458E-2</c:v>
                </c:pt>
                <c:pt idx="378">
                  <c:v>-6.9854923781225778E-2</c:v>
                </c:pt>
                <c:pt idx="379">
                  <c:v>-6.9653779331225782E-2</c:v>
                </c:pt>
                <c:pt idx="380">
                  <c:v>-6.9184041835481103E-2</c:v>
                </c:pt>
                <c:pt idx="381">
                  <c:v>-7.0055703415481091E-2</c:v>
                </c:pt>
                <c:pt idx="382">
                  <c:v>-7.1503569919736401E-2</c:v>
                </c:pt>
                <c:pt idx="383">
                  <c:v>-6.8455005606501113E-2</c:v>
                </c:pt>
                <c:pt idx="384">
                  <c:v>-6.9731216794673173E-2</c:v>
                </c:pt>
                <c:pt idx="385">
                  <c:v>-6.9319365774673167E-2</c:v>
                </c:pt>
                <c:pt idx="386">
                  <c:v>-6.8334990559117612E-2</c:v>
                </c:pt>
                <c:pt idx="387">
                  <c:v>-6.7958403380856736E-2</c:v>
                </c:pt>
                <c:pt idx="388">
                  <c:v>-6.7703623540856739E-2</c:v>
                </c:pt>
                <c:pt idx="389">
                  <c:v>-6.7687334637408461E-2</c:v>
                </c:pt>
                <c:pt idx="390">
                  <c:v>-6.8162548199477424E-2</c:v>
                </c:pt>
                <c:pt idx="391">
                  <c:v>-6.7528530366144091E-2</c:v>
                </c:pt>
                <c:pt idx="392">
                  <c:v>-6.7283186535374864E-2</c:v>
                </c:pt>
                <c:pt idx="393">
                  <c:v>-6.7169534706803438E-2</c:v>
                </c:pt>
                <c:pt idx="394">
                  <c:v>-6.7041991106803436E-2</c:v>
                </c:pt>
                <c:pt idx="395">
                  <c:v>-6.6809599106803438E-2</c:v>
                </c:pt>
                <c:pt idx="396">
                  <c:v>-6.6539088866803431E-2</c:v>
                </c:pt>
                <c:pt idx="397">
                  <c:v>-6.6568879919184379E-2</c:v>
                </c:pt>
                <c:pt idx="398">
                  <c:v>-6.6436086633470101E-2</c:v>
                </c:pt>
                <c:pt idx="399">
                  <c:v>-6.6207569946373321E-2</c:v>
                </c:pt>
                <c:pt idx="400">
                  <c:v>-6.6558404543147515E-2</c:v>
                </c:pt>
                <c:pt idx="401">
                  <c:v>-6.6306097843147518E-2</c:v>
                </c:pt>
                <c:pt idx="402">
                  <c:v>-6.6165604343147527E-2</c:v>
                </c:pt>
                <c:pt idx="403">
                  <c:v>-6.6029570796480849E-2</c:v>
                </c:pt>
                <c:pt idx="404">
                  <c:v>-6.6060790860766563E-2</c:v>
                </c:pt>
                <c:pt idx="405">
                  <c:v>-6.5824570382988778E-2</c:v>
                </c:pt>
                <c:pt idx="406">
                  <c:v>-6.5646438302988802E-2</c:v>
                </c:pt>
                <c:pt idx="407">
                  <c:v>-6.5546144936322118E-2</c:v>
                </c:pt>
                <c:pt idx="408">
                  <c:v>-6.5396963227988797E-2</c:v>
                </c:pt>
                <c:pt idx="409">
                  <c:v>-6.5351964858758022E-2</c:v>
                </c:pt>
                <c:pt idx="410">
                  <c:v>-6.5363846582013829E-2</c:v>
                </c:pt>
                <c:pt idx="411">
                  <c:v>-6.5035665966629227E-2</c:v>
                </c:pt>
                <c:pt idx="412">
                  <c:v>-6.4925911566629205E-2</c:v>
                </c:pt>
                <c:pt idx="413">
                  <c:v>-6.4825706066629213E-2</c:v>
                </c:pt>
                <c:pt idx="414">
                  <c:v>-6.4773099625452746E-2</c:v>
                </c:pt>
                <c:pt idx="415">
                  <c:v>-6.4645890025452749E-2</c:v>
                </c:pt>
                <c:pt idx="416">
                  <c:v>-6.4667327616361833E-2</c:v>
                </c:pt>
                <c:pt idx="417">
                  <c:v>-6.449448531636183E-2</c:v>
                </c:pt>
                <c:pt idx="418">
                  <c:v>-6.4468444436361821E-2</c:v>
                </c:pt>
                <c:pt idx="419">
                  <c:v>-6.444568679518535E-2</c:v>
                </c:pt>
                <c:pt idx="420">
                  <c:v>-6.3939807532222392E-2</c:v>
                </c:pt>
                <c:pt idx="421">
                  <c:v>-6.3438355051270018E-2</c:v>
                </c:pt>
                <c:pt idx="422">
                  <c:v>-6.3498650610093549E-2</c:v>
                </c:pt>
                <c:pt idx="423">
                  <c:v>-6.34054356562474E-2</c:v>
                </c:pt>
                <c:pt idx="424">
                  <c:v>-6.3339752556247395E-2</c:v>
                </c:pt>
                <c:pt idx="425">
                  <c:v>-6.345515991180295E-2</c:v>
                </c:pt>
                <c:pt idx="426">
                  <c:v>-6.3406584091802942E-2</c:v>
                </c:pt>
                <c:pt idx="427">
                  <c:v>-6.3297065525136281E-2</c:v>
                </c:pt>
                <c:pt idx="428">
                  <c:v>-6.2936640430590829E-2</c:v>
                </c:pt>
                <c:pt idx="429">
                  <c:v>-6.2480847097257493E-2</c:v>
                </c:pt>
                <c:pt idx="430">
                  <c:v>-6.2791254517257505E-2</c:v>
                </c:pt>
                <c:pt idx="431">
                  <c:v>-6.3374788482774738E-2</c:v>
                </c:pt>
                <c:pt idx="432">
                  <c:v>-6.3047240282774739E-2</c:v>
                </c:pt>
                <c:pt idx="433">
                  <c:v>-6.36198372894414E-2</c:v>
                </c:pt>
                <c:pt idx="434">
                  <c:v>-6.3368681678915087E-2</c:v>
                </c:pt>
                <c:pt idx="435">
                  <c:v>-6.2603836168570265E-2</c:v>
                </c:pt>
                <c:pt idx="436">
                  <c:v>-6.3264207829860586E-2</c:v>
                </c:pt>
                <c:pt idx="437">
                  <c:v>-6.3160113279860583E-2</c:v>
                </c:pt>
                <c:pt idx="438">
                  <c:v>-6.3261259613193913E-2</c:v>
                </c:pt>
                <c:pt idx="439">
                  <c:v>-6.307039301664219E-2</c:v>
                </c:pt>
                <c:pt idx="440">
                  <c:v>-6.3147576938381328E-2</c:v>
                </c:pt>
                <c:pt idx="441">
                  <c:v>-6.3180464864697111E-2</c:v>
                </c:pt>
                <c:pt idx="442">
                  <c:v>-6.2722692364697116E-2</c:v>
                </c:pt>
                <c:pt idx="443">
                  <c:v>-6.269126048048658E-2</c:v>
                </c:pt>
                <c:pt idx="444">
                  <c:v>-6.2743147211255804E-2</c:v>
                </c:pt>
                <c:pt idx="445">
                  <c:v>-6.2680837661255817E-2</c:v>
                </c:pt>
                <c:pt idx="446">
                  <c:v>-6.261780898125581E-2</c:v>
                </c:pt>
                <c:pt idx="447">
                  <c:v>-6.2456802542794274E-2</c:v>
                </c:pt>
                <c:pt idx="448">
                  <c:v>-6.2590036885651415E-2</c:v>
                </c:pt>
                <c:pt idx="449">
                  <c:v>-6.2411722185651421E-2</c:v>
                </c:pt>
                <c:pt idx="450">
                  <c:v>-6.2253984982425604E-2</c:v>
                </c:pt>
                <c:pt idx="451">
                  <c:v>-6.2070095925903873E-2</c:v>
                </c:pt>
                <c:pt idx="452">
                  <c:v>-6.1917260136430181E-2</c:v>
                </c:pt>
                <c:pt idx="453">
                  <c:v>-6.1983462354611996E-2</c:v>
                </c:pt>
                <c:pt idx="454">
                  <c:v>-6.1914689474611997E-2</c:v>
                </c:pt>
                <c:pt idx="455">
                  <c:v>-6.1754264674611994E-2</c:v>
                </c:pt>
                <c:pt idx="456">
                  <c:v>-6.1532445579875153E-2</c:v>
                </c:pt>
                <c:pt idx="457">
                  <c:v>-6.189126736558944E-2</c:v>
                </c:pt>
                <c:pt idx="458">
                  <c:v>-6.1767722731303723E-2</c:v>
                </c:pt>
                <c:pt idx="459">
                  <c:v>-6.1321937797157382E-2</c:v>
                </c:pt>
                <c:pt idx="460">
                  <c:v>-6.1275996892809562E-2</c:v>
                </c:pt>
                <c:pt idx="461">
                  <c:v>-6.1264704639476225E-2</c:v>
                </c:pt>
                <c:pt idx="462">
                  <c:v>-6.1296225221294416E-2</c:v>
                </c:pt>
                <c:pt idx="463">
                  <c:v>-6.1097408621294411E-2</c:v>
                </c:pt>
                <c:pt idx="464">
                  <c:v>-6.1065905288861987E-2</c:v>
                </c:pt>
                <c:pt idx="465">
                  <c:v>-6.0859209817163876E-2</c:v>
                </c:pt>
                <c:pt idx="466">
                  <c:v>-6.0639249142745273E-2</c:v>
                </c:pt>
                <c:pt idx="467">
                  <c:v>-6.0621682476078596E-2</c:v>
                </c:pt>
                <c:pt idx="468">
                  <c:v>-6.0570698485169501E-2</c:v>
                </c:pt>
                <c:pt idx="469">
                  <c:v>-6.0578935347074266E-2</c:v>
                </c:pt>
                <c:pt idx="470">
                  <c:v>-6.0525544971212202E-2</c:v>
                </c:pt>
                <c:pt idx="471">
                  <c:v>-6.034131257121219E-2</c:v>
                </c:pt>
                <c:pt idx="472">
                  <c:v>-6.0380931975212195E-2</c:v>
                </c:pt>
                <c:pt idx="473">
                  <c:v>-6.0253325575212194E-2</c:v>
                </c:pt>
                <c:pt idx="474">
                  <c:v>-6.0182866967212194E-2</c:v>
                </c:pt>
                <c:pt idx="475">
                  <c:v>-6.0017321729281162E-2</c:v>
                </c:pt>
                <c:pt idx="476">
                  <c:v>-5.9972541284119871E-2</c:v>
                </c:pt>
                <c:pt idx="477">
                  <c:v>-6.0031286322581402E-2</c:v>
                </c:pt>
                <c:pt idx="478">
                  <c:v>-5.9989022982581408E-2</c:v>
                </c:pt>
                <c:pt idx="479">
                  <c:v>-5.9793400011152839E-2</c:v>
                </c:pt>
                <c:pt idx="480">
                  <c:v>-5.944539861115284E-2</c:v>
                </c:pt>
                <c:pt idx="481">
                  <c:v>-5.945490335781952E-2</c:v>
                </c:pt>
                <c:pt idx="482">
                  <c:v>-5.9533639851937166E-2</c:v>
                </c:pt>
                <c:pt idx="483">
                  <c:v>-5.9418906923365732E-2</c:v>
                </c:pt>
                <c:pt idx="484">
                  <c:v>-5.918075257336574E-2</c:v>
                </c:pt>
                <c:pt idx="485">
                  <c:v>-5.9148261188750356E-2</c:v>
                </c:pt>
                <c:pt idx="486">
                  <c:v>-5.916360796375035E-2</c:v>
                </c:pt>
                <c:pt idx="487">
                  <c:v>-5.9125609699044471E-2</c:v>
                </c:pt>
                <c:pt idx="488">
                  <c:v>-5.9050355626317198E-2</c:v>
                </c:pt>
                <c:pt idx="489">
                  <c:v>-5.9099118966317192E-2</c:v>
                </c:pt>
                <c:pt idx="490">
                  <c:v>-5.9282860795349453E-2</c:v>
                </c:pt>
                <c:pt idx="491">
                  <c:v>-5.9139375630643566E-2</c:v>
                </c:pt>
                <c:pt idx="492">
                  <c:v>-5.8862273408421345E-2</c:v>
                </c:pt>
                <c:pt idx="493">
                  <c:v>-5.9025996993787196E-2</c:v>
                </c:pt>
                <c:pt idx="494">
                  <c:v>-5.9209109937265463E-2</c:v>
                </c:pt>
                <c:pt idx="495">
                  <c:v>-5.9209109937265463E-2</c:v>
                </c:pt>
                <c:pt idx="496">
                  <c:v>-5.9081439387265462E-2</c:v>
                </c:pt>
                <c:pt idx="497">
                  <c:v>-5.8977258069083646E-2</c:v>
                </c:pt>
                <c:pt idx="498">
                  <c:v>-5.8897121529083642E-2</c:v>
                </c:pt>
                <c:pt idx="499">
                  <c:v>-5.8825709186226503E-2</c:v>
                </c:pt>
                <c:pt idx="500">
                  <c:v>-5.8680325624004277E-2</c:v>
                </c:pt>
                <c:pt idx="501">
                  <c:v>-5.8615763657337616E-2</c:v>
                </c:pt>
                <c:pt idx="502">
                  <c:v>-5.8496619970670946E-2</c:v>
                </c:pt>
                <c:pt idx="503">
                  <c:v>-5.8570964537337615E-2</c:v>
                </c:pt>
                <c:pt idx="504">
                  <c:v>-5.8502888457337622E-2</c:v>
                </c:pt>
                <c:pt idx="505">
                  <c:v>-5.8523733977337622E-2</c:v>
                </c:pt>
                <c:pt idx="506">
                  <c:v>-5.8651895810670956E-2</c:v>
                </c:pt>
                <c:pt idx="507">
                  <c:v>-5.8627093685670949E-2</c:v>
                </c:pt>
                <c:pt idx="508">
                  <c:v>-5.8760443825670944E-2</c:v>
                </c:pt>
                <c:pt idx="509">
                  <c:v>-5.8670141517978634E-2</c:v>
                </c:pt>
                <c:pt idx="510">
                  <c:v>-5.8412171264917413E-2</c:v>
                </c:pt>
                <c:pt idx="511">
                  <c:v>-5.8289091653806295E-2</c:v>
                </c:pt>
                <c:pt idx="512">
                  <c:v>-5.8108992587139634E-2</c:v>
                </c:pt>
                <c:pt idx="513">
                  <c:v>-5.7937805747139644E-2</c:v>
                </c:pt>
                <c:pt idx="514">
                  <c:v>-5.8399330136028535E-2</c:v>
                </c:pt>
                <c:pt idx="515">
                  <c:v>-5.835628128602853E-2</c:v>
                </c:pt>
                <c:pt idx="516">
                  <c:v>-5.8419873376937624E-2</c:v>
                </c:pt>
                <c:pt idx="517">
                  <c:v>-5.8619568376937624E-2</c:v>
                </c:pt>
                <c:pt idx="518">
                  <c:v>-5.893890919360429E-2</c:v>
                </c:pt>
                <c:pt idx="519">
                  <c:v>-5.879595823708255E-2</c:v>
                </c:pt>
                <c:pt idx="520">
                  <c:v>-5.9780527792638101E-2</c:v>
                </c:pt>
                <c:pt idx="521">
                  <c:v>-5.9393332554542856E-2</c:v>
                </c:pt>
                <c:pt idx="522">
                  <c:v>-5.9505126769927481E-2</c:v>
                </c:pt>
                <c:pt idx="523">
                  <c:v>-5.9709268209927481E-2</c:v>
                </c:pt>
                <c:pt idx="524">
                  <c:v>-6.0457634053677482E-2</c:v>
                </c:pt>
                <c:pt idx="525">
                  <c:v>-6.0004114862449415E-2</c:v>
                </c:pt>
                <c:pt idx="526">
                  <c:v>-6.0305909851638605E-2</c:v>
                </c:pt>
                <c:pt idx="527">
                  <c:v>-5.9962123741512018E-2</c:v>
                </c:pt>
                <c:pt idx="528">
                  <c:v>-5.9783293341512021E-2</c:v>
                </c:pt>
                <c:pt idx="529">
                  <c:v>-5.9547460412799146E-2</c:v>
                </c:pt>
                <c:pt idx="530">
                  <c:v>-5.9484778965740323E-2</c:v>
                </c:pt>
                <c:pt idx="531">
                  <c:v>-5.9614279475174288E-2</c:v>
                </c:pt>
                <c:pt idx="532">
                  <c:v>-5.9628260275174282E-2</c:v>
                </c:pt>
                <c:pt idx="533">
                  <c:v>-5.8956284748858501E-2</c:v>
                </c:pt>
                <c:pt idx="534">
                  <c:v>-5.8700860876727351E-2</c:v>
                </c:pt>
                <c:pt idx="535">
                  <c:v>-6.0035506061291113E-2</c:v>
                </c:pt>
                <c:pt idx="536">
                  <c:v>-6.0431490461291121E-2</c:v>
                </c:pt>
                <c:pt idx="537">
                  <c:v>-6.0431490461291121E-2</c:v>
                </c:pt>
                <c:pt idx="538">
                  <c:v>-6.0226473831291122E-2</c:v>
                </c:pt>
                <c:pt idx="539">
                  <c:v>-6.0286522564624453E-2</c:v>
                </c:pt>
                <c:pt idx="540">
                  <c:v>-6.0383701689624453E-2</c:v>
                </c:pt>
                <c:pt idx="541">
                  <c:v>-6.0378377968002828E-2</c:v>
                </c:pt>
                <c:pt idx="542">
                  <c:v>-6.0639547761551213E-2</c:v>
                </c:pt>
                <c:pt idx="543">
                  <c:v>-6.0537186872662324E-2</c:v>
                </c:pt>
                <c:pt idx="544">
                  <c:v>-6.0012447931198906E-2</c:v>
                </c:pt>
                <c:pt idx="545">
                  <c:v>-5.9800359751198906E-2</c:v>
                </c:pt>
                <c:pt idx="546">
                  <c:v>-5.9837268777285867E-2</c:v>
                </c:pt>
                <c:pt idx="547">
                  <c:v>-5.973086615475065E-2</c:v>
                </c:pt>
                <c:pt idx="548">
                  <c:v>-5.9903974474750654E-2</c:v>
                </c:pt>
                <c:pt idx="549">
                  <c:v>-5.9733742939195103E-2</c:v>
                </c:pt>
                <c:pt idx="550">
                  <c:v>-5.942002957278289E-2</c:v>
                </c:pt>
                <c:pt idx="551">
                  <c:v>-5.938960314519668E-2</c:v>
                </c:pt>
                <c:pt idx="552">
                  <c:v>-5.9220604385196676E-2</c:v>
                </c:pt>
                <c:pt idx="553">
                  <c:v>-5.9389959739042833E-2</c:v>
                </c:pt>
                <c:pt idx="554">
                  <c:v>-5.9165482054832297E-2</c:v>
                </c:pt>
                <c:pt idx="555">
                  <c:v>-5.9269509298310562E-2</c:v>
                </c:pt>
                <c:pt idx="556">
                  <c:v>-5.9192646858310563E-2</c:v>
                </c:pt>
                <c:pt idx="557">
                  <c:v>-5.8718867724977232E-2</c:v>
                </c:pt>
                <c:pt idx="558">
                  <c:v>-5.8677387774977226E-2</c:v>
                </c:pt>
                <c:pt idx="559">
                  <c:v>-5.8708119532871965E-2</c:v>
                </c:pt>
                <c:pt idx="560">
                  <c:v>-5.8714875081259062E-2</c:v>
                </c:pt>
                <c:pt idx="561">
                  <c:v>-5.8949798947925729E-2</c:v>
                </c:pt>
                <c:pt idx="562">
                  <c:v>-5.887153701762269E-2</c:v>
                </c:pt>
                <c:pt idx="563">
                  <c:v>-5.8962264817622699E-2</c:v>
                </c:pt>
                <c:pt idx="564">
                  <c:v>-5.8785046671676743E-2</c:v>
                </c:pt>
                <c:pt idx="565">
                  <c:v>-5.7804879893676747E-2</c:v>
                </c:pt>
                <c:pt idx="566">
                  <c:v>-5.8235118979391036E-2</c:v>
                </c:pt>
                <c:pt idx="567">
                  <c:v>-5.8093593353304079E-2</c:v>
                </c:pt>
                <c:pt idx="568">
                  <c:v>-5.7791366629166153E-2</c:v>
                </c:pt>
                <c:pt idx="569">
                  <c:v>-5.8167257394550767E-2</c:v>
                </c:pt>
                <c:pt idx="570">
                  <c:v>-5.7797367712732597E-2</c:v>
                </c:pt>
                <c:pt idx="571">
                  <c:v>-5.8289727477018306E-2</c:v>
                </c:pt>
                <c:pt idx="572">
                  <c:v>-5.6784944004291037E-2</c:v>
                </c:pt>
                <c:pt idx="573">
                  <c:v>-5.7707720916055742E-2</c:v>
                </c:pt>
                <c:pt idx="574">
                  <c:v>-5.6930325744125918E-2</c:v>
                </c:pt>
                <c:pt idx="575">
                  <c:v>-5.3743483549681469E-2</c:v>
                </c:pt>
                <c:pt idx="576">
                  <c:v>-5.1051596786794877E-2</c:v>
                </c:pt>
                <c:pt idx="577">
                  <c:v>-5.2193543294487194E-2</c:v>
                </c:pt>
                <c:pt idx="578">
                  <c:v>-4.714016394843816E-2</c:v>
                </c:pt>
                <c:pt idx="579">
                  <c:v>-4.6269901789298372E-2</c:v>
                </c:pt>
                <c:pt idx="580">
                  <c:v>-4.6101010630761788E-2</c:v>
                </c:pt>
                <c:pt idx="581">
                  <c:v>-4.6123971280761782E-2</c:v>
                </c:pt>
                <c:pt idx="582">
                  <c:v>-4.5960487047428451E-2</c:v>
                </c:pt>
                <c:pt idx="583">
                  <c:v>-4.5971748864819757E-2</c:v>
                </c:pt>
                <c:pt idx="584">
                  <c:v>-4.550025728644138E-2</c:v>
                </c:pt>
                <c:pt idx="585">
                  <c:v>-4.552031910072709E-2</c:v>
                </c:pt>
                <c:pt idx="586">
                  <c:v>-4.5441531406609441E-2</c:v>
                </c:pt>
                <c:pt idx="587">
                  <c:v>-4.5433905611371353E-2</c:v>
                </c:pt>
                <c:pt idx="588">
                  <c:v>-4.5422389644704686E-2</c:v>
                </c:pt>
                <c:pt idx="589">
                  <c:v>-4.5344503363454684E-2</c:v>
                </c:pt>
                <c:pt idx="590">
                  <c:v>-4.5352668928971926E-2</c:v>
                </c:pt>
                <c:pt idx="591">
                  <c:v>-4.5285700595638592E-2</c:v>
                </c:pt>
                <c:pt idx="592">
                  <c:v>-4.5211396311917659E-2</c:v>
                </c:pt>
                <c:pt idx="593">
                  <c:v>-4.5177049528584319E-2</c:v>
                </c:pt>
                <c:pt idx="594">
                  <c:v>-4.5384088878584326E-2</c:v>
                </c:pt>
                <c:pt idx="595">
                  <c:v>-4.533571102068959E-2</c:v>
                </c:pt>
                <c:pt idx="596">
                  <c:v>-4.4998907280689587E-2</c:v>
                </c:pt>
                <c:pt idx="597">
                  <c:v>-4.5041218194975301E-2</c:v>
                </c:pt>
                <c:pt idx="598">
                  <c:v>-4.4932205705501625E-2</c:v>
                </c:pt>
                <c:pt idx="599">
                  <c:v>-4.5095188705501617E-2</c:v>
                </c:pt>
                <c:pt idx="600">
                  <c:v>-4.5055906005501627E-2</c:v>
                </c:pt>
                <c:pt idx="601">
                  <c:v>-4.4957780447606892E-2</c:v>
                </c:pt>
                <c:pt idx="602">
                  <c:v>-4.500461853181742E-2</c:v>
                </c:pt>
                <c:pt idx="603">
                  <c:v>-4.4590390484758595E-2</c:v>
                </c:pt>
                <c:pt idx="604">
                  <c:v>-4.457772193769978E-2</c:v>
                </c:pt>
                <c:pt idx="605">
                  <c:v>-4.4655600599768738E-2</c:v>
                </c:pt>
                <c:pt idx="606">
                  <c:v>-4.4431418339768741E-2</c:v>
                </c:pt>
                <c:pt idx="607">
                  <c:v>-4.4118956514768742E-2</c:v>
                </c:pt>
                <c:pt idx="608">
                  <c:v>-4.4555887307451664E-2</c:v>
                </c:pt>
                <c:pt idx="609">
                  <c:v>-4.4707014179451672E-2</c:v>
                </c:pt>
                <c:pt idx="610">
                  <c:v>-4.4580913752785001E-2</c:v>
                </c:pt>
                <c:pt idx="611">
                  <c:v>-4.4426269581356433E-2</c:v>
                </c:pt>
                <c:pt idx="612">
                  <c:v>-4.4202266714689756E-2</c:v>
                </c:pt>
                <c:pt idx="613">
                  <c:v>-4.4389635688373973E-2</c:v>
                </c:pt>
                <c:pt idx="614">
                  <c:v>-4.4322216037430563E-2</c:v>
                </c:pt>
                <c:pt idx="615">
                  <c:v>-4.4110623556942764E-2</c:v>
                </c:pt>
                <c:pt idx="616">
                  <c:v>-4.4882266756942762E-2</c:v>
                </c:pt>
                <c:pt idx="617">
                  <c:v>-4.4677761292657055E-2</c:v>
                </c:pt>
                <c:pt idx="618">
                  <c:v>-4.4791935038111588E-2</c:v>
                </c:pt>
                <c:pt idx="619">
                  <c:v>-4.463946996033382E-2</c:v>
                </c:pt>
                <c:pt idx="620">
                  <c:v>-4.4717170552641503E-2</c:v>
                </c:pt>
                <c:pt idx="621">
                  <c:v>-4.4645311873571743E-2</c:v>
                </c:pt>
                <c:pt idx="622">
                  <c:v>-4.4645311873571743E-2</c:v>
                </c:pt>
                <c:pt idx="623">
                  <c:v>-4.4747878630328496E-2</c:v>
                </c:pt>
                <c:pt idx="624">
                  <c:v>-4.4528553867251575E-2</c:v>
                </c:pt>
                <c:pt idx="625">
                  <c:v>-4.4543546848203962E-2</c:v>
                </c:pt>
                <c:pt idx="626">
                  <c:v>-4.4366107245878382E-2</c:v>
                </c:pt>
                <c:pt idx="627">
                  <c:v>-4.469190082029699E-2</c:v>
                </c:pt>
                <c:pt idx="628">
                  <c:v>-4.4408481393981188E-2</c:v>
                </c:pt>
                <c:pt idx="629">
                  <c:v>-4.449723175112405E-2</c:v>
                </c:pt>
                <c:pt idx="630">
                  <c:v>-4.4721091379695481E-2</c:v>
                </c:pt>
                <c:pt idx="631">
                  <c:v>-4.4418498648266906E-2</c:v>
                </c:pt>
                <c:pt idx="632">
                  <c:v>-4.4183683962220395E-2</c:v>
                </c:pt>
                <c:pt idx="633">
                  <c:v>-4.399792096222039E-2</c:v>
                </c:pt>
                <c:pt idx="634">
                  <c:v>-4.4049968590127372E-2</c:v>
                </c:pt>
                <c:pt idx="635">
                  <c:v>-4.3809972812349593E-2</c:v>
                </c:pt>
                <c:pt idx="636">
                  <c:v>-4.3699636841617887E-2</c:v>
                </c:pt>
                <c:pt idx="637">
                  <c:v>-4.3930893041617895E-2</c:v>
                </c:pt>
                <c:pt idx="638">
                  <c:v>-4.3375405126863789E-2</c:v>
                </c:pt>
                <c:pt idx="639">
                  <c:v>-4.2268473872809735E-2</c:v>
                </c:pt>
                <c:pt idx="640">
                  <c:v>-4.2205396172809745E-2</c:v>
                </c:pt>
                <c:pt idx="641">
                  <c:v>-4.2223598530704481E-2</c:v>
                </c:pt>
                <c:pt idx="642">
                  <c:v>-4.2001997830704477E-2</c:v>
                </c:pt>
                <c:pt idx="643">
                  <c:v>-4.1888696717371145E-2</c:v>
                </c:pt>
                <c:pt idx="644">
                  <c:v>-4.1867298990344116E-2</c:v>
                </c:pt>
                <c:pt idx="645">
                  <c:v>-4.1631462515344116E-2</c:v>
                </c:pt>
                <c:pt idx="646">
                  <c:v>-4.1452217891344116E-2</c:v>
                </c:pt>
                <c:pt idx="647">
                  <c:v>-4.1712281383651816E-2</c:v>
                </c:pt>
                <c:pt idx="648">
                  <c:v>-4.1166105498594341E-2</c:v>
                </c:pt>
                <c:pt idx="649">
                  <c:v>-4.0984659048594344E-2</c:v>
                </c:pt>
                <c:pt idx="650">
                  <c:v>-4.0772542681927683E-2</c:v>
                </c:pt>
                <c:pt idx="651">
                  <c:v>-4.0593442710663313E-2</c:v>
                </c:pt>
                <c:pt idx="652">
                  <c:v>-4.0931667630663311E-2</c:v>
                </c:pt>
                <c:pt idx="653">
                  <c:v>-4.0466951684631568E-2</c:v>
                </c:pt>
                <c:pt idx="654">
                  <c:v>-4.0890882715617478E-2</c:v>
                </c:pt>
                <c:pt idx="655">
                  <c:v>-4.1315526861563423E-2</c:v>
                </c:pt>
                <c:pt idx="656">
                  <c:v>-4.0982806061563425E-2</c:v>
                </c:pt>
                <c:pt idx="657">
                  <c:v>-4.2029846644198149E-2</c:v>
                </c:pt>
                <c:pt idx="658">
                  <c:v>-4.1670525697633264E-2</c:v>
                </c:pt>
                <c:pt idx="659">
                  <c:v>-4.1603489616620602E-2</c:v>
                </c:pt>
                <c:pt idx="660">
                  <c:v>-4.3795256044922487E-2</c:v>
                </c:pt>
                <c:pt idx="661">
                  <c:v>-4.3558966181286123E-2</c:v>
                </c:pt>
                <c:pt idx="662">
                  <c:v>-4.3762194757756709E-2</c:v>
                </c:pt>
                <c:pt idx="663">
                  <c:v>-4.3772812761204989E-2</c:v>
                </c:pt>
                <c:pt idx="664">
                  <c:v>-4.3711948661204987E-2</c:v>
                </c:pt>
                <c:pt idx="665">
                  <c:v>-4.3746662345415514E-2</c:v>
                </c:pt>
                <c:pt idx="666">
                  <c:v>-4.3790307140287303E-2</c:v>
                </c:pt>
                <c:pt idx="667">
                  <c:v>-4.3587451051398413E-2</c:v>
                </c:pt>
                <c:pt idx="668">
                  <c:v>-4.3761682831398419E-2</c:v>
                </c:pt>
                <c:pt idx="669">
                  <c:v>-4.3603783803491447E-2</c:v>
                </c:pt>
                <c:pt idx="670">
                  <c:v>-4.3230052603491442E-2</c:v>
                </c:pt>
                <c:pt idx="671">
                  <c:v>-4.3356197266649334E-2</c:v>
                </c:pt>
                <c:pt idx="672">
                  <c:v>-4.3482617972363614E-2</c:v>
                </c:pt>
                <c:pt idx="673">
                  <c:v>-4.3517510609863613E-2</c:v>
                </c:pt>
                <c:pt idx="674">
                  <c:v>-4.3530492159863619E-2</c:v>
                </c:pt>
                <c:pt idx="675">
                  <c:v>-4.3349308275248237E-2</c:v>
                </c:pt>
                <c:pt idx="676">
                  <c:v>-4.3154392539248236E-2</c:v>
                </c:pt>
                <c:pt idx="677">
                  <c:v>-4.2657224483802693E-2</c:v>
                </c:pt>
                <c:pt idx="678">
                  <c:v>-4.2976181767802692E-2</c:v>
                </c:pt>
                <c:pt idx="679">
                  <c:v>-4.2354819640642201E-2</c:v>
                </c:pt>
                <c:pt idx="680">
                  <c:v>-4.2514923829531086E-2</c:v>
                </c:pt>
                <c:pt idx="681">
                  <c:v>-4.2624188298496589E-2</c:v>
                </c:pt>
                <c:pt idx="682">
                  <c:v>-4.2371802313311405E-2</c:v>
                </c:pt>
                <c:pt idx="683">
                  <c:v>-4.1721965929590481E-2</c:v>
                </c:pt>
                <c:pt idx="684">
                  <c:v>-4.1781085922043319E-2</c:v>
                </c:pt>
                <c:pt idx="685">
                  <c:v>-4.1993654537985342E-2</c:v>
                </c:pt>
                <c:pt idx="686">
                  <c:v>-4.282658804112436E-2</c:v>
                </c:pt>
                <c:pt idx="687">
                  <c:v>-4.2241490166124357E-2</c:v>
                </c:pt>
                <c:pt idx="688">
                  <c:v>-4.1558533551309541E-2</c:v>
                </c:pt>
                <c:pt idx="689">
                  <c:v>-4.1879217589771089E-2</c:v>
                </c:pt>
                <c:pt idx="690">
                  <c:v>-4.3478823289771096E-2</c:v>
                </c:pt>
                <c:pt idx="691">
                  <c:v>-4.2401838010130373E-2</c:v>
                </c:pt>
                <c:pt idx="692">
                  <c:v>-4.2059542960130376E-2</c:v>
                </c:pt>
                <c:pt idx="693">
                  <c:v>-4.1412882088130376E-2</c:v>
                </c:pt>
                <c:pt idx="694">
                  <c:v>-4.3897576707867217E-2</c:v>
                </c:pt>
                <c:pt idx="695">
                  <c:v>-4.5538309328349152E-2</c:v>
                </c:pt>
                <c:pt idx="696">
                  <c:v>-4.6021334383521566E-2</c:v>
                </c:pt>
                <c:pt idx="697">
                  <c:v>-4.6836991129675411E-2</c:v>
                </c:pt>
                <c:pt idx="698">
                  <c:v>-4.7323004159284351E-2</c:v>
                </c:pt>
                <c:pt idx="699">
                  <c:v>-4.7234415372617682E-2</c:v>
                </c:pt>
                <c:pt idx="700">
                  <c:v>-4.687188230775282E-2</c:v>
                </c:pt>
                <c:pt idx="701">
                  <c:v>-4.6986827507752814E-2</c:v>
                </c:pt>
                <c:pt idx="702">
                  <c:v>-4.6598867410783111E-2</c:v>
                </c:pt>
                <c:pt idx="703">
                  <c:v>-4.5858001710783115E-2</c:v>
                </c:pt>
                <c:pt idx="704">
                  <c:v>-4.5266865942698013E-2</c:v>
                </c:pt>
                <c:pt idx="705">
                  <c:v>-4.5045667390846159E-2</c:v>
                </c:pt>
                <c:pt idx="706">
                  <c:v>-4.4680131106230765E-2</c:v>
                </c:pt>
                <c:pt idx="707">
                  <c:v>-4.463912332976018E-2</c:v>
                </c:pt>
                <c:pt idx="708">
                  <c:v>-4.4977306625412349E-2</c:v>
                </c:pt>
                <c:pt idx="709">
                  <c:v>-4.4256195677954718E-2</c:v>
                </c:pt>
                <c:pt idx="710">
                  <c:v>-4.37373987273523E-2</c:v>
                </c:pt>
                <c:pt idx="711">
                  <c:v>-4.5486462775553731E-2</c:v>
                </c:pt>
                <c:pt idx="712">
                  <c:v>-4.6385799664822022E-2</c:v>
                </c:pt>
                <c:pt idx="713">
                  <c:v>-4.5100338184822023E-2</c:v>
                </c:pt>
                <c:pt idx="714">
                  <c:v>-4.5196084879558861E-2</c:v>
                </c:pt>
                <c:pt idx="715">
                  <c:v>-4.3426973495400444E-2</c:v>
                </c:pt>
                <c:pt idx="716">
                  <c:v>-4.2080509695400441E-2</c:v>
                </c:pt>
                <c:pt idx="717">
                  <c:v>-3.9513112642768869E-2</c:v>
                </c:pt>
                <c:pt idx="718">
                  <c:v>-3.8109040348118663E-2</c:v>
                </c:pt>
                <c:pt idx="719">
                  <c:v>-3.7668650694272506E-2</c:v>
                </c:pt>
                <c:pt idx="720">
                  <c:v>-3.5781364077659084E-2</c:v>
                </c:pt>
                <c:pt idx="721">
                  <c:v>-3.5124909640816986E-2</c:v>
                </c:pt>
                <c:pt idx="722">
                  <c:v>-3.3999991027913776E-2</c:v>
                </c:pt>
                <c:pt idx="723">
                  <c:v>-3.229700177336832E-2</c:v>
                </c:pt>
                <c:pt idx="724">
                  <c:v>-3.132368198513303E-2</c:v>
                </c:pt>
                <c:pt idx="725">
                  <c:v>-3.2652852715671955E-2</c:v>
                </c:pt>
                <c:pt idx="726">
                  <c:v>-3.197232384006219E-2</c:v>
                </c:pt>
                <c:pt idx="727">
                  <c:v>-3.1771492920062192E-2</c:v>
                </c:pt>
                <c:pt idx="728">
                  <c:v>-3.1274755010971281E-2</c:v>
                </c:pt>
                <c:pt idx="729">
                  <c:v>-3.0562827385547553E-2</c:v>
                </c:pt>
                <c:pt idx="730">
                  <c:v>-2.9172293669758081E-2</c:v>
                </c:pt>
                <c:pt idx="731">
                  <c:v>-2.6917720857339782E-2</c:v>
                </c:pt>
                <c:pt idx="732">
                  <c:v>-2.2754662463897166E-2</c:v>
                </c:pt>
                <c:pt idx="733">
                  <c:v>-2.1926423771855646E-2</c:v>
                </c:pt>
                <c:pt idx="734">
                  <c:v>-2.1993829576110964E-2</c:v>
                </c:pt>
                <c:pt idx="735">
                  <c:v>-2.2815953852474608E-2</c:v>
                </c:pt>
                <c:pt idx="736">
                  <c:v>-2.1922672199644413E-2</c:v>
                </c:pt>
                <c:pt idx="737">
                  <c:v>-2.1319497349644414E-2</c:v>
                </c:pt>
                <c:pt idx="738">
                  <c:v>-2.0274552194088864E-2</c:v>
                </c:pt>
                <c:pt idx="739">
                  <c:v>-2.1172316508663767E-2</c:v>
                </c:pt>
                <c:pt idx="740">
                  <c:v>-2.1447412974108796E-2</c:v>
                </c:pt>
                <c:pt idx="741">
                  <c:v>-1.9423580868283559E-2</c:v>
                </c:pt>
                <c:pt idx="742">
                  <c:v>-1.7271044617001505E-2</c:v>
                </c:pt>
                <c:pt idx="743">
                  <c:v>-1.5743326074873845E-2</c:v>
                </c:pt>
                <c:pt idx="744">
                  <c:v>4.0421394427524807E-3</c:v>
                </c:pt>
                <c:pt idx="745">
                  <c:v>5.998571501673102E-4</c:v>
                </c:pt>
                <c:pt idx="746">
                  <c:v>2.7639338653094695E-4</c:v>
                </c:pt>
                <c:pt idx="747">
                  <c:v>-1.1809646255996105E-4</c:v>
                </c:pt>
                <c:pt idx="748">
                  <c:v>-1.5064863361259165E-4</c:v>
                </c:pt>
                <c:pt idx="749">
                  <c:v>-5.7391670027925933E-4</c:v>
                </c:pt>
                <c:pt idx="750">
                  <c:v>-1.8869650755198682E-4</c:v>
                </c:pt>
                <c:pt idx="751">
                  <c:v>-1.6310470896043695E-4</c:v>
                </c:pt>
                <c:pt idx="752">
                  <c:v>1.3736078194865481E-4</c:v>
                </c:pt>
                <c:pt idx="753">
                  <c:v>-1.1317529930134379E-4</c:v>
                </c:pt>
                <c:pt idx="754">
                  <c:v>-1.4390445930134447E-4</c:v>
                </c:pt>
                <c:pt idx="755">
                  <c:v>-1.6780988657407361E-4</c:v>
                </c:pt>
                <c:pt idx="756">
                  <c:v>-1.585151124999993E-4</c:v>
                </c:pt>
                <c:pt idx="757">
                  <c:v>-4.6716862499999581E-5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3C-44D8-A6DD-B93EF20EF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001455"/>
        <c:axId val="1889810175"/>
      </c:lineChart>
      <c:dateAx>
        <c:axId val="15180014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810175"/>
        <c:crosses val="autoZero"/>
        <c:auto val="1"/>
        <c:lblOffset val="100"/>
        <c:baseTimeUnit val="days"/>
      </c:dateAx>
      <c:valAx>
        <c:axId val="188981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001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99F7BA4-1D9B-41F5-8D12-5A4D66D69E8D}">
  <sheetPr codeName="Chart1"/>
  <sheetViews>
    <sheetView zoomScale="8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8523" cy="609383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2D1E44-267D-4028-A4A6-EFF91D0B9DD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93.23</v>
      </c>
      <c r="D2" s="4">
        <f>MIN(D3:D1912)</f>
        <v>2.3900000000000001E-4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28.61</v>
      </c>
      <c r="C5">
        <v>29.86</v>
      </c>
      <c r="D5">
        <v>28.07</v>
      </c>
      <c r="E5">
        <v>28.15</v>
      </c>
      <c r="F5">
        <v>3326.02</v>
      </c>
      <c r="G5">
        <v>28.15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-0.91061452513966668</v>
      </c>
      <c r="Q5">
        <f t="shared" ref="Q5" si="1">F5*P5</f>
        <v>-3028.7221229050342</v>
      </c>
      <c r="R5">
        <f t="shared" ref="R5" si="2">R6+Q5</f>
        <v>-9000902.696156064</v>
      </c>
      <c r="S5">
        <f t="shared" ref="S5" si="3">R5/100000</f>
        <v>-90.009026961560636</v>
      </c>
      <c r="T5">
        <f t="shared" ref="T5" si="4">S5/1000</f>
        <v>-9.0009026961560643E-2</v>
      </c>
    </row>
    <row r="6" spans="1:20" x14ac:dyDescent="0.25">
      <c r="A6" s="5">
        <v>44587</v>
      </c>
      <c r="B6">
        <v>28.45</v>
      </c>
      <c r="C6">
        <v>32</v>
      </c>
      <c r="D6">
        <v>27.9</v>
      </c>
      <c r="E6">
        <v>28.69</v>
      </c>
      <c r="F6">
        <v>28667.040000000001</v>
      </c>
      <c r="G6">
        <v>28.69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-0.61463414634146218</v>
      </c>
      <c r="Q6">
        <f t="shared" ref="Q6" si="6">F6*P6</f>
        <v>-17619.74165853655</v>
      </c>
      <c r="R6">
        <f t="shared" ref="R6" si="7">R7+Q6</f>
        <v>-8997873.9740331583</v>
      </c>
      <c r="S6">
        <f t="shared" ref="S6" si="8">R6/100000</f>
        <v>-89.978739740331577</v>
      </c>
      <c r="T6">
        <f t="shared" ref="T6" si="9">S6/1000</f>
        <v>-8.9978739740331576E-2</v>
      </c>
    </row>
    <row r="7" spans="1:20" x14ac:dyDescent="0.25">
      <c r="A7" s="5">
        <v>44586</v>
      </c>
      <c r="B7">
        <v>28.25</v>
      </c>
      <c r="C7">
        <v>29.99</v>
      </c>
      <c r="D7">
        <v>27.33</v>
      </c>
      <c r="E7">
        <v>28.61</v>
      </c>
      <c r="F7">
        <v>28418.01</v>
      </c>
      <c r="G7">
        <v>28.61</v>
      </c>
      <c r="L7" t="s">
        <v>7</v>
      </c>
      <c r="M7" t="s">
        <v>7</v>
      </c>
      <c r="N7" t="s">
        <v>7</v>
      </c>
      <c r="P7">
        <f t="shared" ref="P7" si="10">IF(C7=D7,0,((E7-D7)-(C7-E7))/(C7-D7))</f>
        <v>-3.7593984962405215E-2</v>
      </c>
      <c r="Q7">
        <f t="shared" ref="Q7" si="11">F7*P7</f>
        <v>-1068.346240601481</v>
      </c>
      <c r="R7">
        <f t="shared" ref="R7" si="12">R8+Q7</f>
        <v>-8980254.2323746216</v>
      </c>
      <c r="S7">
        <f t="shared" ref="S7" si="13">R7/100000</f>
        <v>-89.802542323746209</v>
      </c>
      <c r="T7">
        <f t="shared" ref="T7" si="14">S7/1000</f>
        <v>-8.9802542323746209E-2</v>
      </c>
    </row>
    <row r="8" spans="1:20" x14ac:dyDescent="0.25">
      <c r="A8" s="5">
        <v>44585</v>
      </c>
      <c r="B8">
        <v>29.45</v>
      </c>
      <c r="C8">
        <v>30.48</v>
      </c>
      <c r="D8">
        <v>25.77</v>
      </c>
      <c r="E8">
        <v>28.26</v>
      </c>
      <c r="F8">
        <v>42076.35</v>
      </c>
      <c r="G8">
        <v>28.26</v>
      </c>
      <c r="L8" t="s">
        <v>8</v>
      </c>
      <c r="M8" t="s">
        <v>7</v>
      </c>
      <c r="N8" t="s">
        <v>7</v>
      </c>
      <c r="P8">
        <f t="shared" ref="P8" si="15">IF(C8=D8,0,((E8-D8)-(C8-E8))/(C8-D8))</f>
        <v>5.7324840764331864E-2</v>
      </c>
      <c r="Q8">
        <f t="shared" ref="Q8" si="16">F8*P8</f>
        <v>2412.020063694295</v>
      </c>
      <c r="R8">
        <f t="shared" ref="R8" si="17">R9+Q8</f>
        <v>-8979185.886134021</v>
      </c>
      <c r="S8">
        <f t="shared" ref="S8" si="18">R8/100000</f>
        <v>-89.791858861340216</v>
      </c>
      <c r="T8">
        <f t="shared" ref="T8" si="19">S8/1000</f>
        <v>-8.979185886134021E-2</v>
      </c>
    </row>
    <row r="9" spans="1:20" x14ac:dyDescent="0.25">
      <c r="A9" s="5">
        <v>44584</v>
      </c>
      <c r="B9">
        <v>28.75</v>
      </c>
      <c r="C9">
        <v>30</v>
      </c>
      <c r="D9">
        <v>28.23</v>
      </c>
      <c r="E9">
        <v>29.47</v>
      </c>
      <c r="F9">
        <v>16314.85</v>
      </c>
      <c r="G9">
        <v>29.47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0.40112994350282344</v>
      </c>
      <c r="Q9">
        <f t="shared" ref="Q9" si="21">F9*P9</f>
        <v>6544.374858757039</v>
      </c>
      <c r="R9">
        <f t="shared" ref="R9" si="22">R10+Q9</f>
        <v>-8981597.9061977156</v>
      </c>
      <c r="S9">
        <f t="shared" ref="S9" si="23">R9/100000</f>
        <v>-89.81597906197716</v>
      </c>
      <c r="T9">
        <f t="shared" ref="T9" si="24">S9/1000</f>
        <v>-8.9815979061977164E-2</v>
      </c>
    </row>
    <row r="10" spans="1:20" x14ac:dyDescent="0.25">
      <c r="A10" s="5">
        <v>44583</v>
      </c>
      <c r="B10">
        <v>29.76</v>
      </c>
      <c r="C10">
        <v>33.229999999999997</v>
      </c>
      <c r="D10">
        <v>26.6</v>
      </c>
      <c r="E10">
        <v>28.8</v>
      </c>
      <c r="F10">
        <v>51908.798999999999</v>
      </c>
      <c r="G10">
        <v>28.8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-0.33634992458521845</v>
      </c>
      <c r="Q10">
        <f t="shared" ref="Q10" si="26">F10*P10</f>
        <v>-17459.520628959264</v>
      </c>
      <c r="R10">
        <f t="shared" ref="R10" si="27">R11+Q10</f>
        <v>-8988142.281056473</v>
      </c>
      <c r="S10">
        <f t="shared" ref="S10" si="28">R10/100000</f>
        <v>-89.881422810564729</v>
      </c>
      <c r="T10">
        <f t="shared" ref="T10" si="29">S10/1000</f>
        <v>-8.9881422810564729E-2</v>
      </c>
    </row>
    <row r="11" spans="1:20" x14ac:dyDescent="0.25">
      <c r="A11" s="5">
        <v>44582</v>
      </c>
      <c r="B11">
        <v>34.200000000000003</v>
      </c>
      <c r="C11">
        <v>35.42</v>
      </c>
      <c r="D11">
        <v>29.24</v>
      </c>
      <c r="E11">
        <v>29.85</v>
      </c>
      <c r="F11">
        <v>19429.599999999999</v>
      </c>
      <c r="G11">
        <v>29.85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-0.80258899676375317</v>
      </c>
      <c r="Q11">
        <f t="shared" ref="Q11" si="31">F11*P11</f>
        <v>-15593.983171521017</v>
      </c>
      <c r="R11">
        <f t="shared" ref="R11" si="32">R12+Q11</f>
        <v>-8970682.7604275141</v>
      </c>
      <c r="S11">
        <f t="shared" ref="S11" si="33">R11/100000</f>
        <v>-89.706827604275148</v>
      </c>
      <c r="T11">
        <f t="shared" ref="T11" si="34">S11/1000</f>
        <v>-8.9706827604275147E-2</v>
      </c>
    </row>
    <row r="12" spans="1:20" x14ac:dyDescent="0.25">
      <c r="A12" s="5">
        <v>44581</v>
      </c>
      <c r="B12">
        <v>35.74</v>
      </c>
      <c r="C12">
        <v>39.119999999999997</v>
      </c>
      <c r="D12">
        <v>34.049999999999997</v>
      </c>
      <c r="E12">
        <v>34.18</v>
      </c>
      <c r="F12">
        <v>13459.39</v>
      </c>
      <c r="G12">
        <v>34.18</v>
      </c>
      <c r="L12" t="s">
        <v>7</v>
      </c>
      <c r="M12" t="s">
        <v>8</v>
      </c>
      <c r="N12" t="s">
        <v>7</v>
      </c>
      <c r="P12">
        <f t="shared" ref="P12" si="35">IF(C12=D12,0,((E12-D12)-(C12-E12))/(C12-D12))</f>
        <v>-0.94871794871794768</v>
      </c>
      <c r="Q12">
        <f t="shared" ref="Q12" si="36">F12*P12</f>
        <v>-12769.164871794857</v>
      </c>
      <c r="R12">
        <f t="shared" ref="R12" si="37">R13+Q12</f>
        <v>-8955088.7772559933</v>
      </c>
      <c r="S12">
        <f t="shared" ref="S12" si="38">R12/100000</f>
        <v>-89.550887772559932</v>
      </c>
      <c r="T12">
        <f t="shared" ref="T12" si="39">S12/1000</f>
        <v>-8.9550887772559928E-2</v>
      </c>
    </row>
    <row r="13" spans="1:20" x14ac:dyDescent="0.25">
      <c r="A13" s="5">
        <v>44580</v>
      </c>
      <c r="B13">
        <v>37.01</v>
      </c>
      <c r="C13">
        <v>37.369999999999997</v>
      </c>
      <c r="D13">
        <v>35.17</v>
      </c>
      <c r="E13">
        <v>35.840000000000003</v>
      </c>
      <c r="F13">
        <v>12643.8</v>
      </c>
      <c r="G13">
        <v>35.840000000000003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-0.39090909090908815</v>
      </c>
      <c r="Q13">
        <f t="shared" ref="Q13" si="41">F13*P13</f>
        <v>-4942.5763636363281</v>
      </c>
      <c r="R13">
        <f t="shared" ref="R13" si="42">R14+Q13</f>
        <v>-8942319.6123841982</v>
      </c>
      <c r="S13">
        <f t="shared" ref="S13" si="43">R13/100000</f>
        <v>-89.423196123841976</v>
      </c>
      <c r="T13">
        <f t="shared" ref="T13" si="44">S13/1000</f>
        <v>-8.9423196123841975E-2</v>
      </c>
    </row>
    <row r="14" spans="1:20" x14ac:dyDescent="0.25">
      <c r="A14" s="5">
        <v>44579</v>
      </c>
      <c r="B14">
        <v>36.19</v>
      </c>
      <c r="C14">
        <v>37.99</v>
      </c>
      <c r="D14">
        <v>34.94</v>
      </c>
      <c r="E14">
        <v>36.979999999999997</v>
      </c>
      <c r="F14">
        <v>25553.99</v>
      </c>
      <c r="G14">
        <v>36.979999999999997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0.33770491803278446</v>
      </c>
      <c r="Q14">
        <f t="shared" ref="Q14" si="46">F14*P14</f>
        <v>8629.7080983605938</v>
      </c>
      <c r="R14">
        <f t="shared" ref="R14" si="47">R15+Q14</f>
        <v>-8937377.0360205621</v>
      </c>
      <c r="S14">
        <f t="shared" ref="S14" si="48">R14/100000</f>
        <v>-89.373770360205626</v>
      </c>
      <c r="T14">
        <f t="shared" ref="T14" si="49">S14/1000</f>
        <v>-8.937377036020562E-2</v>
      </c>
    </row>
    <row r="15" spans="1:20" x14ac:dyDescent="0.25">
      <c r="A15" s="5">
        <v>44578</v>
      </c>
      <c r="B15">
        <v>37.840000000000003</v>
      </c>
      <c r="C15">
        <v>37.92</v>
      </c>
      <c r="D15">
        <v>35.799999999999997</v>
      </c>
      <c r="E15">
        <v>36.18</v>
      </c>
      <c r="F15">
        <v>12937.73</v>
      </c>
      <c r="G15">
        <v>36.18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-0.64150943396226245</v>
      </c>
      <c r="Q15">
        <f t="shared" ref="Q15" si="51">F15*P15</f>
        <v>-8299.6758490565808</v>
      </c>
      <c r="R15">
        <f t="shared" ref="R15" si="52">R16+Q15</f>
        <v>-8946006.7441189233</v>
      </c>
      <c r="S15">
        <f t="shared" ref="S15" si="53">R15/100000</f>
        <v>-89.460067441189238</v>
      </c>
      <c r="T15">
        <f t="shared" ref="T15" si="54">S15/1000</f>
        <v>-8.9460067441189242E-2</v>
      </c>
    </row>
    <row r="16" spans="1:20" x14ac:dyDescent="0.25">
      <c r="A16" s="5">
        <v>44577</v>
      </c>
      <c r="B16">
        <v>38.58</v>
      </c>
      <c r="C16">
        <v>38.65</v>
      </c>
      <c r="D16">
        <v>37.25</v>
      </c>
      <c r="E16">
        <v>38.06</v>
      </c>
      <c r="F16">
        <v>15400.12</v>
      </c>
      <c r="G16">
        <v>38.06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0.15714285714286155</v>
      </c>
      <c r="Q16">
        <f t="shared" ref="Q16" si="56">F16*P16</f>
        <v>2420.0188571429253</v>
      </c>
      <c r="R16">
        <f t="shared" ref="R16" si="57">R17+Q16</f>
        <v>-8937707.0682698674</v>
      </c>
      <c r="S16">
        <f t="shared" ref="S16" si="58">R16/100000</f>
        <v>-89.377070682698672</v>
      </c>
      <c r="T16">
        <f t="shared" ref="T16" si="59">S16/1000</f>
        <v>-8.9377070682698678E-2</v>
      </c>
    </row>
    <row r="17" spans="1:20" x14ac:dyDescent="0.25">
      <c r="A17" s="5">
        <v>44576</v>
      </c>
      <c r="B17">
        <v>37.31</v>
      </c>
      <c r="C17">
        <v>39.119999999999997</v>
      </c>
      <c r="D17">
        <v>37.26</v>
      </c>
      <c r="E17">
        <v>38.56</v>
      </c>
      <c r="F17">
        <v>12839.09</v>
      </c>
      <c r="G17">
        <v>38.56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0.39784946236559643</v>
      </c>
      <c r="Q17">
        <f t="shared" ref="Q17" si="61">F17*P17</f>
        <v>5108.0250537635056</v>
      </c>
      <c r="R17">
        <f t="shared" ref="R17" si="62">R18+Q17</f>
        <v>-8940127.0871270113</v>
      </c>
      <c r="S17">
        <f t="shared" ref="S17" si="63">R17/100000</f>
        <v>-89.401270871270114</v>
      </c>
      <c r="T17">
        <f t="shared" ref="T17" si="64">S17/1000</f>
        <v>-8.9401270871270117E-2</v>
      </c>
    </row>
    <row r="18" spans="1:20" x14ac:dyDescent="0.25">
      <c r="A18" s="5">
        <v>44575</v>
      </c>
      <c r="B18">
        <v>36.01</v>
      </c>
      <c r="C18">
        <v>39.299999999999997</v>
      </c>
      <c r="D18">
        <v>35.83</v>
      </c>
      <c r="E18">
        <v>37.21</v>
      </c>
      <c r="F18">
        <v>17035.64</v>
      </c>
      <c r="G18">
        <v>37.21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-0.20461095100864379</v>
      </c>
      <c r="Q18">
        <f t="shared" ref="Q18" si="66">F18*P18</f>
        <v>-3485.6785014408924</v>
      </c>
      <c r="R18">
        <f t="shared" ref="R18" si="67">R19+Q18</f>
        <v>-8945235.112180775</v>
      </c>
      <c r="S18">
        <f t="shared" ref="S18" si="68">R18/100000</f>
        <v>-89.452351121807752</v>
      </c>
      <c r="T18">
        <f t="shared" ref="T18" si="69">S18/1000</f>
        <v>-8.9452351121807758E-2</v>
      </c>
    </row>
    <row r="19" spans="1:20" x14ac:dyDescent="0.25">
      <c r="A19" s="5">
        <v>44574</v>
      </c>
      <c r="B19">
        <v>37.31</v>
      </c>
      <c r="C19">
        <v>37.78</v>
      </c>
      <c r="D19">
        <v>35.979999999999997</v>
      </c>
      <c r="E19">
        <v>36.01</v>
      </c>
      <c r="F19">
        <v>9919.0400000000009</v>
      </c>
      <c r="G19">
        <v>36.01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-0.96666666666666545</v>
      </c>
      <c r="Q19">
        <f t="shared" ref="Q19" si="71">F19*P19</f>
        <v>-9588.4053333333213</v>
      </c>
      <c r="R19">
        <f t="shared" ref="R19" si="72">R20+Q19</f>
        <v>-8941749.4336793348</v>
      </c>
      <c r="S19">
        <f t="shared" ref="S19" si="73">R19/100000</f>
        <v>-89.417494336793354</v>
      </c>
      <c r="T19">
        <f t="shared" ref="T19" si="74">S19/1000</f>
        <v>-8.9417494336793357E-2</v>
      </c>
    </row>
    <row r="20" spans="1:20" x14ac:dyDescent="0.25">
      <c r="A20" s="5">
        <v>44573</v>
      </c>
      <c r="B20">
        <v>35.880000000000003</v>
      </c>
      <c r="C20">
        <v>37.47</v>
      </c>
      <c r="D20">
        <v>35.79</v>
      </c>
      <c r="E20">
        <v>37.31</v>
      </c>
      <c r="F20">
        <v>9214.4500000000007</v>
      </c>
      <c r="G20">
        <v>37.31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0.80952380952381353</v>
      </c>
      <c r="Q20">
        <f t="shared" ref="Q20" si="76">F20*P20</f>
        <v>7459.3166666667039</v>
      </c>
      <c r="R20">
        <f t="shared" ref="R20" si="77">R21+Q20</f>
        <v>-8932161.0283460021</v>
      </c>
      <c r="S20">
        <f t="shared" ref="S20" si="78">R20/100000</f>
        <v>-89.321610283460018</v>
      </c>
      <c r="T20">
        <f t="shared" ref="T20" si="79">S20/1000</f>
        <v>-8.9321610283460015E-2</v>
      </c>
    </row>
    <row r="21" spans="1:20" x14ac:dyDescent="0.25">
      <c r="A21" s="5">
        <v>44572</v>
      </c>
      <c r="B21">
        <v>34.44</v>
      </c>
      <c r="C21">
        <v>37.619999999999997</v>
      </c>
      <c r="D21">
        <v>34.35</v>
      </c>
      <c r="E21">
        <v>35.880000000000003</v>
      </c>
      <c r="F21">
        <v>25337.17</v>
      </c>
      <c r="G21">
        <v>35.880000000000003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-6.4220183486236704E-2</v>
      </c>
      <c r="Q21">
        <f t="shared" ref="Q21" si="81">F21*P21</f>
        <v>-1627.1577064219719</v>
      </c>
      <c r="R21">
        <f t="shared" ref="R21" si="82">R22+Q21</f>
        <v>-8939620.3450126685</v>
      </c>
      <c r="S21">
        <f t="shared" ref="S21" si="83">R21/100000</f>
        <v>-89.396203450126691</v>
      </c>
      <c r="T21">
        <f t="shared" ref="T21" si="84">S21/1000</f>
        <v>-8.9396203450126693E-2</v>
      </c>
    </row>
    <row r="22" spans="1:20" x14ac:dyDescent="0.25">
      <c r="A22" s="5">
        <v>44571</v>
      </c>
      <c r="B22">
        <v>35.85</v>
      </c>
      <c r="C22">
        <v>36.47</v>
      </c>
      <c r="D22">
        <v>32.97</v>
      </c>
      <c r="E22">
        <v>34.450000000000003</v>
      </c>
      <c r="F22">
        <v>10969.33</v>
      </c>
      <c r="G22">
        <v>34.450000000000003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-0.154285714285712</v>
      </c>
      <c r="Q22">
        <f t="shared" ref="Q22" si="86">F22*P22</f>
        <v>-1692.4109142856892</v>
      </c>
      <c r="R22">
        <f t="shared" ref="R22" si="87">R23+Q22</f>
        <v>-8937993.1873062458</v>
      </c>
      <c r="S22">
        <f t="shared" ref="S22" si="88">R22/100000</f>
        <v>-89.379931873062461</v>
      </c>
      <c r="T22">
        <f t="shared" ref="T22" si="89">S22/1000</f>
        <v>-8.9379931873062465E-2</v>
      </c>
    </row>
    <row r="23" spans="1:20" x14ac:dyDescent="0.25">
      <c r="A23" s="5">
        <v>44570</v>
      </c>
      <c r="B23">
        <v>35.700000000000003</v>
      </c>
      <c r="C23">
        <v>36.64</v>
      </c>
      <c r="D23">
        <v>35.479999999999997</v>
      </c>
      <c r="E23">
        <v>35.94</v>
      </c>
      <c r="F23">
        <v>7083.46</v>
      </c>
      <c r="G23">
        <v>35.94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-0.20689655172413898</v>
      </c>
      <c r="Q23">
        <f t="shared" ref="Q23" si="91">F23*P23</f>
        <v>-1465.5434482758694</v>
      </c>
      <c r="R23">
        <f t="shared" ref="R23" si="92">R24+Q23</f>
        <v>-8936300.7763919607</v>
      </c>
      <c r="S23">
        <f t="shared" ref="S23" si="93">R23/100000</f>
        <v>-89.363007763919612</v>
      </c>
      <c r="T23">
        <f t="shared" ref="T23" si="94">S23/1000</f>
        <v>-8.9363007763919616E-2</v>
      </c>
    </row>
    <row r="24" spans="1:20" x14ac:dyDescent="0.25">
      <c r="A24" s="5">
        <v>44569</v>
      </c>
      <c r="B24">
        <v>36.76</v>
      </c>
      <c r="C24">
        <v>37.880000000000003</v>
      </c>
      <c r="D24">
        <v>35.01</v>
      </c>
      <c r="E24">
        <v>35.74</v>
      </c>
      <c r="F24">
        <v>13625.57</v>
      </c>
      <c r="G24">
        <v>35.74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-0.49128919860626979</v>
      </c>
      <c r="Q24">
        <f t="shared" ref="Q24" si="96">F24*P24</f>
        <v>-6694.0953658536309</v>
      </c>
      <c r="R24">
        <f t="shared" ref="R24" si="97">R25+Q24</f>
        <v>-8934835.2329436857</v>
      </c>
      <c r="S24">
        <f t="shared" ref="S24" si="98">R24/100000</f>
        <v>-89.348352329436864</v>
      </c>
      <c r="T24">
        <f t="shared" ref="T24" si="99">S24/1000</f>
        <v>-8.9348352329436859E-2</v>
      </c>
    </row>
    <row r="25" spans="1:20" x14ac:dyDescent="0.25">
      <c r="A25" s="5">
        <v>44568</v>
      </c>
      <c r="B25">
        <v>38.24</v>
      </c>
      <c r="C25">
        <v>40.39</v>
      </c>
      <c r="D25">
        <v>35.08</v>
      </c>
      <c r="E25">
        <v>36.54</v>
      </c>
      <c r="F25">
        <v>24436.48</v>
      </c>
      <c r="G25">
        <v>36.54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-0.45009416195856866</v>
      </c>
      <c r="Q25">
        <f t="shared" ref="Q25" si="101">F25*P25</f>
        <v>-10998.716986817324</v>
      </c>
      <c r="R25">
        <f t="shared" ref="R25" si="102">R26+Q25</f>
        <v>-8928141.1375778317</v>
      </c>
      <c r="S25">
        <f t="shared" ref="S25" si="103">R25/100000</f>
        <v>-89.281411375778319</v>
      </c>
      <c r="T25">
        <f t="shared" ref="T25" si="104">S25/1000</f>
        <v>-8.9281411375778316E-2</v>
      </c>
    </row>
    <row r="26" spans="1:20" x14ac:dyDescent="0.25">
      <c r="A26" s="5">
        <v>44567</v>
      </c>
      <c r="B26">
        <v>38.79</v>
      </c>
      <c r="C26">
        <v>40.049999999999997</v>
      </c>
      <c r="D26">
        <v>37.51</v>
      </c>
      <c r="E26">
        <v>38.5</v>
      </c>
      <c r="F26">
        <v>8084.64</v>
      </c>
      <c r="G26">
        <v>38.5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-0.22047244094488005</v>
      </c>
      <c r="Q26">
        <f t="shared" ref="Q26" si="106">F26*P26</f>
        <v>-1782.4403149606151</v>
      </c>
      <c r="R26">
        <f t="shared" ref="R26" si="107">R27+Q26</f>
        <v>-8917142.4205910135</v>
      </c>
      <c r="S26">
        <f t="shared" ref="S26" si="108">R26/100000</f>
        <v>-89.171424205910128</v>
      </c>
      <c r="T26">
        <f t="shared" ref="T26" si="109">S26/1000</f>
        <v>-8.9171424205910121E-2</v>
      </c>
    </row>
    <row r="27" spans="1:20" x14ac:dyDescent="0.25">
      <c r="A27" s="5">
        <v>44566</v>
      </c>
      <c r="B27">
        <v>40.950000000000003</v>
      </c>
      <c r="C27">
        <v>44.15</v>
      </c>
      <c r="D27">
        <v>37.700000000000003</v>
      </c>
      <c r="E27">
        <v>38.82</v>
      </c>
      <c r="F27">
        <v>21083.66</v>
      </c>
      <c r="G27">
        <v>38.82</v>
      </c>
      <c r="L27" t="s">
        <v>8</v>
      </c>
      <c r="M27" t="s">
        <v>7</v>
      </c>
      <c r="N27" t="s">
        <v>8</v>
      </c>
      <c r="P27">
        <f t="shared" ref="P27" si="110">IF(C27=D27,0,((E27-D27)-(C27-E27))/(C27-D27))</f>
        <v>-0.6527131782945742</v>
      </c>
      <c r="Q27">
        <f t="shared" ref="Q27" si="111">F27*P27</f>
        <v>-13761.582728682182</v>
      </c>
      <c r="R27">
        <f t="shared" ref="R27" si="112">R28+Q27</f>
        <v>-8915359.9802760538</v>
      </c>
      <c r="S27">
        <f t="shared" ref="S27" si="113">R27/100000</f>
        <v>-89.153599802760539</v>
      </c>
      <c r="T27">
        <f t="shared" ref="T27" si="114">S27/1000</f>
        <v>-8.9153599802760539E-2</v>
      </c>
    </row>
    <row r="28" spans="1:20" x14ac:dyDescent="0.25">
      <c r="A28" s="5">
        <v>44565</v>
      </c>
      <c r="B28">
        <v>41.49</v>
      </c>
      <c r="C28">
        <v>42.9</v>
      </c>
      <c r="D28">
        <v>40.6</v>
      </c>
      <c r="E28">
        <v>40.96</v>
      </c>
      <c r="F28">
        <v>10489.86</v>
      </c>
      <c r="G28">
        <v>40.96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-0.68695652173913058</v>
      </c>
      <c r="Q28">
        <f t="shared" ref="Q28" si="116">F28*P28</f>
        <v>-7206.0777391304364</v>
      </c>
      <c r="R28">
        <f t="shared" ref="R28" si="117">R29+Q28</f>
        <v>-8901598.3975473717</v>
      </c>
      <c r="S28">
        <f t="shared" ref="S28" si="118">R28/100000</f>
        <v>-89.015983975473716</v>
      </c>
      <c r="T28">
        <f t="shared" ref="T28" si="119">S28/1000</f>
        <v>-8.9015983975473723E-2</v>
      </c>
    </row>
    <row r="29" spans="1:20" x14ac:dyDescent="0.25">
      <c r="A29" s="5">
        <v>44564</v>
      </c>
      <c r="B29">
        <v>42.13</v>
      </c>
      <c r="C29">
        <v>43.51</v>
      </c>
      <c r="D29">
        <v>40.83</v>
      </c>
      <c r="E29">
        <v>41.43</v>
      </c>
      <c r="F29">
        <v>11603.2</v>
      </c>
      <c r="G29">
        <v>41.43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-0.55223880597014818</v>
      </c>
      <c r="Q29">
        <f t="shared" ref="Q29" si="121">F29*P29</f>
        <v>-6407.7373134328236</v>
      </c>
      <c r="R29">
        <f t="shared" ref="R29" si="122">R30+Q29</f>
        <v>-8894392.319808241</v>
      </c>
      <c r="S29">
        <f t="shared" ref="S29" si="123">R29/100000</f>
        <v>-88.943923198082416</v>
      </c>
      <c r="T29">
        <f t="shared" ref="T29" si="124">S29/1000</f>
        <v>-8.894392319808242E-2</v>
      </c>
    </row>
    <row r="30" spans="1:20" x14ac:dyDescent="0.25">
      <c r="A30" s="5">
        <v>44563</v>
      </c>
      <c r="B30">
        <v>41.46</v>
      </c>
      <c r="C30">
        <v>43</v>
      </c>
      <c r="D30">
        <v>40.85</v>
      </c>
      <c r="E30">
        <v>42.14</v>
      </c>
      <c r="F30">
        <v>7795.98</v>
      </c>
      <c r="G30">
        <v>42.14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0.2</v>
      </c>
      <c r="Q30">
        <f t="shared" ref="Q30" si="126">F30*P30</f>
        <v>1559.1959999999999</v>
      </c>
      <c r="R30">
        <f t="shared" ref="R30" si="127">R31+Q30</f>
        <v>-8887984.5824948084</v>
      </c>
      <c r="S30">
        <f t="shared" ref="S30" si="128">R30/100000</f>
        <v>-88.879845824948077</v>
      </c>
      <c r="T30">
        <f t="shared" ref="T30" si="129">S30/1000</f>
        <v>-8.8879845824948081E-2</v>
      </c>
    </row>
    <row r="31" spans="1:20" x14ac:dyDescent="0.25">
      <c r="A31" s="5">
        <v>44562</v>
      </c>
      <c r="B31">
        <v>40.6</v>
      </c>
      <c r="C31">
        <v>41.98</v>
      </c>
      <c r="D31">
        <v>40.49</v>
      </c>
      <c r="E31">
        <v>41.45</v>
      </c>
      <c r="F31">
        <v>10060.14</v>
      </c>
      <c r="G31">
        <v>41.45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0.28859060402685122</v>
      </c>
      <c r="Q31">
        <f t="shared" ref="Q31" si="131">F31*P31</f>
        <v>2903.261879194687</v>
      </c>
      <c r="R31">
        <f t="shared" ref="R31" si="132">R32+Q31</f>
        <v>-8889543.7784948088</v>
      </c>
      <c r="S31">
        <f t="shared" ref="S31" si="133">R31/100000</f>
        <v>-88.895437784948086</v>
      </c>
      <c r="T31">
        <f t="shared" ref="T31" si="134">S31/1000</f>
        <v>-8.8895437784948086E-2</v>
      </c>
    </row>
    <row r="32" spans="1:20" x14ac:dyDescent="0.25">
      <c r="A32" s="5">
        <v>44561</v>
      </c>
      <c r="B32">
        <v>41.13</v>
      </c>
      <c r="C32">
        <v>41.75</v>
      </c>
      <c r="D32">
        <v>39.869999999999997</v>
      </c>
      <c r="E32">
        <v>40.479999999999997</v>
      </c>
      <c r="F32">
        <v>9279.17</v>
      </c>
      <c r="G32">
        <v>40.479999999999997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-0.35106382978723555</v>
      </c>
      <c r="Q32">
        <f t="shared" ref="Q32" si="136">F32*P32</f>
        <v>-3257.5809574468226</v>
      </c>
      <c r="R32">
        <f t="shared" ref="R32" si="137">R33+Q32</f>
        <v>-8892447.0403740034</v>
      </c>
      <c r="S32">
        <f t="shared" ref="S32" si="138">R32/100000</f>
        <v>-88.924470403740031</v>
      </c>
      <c r="T32">
        <f t="shared" ref="T32" si="139">S32/1000</f>
        <v>-8.8924470403740033E-2</v>
      </c>
    </row>
    <row r="33" spans="1:20" x14ac:dyDescent="0.25">
      <c r="A33" s="5">
        <v>44560</v>
      </c>
      <c r="B33">
        <v>40.72</v>
      </c>
      <c r="C33">
        <v>41.44</v>
      </c>
      <c r="D33">
        <v>39.93</v>
      </c>
      <c r="E33">
        <v>41.03</v>
      </c>
      <c r="F33">
        <v>8031.6</v>
      </c>
      <c r="G33">
        <v>41.03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0.45695364238410974</v>
      </c>
      <c r="Q33">
        <f t="shared" ref="Q33" si="141">F33*P33</f>
        <v>3670.0688741722161</v>
      </c>
      <c r="R33">
        <f t="shared" ref="R33" si="142">R34+Q33</f>
        <v>-8889189.4594165571</v>
      </c>
      <c r="S33">
        <f t="shared" ref="S33" si="143">R33/100000</f>
        <v>-88.891894594165578</v>
      </c>
      <c r="T33">
        <f t="shared" ref="T33" si="144">S33/1000</f>
        <v>-8.8891894594165577E-2</v>
      </c>
    </row>
    <row r="34" spans="1:20" x14ac:dyDescent="0.25">
      <c r="A34" s="5">
        <v>44559</v>
      </c>
      <c r="B34">
        <v>41.8</v>
      </c>
      <c r="C34">
        <v>42.79</v>
      </c>
      <c r="D34">
        <v>40.26</v>
      </c>
      <c r="E34">
        <v>40.64</v>
      </c>
      <c r="F34">
        <v>9949.91</v>
      </c>
      <c r="G34">
        <v>40.64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-0.69960474308300202</v>
      </c>
      <c r="Q34">
        <f t="shared" ref="Q34" si="146">F34*P34</f>
        <v>-6961.0042292489925</v>
      </c>
      <c r="R34">
        <f t="shared" ref="R34" si="147">R35+Q34</f>
        <v>-8892859.52829073</v>
      </c>
      <c r="S34">
        <f t="shared" ref="S34" si="148">R34/100000</f>
        <v>-88.928595282907295</v>
      </c>
      <c r="T34">
        <f t="shared" ref="T34" si="149">S34/1000</f>
        <v>-8.8928595282907294E-2</v>
      </c>
    </row>
    <row r="35" spans="1:20" x14ac:dyDescent="0.25">
      <c r="A35" s="5">
        <v>44558</v>
      </c>
      <c r="B35">
        <v>45.43</v>
      </c>
      <c r="C35">
        <v>45.43</v>
      </c>
      <c r="D35">
        <v>41.18</v>
      </c>
      <c r="E35">
        <v>41.89</v>
      </c>
      <c r="F35">
        <v>14765.21</v>
      </c>
      <c r="G35">
        <v>41.89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-0.66588235294117604</v>
      </c>
      <c r="Q35">
        <f t="shared" ref="Q35" si="151">F35*P35</f>
        <v>-9831.8927764705804</v>
      </c>
      <c r="R35">
        <f t="shared" ref="R35" si="152">R36+Q35</f>
        <v>-8885898.5240614805</v>
      </c>
      <c r="S35">
        <f t="shared" ref="S35" si="153">R35/100000</f>
        <v>-88.8589852406148</v>
      </c>
      <c r="T35">
        <f t="shared" ref="T35" si="154">S35/1000</f>
        <v>-8.8858985240614793E-2</v>
      </c>
    </row>
    <row r="36" spans="1:20" x14ac:dyDescent="0.25">
      <c r="A36" s="5">
        <v>44557</v>
      </c>
      <c r="B36">
        <v>44.92</v>
      </c>
      <c r="C36">
        <v>49</v>
      </c>
      <c r="D36">
        <v>44.46</v>
      </c>
      <c r="E36">
        <v>45.43</v>
      </c>
      <c r="F36">
        <v>27263.89</v>
      </c>
      <c r="G36">
        <v>45.43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-0.57268722466960398</v>
      </c>
      <c r="Q36">
        <f t="shared" ref="Q36" si="156">F36*P36</f>
        <v>-15613.681497797368</v>
      </c>
      <c r="R36">
        <f t="shared" ref="R36" si="157">R37+Q36</f>
        <v>-8876066.6312850099</v>
      </c>
      <c r="S36">
        <f t="shared" ref="S36" si="158">R36/100000</f>
        <v>-88.760666312850105</v>
      </c>
      <c r="T36">
        <f t="shared" ref="T36" si="159">S36/1000</f>
        <v>-8.8760666312850109E-2</v>
      </c>
    </row>
    <row r="37" spans="1:20" x14ac:dyDescent="0.25">
      <c r="A37" s="5">
        <v>44556</v>
      </c>
      <c r="B37">
        <v>45.26</v>
      </c>
      <c r="C37">
        <v>45.77</v>
      </c>
      <c r="D37">
        <v>43.9</v>
      </c>
      <c r="E37">
        <v>44.91</v>
      </c>
      <c r="F37">
        <v>8177.36</v>
      </c>
      <c r="G37">
        <v>44.91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8.0213903743310749E-2</v>
      </c>
      <c r="Q37">
        <f t="shared" ref="Q37" si="161">F37*P37</f>
        <v>655.93796791439956</v>
      </c>
      <c r="R37">
        <f t="shared" ref="R37" si="162">R38+Q37</f>
        <v>-8860452.9497872125</v>
      </c>
      <c r="S37">
        <f t="shared" ref="S37" si="163">R37/100000</f>
        <v>-88.604529497872122</v>
      </c>
      <c r="T37">
        <f t="shared" ref="T37" si="164">S37/1000</f>
        <v>-8.860452949787212E-2</v>
      </c>
    </row>
    <row r="38" spans="1:20" x14ac:dyDescent="0.25">
      <c r="A38" s="5">
        <v>44555</v>
      </c>
      <c r="B38">
        <v>45.71</v>
      </c>
      <c r="C38">
        <v>46.13</v>
      </c>
      <c r="D38">
        <v>44.75</v>
      </c>
      <c r="E38">
        <v>45.23</v>
      </c>
      <c r="F38">
        <v>15955.96</v>
      </c>
      <c r="G38">
        <v>45.23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-0.30434782608696237</v>
      </c>
      <c r="Q38">
        <f t="shared" ref="Q38" si="166">F38*P38</f>
        <v>-4856.1617391305281</v>
      </c>
      <c r="R38">
        <f t="shared" ref="R38" si="167">R39+Q38</f>
        <v>-8861108.8877551276</v>
      </c>
      <c r="S38">
        <f t="shared" ref="S38" si="168">R38/100000</f>
        <v>-88.611088877551282</v>
      </c>
      <c r="T38">
        <f t="shared" ref="T38" si="169">S38/1000</f>
        <v>-8.8611088877551286E-2</v>
      </c>
    </row>
    <row r="39" spans="1:20" x14ac:dyDescent="0.25">
      <c r="A39" s="5">
        <v>44554</v>
      </c>
      <c r="B39">
        <v>44.64</v>
      </c>
      <c r="C39">
        <v>47.78</v>
      </c>
      <c r="D39">
        <v>43.91</v>
      </c>
      <c r="E39">
        <v>45.79</v>
      </c>
      <c r="F39">
        <v>27602.34</v>
      </c>
      <c r="G39">
        <v>45.79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-2.8423772609818942E-2</v>
      </c>
      <c r="Q39">
        <f t="shared" ref="Q39" si="171">F39*P39</f>
        <v>-784.56263565890981</v>
      </c>
      <c r="R39">
        <f t="shared" ref="R39" si="172">R40+Q39</f>
        <v>-8856252.7260159962</v>
      </c>
      <c r="S39">
        <f t="shared" ref="S39" si="173">R39/100000</f>
        <v>-88.562527260159968</v>
      </c>
      <c r="T39">
        <f t="shared" ref="T39" si="174">S39/1000</f>
        <v>-8.8562527260159965E-2</v>
      </c>
    </row>
    <row r="40" spans="1:20" x14ac:dyDescent="0.25">
      <c r="A40" s="5">
        <v>44553</v>
      </c>
      <c r="B40">
        <v>42.64</v>
      </c>
      <c r="C40">
        <v>45.23</v>
      </c>
      <c r="D40">
        <v>41.98</v>
      </c>
      <c r="E40">
        <v>44.64</v>
      </c>
      <c r="F40">
        <v>11794.71</v>
      </c>
      <c r="G40">
        <v>44.64</v>
      </c>
      <c r="L40" t="s">
        <v>8</v>
      </c>
      <c r="M40" t="s">
        <v>7</v>
      </c>
      <c r="N40" t="s">
        <v>8</v>
      </c>
      <c r="P40">
        <f t="shared" ref="P40" si="175">IF(C40=D40,0,((E40-D40)-(C40-E40))/(C40-D40))</f>
        <v>0.63692307692307915</v>
      </c>
      <c r="Q40">
        <f t="shared" ref="Q40" si="176">F40*P40</f>
        <v>7512.32298461541</v>
      </c>
      <c r="R40">
        <f t="shared" ref="R40" si="177">R41+Q40</f>
        <v>-8855468.1633803379</v>
      </c>
      <c r="S40">
        <f t="shared" ref="S40" si="178">R40/100000</f>
        <v>-88.554681633803384</v>
      </c>
      <c r="T40">
        <f t="shared" ref="T40" si="179">S40/1000</f>
        <v>-8.8554681633803381E-2</v>
      </c>
    </row>
    <row r="41" spans="1:20" x14ac:dyDescent="0.25">
      <c r="A41" s="5">
        <v>44552</v>
      </c>
      <c r="B41">
        <v>42.82</v>
      </c>
      <c r="C41">
        <v>43.38</v>
      </c>
      <c r="D41">
        <v>42.07</v>
      </c>
      <c r="E41">
        <v>42.65</v>
      </c>
      <c r="F41">
        <v>8678.35</v>
      </c>
      <c r="G41">
        <v>42.65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-0.11450381679389728</v>
      </c>
      <c r="Q41">
        <f t="shared" ref="Q41" si="181">F41*P41</f>
        <v>-993.70419847331846</v>
      </c>
      <c r="R41">
        <f t="shared" ref="R41" si="182">R42+Q41</f>
        <v>-8862980.4863649532</v>
      </c>
      <c r="S41">
        <f t="shared" ref="S41" si="183">R41/100000</f>
        <v>-88.629804863649525</v>
      </c>
      <c r="T41">
        <f t="shared" ref="T41" si="184">S41/1000</f>
        <v>-8.8629804863649519E-2</v>
      </c>
    </row>
    <row r="42" spans="1:20" x14ac:dyDescent="0.25">
      <c r="A42" s="5">
        <v>44551</v>
      </c>
      <c r="B42">
        <v>41.27</v>
      </c>
      <c r="C42">
        <v>43.49</v>
      </c>
      <c r="D42">
        <v>40.35</v>
      </c>
      <c r="E42">
        <v>42.72</v>
      </c>
      <c r="F42">
        <v>17673.34</v>
      </c>
      <c r="G42">
        <v>42.72</v>
      </c>
      <c r="L42" t="s">
        <v>7</v>
      </c>
      <c r="M42" t="s">
        <v>7</v>
      </c>
      <c r="N42" t="s">
        <v>8</v>
      </c>
      <c r="P42">
        <f t="shared" ref="P42" si="185">IF(C42=D42,0,((E42-D42)-(C42-E42))/(C42-D42))</f>
        <v>0.50955414012738665</v>
      </c>
      <c r="Q42">
        <f t="shared" ref="Q42" si="186">F42*P42</f>
        <v>9005.5235668789483</v>
      </c>
      <c r="R42">
        <f t="shared" ref="R42" si="187">R43+Q42</f>
        <v>-8861986.7821664792</v>
      </c>
      <c r="S42">
        <f t="shared" ref="S42" si="188">R42/100000</f>
        <v>-88.619867821664798</v>
      </c>
      <c r="T42">
        <f t="shared" ref="T42" si="189">S42/1000</f>
        <v>-8.8619867821664797E-2</v>
      </c>
    </row>
    <row r="43" spans="1:20" x14ac:dyDescent="0.25">
      <c r="A43" s="5">
        <v>44550</v>
      </c>
      <c r="B43">
        <v>40.61</v>
      </c>
      <c r="C43">
        <v>44.73</v>
      </c>
      <c r="D43">
        <v>39.32</v>
      </c>
      <c r="E43">
        <v>41.25</v>
      </c>
      <c r="F43">
        <v>81535.509999999995</v>
      </c>
      <c r="G43">
        <v>41.25</v>
      </c>
      <c r="L43" t="s">
        <v>8</v>
      </c>
      <c r="M43" t="s">
        <v>7</v>
      </c>
      <c r="N43" t="s">
        <v>8</v>
      </c>
      <c r="P43">
        <f t="shared" ref="P43" si="190">IF(C43=D43,0,((E43-D43)-(C43-E43))/(C43-D43))</f>
        <v>-0.28650646950092384</v>
      </c>
      <c r="Q43">
        <f t="shared" ref="Q43" si="191">F43*P43</f>
        <v>-23360.451109057271</v>
      </c>
      <c r="R43">
        <f t="shared" ref="R43" si="192">R44+Q43</f>
        <v>-8870992.3057333585</v>
      </c>
      <c r="S43">
        <f t="shared" ref="S43" si="193">R43/100000</f>
        <v>-88.709923057333583</v>
      </c>
      <c r="T43">
        <f t="shared" ref="T43" si="194">S43/1000</f>
        <v>-8.8709923057333578E-2</v>
      </c>
    </row>
    <row r="44" spans="1:20" x14ac:dyDescent="0.25">
      <c r="A44" s="5">
        <v>44549</v>
      </c>
      <c r="B44">
        <v>40.74</v>
      </c>
      <c r="C44">
        <v>42.1</v>
      </c>
      <c r="D44">
        <v>40.53</v>
      </c>
      <c r="E44">
        <v>40.619999999999997</v>
      </c>
      <c r="F44">
        <v>6389.26</v>
      </c>
      <c r="G44">
        <v>40.619999999999997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-0.88535031847134227</v>
      </c>
      <c r="Q44">
        <f t="shared" ref="Q44" si="196">F44*P44</f>
        <v>-5656.7333757962087</v>
      </c>
      <c r="R44">
        <f t="shared" ref="R44" si="197">R45+Q44</f>
        <v>-8847631.8546243012</v>
      </c>
      <c r="S44">
        <f t="shared" ref="S44" si="198">R44/100000</f>
        <v>-88.476318546243007</v>
      </c>
      <c r="T44">
        <f t="shared" ref="T44" si="199">S44/1000</f>
        <v>-8.8476318546243007E-2</v>
      </c>
    </row>
    <row r="45" spans="1:20" x14ac:dyDescent="0.25">
      <c r="A45" s="5">
        <v>44548</v>
      </c>
      <c r="B45">
        <v>40.29</v>
      </c>
      <c r="C45">
        <v>41.56</v>
      </c>
      <c r="D45">
        <v>39.96</v>
      </c>
      <c r="E45">
        <v>40.81</v>
      </c>
      <c r="F45">
        <v>10515.93</v>
      </c>
      <c r="G45">
        <v>40.81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6.2500000000000833E-2</v>
      </c>
      <c r="Q45">
        <f t="shared" ref="Q45" si="201">F45*P45</f>
        <v>657.24562500000877</v>
      </c>
      <c r="R45">
        <f t="shared" ref="R45" si="202">R46+Q45</f>
        <v>-8841975.1212485041</v>
      </c>
      <c r="S45">
        <f t="shared" ref="S45" si="203">R45/100000</f>
        <v>-88.419751212485039</v>
      </c>
      <c r="T45">
        <f t="shared" ref="T45" si="204">S45/1000</f>
        <v>-8.8419751212485034E-2</v>
      </c>
    </row>
    <row r="46" spans="1:20" x14ac:dyDescent="0.25">
      <c r="A46" s="5">
        <v>44547</v>
      </c>
      <c r="B46">
        <v>41.04</v>
      </c>
      <c r="C46">
        <v>42.2</v>
      </c>
      <c r="D46">
        <v>39.31</v>
      </c>
      <c r="E46">
        <v>40.29</v>
      </c>
      <c r="F46">
        <v>24276.7</v>
      </c>
      <c r="G46">
        <v>40.29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-0.32179930795847983</v>
      </c>
      <c r="Q46">
        <f t="shared" ref="Q46" si="206">F46*P46</f>
        <v>-7812.2252595156278</v>
      </c>
      <c r="R46">
        <f t="shared" ref="R46" si="207">R47+Q46</f>
        <v>-8842632.3668735046</v>
      </c>
      <c r="S46">
        <f t="shared" ref="S46" si="208">R46/100000</f>
        <v>-88.426323668735051</v>
      </c>
      <c r="T46">
        <f t="shared" ref="T46" si="209">S46/1000</f>
        <v>-8.8426323668735055E-2</v>
      </c>
    </row>
    <row r="47" spans="1:20" x14ac:dyDescent="0.25">
      <c r="A47" s="5">
        <v>44546</v>
      </c>
      <c r="B47">
        <v>42.4</v>
      </c>
      <c r="C47">
        <v>43.2</v>
      </c>
      <c r="D47">
        <v>40.92</v>
      </c>
      <c r="E47">
        <v>40.950000000000003</v>
      </c>
      <c r="F47">
        <v>9776.11</v>
      </c>
      <c r="G47">
        <v>40.950000000000003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-0.97368421052631482</v>
      </c>
      <c r="Q47">
        <f t="shared" ref="Q47" si="211">F47*P47</f>
        <v>-9518.843947368412</v>
      </c>
      <c r="R47">
        <f t="shared" ref="R47" si="212">R48+Q47</f>
        <v>-8834820.1416139882</v>
      </c>
      <c r="S47">
        <f t="shared" ref="S47" si="213">R47/100000</f>
        <v>-88.348201416139887</v>
      </c>
      <c r="T47">
        <f t="shared" ref="T47" si="214">S47/1000</f>
        <v>-8.8348201416139888E-2</v>
      </c>
    </row>
    <row r="48" spans="1:20" x14ac:dyDescent="0.25">
      <c r="A48" s="5">
        <v>44545</v>
      </c>
      <c r="B48">
        <v>41.84</v>
      </c>
      <c r="C48">
        <v>42.86</v>
      </c>
      <c r="D48">
        <v>39.32</v>
      </c>
      <c r="E48">
        <v>42.44</v>
      </c>
      <c r="F48">
        <v>12908.62</v>
      </c>
      <c r="G48">
        <v>42.44</v>
      </c>
      <c r="L48" t="s">
        <v>7</v>
      </c>
      <c r="M48" t="s">
        <v>7</v>
      </c>
      <c r="N48" t="s">
        <v>8</v>
      </c>
      <c r="P48">
        <f t="shared" ref="P48" si="215">IF(C48=D48,0,((E48-D48)-(C48-E48))/(C48-D48))</f>
        <v>0.76271186440677863</v>
      </c>
      <c r="Q48">
        <f t="shared" ref="Q48" si="216">F48*P48</f>
        <v>9845.557627118631</v>
      </c>
      <c r="R48">
        <f t="shared" ref="R48" si="217">R49+Q48</f>
        <v>-8825301.2976666205</v>
      </c>
      <c r="S48">
        <f t="shared" ref="S48" si="218">R48/100000</f>
        <v>-88.253012976666199</v>
      </c>
      <c r="T48">
        <f t="shared" ref="T48" si="219">S48/1000</f>
        <v>-8.8253012976666198E-2</v>
      </c>
    </row>
    <row r="49" spans="1:20" x14ac:dyDescent="0.25">
      <c r="A49" s="5">
        <v>44544</v>
      </c>
      <c r="B49">
        <v>39.85</v>
      </c>
      <c r="C49">
        <v>44.43</v>
      </c>
      <c r="D49">
        <v>39.72</v>
      </c>
      <c r="E49">
        <v>41.84</v>
      </c>
      <c r="F49">
        <v>17472.38</v>
      </c>
      <c r="G49">
        <v>41.84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-9.9787685774945151E-2</v>
      </c>
      <c r="Q49">
        <f t="shared" ref="Q49" si="221">F49*P49</f>
        <v>-1743.5283651804364</v>
      </c>
      <c r="R49">
        <f t="shared" ref="R49" si="222">R50+Q49</f>
        <v>-8835146.8552937396</v>
      </c>
      <c r="S49">
        <f t="shared" ref="S49" si="223">R49/100000</f>
        <v>-88.351468552937391</v>
      </c>
      <c r="T49">
        <f t="shared" ref="T49" si="224">S49/1000</f>
        <v>-8.8351468552937393E-2</v>
      </c>
    </row>
    <row r="50" spans="1:20" x14ac:dyDescent="0.25">
      <c r="A50" s="5">
        <v>44543</v>
      </c>
      <c r="B50">
        <v>44.3</v>
      </c>
      <c r="C50">
        <v>45.28</v>
      </c>
      <c r="D50">
        <v>39.35</v>
      </c>
      <c r="E50">
        <v>39.869999999999997</v>
      </c>
      <c r="F50">
        <v>13672.88</v>
      </c>
      <c r="G50">
        <v>39.869999999999997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-0.82462057335581918</v>
      </c>
      <c r="Q50">
        <f t="shared" ref="Q50" si="226">F50*P50</f>
        <v>-11274.938145025313</v>
      </c>
      <c r="R50">
        <f t="shared" ref="R50" si="227">R51+Q50</f>
        <v>-8833403.3269285597</v>
      </c>
      <c r="S50">
        <f t="shared" ref="S50" si="228">R50/100000</f>
        <v>-88.334033269285598</v>
      </c>
      <c r="T50">
        <f t="shared" ref="T50" si="229">S50/1000</f>
        <v>-8.83340332692856E-2</v>
      </c>
    </row>
    <row r="51" spans="1:20" x14ac:dyDescent="0.25">
      <c r="A51" s="5">
        <v>44542</v>
      </c>
      <c r="B51">
        <v>44.88</v>
      </c>
      <c r="C51">
        <v>44.88</v>
      </c>
      <c r="D51">
        <v>43.18</v>
      </c>
      <c r="E51">
        <v>44.32</v>
      </c>
      <c r="F51">
        <v>12002.86</v>
      </c>
      <c r="G51">
        <v>44.32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0.34117647058823369</v>
      </c>
      <c r="Q51">
        <f t="shared" ref="Q51" si="231">F51*P51</f>
        <v>4095.0934117646871</v>
      </c>
      <c r="R51">
        <f t="shared" ref="R51" si="232">R52+Q51</f>
        <v>-8822128.388783535</v>
      </c>
      <c r="S51">
        <f t="shared" ref="S51" si="233">R51/100000</f>
        <v>-88.221283887835355</v>
      </c>
      <c r="T51">
        <f t="shared" ref="T51" si="234">S51/1000</f>
        <v>-8.8221283887835358E-2</v>
      </c>
    </row>
    <row r="52" spans="1:20" x14ac:dyDescent="0.25">
      <c r="A52" s="5">
        <v>44541</v>
      </c>
      <c r="B52">
        <v>43.98</v>
      </c>
      <c r="C52">
        <v>44.17</v>
      </c>
      <c r="D52">
        <v>42.1</v>
      </c>
      <c r="E52">
        <v>43.5</v>
      </c>
      <c r="F52">
        <v>2015.26</v>
      </c>
      <c r="G52">
        <v>43.5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0.35265700483091633</v>
      </c>
      <c r="Q52">
        <f t="shared" ref="Q52" si="236">F52*P52</f>
        <v>710.69555555555246</v>
      </c>
      <c r="R52">
        <f t="shared" ref="R52" si="237">R53+Q52</f>
        <v>-8826223.4821952991</v>
      </c>
      <c r="S52">
        <f t="shared" ref="S52" si="238">R52/100000</f>
        <v>-88.262234821952987</v>
      </c>
      <c r="T52">
        <f t="shared" ref="T52" si="239">S52/1000</f>
        <v>-8.8262234821952987E-2</v>
      </c>
    </row>
    <row r="53" spans="1:20" x14ac:dyDescent="0.25">
      <c r="A53" s="5">
        <v>44540</v>
      </c>
      <c r="B53">
        <v>42.55</v>
      </c>
      <c r="C53">
        <v>49.94</v>
      </c>
      <c r="D53">
        <v>41.61</v>
      </c>
      <c r="E53">
        <v>44.21</v>
      </c>
      <c r="F53">
        <v>36471.379999999997</v>
      </c>
      <c r="G53">
        <v>44.21</v>
      </c>
      <c r="L53" t="s">
        <v>7</v>
      </c>
      <c r="M53" t="s">
        <v>8</v>
      </c>
      <c r="N53" t="s">
        <v>8</v>
      </c>
      <c r="P53">
        <f t="shared" ref="P53" si="240">IF(C53=D53,0,((E53-D53)-(C53-E53))/(C53-D53))</f>
        <v>-0.37575030012004756</v>
      </c>
      <c r="Q53">
        <f t="shared" ref="Q53" si="241">F53*P53</f>
        <v>-13704.131980792299</v>
      </c>
      <c r="R53">
        <f t="shared" ref="R53" si="242">R54+Q53</f>
        <v>-8826934.1777508538</v>
      </c>
      <c r="S53">
        <f t="shared" ref="S53" si="243">R53/100000</f>
        <v>-88.269341777508544</v>
      </c>
      <c r="T53">
        <f t="shared" ref="T53" si="244">S53/1000</f>
        <v>-8.8269341777508545E-2</v>
      </c>
    </row>
    <row r="54" spans="1:20" x14ac:dyDescent="0.25">
      <c r="A54" s="5">
        <v>44539</v>
      </c>
      <c r="B54">
        <v>46.08</v>
      </c>
      <c r="C54">
        <v>46.47</v>
      </c>
      <c r="D54">
        <v>42.5</v>
      </c>
      <c r="E54">
        <v>42.5</v>
      </c>
      <c r="F54">
        <v>12765.89</v>
      </c>
      <c r="G54">
        <v>42.5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-1</v>
      </c>
      <c r="Q54">
        <f t="shared" ref="Q54" si="246">F54*P54</f>
        <v>-12765.89</v>
      </c>
      <c r="R54">
        <f t="shared" ref="R54" si="247">R55+Q54</f>
        <v>-8813230.0457700621</v>
      </c>
      <c r="S54">
        <f t="shared" ref="S54" si="248">R54/100000</f>
        <v>-88.132300457700623</v>
      </c>
      <c r="T54">
        <f t="shared" ref="T54" si="249">S54/1000</f>
        <v>-8.8132300457700624E-2</v>
      </c>
    </row>
    <row r="55" spans="1:20" x14ac:dyDescent="0.25">
      <c r="A55" s="5">
        <v>44538</v>
      </c>
      <c r="B55">
        <v>46.28</v>
      </c>
      <c r="C55">
        <v>47.09</v>
      </c>
      <c r="D55">
        <v>44.06</v>
      </c>
      <c r="E55">
        <v>45.99</v>
      </c>
      <c r="F55">
        <v>10890.45</v>
      </c>
      <c r="G55">
        <v>45.99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0.27392739273927325</v>
      </c>
      <c r="Q55">
        <f t="shared" ref="Q55" si="251">F55*P55</f>
        <v>2983.1925742574185</v>
      </c>
      <c r="R55">
        <f t="shared" ref="R55" si="252">R56+Q55</f>
        <v>-8800464.1557700615</v>
      </c>
      <c r="S55">
        <f t="shared" ref="S55" si="253">R55/100000</f>
        <v>-88.004641557700609</v>
      </c>
      <c r="T55">
        <f t="shared" ref="T55" si="254">S55/1000</f>
        <v>-8.8004641557700602E-2</v>
      </c>
    </row>
    <row r="56" spans="1:20" x14ac:dyDescent="0.25">
      <c r="A56" s="5">
        <v>44537</v>
      </c>
      <c r="B56">
        <v>46.38</v>
      </c>
      <c r="C56">
        <v>48.51</v>
      </c>
      <c r="D56">
        <v>44.48</v>
      </c>
      <c r="E56">
        <v>46.27</v>
      </c>
      <c r="F56">
        <v>25952.01</v>
      </c>
      <c r="G56">
        <v>46.27</v>
      </c>
      <c r="L56" t="s">
        <v>7</v>
      </c>
      <c r="M56" t="s">
        <v>8</v>
      </c>
      <c r="N56" t="s">
        <v>8</v>
      </c>
      <c r="P56">
        <f t="shared" ref="P56" si="255">IF(C56=D56,0,((E56-D56)-(C56-E56))/(C56-D56))</f>
        <v>-0.11166253101736688</v>
      </c>
      <c r="Q56">
        <f t="shared" ref="Q56" si="256">F56*P56</f>
        <v>-2897.8671215880154</v>
      </c>
      <c r="R56">
        <f t="shared" ref="R56" si="257">R57+Q56</f>
        <v>-8803447.3483443186</v>
      </c>
      <c r="S56">
        <f t="shared" ref="S56" si="258">R56/100000</f>
        <v>-88.034473483443179</v>
      </c>
      <c r="T56">
        <f t="shared" ref="T56" si="259">S56/1000</f>
        <v>-8.8034473483443176E-2</v>
      </c>
    </row>
    <row r="57" spans="1:20" x14ac:dyDescent="0.25">
      <c r="A57" s="5">
        <v>44536</v>
      </c>
      <c r="B57">
        <v>41.95</v>
      </c>
      <c r="C57">
        <v>50.4</v>
      </c>
      <c r="D57">
        <v>38.89</v>
      </c>
      <c r="E57">
        <v>46.27</v>
      </c>
      <c r="F57">
        <v>101448.2</v>
      </c>
      <c r="G57">
        <v>46.27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0.28236316246742033</v>
      </c>
      <c r="Q57">
        <f t="shared" ref="Q57" si="261">F57*P57</f>
        <v>28645.234578627351</v>
      </c>
      <c r="R57">
        <f t="shared" ref="R57" si="262">R58+Q57</f>
        <v>-8800549.4812227301</v>
      </c>
      <c r="S57">
        <f t="shared" ref="S57" si="263">R57/100000</f>
        <v>-88.005494812227298</v>
      </c>
      <c r="T57">
        <f t="shared" ref="T57" si="264">S57/1000</f>
        <v>-8.8005494812227303E-2</v>
      </c>
    </row>
    <row r="58" spans="1:20" x14ac:dyDescent="0.25">
      <c r="A58" s="5">
        <v>44535</v>
      </c>
      <c r="B58">
        <v>44.54</v>
      </c>
      <c r="C58">
        <v>46.62</v>
      </c>
      <c r="D58">
        <v>39.9</v>
      </c>
      <c r="E58">
        <v>42.11</v>
      </c>
      <c r="F58">
        <v>18802.099999999999</v>
      </c>
      <c r="G58">
        <v>42.11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-0.34226190476190438</v>
      </c>
      <c r="Q58">
        <f t="shared" ref="Q58" si="266">F58*P58</f>
        <v>-6435.2425595238019</v>
      </c>
      <c r="R58">
        <f t="shared" ref="R58" si="267">R59+Q58</f>
        <v>-8829194.7158013582</v>
      </c>
      <c r="S58">
        <f t="shared" ref="S58" si="268">R58/100000</f>
        <v>-88.291947158013585</v>
      </c>
      <c r="T58">
        <f t="shared" ref="T58" si="269">S58/1000</f>
        <v>-8.8291947158013584E-2</v>
      </c>
    </row>
    <row r="59" spans="1:20" x14ac:dyDescent="0.25">
      <c r="A59" s="5">
        <v>44534</v>
      </c>
      <c r="B59">
        <v>51.56</v>
      </c>
      <c r="C59">
        <v>51.72</v>
      </c>
      <c r="D59">
        <v>32.81</v>
      </c>
      <c r="E59">
        <v>44.54</v>
      </c>
      <c r="F59">
        <v>47715.695</v>
      </c>
      <c r="G59">
        <v>44.54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0.24061343204653612</v>
      </c>
      <c r="Q59">
        <f t="shared" ref="Q59" si="271">F59*P59</f>
        <v>11481.037136435743</v>
      </c>
      <c r="R59">
        <f t="shared" ref="R59" si="272">R60+Q59</f>
        <v>-8822759.473241834</v>
      </c>
      <c r="S59">
        <f t="shared" ref="S59" si="273">R59/100000</f>
        <v>-88.227594732418339</v>
      </c>
      <c r="T59">
        <f t="shared" ref="T59" si="274">S59/1000</f>
        <v>-8.8227594732418341E-2</v>
      </c>
    </row>
    <row r="60" spans="1:20" x14ac:dyDescent="0.25">
      <c r="A60" s="5">
        <v>44533</v>
      </c>
      <c r="B60">
        <v>54.27</v>
      </c>
      <c r="C60">
        <v>55.08</v>
      </c>
      <c r="D60">
        <v>50.23</v>
      </c>
      <c r="E60">
        <v>51.36</v>
      </c>
      <c r="F60">
        <v>9776.66</v>
      </c>
      <c r="G60">
        <v>51.36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-0.53402061855670013</v>
      </c>
      <c r="Q60">
        <f t="shared" ref="Q60" si="276">F60*P60</f>
        <v>-5220.9380206185479</v>
      </c>
      <c r="R60">
        <f t="shared" ref="R60" si="277">R61+Q60</f>
        <v>-8834240.5103782695</v>
      </c>
      <c r="S60">
        <f t="shared" ref="S60" si="278">R60/100000</f>
        <v>-88.342405103782696</v>
      </c>
      <c r="T60">
        <f t="shared" ref="T60" si="279">S60/1000</f>
        <v>-8.834240510378269E-2</v>
      </c>
    </row>
    <row r="61" spans="1:20" x14ac:dyDescent="0.25">
      <c r="A61" s="5">
        <v>44532</v>
      </c>
      <c r="B61">
        <v>55.11</v>
      </c>
      <c r="C61">
        <v>55.11</v>
      </c>
      <c r="D61">
        <v>53.37</v>
      </c>
      <c r="E61">
        <v>54.31</v>
      </c>
      <c r="F61">
        <v>9922.7900000000009</v>
      </c>
      <c r="G61">
        <v>54.31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8.0459770114946844E-2</v>
      </c>
      <c r="Q61">
        <f t="shared" ref="Q61" si="281">F61*P61</f>
        <v>798.3854022988935</v>
      </c>
      <c r="R61">
        <f t="shared" ref="R61" si="282">R62+Q61</f>
        <v>-8829019.5723576508</v>
      </c>
      <c r="S61">
        <f t="shared" ref="S61" si="283">R61/100000</f>
        <v>-88.290195723576502</v>
      </c>
      <c r="T61">
        <f t="shared" ref="T61" si="284">S61/1000</f>
        <v>-8.8290195723576506E-2</v>
      </c>
    </row>
    <row r="62" spans="1:20" x14ac:dyDescent="0.25">
      <c r="A62" s="5">
        <v>44531</v>
      </c>
      <c r="B62">
        <v>55.32</v>
      </c>
      <c r="C62">
        <v>58.7</v>
      </c>
      <c r="D62">
        <v>54.54</v>
      </c>
      <c r="E62">
        <v>55.23</v>
      </c>
      <c r="F62">
        <v>16117.69</v>
      </c>
      <c r="G62">
        <v>55.23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-0.66826923076923217</v>
      </c>
      <c r="Q62">
        <f t="shared" ref="Q62" si="286">F62*P62</f>
        <v>-10770.956298076946</v>
      </c>
      <c r="R62">
        <f t="shared" ref="R62" si="287">R63+Q62</f>
        <v>-8829817.9577599503</v>
      </c>
      <c r="S62">
        <f t="shared" ref="S62" si="288">R62/100000</f>
        <v>-88.298179577599498</v>
      </c>
      <c r="T62">
        <f t="shared" ref="T62" si="289">S62/1000</f>
        <v>-8.82981795775995E-2</v>
      </c>
    </row>
    <row r="63" spans="1:20" x14ac:dyDescent="0.25">
      <c r="A63" s="5">
        <v>44530</v>
      </c>
      <c r="B63">
        <v>55.69</v>
      </c>
      <c r="C63">
        <v>57.39</v>
      </c>
      <c r="D63">
        <v>54.28</v>
      </c>
      <c r="E63">
        <v>55.4</v>
      </c>
      <c r="F63">
        <v>14371.08</v>
      </c>
      <c r="G63">
        <v>55.4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-0.27974276527331343</v>
      </c>
      <c r="Q63">
        <f t="shared" ref="Q63" si="291">F63*P63</f>
        <v>-4020.2056591640094</v>
      </c>
      <c r="R63">
        <f t="shared" ref="R63" si="292">R64+Q63</f>
        <v>-8819047.0014618728</v>
      </c>
      <c r="S63">
        <f t="shared" ref="S63" si="293">R63/100000</f>
        <v>-88.190470014618725</v>
      </c>
      <c r="T63">
        <f t="shared" ref="T63" si="294">S63/1000</f>
        <v>-8.819047001461873E-2</v>
      </c>
    </row>
    <row r="64" spans="1:20" x14ac:dyDescent="0.25">
      <c r="A64" s="5">
        <v>44529</v>
      </c>
      <c r="B64">
        <v>55.11</v>
      </c>
      <c r="C64">
        <v>57.04</v>
      </c>
      <c r="D64">
        <v>54.38</v>
      </c>
      <c r="E64">
        <v>55.77</v>
      </c>
      <c r="F64">
        <v>10192.959999999999</v>
      </c>
      <c r="G64">
        <v>55.77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4.5112781954888985E-2</v>
      </c>
      <c r="Q64">
        <f t="shared" ref="Q64" si="296">F64*P64</f>
        <v>459.83278195490522</v>
      </c>
      <c r="R64">
        <f t="shared" ref="R64" si="297">R65+Q64</f>
        <v>-8815026.7958027087</v>
      </c>
      <c r="S64">
        <f t="shared" ref="S64" si="298">R64/100000</f>
        <v>-88.150267958027086</v>
      </c>
      <c r="T64">
        <f t="shared" ref="T64" si="299">S64/1000</f>
        <v>-8.8150267958027093E-2</v>
      </c>
    </row>
    <row r="65" spans="1:20" x14ac:dyDescent="0.25">
      <c r="A65" s="5">
        <v>44528</v>
      </c>
      <c r="B65">
        <v>53.94</v>
      </c>
      <c r="C65">
        <v>55.39</v>
      </c>
      <c r="D65">
        <v>51.83</v>
      </c>
      <c r="E65">
        <v>55.11</v>
      </c>
      <c r="F65">
        <v>8907.2900000000009</v>
      </c>
      <c r="G65">
        <v>55.11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0.84269662921348265</v>
      </c>
      <c r="Q65">
        <f t="shared" ref="Q65" si="301">F65*P65</f>
        <v>7506.1432584269623</v>
      </c>
      <c r="R65">
        <f t="shared" ref="R65" si="302">R66+Q65</f>
        <v>-8815486.6285846643</v>
      </c>
      <c r="S65">
        <f t="shared" ref="S65" si="303">R65/100000</f>
        <v>-88.154866285846637</v>
      </c>
      <c r="T65">
        <f t="shared" ref="T65" si="304">S65/1000</f>
        <v>-8.8154866285846636E-2</v>
      </c>
    </row>
    <row r="66" spans="1:20" x14ac:dyDescent="0.25">
      <c r="A66" s="5">
        <v>44527</v>
      </c>
      <c r="B66">
        <v>53.56</v>
      </c>
      <c r="C66">
        <v>55.04</v>
      </c>
      <c r="D66">
        <v>53.26</v>
      </c>
      <c r="E66">
        <v>54</v>
      </c>
      <c r="F66">
        <v>8515.69</v>
      </c>
      <c r="G66">
        <v>54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-0.16853932584269493</v>
      </c>
      <c r="Q66">
        <f t="shared" ref="Q66" si="306">F66*P66</f>
        <v>-1435.228651685379</v>
      </c>
      <c r="R66">
        <f t="shared" ref="R66" si="307">R67+Q66</f>
        <v>-8822992.7718430907</v>
      </c>
      <c r="S66">
        <f t="shared" ref="S66" si="308">R66/100000</f>
        <v>-88.229927718430901</v>
      </c>
      <c r="T66">
        <f t="shared" ref="T66" si="309">S66/1000</f>
        <v>-8.8229927718430898E-2</v>
      </c>
    </row>
    <row r="67" spans="1:20" x14ac:dyDescent="0.25">
      <c r="A67" s="5">
        <v>44526</v>
      </c>
      <c r="B67">
        <v>58.26</v>
      </c>
      <c r="C67">
        <v>58.47</v>
      </c>
      <c r="D67">
        <v>53.02</v>
      </c>
      <c r="E67">
        <v>53.56</v>
      </c>
      <c r="F67">
        <v>20694.3</v>
      </c>
      <c r="G67">
        <v>53.56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-0.80183486238532131</v>
      </c>
      <c r="Q67">
        <f t="shared" ref="Q67" si="311">F67*P67</f>
        <v>-16593.411192660555</v>
      </c>
      <c r="R67">
        <f t="shared" ref="R67" si="312">R68+Q67</f>
        <v>-8821557.543191405</v>
      </c>
      <c r="S67">
        <f t="shared" ref="S67" si="313">R67/100000</f>
        <v>-88.215575431914047</v>
      </c>
      <c r="T67">
        <f t="shared" ref="T67" si="314">S67/1000</f>
        <v>-8.8215575431914051E-2</v>
      </c>
    </row>
    <row r="68" spans="1:20" x14ac:dyDescent="0.25">
      <c r="A68" s="5">
        <v>44525</v>
      </c>
      <c r="B68">
        <v>56.93</v>
      </c>
      <c r="C68">
        <v>61.57</v>
      </c>
      <c r="D68">
        <v>55.92</v>
      </c>
      <c r="E68">
        <v>58.24</v>
      </c>
      <c r="F68">
        <v>29220.48</v>
      </c>
      <c r="G68">
        <v>58.24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-0.17876106194690236</v>
      </c>
      <c r="Q68">
        <f t="shared" ref="Q68" si="316">F68*P68</f>
        <v>-5223.4840353982217</v>
      </c>
      <c r="R68">
        <f t="shared" ref="R68" si="317">R69+Q68</f>
        <v>-8804964.1319987439</v>
      </c>
      <c r="S68">
        <f t="shared" ref="S68" si="318">R68/100000</f>
        <v>-88.049641319987444</v>
      </c>
      <c r="T68">
        <f t="shared" ref="T68" si="319">S68/1000</f>
        <v>-8.8049641319987437E-2</v>
      </c>
    </row>
    <row r="69" spans="1:20" x14ac:dyDescent="0.25">
      <c r="A69" s="5">
        <v>44524</v>
      </c>
      <c r="B69">
        <v>56.95</v>
      </c>
      <c r="C69">
        <v>57.12</v>
      </c>
      <c r="D69">
        <v>55.77</v>
      </c>
      <c r="E69">
        <v>56.17</v>
      </c>
      <c r="F69">
        <v>6589.09</v>
      </c>
      <c r="G69">
        <v>56.17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-0.407407407407407</v>
      </c>
      <c r="Q69">
        <f t="shared" ref="Q69" si="321">F69*P69</f>
        <v>-2684.4440740740715</v>
      </c>
      <c r="R69">
        <f t="shared" ref="R69" si="322">R70+Q69</f>
        <v>-8799740.6479633451</v>
      </c>
      <c r="S69">
        <f t="shared" ref="S69" si="323">R69/100000</f>
        <v>-87.997406479633455</v>
      </c>
      <c r="T69">
        <f t="shared" ref="T69" si="324">S69/1000</f>
        <v>-8.7997406479633458E-2</v>
      </c>
    </row>
    <row r="70" spans="1:20" x14ac:dyDescent="0.25">
      <c r="A70" s="5">
        <v>44523</v>
      </c>
      <c r="B70">
        <v>56.7</v>
      </c>
      <c r="C70">
        <v>57.66</v>
      </c>
      <c r="D70">
        <v>55.29</v>
      </c>
      <c r="E70">
        <v>56.93</v>
      </c>
      <c r="F70">
        <v>13316.27</v>
      </c>
      <c r="G70">
        <v>56.93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0.38396624472574037</v>
      </c>
      <c r="Q70">
        <f t="shared" ref="Q70" si="326">F70*P70</f>
        <v>5112.9981856540353</v>
      </c>
      <c r="R70">
        <f t="shared" ref="R70" si="327">R71+Q70</f>
        <v>-8797056.2038892712</v>
      </c>
      <c r="S70">
        <f t="shared" ref="S70" si="328">R70/100000</f>
        <v>-87.970562038892709</v>
      </c>
      <c r="T70">
        <f t="shared" ref="T70" si="329">S70/1000</f>
        <v>-8.7970562038892711E-2</v>
      </c>
    </row>
    <row r="71" spans="1:20" x14ac:dyDescent="0.25">
      <c r="A71" s="5">
        <v>44522</v>
      </c>
      <c r="B71">
        <v>59.08</v>
      </c>
      <c r="C71">
        <v>59.08</v>
      </c>
      <c r="D71">
        <v>56.28</v>
      </c>
      <c r="E71">
        <v>56.7</v>
      </c>
      <c r="F71">
        <v>14805.93</v>
      </c>
      <c r="G71">
        <v>56.7</v>
      </c>
      <c r="L71" t="s">
        <v>8</v>
      </c>
      <c r="M71" t="s">
        <v>7</v>
      </c>
      <c r="N71" t="s">
        <v>8</v>
      </c>
      <c r="P71">
        <f t="shared" ref="P71" si="330">IF(C71=D71,0,((E71-D71)-(C71-E71))/(C71-D71))</f>
        <v>-0.69999999999999851</v>
      </c>
      <c r="Q71">
        <f t="shared" ref="Q71" si="331">F71*P71</f>
        <v>-10364.150999999978</v>
      </c>
      <c r="R71">
        <f t="shared" ref="R71" si="332">R72+Q71</f>
        <v>-8802169.2020749245</v>
      </c>
      <c r="S71">
        <f t="shared" ref="S71" si="333">R71/100000</f>
        <v>-88.021692020749242</v>
      </c>
      <c r="T71">
        <f t="shared" ref="T71" si="334">S71/1000</f>
        <v>-8.8021692020749248E-2</v>
      </c>
    </row>
    <row r="72" spans="1:20" x14ac:dyDescent="0.25">
      <c r="A72" s="5">
        <v>44521</v>
      </c>
      <c r="B72">
        <v>59.69</v>
      </c>
      <c r="C72">
        <v>60.08</v>
      </c>
      <c r="D72">
        <v>58.33</v>
      </c>
      <c r="E72">
        <v>58.92</v>
      </c>
      <c r="F72">
        <v>15842.46</v>
      </c>
      <c r="G72">
        <v>58.92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-0.32571428571428179</v>
      </c>
      <c r="Q72">
        <f t="shared" ref="Q72" si="336">F72*P72</f>
        <v>-5160.1155428570801</v>
      </c>
      <c r="R72">
        <f t="shared" ref="R72" si="337">R73+Q72</f>
        <v>-8791805.0510749239</v>
      </c>
      <c r="S72">
        <f t="shared" ref="S72" si="338">R72/100000</f>
        <v>-87.918050510749239</v>
      </c>
      <c r="T72">
        <f t="shared" ref="T72" si="339">S72/1000</f>
        <v>-8.7918050510749246E-2</v>
      </c>
    </row>
    <row r="73" spans="1:20" x14ac:dyDescent="0.25">
      <c r="A73" s="5">
        <v>44520</v>
      </c>
      <c r="B73">
        <v>58.7</v>
      </c>
      <c r="C73">
        <v>60.04</v>
      </c>
      <c r="D73">
        <v>57.49</v>
      </c>
      <c r="E73">
        <v>59.64</v>
      </c>
      <c r="F73">
        <v>16838.060000000001</v>
      </c>
      <c r="G73">
        <v>59.64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0.68627450980392235</v>
      </c>
      <c r="Q73">
        <f t="shared" ref="Q73" si="341">F73*P73</f>
        <v>11555.531372549034</v>
      </c>
      <c r="R73">
        <f t="shared" ref="R73" si="342">R74+Q73</f>
        <v>-8786644.935532067</v>
      </c>
      <c r="S73">
        <f t="shared" ref="S73" si="343">R73/100000</f>
        <v>-87.866449355320668</v>
      </c>
      <c r="T73">
        <f t="shared" ref="T73" si="344">S73/1000</f>
        <v>-8.7866449355320675E-2</v>
      </c>
    </row>
    <row r="74" spans="1:20" x14ac:dyDescent="0.25">
      <c r="A74" s="5">
        <v>44519</v>
      </c>
      <c r="B74">
        <v>56.74</v>
      </c>
      <c r="C74">
        <v>59.26</v>
      </c>
      <c r="D74">
        <v>55.53</v>
      </c>
      <c r="E74">
        <v>58.74</v>
      </c>
      <c r="F74">
        <v>32066.43</v>
      </c>
      <c r="G74">
        <v>58.74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0.72117962466488128</v>
      </c>
      <c r="Q74">
        <f t="shared" ref="Q74" si="346">F74*P74</f>
        <v>23125.65595174269</v>
      </c>
      <c r="R74">
        <f t="shared" ref="R74" si="347">R75+Q74</f>
        <v>-8798200.466904616</v>
      </c>
      <c r="S74">
        <f t="shared" ref="S74" si="348">R74/100000</f>
        <v>-87.982004669046162</v>
      </c>
      <c r="T74">
        <f t="shared" ref="T74" si="349">S74/1000</f>
        <v>-8.7982004669046168E-2</v>
      </c>
    </row>
    <row r="75" spans="1:20" x14ac:dyDescent="0.25">
      <c r="A75" s="5">
        <v>44518</v>
      </c>
      <c r="B75">
        <v>61.5</v>
      </c>
      <c r="C75">
        <v>62.41</v>
      </c>
      <c r="D75">
        <v>55.89</v>
      </c>
      <c r="E75">
        <v>56.61</v>
      </c>
      <c r="F75">
        <v>127305.82</v>
      </c>
      <c r="G75">
        <v>56.61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-0.77914110429447869</v>
      </c>
      <c r="Q75">
        <f t="shared" ref="Q75" si="351">F75*P75</f>
        <v>-99189.197177914131</v>
      </c>
      <c r="R75">
        <f t="shared" ref="R75" si="352">R76+Q75</f>
        <v>-8821326.1228563581</v>
      </c>
      <c r="S75">
        <f t="shared" ref="S75" si="353">R75/100000</f>
        <v>-88.213261228563582</v>
      </c>
      <c r="T75">
        <f t="shared" ref="T75" si="354">S75/1000</f>
        <v>-8.8213261228563586E-2</v>
      </c>
    </row>
    <row r="76" spans="1:20" x14ac:dyDescent="0.25">
      <c r="A76" s="5">
        <v>44517</v>
      </c>
      <c r="B76">
        <v>60.43</v>
      </c>
      <c r="C76">
        <v>62.3</v>
      </c>
      <c r="D76">
        <v>59</v>
      </c>
      <c r="E76">
        <v>61.63</v>
      </c>
      <c r="F76">
        <v>17348.09</v>
      </c>
      <c r="G76">
        <v>61.63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0.59393939393939688</v>
      </c>
      <c r="Q76">
        <f t="shared" ref="Q76" si="356">F76*P76</f>
        <v>10303.714060606111</v>
      </c>
      <c r="R76">
        <f t="shared" ref="R76" si="357">R77+Q76</f>
        <v>-8722136.9256784432</v>
      </c>
      <c r="S76">
        <f t="shared" ref="S76" si="358">R76/100000</f>
        <v>-87.221369256784428</v>
      </c>
      <c r="T76">
        <f t="shared" ref="T76" si="359">S76/1000</f>
        <v>-8.7221369256784434E-2</v>
      </c>
    </row>
    <row r="77" spans="1:20" x14ac:dyDescent="0.25">
      <c r="A77" s="5">
        <v>44516</v>
      </c>
      <c r="B77">
        <v>64.739999999999995</v>
      </c>
      <c r="C77">
        <v>64.8</v>
      </c>
      <c r="D77">
        <v>58.65</v>
      </c>
      <c r="E77">
        <v>60.51</v>
      </c>
      <c r="F77">
        <v>33955.51</v>
      </c>
      <c r="G77">
        <v>60.51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-0.39512195121951221</v>
      </c>
      <c r="Q77">
        <f t="shared" ref="Q77" si="361">F77*P77</f>
        <v>-13416.56736585366</v>
      </c>
      <c r="R77">
        <f t="shared" ref="R77" si="362">R78+Q77</f>
        <v>-8732440.6397390496</v>
      </c>
      <c r="S77">
        <f t="shared" ref="S77" si="363">R77/100000</f>
        <v>-87.32440639739049</v>
      </c>
      <c r="T77">
        <f t="shared" ref="T77" si="364">S77/1000</f>
        <v>-8.7324406397390489E-2</v>
      </c>
    </row>
    <row r="78" spans="1:20" x14ac:dyDescent="0.25">
      <c r="A78" s="5">
        <v>44515</v>
      </c>
      <c r="B78">
        <v>66.92</v>
      </c>
      <c r="C78">
        <v>67.41</v>
      </c>
      <c r="D78">
        <v>64.599999999999994</v>
      </c>
      <c r="E78">
        <v>64.81</v>
      </c>
      <c r="F78">
        <v>11840.48</v>
      </c>
      <c r="G78">
        <v>64.81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-0.85053380782917598</v>
      </c>
      <c r="Q78">
        <f t="shared" ref="Q78" si="366">F78*P78</f>
        <v>-10070.728540925202</v>
      </c>
      <c r="R78">
        <f t="shared" ref="R78" si="367">R79+Q78</f>
        <v>-8719024.0723731965</v>
      </c>
      <c r="S78">
        <f t="shared" ref="S78" si="368">R78/100000</f>
        <v>-87.190240723731961</v>
      </c>
      <c r="T78">
        <f t="shared" ref="T78" si="369">S78/1000</f>
        <v>-8.7190240723731965E-2</v>
      </c>
    </row>
    <row r="79" spans="1:20" x14ac:dyDescent="0.25">
      <c r="A79" s="5">
        <v>44514</v>
      </c>
      <c r="B79">
        <v>65.959999999999994</v>
      </c>
      <c r="C79">
        <v>67.78</v>
      </c>
      <c r="D79">
        <v>64.92</v>
      </c>
      <c r="E79">
        <v>66.81</v>
      </c>
      <c r="F79">
        <v>11667.41</v>
      </c>
      <c r="G79">
        <v>66.81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0.32167832167832233</v>
      </c>
      <c r="Q79">
        <f t="shared" ref="Q79" si="371">F79*P79</f>
        <v>3753.1528671328747</v>
      </c>
      <c r="R79">
        <f t="shared" ref="R79" si="372">R80+Q79</f>
        <v>-8708953.3438322712</v>
      </c>
      <c r="S79">
        <f t="shared" ref="S79" si="373">R79/100000</f>
        <v>-87.089533438322718</v>
      </c>
      <c r="T79">
        <f t="shared" ref="T79" si="374">S79/1000</f>
        <v>-8.7089533438322722E-2</v>
      </c>
    </row>
    <row r="80" spans="1:20" x14ac:dyDescent="0.25">
      <c r="A80" s="5">
        <v>44513</v>
      </c>
      <c r="B80">
        <v>65.180000000000007</v>
      </c>
      <c r="C80">
        <v>66.61</v>
      </c>
      <c r="D80">
        <v>64.2</v>
      </c>
      <c r="E80">
        <v>65.849999999999994</v>
      </c>
      <c r="F80">
        <v>9885.61</v>
      </c>
      <c r="G80">
        <v>65.849999999999994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0.36929460580912349</v>
      </c>
      <c r="Q80">
        <f t="shared" ref="Q80" si="376">F80*P80</f>
        <v>3650.7024481327294</v>
      </c>
      <c r="R80">
        <f t="shared" ref="R80" si="377">R81+Q80</f>
        <v>-8712706.496699404</v>
      </c>
      <c r="S80">
        <f t="shared" ref="S80" si="378">R80/100000</f>
        <v>-87.127064966994041</v>
      </c>
      <c r="T80">
        <f t="shared" ref="T80" si="379">S80/1000</f>
        <v>-8.7127064966994044E-2</v>
      </c>
    </row>
    <row r="81" spans="1:20" x14ac:dyDescent="0.25">
      <c r="A81" s="5">
        <v>44512</v>
      </c>
      <c r="B81">
        <v>66.900000000000006</v>
      </c>
      <c r="C81">
        <v>67.44</v>
      </c>
      <c r="D81">
        <v>63.28</v>
      </c>
      <c r="E81">
        <v>65.3</v>
      </c>
      <c r="F81">
        <v>23672.39</v>
      </c>
      <c r="G81">
        <v>65.3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-2.8846153846154961E-2</v>
      </c>
      <c r="Q81">
        <f t="shared" ref="Q81" si="381">F81*P81</f>
        <v>-682.8574038461802</v>
      </c>
      <c r="R81">
        <f t="shared" ref="R81" si="382">R82+Q81</f>
        <v>-8716357.1991475374</v>
      </c>
      <c r="S81">
        <f t="shared" ref="S81" si="383">R81/100000</f>
        <v>-87.163571991475379</v>
      </c>
      <c r="T81">
        <f t="shared" ref="T81" si="384">S81/1000</f>
        <v>-8.7163571991475383E-2</v>
      </c>
    </row>
    <row r="82" spans="1:20" x14ac:dyDescent="0.25">
      <c r="A82" s="5">
        <v>44511</v>
      </c>
      <c r="B82">
        <v>67.34</v>
      </c>
      <c r="C82">
        <v>68.489999999999995</v>
      </c>
      <c r="D82">
        <v>65.41</v>
      </c>
      <c r="E82">
        <v>66.77</v>
      </c>
      <c r="F82">
        <v>19274.88</v>
      </c>
      <c r="G82">
        <v>66.77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-0.11688311688311677</v>
      </c>
      <c r="Q82">
        <f t="shared" ref="Q82" si="386">F82*P82</f>
        <v>-2252.9080519480499</v>
      </c>
      <c r="R82">
        <f t="shared" ref="R82" si="387">R83+Q82</f>
        <v>-8715674.3417436909</v>
      </c>
      <c r="S82">
        <f t="shared" ref="S82" si="388">R82/100000</f>
        <v>-87.156743417436914</v>
      </c>
      <c r="T82">
        <f t="shared" ref="T82" si="389">S82/1000</f>
        <v>-8.7156743417436913E-2</v>
      </c>
    </row>
    <row r="83" spans="1:20" x14ac:dyDescent="0.25">
      <c r="A83" s="5">
        <v>44510</v>
      </c>
      <c r="B83">
        <v>70.959999999999994</v>
      </c>
      <c r="C83">
        <v>75.959999999999994</v>
      </c>
      <c r="D83">
        <v>65.650000000000006</v>
      </c>
      <c r="E83">
        <v>67.41</v>
      </c>
      <c r="F83">
        <v>76333</v>
      </c>
      <c r="G83">
        <v>67.41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-0.6585838991270625</v>
      </c>
      <c r="Q83">
        <f t="shared" ref="Q83" si="391">F83*P83</f>
        <v>-50271.684772066059</v>
      </c>
      <c r="R83">
        <f t="shared" ref="R83" si="392">R84+Q83</f>
        <v>-8713421.4336917438</v>
      </c>
      <c r="S83">
        <f t="shared" ref="S83" si="393">R83/100000</f>
        <v>-87.134214336917438</v>
      </c>
      <c r="T83">
        <f t="shared" ref="T83" si="394">S83/1000</f>
        <v>-8.713421433691744E-2</v>
      </c>
    </row>
    <row r="84" spans="1:20" x14ac:dyDescent="0.25">
      <c r="A84" s="5">
        <v>44509</v>
      </c>
      <c r="B84">
        <v>69.23</v>
      </c>
      <c r="C84">
        <v>72.23</v>
      </c>
      <c r="D84">
        <v>68.05</v>
      </c>
      <c r="E84">
        <v>71.06</v>
      </c>
      <c r="F84">
        <v>48971.19</v>
      </c>
      <c r="G84">
        <v>71.06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0.44019138755980869</v>
      </c>
      <c r="Q84">
        <f t="shared" ref="Q84" si="396">F84*P84</f>
        <v>21556.696076555028</v>
      </c>
      <c r="R84">
        <f t="shared" ref="R84" si="397">R85+Q84</f>
        <v>-8663149.748919677</v>
      </c>
      <c r="S84">
        <f t="shared" ref="S84" si="398">R84/100000</f>
        <v>-86.631497489196775</v>
      </c>
      <c r="T84">
        <f t="shared" ref="T84" si="399">S84/1000</f>
        <v>-8.6631497489196768E-2</v>
      </c>
    </row>
    <row r="85" spans="1:20" x14ac:dyDescent="0.25">
      <c r="A85" s="5">
        <v>44508</v>
      </c>
      <c r="B85">
        <v>64.28</v>
      </c>
      <c r="C85">
        <v>69.92</v>
      </c>
      <c r="D85">
        <v>64.02</v>
      </c>
      <c r="E85">
        <v>69.16</v>
      </c>
      <c r="F85">
        <v>57910.86</v>
      </c>
      <c r="G85">
        <v>69.16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0.74237288135593071</v>
      </c>
      <c r="Q85">
        <f t="shared" ref="Q85" si="401">F85*P85</f>
        <v>42991.451999999917</v>
      </c>
      <c r="R85">
        <f t="shared" ref="R85" si="402">R86+Q85</f>
        <v>-8684706.4449962322</v>
      </c>
      <c r="S85">
        <f t="shared" ref="S85" si="403">R85/100000</f>
        <v>-86.847064449962318</v>
      </c>
      <c r="T85">
        <f t="shared" ref="T85" si="404">S85/1000</f>
        <v>-8.6847064449962319E-2</v>
      </c>
    </row>
    <row r="86" spans="1:20" x14ac:dyDescent="0.25">
      <c r="A86" s="5">
        <v>44507</v>
      </c>
      <c r="B86">
        <v>63.32</v>
      </c>
      <c r="C86">
        <v>64.319999999999993</v>
      </c>
      <c r="D86">
        <v>63.09</v>
      </c>
      <c r="E86">
        <v>64.209999999999994</v>
      </c>
      <c r="F86">
        <v>10007.52</v>
      </c>
      <c r="G86">
        <v>64.209999999999994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0.82113821138211329</v>
      </c>
      <c r="Q86">
        <f t="shared" ref="Q86" si="406">F86*P86</f>
        <v>8217.5570731707267</v>
      </c>
      <c r="R86">
        <f t="shared" ref="R86" si="407">R87+Q86</f>
        <v>-8727697.8969962317</v>
      </c>
      <c r="S86">
        <f t="shared" ref="S86" si="408">R86/100000</f>
        <v>-87.276978969962315</v>
      </c>
      <c r="T86">
        <f t="shared" ref="T86" si="409">S86/1000</f>
        <v>-8.727697896996231E-2</v>
      </c>
    </row>
    <row r="87" spans="1:20" x14ac:dyDescent="0.25">
      <c r="A87" s="5">
        <v>44506</v>
      </c>
      <c r="B87">
        <v>63.72</v>
      </c>
      <c r="C87">
        <v>64.17</v>
      </c>
      <c r="D87">
        <v>61.92</v>
      </c>
      <c r="E87">
        <v>63.4</v>
      </c>
      <c r="F87">
        <v>8363.18</v>
      </c>
      <c r="G87">
        <v>63.4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0.31555555555555276</v>
      </c>
      <c r="Q87">
        <f t="shared" ref="Q87" si="411">F87*P87</f>
        <v>2639.0479111110876</v>
      </c>
      <c r="R87">
        <f t="shared" ref="R87" si="412">R88+Q87</f>
        <v>-8735915.4540694021</v>
      </c>
      <c r="S87">
        <f t="shared" ref="S87" si="413">R87/100000</f>
        <v>-87.359154540694021</v>
      </c>
      <c r="T87">
        <f t="shared" ref="T87" si="414">S87/1000</f>
        <v>-8.7359154540694026E-2</v>
      </c>
    </row>
    <row r="88" spans="1:20" x14ac:dyDescent="0.25">
      <c r="A88" s="5">
        <v>44505</v>
      </c>
      <c r="B88">
        <v>64.3</v>
      </c>
      <c r="C88">
        <v>66</v>
      </c>
      <c r="D88">
        <v>63.47</v>
      </c>
      <c r="E88">
        <v>63.8</v>
      </c>
      <c r="F88">
        <v>16614</v>
      </c>
      <c r="G88">
        <v>63.8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-0.7391304347826102</v>
      </c>
      <c r="Q88">
        <f t="shared" ref="Q88" si="416">F88*P88</f>
        <v>-12279.913043478286</v>
      </c>
      <c r="R88">
        <f t="shared" ref="R88" si="417">R89+Q88</f>
        <v>-8738554.5019805133</v>
      </c>
      <c r="S88">
        <f t="shared" ref="S88" si="418">R88/100000</f>
        <v>-87.385545019805136</v>
      </c>
      <c r="T88">
        <f t="shared" ref="T88" si="419">S88/1000</f>
        <v>-8.7385545019805139E-2</v>
      </c>
    </row>
    <row r="89" spans="1:20" x14ac:dyDescent="0.25">
      <c r="A89" s="5">
        <v>44504</v>
      </c>
      <c r="B89">
        <v>66.010000000000005</v>
      </c>
      <c r="C89">
        <v>66.16</v>
      </c>
      <c r="D89">
        <v>63.54</v>
      </c>
      <c r="E89">
        <v>64.28</v>
      </c>
      <c r="F89">
        <v>18051.419999999998</v>
      </c>
      <c r="G89">
        <v>64.28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-0.43511450381679184</v>
      </c>
      <c r="Q89">
        <f t="shared" ref="Q89" si="421">F89*P89</f>
        <v>-7854.4346564885118</v>
      </c>
      <c r="R89">
        <f t="shared" ref="R89" si="422">R90+Q89</f>
        <v>-8726274.5889370348</v>
      </c>
      <c r="S89">
        <f t="shared" ref="S89" si="423">R89/100000</f>
        <v>-87.26274588937035</v>
      </c>
      <c r="T89">
        <f t="shared" ref="T89" si="424">S89/1000</f>
        <v>-8.7262745889370344E-2</v>
      </c>
    </row>
    <row r="90" spans="1:20" x14ac:dyDescent="0.25">
      <c r="A90" s="5">
        <v>44503</v>
      </c>
      <c r="B90">
        <v>66.209999999999994</v>
      </c>
      <c r="C90">
        <v>67.150000000000006</v>
      </c>
      <c r="D90">
        <v>63.65</v>
      </c>
      <c r="E90">
        <v>66.010000000000005</v>
      </c>
      <c r="F90">
        <v>22624.95</v>
      </c>
      <c r="G90">
        <v>66.010000000000005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0.34857142857142959</v>
      </c>
      <c r="Q90">
        <f t="shared" ref="Q90" si="426">F90*P90</f>
        <v>7886.4111428571659</v>
      </c>
      <c r="R90">
        <f t="shared" ref="R90" si="427">R91+Q90</f>
        <v>-8718420.1542805471</v>
      </c>
      <c r="S90">
        <f t="shared" ref="S90" si="428">R90/100000</f>
        <v>-87.184201542805468</v>
      </c>
      <c r="T90">
        <f t="shared" ref="T90" si="429">S90/1000</f>
        <v>-8.718420154280547E-2</v>
      </c>
    </row>
    <row r="91" spans="1:20" x14ac:dyDescent="0.25">
      <c r="A91" s="5">
        <v>44502</v>
      </c>
      <c r="B91">
        <v>64.290000000000006</v>
      </c>
      <c r="C91">
        <v>68</v>
      </c>
      <c r="D91">
        <v>63.56</v>
      </c>
      <c r="E91">
        <v>66.099999999999994</v>
      </c>
      <c r="F91">
        <v>29448.62</v>
      </c>
      <c r="G91">
        <v>66.099999999999994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0.14414414414414115</v>
      </c>
      <c r="Q91">
        <f t="shared" ref="Q91" si="431">F91*P91</f>
        <v>4244.8461261260372</v>
      </c>
      <c r="R91">
        <f t="shared" ref="R91" si="432">R92+Q91</f>
        <v>-8726306.5654234048</v>
      </c>
      <c r="S91">
        <f t="shared" ref="S91" si="433">R91/100000</f>
        <v>-87.263065654234055</v>
      </c>
      <c r="T91">
        <f t="shared" ref="T91" si="434">S91/1000</f>
        <v>-8.7263065654234057E-2</v>
      </c>
    </row>
    <row r="92" spans="1:20" x14ac:dyDescent="0.25">
      <c r="A92" s="5">
        <v>44501</v>
      </c>
      <c r="B92">
        <v>65.44</v>
      </c>
      <c r="C92">
        <v>65.55</v>
      </c>
      <c r="D92">
        <v>62.8</v>
      </c>
      <c r="E92">
        <v>64.19</v>
      </c>
      <c r="F92">
        <v>20347.62</v>
      </c>
      <c r="G92">
        <v>64.19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1.0909090909091323E-2</v>
      </c>
      <c r="Q92">
        <f t="shared" ref="Q92" si="436">F92*P92</f>
        <v>221.97403636364476</v>
      </c>
      <c r="R92">
        <f t="shared" ref="R92" si="437">R93+Q92</f>
        <v>-8730551.4115495309</v>
      </c>
      <c r="S92">
        <f t="shared" ref="S92" si="438">R92/100000</f>
        <v>-87.305514115495313</v>
      </c>
      <c r="T92">
        <f t="shared" ref="T92" si="439">S92/1000</f>
        <v>-8.7305514115495308E-2</v>
      </c>
    </row>
    <row r="93" spans="1:20" x14ac:dyDescent="0.25">
      <c r="A93" s="5">
        <v>44500</v>
      </c>
      <c r="B93">
        <v>63.38</v>
      </c>
      <c r="C93">
        <v>67.400000000000006</v>
      </c>
      <c r="D93">
        <v>62.69</v>
      </c>
      <c r="E93">
        <v>65.430000000000007</v>
      </c>
      <c r="F93">
        <v>25840.14</v>
      </c>
      <c r="G93">
        <v>65.430000000000007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0.16348195329087239</v>
      </c>
      <c r="Q93">
        <f t="shared" ref="Q93" si="441">F93*P93</f>
        <v>4224.3965605096037</v>
      </c>
      <c r="R93">
        <f t="shared" ref="R93" si="442">R94+Q93</f>
        <v>-8730773.3855858948</v>
      </c>
      <c r="S93">
        <f t="shared" ref="S93" si="443">R93/100000</f>
        <v>-87.307733855858942</v>
      </c>
      <c r="T93">
        <f t="shared" ref="T93" si="444">S93/1000</f>
        <v>-8.7307733855858938E-2</v>
      </c>
    </row>
    <row r="94" spans="1:20" x14ac:dyDescent="0.25">
      <c r="A94" s="5">
        <v>44499</v>
      </c>
      <c r="B94">
        <v>65.209999999999994</v>
      </c>
      <c r="C94">
        <v>65.290000000000006</v>
      </c>
      <c r="D94">
        <v>62.8</v>
      </c>
      <c r="E94">
        <v>63.38</v>
      </c>
      <c r="F94">
        <v>10339.61</v>
      </c>
      <c r="G94">
        <v>63.38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-0.53413654618473627</v>
      </c>
      <c r="Q94">
        <f t="shared" ref="Q94" si="446">F94*P94</f>
        <v>-5522.7635742971615</v>
      </c>
      <c r="R94">
        <f t="shared" ref="R94" si="447">R95+Q94</f>
        <v>-8734997.7821464036</v>
      </c>
      <c r="S94">
        <f t="shared" ref="S94" si="448">R94/100000</f>
        <v>-87.349977821464037</v>
      </c>
      <c r="T94">
        <f t="shared" ref="T94" si="449">S94/1000</f>
        <v>-8.7349977821464031E-2</v>
      </c>
    </row>
    <row r="95" spans="1:20" x14ac:dyDescent="0.25">
      <c r="A95" s="5">
        <v>44498</v>
      </c>
      <c r="B95">
        <v>63.93</v>
      </c>
      <c r="C95">
        <v>66.03</v>
      </c>
      <c r="D95">
        <v>63.45</v>
      </c>
      <c r="E95">
        <v>65.209999999999994</v>
      </c>
      <c r="F95">
        <v>13070.46</v>
      </c>
      <c r="G95">
        <v>65.209999999999994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0.3643410852713117</v>
      </c>
      <c r="Q95">
        <f t="shared" ref="Q95" si="451">F95*P95</f>
        <v>4762.105581395268</v>
      </c>
      <c r="R95">
        <f t="shared" ref="R95" si="452">R96+Q95</f>
        <v>-8729475.018572107</v>
      </c>
      <c r="S95">
        <f t="shared" ref="S95" si="453">R95/100000</f>
        <v>-87.294750185721071</v>
      </c>
      <c r="T95">
        <f t="shared" ref="T95" si="454">S95/1000</f>
        <v>-8.7294750185721068E-2</v>
      </c>
    </row>
    <row r="96" spans="1:20" x14ac:dyDescent="0.25">
      <c r="A96" s="5">
        <v>44497</v>
      </c>
      <c r="B96">
        <v>59.5</v>
      </c>
      <c r="C96">
        <v>65.180000000000007</v>
      </c>
      <c r="D96">
        <v>58.75</v>
      </c>
      <c r="E96">
        <v>63.94</v>
      </c>
      <c r="F96">
        <v>25724.14</v>
      </c>
      <c r="G96">
        <v>63.94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0.61430793157075958</v>
      </c>
      <c r="Q96">
        <f t="shared" ref="Q96" si="456">F96*P96</f>
        <v>15802.543234836639</v>
      </c>
      <c r="R96">
        <f t="shared" ref="R96" si="457">R97+Q96</f>
        <v>-8734237.1241535023</v>
      </c>
      <c r="S96">
        <f t="shared" ref="S96" si="458">R96/100000</f>
        <v>-87.34237124153502</v>
      </c>
      <c r="T96">
        <f t="shared" ref="T96" si="459">S96/1000</f>
        <v>-8.7342371241535016E-2</v>
      </c>
    </row>
    <row r="97" spans="1:20" x14ac:dyDescent="0.25">
      <c r="A97" s="5">
        <v>44496</v>
      </c>
      <c r="B97">
        <v>67.13</v>
      </c>
      <c r="C97">
        <v>67.680000000000007</v>
      </c>
      <c r="D97">
        <v>58.52</v>
      </c>
      <c r="E97">
        <v>59.38</v>
      </c>
      <c r="F97">
        <v>26384.66</v>
      </c>
      <c r="G97">
        <v>59.38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-0.81222707423580809</v>
      </c>
      <c r="Q97">
        <f t="shared" ref="Q97" si="461">F97*P97</f>
        <v>-21430.335196506556</v>
      </c>
      <c r="R97">
        <f t="shared" ref="R97" si="462">R98+Q97</f>
        <v>-8750039.6673883386</v>
      </c>
      <c r="S97">
        <f t="shared" ref="S97" si="463">R97/100000</f>
        <v>-87.500396673883387</v>
      </c>
      <c r="T97">
        <f t="shared" ref="T97" si="464">S97/1000</f>
        <v>-8.7500396673883388E-2</v>
      </c>
    </row>
    <row r="98" spans="1:20" x14ac:dyDescent="0.25">
      <c r="A98" s="5">
        <v>44495</v>
      </c>
      <c r="B98">
        <v>68.72</v>
      </c>
      <c r="C98">
        <v>69.23</v>
      </c>
      <c r="D98">
        <v>66.790000000000006</v>
      </c>
      <c r="E98">
        <v>67.09</v>
      </c>
      <c r="F98">
        <v>11045.53</v>
      </c>
      <c r="G98">
        <v>67.09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-0.75409836065573976</v>
      </c>
      <c r="Q98">
        <f t="shared" ref="Q98" si="466">F98*P98</f>
        <v>-8329.4160655737942</v>
      </c>
      <c r="R98">
        <f t="shared" ref="R98" si="467">R99+Q98</f>
        <v>-8728609.3321918324</v>
      </c>
      <c r="S98">
        <f t="shared" ref="S98" si="468">R98/100000</f>
        <v>-87.286093321918329</v>
      </c>
      <c r="T98">
        <f t="shared" ref="T98" si="469">S98/1000</f>
        <v>-8.7286093321918334E-2</v>
      </c>
    </row>
    <row r="99" spans="1:20" x14ac:dyDescent="0.25">
      <c r="A99" s="5">
        <v>44494</v>
      </c>
      <c r="B99">
        <v>67.150000000000006</v>
      </c>
      <c r="C99">
        <v>69</v>
      </c>
      <c r="D99">
        <v>66.900000000000006</v>
      </c>
      <c r="E99">
        <v>68.739999999999995</v>
      </c>
      <c r="F99">
        <v>12879.15</v>
      </c>
      <c r="G99">
        <v>68.739999999999995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0.75238095238094682</v>
      </c>
      <c r="Q99">
        <f t="shared" ref="Q99" si="471">F99*P99</f>
        <v>9690.0271428570704</v>
      </c>
      <c r="R99">
        <f t="shared" ref="R99" si="472">R100+Q99</f>
        <v>-8720279.9161262587</v>
      </c>
      <c r="S99">
        <f t="shared" ref="S99" si="473">R99/100000</f>
        <v>-87.20279916126259</v>
      </c>
      <c r="T99">
        <f t="shared" ref="T99" si="474">S99/1000</f>
        <v>-8.7202799161262584E-2</v>
      </c>
    </row>
    <row r="100" spans="1:20" x14ac:dyDescent="0.25">
      <c r="A100" s="5">
        <v>44493</v>
      </c>
      <c r="B100">
        <v>68.33</v>
      </c>
      <c r="C100">
        <v>68.540000000000006</v>
      </c>
      <c r="D100">
        <v>65.94</v>
      </c>
      <c r="E100">
        <v>67.16</v>
      </c>
      <c r="F100">
        <v>11089.4</v>
      </c>
      <c r="G100">
        <v>67.16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-6.153846153846549E-2</v>
      </c>
      <c r="Q100">
        <f t="shared" ref="Q100" si="476">F100*P100</f>
        <v>-682.42461538465921</v>
      </c>
      <c r="R100">
        <f t="shared" ref="R100" si="477">R101+Q100</f>
        <v>-8729969.9432691149</v>
      </c>
      <c r="S100">
        <f t="shared" ref="S100" si="478">R100/100000</f>
        <v>-87.299699432691156</v>
      </c>
      <c r="T100">
        <f t="shared" ref="T100" si="479">S100/1000</f>
        <v>-8.7299699432691155E-2</v>
      </c>
    </row>
    <row r="101" spans="1:20" x14ac:dyDescent="0.25">
      <c r="A101" s="5">
        <v>44492</v>
      </c>
      <c r="B101">
        <v>68.28</v>
      </c>
      <c r="C101">
        <v>68.81</v>
      </c>
      <c r="D101">
        <v>67.239999999999995</v>
      </c>
      <c r="E101">
        <v>68.33</v>
      </c>
      <c r="F101">
        <v>9041.17</v>
      </c>
      <c r="G101">
        <v>68.33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0.38853503184713156</v>
      </c>
      <c r="Q101">
        <f t="shared" ref="Q101" si="481">F101*P101</f>
        <v>3512.8112738853306</v>
      </c>
      <c r="R101">
        <f t="shared" ref="R101" si="482">R102+Q101</f>
        <v>-8729287.5186537299</v>
      </c>
      <c r="S101">
        <f t="shared" ref="S101" si="483">R101/100000</f>
        <v>-87.292875186537302</v>
      </c>
      <c r="T101">
        <f t="shared" ref="T101" si="484">S101/1000</f>
        <v>-8.7292875186537305E-2</v>
      </c>
    </row>
    <row r="102" spans="1:20" x14ac:dyDescent="0.25">
      <c r="A102" s="5">
        <v>44491</v>
      </c>
      <c r="B102">
        <v>68.510000000000005</v>
      </c>
      <c r="C102">
        <v>70.180000000000007</v>
      </c>
      <c r="D102">
        <v>67.48</v>
      </c>
      <c r="E102">
        <v>68.260000000000005</v>
      </c>
      <c r="F102">
        <v>11558.6</v>
      </c>
      <c r="G102">
        <v>68.260000000000005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-0.422222222222222</v>
      </c>
      <c r="Q102">
        <f t="shared" ref="Q102" si="486">F102*P102</f>
        <v>-4880.2977777777751</v>
      </c>
      <c r="R102">
        <f t="shared" ref="R102" si="487">R103+Q102</f>
        <v>-8732800.3299276158</v>
      </c>
      <c r="S102">
        <f t="shared" ref="S102" si="488">R102/100000</f>
        <v>-87.328003299276162</v>
      </c>
      <c r="T102">
        <f t="shared" ref="T102" si="489">S102/1000</f>
        <v>-8.7328003299276161E-2</v>
      </c>
    </row>
    <row r="103" spans="1:20" x14ac:dyDescent="0.25">
      <c r="A103" s="5">
        <v>44490</v>
      </c>
      <c r="B103">
        <v>71.37</v>
      </c>
      <c r="C103">
        <v>72.95</v>
      </c>
      <c r="D103">
        <v>68.37</v>
      </c>
      <c r="E103">
        <v>68.5</v>
      </c>
      <c r="F103">
        <v>36183.89</v>
      </c>
      <c r="G103">
        <v>68.5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-0.94323144104803691</v>
      </c>
      <c r="Q103">
        <f t="shared" ref="Q103" si="491">F103*P103</f>
        <v>-34129.782707423648</v>
      </c>
      <c r="R103">
        <f t="shared" ref="R103" si="492">R104+Q103</f>
        <v>-8727920.0321498383</v>
      </c>
      <c r="S103">
        <f t="shared" ref="S103" si="493">R103/100000</f>
        <v>-87.279200321498379</v>
      </c>
      <c r="T103">
        <f t="shared" ref="T103" si="494">S103/1000</f>
        <v>-8.7279200321498385E-2</v>
      </c>
    </row>
    <row r="104" spans="1:20" x14ac:dyDescent="0.25">
      <c r="A104" s="5">
        <v>44489</v>
      </c>
      <c r="B104">
        <v>69.55</v>
      </c>
      <c r="C104">
        <v>71.97</v>
      </c>
      <c r="D104">
        <v>67.59</v>
      </c>
      <c r="E104">
        <v>71.47</v>
      </c>
      <c r="F104">
        <v>40176.19</v>
      </c>
      <c r="G104">
        <v>71.47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0.77168949771689477</v>
      </c>
      <c r="Q104">
        <f t="shared" ref="Q104" si="496">F104*P104</f>
        <v>31003.543881278532</v>
      </c>
      <c r="R104">
        <f t="shared" ref="R104" si="497">R105+Q104</f>
        <v>-8693790.2494424153</v>
      </c>
      <c r="S104">
        <f t="shared" ref="S104" si="498">R104/100000</f>
        <v>-86.937902494424151</v>
      </c>
      <c r="T104">
        <f t="shared" ref="T104" si="499">S104/1000</f>
        <v>-8.6937902494424152E-2</v>
      </c>
    </row>
    <row r="105" spans="1:20" x14ac:dyDescent="0.25">
      <c r="A105" s="5">
        <v>44488</v>
      </c>
      <c r="B105">
        <v>68.06</v>
      </c>
      <c r="C105">
        <v>70</v>
      </c>
      <c r="D105">
        <v>67.239999999999995</v>
      </c>
      <c r="E105">
        <v>69.44</v>
      </c>
      <c r="F105">
        <v>120783.97</v>
      </c>
      <c r="G105">
        <v>69.44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0.59420289855072372</v>
      </c>
      <c r="Q105">
        <f t="shared" ref="Q105" si="501">F105*P105</f>
        <v>71770.185072463661</v>
      </c>
      <c r="R105">
        <f t="shared" ref="R105" si="502">R106+Q105</f>
        <v>-8724793.7933236938</v>
      </c>
      <c r="S105">
        <f t="shared" ref="S105" si="503">R105/100000</f>
        <v>-87.24793793323694</v>
      </c>
      <c r="T105">
        <f t="shared" ref="T105" si="504">S105/1000</f>
        <v>-8.7247937933236944E-2</v>
      </c>
    </row>
    <row r="106" spans="1:20" x14ac:dyDescent="0.25">
      <c r="A106" s="5">
        <v>44487</v>
      </c>
      <c r="B106">
        <v>67.92</v>
      </c>
      <c r="C106">
        <v>71.8</v>
      </c>
      <c r="D106">
        <v>67.19</v>
      </c>
      <c r="E106">
        <v>68.180000000000007</v>
      </c>
      <c r="F106">
        <v>22051.95</v>
      </c>
      <c r="G106">
        <v>68.180000000000007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-0.57049891540129749</v>
      </c>
      <c r="Q106">
        <f t="shared" ref="Q106" si="506">F106*P106</f>
        <v>-12580.613557483643</v>
      </c>
      <c r="R106">
        <f t="shared" ref="R106" si="507">R107+Q106</f>
        <v>-8796563.9783961568</v>
      </c>
      <c r="S106">
        <f t="shared" ref="S106" si="508">R106/100000</f>
        <v>-87.965639783961564</v>
      </c>
      <c r="T106">
        <f t="shared" ref="T106" si="509">S106/1000</f>
        <v>-8.7965639783961561E-2</v>
      </c>
    </row>
    <row r="107" spans="1:20" x14ac:dyDescent="0.25">
      <c r="A107" s="5">
        <v>44486</v>
      </c>
      <c r="B107">
        <v>68.97</v>
      </c>
      <c r="C107">
        <v>69.91</v>
      </c>
      <c r="D107">
        <v>65.77</v>
      </c>
      <c r="E107">
        <v>67.91</v>
      </c>
      <c r="F107">
        <v>19053.09</v>
      </c>
      <c r="G107">
        <v>67.91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3.3816425120773076E-2</v>
      </c>
      <c r="Q107">
        <f t="shared" ref="Q107" si="511">F107*P107</f>
        <v>644.30739130435029</v>
      </c>
      <c r="R107">
        <f t="shared" ref="R107" si="512">R108+Q107</f>
        <v>-8783983.3648386728</v>
      </c>
      <c r="S107">
        <f t="shared" ref="S107" si="513">R107/100000</f>
        <v>-87.83983364838673</v>
      </c>
      <c r="T107">
        <f t="shared" ref="T107" si="514">S107/1000</f>
        <v>-8.7839833648386725E-2</v>
      </c>
    </row>
    <row r="108" spans="1:20" x14ac:dyDescent="0.25">
      <c r="A108" s="5">
        <v>44485</v>
      </c>
      <c r="B108">
        <v>71.5</v>
      </c>
      <c r="C108">
        <v>71.540000000000006</v>
      </c>
      <c r="D108">
        <v>68.72</v>
      </c>
      <c r="E108">
        <v>68.98</v>
      </c>
      <c r="F108">
        <v>17343.900000000001</v>
      </c>
      <c r="G108">
        <v>68.98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-0.81560283687942947</v>
      </c>
      <c r="Q108">
        <f t="shared" ref="Q108" si="516">F108*P108</f>
        <v>-14145.734042553138</v>
      </c>
      <c r="R108">
        <f t="shared" ref="R108" si="517">R109+Q108</f>
        <v>-8784627.6722299773</v>
      </c>
      <c r="S108">
        <f t="shared" ref="S108" si="518">R108/100000</f>
        <v>-87.846276722299777</v>
      </c>
      <c r="T108">
        <f t="shared" ref="T108" si="519">S108/1000</f>
        <v>-8.7846276722299776E-2</v>
      </c>
    </row>
    <row r="109" spans="1:20" x14ac:dyDescent="0.25">
      <c r="A109" s="5">
        <v>44484</v>
      </c>
      <c r="B109">
        <v>68.39</v>
      </c>
      <c r="C109">
        <v>74.95</v>
      </c>
      <c r="D109">
        <v>67.17</v>
      </c>
      <c r="E109">
        <v>71.7</v>
      </c>
      <c r="F109">
        <v>81861.08</v>
      </c>
      <c r="G109">
        <v>71.7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0.16452442159383046</v>
      </c>
      <c r="Q109">
        <f t="shared" ref="Q109" si="521">F109*P109</f>
        <v>13468.146838046283</v>
      </c>
      <c r="R109">
        <f t="shared" ref="R109" si="522">R110+Q109</f>
        <v>-8770481.9381874241</v>
      </c>
      <c r="S109">
        <f t="shared" ref="S109" si="523">R109/100000</f>
        <v>-87.704819381874245</v>
      </c>
      <c r="T109">
        <f t="shared" ref="T109" si="524">S109/1000</f>
        <v>-8.7704819381874244E-2</v>
      </c>
    </row>
    <row r="110" spans="1:20" x14ac:dyDescent="0.25">
      <c r="A110" s="5">
        <v>44483</v>
      </c>
      <c r="B110">
        <v>68.83</v>
      </c>
      <c r="C110">
        <v>69.84</v>
      </c>
      <c r="D110">
        <v>67.78</v>
      </c>
      <c r="E110">
        <v>68.45</v>
      </c>
      <c r="F110">
        <v>14702.83</v>
      </c>
      <c r="G110">
        <v>68.45</v>
      </c>
      <c r="L110" t="s">
        <v>7</v>
      </c>
      <c r="M110" t="s">
        <v>7</v>
      </c>
      <c r="N110" t="s">
        <v>8</v>
      </c>
      <c r="P110">
        <f t="shared" ref="P110" si="525">IF(C110=D110,0,((E110-D110)-(C110-E110))/(C110-D110))</f>
        <v>-0.34951456310679518</v>
      </c>
      <c r="Q110">
        <f t="shared" ref="Q110" si="526">F110*P110</f>
        <v>-5138.853203883481</v>
      </c>
      <c r="R110">
        <f t="shared" ref="R110" si="527">R111+Q110</f>
        <v>-8783950.0850254707</v>
      </c>
      <c r="S110">
        <f t="shared" ref="S110" si="528">R110/100000</f>
        <v>-87.839500850254709</v>
      </c>
      <c r="T110">
        <f t="shared" ref="T110" si="529">S110/1000</f>
        <v>-8.7839500850254715E-2</v>
      </c>
    </row>
    <row r="111" spans="1:20" x14ac:dyDescent="0.25">
      <c r="A111" s="5">
        <v>44482</v>
      </c>
      <c r="B111">
        <v>69.430000000000007</v>
      </c>
      <c r="C111">
        <v>70.12</v>
      </c>
      <c r="D111">
        <v>66.19</v>
      </c>
      <c r="E111">
        <v>68.84</v>
      </c>
      <c r="F111">
        <v>23084.6</v>
      </c>
      <c r="G111">
        <v>68.84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0.34860050890585298</v>
      </c>
      <c r="Q111">
        <f t="shared" ref="Q111" si="531">F111*P111</f>
        <v>8047.3033078880535</v>
      </c>
      <c r="R111">
        <f t="shared" ref="R111" si="532">R112+Q111</f>
        <v>-8778811.2318215873</v>
      </c>
      <c r="S111">
        <f t="shared" ref="S111" si="533">R111/100000</f>
        <v>-87.788112318215866</v>
      </c>
      <c r="T111">
        <f t="shared" ref="T111" si="534">S111/1000</f>
        <v>-8.7788112318215872E-2</v>
      </c>
    </row>
    <row r="112" spans="1:20" x14ac:dyDescent="0.25">
      <c r="A112" s="5">
        <v>44481</v>
      </c>
      <c r="B112">
        <v>70.03</v>
      </c>
      <c r="C112">
        <v>74.5</v>
      </c>
      <c r="D112">
        <v>67.72</v>
      </c>
      <c r="E112">
        <v>69.319999999999993</v>
      </c>
      <c r="F112">
        <v>52853.16</v>
      </c>
      <c r="G112">
        <v>69.319999999999993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-0.52802359882006078</v>
      </c>
      <c r="Q112">
        <f t="shared" ref="Q112" si="536">F112*P112</f>
        <v>-27907.715752212487</v>
      </c>
      <c r="R112">
        <f t="shared" ref="R112" si="537">R113+Q112</f>
        <v>-8786858.5351294745</v>
      </c>
      <c r="S112">
        <f t="shared" ref="S112" si="538">R112/100000</f>
        <v>-87.86858535129474</v>
      </c>
      <c r="T112">
        <f t="shared" ref="T112" si="539">S112/1000</f>
        <v>-8.7868585351294742E-2</v>
      </c>
    </row>
    <row r="113" spans="1:20" x14ac:dyDescent="0.25">
      <c r="A113" s="5">
        <v>44480</v>
      </c>
      <c r="B113">
        <v>65.5</v>
      </c>
      <c r="C113">
        <v>75.2</v>
      </c>
      <c r="D113">
        <v>65.12</v>
      </c>
      <c r="E113">
        <v>69.849999999999994</v>
      </c>
      <c r="F113">
        <v>84411.71</v>
      </c>
      <c r="G113">
        <v>69.849999999999994</v>
      </c>
      <c r="L113" t="s">
        <v>8</v>
      </c>
      <c r="M113" t="s">
        <v>7</v>
      </c>
      <c r="N113" t="s">
        <v>8</v>
      </c>
      <c r="P113">
        <f t="shared" ref="P113" si="540">IF(C113=D113,0,((E113-D113)-(C113-E113))/(C113-D113))</f>
        <v>-6.1507936507938378E-2</v>
      </c>
      <c r="Q113">
        <f t="shared" ref="Q113" si="541">F113*P113</f>
        <v>-5191.9900992065077</v>
      </c>
      <c r="R113">
        <f t="shared" ref="R113" si="542">R114+Q113</f>
        <v>-8758950.8193772621</v>
      </c>
      <c r="S113">
        <f t="shared" ref="S113" si="543">R113/100000</f>
        <v>-87.589508193772616</v>
      </c>
      <c r="T113">
        <f t="shared" ref="T113" si="544">S113/1000</f>
        <v>-8.7589508193772619E-2</v>
      </c>
    </row>
    <row r="114" spans="1:20" x14ac:dyDescent="0.25">
      <c r="A114" s="5">
        <v>44479</v>
      </c>
      <c r="B114">
        <v>68.39</v>
      </c>
      <c r="C114">
        <v>70.569999999999993</v>
      </c>
      <c r="D114">
        <v>65.14</v>
      </c>
      <c r="E114">
        <v>65.45</v>
      </c>
      <c r="F114">
        <v>17074.330000000002</v>
      </c>
      <c r="G114">
        <v>65.45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-0.88581952117863616</v>
      </c>
      <c r="Q114">
        <f t="shared" ref="Q114" si="546">F114*P114</f>
        <v>-15124.774825046024</v>
      </c>
      <c r="R114">
        <f t="shared" ref="R114" si="547">R115+Q114</f>
        <v>-8753758.8292780556</v>
      </c>
      <c r="S114">
        <f t="shared" ref="S114" si="548">R114/100000</f>
        <v>-87.537588292780555</v>
      </c>
      <c r="T114">
        <f t="shared" ref="T114" si="549">S114/1000</f>
        <v>-8.7537588292780549E-2</v>
      </c>
    </row>
    <row r="115" spans="1:20" x14ac:dyDescent="0.25">
      <c r="A115" s="5">
        <v>44478</v>
      </c>
      <c r="B115">
        <v>65.989999999999995</v>
      </c>
      <c r="C115">
        <v>70.91</v>
      </c>
      <c r="D115">
        <v>65.040000000000006</v>
      </c>
      <c r="E115">
        <v>68.39</v>
      </c>
      <c r="F115">
        <v>28536.65</v>
      </c>
      <c r="G115">
        <v>68.39</v>
      </c>
      <c r="L115" t="s">
        <v>8</v>
      </c>
      <c r="M115" t="s">
        <v>7</v>
      </c>
      <c r="N115" t="s">
        <v>8</v>
      </c>
      <c r="P115">
        <f t="shared" ref="P115" si="550">IF(C115=D115,0,((E115-D115)-(C115-E115))/(C115-D115))</f>
        <v>0.14139693356047695</v>
      </c>
      <c r="Q115">
        <f t="shared" ref="Q115" si="551">F115*P115</f>
        <v>4034.9948040885847</v>
      </c>
      <c r="R115">
        <f t="shared" ref="R115" si="552">R116+Q115</f>
        <v>-8738634.0544530097</v>
      </c>
      <c r="S115">
        <f t="shared" ref="S115" si="553">R115/100000</f>
        <v>-87.3863405445301</v>
      </c>
      <c r="T115">
        <f t="shared" ref="T115" si="554">S115/1000</f>
        <v>-8.7386340544530094E-2</v>
      </c>
    </row>
    <row r="116" spans="1:20" x14ac:dyDescent="0.25">
      <c r="A116" s="5">
        <v>44477</v>
      </c>
      <c r="B116">
        <v>68.12</v>
      </c>
      <c r="C116">
        <v>70.540000000000006</v>
      </c>
      <c r="D116">
        <v>64.56</v>
      </c>
      <c r="E116">
        <v>65.989999999999995</v>
      </c>
      <c r="F116">
        <v>42638.400000000001</v>
      </c>
      <c r="G116">
        <v>65.989999999999995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-0.52173913043478537</v>
      </c>
      <c r="Q116">
        <f t="shared" ref="Q116" si="556">F116*P116</f>
        <v>-22246.121739130554</v>
      </c>
      <c r="R116">
        <f t="shared" ref="R116" si="557">R117+Q116</f>
        <v>-8742669.0492570978</v>
      </c>
      <c r="S116">
        <f t="shared" ref="S116" si="558">R116/100000</f>
        <v>-87.426690492570984</v>
      </c>
      <c r="T116">
        <f t="shared" ref="T116" si="559">S116/1000</f>
        <v>-8.7426690492570985E-2</v>
      </c>
    </row>
    <row r="117" spans="1:20" x14ac:dyDescent="0.25">
      <c r="A117" s="5">
        <v>44476</v>
      </c>
      <c r="B117">
        <v>74</v>
      </c>
      <c r="C117">
        <v>77.73</v>
      </c>
      <c r="D117">
        <v>67.819999999999993</v>
      </c>
      <c r="E117">
        <v>68.12</v>
      </c>
      <c r="F117">
        <v>103290.9</v>
      </c>
      <c r="G117">
        <v>68.12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-0.93945509586276266</v>
      </c>
      <c r="Q117">
        <f t="shared" ref="Q117" si="561">F117*P117</f>
        <v>-97037.16236125103</v>
      </c>
      <c r="R117">
        <f t="shared" ref="R117" si="562">R118+Q117</f>
        <v>-8720422.9275179673</v>
      </c>
      <c r="S117">
        <f t="shared" ref="S117" si="563">R117/100000</f>
        <v>-87.204229275179671</v>
      </c>
      <c r="T117">
        <f t="shared" ref="T117" si="564">S117/1000</f>
        <v>-8.7204229275179665E-2</v>
      </c>
    </row>
    <row r="118" spans="1:20" x14ac:dyDescent="0.25">
      <c r="A118" s="5">
        <v>44475</v>
      </c>
      <c r="B118">
        <v>62.26</v>
      </c>
      <c r="C118">
        <v>76.19</v>
      </c>
      <c r="D118">
        <v>57.58</v>
      </c>
      <c r="E118">
        <v>74</v>
      </c>
      <c r="F118">
        <v>283211.39</v>
      </c>
      <c r="G118">
        <v>74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0.76464266523374558</v>
      </c>
      <c r="Q118">
        <f t="shared" ref="Q118" si="566">F118*P118</f>
        <v>216555.51207415378</v>
      </c>
      <c r="R118">
        <f t="shared" ref="R118" si="567">R119+Q118</f>
        <v>-8623385.7651567161</v>
      </c>
      <c r="S118">
        <f t="shared" ref="S118" si="568">R118/100000</f>
        <v>-86.233857651567163</v>
      </c>
      <c r="T118">
        <f t="shared" ref="T118" si="569">S118/1000</f>
        <v>-8.6233857651567158E-2</v>
      </c>
    </row>
    <row r="119" spans="1:20" x14ac:dyDescent="0.25">
      <c r="A119" s="5">
        <v>44474</v>
      </c>
      <c r="B119">
        <v>60.31</v>
      </c>
      <c r="C119">
        <v>62.32</v>
      </c>
      <c r="D119">
        <v>58.65</v>
      </c>
      <c r="E119">
        <v>62.24</v>
      </c>
      <c r="F119">
        <v>26947.24</v>
      </c>
      <c r="G119">
        <v>62.24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0.9564032697547693</v>
      </c>
      <c r="Q119">
        <f t="shared" ref="Q119" si="571">F119*P119</f>
        <v>25772.42844686651</v>
      </c>
      <c r="R119">
        <f t="shared" ref="R119" si="572">R120+Q119</f>
        <v>-8839941.27723087</v>
      </c>
      <c r="S119">
        <f t="shared" ref="S119" si="573">R119/100000</f>
        <v>-88.399412772308693</v>
      </c>
      <c r="T119">
        <f t="shared" ref="T119" si="574">S119/1000</f>
        <v>-8.83994127723087E-2</v>
      </c>
    </row>
    <row r="120" spans="1:20" x14ac:dyDescent="0.25">
      <c r="A120" s="5">
        <v>44473</v>
      </c>
      <c r="B120">
        <v>58.94</v>
      </c>
      <c r="C120">
        <v>59.22</v>
      </c>
      <c r="D120">
        <v>55.8</v>
      </c>
      <c r="E120">
        <v>58.86</v>
      </c>
      <c r="F120">
        <v>13290.77</v>
      </c>
      <c r="G120">
        <v>58.86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0.78947368421052677</v>
      </c>
      <c r="Q120">
        <f t="shared" ref="Q120" si="576">F120*P120</f>
        <v>10492.713157894743</v>
      </c>
      <c r="R120">
        <f t="shared" ref="R120" si="577">R121+Q120</f>
        <v>-8865713.7056777366</v>
      </c>
      <c r="S120">
        <f t="shared" ref="S120" si="578">R120/100000</f>
        <v>-88.657137056777358</v>
      </c>
      <c r="T120">
        <f t="shared" ref="T120" si="579">S120/1000</f>
        <v>-8.8657137056777358E-2</v>
      </c>
    </row>
    <row r="121" spans="1:20" x14ac:dyDescent="0.25">
      <c r="A121" s="5">
        <v>44472</v>
      </c>
      <c r="B121">
        <v>58.5</v>
      </c>
      <c r="C121">
        <v>59.99</v>
      </c>
      <c r="D121">
        <v>56.51</v>
      </c>
      <c r="E121">
        <v>58.89</v>
      </c>
      <c r="F121">
        <v>11331.82</v>
      </c>
      <c r="G121">
        <v>58.89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0.36781609195402287</v>
      </c>
      <c r="Q121">
        <f t="shared" ref="Q121" si="581">F121*P121</f>
        <v>4168.0257471264349</v>
      </c>
      <c r="R121">
        <f t="shared" ref="R121" si="582">R122+Q121</f>
        <v>-8876206.4188356306</v>
      </c>
      <c r="S121">
        <f t="shared" ref="S121" si="583">R121/100000</f>
        <v>-88.762064188356305</v>
      </c>
      <c r="T121">
        <f t="shared" ref="T121" si="584">S121/1000</f>
        <v>-8.8762064188356304E-2</v>
      </c>
    </row>
    <row r="122" spans="1:20" x14ac:dyDescent="0.25">
      <c r="A122" s="5">
        <v>44471</v>
      </c>
      <c r="B122">
        <v>56.99</v>
      </c>
      <c r="C122">
        <v>60.17</v>
      </c>
      <c r="D122">
        <v>56.12</v>
      </c>
      <c r="E122">
        <v>58.48</v>
      </c>
      <c r="F122">
        <v>16030.4</v>
      </c>
      <c r="G122">
        <v>58.48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0.16543209876543058</v>
      </c>
      <c r="Q122">
        <f t="shared" ref="Q122" si="586">F122*P122</f>
        <v>2651.9427160493583</v>
      </c>
      <c r="R122">
        <f t="shared" ref="R122" si="587">R123+Q122</f>
        <v>-8880374.4445827566</v>
      </c>
      <c r="S122">
        <f t="shared" ref="S122" si="588">R122/100000</f>
        <v>-88.803744445827562</v>
      </c>
      <c r="T122">
        <f t="shared" ref="T122" si="589">S122/1000</f>
        <v>-8.8803744445827559E-2</v>
      </c>
    </row>
    <row r="123" spans="1:20" x14ac:dyDescent="0.25">
      <c r="A123" s="5">
        <v>44470</v>
      </c>
      <c r="B123">
        <v>51.69</v>
      </c>
      <c r="C123">
        <v>57.45</v>
      </c>
      <c r="D123">
        <v>50.93</v>
      </c>
      <c r="E123">
        <v>56.96</v>
      </c>
      <c r="F123">
        <v>16296.79</v>
      </c>
      <c r="G123">
        <v>56.96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0.84969325153374176</v>
      </c>
      <c r="Q123">
        <f t="shared" ref="Q123" si="591">F123*P123</f>
        <v>13847.272484662568</v>
      </c>
      <c r="R123">
        <f t="shared" ref="R123" si="592">R124+Q123</f>
        <v>-8883026.3872988056</v>
      </c>
      <c r="S123">
        <f t="shared" ref="S123" si="593">R123/100000</f>
        <v>-88.830263872988056</v>
      </c>
      <c r="T123">
        <f t="shared" ref="T123" si="594">S123/1000</f>
        <v>-8.8830263872988049E-2</v>
      </c>
    </row>
    <row r="124" spans="1:20" x14ac:dyDescent="0.25">
      <c r="A124" s="5">
        <v>44469</v>
      </c>
      <c r="B124">
        <v>49.43</v>
      </c>
      <c r="C124">
        <v>51.88</v>
      </c>
      <c r="D124">
        <v>49.3</v>
      </c>
      <c r="E124">
        <v>51.63</v>
      </c>
      <c r="F124">
        <v>12992.8</v>
      </c>
      <c r="G124">
        <v>51.63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0.80620155038759733</v>
      </c>
      <c r="Q124">
        <f t="shared" ref="Q124" si="596">F124*P124</f>
        <v>10474.815503875974</v>
      </c>
      <c r="R124">
        <f t="shared" ref="R124" si="597">R125+Q124</f>
        <v>-8896873.6597834677</v>
      </c>
      <c r="S124">
        <f t="shared" ref="S124" si="598">R124/100000</f>
        <v>-88.968736597834678</v>
      </c>
      <c r="T124">
        <f t="shared" ref="T124" si="599">S124/1000</f>
        <v>-8.8968736597834677E-2</v>
      </c>
    </row>
    <row r="125" spans="1:20" x14ac:dyDescent="0.25">
      <c r="A125" s="5">
        <v>44468</v>
      </c>
      <c r="B125">
        <v>48.76</v>
      </c>
      <c r="C125">
        <v>51.47</v>
      </c>
      <c r="D125">
        <v>48.64</v>
      </c>
      <c r="E125">
        <v>49.45</v>
      </c>
      <c r="F125">
        <v>17404.11</v>
      </c>
      <c r="G125">
        <v>49.45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-0.42756183745582843</v>
      </c>
      <c r="Q125">
        <f t="shared" ref="Q125" si="601">F125*P125</f>
        <v>-7441.3332508833582</v>
      </c>
      <c r="R125">
        <f t="shared" ref="R125" si="602">R126+Q125</f>
        <v>-8907348.4752873443</v>
      </c>
      <c r="S125">
        <f t="shared" ref="S125" si="603">R125/100000</f>
        <v>-89.073484752873441</v>
      </c>
      <c r="T125">
        <f t="shared" ref="T125" si="604">S125/1000</f>
        <v>-8.9073484752873439E-2</v>
      </c>
    </row>
    <row r="126" spans="1:20" x14ac:dyDescent="0.25">
      <c r="A126" s="5">
        <v>44467</v>
      </c>
      <c r="B126">
        <v>50.04</v>
      </c>
      <c r="C126">
        <v>53.19</v>
      </c>
      <c r="D126">
        <v>48.63</v>
      </c>
      <c r="E126">
        <v>48.66</v>
      </c>
      <c r="F126">
        <v>22972.26</v>
      </c>
      <c r="G126">
        <v>48.66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-0.98684210526316052</v>
      </c>
      <c r="Q126">
        <f t="shared" ref="Q126" si="606">F126*P126</f>
        <v>-22669.993421052692</v>
      </c>
      <c r="R126">
        <f t="shared" ref="R126" si="607">R127+Q126</f>
        <v>-8899907.1420364603</v>
      </c>
      <c r="S126">
        <f t="shared" ref="S126" si="608">R126/100000</f>
        <v>-88.999071420364601</v>
      </c>
      <c r="T126">
        <f t="shared" ref="T126" si="609">S126/1000</f>
        <v>-8.8999071420364603E-2</v>
      </c>
    </row>
    <row r="127" spans="1:20" x14ac:dyDescent="0.25">
      <c r="A127" s="5">
        <v>44466</v>
      </c>
      <c r="B127">
        <v>51.7</v>
      </c>
      <c r="C127">
        <v>53.39</v>
      </c>
      <c r="D127">
        <v>50.03</v>
      </c>
      <c r="E127">
        <v>50.03</v>
      </c>
      <c r="F127">
        <v>18250.66</v>
      </c>
      <c r="G127">
        <v>50.03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-1</v>
      </c>
      <c r="Q127">
        <f t="shared" ref="Q127" si="611">F127*P127</f>
        <v>-18250.66</v>
      </c>
      <c r="R127">
        <f t="shared" ref="R127" si="612">R128+Q127</f>
        <v>-8877237.1486154068</v>
      </c>
      <c r="S127">
        <f t="shared" ref="S127" si="613">R127/100000</f>
        <v>-88.772371486154071</v>
      </c>
      <c r="T127">
        <f t="shared" ref="T127" si="614">S127/1000</f>
        <v>-8.8772371486154078E-2</v>
      </c>
    </row>
    <row r="128" spans="1:20" x14ac:dyDescent="0.25">
      <c r="A128" s="5">
        <v>44465</v>
      </c>
      <c r="B128">
        <v>52.74</v>
      </c>
      <c r="C128">
        <v>53.65</v>
      </c>
      <c r="D128">
        <v>48.65</v>
      </c>
      <c r="E128">
        <v>51.71</v>
      </c>
      <c r="F128">
        <v>20066.259999999998</v>
      </c>
      <c r="G128">
        <v>51.71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0.22400000000000092</v>
      </c>
      <c r="Q128">
        <f t="shared" ref="Q128" si="616">F128*P128</f>
        <v>4494.8422400000181</v>
      </c>
      <c r="R128">
        <f t="shared" ref="R128" si="617">R129+Q128</f>
        <v>-8858986.4886154067</v>
      </c>
      <c r="S128">
        <f t="shared" ref="S128" si="618">R128/100000</f>
        <v>-88.589864886154061</v>
      </c>
      <c r="T128">
        <f t="shared" ref="T128" si="619">S128/1000</f>
        <v>-8.8589864886154057E-2</v>
      </c>
    </row>
    <row r="129" spans="1:20" x14ac:dyDescent="0.25">
      <c r="A129" s="5">
        <v>44464</v>
      </c>
      <c r="B129">
        <v>52.65</v>
      </c>
      <c r="C129">
        <v>55.76</v>
      </c>
      <c r="D129">
        <v>50.17</v>
      </c>
      <c r="E129">
        <v>52.81</v>
      </c>
      <c r="F129">
        <v>26128.35</v>
      </c>
      <c r="G129">
        <v>52.81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-5.5456171735240672E-2</v>
      </c>
      <c r="Q129">
        <f t="shared" ref="Q129" si="621">F129*P129</f>
        <v>-1448.9782647584755</v>
      </c>
      <c r="R129">
        <f t="shared" ref="R129" si="622">R130+Q129</f>
        <v>-8863481.3308554068</v>
      </c>
      <c r="S129">
        <f t="shared" ref="S129" si="623">R129/100000</f>
        <v>-88.634813308554072</v>
      </c>
      <c r="T129">
        <f t="shared" ref="T129" si="624">S129/1000</f>
        <v>-8.8634813308554078E-2</v>
      </c>
    </row>
    <row r="130" spans="1:20" x14ac:dyDescent="0.25">
      <c r="A130" s="5">
        <v>44463</v>
      </c>
      <c r="B130">
        <v>57.1</v>
      </c>
      <c r="C130">
        <v>57.3</v>
      </c>
      <c r="D130">
        <v>48.96</v>
      </c>
      <c r="E130">
        <v>52.41</v>
      </c>
      <c r="F130">
        <v>20593.82</v>
      </c>
      <c r="G130">
        <v>52.41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-0.17266187050359777</v>
      </c>
      <c r="Q130">
        <f t="shared" ref="Q130" si="626">F130*P130</f>
        <v>-3555.7674820144016</v>
      </c>
      <c r="R130">
        <f t="shared" ref="R130" si="627">R131+Q130</f>
        <v>-8862032.3525906485</v>
      </c>
      <c r="S130">
        <f t="shared" ref="S130" si="628">R130/100000</f>
        <v>-88.620323525906485</v>
      </c>
      <c r="T130">
        <f t="shared" ref="T130" si="629">S130/1000</f>
        <v>-8.8620323525906486E-2</v>
      </c>
    </row>
    <row r="131" spans="1:20" x14ac:dyDescent="0.25">
      <c r="A131" s="5">
        <v>44462</v>
      </c>
      <c r="B131">
        <v>55.88</v>
      </c>
      <c r="C131">
        <v>58.55</v>
      </c>
      <c r="D131">
        <v>53.44</v>
      </c>
      <c r="E131">
        <v>57.3</v>
      </c>
      <c r="F131">
        <v>25426.37</v>
      </c>
      <c r="G131">
        <v>57.3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0.5107632093933463</v>
      </c>
      <c r="Q131">
        <f t="shared" ref="Q131" si="631">F131*P131</f>
        <v>12986.854344422698</v>
      </c>
      <c r="R131">
        <f t="shared" ref="R131" si="632">R132+Q131</f>
        <v>-8858476.5851086341</v>
      </c>
      <c r="S131">
        <f t="shared" ref="S131" si="633">R131/100000</f>
        <v>-88.584765851086345</v>
      </c>
      <c r="T131">
        <f t="shared" ref="T131" si="634">S131/1000</f>
        <v>-8.858476585108635E-2</v>
      </c>
    </row>
    <row r="132" spans="1:20" x14ac:dyDescent="0.25">
      <c r="A132" s="5">
        <v>44461</v>
      </c>
      <c r="B132">
        <v>51</v>
      </c>
      <c r="C132">
        <v>56.29</v>
      </c>
      <c r="D132">
        <v>48.27</v>
      </c>
      <c r="E132">
        <v>55.74</v>
      </c>
      <c r="F132">
        <v>44562.534</v>
      </c>
      <c r="G132">
        <v>55.74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0.86284289276808046</v>
      </c>
      <c r="Q132">
        <f t="shared" ref="Q132" si="636">F132*P132</f>
        <v>38450.465745635942</v>
      </c>
      <c r="R132">
        <f t="shared" ref="R132" si="637">R133+Q132</f>
        <v>-8871463.4394530561</v>
      </c>
      <c r="S132">
        <f t="shared" ref="S132" si="638">R132/100000</f>
        <v>-88.714634394530563</v>
      </c>
      <c r="T132">
        <f t="shared" ref="T132" si="639">S132/1000</f>
        <v>-8.8714634394530562E-2</v>
      </c>
    </row>
    <row r="133" spans="1:20" x14ac:dyDescent="0.25">
      <c r="A133" s="5">
        <v>44460</v>
      </c>
      <c r="B133">
        <v>54.87</v>
      </c>
      <c r="C133">
        <v>57.44</v>
      </c>
      <c r="D133">
        <v>50.01</v>
      </c>
      <c r="E133">
        <v>50.68</v>
      </c>
      <c r="F133">
        <v>25669.121999999999</v>
      </c>
      <c r="G133">
        <v>50.68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-0.81965006729475054</v>
      </c>
      <c r="Q133">
        <f t="shared" ref="Q133" si="641">F133*P133</f>
        <v>-21039.697574697162</v>
      </c>
      <c r="R133">
        <f t="shared" ref="R133" si="642">R134+Q133</f>
        <v>-8909913.9051986914</v>
      </c>
      <c r="S133">
        <f t="shared" ref="S133" si="643">R133/100000</f>
        <v>-89.09913905198691</v>
      </c>
      <c r="T133">
        <f t="shared" ref="T133" si="644">S133/1000</f>
        <v>-8.9099139051986909E-2</v>
      </c>
    </row>
    <row r="134" spans="1:20" x14ac:dyDescent="0.25">
      <c r="A134" s="5">
        <v>44459</v>
      </c>
      <c r="B134">
        <v>64.150000000000006</v>
      </c>
      <c r="C134">
        <v>64.2</v>
      </c>
      <c r="D134">
        <v>57.8</v>
      </c>
      <c r="E134">
        <v>58.4</v>
      </c>
      <c r="F134">
        <v>11688.039000000001</v>
      </c>
      <c r="G134">
        <v>58.4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-0.81249999999999978</v>
      </c>
      <c r="Q134">
        <f t="shared" ref="Q134" si="646">F134*P134</f>
        <v>-9496.5316874999971</v>
      </c>
      <c r="R134">
        <f t="shared" ref="R134" si="647">R135+Q134</f>
        <v>-8888874.207623994</v>
      </c>
      <c r="S134">
        <f t="shared" ref="S134" si="648">R134/100000</f>
        <v>-88.888742076239936</v>
      </c>
      <c r="T134">
        <f t="shared" ref="T134" si="649">S134/1000</f>
        <v>-8.8888742076239938E-2</v>
      </c>
    </row>
    <row r="135" spans="1:20" x14ac:dyDescent="0.25">
      <c r="A135" s="5">
        <v>44458</v>
      </c>
      <c r="B135">
        <v>66.36</v>
      </c>
      <c r="C135">
        <v>66.59</v>
      </c>
      <c r="D135">
        <v>63.63</v>
      </c>
      <c r="E135">
        <v>64.2</v>
      </c>
      <c r="F135">
        <v>7258.19</v>
      </c>
      <c r="G135">
        <v>64.2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-0.6148648648648648</v>
      </c>
      <c r="Q135">
        <f t="shared" ref="Q135" si="651">F135*P135</f>
        <v>-4462.8060135135129</v>
      </c>
      <c r="R135">
        <f t="shared" ref="R135" si="652">R136+Q135</f>
        <v>-8879377.675936494</v>
      </c>
      <c r="S135">
        <f t="shared" ref="S135" si="653">R135/100000</f>
        <v>-88.793776759364945</v>
      </c>
      <c r="T135">
        <f t="shared" ref="T135" si="654">S135/1000</f>
        <v>-8.8793776759364951E-2</v>
      </c>
    </row>
    <row r="136" spans="1:20" x14ac:dyDescent="0.25">
      <c r="A136" s="5">
        <v>44457</v>
      </c>
      <c r="B136">
        <v>65.2</v>
      </c>
      <c r="C136">
        <v>68.02</v>
      </c>
      <c r="D136">
        <v>65.150000000000006</v>
      </c>
      <c r="E136">
        <v>66.13</v>
      </c>
      <c r="F136">
        <v>9826.16</v>
      </c>
      <c r="G136">
        <v>66.13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-0.31707317073171215</v>
      </c>
      <c r="Q136">
        <f t="shared" ref="Q136" si="656">F136*P136</f>
        <v>-3115.6117073171208</v>
      </c>
      <c r="R136">
        <f t="shared" ref="R136" si="657">R137+Q136</f>
        <v>-8874914.8699229807</v>
      </c>
      <c r="S136">
        <f t="shared" ref="S136" si="658">R136/100000</f>
        <v>-88.749148699229806</v>
      </c>
      <c r="T136">
        <f t="shared" ref="T136" si="659">S136/1000</f>
        <v>-8.8749148699229813E-2</v>
      </c>
    </row>
    <row r="137" spans="1:20" x14ac:dyDescent="0.25">
      <c r="A137" s="5">
        <v>44456</v>
      </c>
      <c r="B137">
        <v>67.8</v>
      </c>
      <c r="C137">
        <v>68.069999999999993</v>
      </c>
      <c r="D137">
        <v>64.650000000000006</v>
      </c>
      <c r="E137">
        <v>65.31</v>
      </c>
      <c r="F137">
        <v>8887.64</v>
      </c>
      <c r="G137">
        <v>65.31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-0.61403508771929882</v>
      </c>
      <c r="Q137">
        <f t="shared" ref="Q137" si="661">F137*P137</f>
        <v>-5457.3228070175483</v>
      </c>
      <c r="R137">
        <f t="shared" ref="R137" si="662">R138+Q137</f>
        <v>-8871799.258215664</v>
      </c>
      <c r="S137">
        <f t="shared" ref="S137" si="663">R137/100000</f>
        <v>-88.71799258215664</v>
      </c>
      <c r="T137">
        <f t="shared" ref="T137" si="664">S137/1000</f>
        <v>-8.8717992582156638E-2</v>
      </c>
    </row>
    <row r="138" spans="1:20" x14ac:dyDescent="0.25">
      <c r="A138" s="5">
        <v>44455</v>
      </c>
      <c r="B138">
        <v>68.400000000000006</v>
      </c>
      <c r="C138">
        <v>71.19</v>
      </c>
      <c r="D138">
        <v>67.09</v>
      </c>
      <c r="E138">
        <v>67.8</v>
      </c>
      <c r="F138">
        <v>14009.27</v>
      </c>
      <c r="G138">
        <v>67.8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-0.65365853658536843</v>
      </c>
      <c r="Q138">
        <f t="shared" ref="Q138" si="666">F138*P138</f>
        <v>-9157.2789268293054</v>
      </c>
      <c r="R138">
        <f t="shared" ref="R138" si="667">R139+Q138</f>
        <v>-8866341.9354086462</v>
      </c>
      <c r="S138">
        <f t="shared" ref="S138" si="668">R138/100000</f>
        <v>-88.663419354086457</v>
      </c>
      <c r="T138">
        <f t="shared" ref="T138" si="669">S138/1000</f>
        <v>-8.8663419354086462E-2</v>
      </c>
    </row>
    <row r="139" spans="1:20" x14ac:dyDescent="0.25">
      <c r="A139" s="5">
        <v>44454</v>
      </c>
      <c r="B139">
        <v>66.09</v>
      </c>
      <c r="C139">
        <v>68.88</v>
      </c>
      <c r="D139">
        <v>64.86</v>
      </c>
      <c r="E139">
        <v>68.62</v>
      </c>
      <c r="F139">
        <v>16846.3</v>
      </c>
      <c r="G139">
        <v>68.62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0.87064676616915859</v>
      </c>
      <c r="Q139">
        <f t="shared" ref="Q139" si="671">F139*P139</f>
        <v>14667.176616915496</v>
      </c>
      <c r="R139">
        <f t="shared" ref="R139" si="672">R140+Q139</f>
        <v>-8857184.6564818174</v>
      </c>
      <c r="S139">
        <f t="shared" ref="S139" si="673">R139/100000</f>
        <v>-88.571846564818173</v>
      </c>
      <c r="T139">
        <f t="shared" ref="T139" si="674">S139/1000</f>
        <v>-8.8571846564818174E-2</v>
      </c>
    </row>
    <row r="140" spans="1:20" x14ac:dyDescent="0.25">
      <c r="A140" s="5">
        <v>44453</v>
      </c>
      <c r="B140">
        <v>64.180000000000007</v>
      </c>
      <c r="C140">
        <v>66.400000000000006</v>
      </c>
      <c r="D140">
        <v>63.09</v>
      </c>
      <c r="E140">
        <v>66.239999999999995</v>
      </c>
      <c r="F140">
        <v>13851.28</v>
      </c>
      <c r="G140">
        <v>66.239999999999995</v>
      </c>
      <c r="L140" t="s">
        <v>7</v>
      </c>
      <c r="M140" t="s">
        <v>8</v>
      </c>
      <c r="N140" t="s">
        <v>7</v>
      </c>
      <c r="P140">
        <f t="shared" ref="P140" si="675">IF(C140=D140,0,((E140-D140)-(C140-E140))/(C140-D140))</f>
        <v>0.90332326283987274</v>
      </c>
      <c r="Q140">
        <f t="shared" ref="Q140" si="676">F140*P140</f>
        <v>12512.183444108674</v>
      </c>
      <c r="R140">
        <f t="shared" ref="R140" si="677">R141+Q140</f>
        <v>-8871851.8330987319</v>
      </c>
      <c r="S140">
        <f t="shared" ref="S140" si="678">R140/100000</f>
        <v>-88.718518330987322</v>
      </c>
      <c r="T140">
        <f t="shared" ref="T140" si="679">S140/1000</f>
        <v>-8.8718518330987317E-2</v>
      </c>
    </row>
    <row r="141" spans="1:20" x14ac:dyDescent="0.25">
      <c r="A141" s="5">
        <v>44452</v>
      </c>
      <c r="B141">
        <v>66.52</v>
      </c>
      <c r="C141">
        <v>70.08</v>
      </c>
      <c r="D141">
        <v>61.1</v>
      </c>
      <c r="E141">
        <v>64.16</v>
      </c>
      <c r="F141">
        <v>30077.15</v>
      </c>
      <c r="G141">
        <v>64.16</v>
      </c>
      <c r="L141" t="s">
        <v>8</v>
      </c>
      <c r="M141" t="s">
        <v>8</v>
      </c>
      <c r="N141" t="s">
        <v>7</v>
      </c>
      <c r="P141">
        <f t="shared" ref="P141" si="680">IF(C141=D141,0,((E141-D141)-(C141-E141))/(C141-D141))</f>
        <v>-0.31848552338530151</v>
      </c>
      <c r="Q141">
        <f t="shared" ref="Q141" si="681">F141*P141</f>
        <v>-9579.1368596882221</v>
      </c>
      <c r="R141">
        <f t="shared" ref="R141" si="682">R142+Q141</f>
        <v>-8884364.0165428407</v>
      </c>
      <c r="S141">
        <f t="shared" ref="S141" si="683">R141/100000</f>
        <v>-88.843640165428411</v>
      </c>
      <c r="T141">
        <f t="shared" ref="T141" si="684">S141/1000</f>
        <v>-8.8843640165428409E-2</v>
      </c>
    </row>
    <row r="142" spans="1:20" x14ac:dyDescent="0.25">
      <c r="A142" s="5">
        <v>44451</v>
      </c>
      <c r="B142">
        <v>65.430000000000007</v>
      </c>
      <c r="C142">
        <v>68.66</v>
      </c>
      <c r="D142">
        <v>64.12</v>
      </c>
      <c r="E142">
        <v>66.52</v>
      </c>
      <c r="F142">
        <v>16123.71</v>
      </c>
      <c r="G142">
        <v>66.52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5.7268722466958452E-2</v>
      </c>
      <c r="Q142">
        <f t="shared" ref="Q142" si="686">F142*P142</f>
        <v>923.38427312772262</v>
      </c>
      <c r="R142">
        <f t="shared" ref="R142" si="687">R143+Q142</f>
        <v>-8874784.8796831518</v>
      </c>
      <c r="S142">
        <f t="shared" ref="S142" si="688">R142/100000</f>
        <v>-88.747848796831519</v>
      </c>
      <c r="T142">
        <f t="shared" ref="T142" si="689">S142/1000</f>
        <v>-8.8747848796831522E-2</v>
      </c>
    </row>
    <row r="143" spans="1:20" x14ac:dyDescent="0.25">
      <c r="A143" s="5">
        <v>44450</v>
      </c>
      <c r="B143">
        <v>65.069999999999993</v>
      </c>
      <c r="C143">
        <v>66.959999999999994</v>
      </c>
      <c r="D143">
        <v>63.47</v>
      </c>
      <c r="E143">
        <v>65.319999999999993</v>
      </c>
      <c r="F143">
        <v>12715.64</v>
      </c>
      <c r="G143">
        <v>65.319999999999993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6.0171919770771937E-2</v>
      </c>
      <c r="Q143">
        <f t="shared" ref="Q143" si="691">F143*P143</f>
        <v>765.12446991401839</v>
      </c>
      <c r="R143">
        <f t="shared" ref="R143" si="692">R144+Q143</f>
        <v>-8875708.2639562804</v>
      </c>
      <c r="S143">
        <f t="shared" ref="S143" si="693">R143/100000</f>
        <v>-88.75708263956281</v>
      </c>
      <c r="T143">
        <f t="shared" ref="T143" si="694">S143/1000</f>
        <v>-8.8757082639562807E-2</v>
      </c>
    </row>
    <row r="144" spans="1:20" x14ac:dyDescent="0.25">
      <c r="A144" s="5">
        <v>44449</v>
      </c>
      <c r="B144">
        <v>68.930000000000007</v>
      </c>
      <c r="C144">
        <v>70.7</v>
      </c>
      <c r="D144">
        <v>63.5</v>
      </c>
      <c r="E144">
        <v>64.78</v>
      </c>
      <c r="F144">
        <v>21150.99</v>
      </c>
      <c r="G144">
        <v>64.78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-0.64444444444444426</v>
      </c>
      <c r="Q144">
        <f t="shared" ref="Q144" si="696">F144*P144</f>
        <v>-13630.637999999997</v>
      </c>
      <c r="R144">
        <f t="shared" ref="R144" si="697">R145+Q144</f>
        <v>-8876473.388426194</v>
      </c>
      <c r="S144">
        <f t="shared" ref="S144" si="698">R144/100000</f>
        <v>-88.764733884261943</v>
      </c>
      <c r="T144">
        <f t="shared" ref="T144" si="699">S144/1000</f>
        <v>-8.876473388426194E-2</v>
      </c>
    </row>
    <row r="145" spans="1:20" x14ac:dyDescent="0.25">
      <c r="A145" s="5">
        <v>44448</v>
      </c>
      <c r="B145">
        <v>68.36</v>
      </c>
      <c r="C145">
        <v>70.209999999999994</v>
      </c>
      <c r="D145">
        <v>66.25</v>
      </c>
      <c r="E145">
        <v>68.73</v>
      </c>
      <c r="F145">
        <v>19649.189999999999</v>
      </c>
      <c r="G145">
        <v>68.73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0.25252525252525654</v>
      </c>
      <c r="Q145">
        <f t="shared" ref="Q145" si="701">F145*P145</f>
        <v>4961.9166666667452</v>
      </c>
      <c r="R145">
        <f t="shared" ref="R145" si="702">R146+Q145</f>
        <v>-8862842.7504261937</v>
      </c>
      <c r="S145">
        <f t="shared" ref="S145" si="703">R145/100000</f>
        <v>-88.628427504261936</v>
      </c>
      <c r="T145">
        <f t="shared" ref="T145" si="704">S145/1000</f>
        <v>-8.8628427504261934E-2</v>
      </c>
    </row>
    <row r="146" spans="1:20" x14ac:dyDescent="0.25">
      <c r="A146" s="5">
        <v>44447</v>
      </c>
      <c r="B146">
        <v>68.16</v>
      </c>
      <c r="C146">
        <v>73.06</v>
      </c>
      <c r="D146">
        <v>61.11</v>
      </c>
      <c r="E146">
        <v>68.3</v>
      </c>
      <c r="F146">
        <v>39767.1</v>
      </c>
      <c r="G146">
        <v>68.3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0.20334728033472738</v>
      </c>
      <c r="Q146">
        <f t="shared" ref="Q146" si="706">F146*P146</f>
        <v>8086.5316317991364</v>
      </c>
      <c r="R146">
        <f t="shared" ref="R146" si="707">R147+Q146</f>
        <v>-8867804.6670928597</v>
      </c>
      <c r="S146">
        <f t="shared" ref="S146" si="708">R146/100000</f>
        <v>-88.678046670928595</v>
      </c>
      <c r="T146">
        <f t="shared" ref="T146" si="709">S146/1000</f>
        <v>-8.8678046670928601E-2</v>
      </c>
    </row>
    <row r="147" spans="1:20" x14ac:dyDescent="0.25">
      <c r="A147" s="5">
        <v>44446</v>
      </c>
      <c r="B147">
        <v>83.08</v>
      </c>
      <c r="C147">
        <v>83.69</v>
      </c>
      <c r="D147">
        <v>60.110999999999997</v>
      </c>
      <c r="E147">
        <v>68.52</v>
      </c>
      <c r="F147">
        <v>51530.457999999999</v>
      </c>
      <c r="G147">
        <v>68.52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-0.28673819924509109</v>
      </c>
      <c r="Q147">
        <f t="shared" ref="Q147" si="711">F147*P147</f>
        <v>-14775.750733194798</v>
      </c>
      <c r="R147">
        <f t="shared" ref="R147" si="712">R148+Q147</f>
        <v>-8875891.1987246592</v>
      </c>
      <c r="S147">
        <f t="shared" ref="S147" si="713">R147/100000</f>
        <v>-88.758911987246591</v>
      </c>
      <c r="T147">
        <f t="shared" ref="T147" si="714">S147/1000</f>
        <v>-8.8758911987246586E-2</v>
      </c>
    </row>
    <row r="148" spans="1:20" x14ac:dyDescent="0.25">
      <c r="A148" s="5">
        <v>44445</v>
      </c>
      <c r="B148">
        <v>84.41</v>
      </c>
      <c r="C148">
        <v>84.99</v>
      </c>
      <c r="D148">
        <v>81.13</v>
      </c>
      <c r="E148">
        <v>83.08</v>
      </c>
      <c r="F148">
        <v>27318.85</v>
      </c>
      <c r="G148">
        <v>83.08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1.0362694300519755E-2</v>
      </c>
      <c r="Q148">
        <f t="shared" ref="Q148" si="716">F148*P148</f>
        <v>283.09689119175408</v>
      </c>
      <c r="R148">
        <f t="shared" ref="R148" si="717">R149+Q148</f>
        <v>-8861115.4479914643</v>
      </c>
      <c r="S148">
        <f t="shared" ref="S148" si="718">R148/100000</f>
        <v>-88.611154479914646</v>
      </c>
      <c r="T148">
        <f t="shared" ref="T148" si="719">S148/1000</f>
        <v>-8.8611154479914647E-2</v>
      </c>
    </row>
    <row r="149" spans="1:20" x14ac:dyDescent="0.25">
      <c r="A149" s="5">
        <v>44444</v>
      </c>
      <c r="B149">
        <v>83.15</v>
      </c>
      <c r="C149">
        <v>84.81</v>
      </c>
      <c r="D149">
        <v>80.11</v>
      </c>
      <c r="E149">
        <v>84.45</v>
      </c>
      <c r="F149">
        <v>31106.22</v>
      </c>
      <c r="G149">
        <v>84.45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0.84680851063829821</v>
      </c>
      <c r="Q149">
        <f t="shared" ref="Q149" si="721">F149*P149</f>
        <v>26341.011829787247</v>
      </c>
      <c r="R149">
        <f t="shared" ref="R149" si="722">R150+Q149</f>
        <v>-8861398.5448826551</v>
      </c>
      <c r="S149">
        <f t="shared" ref="S149" si="723">R149/100000</f>
        <v>-88.613985448826554</v>
      </c>
      <c r="T149">
        <f t="shared" ref="T149" si="724">S149/1000</f>
        <v>-8.8613985448826552E-2</v>
      </c>
    </row>
    <row r="150" spans="1:20" x14ac:dyDescent="0.25">
      <c r="A150" s="5">
        <v>44443</v>
      </c>
      <c r="B150">
        <v>84.97</v>
      </c>
      <c r="C150">
        <v>88.6</v>
      </c>
      <c r="D150">
        <v>81.89</v>
      </c>
      <c r="E150">
        <v>83</v>
      </c>
      <c r="F150">
        <v>62395.32</v>
      </c>
      <c r="G150">
        <v>83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-0.66915052160953792</v>
      </c>
      <c r="Q150">
        <f t="shared" ref="Q150" si="726">F150*P150</f>
        <v>-41751.860923994034</v>
      </c>
      <c r="R150">
        <f t="shared" ref="R150" si="727">R151+Q150</f>
        <v>-8887739.556712443</v>
      </c>
      <c r="S150">
        <f t="shared" ref="S150" si="728">R150/100000</f>
        <v>-88.877395567124424</v>
      </c>
      <c r="T150">
        <f t="shared" ref="T150" si="729">S150/1000</f>
        <v>-8.8877395567124429E-2</v>
      </c>
    </row>
    <row r="151" spans="1:20" x14ac:dyDescent="0.25">
      <c r="A151" s="5">
        <v>44442</v>
      </c>
      <c r="B151">
        <v>80.510000000000005</v>
      </c>
      <c r="C151">
        <v>88.11</v>
      </c>
      <c r="D151">
        <v>77.45</v>
      </c>
      <c r="E151">
        <v>84.96</v>
      </c>
      <c r="F151">
        <v>94149.13</v>
      </c>
      <c r="G151">
        <v>84.96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0.40900562851782241</v>
      </c>
      <c r="Q151">
        <f t="shared" ref="Q151" si="731">F151*P151</f>
        <v>38507.524090056169</v>
      </c>
      <c r="R151">
        <f t="shared" ref="R151" si="732">R152+Q151</f>
        <v>-8845987.6957884487</v>
      </c>
      <c r="S151">
        <f t="shared" ref="S151" si="733">R151/100000</f>
        <v>-88.459876957884489</v>
      </c>
      <c r="T151">
        <f t="shared" ref="T151" si="734">S151/1000</f>
        <v>-8.8459876957884487E-2</v>
      </c>
    </row>
    <row r="152" spans="1:20" x14ac:dyDescent="0.25">
      <c r="A152" s="5">
        <v>44441</v>
      </c>
      <c r="B152">
        <v>78.239999999999995</v>
      </c>
      <c r="C152">
        <v>81.12</v>
      </c>
      <c r="D152">
        <v>76.209999999999994</v>
      </c>
      <c r="E152">
        <v>80.5</v>
      </c>
      <c r="F152">
        <v>39263.410000000003</v>
      </c>
      <c r="G152">
        <v>80.5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0.74745417515274815</v>
      </c>
      <c r="Q152">
        <f t="shared" ref="Q152" si="736">F152*P152</f>
        <v>29347.599735234166</v>
      </c>
      <c r="R152">
        <f t="shared" ref="R152" si="737">R153+Q152</f>
        <v>-8884495.2198785041</v>
      </c>
      <c r="S152">
        <f t="shared" ref="S152" si="738">R152/100000</f>
        <v>-88.844952198785037</v>
      </c>
      <c r="T152">
        <f t="shared" ref="T152" si="739">S152/1000</f>
        <v>-8.8844952198785035E-2</v>
      </c>
    </row>
    <row r="153" spans="1:20" x14ac:dyDescent="0.25">
      <c r="A153" s="5">
        <v>44440</v>
      </c>
      <c r="B153">
        <v>76.16</v>
      </c>
      <c r="C153">
        <v>78.349999999999994</v>
      </c>
      <c r="D153">
        <v>74.400000000000006</v>
      </c>
      <c r="E153">
        <v>78.069999999999993</v>
      </c>
      <c r="F153">
        <v>21187.86</v>
      </c>
      <c r="G153">
        <v>78.069999999999993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0.85822784810126485</v>
      </c>
      <c r="Q153">
        <f t="shared" ref="Q153" si="741">F153*P153</f>
        <v>18184.011493670867</v>
      </c>
      <c r="R153">
        <f t="shared" ref="R153" si="742">R154+Q153</f>
        <v>-8913842.819613738</v>
      </c>
      <c r="S153">
        <f t="shared" ref="S153" si="743">R153/100000</f>
        <v>-89.138428196137383</v>
      </c>
      <c r="T153">
        <f t="shared" ref="T153" si="744">S153/1000</f>
        <v>-8.913842819613739E-2</v>
      </c>
    </row>
    <row r="154" spans="1:20" x14ac:dyDescent="0.25">
      <c r="A154" s="5">
        <v>44439</v>
      </c>
      <c r="B154">
        <v>76.67</v>
      </c>
      <c r="C154">
        <v>80.27</v>
      </c>
      <c r="D154">
        <v>73.88</v>
      </c>
      <c r="E154">
        <v>75.92</v>
      </c>
      <c r="F154">
        <v>34679.120000000003</v>
      </c>
      <c r="G154">
        <v>75.92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-0.36150234741783849</v>
      </c>
      <c r="Q154">
        <f t="shared" ref="Q154" si="746">F154*P154</f>
        <v>-12536.583286384912</v>
      </c>
      <c r="R154">
        <f t="shared" ref="R154" si="747">R155+Q154</f>
        <v>-8932026.8311074097</v>
      </c>
      <c r="S154">
        <f t="shared" ref="S154" si="748">R154/100000</f>
        <v>-89.320268311074102</v>
      </c>
      <c r="T154">
        <f t="shared" ref="T154" si="749">S154/1000</f>
        <v>-8.9320268311074105E-2</v>
      </c>
    </row>
    <row r="155" spans="1:20" x14ac:dyDescent="0.25">
      <c r="A155" s="5">
        <v>44438</v>
      </c>
      <c r="B155">
        <v>77.37</v>
      </c>
      <c r="C155">
        <v>82.66</v>
      </c>
      <c r="D155">
        <v>75.72</v>
      </c>
      <c r="E155">
        <v>76.89</v>
      </c>
      <c r="F155">
        <v>56782.69</v>
      </c>
      <c r="G155">
        <v>76.89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-0.6628242074927948</v>
      </c>
      <c r="Q155">
        <f t="shared" ref="Q155" si="751">F155*P155</f>
        <v>-37636.941498559048</v>
      </c>
      <c r="R155">
        <f t="shared" ref="R155" si="752">R156+Q155</f>
        <v>-8919490.2478210256</v>
      </c>
      <c r="S155">
        <f t="shared" ref="S155" si="753">R155/100000</f>
        <v>-89.194902478210253</v>
      </c>
      <c r="T155">
        <f t="shared" ref="T155" si="754">S155/1000</f>
        <v>-8.9194902478210256E-2</v>
      </c>
    </row>
    <row r="156" spans="1:20" x14ac:dyDescent="0.25">
      <c r="A156" s="5">
        <v>44437</v>
      </c>
      <c r="B156">
        <v>76.92</v>
      </c>
      <c r="C156">
        <v>93.23</v>
      </c>
      <c r="D156">
        <v>76.91</v>
      </c>
      <c r="E156">
        <v>77.180000000000007</v>
      </c>
      <c r="F156">
        <v>262160.946</v>
      </c>
      <c r="G156">
        <v>77.180000000000007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-0.96691176470588114</v>
      </c>
      <c r="Q156">
        <f t="shared" ref="Q156" si="756">F156*P156</f>
        <v>-253486.50293382321</v>
      </c>
      <c r="R156">
        <f t="shared" ref="R156" si="757">R157+Q156</f>
        <v>-8881853.3063224666</v>
      </c>
      <c r="S156">
        <f t="shared" ref="S156" si="758">R156/100000</f>
        <v>-88.818533063224663</v>
      </c>
      <c r="T156">
        <f t="shared" ref="T156" si="759">S156/1000</f>
        <v>-8.8818533063224667E-2</v>
      </c>
    </row>
    <row r="157" spans="1:20" x14ac:dyDescent="0.25">
      <c r="A157" s="5">
        <v>44436</v>
      </c>
      <c r="B157">
        <v>69.42</v>
      </c>
      <c r="C157">
        <v>78.84</v>
      </c>
      <c r="D157">
        <v>68.75</v>
      </c>
      <c r="E157">
        <v>76.94</v>
      </c>
      <c r="F157">
        <v>67287.903999999995</v>
      </c>
      <c r="G157">
        <v>76.94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0.62338949454905745</v>
      </c>
      <c r="Q157">
        <f t="shared" ref="Q157" si="761">F157*P157</f>
        <v>41946.572463825498</v>
      </c>
      <c r="R157">
        <f t="shared" ref="R157" si="762">R158+Q157</f>
        <v>-8628366.803388644</v>
      </c>
      <c r="S157">
        <f t="shared" ref="S157" si="763">R157/100000</f>
        <v>-86.283668033886443</v>
      </c>
      <c r="T157">
        <f t="shared" ref="T157" si="764">S157/1000</f>
        <v>-8.6283668033886443E-2</v>
      </c>
    </row>
    <row r="158" spans="1:20" x14ac:dyDescent="0.25">
      <c r="A158" s="5">
        <v>44435</v>
      </c>
      <c r="B158">
        <v>63.01</v>
      </c>
      <c r="C158">
        <v>69.78</v>
      </c>
      <c r="D158">
        <v>61.33</v>
      </c>
      <c r="E158">
        <v>69.260000000000005</v>
      </c>
      <c r="F158">
        <v>30368.133999999998</v>
      </c>
      <c r="G158">
        <v>69.260000000000005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0.87692307692307792</v>
      </c>
      <c r="Q158">
        <f t="shared" ref="Q158" si="766">F158*P158</f>
        <v>26630.517507692337</v>
      </c>
      <c r="R158">
        <f t="shared" ref="R158" si="767">R159+Q158</f>
        <v>-8670313.3758524694</v>
      </c>
      <c r="S158">
        <f t="shared" ref="S158" si="768">R158/100000</f>
        <v>-86.7031337585247</v>
      </c>
      <c r="T158">
        <f t="shared" ref="T158" si="769">S158/1000</f>
        <v>-8.6703133758524703E-2</v>
      </c>
    </row>
    <row r="159" spans="1:20" x14ac:dyDescent="0.25">
      <c r="A159" s="5">
        <v>44434</v>
      </c>
      <c r="B159">
        <v>68.926000000000002</v>
      </c>
      <c r="C159">
        <v>71.652000000000001</v>
      </c>
      <c r="D159">
        <v>62.104999999999997</v>
      </c>
      <c r="E159">
        <v>63.01</v>
      </c>
      <c r="F159">
        <v>39966.478999999999</v>
      </c>
      <c r="G159">
        <v>63.01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-0.81041164763800133</v>
      </c>
      <c r="Q159">
        <f t="shared" ref="Q159" si="771">F159*P159</f>
        <v>-32389.300096679581</v>
      </c>
      <c r="R159">
        <f t="shared" ref="R159" si="772">R160+Q159</f>
        <v>-8696943.8933601622</v>
      </c>
      <c r="S159">
        <f t="shared" ref="S159" si="773">R159/100000</f>
        <v>-86.969438933601623</v>
      </c>
      <c r="T159">
        <f t="shared" ref="T159" si="774">S159/1000</f>
        <v>-8.6969438933601623E-2</v>
      </c>
    </row>
    <row r="160" spans="1:20" x14ac:dyDescent="0.25">
      <c r="A160" s="5">
        <v>44433</v>
      </c>
      <c r="B160">
        <v>66.933999999999997</v>
      </c>
      <c r="C160">
        <v>74.491</v>
      </c>
      <c r="D160">
        <v>64.587000000000003</v>
      </c>
      <c r="E160">
        <v>69.025999999999996</v>
      </c>
      <c r="F160">
        <v>54436.991000000002</v>
      </c>
      <c r="G160">
        <v>69.025999999999996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-0.10359450726979108</v>
      </c>
      <c r="Q160">
        <f t="shared" ref="Q160" si="776">F160*P160</f>
        <v>-5639.3732598950519</v>
      </c>
      <c r="R160">
        <f t="shared" ref="R160" si="777">R161+Q160</f>
        <v>-8664554.5932634827</v>
      </c>
      <c r="S160">
        <f t="shared" ref="S160" si="778">R160/100000</f>
        <v>-86.645545932634832</v>
      </c>
      <c r="T160">
        <f t="shared" ref="T160" si="779">S160/1000</f>
        <v>-8.6645545932634835E-2</v>
      </c>
    </row>
    <row r="161" spans="1:20" x14ac:dyDescent="0.25">
      <c r="A161" s="5">
        <v>44432</v>
      </c>
      <c r="B161">
        <v>72.209999999999994</v>
      </c>
      <c r="C161">
        <v>72.272999999999996</v>
      </c>
      <c r="D161">
        <v>66.051000000000002</v>
      </c>
      <c r="E161">
        <v>66.932000000000002</v>
      </c>
      <c r="F161">
        <v>26909.710999999999</v>
      </c>
      <c r="G161">
        <v>66.932000000000002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-0.71681131468980996</v>
      </c>
      <c r="Q161">
        <f t="shared" ref="Q161" si="781">F161*P161</f>
        <v>-19289.185319832839</v>
      </c>
      <c r="R161">
        <f t="shared" ref="R161" si="782">R162+Q161</f>
        <v>-8658915.2200035881</v>
      </c>
      <c r="S161">
        <f t="shared" ref="S161" si="783">R161/100000</f>
        <v>-86.589152200035883</v>
      </c>
      <c r="T161">
        <f t="shared" ref="T161" si="784">S161/1000</f>
        <v>-8.6589152200035879E-2</v>
      </c>
    </row>
    <row r="162" spans="1:20" x14ac:dyDescent="0.25">
      <c r="A162" s="5">
        <v>44431</v>
      </c>
      <c r="B162">
        <v>71.635000000000005</v>
      </c>
      <c r="C162">
        <v>75.406999999999996</v>
      </c>
      <c r="D162">
        <v>70.546000000000006</v>
      </c>
      <c r="E162">
        <v>72.216999999999999</v>
      </c>
      <c r="F162">
        <v>34748.527999999998</v>
      </c>
      <c r="G162">
        <v>72.216999999999999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-0.31248714256326038</v>
      </c>
      <c r="Q162">
        <f t="shared" ref="Q162" si="786">F162*P162</f>
        <v>-10858.468222999445</v>
      </c>
      <c r="R162">
        <f t="shared" ref="R162" si="787">R163+Q162</f>
        <v>-8639626.0346837547</v>
      </c>
      <c r="S162">
        <f t="shared" ref="S162" si="788">R162/100000</f>
        <v>-86.396260346837551</v>
      </c>
      <c r="T162">
        <f t="shared" ref="T162" si="789">S162/1000</f>
        <v>-8.6396260346837547E-2</v>
      </c>
    </row>
    <row r="163" spans="1:20" x14ac:dyDescent="0.25">
      <c r="A163" s="5">
        <v>44430</v>
      </c>
      <c r="B163">
        <v>72.424000000000007</v>
      </c>
      <c r="C163">
        <v>73.77</v>
      </c>
      <c r="D163">
        <v>70.808000000000007</v>
      </c>
      <c r="E163">
        <v>71.441000000000003</v>
      </c>
      <c r="F163">
        <v>7046.1009999999997</v>
      </c>
      <c r="G163">
        <v>71.441000000000003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-0.57258609047940723</v>
      </c>
      <c r="Q163">
        <f t="shared" ref="Q163" si="791">F163*P163</f>
        <v>-4034.4994247130417</v>
      </c>
      <c r="R163">
        <f t="shared" ref="R163" si="792">R164+Q163</f>
        <v>-8628767.5664607547</v>
      </c>
      <c r="S163">
        <f t="shared" ref="S163" si="793">R163/100000</f>
        <v>-86.287675664607548</v>
      </c>
      <c r="T163">
        <f t="shared" ref="T163" si="794">S163/1000</f>
        <v>-8.6287675664607544E-2</v>
      </c>
    </row>
    <row r="164" spans="1:20" x14ac:dyDescent="0.25">
      <c r="A164" s="5">
        <v>44429</v>
      </c>
      <c r="B164">
        <v>72.989999999999995</v>
      </c>
      <c r="C164">
        <v>79.025000000000006</v>
      </c>
      <c r="D164">
        <v>69.790999999999997</v>
      </c>
      <c r="E164">
        <v>72.292000000000002</v>
      </c>
      <c r="F164">
        <v>91335.918000000005</v>
      </c>
      <c r="G164">
        <v>72.292000000000002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-0.45830625947584963</v>
      </c>
      <c r="Q164">
        <f t="shared" ref="Q164" si="796">F164*P164</f>
        <v>-41859.822934372925</v>
      </c>
      <c r="R164">
        <f t="shared" ref="R164" si="797">R165+Q164</f>
        <v>-8624733.067036042</v>
      </c>
      <c r="S164">
        <f t="shared" ref="S164" si="798">R164/100000</f>
        <v>-86.247330670360427</v>
      </c>
      <c r="T164">
        <f t="shared" ref="T164" si="799">S164/1000</f>
        <v>-8.6247330670360431E-2</v>
      </c>
    </row>
    <row r="165" spans="1:20" x14ac:dyDescent="0.25">
      <c r="A165" s="5">
        <v>44428</v>
      </c>
      <c r="B165">
        <v>63.701999999999998</v>
      </c>
      <c r="C165">
        <v>73</v>
      </c>
      <c r="D165">
        <v>63.301000000000002</v>
      </c>
      <c r="E165">
        <v>72.989000000000004</v>
      </c>
      <c r="F165">
        <v>64251.423000000003</v>
      </c>
      <c r="G165">
        <v>72.989000000000004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0.99773172492009576</v>
      </c>
      <c r="Q165">
        <f t="shared" ref="Q165" si="801">F165*P165</f>
        <v>64105.683098360714</v>
      </c>
      <c r="R165">
        <f t="shared" ref="R165" si="802">R166+Q165</f>
        <v>-8582873.2441016696</v>
      </c>
      <c r="S165">
        <f t="shared" ref="S165" si="803">R165/100000</f>
        <v>-85.828732441016697</v>
      </c>
      <c r="T165">
        <f t="shared" ref="T165" si="804">S165/1000</f>
        <v>-8.58287324410167E-2</v>
      </c>
    </row>
    <row r="166" spans="1:20" x14ac:dyDescent="0.25">
      <c r="A166" s="5">
        <v>44427</v>
      </c>
      <c r="B166">
        <v>60.987000000000002</v>
      </c>
      <c r="C166">
        <v>63.908000000000001</v>
      </c>
      <c r="D166">
        <v>58.901000000000003</v>
      </c>
      <c r="E166">
        <v>63.76</v>
      </c>
      <c r="F166">
        <v>33570.351999999999</v>
      </c>
      <c r="G166">
        <v>63.76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0.94088276413021643</v>
      </c>
      <c r="Q166">
        <f t="shared" ref="Q166" si="806">F166*P166</f>
        <v>31585.765582584339</v>
      </c>
      <c r="R166">
        <f t="shared" ref="R166" si="807">R167+Q166</f>
        <v>-8646978.9272000305</v>
      </c>
      <c r="S166">
        <f t="shared" ref="S166" si="808">R166/100000</f>
        <v>-86.469789272000298</v>
      </c>
      <c r="T166">
        <f t="shared" ref="T166" si="809">S166/1000</f>
        <v>-8.6469789272000303E-2</v>
      </c>
    </row>
    <row r="167" spans="1:20" x14ac:dyDescent="0.25">
      <c r="A167" s="5">
        <v>44426</v>
      </c>
      <c r="B167">
        <v>62.039000000000001</v>
      </c>
      <c r="C167">
        <v>63.118000000000002</v>
      </c>
      <c r="D167">
        <v>58.137999999999998</v>
      </c>
      <c r="E167">
        <v>60.89</v>
      </c>
      <c r="F167">
        <v>30822.348000000002</v>
      </c>
      <c r="G167">
        <v>60.89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0.10522088353413664</v>
      </c>
      <c r="Q167">
        <f t="shared" ref="Q167" si="811">F167*P167</f>
        <v>3243.1546891566295</v>
      </c>
      <c r="R167">
        <f t="shared" ref="R167" si="812">R168+Q167</f>
        <v>-8678564.6927826144</v>
      </c>
      <c r="S167">
        <f t="shared" ref="S167" si="813">R167/100000</f>
        <v>-86.78564692782615</v>
      </c>
      <c r="T167">
        <f t="shared" ref="T167" si="814">S167/1000</f>
        <v>-8.6785646927826143E-2</v>
      </c>
    </row>
    <row r="168" spans="1:20" x14ac:dyDescent="0.25">
      <c r="A168" s="5">
        <v>44425</v>
      </c>
      <c r="B168">
        <v>66.543000000000006</v>
      </c>
      <c r="C168">
        <v>69.763999999999996</v>
      </c>
      <c r="D168">
        <v>61.19</v>
      </c>
      <c r="E168">
        <v>61.927</v>
      </c>
      <c r="F168">
        <v>48006.044999999998</v>
      </c>
      <c r="G168">
        <v>61.927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-0.82808490786097455</v>
      </c>
      <c r="Q168">
        <f t="shared" ref="Q168" si="816">F168*P168</f>
        <v>-39753.081350594795</v>
      </c>
      <c r="R168">
        <f t="shared" ref="R168" si="817">R169+Q168</f>
        <v>-8681807.8474717718</v>
      </c>
      <c r="S168">
        <f t="shared" ref="S168" si="818">R168/100000</f>
        <v>-86.818078474717723</v>
      </c>
      <c r="T168">
        <f t="shared" ref="T168" si="819">S168/1000</f>
        <v>-8.6818078474717716E-2</v>
      </c>
    </row>
    <row r="169" spans="1:20" x14ac:dyDescent="0.25">
      <c r="A169" s="5">
        <v>44424</v>
      </c>
      <c r="B169">
        <v>70.484999999999999</v>
      </c>
      <c r="C169">
        <v>70.849000000000004</v>
      </c>
      <c r="D169">
        <v>66.2</v>
      </c>
      <c r="E169">
        <v>66.540000000000006</v>
      </c>
      <c r="F169">
        <v>61586.726000000002</v>
      </c>
      <c r="G169">
        <v>66.540000000000006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-0.85373198537319706</v>
      </c>
      <c r="Q169">
        <f t="shared" ref="Q169" si="821">F169*P169</f>
        <v>-52578.557860615096</v>
      </c>
      <c r="R169">
        <f t="shared" ref="R169" si="822">R170+Q169</f>
        <v>-8642054.766121177</v>
      </c>
      <c r="S169">
        <f t="shared" ref="S169" si="823">R169/100000</f>
        <v>-86.420547661211771</v>
      </c>
      <c r="T169">
        <f t="shared" ref="T169" si="824">S169/1000</f>
        <v>-8.6420547661211766E-2</v>
      </c>
    </row>
    <row r="170" spans="1:20" x14ac:dyDescent="0.25">
      <c r="A170" s="5">
        <v>44423</v>
      </c>
      <c r="B170">
        <v>63.899000000000001</v>
      </c>
      <c r="C170">
        <v>72.524000000000001</v>
      </c>
      <c r="D170">
        <v>63.494</v>
      </c>
      <c r="E170">
        <v>70.484999999999999</v>
      </c>
      <c r="F170">
        <v>116592.553</v>
      </c>
      <c r="G170">
        <v>70.484999999999999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0.54839424141749693</v>
      </c>
      <c r="Q170">
        <f t="shared" ref="Q170" si="826">F170*P170</f>
        <v>63938.684657364305</v>
      </c>
      <c r="R170">
        <f t="shared" ref="R170" si="827">R171+Q170</f>
        <v>-8589476.2082605623</v>
      </c>
      <c r="S170">
        <f t="shared" ref="S170" si="828">R170/100000</f>
        <v>-85.894762082605624</v>
      </c>
      <c r="T170">
        <f t="shared" ref="T170" si="829">S170/1000</f>
        <v>-8.589476208260563E-2</v>
      </c>
    </row>
    <row r="171" spans="1:20" x14ac:dyDescent="0.25">
      <c r="A171" s="5">
        <v>44422</v>
      </c>
      <c r="B171">
        <v>62.747</v>
      </c>
      <c r="C171">
        <v>65.063000000000002</v>
      </c>
      <c r="D171">
        <v>60.262</v>
      </c>
      <c r="E171">
        <v>63.899000000000001</v>
      </c>
      <c r="F171">
        <v>36405.491999999998</v>
      </c>
      <c r="G171">
        <v>63.899000000000001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0.51510102062070362</v>
      </c>
      <c r="Q171">
        <f t="shared" ref="Q171" si="831">F171*P171</f>
        <v>18752.506085398862</v>
      </c>
      <c r="R171">
        <f t="shared" ref="R171" si="832">R172+Q171</f>
        <v>-8653414.8929179274</v>
      </c>
      <c r="S171">
        <f t="shared" ref="S171" si="833">R171/100000</f>
        <v>-86.534148929179267</v>
      </c>
      <c r="T171">
        <f t="shared" ref="T171" si="834">S171/1000</f>
        <v>-8.6534148929179266E-2</v>
      </c>
    </row>
    <row r="172" spans="1:20" x14ac:dyDescent="0.25">
      <c r="A172" s="5">
        <v>44421</v>
      </c>
      <c r="B172">
        <v>58.359000000000002</v>
      </c>
      <c r="C172">
        <v>62.9</v>
      </c>
      <c r="D172">
        <v>57.435000000000002</v>
      </c>
      <c r="E172">
        <v>62.735999999999997</v>
      </c>
      <c r="F172">
        <v>33839.508999999998</v>
      </c>
      <c r="G172">
        <v>62.735999999999997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0.93998170173833429</v>
      </c>
      <c r="Q172">
        <f t="shared" ref="Q172" si="836">F172*P172</f>
        <v>31808.519255809679</v>
      </c>
      <c r="R172">
        <f t="shared" ref="R172" si="837">R173+Q172</f>
        <v>-8672167.3990033269</v>
      </c>
      <c r="S172">
        <f t="shared" ref="S172" si="838">R172/100000</f>
        <v>-86.721673990033267</v>
      </c>
      <c r="T172">
        <f t="shared" ref="T172" si="839">S172/1000</f>
        <v>-8.6721673990033263E-2</v>
      </c>
    </row>
    <row r="173" spans="1:20" x14ac:dyDescent="0.25">
      <c r="A173" s="5">
        <v>44420</v>
      </c>
      <c r="B173">
        <v>60.03</v>
      </c>
      <c r="C173">
        <v>63.421999999999997</v>
      </c>
      <c r="D173">
        <v>57</v>
      </c>
      <c r="E173">
        <v>58.262999999999998</v>
      </c>
      <c r="F173">
        <v>44993.623</v>
      </c>
      <c r="G173">
        <v>58.262999999999998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-0.60666459047025889</v>
      </c>
      <c r="Q173">
        <f t="shared" ref="Q173" si="841">F173*P173</f>
        <v>-27296.03787106822</v>
      </c>
      <c r="R173">
        <f t="shared" ref="R173" si="842">R174+Q173</f>
        <v>-8703975.9182591364</v>
      </c>
      <c r="S173">
        <f t="shared" ref="S173" si="843">R173/100000</f>
        <v>-87.039759182591368</v>
      </c>
      <c r="T173">
        <f t="shared" ref="T173" si="844">S173/1000</f>
        <v>-8.7039759182591367E-2</v>
      </c>
    </row>
    <row r="174" spans="1:20" x14ac:dyDescent="0.25">
      <c r="A174" s="5">
        <v>44419</v>
      </c>
      <c r="B174">
        <v>59.195999999999998</v>
      </c>
      <c r="C174">
        <v>62.158000000000001</v>
      </c>
      <c r="D174">
        <v>58.765000000000001</v>
      </c>
      <c r="E174">
        <v>60.03</v>
      </c>
      <c r="F174">
        <v>49337.758000000002</v>
      </c>
      <c r="G174">
        <v>60.03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-0.25434718538166795</v>
      </c>
      <c r="Q174">
        <f t="shared" ref="Q174" si="846">F174*P174</f>
        <v>-12548.919880341871</v>
      </c>
      <c r="R174">
        <f t="shared" ref="R174" si="847">R175+Q174</f>
        <v>-8676679.880388068</v>
      </c>
      <c r="S174">
        <f t="shared" ref="S174" si="848">R174/100000</f>
        <v>-86.766798803880675</v>
      </c>
      <c r="T174">
        <f t="shared" ref="T174" si="849">S174/1000</f>
        <v>-8.6766798803880676E-2</v>
      </c>
    </row>
    <row r="175" spans="1:20" x14ac:dyDescent="0.25">
      <c r="A175" s="5">
        <v>44418</v>
      </c>
      <c r="B175">
        <v>59.401000000000003</v>
      </c>
      <c r="C175">
        <v>60.917999999999999</v>
      </c>
      <c r="D175">
        <v>57.47</v>
      </c>
      <c r="E175">
        <v>59.204000000000001</v>
      </c>
      <c r="F175">
        <v>36242.466999999997</v>
      </c>
      <c r="G175">
        <v>59.204000000000001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5.800464037123876E-3</v>
      </c>
      <c r="Q175">
        <f t="shared" ref="Q175" si="851">F175*P175</f>
        <v>210.22312645014884</v>
      </c>
      <c r="R175">
        <f t="shared" ref="R175" si="852">R176+Q175</f>
        <v>-8664130.9605077263</v>
      </c>
      <c r="S175">
        <f t="shared" ref="S175" si="853">R175/100000</f>
        <v>-86.641309605077268</v>
      </c>
      <c r="T175">
        <f t="shared" ref="T175" si="854">S175/1000</f>
        <v>-8.6641309605077266E-2</v>
      </c>
    </row>
    <row r="176" spans="1:20" x14ac:dyDescent="0.25">
      <c r="A176" s="5">
        <v>44417</v>
      </c>
      <c r="B176">
        <v>56.231999999999999</v>
      </c>
      <c r="C176">
        <v>60.74</v>
      </c>
      <c r="D176">
        <v>54.296999999999997</v>
      </c>
      <c r="E176">
        <v>59.296999999999997</v>
      </c>
      <c r="F176">
        <v>39231.591999999997</v>
      </c>
      <c r="G176">
        <v>59.296999999999997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0.55207201614154777</v>
      </c>
      <c r="Q176">
        <f t="shared" ref="Q176" si="856">F176*P176</f>
        <v>21658.664091882616</v>
      </c>
      <c r="R176">
        <f t="shared" ref="R176" si="857">R177+Q176</f>
        <v>-8664341.1836341769</v>
      </c>
      <c r="S176">
        <f t="shared" ref="S176" si="858">R176/100000</f>
        <v>-86.64341183634177</v>
      </c>
      <c r="T176">
        <f t="shared" ref="T176" si="859">S176/1000</f>
        <v>-8.6643411836341763E-2</v>
      </c>
    </row>
    <row r="177" spans="1:20" x14ac:dyDescent="0.25">
      <c r="A177" s="5">
        <v>44416</v>
      </c>
      <c r="B177">
        <v>59.201999999999998</v>
      </c>
      <c r="C177">
        <v>60.741999999999997</v>
      </c>
      <c r="D177">
        <v>55.488999999999997</v>
      </c>
      <c r="E177">
        <v>56.192999999999998</v>
      </c>
      <c r="F177">
        <v>39751.048999999999</v>
      </c>
      <c r="G177">
        <v>56.192999999999998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-0.73196268798781627</v>
      </c>
      <c r="Q177">
        <f t="shared" ref="Q177" si="861">F177*P177</f>
        <v>-29096.284676375395</v>
      </c>
      <c r="R177">
        <f t="shared" ref="R177" si="862">R178+Q177</f>
        <v>-8685999.8477260601</v>
      </c>
      <c r="S177">
        <f t="shared" ref="S177" si="863">R177/100000</f>
        <v>-86.859998477260604</v>
      </c>
      <c r="T177">
        <f t="shared" ref="T177" si="864">S177/1000</f>
        <v>-8.68599984772606E-2</v>
      </c>
    </row>
    <row r="178" spans="1:20" x14ac:dyDescent="0.25">
      <c r="A178" s="5">
        <v>44415</v>
      </c>
      <c r="B178">
        <v>56.113</v>
      </c>
      <c r="C178">
        <v>59.686</v>
      </c>
      <c r="D178">
        <v>55.511000000000003</v>
      </c>
      <c r="E178">
        <v>59.259</v>
      </c>
      <c r="F178">
        <v>54459.38</v>
      </c>
      <c r="G178">
        <v>59.259</v>
      </c>
      <c r="L178" t="s">
        <v>8</v>
      </c>
      <c r="M178" t="s">
        <v>7</v>
      </c>
      <c r="N178" t="s">
        <v>8</v>
      </c>
      <c r="P178">
        <f t="shared" ref="P178" si="865">IF(C178=D178,0,((E178-D178)-(C178-E178))/(C178-D178))</f>
        <v>0.79544910179640727</v>
      </c>
      <c r="Q178">
        <f t="shared" ref="Q178" si="866">F178*P178</f>
        <v>43319.664905389225</v>
      </c>
      <c r="R178">
        <f t="shared" ref="R178" si="867">R179+Q178</f>
        <v>-8656903.5630496852</v>
      </c>
      <c r="S178">
        <f t="shared" ref="S178" si="868">R178/100000</f>
        <v>-86.569035630496856</v>
      </c>
      <c r="T178">
        <f t="shared" ref="T178" si="869">S178/1000</f>
        <v>-8.6569035630496852E-2</v>
      </c>
    </row>
    <row r="179" spans="1:20" x14ac:dyDescent="0.25">
      <c r="A179" s="5">
        <v>44414</v>
      </c>
      <c r="B179">
        <v>54.774000000000001</v>
      </c>
      <c r="C179">
        <v>57.222999999999999</v>
      </c>
      <c r="D179">
        <v>53.728999999999999</v>
      </c>
      <c r="E179">
        <v>56.003</v>
      </c>
      <c r="F179">
        <v>58384.968999999997</v>
      </c>
      <c r="G179">
        <v>56.003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0.3016599885518037</v>
      </c>
      <c r="Q179">
        <f t="shared" ref="Q179" si="871">F179*P179</f>
        <v>17612.409080137415</v>
      </c>
      <c r="R179">
        <f t="shared" ref="R179" si="872">R180+Q179</f>
        <v>-8700223.227955075</v>
      </c>
      <c r="S179">
        <f t="shared" ref="S179" si="873">R179/100000</f>
        <v>-87.002232279550753</v>
      </c>
      <c r="T179">
        <f t="shared" ref="T179" si="874">S179/1000</f>
        <v>-8.7002232279550756E-2</v>
      </c>
    </row>
    <row r="180" spans="1:20" x14ac:dyDescent="0.25">
      <c r="A180" s="5">
        <v>44413</v>
      </c>
      <c r="B180">
        <v>54.475000000000001</v>
      </c>
      <c r="C180">
        <v>55.36</v>
      </c>
      <c r="D180">
        <v>51.271999999999998</v>
      </c>
      <c r="E180">
        <v>54.801000000000002</v>
      </c>
      <c r="F180">
        <v>31661.864000000001</v>
      </c>
      <c r="G180">
        <v>54.801000000000002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0.72651663405088196</v>
      </c>
      <c r="Q180">
        <f t="shared" ref="Q180" si="876">F180*P180</f>
        <v>23002.870861056796</v>
      </c>
      <c r="R180">
        <f t="shared" ref="R180" si="877">R181+Q180</f>
        <v>-8717835.6370352115</v>
      </c>
      <c r="S180">
        <f t="shared" ref="S180" si="878">R180/100000</f>
        <v>-87.17835637035212</v>
      </c>
      <c r="T180">
        <f t="shared" ref="T180" si="879">S180/1000</f>
        <v>-8.7178356370352122E-2</v>
      </c>
    </row>
    <row r="181" spans="1:20" x14ac:dyDescent="0.25">
      <c r="A181" s="5">
        <v>44412</v>
      </c>
      <c r="B181">
        <v>53.097999999999999</v>
      </c>
      <c r="C181">
        <v>54.603000000000002</v>
      </c>
      <c r="D181">
        <v>50.728000000000002</v>
      </c>
      <c r="E181">
        <v>54.387</v>
      </c>
      <c r="F181">
        <v>30194.168000000001</v>
      </c>
      <c r="G181">
        <v>54.387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0.88851612903225752</v>
      </c>
      <c r="Q181">
        <f t="shared" ref="Q181" si="881">F181*P181</f>
        <v>26828.005270709662</v>
      </c>
      <c r="R181">
        <f t="shared" ref="R181" si="882">R182+Q181</f>
        <v>-8740838.5078962687</v>
      </c>
      <c r="S181">
        <f t="shared" ref="S181" si="883">R181/100000</f>
        <v>-87.408385078962681</v>
      </c>
      <c r="T181">
        <f t="shared" ref="T181" si="884">S181/1000</f>
        <v>-8.7408385078962675E-2</v>
      </c>
    </row>
    <row r="182" spans="1:20" x14ac:dyDescent="0.25">
      <c r="A182" s="5">
        <v>44411</v>
      </c>
      <c r="B182">
        <v>55.146000000000001</v>
      </c>
      <c r="C182">
        <v>59.5</v>
      </c>
      <c r="D182">
        <v>52.38</v>
      </c>
      <c r="E182">
        <v>53.073</v>
      </c>
      <c r="F182">
        <v>66879.466</v>
      </c>
      <c r="G182">
        <v>53.073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-0.80533707865168591</v>
      </c>
      <c r="Q182">
        <f t="shared" ref="Q182" si="886">F182*P182</f>
        <v>-53860.513770224752</v>
      </c>
      <c r="R182">
        <f t="shared" ref="R182" si="887">R183+Q182</f>
        <v>-8767666.513166979</v>
      </c>
      <c r="S182">
        <f t="shared" ref="S182" si="888">R182/100000</f>
        <v>-87.676665131669793</v>
      </c>
      <c r="T182">
        <f t="shared" ref="T182" si="889">S182/1000</f>
        <v>-8.7676665131669787E-2</v>
      </c>
    </row>
    <row r="183" spans="1:20" x14ac:dyDescent="0.25">
      <c r="A183" s="5">
        <v>44410</v>
      </c>
      <c r="B183">
        <v>50.094000000000001</v>
      </c>
      <c r="C183">
        <v>61.603999999999999</v>
      </c>
      <c r="D183">
        <v>48.402999999999999</v>
      </c>
      <c r="E183">
        <v>55.28</v>
      </c>
      <c r="F183">
        <v>164836.69200000001</v>
      </c>
      <c r="G183">
        <v>55.28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4.1890765851072216E-2</v>
      </c>
      <c r="Q183">
        <f t="shared" ref="Q183" si="891">F183*P183</f>
        <v>6905.135268237309</v>
      </c>
      <c r="R183">
        <f t="shared" ref="R183" si="892">R184+Q183</f>
        <v>-8713805.9993967544</v>
      </c>
      <c r="S183">
        <f t="shared" ref="S183" si="893">R183/100000</f>
        <v>-87.138059993967545</v>
      </c>
      <c r="T183">
        <f t="shared" ref="T183" si="894">S183/1000</f>
        <v>-8.7138059993967551E-2</v>
      </c>
    </row>
    <row r="184" spans="1:20" x14ac:dyDescent="0.25">
      <c r="A184" s="5">
        <v>44409</v>
      </c>
      <c r="B184">
        <v>51.470999999999997</v>
      </c>
      <c r="C184">
        <v>54.375</v>
      </c>
      <c r="D184">
        <v>49.167999999999999</v>
      </c>
      <c r="E184">
        <v>50.146999999999998</v>
      </c>
      <c r="F184">
        <v>27732.916000000001</v>
      </c>
      <c r="G184">
        <v>50.146999999999998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-0.62396773574034992</v>
      </c>
      <c r="Q184">
        <f t="shared" ref="Q184" si="896">F184*P184</f>
        <v>-17304.444801997324</v>
      </c>
      <c r="R184">
        <f t="shared" ref="R184" si="897">R185+Q184</f>
        <v>-8720711.1346649919</v>
      </c>
      <c r="S184">
        <f t="shared" ref="S184" si="898">R184/100000</f>
        <v>-87.207111346649924</v>
      </c>
      <c r="T184">
        <f t="shared" ref="T184" si="899">S184/1000</f>
        <v>-8.7207111346649921E-2</v>
      </c>
    </row>
    <row r="185" spans="1:20" x14ac:dyDescent="0.25">
      <c r="A185" s="5">
        <v>44408</v>
      </c>
      <c r="B185">
        <v>52.533999999999999</v>
      </c>
      <c r="C185">
        <v>55</v>
      </c>
      <c r="D185">
        <v>50.588000000000001</v>
      </c>
      <c r="E185">
        <v>51.594000000000001</v>
      </c>
      <c r="F185">
        <v>51981.612999999998</v>
      </c>
      <c r="G185">
        <v>51.594000000000001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-0.54397098821396173</v>
      </c>
      <c r="Q185">
        <f t="shared" ref="Q185" si="901">F185*P185</f>
        <v>-28276.48939256572</v>
      </c>
      <c r="R185">
        <f t="shared" ref="R185" si="902">R186+Q185</f>
        <v>-8703406.6898629945</v>
      </c>
      <c r="S185">
        <f t="shared" ref="S185" si="903">R185/100000</f>
        <v>-87.034066898629945</v>
      </c>
      <c r="T185">
        <f t="shared" ref="T185" si="904">S185/1000</f>
        <v>-8.7034066898629941E-2</v>
      </c>
    </row>
    <row r="186" spans="1:20" x14ac:dyDescent="0.25">
      <c r="A186" s="5">
        <v>44407</v>
      </c>
      <c r="B186">
        <v>46.814999999999998</v>
      </c>
      <c r="C186">
        <v>53.475000000000001</v>
      </c>
      <c r="D186">
        <v>46.207000000000001</v>
      </c>
      <c r="E186">
        <v>52.406999999999996</v>
      </c>
      <c r="F186">
        <v>115501.041</v>
      </c>
      <c r="G186">
        <v>52.406999999999996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0.70610897083103885</v>
      </c>
      <c r="Q186">
        <f t="shared" ref="Q186" si="906">F186*P186</f>
        <v>81556.321190423623</v>
      </c>
      <c r="R186">
        <f t="shared" ref="R186" si="907">R187+Q186</f>
        <v>-8675130.2004704289</v>
      </c>
      <c r="S186">
        <f t="shared" ref="S186" si="908">R186/100000</f>
        <v>-86.751302004704286</v>
      </c>
      <c r="T186">
        <f t="shared" ref="T186" si="909">S186/1000</f>
        <v>-8.6751302004704281E-2</v>
      </c>
    </row>
    <row r="187" spans="1:20" x14ac:dyDescent="0.25">
      <c r="A187" s="5">
        <v>44406</v>
      </c>
      <c r="B187">
        <v>46.78</v>
      </c>
      <c r="C187">
        <v>47.113</v>
      </c>
      <c r="D187">
        <v>45.625</v>
      </c>
      <c r="E187">
        <v>46.78</v>
      </c>
      <c r="F187">
        <v>13137.699000000001</v>
      </c>
      <c r="G187">
        <v>46.78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0.55241935483871163</v>
      </c>
      <c r="Q187">
        <f t="shared" ref="Q187" si="911">F187*P187</f>
        <v>7257.519205645187</v>
      </c>
      <c r="R187">
        <f t="shared" ref="R187" si="912">R188+Q187</f>
        <v>-8756686.5216608532</v>
      </c>
      <c r="S187">
        <f t="shared" ref="S187" si="913">R187/100000</f>
        <v>-87.566865216608534</v>
      </c>
      <c r="T187">
        <f t="shared" ref="T187" si="914">S187/1000</f>
        <v>-8.756686521660853E-2</v>
      </c>
    </row>
    <row r="188" spans="1:20" x14ac:dyDescent="0.25">
      <c r="A188" s="5">
        <v>44405</v>
      </c>
      <c r="B188">
        <v>47.284999999999997</v>
      </c>
      <c r="C188">
        <v>48.408999999999999</v>
      </c>
      <c r="D188">
        <v>45.527999999999999</v>
      </c>
      <c r="E188">
        <v>46.78</v>
      </c>
      <c r="F188">
        <v>25490.345000000001</v>
      </c>
      <c r="G188">
        <v>46.78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-0.13085734120097026</v>
      </c>
      <c r="Q188">
        <f t="shared" ref="Q188" si="916">F188*P188</f>
        <v>-3335.5987729954463</v>
      </c>
      <c r="R188">
        <f t="shared" ref="R188" si="917">R189+Q188</f>
        <v>-8763944.0408664979</v>
      </c>
      <c r="S188">
        <f t="shared" ref="S188" si="918">R188/100000</f>
        <v>-87.639440408664981</v>
      </c>
      <c r="T188">
        <f t="shared" ref="T188" si="919">S188/1000</f>
        <v>-8.7639440408664976E-2</v>
      </c>
    </row>
    <row r="189" spans="1:20" x14ac:dyDescent="0.25">
      <c r="A189" s="5">
        <v>44404</v>
      </c>
      <c r="B189">
        <v>43.947000000000003</v>
      </c>
      <c r="C189">
        <v>50.664000000000001</v>
      </c>
      <c r="D189">
        <v>43.271000000000001</v>
      </c>
      <c r="E189">
        <v>47.173000000000002</v>
      </c>
      <c r="F189">
        <v>50272.158000000003</v>
      </c>
      <c r="G189">
        <v>47.173000000000002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5.5593128635195638E-2</v>
      </c>
      <c r="Q189">
        <f t="shared" ref="Q189" si="921">F189*P189</f>
        <v>2794.7865464628794</v>
      </c>
      <c r="R189">
        <f t="shared" ref="R189" si="922">R190+Q189</f>
        <v>-8760608.4420935027</v>
      </c>
      <c r="S189">
        <f t="shared" ref="S189" si="923">R189/100000</f>
        <v>-87.606084420935034</v>
      </c>
      <c r="T189">
        <f t="shared" ref="T189" si="924">S189/1000</f>
        <v>-8.7606084420935038E-2</v>
      </c>
    </row>
    <row r="190" spans="1:20" x14ac:dyDescent="0.25">
      <c r="A190" s="5">
        <v>44403</v>
      </c>
      <c r="B190">
        <v>43.3</v>
      </c>
      <c r="C190">
        <v>51.07</v>
      </c>
      <c r="D190">
        <v>42.591000000000001</v>
      </c>
      <c r="E190">
        <v>44.064</v>
      </c>
      <c r="F190">
        <v>60602.031999999999</v>
      </c>
      <c r="G190">
        <v>44.064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-0.6525533671423519</v>
      </c>
      <c r="Q190">
        <f t="shared" ref="Q190" si="926">F190*P190</f>
        <v>-39546.060037268559</v>
      </c>
      <c r="R190">
        <f t="shared" ref="R190" si="927">R191+Q190</f>
        <v>-8763403.2286399659</v>
      </c>
      <c r="S190">
        <f t="shared" ref="S190" si="928">R190/100000</f>
        <v>-87.634032286399659</v>
      </c>
      <c r="T190">
        <f t="shared" ref="T190" si="929">S190/1000</f>
        <v>-8.7634032286399655E-2</v>
      </c>
    </row>
    <row r="191" spans="1:20" x14ac:dyDescent="0.25">
      <c r="A191" s="5">
        <v>44402</v>
      </c>
      <c r="B191">
        <v>42.837000000000003</v>
      </c>
      <c r="C191">
        <v>44.319000000000003</v>
      </c>
      <c r="D191">
        <v>40.598999999999997</v>
      </c>
      <c r="E191">
        <v>43.353000000000002</v>
      </c>
      <c r="F191">
        <v>39318.228999999999</v>
      </c>
      <c r="G191">
        <v>43.353000000000002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0.48064516129032281</v>
      </c>
      <c r="Q191">
        <f t="shared" ref="Q191" si="931">F191*P191</f>
        <v>18898.116519354848</v>
      </c>
      <c r="R191">
        <f t="shared" ref="R191" si="932">R192+Q191</f>
        <v>-8723857.1686026976</v>
      </c>
      <c r="S191">
        <f t="shared" ref="S191" si="933">R191/100000</f>
        <v>-87.238571686026972</v>
      </c>
      <c r="T191">
        <f t="shared" ref="T191:T197" si="934">S191/1000</f>
        <v>-8.7238571686026972E-2</v>
      </c>
    </row>
    <row r="192" spans="1:20" x14ac:dyDescent="0.25">
      <c r="A192" s="5">
        <v>44401</v>
      </c>
      <c r="B192">
        <v>40.679000000000002</v>
      </c>
      <c r="C192">
        <v>43.954999999999998</v>
      </c>
      <c r="D192">
        <v>39.631999999999998</v>
      </c>
      <c r="E192">
        <v>42.738999999999997</v>
      </c>
      <c r="F192">
        <v>20144.569</v>
      </c>
      <c r="G192">
        <v>42.738999999999997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0.4374277122368721</v>
      </c>
      <c r="Q192">
        <f t="shared" ref="Q192" si="936">F192*P192</f>
        <v>8811.7927316678142</v>
      </c>
      <c r="R192">
        <f t="shared" ref="R192" si="937">R193+Q192</f>
        <v>-8742755.2851220518</v>
      </c>
      <c r="S192">
        <f t="shared" ref="S192" si="938">R192/100000</f>
        <v>-87.427552851220511</v>
      </c>
      <c r="T192">
        <f t="shared" si="934"/>
        <v>-8.7427552851220516E-2</v>
      </c>
    </row>
    <row r="193" spans="1:20" x14ac:dyDescent="0.25">
      <c r="A193" s="5">
        <v>44400</v>
      </c>
      <c r="B193">
        <v>38.091000000000001</v>
      </c>
      <c r="C193">
        <v>40.679000000000002</v>
      </c>
      <c r="D193">
        <v>37.533999999999999</v>
      </c>
      <c r="E193">
        <v>40.679000000000002</v>
      </c>
      <c r="F193">
        <v>15908.849</v>
      </c>
      <c r="G193">
        <v>40.679000000000002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1</v>
      </c>
      <c r="Q193">
        <f t="shared" ref="Q193" si="940">F193*P193</f>
        <v>15908.849</v>
      </c>
      <c r="R193">
        <f t="shared" ref="R193" si="941">R194+Q193</f>
        <v>-8751567.0778537188</v>
      </c>
      <c r="S193">
        <f t="shared" ref="S193" si="942">R193/100000</f>
        <v>-87.515670778537185</v>
      </c>
      <c r="T193">
        <f t="shared" si="934"/>
        <v>-8.7515670778537183E-2</v>
      </c>
    </row>
    <row r="194" spans="1:20" x14ac:dyDescent="0.25">
      <c r="A194" s="5">
        <v>44399</v>
      </c>
      <c r="B194">
        <v>37.668999999999997</v>
      </c>
      <c r="C194">
        <v>38.874000000000002</v>
      </c>
      <c r="D194">
        <v>36.838999999999999</v>
      </c>
      <c r="E194">
        <v>38.081000000000003</v>
      </c>
      <c r="F194">
        <v>12469.178</v>
      </c>
      <c r="G194">
        <v>38.081000000000003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0.22063882063882279</v>
      </c>
      <c r="Q194">
        <f t="shared" ref="Q194" si="944">F194*P194</f>
        <v>2751.184728255555</v>
      </c>
      <c r="R194">
        <f t="shared" ref="R194" si="945">R195+Q194</f>
        <v>-8767475.9268537182</v>
      </c>
      <c r="S194">
        <f t="shared" ref="S194" si="946">R194/100000</f>
        <v>-87.674759268537187</v>
      </c>
      <c r="T194">
        <f t="shared" si="934"/>
        <v>-8.7674759268537183E-2</v>
      </c>
    </row>
    <row r="195" spans="1:20" x14ac:dyDescent="0.25">
      <c r="A195" s="5">
        <v>44398</v>
      </c>
      <c r="B195">
        <v>34.853000000000002</v>
      </c>
      <c r="C195">
        <v>38.265000000000001</v>
      </c>
      <c r="D195">
        <v>33.843000000000004</v>
      </c>
      <c r="E195">
        <v>37.692999999999998</v>
      </c>
      <c r="F195">
        <v>22973.157999999999</v>
      </c>
      <c r="G195">
        <v>37.692999999999998</v>
      </c>
      <c r="L195" t="s">
        <v>7</v>
      </c>
      <c r="M195" t="s">
        <v>8</v>
      </c>
      <c r="N195" t="s">
        <v>8</v>
      </c>
      <c r="P195">
        <f t="shared" ref="P195" si="947">IF(C195=D195,0,((E195-D195)-(C195-E195))/(C195-D195))</f>
        <v>0.74129353233830708</v>
      </c>
      <c r="Q195">
        <f t="shared" ref="Q195" si="948">F195*P195</f>
        <v>17029.853442786036</v>
      </c>
      <c r="R195">
        <f t="shared" ref="R195" si="949">R196+Q195</f>
        <v>-8770227.1115819737</v>
      </c>
      <c r="S195">
        <f t="shared" ref="S195" si="950">R195/100000</f>
        <v>-87.702271115819741</v>
      </c>
      <c r="T195">
        <f t="shared" si="934"/>
        <v>-8.7702271115819741E-2</v>
      </c>
    </row>
    <row r="196" spans="1:20" x14ac:dyDescent="0.25">
      <c r="A196" s="5">
        <v>44397</v>
      </c>
      <c r="B196">
        <v>37.237000000000002</v>
      </c>
      <c r="C196">
        <v>38.912999999999997</v>
      </c>
      <c r="D196">
        <v>33.643000000000001</v>
      </c>
      <c r="E196">
        <v>34.758000000000003</v>
      </c>
      <c r="F196">
        <v>13561.385</v>
      </c>
      <c r="G196">
        <v>34.758000000000003</v>
      </c>
      <c r="L196" t="s">
        <v>8</v>
      </c>
      <c r="M196" t="s">
        <v>8</v>
      </c>
      <c r="N196" t="s">
        <v>8</v>
      </c>
      <c r="P196">
        <f t="shared" ref="P196" si="951">IF(C196=D196,0,((E196-D196)-(C196-E196))/(C196-D196))</f>
        <v>-0.57685009487665928</v>
      </c>
      <c r="Q196">
        <f t="shared" ref="Q196" si="952">F196*P196</f>
        <v>-7822.886223908904</v>
      </c>
      <c r="R196">
        <f t="shared" ref="R196" si="953">R197+Q196</f>
        <v>-8787256.96502476</v>
      </c>
      <c r="S196">
        <f t="shared" ref="S196" si="954">R196/100000</f>
        <v>-87.872569650247598</v>
      </c>
      <c r="T196">
        <f t="shared" si="934"/>
        <v>-8.7872569650247603E-2</v>
      </c>
    </row>
    <row r="197" spans="1:20" x14ac:dyDescent="0.25">
      <c r="A197" s="5">
        <v>44396</v>
      </c>
      <c r="B197">
        <v>1.1999999999999999E-3</v>
      </c>
      <c r="C197">
        <v>1.273E-3</v>
      </c>
      <c r="D197">
        <v>1.1999999999999999E-3</v>
      </c>
      <c r="E197">
        <v>1.2080000000000001E-3</v>
      </c>
      <c r="F197">
        <v>12795.14</v>
      </c>
      <c r="G197">
        <v>0</v>
      </c>
      <c r="L197" t="s">
        <v>8</v>
      </c>
      <c r="M197" t="s">
        <v>7</v>
      </c>
      <c r="N197" t="s">
        <v>8</v>
      </c>
      <c r="P197">
        <f t="shared" ref="P197" si="955">IF(C197=D197,0,((E197-D197)-(C197-E197))/(C197-D197))</f>
        <v>-0.78082191780821431</v>
      </c>
      <c r="Q197">
        <f t="shared" ref="Q197" si="956">F197*P197</f>
        <v>-9990.7257534245946</v>
      </c>
      <c r="R197">
        <f t="shared" ref="R197" si="957">R198+Q197</f>
        <v>-8779434.0788008515</v>
      </c>
      <c r="S197">
        <f t="shared" ref="S197" si="958">R197/100000</f>
        <v>-87.794340788008512</v>
      </c>
      <c r="T197">
        <f t="shared" si="934"/>
        <v>-8.7794340788008518E-2</v>
      </c>
    </row>
    <row r="198" spans="1:20" x14ac:dyDescent="0.25">
      <c r="A198" s="5">
        <v>44395</v>
      </c>
      <c r="B198">
        <v>1.191E-3</v>
      </c>
      <c r="C198">
        <v>1.2780000000000001E-3</v>
      </c>
      <c r="D198">
        <v>1.1900000000000001E-3</v>
      </c>
      <c r="E198">
        <v>1.1999999999999999E-3</v>
      </c>
      <c r="F198">
        <v>17302.54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-0.77272727272727704</v>
      </c>
      <c r="Q198">
        <f t="shared" ref="Q198:Q261" si="960">F198*P198</f>
        <v>-13370.144545454621</v>
      </c>
      <c r="R198">
        <f t="shared" ref="R198:R261" si="961">R199+Q198</f>
        <v>-8769443.3530474268</v>
      </c>
      <c r="S198">
        <f t="shared" ref="S198:S261" si="962">R198/100000</f>
        <v>-87.694433530474271</v>
      </c>
      <c r="T198">
        <f t="shared" ref="T198:T261" si="963">S198/1000</f>
        <v>-8.7694433530474264E-2</v>
      </c>
    </row>
    <row r="199" spans="1:20" x14ac:dyDescent="0.25">
      <c r="A199" s="5">
        <v>44394</v>
      </c>
      <c r="B199">
        <v>1.186E-3</v>
      </c>
      <c r="C199">
        <v>1.2199999999999999E-3</v>
      </c>
      <c r="D199">
        <v>1.157E-3</v>
      </c>
      <c r="E199">
        <v>1.193E-3</v>
      </c>
      <c r="F199">
        <v>8248.76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0.14285714285714482</v>
      </c>
      <c r="Q199">
        <f t="shared" si="960"/>
        <v>1178.394285714302</v>
      </c>
      <c r="R199">
        <f t="shared" si="961"/>
        <v>-8756073.2085019723</v>
      </c>
      <c r="S199">
        <f t="shared" si="962"/>
        <v>-87.560732085019723</v>
      </c>
      <c r="T199">
        <f t="shared" si="963"/>
        <v>-8.7560732085019716E-2</v>
      </c>
    </row>
    <row r="200" spans="1:20" x14ac:dyDescent="0.25">
      <c r="A200" s="5">
        <v>44393</v>
      </c>
      <c r="B200">
        <v>1.2600000000000001E-3</v>
      </c>
      <c r="C200">
        <v>1.286E-3</v>
      </c>
      <c r="D200">
        <v>1.186E-3</v>
      </c>
      <c r="E200">
        <v>1.186E-3</v>
      </c>
      <c r="F200">
        <v>11307.83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-1</v>
      </c>
      <c r="Q200">
        <f t="shared" si="960"/>
        <v>-11307.83</v>
      </c>
      <c r="R200">
        <f t="shared" si="961"/>
        <v>-8757251.6027876865</v>
      </c>
      <c r="S200">
        <f t="shared" si="962"/>
        <v>-87.572516027876858</v>
      </c>
      <c r="T200">
        <f t="shared" si="963"/>
        <v>-8.7572516027876857E-2</v>
      </c>
    </row>
    <row r="201" spans="1:20" x14ac:dyDescent="0.25">
      <c r="A201" s="5">
        <v>44392</v>
      </c>
      <c r="B201">
        <v>1.2999999999999999E-3</v>
      </c>
      <c r="C201">
        <v>1.3029999999999999E-3</v>
      </c>
      <c r="D201">
        <v>1.2470000000000001E-3</v>
      </c>
      <c r="E201">
        <v>1.258E-3</v>
      </c>
      <c r="F201">
        <v>6642.2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-0.60714285714285809</v>
      </c>
      <c r="Q201">
        <f t="shared" si="960"/>
        <v>-4032.7642857142919</v>
      </c>
      <c r="R201">
        <f t="shared" si="961"/>
        <v>-8745943.7727876864</v>
      </c>
      <c r="S201">
        <f t="shared" si="962"/>
        <v>-87.45943772787686</v>
      </c>
      <c r="T201">
        <f t="shared" si="963"/>
        <v>-8.7459437727876857E-2</v>
      </c>
    </row>
    <row r="202" spans="1:20" x14ac:dyDescent="0.25">
      <c r="A202" s="5">
        <v>44391</v>
      </c>
      <c r="B202">
        <v>1.2800000000000001E-3</v>
      </c>
      <c r="C202">
        <v>1.3699999999999999E-3</v>
      </c>
      <c r="D202">
        <v>1.242E-3</v>
      </c>
      <c r="E202">
        <v>1.3029999999999999E-3</v>
      </c>
      <c r="F202">
        <v>13875.49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-4.6875000000001193E-2</v>
      </c>
      <c r="Q202">
        <f t="shared" si="960"/>
        <v>-650.4135937500165</v>
      </c>
      <c r="R202">
        <f t="shared" si="961"/>
        <v>-8741911.008501973</v>
      </c>
      <c r="S202">
        <f t="shared" si="962"/>
        <v>-87.419110085019724</v>
      </c>
      <c r="T202">
        <f t="shared" si="963"/>
        <v>-8.7419110085019722E-2</v>
      </c>
    </row>
    <row r="203" spans="1:20" x14ac:dyDescent="0.25">
      <c r="A203" s="5">
        <v>44390</v>
      </c>
      <c r="B203">
        <v>1.302E-3</v>
      </c>
      <c r="C203">
        <v>1.322E-3</v>
      </c>
      <c r="D203">
        <v>1.2769999999999999E-3</v>
      </c>
      <c r="E203">
        <v>1.279E-3</v>
      </c>
      <c r="F203">
        <v>6450.28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-0.91111111111110921</v>
      </c>
      <c r="Q203">
        <f t="shared" si="960"/>
        <v>-5876.9217777777649</v>
      </c>
      <c r="R203">
        <f t="shared" si="961"/>
        <v>-8741260.5949082226</v>
      </c>
      <c r="S203">
        <f t="shared" si="962"/>
        <v>-87.41260594908222</v>
      </c>
      <c r="T203">
        <f t="shared" si="963"/>
        <v>-8.741260594908222E-2</v>
      </c>
    </row>
    <row r="204" spans="1:20" x14ac:dyDescent="0.25">
      <c r="A204" s="5">
        <v>44389</v>
      </c>
      <c r="B204">
        <v>1.2960000000000001E-3</v>
      </c>
      <c r="C204">
        <v>1.317E-3</v>
      </c>
      <c r="D204">
        <v>1.2800000000000001E-3</v>
      </c>
      <c r="E204">
        <v>1.3010000000000001E-3</v>
      </c>
      <c r="F204">
        <v>5328.48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0.13513513513513578</v>
      </c>
      <c r="Q204">
        <f t="shared" si="960"/>
        <v>720.06486486486824</v>
      </c>
      <c r="R204">
        <f t="shared" si="961"/>
        <v>-8735383.6731304452</v>
      </c>
      <c r="S204">
        <f t="shared" si="962"/>
        <v>-87.353836731304455</v>
      </c>
      <c r="T204">
        <f t="shared" si="963"/>
        <v>-8.7353836731304452E-2</v>
      </c>
    </row>
    <row r="205" spans="1:20" x14ac:dyDescent="0.25">
      <c r="A205" s="5">
        <v>44388</v>
      </c>
      <c r="B205">
        <v>1.307E-3</v>
      </c>
      <c r="C205">
        <v>1.338E-3</v>
      </c>
      <c r="D205">
        <v>1.2769999999999999E-3</v>
      </c>
      <c r="E205">
        <v>1.2949999999999999E-3</v>
      </c>
      <c r="F205">
        <v>8353.93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-0.40983606557377106</v>
      </c>
      <c r="Q205">
        <f t="shared" si="960"/>
        <v>-3423.7418032786932</v>
      </c>
      <c r="R205">
        <f t="shared" si="961"/>
        <v>-8736103.7379953098</v>
      </c>
      <c r="S205">
        <f t="shared" si="962"/>
        <v>-87.361037379953103</v>
      </c>
      <c r="T205">
        <f t="shared" si="963"/>
        <v>-8.7361037379953099E-2</v>
      </c>
    </row>
    <row r="206" spans="1:20" x14ac:dyDescent="0.25">
      <c r="A206" s="5">
        <v>44387</v>
      </c>
      <c r="B206">
        <v>1.3320000000000001E-3</v>
      </c>
      <c r="C206">
        <v>1.3450000000000001E-3</v>
      </c>
      <c r="D206">
        <v>1.2960000000000001E-3</v>
      </c>
      <c r="E206">
        <v>1.3029999999999999E-3</v>
      </c>
      <c r="F206">
        <v>10683.37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-0.71428571428572063</v>
      </c>
      <c r="Q206">
        <f t="shared" si="960"/>
        <v>-7630.97857142864</v>
      </c>
      <c r="R206">
        <f t="shared" si="961"/>
        <v>-8732679.9961920306</v>
      </c>
      <c r="S206">
        <f t="shared" si="962"/>
        <v>-87.326799961920301</v>
      </c>
      <c r="T206">
        <f t="shared" si="963"/>
        <v>-8.7326799961920304E-2</v>
      </c>
    </row>
    <row r="207" spans="1:20" x14ac:dyDescent="0.25">
      <c r="A207" s="5">
        <v>44386</v>
      </c>
      <c r="B207">
        <v>1.3680000000000001E-3</v>
      </c>
      <c r="C207">
        <v>1.4009999999999999E-3</v>
      </c>
      <c r="D207">
        <v>1.305E-3</v>
      </c>
      <c r="E207">
        <v>1.3320000000000001E-3</v>
      </c>
      <c r="F207">
        <v>16885.099999999999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-0.43749999999999734</v>
      </c>
      <c r="Q207">
        <f t="shared" si="960"/>
        <v>-7387.2312499999543</v>
      </c>
      <c r="R207">
        <f t="shared" si="961"/>
        <v>-8725049.0176206026</v>
      </c>
      <c r="S207">
        <f t="shared" si="962"/>
        <v>-87.250490176206029</v>
      </c>
      <c r="T207">
        <f t="shared" si="963"/>
        <v>-8.7250490176206022E-2</v>
      </c>
    </row>
    <row r="208" spans="1:20" x14ac:dyDescent="0.25">
      <c r="A208" s="5">
        <v>44385</v>
      </c>
      <c r="B208">
        <v>1.39E-3</v>
      </c>
      <c r="C208">
        <v>1.4610000000000001E-3</v>
      </c>
      <c r="D208">
        <v>1.3489999999999999E-3</v>
      </c>
      <c r="E208">
        <v>1.371E-3</v>
      </c>
      <c r="F208">
        <v>24410.79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-0.60714285714285576</v>
      </c>
      <c r="Q208">
        <f t="shared" si="960"/>
        <v>-14820.836785714253</v>
      </c>
      <c r="R208">
        <f t="shared" si="961"/>
        <v>-8717661.7863706034</v>
      </c>
      <c r="S208">
        <f t="shared" si="962"/>
        <v>-87.176617863706028</v>
      </c>
      <c r="T208">
        <f t="shared" si="963"/>
        <v>-8.7176617863706021E-2</v>
      </c>
    </row>
    <row r="209" spans="1:20" x14ac:dyDescent="0.25">
      <c r="A209" s="5">
        <v>44384</v>
      </c>
      <c r="B209">
        <v>1.3960000000000001E-3</v>
      </c>
      <c r="C209">
        <v>1.413E-3</v>
      </c>
      <c r="D209">
        <v>1.372E-3</v>
      </c>
      <c r="E209">
        <v>1.39E-3</v>
      </c>
      <c r="F209">
        <v>9195.2199999999993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-0.12195121951219538</v>
      </c>
      <c r="Q209">
        <f t="shared" si="960"/>
        <v>-1121.3682926829292</v>
      </c>
      <c r="R209">
        <f t="shared" si="961"/>
        <v>-8702840.9495848883</v>
      </c>
      <c r="S209">
        <f t="shared" si="962"/>
        <v>-87.028409495848877</v>
      </c>
      <c r="T209">
        <f t="shared" si="963"/>
        <v>-8.7028409495848877E-2</v>
      </c>
    </row>
    <row r="210" spans="1:20" x14ac:dyDescent="0.25">
      <c r="A210" s="5">
        <v>44383</v>
      </c>
      <c r="B210">
        <v>1.354E-3</v>
      </c>
      <c r="C210">
        <v>1.531E-3</v>
      </c>
      <c r="D210">
        <v>1.3519999999999999E-3</v>
      </c>
      <c r="E210">
        <v>1.3960000000000001E-3</v>
      </c>
      <c r="F210">
        <v>24209.439999999999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-0.5083798882681545</v>
      </c>
      <c r="Q210">
        <f t="shared" si="960"/>
        <v>-12307.59240223459</v>
      </c>
      <c r="R210">
        <f t="shared" si="961"/>
        <v>-8701719.5812922046</v>
      </c>
      <c r="S210">
        <f t="shared" si="962"/>
        <v>-87.01719581292204</v>
      </c>
      <c r="T210">
        <f t="shared" si="963"/>
        <v>-8.7017195812922041E-2</v>
      </c>
    </row>
    <row r="211" spans="1:20" x14ac:dyDescent="0.25">
      <c r="A211" s="5">
        <v>44382</v>
      </c>
      <c r="B211">
        <v>1.369E-3</v>
      </c>
      <c r="C211">
        <v>1.4E-3</v>
      </c>
      <c r="D211">
        <v>1.32E-3</v>
      </c>
      <c r="E211">
        <v>1.354E-3</v>
      </c>
      <c r="F211">
        <v>14426.69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-0.15000000000000094</v>
      </c>
      <c r="Q211">
        <f t="shared" si="960"/>
        <v>-2164.0035000000134</v>
      </c>
      <c r="R211">
        <f t="shared" si="961"/>
        <v>-8689411.9888899699</v>
      </c>
      <c r="S211">
        <f t="shared" si="962"/>
        <v>-86.894119888899695</v>
      </c>
      <c r="T211">
        <f t="shared" si="963"/>
        <v>-8.6894119888899696E-2</v>
      </c>
    </row>
    <row r="212" spans="1:20" x14ac:dyDescent="0.25">
      <c r="A212" s="5">
        <v>44381</v>
      </c>
      <c r="B212">
        <v>1.3749999999999999E-3</v>
      </c>
      <c r="C212">
        <v>1.4059999999999999E-3</v>
      </c>
      <c r="D212">
        <v>1.3630000000000001E-3</v>
      </c>
      <c r="E212">
        <v>1.369E-3</v>
      </c>
      <c r="F212">
        <v>19914.900000000001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-0.72093023255814193</v>
      </c>
      <c r="Q212">
        <f t="shared" si="960"/>
        <v>-14357.253488372142</v>
      </c>
      <c r="R212">
        <f t="shared" si="961"/>
        <v>-8687247.9853899702</v>
      </c>
      <c r="S212">
        <f t="shared" si="962"/>
        <v>-86.872479853899705</v>
      </c>
      <c r="T212">
        <f t="shared" si="963"/>
        <v>-8.6872479853899703E-2</v>
      </c>
    </row>
    <row r="213" spans="1:20" x14ac:dyDescent="0.25">
      <c r="A213" s="5">
        <v>44380</v>
      </c>
      <c r="B213">
        <v>1.3829999999999999E-3</v>
      </c>
      <c r="C213">
        <v>1.4189999999999999E-3</v>
      </c>
      <c r="D213">
        <v>1.3489999999999999E-3</v>
      </c>
      <c r="E213">
        <v>1.374E-3</v>
      </c>
      <c r="F213">
        <v>14499.92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-0.28571428571428348</v>
      </c>
      <c r="Q213">
        <f t="shared" si="960"/>
        <v>-4142.8342857142534</v>
      </c>
      <c r="R213">
        <f t="shared" si="961"/>
        <v>-8672890.7319015972</v>
      </c>
      <c r="S213">
        <f t="shared" si="962"/>
        <v>-86.728907319015974</v>
      </c>
      <c r="T213">
        <f t="shared" si="963"/>
        <v>-8.6728907319015974E-2</v>
      </c>
    </row>
    <row r="214" spans="1:20" x14ac:dyDescent="0.25">
      <c r="A214" s="5">
        <v>44379</v>
      </c>
      <c r="B214">
        <v>1.418E-3</v>
      </c>
      <c r="C214">
        <v>1.4679999999999999E-3</v>
      </c>
      <c r="D214">
        <v>1.348E-3</v>
      </c>
      <c r="E214">
        <v>1.3860000000000001E-3</v>
      </c>
      <c r="F214">
        <v>17371.580000000002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-0.36666666666666509</v>
      </c>
      <c r="Q214">
        <f t="shared" si="960"/>
        <v>-6369.5793333333067</v>
      </c>
      <c r="R214">
        <f t="shared" si="961"/>
        <v>-8668747.8976158835</v>
      </c>
      <c r="S214">
        <f t="shared" si="962"/>
        <v>-86.687478976158829</v>
      </c>
      <c r="T214">
        <f t="shared" si="963"/>
        <v>-8.6687478976158833E-2</v>
      </c>
    </row>
    <row r="215" spans="1:20" x14ac:dyDescent="0.25">
      <c r="A215" s="5">
        <v>44378</v>
      </c>
      <c r="B215">
        <v>1.4400000000000001E-3</v>
      </c>
      <c r="C215">
        <v>1.4909999999999999E-3</v>
      </c>
      <c r="D215">
        <v>1.3799999999999999E-3</v>
      </c>
      <c r="E215">
        <v>1.4189999999999999E-3</v>
      </c>
      <c r="F215">
        <v>14081.85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-0.2972972972972977</v>
      </c>
      <c r="Q215">
        <f t="shared" si="960"/>
        <v>-4186.4959459459515</v>
      </c>
      <c r="R215">
        <f t="shared" si="961"/>
        <v>-8662378.3182825502</v>
      </c>
      <c r="S215">
        <f t="shared" si="962"/>
        <v>-86.623783182825505</v>
      </c>
      <c r="T215">
        <f t="shared" si="963"/>
        <v>-8.6623783182825501E-2</v>
      </c>
    </row>
    <row r="216" spans="1:20" x14ac:dyDescent="0.25">
      <c r="A216" s="5">
        <v>44377</v>
      </c>
      <c r="B216">
        <v>1.3309999999999999E-3</v>
      </c>
      <c r="C216">
        <v>1.5120000000000001E-3</v>
      </c>
      <c r="D216">
        <v>1.33E-3</v>
      </c>
      <c r="E216">
        <v>1.436E-3</v>
      </c>
      <c r="F216">
        <v>50082.38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0.164835164835164</v>
      </c>
      <c r="Q216">
        <f t="shared" si="960"/>
        <v>8255.3373626373195</v>
      </c>
      <c r="R216">
        <f t="shared" si="961"/>
        <v>-8658191.8223366048</v>
      </c>
      <c r="S216">
        <f t="shared" si="962"/>
        <v>-86.581918223366046</v>
      </c>
      <c r="T216">
        <f t="shared" si="963"/>
        <v>-8.6581918223366042E-2</v>
      </c>
    </row>
    <row r="217" spans="1:20" x14ac:dyDescent="0.25">
      <c r="A217" s="5">
        <v>44376</v>
      </c>
      <c r="B217">
        <v>1.224E-3</v>
      </c>
      <c r="C217">
        <v>1.444E-3</v>
      </c>
      <c r="D217">
        <v>1.2130000000000001E-3</v>
      </c>
      <c r="E217">
        <v>1.3309999999999999E-3</v>
      </c>
      <c r="F217">
        <v>50839.839999999997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2.1645021645020777E-2</v>
      </c>
      <c r="Q217">
        <f t="shared" si="960"/>
        <v>1100.429437229393</v>
      </c>
      <c r="R217">
        <f t="shared" si="961"/>
        <v>-8666447.1596992426</v>
      </c>
      <c r="S217">
        <f t="shared" si="962"/>
        <v>-86.664471596992428</v>
      </c>
      <c r="T217">
        <f t="shared" si="963"/>
        <v>-8.6664471596992435E-2</v>
      </c>
    </row>
    <row r="218" spans="1:20" x14ac:dyDescent="0.25">
      <c r="A218" s="5">
        <v>44375</v>
      </c>
      <c r="B218">
        <v>1.1739999999999999E-3</v>
      </c>
      <c r="C218">
        <v>1.256E-3</v>
      </c>
      <c r="D218">
        <v>1.1360000000000001E-3</v>
      </c>
      <c r="E218">
        <v>1.224E-3</v>
      </c>
      <c r="F218">
        <v>23048.65</v>
      </c>
      <c r="G218">
        <v>0</v>
      </c>
      <c r="L218" t="s">
        <v>7</v>
      </c>
      <c r="M218" t="s">
        <v>8</v>
      </c>
      <c r="N218" t="s">
        <v>8</v>
      </c>
      <c r="P218">
        <f t="shared" si="959"/>
        <v>0.46666666666666762</v>
      </c>
      <c r="Q218">
        <f t="shared" si="960"/>
        <v>10756.036666666689</v>
      </c>
      <c r="R218">
        <f t="shared" si="961"/>
        <v>-8667547.589136472</v>
      </c>
      <c r="S218">
        <f t="shared" si="962"/>
        <v>-86.675475891364727</v>
      </c>
      <c r="T218">
        <f t="shared" si="963"/>
        <v>-8.667547589136472E-2</v>
      </c>
    </row>
    <row r="219" spans="1:20" x14ac:dyDescent="0.25">
      <c r="A219" s="5">
        <v>44374</v>
      </c>
      <c r="B219">
        <v>1.193E-3</v>
      </c>
      <c r="C219">
        <v>1.2750000000000001E-3</v>
      </c>
      <c r="D219">
        <v>1.155E-3</v>
      </c>
      <c r="E219">
        <v>1.1789999999999999E-3</v>
      </c>
      <c r="F219">
        <v>20622.05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-0.60000000000000142</v>
      </c>
      <c r="Q219">
        <f t="shared" si="960"/>
        <v>-12373.230000000029</v>
      </c>
      <c r="R219">
        <f t="shared" si="961"/>
        <v>-8678303.6258031391</v>
      </c>
      <c r="S219">
        <f t="shared" si="962"/>
        <v>-86.783036258031387</v>
      </c>
      <c r="T219">
        <f t="shared" si="963"/>
        <v>-8.6783036258031382E-2</v>
      </c>
    </row>
    <row r="220" spans="1:20" x14ac:dyDescent="0.25">
      <c r="A220" s="5">
        <v>44373</v>
      </c>
      <c r="B220">
        <v>1.2130000000000001E-3</v>
      </c>
      <c r="C220">
        <v>1.222E-3</v>
      </c>
      <c r="D220">
        <v>1.1670000000000001E-3</v>
      </c>
      <c r="E220">
        <v>1.193E-3</v>
      </c>
      <c r="F220">
        <v>13903.51</v>
      </c>
      <c r="G220">
        <v>0</v>
      </c>
      <c r="L220" t="s">
        <v>7</v>
      </c>
      <c r="M220" t="s">
        <v>8</v>
      </c>
      <c r="N220" t="s">
        <v>8</v>
      </c>
      <c r="P220">
        <f t="shared" si="959"/>
        <v>-5.4545454545453974E-2</v>
      </c>
      <c r="Q220">
        <f t="shared" si="960"/>
        <v>-758.37327272726475</v>
      </c>
      <c r="R220">
        <f t="shared" si="961"/>
        <v>-8665930.3958031386</v>
      </c>
      <c r="S220">
        <f t="shared" si="962"/>
        <v>-86.659303958031387</v>
      </c>
      <c r="T220">
        <f t="shared" si="963"/>
        <v>-8.6659303958031383E-2</v>
      </c>
    </row>
    <row r="221" spans="1:20" x14ac:dyDescent="0.25">
      <c r="A221" s="5">
        <v>44372</v>
      </c>
      <c r="B221">
        <v>1.189E-3</v>
      </c>
      <c r="C221">
        <v>1.2899999999999999E-3</v>
      </c>
      <c r="D221">
        <v>1.158E-3</v>
      </c>
      <c r="E221">
        <v>1.2110000000000001E-3</v>
      </c>
      <c r="F221">
        <v>31479.72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-0.19696969696969524</v>
      </c>
      <c r="Q221">
        <f t="shared" si="960"/>
        <v>-6200.5509090908545</v>
      </c>
      <c r="R221">
        <f t="shared" si="961"/>
        <v>-8665172.0225304104</v>
      </c>
      <c r="S221">
        <f t="shared" si="962"/>
        <v>-86.651720225304103</v>
      </c>
      <c r="T221">
        <f t="shared" si="963"/>
        <v>-8.665172022530411E-2</v>
      </c>
    </row>
    <row r="222" spans="1:20" x14ac:dyDescent="0.25">
      <c r="A222" s="5">
        <v>44371</v>
      </c>
      <c r="B222">
        <v>1.0950000000000001E-3</v>
      </c>
      <c r="C222">
        <v>1.3680000000000001E-3</v>
      </c>
      <c r="D222">
        <v>1.077E-3</v>
      </c>
      <c r="E222">
        <v>1.1869999999999999E-3</v>
      </c>
      <c r="F222">
        <v>71782.22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-0.24398625429553372</v>
      </c>
      <c r="Q222">
        <f t="shared" si="960"/>
        <v>-17513.874982817946</v>
      </c>
      <c r="R222">
        <f t="shared" si="961"/>
        <v>-8658971.4716213197</v>
      </c>
      <c r="S222">
        <f t="shared" si="962"/>
        <v>-86.589714716213194</v>
      </c>
      <c r="T222">
        <f t="shared" si="963"/>
        <v>-8.6589714716213198E-2</v>
      </c>
    </row>
    <row r="223" spans="1:20" x14ac:dyDescent="0.25">
      <c r="A223" s="5">
        <v>44370</v>
      </c>
      <c r="B223">
        <v>1.0449999999999999E-3</v>
      </c>
      <c r="C223">
        <v>1.121E-3</v>
      </c>
      <c r="D223">
        <v>1.003E-3</v>
      </c>
      <c r="E223">
        <v>1.0950000000000001E-3</v>
      </c>
      <c r="F223">
        <v>27021.43</v>
      </c>
      <c r="G223">
        <v>0</v>
      </c>
      <c r="L223" t="s">
        <v>8</v>
      </c>
      <c r="M223" t="s">
        <v>7</v>
      </c>
      <c r="N223" t="s">
        <v>7</v>
      </c>
      <c r="P223">
        <f t="shared" si="959"/>
        <v>0.55932203389830559</v>
      </c>
      <c r="Q223">
        <f t="shared" si="960"/>
        <v>15113.681186440692</v>
      </c>
      <c r="R223">
        <f t="shared" si="961"/>
        <v>-8641457.5966385026</v>
      </c>
      <c r="S223">
        <f t="shared" si="962"/>
        <v>-86.41457596638503</v>
      </c>
      <c r="T223">
        <f t="shared" si="963"/>
        <v>-8.6414575966385035E-2</v>
      </c>
    </row>
    <row r="224" spans="1:20" x14ac:dyDescent="0.25">
      <c r="A224" s="5">
        <v>44369</v>
      </c>
      <c r="B224">
        <v>1.181E-3</v>
      </c>
      <c r="C224">
        <v>1.23E-3</v>
      </c>
      <c r="D224">
        <v>9.4300000000000004E-4</v>
      </c>
      <c r="E224">
        <v>1.0449999999999999E-3</v>
      </c>
      <c r="F224">
        <v>80797.460000000006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-0.28919860627177768</v>
      </c>
      <c r="Q224">
        <f t="shared" si="960"/>
        <v>-23366.512822299708</v>
      </c>
      <c r="R224">
        <f t="shared" si="961"/>
        <v>-8656571.2778249439</v>
      </c>
      <c r="S224">
        <f t="shared" si="962"/>
        <v>-86.565712778249434</v>
      </c>
      <c r="T224">
        <f t="shared" si="963"/>
        <v>-8.656571277824944E-2</v>
      </c>
    </row>
    <row r="225" spans="1:20" x14ac:dyDescent="0.25">
      <c r="A225" s="5">
        <v>44368</v>
      </c>
      <c r="B225">
        <v>1.454E-3</v>
      </c>
      <c r="C225">
        <v>1.4549999999999999E-3</v>
      </c>
      <c r="D225">
        <v>1.1440000000000001E-3</v>
      </c>
      <c r="E225">
        <v>1.1789999999999999E-3</v>
      </c>
      <c r="F225">
        <v>41243.71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-0.77491961414791066</v>
      </c>
      <c r="Q225">
        <f t="shared" si="960"/>
        <v>-31960.559839228325</v>
      </c>
      <c r="R225">
        <f t="shared" si="961"/>
        <v>-8633204.7650026437</v>
      </c>
      <c r="S225">
        <f t="shared" si="962"/>
        <v>-86.332047650026439</v>
      </c>
      <c r="T225">
        <f t="shared" si="963"/>
        <v>-8.6332047650026444E-2</v>
      </c>
    </row>
    <row r="226" spans="1:20" x14ac:dyDescent="0.25">
      <c r="A226" s="5">
        <v>44367</v>
      </c>
      <c r="B226">
        <v>1.475E-3</v>
      </c>
      <c r="C226">
        <v>1.4829999999999999E-3</v>
      </c>
      <c r="D226">
        <v>1.392E-3</v>
      </c>
      <c r="E226">
        <v>1.451E-3</v>
      </c>
      <c r="F226">
        <v>25057.3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0.29670329670329815</v>
      </c>
      <c r="Q226">
        <f t="shared" si="960"/>
        <v>7434.5835164835526</v>
      </c>
      <c r="R226">
        <f t="shared" si="961"/>
        <v>-8601244.2051634155</v>
      </c>
      <c r="S226">
        <f t="shared" si="962"/>
        <v>-86.012442051634153</v>
      </c>
      <c r="T226">
        <f t="shared" si="963"/>
        <v>-8.601244205163415E-2</v>
      </c>
    </row>
    <row r="227" spans="1:20" x14ac:dyDescent="0.25">
      <c r="A227" s="5">
        <v>44366</v>
      </c>
      <c r="B227">
        <v>1.513E-3</v>
      </c>
      <c r="C227">
        <v>1.519E-3</v>
      </c>
      <c r="D227">
        <v>1.467E-3</v>
      </c>
      <c r="E227">
        <v>1.472E-3</v>
      </c>
      <c r="F227">
        <v>9396.49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-0.80769230769230704</v>
      </c>
      <c r="Q227">
        <f t="shared" si="960"/>
        <v>-7589.472692307686</v>
      </c>
      <c r="R227">
        <f t="shared" si="961"/>
        <v>-8608678.7886798996</v>
      </c>
      <c r="S227">
        <f t="shared" si="962"/>
        <v>-86.086787886799002</v>
      </c>
      <c r="T227">
        <f t="shared" si="963"/>
        <v>-8.6086787886799007E-2</v>
      </c>
    </row>
    <row r="228" spans="1:20" x14ac:dyDescent="0.25">
      <c r="A228" s="5">
        <v>44365</v>
      </c>
      <c r="B228">
        <v>1.513E-3</v>
      </c>
      <c r="C228">
        <v>1.519E-3</v>
      </c>
      <c r="D228">
        <v>1.4549999999999999E-3</v>
      </c>
      <c r="E228">
        <v>1.5120000000000001E-3</v>
      </c>
      <c r="F228">
        <v>10646.98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0.781250000000005</v>
      </c>
      <c r="Q228">
        <f t="shared" si="960"/>
        <v>8317.9531250000528</v>
      </c>
      <c r="R228">
        <f t="shared" si="961"/>
        <v>-8601089.3159875926</v>
      </c>
      <c r="S228">
        <f t="shared" si="962"/>
        <v>-86.01089315987592</v>
      </c>
      <c r="T228">
        <f t="shared" si="963"/>
        <v>-8.6010893159875923E-2</v>
      </c>
    </row>
    <row r="229" spans="1:20" x14ac:dyDescent="0.25">
      <c r="A229" s="5">
        <v>44364</v>
      </c>
      <c r="B229">
        <v>1.428E-3</v>
      </c>
      <c r="C229">
        <v>1.6180000000000001E-3</v>
      </c>
      <c r="D229">
        <v>1.426E-3</v>
      </c>
      <c r="E229">
        <v>1.518E-3</v>
      </c>
      <c r="F229">
        <v>45653.8</v>
      </c>
      <c r="G229">
        <v>0</v>
      </c>
      <c r="L229" t="s">
        <v>8</v>
      </c>
      <c r="M229" t="s">
        <v>7</v>
      </c>
      <c r="N229" t="s">
        <v>7</v>
      </c>
      <c r="P229">
        <f t="shared" si="959"/>
        <v>-4.1666666666666526E-2</v>
      </c>
      <c r="Q229">
        <f t="shared" si="960"/>
        <v>-1902.2416666666604</v>
      </c>
      <c r="R229">
        <f t="shared" si="961"/>
        <v>-8609407.2691125926</v>
      </c>
      <c r="S229">
        <f t="shared" si="962"/>
        <v>-86.09407269112593</v>
      </c>
      <c r="T229">
        <f t="shared" si="963"/>
        <v>-8.6094072691125928E-2</v>
      </c>
    </row>
    <row r="230" spans="1:20" x14ac:dyDescent="0.25">
      <c r="A230" s="5">
        <v>44363</v>
      </c>
      <c r="B230">
        <v>1.4580000000000001E-3</v>
      </c>
      <c r="C230">
        <v>1.459E-3</v>
      </c>
      <c r="D230">
        <v>1.402E-3</v>
      </c>
      <c r="E230">
        <v>1.4300000000000001E-3</v>
      </c>
      <c r="F230">
        <v>22995.96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-1.7543859649121338E-2</v>
      </c>
      <c r="Q230">
        <f t="shared" si="960"/>
        <v>-403.43789473680835</v>
      </c>
      <c r="R230">
        <f t="shared" si="961"/>
        <v>-8607505.0274459254</v>
      </c>
      <c r="S230">
        <f t="shared" si="962"/>
        <v>-86.075050274459258</v>
      </c>
      <c r="T230">
        <f t="shared" si="963"/>
        <v>-8.6075050274459261E-2</v>
      </c>
    </row>
    <row r="231" spans="1:20" x14ac:dyDescent="0.25">
      <c r="A231" s="5">
        <v>44362</v>
      </c>
      <c r="B231">
        <v>1.4779999999999999E-3</v>
      </c>
      <c r="C231">
        <v>1.493E-3</v>
      </c>
      <c r="D231">
        <v>1.4350000000000001E-3</v>
      </c>
      <c r="E231">
        <v>1.456E-3</v>
      </c>
      <c r="F231">
        <v>14082.8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-0.27586206896551696</v>
      </c>
      <c r="Q231">
        <f t="shared" si="960"/>
        <v>-3884.9103448275819</v>
      </c>
      <c r="R231">
        <f t="shared" si="961"/>
        <v>-8607101.5895511881</v>
      </c>
      <c r="S231">
        <f t="shared" si="962"/>
        <v>-86.071015895511877</v>
      </c>
      <c r="T231">
        <f t="shared" si="963"/>
        <v>-8.6071015895511874E-2</v>
      </c>
    </row>
    <row r="232" spans="1:20" x14ac:dyDescent="0.25">
      <c r="A232" s="5">
        <v>44361</v>
      </c>
      <c r="B232">
        <v>1.513E-3</v>
      </c>
      <c r="C232">
        <v>1.5219999999999999E-3</v>
      </c>
      <c r="D232">
        <v>1.451E-3</v>
      </c>
      <c r="E232">
        <v>1.474E-3</v>
      </c>
      <c r="F232">
        <v>32285.5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-0.3521126760563365</v>
      </c>
      <c r="Q232">
        <f t="shared" si="960"/>
        <v>-11368.133802816852</v>
      </c>
      <c r="R232">
        <f t="shared" si="961"/>
        <v>-8603216.6792063601</v>
      </c>
      <c r="S232">
        <f t="shared" si="962"/>
        <v>-86.032166792063606</v>
      </c>
      <c r="T232">
        <f t="shared" si="963"/>
        <v>-8.6032166792063602E-2</v>
      </c>
    </row>
    <row r="233" spans="1:20" x14ac:dyDescent="0.25">
      <c r="A233" s="5">
        <v>44360</v>
      </c>
      <c r="B233">
        <v>1.578E-3</v>
      </c>
      <c r="C233">
        <v>1.588E-3</v>
      </c>
      <c r="D233">
        <v>1.4840000000000001E-3</v>
      </c>
      <c r="E233">
        <v>1.5070000000000001E-3</v>
      </c>
      <c r="F233">
        <v>43409.63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-0.55769230769230704</v>
      </c>
      <c r="Q233">
        <f t="shared" si="960"/>
        <v>-24209.2167307692</v>
      </c>
      <c r="R233">
        <f t="shared" si="961"/>
        <v>-8591848.5454035439</v>
      </c>
      <c r="S233">
        <f t="shared" si="962"/>
        <v>-85.918485454035434</v>
      </c>
      <c r="T233">
        <f t="shared" si="963"/>
        <v>-8.5918485454035437E-2</v>
      </c>
    </row>
    <row r="234" spans="1:20" x14ac:dyDescent="0.25">
      <c r="A234" s="5">
        <v>44359</v>
      </c>
      <c r="B234">
        <v>1.5430000000000001E-3</v>
      </c>
      <c r="C234">
        <v>1.6559999999999999E-3</v>
      </c>
      <c r="D234">
        <v>1.4350000000000001E-3</v>
      </c>
      <c r="E234">
        <v>1.573E-3</v>
      </c>
      <c r="F234">
        <v>85177.51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0.24886877828054282</v>
      </c>
      <c r="Q234">
        <f t="shared" si="960"/>
        <v>21198.022850678717</v>
      </c>
      <c r="R234">
        <f t="shared" si="961"/>
        <v>-8567639.3286727741</v>
      </c>
      <c r="S234">
        <f t="shared" si="962"/>
        <v>-85.676393286727745</v>
      </c>
      <c r="T234">
        <f t="shared" si="963"/>
        <v>-8.5676393286727742E-2</v>
      </c>
    </row>
    <row r="235" spans="1:20" x14ac:dyDescent="0.25">
      <c r="A235" s="5">
        <v>44358</v>
      </c>
      <c r="B235">
        <v>1.89E-3</v>
      </c>
      <c r="C235">
        <v>1.895E-3</v>
      </c>
      <c r="D235">
        <v>1.5399999999999999E-3</v>
      </c>
      <c r="E235">
        <v>1.5430000000000001E-3</v>
      </c>
      <c r="F235">
        <v>111917.27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-0.9830985915492948</v>
      </c>
      <c r="Q235">
        <f t="shared" si="960"/>
        <v>-110025.71050704215</v>
      </c>
      <c r="R235">
        <f t="shared" si="961"/>
        <v>-8588837.3515234534</v>
      </c>
      <c r="S235">
        <f t="shared" si="962"/>
        <v>-85.888373515234534</v>
      </c>
      <c r="T235">
        <f t="shared" si="963"/>
        <v>-8.588837351523454E-2</v>
      </c>
    </row>
    <row r="236" spans="1:20" x14ac:dyDescent="0.25">
      <c r="A236" s="5">
        <v>44357</v>
      </c>
      <c r="B236">
        <v>1.9059999999999999E-3</v>
      </c>
      <c r="C236">
        <v>2.1979999999999999E-3</v>
      </c>
      <c r="D236">
        <v>1.815E-3</v>
      </c>
      <c r="E236">
        <v>1.8910000000000001E-3</v>
      </c>
      <c r="F236">
        <v>219010.63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-0.60313315926892874</v>
      </c>
      <c r="Q236">
        <f t="shared" si="960"/>
        <v>-132092.57318537842</v>
      </c>
      <c r="R236">
        <f t="shared" si="961"/>
        <v>-8478811.6410164107</v>
      </c>
      <c r="S236">
        <f t="shared" si="962"/>
        <v>-84.788116410164108</v>
      </c>
      <c r="T236">
        <f t="shared" si="963"/>
        <v>-8.4788116410164108E-2</v>
      </c>
    </row>
    <row r="237" spans="1:20" x14ac:dyDescent="0.25">
      <c r="A237" s="5">
        <v>44356</v>
      </c>
      <c r="B237">
        <v>1.5820000000000001E-3</v>
      </c>
      <c r="C237">
        <v>2.6189999999999998E-3</v>
      </c>
      <c r="D237">
        <v>1.5020000000000001E-3</v>
      </c>
      <c r="E237">
        <v>1.9059999999999999E-3</v>
      </c>
      <c r="F237">
        <v>388253.66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-0.27663384064458379</v>
      </c>
      <c r="Q237">
        <f t="shared" si="960"/>
        <v>-107404.1011101164</v>
      </c>
      <c r="R237">
        <f t="shared" si="961"/>
        <v>-8346719.0678310329</v>
      </c>
      <c r="S237">
        <f t="shared" si="962"/>
        <v>-83.467190678310331</v>
      </c>
      <c r="T237">
        <f t="shared" si="963"/>
        <v>-8.3467190678310335E-2</v>
      </c>
    </row>
    <row r="238" spans="1:20" x14ac:dyDescent="0.25">
      <c r="A238" s="5">
        <v>44355</v>
      </c>
      <c r="B238">
        <v>1.5120000000000001E-3</v>
      </c>
      <c r="C238">
        <v>1.735E-3</v>
      </c>
      <c r="D238">
        <v>1.4450000000000001E-3</v>
      </c>
      <c r="E238">
        <v>1.583E-3</v>
      </c>
      <c r="F238">
        <v>102409.33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-4.8275862068965961E-2</v>
      </c>
      <c r="Q238">
        <f t="shared" si="960"/>
        <v>-4943.8986896552178</v>
      </c>
      <c r="R238">
        <f t="shared" si="961"/>
        <v>-8239314.9667209163</v>
      </c>
      <c r="S238">
        <f t="shared" si="962"/>
        <v>-82.393149667209158</v>
      </c>
      <c r="T238">
        <f t="shared" si="963"/>
        <v>-8.2393149667209162E-2</v>
      </c>
    </row>
    <row r="239" spans="1:20" x14ac:dyDescent="0.25">
      <c r="A239" s="5">
        <v>44354</v>
      </c>
      <c r="B239">
        <v>1.5790000000000001E-3</v>
      </c>
      <c r="C239">
        <v>1.5920000000000001E-3</v>
      </c>
      <c r="D239">
        <v>1.506E-3</v>
      </c>
      <c r="E239">
        <v>1.5120000000000001E-3</v>
      </c>
      <c r="F239">
        <v>23285.919999999998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-0.86046511627906663</v>
      </c>
      <c r="Q239">
        <f t="shared" si="960"/>
        <v>-20036.721860465041</v>
      </c>
      <c r="R239">
        <f t="shared" si="961"/>
        <v>-8234371.0680312607</v>
      </c>
      <c r="S239">
        <f t="shared" si="962"/>
        <v>-82.343710680312611</v>
      </c>
      <c r="T239">
        <f t="shared" si="963"/>
        <v>-8.2343710680312612E-2</v>
      </c>
    </row>
    <row r="240" spans="1:20" x14ac:dyDescent="0.25">
      <c r="A240" s="5">
        <v>44353</v>
      </c>
      <c r="B240">
        <v>1.555E-3</v>
      </c>
      <c r="C240">
        <v>1.771E-3</v>
      </c>
      <c r="D240">
        <v>1.544E-3</v>
      </c>
      <c r="E240">
        <v>1.5809999999999999E-3</v>
      </c>
      <c r="F240">
        <v>38353.72</v>
      </c>
      <c r="G240">
        <v>0</v>
      </c>
      <c r="L240" t="s">
        <v>8</v>
      </c>
      <c r="M240" t="s">
        <v>8</v>
      </c>
      <c r="N240" t="s">
        <v>7</v>
      </c>
      <c r="P240">
        <f t="shared" si="959"/>
        <v>-0.67400881057268791</v>
      </c>
      <c r="Q240">
        <f t="shared" si="960"/>
        <v>-25850.745198237913</v>
      </c>
      <c r="R240">
        <f t="shared" si="961"/>
        <v>-8214334.3461707961</v>
      </c>
      <c r="S240">
        <f t="shared" si="962"/>
        <v>-82.143343461707957</v>
      </c>
      <c r="T240">
        <f t="shared" si="963"/>
        <v>-8.2143343461707957E-2</v>
      </c>
    </row>
    <row r="241" spans="1:20" x14ac:dyDescent="0.25">
      <c r="A241" s="5">
        <v>44352</v>
      </c>
      <c r="B241">
        <v>1.5529999999999999E-3</v>
      </c>
      <c r="C241">
        <v>1.57E-3</v>
      </c>
      <c r="D241">
        <v>1.5330000000000001E-3</v>
      </c>
      <c r="E241">
        <v>1.552E-3</v>
      </c>
      <c r="F241">
        <v>13505.62</v>
      </c>
      <c r="G241">
        <v>0</v>
      </c>
      <c r="L241" t="s">
        <v>7</v>
      </c>
      <c r="M241" t="s">
        <v>8</v>
      </c>
      <c r="N241" t="s">
        <v>7</v>
      </c>
      <c r="P241">
        <f t="shared" si="959"/>
        <v>2.7027027027024808E-2</v>
      </c>
      <c r="Q241">
        <f t="shared" si="960"/>
        <v>365.01675675672681</v>
      </c>
      <c r="R241">
        <f t="shared" si="961"/>
        <v>-8188483.6009725584</v>
      </c>
      <c r="S241">
        <f t="shared" si="962"/>
        <v>-81.884836009725589</v>
      </c>
      <c r="T241">
        <f t="shared" si="963"/>
        <v>-8.1884836009725584E-2</v>
      </c>
    </row>
    <row r="242" spans="1:20" x14ac:dyDescent="0.25">
      <c r="A242" s="5">
        <v>44351</v>
      </c>
      <c r="B242">
        <v>1.578E-3</v>
      </c>
      <c r="C242">
        <v>1.5809999999999999E-3</v>
      </c>
      <c r="D242">
        <v>1.524E-3</v>
      </c>
      <c r="E242">
        <v>1.557E-3</v>
      </c>
      <c r="F242">
        <v>12855.92</v>
      </c>
      <c r="G242">
        <v>0</v>
      </c>
      <c r="L242" t="s">
        <v>7</v>
      </c>
      <c r="M242" t="s">
        <v>8</v>
      </c>
      <c r="N242" t="s">
        <v>7</v>
      </c>
      <c r="P242">
        <f t="shared" si="959"/>
        <v>0.15789473684210725</v>
      </c>
      <c r="Q242">
        <f t="shared" si="960"/>
        <v>2029.8821052631836</v>
      </c>
      <c r="R242">
        <f t="shared" si="961"/>
        <v>-8188848.6177293155</v>
      </c>
      <c r="S242">
        <f t="shared" si="962"/>
        <v>-81.88848617729316</v>
      </c>
      <c r="T242">
        <f t="shared" si="963"/>
        <v>-8.1888486177293163E-2</v>
      </c>
    </row>
    <row r="243" spans="1:20" x14ac:dyDescent="0.25">
      <c r="A243" s="5">
        <v>44350</v>
      </c>
      <c r="B243">
        <v>1.5709999999999999E-3</v>
      </c>
      <c r="C243">
        <v>1.5900000000000001E-3</v>
      </c>
      <c r="D243">
        <v>1.544E-3</v>
      </c>
      <c r="E243">
        <v>1.5759999999999999E-3</v>
      </c>
      <c r="F243">
        <v>10448.370000000001</v>
      </c>
      <c r="G243">
        <v>0</v>
      </c>
      <c r="L243" t="s">
        <v>7</v>
      </c>
      <c r="M243" t="s">
        <v>8</v>
      </c>
      <c r="N243" t="s">
        <v>7</v>
      </c>
      <c r="P243">
        <f t="shared" si="959"/>
        <v>0.39130434782608203</v>
      </c>
      <c r="Q243">
        <f t="shared" si="960"/>
        <v>4088.4926086956011</v>
      </c>
      <c r="R243">
        <f t="shared" si="961"/>
        <v>-8190878.4998345785</v>
      </c>
      <c r="S243">
        <f t="shared" si="962"/>
        <v>-81.90878499834578</v>
      </c>
      <c r="T243">
        <f t="shared" si="963"/>
        <v>-8.1908784998345779E-2</v>
      </c>
    </row>
    <row r="244" spans="1:20" x14ac:dyDescent="0.25">
      <c r="A244" s="5">
        <v>44349</v>
      </c>
      <c r="B244">
        <v>1.5740000000000001E-3</v>
      </c>
      <c r="C244">
        <v>1.5809999999999999E-3</v>
      </c>
      <c r="D244">
        <v>1.5529999999999999E-3</v>
      </c>
      <c r="E244">
        <v>1.572E-3</v>
      </c>
      <c r="F244">
        <v>8683.6200000000008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0.35714285714286542</v>
      </c>
      <c r="Q244">
        <f t="shared" si="960"/>
        <v>3101.2928571429293</v>
      </c>
      <c r="R244">
        <f t="shared" si="961"/>
        <v>-8194966.9924432738</v>
      </c>
      <c r="S244">
        <f t="shared" si="962"/>
        <v>-81.94966992443274</v>
      </c>
      <c r="T244">
        <f t="shared" si="963"/>
        <v>-8.1949669924432741E-2</v>
      </c>
    </row>
    <row r="245" spans="1:20" x14ac:dyDescent="0.25">
      <c r="A245" s="5">
        <v>44348</v>
      </c>
      <c r="B245">
        <v>1.6119999999999999E-3</v>
      </c>
      <c r="C245">
        <v>1.6149999999999999E-3</v>
      </c>
      <c r="D245">
        <v>1.5590000000000001E-3</v>
      </c>
      <c r="E245">
        <v>1.573E-3</v>
      </c>
      <c r="F245">
        <v>11072.52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-0.50000000000000189</v>
      </c>
      <c r="Q245">
        <f t="shared" si="960"/>
        <v>-5536.2600000000211</v>
      </c>
      <c r="R245">
        <f t="shared" si="961"/>
        <v>-8198068.2853004169</v>
      </c>
      <c r="S245">
        <f t="shared" si="962"/>
        <v>-81.980682853004168</v>
      </c>
      <c r="T245">
        <f t="shared" si="963"/>
        <v>-8.1980682853004166E-2</v>
      </c>
    </row>
    <row r="246" spans="1:20" x14ac:dyDescent="0.25">
      <c r="A246" s="5">
        <v>44347</v>
      </c>
      <c r="B246">
        <v>1.6000000000000001E-3</v>
      </c>
      <c r="C246">
        <v>1.6180000000000001E-3</v>
      </c>
      <c r="D246">
        <v>1.537E-3</v>
      </c>
      <c r="E246">
        <v>1.6119999999999999E-3</v>
      </c>
      <c r="F246">
        <v>24982.23</v>
      </c>
      <c r="G246">
        <v>0</v>
      </c>
      <c r="L246" t="s">
        <v>7</v>
      </c>
      <c r="M246" t="s">
        <v>8</v>
      </c>
      <c r="N246" t="s">
        <v>7</v>
      </c>
      <c r="P246">
        <f t="shared" si="959"/>
        <v>0.85185185185184853</v>
      </c>
      <c r="Q246">
        <f t="shared" si="960"/>
        <v>21281.158888888807</v>
      </c>
      <c r="R246">
        <f t="shared" si="961"/>
        <v>-8192532.0253004171</v>
      </c>
      <c r="S246">
        <f t="shared" si="962"/>
        <v>-81.925320253004173</v>
      </c>
      <c r="T246">
        <f t="shared" si="963"/>
        <v>-8.1925320253004169E-2</v>
      </c>
    </row>
    <row r="247" spans="1:20" x14ac:dyDescent="0.25">
      <c r="A247" s="5">
        <v>44346</v>
      </c>
      <c r="B247">
        <v>1.616E-3</v>
      </c>
      <c r="C247">
        <v>1.681E-3</v>
      </c>
      <c r="D247">
        <v>1.5200000000000001E-3</v>
      </c>
      <c r="E247">
        <v>1.6000000000000001E-3</v>
      </c>
      <c r="F247">
        <v>20932.689999999999</v>
      </c>
      <c r="G247">
        <v>0</v>
      </c>
      <c r="L247" t="s">
        <v>7</v>
      </c>
      <c r="M247" t="s">
        <v>8</v>
      </c>
      <c r="N247" t="s">
        <v>7</v>
      </c>
      <c r="P247">
        <f t="shared" si="959"/>
        <v>-6.2111801242230842E-3</v>
      </c>
      <c r="Q247">
        <f t="shared" si="960"/>
        <v>-130.01670807452331</v>
      </c>
      <c r="R247">
        <f t="shared" si="961"/>
        <v>-8213813.1841893056</v>
      </c>
      <c r="S247">
        <f t="shared" si="962"/>
        <v>-82.138131841893056</v>
      </c>
      <c r="T247">
        <f t="shared" si="963"/>
        <v>-8.2138131841893058E-2</v>
      </c>
    </row>
    <row r="248" spans="1:20" x14ac:dyDescent="0.25">
      <c r="A248" s="5">
        <v>44345</v>
      </c>
      <c r="B248">
        <v>1.6410000000000001E-3</v>
      </c>
      <c r="C248">
        <v>1.769E-3</v>
      </c>
      <c r="D248">
        <v>1.5460000000000001E-3</v>
      </c>
      <c r="E248">
        <v>1.614E-3</v>
      </c>
      <c r="F248">
        <v>28256.06</v>
      </c>
      <c r="G248">
        <v>0</v>
      </c>
      <c r="L248" t="s">
        <v>7</v>
      </c>
      <c r="M248" t="s">
        <v>8</v>
      </c>
      <c r="N248" t="s">
        <v>7</v>
      </c>
      <c r="P248">
        <f t="shared" si="959"/>
        <v>-0.39013452914798252</v>
      </c>
      <c r="Q248">
        <f t="shared" si="960"/>
        <v>-11023.664663677144</v>
      </c>
      <c r="R248">
        <f t="shared" si="961"/>
        <v>-8213683.1674812315</v>
      </c>
      <c r="S248">
        <f t="shared" si="962"/>
        <v>-82.136831674812314</v>
      </c>
      <c r="T248">
        <f t="shared" si="963"/>
        <v>-8.2136831674812311E-2</v>
      </c>
    </row>
    <row r="249" spans="1:20" x14ac:dyDescent="0.25">
      <c r="A249" s="5">
        <v>44344</v>
      </c>
      <c r="B249">
        <v>1.725E-3</v>
      </c>
      <c r="C249">
        <v>1.7440000000000001E-3</v>
      </c>
      <c r="D249">
        <v>1.583E-3</v>
      </c>
      <c r="E249">
        <v>1.6379999999999999E-3</v>
      </c>
      <c r="F249">
        <v>25991.97</v>
      </c>
      <c r="G249">
        <v>0</v>
      </c>
      <c r="L249" t="s">
        <v>7</v>
      </c>
      <c r="M249" t="s">
        <v>8</v>
      </c>
      <c r="N249" t="s">
        <v>7</v>
      </c>
      <c r="P249">
        <f t="shared" si="959"/>
        <v>-0.31677018633540516</v>
      </c>
      <c r="Q249">
        <f t="shared" si="960"/>
        <v>-8233.4811801242613</v>
      </c>
      <c r="R249">
        <f t="shared" si="961"/>
        <v>-8202659.5028175544</v>
      </c>
      <c r="S249">
        <f t="shared" si="962"/>
        <v>-82.026595028175549</v>
      </c>
      <c r="T249">
        <f t="shared" si="963"/>
        <v>-8.2026595028175553E-2</v>
      </c>
    </row>
    <row r="250" spans="1:20" x14ac:dyDescent="0.25">
      <c r="A250" s="5">
        <v>44343</v>
      </c>
      <c r="B250">
        <v>1.694E-3</v>
      </c>
      <c r="C250">
        <v>1.7949999999999999E-3</v>
      </c>
      <c r="D250">
        <v>1.645E-3</v>
      </c>
      <c r="E250">
        <v>1.7279999999999999E-3</v>
      </c>
      <c r="F250">
        <v>23453.34</v>
      </c>
      <c r="G250">
        <v>0</v>
      </c>
      <c r="L250" t="s">
        <v>8</v>
      </c>
      <c r="M250" t="s">
        <v>8</v>
      </c>
      <c r="N250" t="s">
        <v>7</v>
      </c>
      <c r="P250">
        <f t="shared" si="959"/>
        <v>0.1066666666666664</v>
      </c>
      <c r="Q250">
        <f t="shared" si="960"/>
        <v>2501.6895999999938</v>
      </c>
      <c r="R250">
        <f t="shared" si="961"/>
        <v>-8194426.0216374304</v>
      </c>
      <c r="S250">
        <f t="shared" si="962"/>
        <v>-81.944260216374303</v>
      </c>
      <c r="T250">
        <f t="shared" si="963"/>
        <v>-8.1944260216374298E-2</v>
      </c>
    </row>
    <row r="251" spans="1:20" x14ac:dyDescent="0.25">
      <c r="A251" s="5">
        <v>44342</v>
      </c>
      <c r="B251">
        <v>1.637E-3</v>
      </c>
      <c r="C251">
        <v>1.7030000000000001E-3</v>
      </c>
      <c r="D251">
        <v>1.5989999999999999E-3</v>
      </c>
      <c r="E251">
        <v>1.6999999999999999E-3</v>
      </c>
      <c r="F251">
        <v>18317.07</v>
      </c>
      <c r="G251">
        <v>0</v>
      </c>
      <c r="L251" t="s">
        <v>7</v>
      </c>
      <c r="M251" t="s">
        <v>8</v>
      </c>
      <c r="N251" t="s">
        <v>7</v>
      </c>
      <c r="P251">
        <f t="shared" si="959"/>
        <v>0.94230769230768885</v>
      </c>
      <c r="Q251">
        <f t="shared" si="960"/>
        <v>17260.315961538399</v>
      </c>
      <c r="R251">
        <f t="shared" si="961"/>
        <v>-8196927.7112374306</v>
      </c>
      <c r="S251">
        <f t="shared" si="962"/>
        <v>-81.9692771123743</v>
      </c>
      <c r="T251">
        <f t="shared" si="963"/>
        <v>-8.1969277112374297E-2</v>
      </c>
    </row>
    <row r="252" spans="1:20" x14ac:dyDescent="0.25">
      <c r="A252" s="5">
        <v>44341</v>
      </c>
      <c r="B252">
        <v>1.606E-3</v>
      </c>
      <c r="C252">
        <v>1.7110000000000001E-3</v>
      </c>
      <c r="D252">
        <v>1.5280000000000001E-3</v>
      </c>
      <c r="E252">
        <v>1.6360000000000001E-3</v>
      </c>
      <c r="F252">
        <v>58828.55</v>
      </c>
      <c r="G252">
        <v>0</v>
      </c>
      <c r="L252" t="s">
        <v>8</v>
      </c>
      <c r="M252" t="s">
        <v>8</v>
      </c>
      <c r="N252" t="s">
        <v>7</v>
      </c>
      <c r="P252">
        <f t="shared" si="959"/>
        <v>0.18032786885245924</v>
      </c>
      <c r="Q252">
        <f t="shared" si="960"/>
        <v>10608.427049180342</v>
      </c>
      <c r="R252">
        <f t="shared" si="961"/>
        <v>-8214188.0271989694</v>
      </c>
      <c r="S252">
        <f t="shared" si="962"/>
        <v>-82.141880271989692</v>
      </c>
      <c r="T252">
        <f t="shared" si="963"/>
        <v>-8.2141880271989695E-2</v>
      </c>
    </row>
    <row r="253" spans="1:20" x14ac:dyDescent="0.25">
      <c r="A253" s="5">
        <v>44340</v>
      </c>
      <c r="B253">
        <v>1.4430000000000001E-3</v>
      </c>
      <c r="C253">
        <v>1.6559999999999999E-3</v>
      </c>
      <c r="D253">
        <v>1.3090000000000001E-3</v>
      </c>
      <c r="E253">
        <v>1.601E-3</v>
      </c>
      <c r="F253">
        <v>61852.13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0.68299711815561992</v>
      </c>
      <c r="Q253">
        <f t="shared" si="960"/>
        <v>42244.826541786759</v>
      </c>
      <c r="R253">
        <f t="shared" si="961"/>
        <v>-8224796.4542481499</v>
      </c>
      <c r="S253">
        <f t="shared" si="962"/>
        <v>-82.247964542481498</v>
      </c>
      <c r="T253">
        <f t="shared" si="963"/>
        <v>-8.2247964542481497E-2</v>
      </c>
    </row>
    <row r="254" spans="1:20" x14ac:dyDescent="0.25">
      <c r="A254" s="5">
        <v>44339</v>
      </c>
      <c r="B254">
        <v>1.4859999999999999E-3</v>
      </c>
      <c r="C254">
        <v>1.74E-3</v>
      </c>
      <c r="D254">
        <v>1.2899999999999999E-3</v>
      </c>
      <c r="E254">
        <v>1.446E-3</v>
      </c>
      <c r="F254">
        <v>186181.26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-0.30666666666666637</v>
      </c>
      <c r="Q254">
        <f t="shared" si="960"/>
        <v>-57095.586399999949</v>
      </c>
      <c r="R254">
        <f t="shared" si="961"/>
        <v>-8267041.2807899369</v>
      </c>
      <c r="S254">
        <f t="shared" si="962"/>
        <v>-82.670412807899368</v>
      </c>
      <c r="T254">
        <f t="shared" si="963"/>
        <v>-8.2670412807899371E-2</v>
      </c>
    </row>
    <row r="255" spans="1:20" x14ac:dyDescent="0.25">
      <c r="A255" s="5">
        <v>44338</v>
      </c>
      <c r="B255">
        <v>1.64E-3</v>
      </c>
      <c r="C255">
        <v>1.645E-3</v>
      </c>
      <c r="D255">
        <v>1.4419999999999999E-3</v>
      </c>
      <c r="E255">
        <v>1.4859999999999999E-3</v>
      </c>
      <c r="F255">
        <v>47682.15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-0.5665024630541875</v>
      </c>
      <c r="Q255">
        <f t="shared" si="960"/>
        <v>-27012.055418719228</v>
      </c>
      <c r="R255">
        <f t="shared" si="961"/>
        <v>-8209945.6943899365</v>
      </c>
      <c r="S255">
        <f t="shared" si="962"/>
        <v>-82.099456943899369</v>
      </c>
      <c r="T255">
        <f t="shared" si="963"/>
        <v>-8.2099456943899363E-2</v>
      </c>
    </row>
    <row r="256" spans="1:20" x14ac:dyDescent="0.25">
      <c r="A256" s="5">
        <v>44337</v>
      </c>
      <c r="B256">
        <v>1.6930000000000001E-3</v>
      </c>
      <c r="C256">
        <v>1.758E-3</v>
      </c>
      <c r="D256">
        <v>1.531E-3</v>
      </c>
      <c r="E256">
        <v>1.64E-3</v>
      </c>
      <c r="F256">
        <v>53274.62</v>
      </c>
      <c r="G256">
        <v>0</v>
      </c>
      <c r="L256" t="s">
        <v>7</v>
      </c>
      <c r="M256" t="s">
        <v>8</v>
      </c>
      <c r="N256" t="s">
        <v>7</v>
      </c>
      <c r="P256">
        <f t="shared" si="959"/>
        <v>-3.9647577092511502E-2</v>
      </c>
      <c r="Q256">
        <f t="shared" si="960"/>
        <v>-2112.2096035242553</v>
      </c>
      <c r="R256">
        <f t="shared" si="961"/>
        <v>-8182933.638971217</v>
      </c>
      <c r="S256">
        <f t="shared" si="962"/>
        <v>-81.829336389712168</v>
      </c>
      <c r="T256">
        <f t="shared" si="963"/>
        <v>-8.1829336389712168E-2</v>
      </c>
    </row>
    <row r="257" spans="1:20" x14ac:dyDescent="0.25">
      <c r="A257" s="5">
        <v>44336</v>
      </c>
      <c r="B257">
        <v>1.5790000000000001E-3</v>
      </c>
      <c r="C257">
        <v>1.7780000000000001E-3</v>
      </c>
      <c r="D257">
        <v>1.4270000000000001E-3</v>
      </c>
      <c r="E257">
        <v>1.6900000000000001E-3</v>
      </c>
      <c r="F257">
        <v>70999.19</v>
      </c>
      <c r="G257">
        <v>0</v>
      </c>
      <c r="L257" t="s">
        <v>8</v>
      </c>
      <c r="M257" t="s">
        <v>8</v>
      </c>
      <c r="N257" t="s">
        <v>7</v>
      </c>
      <c r="P257">
        <f t="shared" si="959"/>
        <v>0.49857549857549871</v>
      </c>
      <c r="Q257">
        <f t="shared" si="960"/>
        <v>35398.456552706564</v>
      </c>
      <c r="R257">
        <f t="shared" si="961"/>
        <v>-8180821.4293676931</v>
      </c>
      <c r="S257">
        <f t="shared" si="962"/>
        <v>-81.808214293676926</v>
      </c>
      <c r="T257">
        <f t="shared" si="963"/>
        <v>-8.180821429367692E-2</v>
      </c>
    </row>
    <row r="258" spans="1:20" x14ac:dyDescent="0.25">
      <c r="A258" s="5">
        <v>44335</v>
      </c>
      <c r="B258">
        <v>2.0379999999999999E-3</v>
      </c>
      <c r="C258">
        <v>2.0409999999999998E-3</v>
      </c>
      <c r="D258">
        <v>1.3320000000000001E-3</v>
      </c>
      <c r="E258">
        <v>1.585E-3</v>
      </c>
      <c r="F258">
        <v>109197.54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-0.28631875881523261</v>
      </c>
      <c r="Q258">
        <f t="shared" si="960"/>
        <v>-31265.304118476713</v>
      </c>
      <c r="R258">
        <f t="shared" si="961"/>
        <v>-8216219.8859203998</v>
      </c>
      <c r="S258">
        <f t="shared" si="962"/>
        <v>-82.162198859203997</v>
      </c>
      <c r="T258">
        <f t="shared" si="963"/>
        <v>-8.2162198859203991E-2</v>
      </c>
    </row>
    <row r="259" spans="1:20" x14ac:dyDescent="0.25">
      <c r="A259" s="5">
        <v>44334</v>
      </c>
      <c r="B259">
        <v>1.9910000000000001E-3</v>
      </c>
      <c r="C259">
        <v>2.0539999999999998E-3</v>
      </c>
      <c r="D259">
        <v>1.9530000000000001E-3</v>
      </c>
      <c r="E259">
        <v>2.0400000000000001E-3</v>
      </c>
      <c r="F259">
        <v>30966.19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0.72277227722772819</v>
      </c>
      <c r="Q259">
        <f t="shared" si="960"/>
        <v>22381.503663366504</v>
      </c>
      <c r="R259">
        <f t="shared" si="961"/>
        <v>-8184954.581801923</v>
      </c>
      <c r="S259">
        <f t="shared" si="962"/>
        <v>-81.849545818019223</v>
      </c>
      <c r="T259">
        <f t="shared" si="963"/>
        <v>-8.1849545818019218E-2</v>
      </c>
    </row>
    <row r="260" spans="1:20" x14ac:dyDescent="0.25">
      <c r="A260" s="5">
        <v>44333</v>
      </c>
      <c r="B260">
        <v>2.0430000000000001E-3</v>
      </c>
      <c r="C260">
        <v>2.0730000000000002E-3</v>
      </c>
      <c r="D260">
        <v>1.8799999999999999E-3</v>
      </c>
      <c r="E260">
        <v>1.99E-3</v>
      </c>
      <c r="F260">
        <v>56855.85</v>
      </c>
      <c r="G260">
        <v>0</v>
      </c>
      <c r="L260" t="s">
        <v>7</v>
      </c>
      <c r="M260" t="s">
        <v>8</v>
      </c>
      <c r="N260" t="s">
        <v>7</v>
      </c>
      <c r="P260">
        <f t="shared" si="959"/>
        <v>0.13989637305699412</v>
      </c>
      <c r="Q260">
        <f t="shared" si="960"/>
        <v>7953.9272020724993</v>
      </c>
      <c r="R260">
        <f t="shared" si="961"/>
        <v>-8207336.0854652897</v>
      </c>
      <c r="S260">
        <f t="shared" si="962"/>
        <v>-82.07336085465289</v>
      </c>
      <c r="T260">
        <f t="shared" si="963"/>
        <v>-8.2073360854652888E-2</v>
      </c>
    </row>
    <row r="261" spans="1:20" x14ac:dyDescent="0.25">
      <c r="A261" s="5">
        <v>44332</v>
      </c>
      <c r="B261">
        <v>2.042E-3</v>
      </c>
      <c r="C261">
        <v>2.085E-3</v>
      </c>
      <c r="D261">
        <v>1.9740000000000001E-3</v>
      </c>
      <c r="E261">
        <v>2.0400000000000001E-3</v>
      </c>
      <c r="F261">
        <v>29884.7</v>
      </c>
      <c r="G261">
        <v>0</v>
      </c>
      <c r="L261" t="s">
        <v>7</v>
      </c>
      <c r="M261" t="s">
        <v>8</v>
      </c>
      <c r="N261" t="s">
        <v>7</v>
      </c>
      <c r="P261">
        <f t="shared" si="959"/>
        <v>0.18918918918919087</v>
      </c>
      <c r="Q261">
        <f t="shared" si="960"/>
        <v>5653.8621621622124</v>
      </c>
      <c r="R261">
        <f t="shared" si="961"/>
        <v>-8215290.0126673626</v>
      </c>
      <c r="S261">
        <f t="shared" si="962"/>
        <v>-82.152900126673629</v>
      </c>
      <c r="T261">
        <f t="shared" si="963"/>
        <v>-8.2152900126673631E-2</v>
      </c>
    </row>
    <row r="262" spans="1:20" x14ac:dyDescent="0.25">
      <c r="A262" s="5">
        <v>44331</v>
      </c>
      <c r="B262">
        <v>2.0530000000000001E-3</v>
      </c>
      <c r="C262">
        <v>2.1979999999999999E-3</v>
      </c>
      <c r="D262">
        <v>1.9750000000000002E-3</v>
      </c>
      <c r="E262">
        <v>2.0479999999999999E-3</v>
      </c>
      <c r="F262">
        <v>43795.82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-0.34529147982062941</v>
      </c>
      <c r="Q262">
        <f t="shared" ref="Q262:Q325" si="965">F262*P262</f>
        <v>-15122.323497757918</v>
      </c>
      <c r="R262">
        <f t="shared" ref="R262:R325" si="966">R263+Q262</f>
        <v>-8220943.8748295251</v>
      </c>
      <c r="S262">
        <f t="shared" ref="S262:S325" si="967">R262/100000</f>
        <v>-82.209438748295256</v>
      </c>
      <c r="T262">
        <f t="shared" ref="T262:T325" si="968">S262/1000</f>
        <v>-8.2209438748295255E-2</v>
      </c>
    </row>
    <row r="263" spans="1:20" x14ac:dyDescent="0.25">
      <c r="A263" s="5">
        <v>44330</v>
      </c>
      <c r="B263">
        <v>1.885E-3</v>
      </c>
      <c r="C263">
        <v>2.1210000000000001E-3</v>
      </c>
      <c r="D263">
        <v>1.8580000000000001E-3</v>
      </c>
      <c r="E263">
        <v>2.049E-3</v>
      </c>
      <c r="F263">
        <v>73604.77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0.45247148288973371</v>
      </c>
      <c r="Q263">
        <f t="shared" si="965"/>
        <v>33304.059429657784</v>
      </c>
      <c r="R263">
        <f t="shared" si="966"/>
        <v>-8205821.5513317669</v>
      </c>
      <c r="S263">
        <f t="shared" si="967"/>
        <v>-82.058215513317663</v>
      </c>
      <c r="T263">
        <f t="shared" si="968"/>
        <v>-8.2058215513317656E-2</v>
      </c>
    </row>
    <row r="264" spans="1:20" x14ac:dyDescent="0.25">
      <c r="A264" s="5">
        <v>44329</v>
      </c>
      <c r="B264">
        <v>1.8519999999999999E-3</v>
      </c>
      <c r="C264">
        <v>2.0219999999999999E-3</v>
      </c>
      <c r="D264">
        <v>1.776E-3</v>
      </c>
      <c r="E264">
        <v>1.887E-3</v>
      </c>
      <c r="F264">
        <v>90452.93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-9.7560975609755865E-2</v>
      </c>
      <c r="Q264">
        <f t="shared" si="965"/>
        <v>-8824.6760975609541</v>
      </c>
      <c r="R264">
        <f t="shared" si="966"/>
        <v>-8239125.6107614245</v>
      </c>
      <c r="S264">
        <f t="shared" si="967"/>
        <v>-82.39125610761424</v>
      </c>
      <c r="T264">
        <f t="shared" si="968"/>
        <v>-8.2391256107614233E-2</v>
      </c>
    </row>
    <row r="265" spans="1:20" x14ac:dyDescent="0.25">
      <c r="A265" s="5">
        <v>44328</v>
      </c>
      <c r="B265">
        <v>2.1059999999999998E-3</v>
      </c>
      <c r="C265">
        <v>2.1350000000000002E-3</v>
      </c>
      <c r="D265">
        <v>1.8400000000000001E-3</v>
      </c>
      <c r="E265">
        <v>1.843E-3</v>
      </c>
      <c r="F265">
        <v>54838.27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-0.97966101694915275</v>
      </c>
      <c r="Q265">
        <f t="shared" si="965"/>
        <v>-53722.915355932215</v>
      </c>
      <c r="R265">
        <f t="shared" si="966"/>
        <v>-8230300.9346638639</v>
      </c>
      <c r="S265">
        <f t="shared" si="967"/>
        <v>-82.303009346638632</v>
      </c>
      <c r="T265">
        <f t="shared" si="968"/>
        <v>-8.2303009346638631E-2</v>
      </c>
    </row>
    <row r="266" spans="1:20" x14ac:dyDescent="0.25">
      <c r="A266" s="5">
        <v>44327</v>
      </c>
      <c r="B266">
        <v>1.983E-3</v>
      </c>
      <c r="C266">
        <v>2.1440000000000001E-3</v>
      </c>
      <c r="D266">
        <v>1.9040000000000001E-3</v>
      </c>
      <c r="E266">
        <v>2.1069999999999999E-3</v>
      </c>
      <c r="F266">
        <v>87058.46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0.69166666666666543</v>
      </c>
      <c r="Q266">
        <f t="shared" si="965"/>
        <v>60215.434833333231</v>
      </c>
      <c r="R266">
        <f t="shared" si="966"/>
        <v>-8176578.0193079319</v>
      </c>
      <c r="S266">
        <f t="shared" si="967"/>
        <v>-81.765780193079323</v>
      </c>
      <c r="T266">
        <f t="shared" si="968"/>
        <v>-8.1765780193079327E-2</v>
      </c>
    </row>
    <row r="267" spans="1:20" x14ac:dyDescent="0.25">
      <c r="A267" s="5">
        <v>44326</v>
      </c>
      <c r="B267">
        <v>2.1580000000000002E-3</v>
      </c>
      <c r="C267">
        <v>2.264E-3</v>
      </c>
      <c r="D267">
        <v>1.9810000000000001E-3</v>
      </c>
      <c r="E267">
        <v>1.9870000000000001E-3</v>
      </c>
      <c r="F267">
        <v>61237.36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-0.9575971731448768</v>
      </c>
      <c r="Q267">
        <f t="shared" si="965"/>
        <v>-58640.722826855155</v>
      </c>
      <c r="R267">
        <f t="shared" si="966"/>
        <v>-8236793.4541412648</v>
      </c>
      <c r="S267">
        <f t="shared" si="967"/>
        <v>-82.367934541412652</v>
      </c>
      <c r="T267">
        <f t="shared" si="968"/>
        <v>-8.2367934541412655E-2</v>
      </c>
    </row>
    <row r="268" spans="1:20" x14ac:dyDescent="0.25">
      <c r="A268" s="5">
        <v>44325</v>
      </c>
      <c r="B268">
        <v>2.2360000000000001E-3</v>
      </c>
      <c r="C268">
        <v>2.2360000000000001E-3</v>
      </c>
      <c r="D268">
        <v>2.0509999999999999E-3</v>
      </c>
      <c r="E268">
        <v>2.1559999999999999E-3</v>
      </c>
      <c r="F268">
        <v>50883.47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0.13513513513513412</v>
      </c>
      <c r="Q268">
        <f t="shared" si="965"/>
        <v>6876.1445945945425</v>
      </c>
      <c r="R268">
        <f t="shared" si="966"/>
        <v>-8178152.7313144095</v>
      </c>
      <c r="S268">
        <f t="shared" si="967"/>
        <v>-81.781527313144096</v>
      </c>
      <c r="T268">
        <f t="shared" si="968"/>
        <v>-8.1781527313144101E-2</v>
      </c>
    </row>
    <row r="269" spans="1:20" x14ac:dyDescent="0.25">
      <c r="A269" s="5">
        <v>44324</v>
      </c>
      <c r="B269">
        <v>2.2729999999999998E-3</v>
      </c>
      <c r="C269">
        <v>2.382E-3</v>
      </c>
      <c r="D269">
        <v>2.1510000000000001E-3</v>
      </c>
      <c r="E269">
        <v>2.2330000000000002E-3</v>
      </c>
      <c r="F269">
        <v>98336.85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-0.29004329004328927</v>
      </c>
      <c r="Q269">
        <f t="shared" si="965"/>
        <v>-28521.943506493433</v>
      </c>
      <c r="R269">
        <f t="shared" si="966"/>
        <v>-8185028.8759090044</v>
      </c>
      <c r="S269">
        <f t="shared" si="967"/>
        <v>-81.850288759090049</v>
      </c>
      <c r="T269">
        <f t="shared" si="968"/>
        <v>-8.1850288759090048E-2</v>
      </c>
    </row>
    <row r="270" spans="1:20" x14ac:dyDescent="0.25">
      <c r="A270" s="5">
        <v>44323</v>
      </c>
      <c r="B270">
        <v>2.5010000000000002E-3</v>
      </c>
      <c r="C270">
        <v>2.5149999999999999E-3</v>
      </c>
      <c r="D270">
        <v>2.0920000000000001E-3</v>
      </c>
      <c r="E270">
        <v>2.2729999999999998E-3</v>
      </c>
      <c r="F270">
        <v>214267.65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-0.14420803782505986</v>
      </c>
      <c r="Q270">
        <f t="shared" si="965"/>
        <v>-30899.117375886686</v>
      </c>
      <c r="R270">
        <f t="shared" si="966"/>
        <v>-8156506.9324025111</v>
      </c>
      <c r="S270">
        <f t="shared" si="967"/>
        <v>-81.565069324025117</v>
      </c>
      <c r="T270">
        <f t="shared" si="968"/>
        <v>-8.1565069324025116E-2</v>
      </c>
    </row>
    <row r="271" spans="1:20" x14ac:dyDescent="0.25">
      <c r="A271" s="5">
        <v>44322</v>
      </c>
      <c r="B271">
        <v>2.3180000000000002E-3</v>
      </c>
      <c r="C271">
        <v>2.9450000000000001E-3</v>
      </c>
      <c r="D271">
        <v>2.3180000000000002E-3</v>
      </c>
      <c r="E271">
        <v>2.4949999999999998E-3</v>
      </c>
      <c r="F271">
        <v>569056.62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-0.43540669856459441</v>
      </c>
      <c r="Q271">
        <f t="shared" si="965"/>
        <v>-247771.06421052694</v>
      </c>
      <c r="R271">
        <f t="shared" si="966"/>
        <v>-8125607.8150266241</v>
      </c>
      <c r="S271">
        <f t="shared" si="967"/>
        <v>-81.256078150266248</v>
      </c>
      <c r="T271">
        <f t="shared" si="968"/>
        <v>-8.1256078150266253E-2</v>
      </c>
    </row>
    <row r="272" spans="1:20" x14ac:dyDescent="0.25">
      <c r="A272" s="5">
        <v>44321</v>
      </c>
      <c r="B272">
        <v>2.026E-3</v>
      </c>
      <c r="C272">
        <v>2.3999999999999998E-3</v>
      </c>
      <c r="D272">
        <v>1.8990000000000001E-3</v>
      </c>
      <c r="E272">
        <v>2.3210000000000001E-3</v>
      </c>
      <c r="F272">
        <v>192923.51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0.68463073852295531</v>
      </c>
      <c r="Q272">
        <f t="shared" si="965"/>
        <v>132081.36512974076</v>
      </c>
      <c r="R272">
        <f t="shared" si="966"/>
        <v>-7877836.7508160975</v>
      </c>
      <c r="S272">
        <f t="shared" si="967"/>
        <v>-78.778367508160969</v>
      </c>
      <c r="T272">
        <f t="shared" si="968"/>
        <v>-7.8778367508160974E-2</v>
      </c>
    </row>
    <row r="273" spans="1:20" x14ac:dyDescent="0.25">
      <c r="A273" s="5">
        <v>44320</v>
      </c>
      <c r="B273">
        <v>1.6750000000000001E-3</v>
      </c>
      <c r="C273">
        <v>2.0999999999999999E-3</v>
      </c>
      <c r="D273">
        <v>1.6750000000000001E-3</v>
      </c>
      <c r="E273">
        <v>2.0219999999999999E-3</v>
      </c>
      <c r="F273">
        <v>191664.2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0.63294117647058834</v>
      </c>
      <c r="Q273">
        <f t="shared" si="965"/>
        <v>121312.16423529414</v>
      </c>
      <c r="R273">
        <f t="shared" si="966"/>
        <v>-8009918.1159458384</v>
      </c>
      <c r="S273">
        <f t="shared" si="967"/>
        <v>-80.099181159458382</v>
      </c>
      <c r="T273">
        <f t="shared" si="968"/>
        <v>-8.0099181159458382E-2</v>
      </c>
    </row>
    <row r="274" spans="1:20" x14ac:dyDescent="0.25">
      <c r="A274" s="5">
        <v>44319</v>
      </c>
      <c r="B274">
        <v>1.6440000000000001E-3</v>
      </c>
      <c r="C274">
        <v>1.6819999999999999E-3</v>
      </c>
      <c r="D274">
        <v>1.573E-3</v>
      </c>
      <c r="E274">
        <v>1.6750000000000001E-3</v>
      </c>
      <c r="F274">
        <v>48962.13</v>
      </c>
      <c r="G274">
        <v>0</v>
      </c>
      <c r="L274" t="s">
        <v>7</v>
      </c>
      <c r="M274" t="s">
        <v>8</v>
      </c>
      <c r="N274" t="s">
        <v>7</v>
      </c>
      <c r="P274">
        <f t="shared" si="964"/>
        <v>0.8715596330275257</v>
      </c>
      <c r="Q274">
        <f t="shared" si="965"/>
        <v>42673.416055046007</v>
      </c>
      <c r="R274">
        <f t="shared" si="966"/>
        <v>-8131230.2801811323</v>
      </c>
      <c r="S274">
        <f t="shared" si="967"/>
        <v>-81.312302801811327</v>
      </c>
      <c r="T274">
        <f t="shared" si="968"/>
        <v>-8.1312302801811329E-2</v>
      </c>
    </row>
    <row r="275" spans="1:20" x14ac:dyDescent="0.25">
      <c r="A275" s="5">
        <v>44318</v>
      </c>
      <c r="B275">
        <v>1.6490000000000001E-3</v>
      </c>
      <c r="C275">
        <v>1.66E-3</v>
      </c>
      <c r="D275">
        <v>1.5889999999999999E-3</v>
      </c>
      <c r="E275">
        <v>1.6440000000000001E-3</v>
      </c>
      <c r="F275">
        <v>33410.32</v>
      </c>
      <c r="G275">
        <v>0</v>
      </c>
      <c r="L275" t="s">
        <v>7</v>
      </c>
      <c r="M275" t="s">
        <v>8</v>
      </c>
      <c r="N275" t="s">
        <v>7</v>
      </c>
      <c r="P275">
        <f t="shared" si="964"/>
        <v>0.54929577464788926</v>
      </c>
      <c r="Q275">
        <f t="shared" si="965"/>
        <v>18352.147605633869</v>
      </c>
      <c r="R275">
        <f t="shared" si="966"/>
        <v>-8173903.6962361783</v>
      </c>
      <c r="S275">
        <f t="shared" si="967"/>
        <v>-81.73903696236178</v>
      </c>
      <c r="T275">
        <f t="shared" si="968"/>
        <v>-8.1739036962361775E-2</v>
      </c>
    </row>
    <row r="276" spans="1:20" x14ac:dyDescent="0.25">
      <c r="A276" s="5">
        <v>44317</v>
      </c>
      <c r="B276">
        <v>1.619E-3</v>
      </c>
      <c r="C276">
        <v>1.668E-3</v>
      </c>
      <c r="D276">
        <v>1.603E-3</v>
      </c>
      <c r="E276">
        <v>1.65E-3</v>
      </c>
      <c r="F276">
        <v>40324.44</v>
      </c>
      <c r="G276">
        <v>0</v>
      </c>
      <c r="L276" t="s">
        <v>7</v>
      </c>
      <c r="M276" t="s">
        <v>8</v>
      </c>
      <c r="N276" t="s">
        <v>7</v>
      </c>
      <c r="P276">
        <f t="shared" si="964"/>
        <v>0.44615384615384562</v>
      </c>
      <c r="Q276">
        <f t="shared" si="965"/>
        <v>17990.90399999998</v>
      </c>
      <c r="R276">
        <f t="shared" si="966"/>
        <v>-8192255.8438418126</v>
      </c>
      <c r="S276">
        <f t="shared" si="967"/>
        <v>-81.922558438418122</v>
      </c>
      <c r="T276">
        <f t="shared" si="968"/>
        <v>-8.1922558438418128E-2</v>
      </c>
    </row>
    <row r="277" spans="1:20" x14ac:dyDescent="0.25">
      <c r="A277" s="5">
        <v>44316</v>
      </c>
      <c r="B277">
        <v>1.6440000000000001E-3</v>
      </c>
      <c r="C277">
        <v>1.668E-3</v>
      </c>
      <c r="D277">
        <v>1.6069999999999999E-3</v>
      </c>
      <c r="E277">
        <v>1.6180000000000001E-3</v>
      </c>
      <c r="F277">
        <v>39455.050000000003</v>
      </c>
      <c r="G277">
        <v>0</v>
      </c>
      <c r="L277" t="s">
        <v>7</v>
      </c>
      <c r="M277" t="s">
        <v>8</v>
      </c>
      <c r="N277" t="s">
        <v>7</v>
      </c>
      <c r="P277">
        <f t="shared" si="964"/>
        <v>-0.63934426229507724</v>
      </c>
      <c r="Q277">
        <f t="shared" si="965"/>
        <v>-25225.359836065389</v>
      </c>
      <c r="R277">
        <f t="shared" si="966"/>
        <v>-8210246.7478418127</v>
      </c>
      <c r="S277">
        <f t="shared" si="967"/>
        <v>-82.10246747841812</v>
      </c>
      <c r="T277">
        <f t="shared" si="968"/>
        <v>-8.2102467478418123E-2</v>
      </c>
    </row>
    <row r="278" spans="1:20" x14ac:dyDescent="0.25">
      <c r="A278" s="5">
        <v>44315</v>
      </c>
      <c r="B278">
        <v>1.665E-3</v>
      </c>
      <c r="C278">
        <v>1.6739999999999999E-3</v>
      </c>
      <c r="D278">
        <v>1.596E-3</v>
      </c>
      <c r="E278">
        <v>1.6490000000000001E-3</v>
      </c>
      <c r="F278">
        <v>42236.74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0.35897435897436242</v>
      </c>
      <c r="Q278">
        <f t="shared" si="965"/>
        <v>15161.906666666811</v>
      </c>
      <c r="R278">
        <f t="shared" si="966"/>
        <v>-8185021.3880057475</v>
      </c>
      <c r="S278">
        <f t="shared" si="967"/>
        <v>-81.850213880057481</v>
      </c>
      <c r="T278">
        <f t="shared" si="968"/>
        <v>-8.1850213880057476E-2</v>
      </c>
    </row>
    <row r="279" spans="1:20" x14ac:dyDescent="0.25">
      <c r="A279" s="5">
        <v>44314</v>
      </c>
      <c r="B279">
        <v>1.6310000000000001E-3</v>
      </c>
      <c r="C279">
        <v>1.799E-3</v>
      </c>
      <c r="D279">
        <v>1.586E-3</v>
      </c>
      <c r="E279">
        <v>1.6670000000000001E-3</v>
      </c>
      <c r="F279">
        <v>95294.54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-0.23943661971830896</v>
      </c>
      <c r="Q279">
        <f t="shared" si="965"/>
        <v>-22817.002535211181</v>
      </c>
      <c r="R279">
        <f t="shared" si="966"/>
        <v>-8200183.2946724147</v>
      </c>
      <c r="S279">
        <f t="shared" si="967"/>
        <v>-82.00183294672415</v>
      </c>
      <c r="T279">
        <f t="shared" si="968"/>
        <v>-8.2001832946724154E-2</v>
      </c>
    </row>
    <row r="280" spans="1:20" x14ac:dyDescent="0.25">
      <c r="A280" s="5">
        <v>44313</v>
      </c>
      <c r="B280">
        <v>1.6019999999999999E-3</v>
      </c>
      <c r="C280">
        <v>1.722E-3</v>
      </c>
      <c r="D280">
        <v>1.56E-3</v>
      </c>
      <c r="E280">
        <v>1.6310000000000001E-3</v>
      </c>
      <c r="F280">
        <v>94421.65</v>
      </c>
      <c r="G280">
        <v>0</v>
      </c>
      <c r="L280" t="s">
        <v>8</v>
      </c>
      <c r="M280" t="s">
        <v>7</v>
      </c>
      <c r="N280" t="s">
        <v>7</v>
      </c>
      <c r="P280">
        <f t="shared" si="964"/>
        <v>-0.12345679012345574</v>
      </c>
      <c r="Q280">
        <f t="shared" si="965"/>
        <v>-11656.993827160395</v>
      </c>
      <c r="R280">
        <f t="shared" si="966"/>
        <v>-8177366.2921372037</v>
      </c>
      <c r="S280">
        <f t="shared" si="967"/>
        <v>-81.773662921372036</v>
      </c>
      <c r="T280">
        <f t="shared" si="968"/>
        <v>-8.1773662921372031E-2</v>
      </c>
    </row>
    <row r="281" spans="1:20" x14ac:dyDescent="0.25">
      <c r="A281" s="5">
        <v>44312</v>
      </c>
      <c r="B281">
        <v>1.518E-3</v>
      </c>
      <c r="C281">
        <v>1.6329999999999999E-3</v>
      </c>
      <c r="D281">
        <v>1.48E-3</v>
      </c>
      <c r="E281">
        <v>1.603E-3</v>
      </c>
      <c r="F281">
        <v>113759.49</v>
      </c>
      <c r="G281">
        <v>0</v>
      </c>
      <c r="L281" t="s">
        <v>7</v>
      </c>
      <c r="M281" t="s">
        <v>7</v>
      </c>
      <c r="N281" t="s">
        <v>7</v>
      </c>
      <c r="P281">
        <f t="shared" si="964"/>
        <v>0.60784313725490358</v>
      </c>
      <c r="Q281">
        <f t="shared" si="965"/>
        <v>69147.925294117827</v>
      </c>
      <c r="R281">
        <f t="shared" si="966"/>
        <v>-8165709.2983100433</v>
      </c>
      <c r="S281">
        <f t="shared" si="967"/>
        <v>-81.657092983100426</v>
      </c>
      <c r="T281">
        <f t="shared" si="968"/>
        <v>-8.1657092983100421E-2</v>
      </c>
    </row>
    <row r="282" spans="1:20" x14ac:dyDescent="0.25">
      <c r="A282" s="5">
        <v>44311</v>
      </c>
      <c r="B282">
        <v>1.5410000000000001E-3</v>
      </c>
      <c r="C282">
        <v>1.645E-3</v>
      </c>
      <c r="D282">
        <v>1.5070000000000001E-3</v>
      </c>
      <c r="E282">
        <v>1.5169999999999999E-3</v>
      </c>
      <c r="F282">
        <v>107664.96000000001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-0.85507246376811863</v>
      </c>
      <c r="Q282">
        <f t="shared" si="965"/>
        <v>-92061.342608695952</v>
      </c>
      <c r="R282">
        <f t="shared" si="966"/>
        <v>-8234857.2236041613</v>
      </c>
      <c r="S282">
        <f t="shared" si="967"/>
        <v>-82.348572236041619</v>
      </c>
      <c r="T282">
        <f t="shared" si="968"/>
        <v>-8.2348572236041626E-2</v>
      </c>
    </row>
    <row r="283" spans="1:20" x14ac:dyDescent="0.25">
      <c r="A283" s="5">
        <v>44310</v>
      </c>
      <c r="B283">
        <v>1.642E-3</v>
      </c>
      <c r="C283">
        <v>1.7440000000000001E-3</v>
      </c>
      <c r="D283">
        <v>1.5319999999999999E-3</v>
      </c>
      <c r="E283">
        <v>1.542E-3</v>
      </c>
      <c r="F283">
        <v>191631.93</v>
      </c>
      <c r="G283">
        <v>0</v>
      </c>
      <c r="L283" t="s">
        <v>7</v>
      </c>
      <c r="M283" t="s">
        <v>7</v>
      </c>
      <c r="N283" t="s">
        <v>7</v>
      </c>
      <c r="P283">
        <f t="shared" si="964"/>
        <v>-0.90566037735849036</v>
      </c>
      <c r="Q283">
        <f t="shared" si="965"/>
        <v>-173553.44603773579</v>
      </c>
      <c r="R283">
        <f t="shared" si="966"/>
        <v>-8142795.8809954654</v>
      </c>
      <c r="S283">
        <f t="shared" si="967"/>
        <v>-81.42795880995466</v>
      </c>
      <c r="T283">
        <f t="shared" si="968"/>
        <v>-8.1427958809954654E-2</v>
      </c>
    </row>
    <row r="284" spans="1:20" x14ac:dyDescent="0.25">
      <c r="A284" s="5">
        <v>44309</v>
      </c>
      <c r="B284">
        <v>1.4170000000000001E-3</v>
      </c>
      <c r="C284">
        <v>3.0530000000000002E-3</v>
      </c>
      <c r="D284">
        <v>1.4090000000000001E-3</v>
      </c>
      <c r="E284">
        <v>1.6410000000000001E-3</v>
      </c>
      <c r="F284">
        <v>895858.06</v>
      </c>
      <c r="G284">
        <v>0</v>
      </c>
      <c r="L284" t="s">
        <v>8</v>
      </c>
      <c r="M284" t="s">
        <v>8</v>
      </c>
      <c r="N284" t="s">
        <v>8</v>
      </c>
      <c r="P284">
        <f t="shared" si="964"/>
        <v>-0.71776155717761558</v>
      </c>
      <c r="Q284">
        <f t="shared" si="965"/>
        <v>-643012.47615571786</v>
      </c>
      <c r="R284">
        <f t="shared" si="966"/>
        <v>-7969242.4349577297</v>
      </c>
      <c r="S284">
        <f t="shared" si="967"/>
        <v>-79.692424349577294</v>
      </c>
      <c r="T284">
        <f t="shared" si="968"/>
        <v>-7.9692424349577295E-2</v>
      </c>
    </row>
    <row r="285" spans="1:20" x14ac:dyDescent="0.25">
      <c r="A285" s="5">
        <v>44308</v>
      </c>
      <c r="B285">
        <v>1.5809999999999999E-3</v>
      </c>
      <c r="C285">
        <v>1.6149999999999999E-3</v>
      </c>
      <c r="D285">
        <v>1.379E-3</v>
      </c>
      <c r="E285">
        <v>1.4159999999999999E-3</v>
      </c>
      <c r="F285">
        <v>106449.38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-0.6864406779661022</v>
      </c>
      <c r="Q285">
        <f t="shared" si="965"/>
        <v>-73071.184576271247</v>
      </c>
      <c r="R285">
        <f t="shared" si="966"/>
        <v>-7326229.9588020118</v>
      </c>
      <c r="S285">
        <f t="shared" si="967"/>
        <v>-73.262299588020113</v>
      </c>
      <c r="T285">
        <f t="shared" si="968"/>
        <v>-7.3262299588020108E-2</v>
      </c>
    </row>
    <row r="286" spans="1:20" x14ac:dyDescent="0.25">
      <c r="A286" s="5">
        <v>44307</v>
      </c>
      <c r="B286">
        <v>1.681E-3</v>
      </c>
      <c r="C286">
        <v>1.7179999999999999E-3</v>
      </c>
      <c r="D286">
        <v>1.573E-3</v>
      </c>
      <c r="E286">
        <v>1.5809999999999999E-3</v>
      </c>
      <c r="F286">
        <v>45375.02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-0.88965517241379333</v>
      </c>
      <c r="Q286">
        <f t="shared" si="965"/>
        <v>-40368.121241379318</v>
      </c>
      <c r="R286">
        <f t="shared" si="966"/>
        <v>-7253158.7742257407</v>
      </c>
      <c r="S286">
        <f t="shared" si="967"/>
        <v>-72.5315877422574</v>
      </c>
      <c r="T286">
        <f t="shared" si="968"/>
        <v>-7.2531587742257403E-2</v>
      </c>
    </row>
    <row r="287" spans="1:20" x14ac:dyDescent="0.25">
      <c r="A287" s="5">
        <v>44306</v>
      </c>
      <c r="B287">
        <v>1.5640000000000001E-3</v>
      </c>
      <c r="C287">
        <v>1.745E-3</v>
      </c>
      <c r="D287">
        <v>1.3680000000000001E-3</v>
      </c>
      <c r="E287">
        <v>1.681E-3</v>
      </c>
      <c r="F287">
        <v>138721.12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0.6604774535809016</v>
      </c>
      <c r="Q287">
        <f t="shared" si="965"/>
        <v>91622.172095490678</v>
      </c>
      <c r="R287">
        <f t="shared" si="966"/>
        <v>-7212790.6529843612</v>
      </c>
      <c r="S287">
        <f t="shared" si="967"/>
        <v>-72.127906529843614</v>
      </c>
      <c r="T287">
        <f t="shared" si="968"/>
        <v>-7.2127906529843619E-2</v>
      </c>
    </row>
    <row r="288" spans="1:20" x14ac:dyDescent="0.25">
      <c r="A288" s="5">
        <v>44305</v>
      </c>
      <c r="B288">
        <v>1.6689999999999999E-3</v>
      </c>
      <c r="C288">
        <v>1.727E-3</v>
      </c>
      <c r="D288">
        <v>1.511E-3</v>
      </c>
      <c r="E288">
        <v>1.5640000000000001E-3</v>
      </c>
      <c r="F288">
        <v>84016.13</v>
      </c>
      <c r="G288">
        <v>0</v>
      </c>
      <c r="L288" t="s">
        <v>7</v>
      </c>
      <c r="M288" t="s">
        <v>7</v>
      </c>
      <c r="N288" t="s">
        <v>8</v>
      </c>
      <c r="P288">
        <f t="shared" si="964"/>
        <v>-0.50925925925925852</v>
      </c>
      <c r="Q288">
        <f t="shared" si="965"/>
        <v>-42785.992129629572</v>
      </c>
      <c r="R288">
        <f t="shared" si="966"/>
        <v>-7304412.8250798518</v>
      </c>
      <c r="S288">
        <f t="shared" si="967"/>
        <v>-73.044128250798522</v>
      </c>
      <c r="T288">
        <f t="shared" si="968"/>
        <v>-7.3044128250798521E-2</v>
      </c>
    </row>
    <row r="289" spans="1:20" x14ac:dyDescent="0.25">
      <c r="A289" s="5">
        <v>44304</v>
      </c>
      <c r="B289">
        <v>1.7769999999999999E-3</v>
      </c>
      <c r="C289">
        <v>1.804E-3</v>
      </c>
      <c r="D289">
        <v>1.555E-3</v>
      </c>
      <c r="E289">
        <v>1.668E-3</v>
      </c>
      <c r="F289">
        <v>116841.43</v>
      </c>
      <c r="G289">
        <v>0</v>
      </c>
      <c r="L289" t="s">
        <v>7</v>
      </c>
      <c r="M289" t="s">
        <v>7</v>
      </c>
      <c r="N289" t="s">
        <v>8</v>
      </c>
      <c r="P289">
        <f t="shared" si="964"/>
        <v>-9.2369477911646625E-2</v>
      </c>
      <c r="Q289">
        <f t="shared" si="965"/>
        <v>-10792.581887550205</v>
      </c>
      <c r="R289">
        <f t="shared" si="966"/>
        <v>-7261626.8329502223</v>
      </c>
      <c r="S289">
        <f t="shared" si="967"/>
        <v>-72.616268329502219</v>
      </c>
      <c r="T289">
        <f t="shared" si="968"/>
        <v>-7.2616268329502215E-2</v>
      </c>
    </row>
    <row r="290" spans="1:20" x14ac:dyDescent="0.25">
      <c r="A290" s="5">
        <v>44303</v>
      </c>
      <c r="B290">
        <v>1.867E-3</v>
      </c>
      <c r="C290">
        <v>1.915E-3</v>
      </c>
      <c r="D290">
        <v>1.7520000000000001E-3</v>
      </c>
      <c r="E290">
        <v>1.7769999999999999E-3</v>
      </c>
      <c r="F290">
        <v>67634.679999999993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-0.69325153374233306</v>
      </c>
      <c r="Q290">
        <f t="shared" si="965"/>
        <v>-46887.845644171895</v>
      </c>
      <c r="R290">
        <f t="shared" si="966"/>
        <v>-7250834.2510626717</v>
      </c>
      <c r="S290">
        <f t="shared" si="967"/>
        <v>-72.508342510626719</v>
      </c>
      <c r="T290">
        <f t="shared" si="968"/>
        <v>-7.2508342510626725E-2</v>
      </c>
    </row>
    <row r="291" spans="1:20" x14ac:dyDescent="0.25">
      <c r="A291" s="5">
        <v>44302</v>
      </c>
      <c r="B291">
        <v>1.7030000000000001E-3</v>
      </c>
      <c r="C291">
        <v>1.9289999999999999E-3</v>
      </c>
      <c r="D291">
        <v>1.642E-3</v>
      </c>
      <c r="E291">
        <v>1.8680000000000001E-3</v>
      </c>
      <c r="F291">
        <v>228442.33</v>
      </c>
      <c r="G291">
        <v>0</v>
      </c>
      <c r="L291" t="s">
        <v>8</v>
      </c>
      <c r="M291" t="s">
        <v>7</v>
      </c>
      <c r="N291" t="s">
        <v>8</v>
      </c>
      <c r="P291">
        <f t="shared" si="964"/>
        <v>0.57491289198606366</v>
      </c>
      <c r="Q291">
        <f t="shared" si="965"/>
        <v>131334.44059233469</v>
      </c>
      <c r="R291">
        <f t="shared" si="966"/>
        <v>-7203946.4054184994</v>
      </c>
      <c r="S291">
        <f t="shared" si="967"/>
        <v>-72.03946405418499</v>
      </c>
      <c r="T291">
        <f t="shared" si="968"/>
        <v>-7.2039464054184987E-2</v>
      </c>
    </row>
    <row r="292" spans="1:20" x14ac:dyDescent="0.25">
      <c r="A292" s="5">
        <v>44301</v>
      </c>
      <c r="B292">
        <v>1.7260000000000001E-3</v>
      </c>
      <c r="C292">
        <v>1.7290000000000001E-3</v>
      </c>
      <c r="D292">
        <v>1.6249999999999999E-3</v>
      </c>
      <c r="E292">
        <v>1.7030000000000001E-3</v>
      </c>
      <c r="F292">
        <v>65837.17</v>
      </c>
      <c r="G292">
        <v>0</v>
      </c>
      <c r="L292" t="s">
        <v>7</v>
      </c>
      <c r="M292" t="s">
        <v>7</v>
      </c>
      <c r="N292" t="s">
        <v>8</v>
      </c>
      <c r="P292">
        <f t="shared" si="964"/>
        <v>0.500000000000001</v>
      </c>
      <c r="Q292">
        <f t="shared" si="965"/>
        <v>32918.585000000065</v>
      </c>
      <c r="R292">
        <f t="shared" si="966"/>
        <v>-7335280.846010834</v>
      </c>
      <c r="S292">
        <f t="shared" si="967"/>
        <v>-73.352808460108335</v>
      </c>
      <c r="T292">
        <f t="shared" si="968"/>
        <v>-7.3352808460108332E-2</v>
      </c>
    </row>
    <row r="293" spans="1:20" x14ac:dyDescent="0.25">
      <c r="A293" s="5">
        <v>44300</v>
      </c>
      <c r="B293">
        <v>1.73E-3</v>
      </c>
      <c r="C293">
        <v>1.7589999999999999E-3</v>
      </c>
      <c r="D293">
        <v>1.611E-3</v>
      </c>
      <c r="E293">
        <v>1.727E-3</v>
      </c>
      <c r="F293">
        <v>98831.57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0.56756756756756854</v>
      </c>
      <c r="Q293">
        <f t="shared" si="965"/>
        <v>56093.593783783886</v>
      </c>
      <c r="R293">
        <f t="shared" si="966"/>
        <v>-7368199.4310108339</v>
      </c>
      <c r="S293">
        <f t="shared" si="967"/>
        <v>-73.681994310108337</v>
      </c>
      <c r="T293">
        <f t="shared" si="968"/>
        <v>-7.3681994310108342E-2</v>
      </c>
    </row>
    <row r="294" spans="1:20" x14ac:dyDescent="0.25">
      <c r="A294" s="5">
        <v>44299</v>
      </c>
      <c r="B294">
        <v>1.7619999999999999E-3</v>
      </c>
      <c r="C294">
        <v>1.8190000000000001E-3</v>
      </c>
      <c r="D294">
        <v>1.6299999999999999E-3</v>
      </c>
      <c r="E294">
        <v>1.7309999999999999E-3</v>
      </c>
      <c r="F294">
        <v>168386.79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6.878306878306753E-2</v>
      </c>
      <c r="Q294">
        <f t="shared" si="965"/>
        <v>11582.160158729948</v>
      </c>
      <c r="R294">
        <f t="shared" si="966"/>
        <v>-7424293.0247946177</v>
      </c>
      <c r="S294">
        <f t="shared" si="967"/>
        <v>-74.242930247946177</v>
      </c>
      <c r="T294">
        <f t="shared" si="968"/>
        <v>-7.4242930247946176E-2</v>
      </c>
    </row>
    <row r="295" spans="1:20" x14ac:dyDescent="0.25">
      <c r="A295" s="5">
        <v>44298</v>
      </c>
      <c r="B295">
        <v>1.879E-3</v>
      </c>
      <c r="C295">
        <v>1.9E-3</v>
      </c>
      <c r="D295">
        <v>1.699E-3</v>
      </c>
      <c r="E295">
        <v>1.7619999999999999E-3</v>
      </c>
      <c r="F295">
        <v>180601.04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-0.37313432835820992</v>
      </c>
      <c r="Q295">
        <f t="shared" si="965"/>
        <v>-67388.447761194213</v>
      </c>
      <c r="R295">
        <f t="shared" si="966"/>
        <v>-7435875.1849533478</v>
      </c>
      <c r="S295">
        <f t="shared" si="967"/>
        <v>-74.358751849533476</v>
      </c>
      <c r="T295">
        <f t="shared" si="968"/>
        <v>-7.4358751849533472E-2</v>
      </c>
    </row>
    <row r="296" spans="1:20" x14ac:dyDescent="0.25">
      <c r="A296" s="5">
        <v>44297</v>
      </c>
      <c r="B296">
        <v>1.8E-3</v>
      </c>
      <c r="C296">
        <v>2E-3</v>
      </c>
      <c r="D296">
        <v>1.7409999999999999E-3</v>
      </c>
      <c r="E296">
        <v>1.879E-3</v>
      </c>
      <c r="F296">
        <v>215938.5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6.563706563706595E-2</v>
      </c>
      <c r="Q296">
        <f t="shared" si="965"/>
        <v>14173.569498069566</v>
      </c>
      <c r="R296">
        <f t="shared" si="966"/>
        <v>-7368486.7371921539</v>
      </c>
      <c r="S296">
        <f t="shared" si="967"/>
        <v>-73.684867371921541</v>
      </c>
      <c r="T296">
        <f t="shared" si="968"/>
        <v>-7.3684867371921536E-2</v>
      </c>
    </row>
    <row r="297" spans="1:20" x14ac:dyDescent="0.25">
      <c r="A297" s="5">
        <v>44296</v>
      </c>
      <c r="B297">
        <v>1.7589999999999999E-3</v>
      </c>
      <c r="C297">
        <v>1.859E-3</v>
      </c>
      <c r="D297">
        <v>1.6050000000000001E-3</v>
      </c>
      <c r="E297">
        <v>1.805E-3</v>
      </c>
      <c r="F297">
        <v>272155.06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0.57480314960629897</v>
      </c>
      <c r="Q297">
        <f t="shared" si="965"/>
        <v>156435.58566929126</v>
      </c>
      <c r="R297">
        <f t="shared" si="966"/>
        <v>-7382660.3066902235</v>
      </c>
      <c r="S297">
        <f t="shared" si="967"/>
        <v>-73.826603066902237</v>
      </c>
      <c r="T297">
        <f t="shared" si="968"/>
        <v>-7.3826603066902238E-2</v>
      </c>
    </row>
    <row r="298" spans="1:20" x14ac:dyDescent="0.25">
      <c r="A298" s="5">
        <v>44295</v>
      </c>
      <c r="B298">
        <v>1.7489999999999999E-3</v>
      </c>
      <c r="C298">
        <v>1.9880000000000002E-3</v>
      </c>
      <c r="D298">
        <v>1.603E-3</v>
      </c>
      <c r="E298">
        <v>1.756E-3</v>
      </c>
      <c r="F298">
        <v>444658.49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-0.20519480519480587</v>
      </c>
      <c r="Q298">
        <f t="shared" si="965"/>
        <v>-91241.612233766529</v>
      </c>
      <c r="R298">
        <f t="shared" si="966"/>
        <v>-7539095.8923595147</v>
      </c>
      <c r="S298">
        <f t="shared" si="967"/>
        <v>-75.39095892359515</v>
      </c>
      <c r="T298">
        <f t="shared" si="968"/>
        <v>-7.5390958923595153E-2</v>
      </c>
    </row>
    <row r="299" spans="1:20" x14ac:dyDescent="0.25">
      <c r="A299" s="5">
        <v>44294</v>
      </c>
      <c r="B299">
        <v>1.4170000000000001E-3</v>
      </c>
      <c r="C299">
        <v>1.7979999999999999E-3</v>
      </c>
      <c r="D299">
        <v>1.23E-3</v>
      </c>
      <c r="E299">
        <v>1.7489999999999999E-3</v>
      </c>
      <c r="F299">
        <v>422280.1</v>
      </c>
      <c r="G299">
        <v>0</v>
      </c>
      <c r="L299" t="s">
        <v>7</v>
      </c>
      <c r="M299" t="s">
        <v>7</v>
      </c>
      <c r="N299" t="s">
        <v>7</v>
      </c>
      <c r="P299">
        <f t="shared" si="964"/>
        <v>0.82746478873239437</v>
      </c>
      <c r="Q299">
        <f t="shared" si="965"/>
        <v>349421.91373239434</v>
      </c>
      <c r="R299">
        <f t="shared" si="966"/>
        <v>-7447854.2801257484</v>
      </c>
      <c r="S299">
        <f t="shared" si="967"/>
        <v>-74.47854280125749</v>
      </c>
      <c r="T299">
        <f t="shared" si="968"/>
        <v>-7.4478542801257486E-2</v>
      </c>
    </row>
    <row r="300" spans="1:20" x14ac:dyDescent="0.25">
      <c r="A300" s="5">
        <v>44293</v>
      </c>
      <c r="B300">
        <v>1.2210000000000001E-3</v>
      </c>
      <c r="C300">
        <v>1.9E-3</v>
      </c>
      <c r="D300">
        <v>1.1739999999999999E-3</v>
      </c>
      <c r="E300">
        <v>1.4170000000000001E-3</v>
      </c>
      <c r="F300">
        <v>1001183.87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-0.33057851239669384</v>
      </c>
      <c r="Q300">
        <f t="shared" si="965"/>
        <v>-330969.8743801649</v>
      </c>
      <c r="R300">
        <f t="shared" si="966"/>
        <v>-7797276.1938581429</v>
      </c>
      <c r="S300">
        <f t="shared" si="967"/>
        <v>-77.972761938581428</v>
      </c>
      <c r="T300">
        <f t="shared" si="968"/>
        <v>-7.7972761938581422E-2</v>
      </c>
    </row>
    <row r="301" spans="1:20" x14ac:dyDescent="0.25">
      <c r="A301" s="5">
        <v>44292</v>
      </c>
      <c r="B301">
        <v>8.0099999999999995E-4</v>
      </c>
      <c r="C301">
        <v>1.3550000000000001E-3</v>
      </c>
      <c r="D301">
        <v>7.6999999999999996E-4</v>
      </c>
      <c r="E301">
        <v>1.2210000000000001E-3</v>
      </c>
      <c r="F301">
        <v>795434.94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0.54188034188034195</v>
      </c>
      <c r="Q301">
        <f t="shared" si="965"/>
        <v>431030.55723076925</v>
      </c>
      <c r="R301">
        <f t="shared" si="966"/>
        <v>-7466306.3194779782</v>
      </c>
      <c r="S301">
        <f t="shared" si="967"/>
        <v>-74.663063194779781</v>
      </c>
      <c r="T301">
        <f t="shared" si="968"/>
        <v>-7.4663063194779777E-2</v>
      </c>
    </row>
    <row r="302" spans="1:20" x14ac:dyDescent="0.25">
      <c r="A302" s="5">
        <v>44291</v>
      </c>
      <c r="B302">
        <v>6.9899999999999997E-4</v>
      </c>
      <c r="C302">
        <v>8.34E-4</v>
      </c>
      <c r="D302">
        <v>6.8300000000000001E-4</v>
      </c>
      <c r="E302">
        <v>7.9600000000000005E-4</v>
      </c>
      <c r="F302">
        <v>125779.69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0.49668874172185495</v>
      </c>
      <c r="Q302">
        <f t="shared" si="965"/>
        <v>62473.355960264984</v>
      </c>
      <c r="R302">
        <f t="shared" si="966"/>
        <v>-7897336.8767087478</v>
      </c>
      <c r="S302">
        <f t="shared" si="967"/>
        <v>-78.973368767087479</v>
      </c>
      <c r="T302">
        <f t="shared" si="968"/>
        <v>-7.8973368767087479E-2</v>
      </c>
    </row>
    <row r="303" spans="1:20" x14ac:dyDescent="0.25">
      <c r="A303" s="5">
        <v>44290</v>
      </c>
      <c r="B303">
        <v>6.5099999999999999E-4</v>
      </c>
      <c r="C303">
        <v>7.0899999999999999E-4</v>
      </c>
      <c r="D303">
        <v>6.4300000000000002E-4</v>
      </c>
      <c r="E303">
        <v>6.9999999999999999E-4</v>
      </c>
      <c r="F303">
        <v>65505.59</v>
      </c>
      <c r="G303">
        <v>0</v>
      </c>
      <c r="L303" t="s">
        <v>7</v>
      </c>
      <c r="M303" t="s">
        <v>8</v>
      </c>
      <c r="N303" t="s">
        <v>7</v>
      </c>
      <c r="P303">
        <f t="shared" si="964"/>
        <v>0.72727272727272707</v>
      </c>
      <c r="Q303">
        <f t="shared" si="965"/>
        <v>47640.429090909078</v>
      </c>
      <c r="R303">
        <f t="shared" si="966"/>
        <v>-7959810.2326690126</v>
      </c>
      <c r="S303">
        <f t="shared" si="967"/>
        <v>-79.598102326690125</v>
      </c>
      <c r="T303">
        <f t="shared" si="968"/>
        <v>-7.9598102326690123E-2</v>
      </c>
    </row>
    <row r="304" spans="1:20" x14ac:dyDescent="0.25">
      <c r="A304" s="5">
        <v>44289</v>
      </c>
      <c r="B304">
        <v>6.6100000000000002E-4</v>
      </c>
      <c r="C304">
        <v>7.3999999999999999E-4</v>
      </c>
      <c r="D304">
        <v>6.2399999999999999E-4</v>
      </c>
      <c r="E304">
        <v>6.5099999999999999E-4</v>
      </c>
      <c r="F304">
        <v>136810.72</v>
      </c>
      <c r="G304">
        <v>0</v>
      </c>
      <c r="L304" t="s">
        <v>8</v>
      </c>
      <c r="M304" t="s">
        <v>8</v>
      </c>
      <c r="N304" t="s">
        <v>7</v>
      </c>
      <c r="P304">
        <f t="shared" si="964"/>
        <v>-0.53448275862068961</v>
      </c>
      <c r="Q304">
        <f t="shared" si="965"/>
        <v>-73122.971034482747</v>
      </c>
      <c r="R304">
        <f t="shared" si="966"/>
        <v>-8007450.6617599213</v>
      </c>
      <c r="S304">
        <f t="shared" si="967"/>
        <v>-80.074506617599212</v>
      </c>
      <c r="T304">
        <f t="shared" si="968"/>
        <v>-8.0074506617599212E-2</v>
      </c>
    </row>
    <row r="305" spans="1:20" x14ac:dyDescent="0.25">
      <c r="A305" s="5">
        <v>44288</v>
      </c>
      <c r="B305">
        <v>6.5600000000000001E-4</v>
      </c>
      <c r="C305">
        <v>6.8099999999999996E-4</v>
      </c>
      <c r="D305">
        <v>6.3299999999999999E-4</v>
      </c>
      <c r="E305">
        <v>6.5700000000000003E-4</v>
      </c>
      <c r="F305">
        <v>74288.17</v>
      </c>
      <c r="G305">
        <v>0</v>
      </c>
      <c r="L305" t="s">
        <v>7</v>
      </c>
      <c r="M305" t="s">
        <v>8</v>
      </c>
      <c r="N305" t="s">
        <v>7</v>
      </c>
      <c r="P305">
        <f t="shared" si="964"/>
        <v>2.2587545260114686E-15</v>
      </c>
      <c r="Q305">
        <f t="shared" si="965"/>
        <v>1.6779874021660939E-10</v>
      </c>
      <c r="R305">
        <f t="shared" si="966"/>
        <v>-7934327.6907254383</v>
      </c>
      <c r="S305">
        <f t="shared" si="967"/>
        <v>-79.343276907254378</v>
      </c>
      <c r="T305">
        <f t="shared" si="968"/>
        <v>-7.9343276907254373E-2</v>
      </c>
    </row>
    <row r="306" spans="1:20" x14ac:dyDescent="0.25">
      <c r="A306" s="5">
        <v>44287</v>
      </c>
      <c r="B306">
        <v>6.7000000000000002E-4</v>
      </c>
      <c r="C306">
        <v>6.8499999999999995E-4</v>
      </c>
      <c r="D306">
        <v>6.38E-4</v>
      </c>
      <c r="E306">
        <v>6.5600000000000001E-4</v>
      </c>
      <c r="F306">
        <v>74635.320000000007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-0.23404255319148837</v>
      </c>
      <c r="Q306">
        <f t="shared" si="965"/>
        <v>-17467.840851063756</v>
      </c>
      <c r="R306">
        <f t="shared" si="966"/>
        <v>-7934327.6907254383</v>
      </c>
      <c r="S306">
        <f t="shared" si="967"/>
        <v>-79.343276907254378</v>
      </c>
      <c r="T306">
        <f t="shared" si="968"/>
        <v>-7.9343276907254373E-2</v>
      </c>
    </row>
    <row r="307" spans="1:20" x14ac:dyDescent="0.25">
      <c r="A307" s="5">
        <v>44286</v>
      </c>
      <c r="B307">
        <v>6.1499999999999999E-4</v>
      </c>
      <c r="C307">
        <v>6.7699999999999998E-4</v>
      </c>
      <c r="D307">
        <v>6.0599999999999998E-4</v>
      </c>
      <c r="E307">
        <v>6.7299999999999999E-4</v>
      </c>
      <c r="F307">
        <v>138280.76999999999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0.88732394366197209</v>
      </c>
      <c r="Q307">
        <f t="shared" si="965"/>
        <v>122699.83816901411</v>
      </c>
      <c r="R307">
        <f t="shared" si="966"/>
        <v>-7916859.8498743745</v>
      </c>
      <c r="S307">
        <f t="shared" si="967"/>
        <v>-79.168598498743748</v>
      </c>
      <c r="T307">
        <f t="shared" si="968"/>
        <v>-7.9168598498743747E-2</v>
      </c>
    </row>
    <row r="308" spans="1:20" x14ac:dyDescent="0.25">
      <c r="A308" s="5">
        <v>44285</v>
      </c>
      <c r="B308">
        <v>5.9999999999999995E-4</v>
      </c>
      <c r="C308">
        <v>6.2E-4</v>
      </c>
      <c r="D308">
        <v>5.8E-4</v>
      </c>
      <c r="E308">
        <v>6.1300000000000005E-4</v>
      </c>
      <c r="F308">
        <v>67149.36</v>
      </c>
      <c r="G308">
        <v>0</v>
      </c>
      <c r="L308" t="s">
        <v>8</v>
      </c>
      <c r="M308" t="s">
        <v>7</v>
      </c>
      <c r="N308" t="s">
        <v>7</v>
      </c>
      <c r="P308">
        <f t="shared" si="964"/>
        <v>0.65000000000000235</v>
      </c>
      <c r="Q308">
        <f t="shared" si="965"/>
        <v>43647.084000000155</v>
      </c>
      <c r="R308">
        <f t="shared" si="966"/>
        <v>-8039559.6880433885</v>
      </c>
      <c r="S308">
        <f t="shared" si="967"/>
        <v>-80.395596880433885</v>
      </c>
      <c r="T308">
        <f t="shared" si="968"/>
        <v>-8.0395596880433878E-2</v>
      </c>
    </row>
    <row r="309" spans="1:20" x14ac:dyDescent="0.25">
      <c r="A309" s="5">
        <v>44284</v>
      </c>
      <c r="B309">
        <v>5.8200000000000005E-4</v>
      </c>
      <c r="C309">
        <v>6.0599999999999998E-4</v>
      </c>
      <c r="D309">
        <v>5.6499999999999996E-4</v>
      </c>
      <c r="E309">
        <v>5.9999999999999995E-4</v>
      </c>
      <c r="F309">
        <v>80469.039999999994</v>
      </c>
      <c r="G309">
        <v>0</v>
      </c>
      <c r="L309" t="s">
        <v>7</v>
      </c>
      <c r="M309" t="s">
        <v>7</v>
      </c>
      <c r="N309" t="s">
        <v>7</v>
      </c>
      <c r="P309">
        <f t="shared" si="964"/>
        <v>0.70731707317073</v>
      </c>
      <c r="Q309">
        <f t="shared" si="965"/>
        <v>56917.125853658392</v>
      </c>
      <c r="R309">
        <f t="shared" si="966"/>
        <v>-8083206.7720433883</v>
      </c>
      <c r="S309">
        <f t="shared" si="967"/>
        <v>-80.832067720433884</v>
      </c>
      <c r="T309">
        <f t="shared" si="968"/>
        <v>-8.0832067720433887E-2</v>
      </c>
    </row>
    <row r="310" spans="1:20" x14ac:dyDescent="0.25">
      <c r="A310" s="5">
        <v>44283</v>
      </c>
      <c r="B310">
        <v>5.9500000000000004E-4</v>
      </c>
      <c r="C310">
        <v>5.9800000000000001E-4</v>
      </c>
      <c r="D310">
        <v>5.71E-4</v>
      </c>
      <c r="E310">
        <v>5.8600000000000004E-4</v>
      </c>
      <c r="F310">
        <v>46427.96</v>
      </c>
      <c r="G310">
        <v>0</v>
      </c>
      <c r="L310" t="s">
        <v>8</v>
      </c>
      <c r="M310" t="s">
        <v>7</v>
      </c>
      <c r="N310" t="s">
        <v>7</v>
      </c>
      <c r="P310">
        <f t="shared" si="964"/>
        <v>0.11111111111111378</v>
      </c>
      <c r="Q310">
        <f t="shared" si="965"/>
        <v>5158.6622222223459</v>
      </c>
      <c r="R310">
        <f t="shared" si="966"/>
        <v>-8140123.897897047</v>
      </c>
      <c r="S310">
        <f t="shared" si="967"/>
        <v>-81.401238978970468</v>
      </c>
      <c r="T310">
        <f t="shared" si="968"/>
        <v>-8.1401238978970475E-2</v>
      </c>
    </row>
    <row r="311" spans="1:20" x14ac:dyDescent="0.25">
      <c r="A311" s="5">
        <v>44282</v>
      </c>
      <c r="B311">
        <v>5.8900000000000001E-4</v>
      </c>
      <c r="C311">
        <v>6.3299999999999999E-4</v>
      </c>
      <c r="D311">
        <v>5.8699999999999996E-4</v>
      </c>
      <c r="E311">
        <v>5.9500000000000004E-4</v>
      </c>
      <c r="F311">
        <v>74783.289999999994</v>
      </c>
      <c r="G311">
        <v>0</v>
      </c>
      <c r="L311" t="s">
        <v>7</v>
      </c>
      <c r="M311" t="s">
        <v>7</v>
      </c>
      <c r="N311" t="s">
        <v>7</v>
      </c>
      <c r="P311">
        <f t="shared" si="964"/>
        <v>-0.65217391304347483</v>
      </c>
      <c r="Q311">
        <f t="shared" si="965"/>
        <v>-48771.710869564959</v>
      </c>
      <c r="R311">
        <f t="shared" si="966"/>
        <v>-8145282.5601192694</v>
      </c>
      <c r="S311">
        <f t="shared" si="967"/>
        <v>-81.4528256011927</v>
      </c>
      <c r="T311">
        <f t="shared" si="968"/>
        <v>-8.1452825601192699E-2</v>
      </c>
    </row>
    <row r="312" spans="1:20" x14ac:dyDescent="0.25">
      <c r="A312" s="5">
        <v>44281</v>
      </c>
      <c r="B312">
        <v>5.8600000000000004E-4</v>
      </c>
      <c r="C312">
        <v>5.9999999999999995E-4</v>
      </c>
      <c r="D312">
        <v>5.7799999999999995E-4</v>
      </c>
      <c r="E312">
        <v>5.8900000000000001E-4</v>
      </c>
      <c r="F312">
        <v>40586.959999999999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4.928191693115931E-15</v>
      </c>
      <c r="Q312">
        <f t="shared" si="965"/>
        <v>2.0002031912082855E-10</v>
      </c>
      <c r="R312">
        <f t="shared" si="966"/>
        <v>-8096510.8492497047</v>
      </c>
      <c r="S312">
        <f t="shared" si="967"/>
        <v>-80.965108492497052</v>
      </c>
      <c r="T312">
        <f t="shared" si="968"/>
        <v>-8.0965108492497051E-2</v>
      </c>
    </row>
    <row r="313" spans="1:20" x14ac:dyDescent="0.25">
      <c r="A313" s="5">
        <v>44280</v>
      </c>
      <c r="B313">
        <v>5.8600000000000004E-4</v>
      </c>
      <c r="C313">
        <v>6.1600000000000001E-4</v>
      </c>
      <c r="D313">
        <v>5.7200000000000003E-4</v>
      </c>
      <c r="E313">
        <v>5.8600000000000004E-4</v>
      </c>
      <c r="F313">
        <v>92704.12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-0.36363636363636276</v>
      </c>
      <c r="Q313">
        <f t="shared" si="965"/>
        <v>-33710.589090909009</v>
      </c>
      <c r="R313">
        <f t="shared" si="966"/>
        <v>-8096510.8492497047</v>
      </c>
      <c r="S313">
        <f t="shared" si="967"/>
        <v>-80.965108492497052</v>
      </c>
      <c r="T313">
        <f t="shared" si="968"/>
        <v>-8.0965108492497051E-2</v>
      </c>
    </row>
    <row r="314" spans="1:20" x14ac:dyDescent="0.25">
      <c r="A314" s="5">
        <v>44279</v>
      </c>
      <c r="B314">
        <v>6.0700000000000001E-4</v>
      </c>
      <c r="C314">
        <v>6.2E-4</v>
      </c>
      <c r="D314">
        <v>5.71E-4</v>
      </c>
      <c r="E314">
        <v>5.8399999999999999E-4</v>
      </c>
      <c r="F314">
        <v>117856.59</v>
      </c>
      <c r="G314">
        <v>0</v>
      </c>
      <c r="L314" t="s">
        <v>8</v>
      </c>
      <c r="M314" t="s">
        <v>7</v>
      </c>
      <c r="N314" t="s">
        <v>7</v>
      </c>
      <c r="P314">
        <f t="shared" si="964"/>
        <v>-0.46938775510204117</v>
      </c>
      <c r="Q314">
        <f t="shared" si="965"/>
        <v>-55320.440204081671</v>
      </c>
      <c r="R314">
        <f t="shared" si="966"/>
        <v>-8062800.2601587959</v>
      </c>
      <c r="S314">
        <f t="shared" si="967"/>
        <v>-80.628002601587966</v>
      </c>
      <c r="T314">
        <f t="shared" si="968"/>
        <v>-8.0628002601587964E-2</v>
      </c>
    </row>
    <row r="315" spans="1:20" x14ac:dyDescent="0.25">
      <c r="A315" s="5">
        <v>44278</v>
      </c>
      <c r="B315">
        <v>5.5900000000000004E-4</v>
      </c>
      <c r="C315">
        <v>8.0000000000000004E-4</v>
      </c>
      <c r="D315">
        <v>5.4799999999999998E-4</v>
      </c>
      <c r="E315">
        <v>6.0599999999999998E-4</v>
      </c>
      <c r="F315">
        <v>379125.34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-0.53968253968253976</v>
      </c>
      <c r="Q315">
        <f t="shared" si="965"/>
        <v>-204607.32634920639</v>
      </c>
      <c r="R315">
        <f t="shared" si="966"/>
        <v>-8007479.8199547138</v>
      </c>
      <c r="S315">
        <f t="shared" si="967"/>
        <v>-80.074798199547132</v>
      </c>
      <c r="T315">
        <f t="shared" si="968"/>
        <v>-8.0074798199547131E-2</v>
      </c>
    </row>
    <row r="316" spans="1:20" x14ac:dyDescent="0.25">
      <c r="A316" s="5">
        <v>44277</v>
      </c>
      <c r="B316">
        <v>5.0600000000000005E-4</v>
      </c>
      <c r="C316">
        <v>6.1600000000000001E-4</v>
      </c>
      <c r="D316">
        <v>5.04E-4</v>
      </c>
      <c r="E316">
        <v>5.5699999999999999E-4</v>
      </c>
      <c r="F316">
        <v>157770.25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-5.3571428571428902E-2</v>
      </c>
      <c r="Q316">
        <f t="shared" si="965"/>
        <v>-8451.9776785714803</v>
      </c>
      <c r="R316">
        <f t="shared" si="966"/>
        <v>-7802872.4936055075</v>
      </c>
      <c r="S316">
        <f t="shared" si="967"/>
        <v>-78.02872493605507</v>
      </c>
      <c r="T316">
        <f t="shared" si="968"/>
        <v>-7.8028724936055074E-2</v>
      </c>
    </row>
    <row r="317" spans="1:20" x14ac:dyDescent="0.25">
      <c r="A317" s="5">
        <v>44276</v>
      </c>
      <c r="B317">
        <v>5.1800000000000001E-4</v>
      </c>
      <c r="C317">
        <v>5.2599999999999999E-4</v>
      </c>
      <c r="D317">
        <v>5.0199999999999995E-4</v>
      </c>
      <c r="E317">
        <v>5.0699999999999996E-4</v>
      </c>
      <c r="F317">
        <v>55436.75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-0.58333333333333293</v>
      </c>
      <c r="Q317">
        <f t="shared" si="965"/>
        <v>-32338.104166666642</v>
      </c>
      <c r="R317">
        <f t="shared" si="966"/>
        <v>-7794420.5159269357</v>
      </c>
      <c r="S317">
        <f t="shared" si="967"/>
        <v>-77.944205159269359</v>
      </c>
      <c r="T317">
        <f t="shared" si="968"/>
        <v>-7.7944205159269364E-2</v>
      </c>
    </row>
    <row r="318" spans="1:20" x14ac:dyDescent="0.25">
      <c r="A318" s="5">
        <v>44275</v>
      </c>
      <c r="B318">
        <v>5.22E-4</v>
      </c>
      <c r="C318">
        <v>5.5099999999999995E-4</v>
      </c>
      <c r="D318">
        <v>5.1500000000000005E-4</v>
      </c>
      <c r="E318">
        <v>5.1800000000000001E-4</v>
      </c>
      <c r="F318">
        <v>60940.29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-0.83333333333333481</v>
      </c>
      <c r="Q318">
        <f t="shared" si="965"/>
        <v>-50783.575000000092</v>
      </c>
      <c r="R318">
        <f t="shared" si="966"/>
        <v>-7762082.4117602687</v>
      </c>
      <c r="S318">
        <f t="shared" si="967"/>
        <v>-77.62082411760268</v>
      </c>
      <c r="T318">
        <f t="shared" si="968"/>
        <v>-7.7620824117602683E-2</v>
      </c>
    </row>
    <row r="319" spans="1:20" x14ac:dyDescent="0.25">
      <c r="A319" s="5">
        <v>44274</v>
      </c>
      <c r="B319">
        <v>5.2599999999999999E-4</v>
      </c>
      <c r="C319">
        <v>5.2999999999999998E-4</v>
      </c>
      <c r="D319">
        <v>5.1800000000000001E-4</v>
      </c>
      <c r="E319">
        <v>5.22E-4</v>
      </c>
      <c r="F319">
        <v>32994.199999999997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-0.33333333333333331</v>
      </c>
      <c r="Q319">
        <f t="shared" si="965"/>
        <v>-10998.066666666666</v>
      </c>
      <c r="R319">
        <f t="shared" si="966"/>
        <v>-7711298.8367602685</v>
      </c>
      <c r="S319">
        <f t="shared" si="967"/>
        <v>-77.112988367602682</v>
      </c>
      <c r="T319">
        <f t="shared" si="968"/>
        <v>-7.7112988367602678E-2</v>
      </c>
    </row>
    <row r="320" spans="1:20" x14ac:dyDescent="0.25">
      <c r="A320" s="5">
        <v>44273</v>
      </c>
      <c r="B320">
        <v>5.31E-4</v>
      </c>
      <c r="C320">
        <v>5.3899999999999998E-4</v>
      </c>
      <c r="D320">
        <v>5.1699999999999999E-4</v>
      </c>
      <c r="E320">
        <v>5.2800000000000004E-4</v>
      </c>
      <c r="F320">
        <v>45365.34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4.928191693115931E-15</v>
      </c>
      <c r="Q320">
        <f t="shared" si="965"/>
        <v>2.2356909174337986E-10</v>
      </c>
      <c r="R320">
        <f t="shared" si="966"/>
        <v>-7700300.7700936021</v>
      </c>
      <c r="S320">
        <f t="shared" si="967"/>
        <v>-77.003007700936024</v>
      </c>
      <c r="T320">
        <f t="shared" si="968"/>
        <v>-7.700300770093603E-2</v>
      </c>
    </row>
    <row r="321" spans="1:20" x14ac:dyDescent="0.25">
      <c r="A321" s="5">
        <v>44272</v>
      </c>
      <c r="B321">
        <v>5.3399999999999997E-4</v>
      </c>
      <c r="C321">
        <v>5.4299999999999997E-4</v>
      </c>
      <c r="D321">
        <v>5.2599999999999999E-4</v>
      </c>
      <c r="E321">
        <v>5.3300000000000005E-4</v>
      </c>
      <c r="F321">
        <v>44710.57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-0.17647058823528586</v>
      </c>
      <c r="Q321">
        <f t="shared" si="965"/>
        <v>-7890.1005882349245</v>
      </c>
      <c r="R321">
        <f t="shared" si="966"/>
        <v>-7700300.7700936021</v>
      </c>
      <c r="S321">
        <f t="shared" si="967"/>
        <v>-77.003007700936024</v>
      </c>
      <c r="T321">
        <f t="shared" si="968"/>
        <v>-7.700300770093603E-2</v>
      </c>
    </row>
    <row r="322" spans="1:20" x14ac:dyDescent="0.25">
      <c r="A322" s="5">
        <v>44271</v>
      </c>
      <c r="B322">
        <v>5.3799999999999996E-4</v>
      </c>
      <c r="C322">
        <v>5.53E-4</v>
      </c>
      <c r="D322">
        <v>5.2700000000000002E-4</v>
      </c>
      <c r="E322">
        <v>5.3600000000000002E-4</v>
      </c>
      <c r="F322">
        <v>74538.63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-0.30769230769230704</v>
      </c>
      <c r="Q322">
        <f t="shared" si="965"/>
        <v>-22934.963076923032</v>
      </c>
      <c r="R322">
        <f t="shared" si="966"/>
        <v>-7692410.6695053671</v>
      </c>
      <c r="S322">
        <f t="shared" si="967"/>
        <v>-76.924106695053666</v>
      </c>
      <c r="T322">
        <f t="shared" si="968"/>
        <v>-7.6924106695053659E-2</v>
      </c>
    </row>
    <row r="323" spans="1:20" x14ac:dyDescent="0.25">
      <c r="A323" s="5">
        <v>44270</v>
      </c>
      <c r="B323">
        <v>5.53E-4</v>
      </c>
      <c r="C323">
        <v>5.5400000000000002E-4</v>
      </c>
      <c r="D323">
        <v>5.1800000000000001E-4</v>
      </c>
      <c r="E323">
        <v>5.3600000000000002E-4</v>
      </c>
      <c r="F323">
        <v>88347.36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</v>
      </c>
      <c r="Q323">
        <f t="shared" si="965"/>
        <v>0</v>
      </c>
      <c r="R323">
        <f t="shared" si="966"/>
        <v>-7669475.706428444</v>
      </c>
      <c r="S323">
        <f t="shared" si="967"/>
        <v>-76.694757064284445</v>
      </c>
      <c r="T323">
        <f t="shared" si="968"/>
        <v>-7.6694757064284441E-2</v>
      </c>
    </row>
    <row r="324" spans="1:20" x14ac:dyDescent="0.25">
      <c r="A324" s="5">
        <v>44269</v>
      </c>
      <c r="B324">
        <v>5.8200000000000005E-4</v>
      </c>
      <c r="C324">
        <v>5.8900000000000001E-4</v>
      </c>
      <c r="D324">
        <v>5.4699999999999996E-4</v>
      </c>
      <c r="E324">
        <v>5.53E-4</v>
      </c>
      <c r="F324">
        <v>52137.22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-0.71428571428571286</v>
      </c>
      <c r="Q324">
        <f t="shared" si="965"/>
        <v>-37240.871428571358</v>
      </c>
      <c r="R324">
        <f t="shared" si="966"/>
        <v>-7669475.706428444</v>
      </c>
      <c r="S324">
        <f t="shared" si="967"/>
        <v>-76.694757064284445</v>
      </c>
      <c r="T324">
        <f t="shared" si="968"/>
        <v>-7.6694757064284441E-2</v>
      </c>
    </row>
    <row r="325" spans="1:20" x14ac:dyDescent="0.25">
      <c r="A325" s="5">
        <v>44268</v>
      </c>
      <c r="B325">
        <v>5.62E-4</v>
      </c>
      <c r="C325">
        <v>6.0700000000000001E-4</v>
      </c>
      <c r="D325">
        <v>5.4000000000000001E-4</v>
      </c>
      <c r="E325">
        <v>5.8399999999999999E-4</v>
      </c>
      <c r="F325">
        <v>122875.03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0.31343283582089504</v>
      </c>
      <c r="Q325">
        <f t="shared" si="965"/>
        <v>38513.069104477552</v>
      </c>
      <c r="R325">
        <f t="shared" si="966"/>
        <v>-7632234.8349998724</v>
      </c>
      <c r="S325">
        <f t="shared" si="967"/>
        <v>-76.32234834999872</v>
      </c>
      <c r="T325">
        <f t="shared" si="968"/>
        <v>-7.6322348349998723E-2</v>
      </c>
    </row>
    <row r="326" spans="1:20" x14ac:dyDescent="0.25">
      <c r="A326" s="5">
        <v>44267</v>
      </c>
      <c r="B326">
        <v>5.8600000000000004E-4</v>
      </c>
      <c r="C326">
        <v>6.2E-4</v>
      </c>
      <c r="D326">
        <v>5.6099999999999998E-4</v>
      </c>
      <c r="E326">
        <v>5.62E-4</v>
      </c>
      <c r="F326">
        <v>106251.08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-0.96610169491525344</v>
      </c>
      <c r="Q326">
        <f t="shared" ref="Q326:Q389" si="970">F326*P326</f>
        <v>-102649.34847457618</v>
      </c>
      <c r="R326">
        <f t="shared" ref="R326:R389" si="971">R327+Q326</f>
        <v>-7670747.9041043501</v>
      </c>
      <c r="S326">
        <f t="shared" ref="S326:S389" si="972">R326/100000</f>
        <v>-76.707479041043499</v>
      </c>
      <c r="T326">
        <f t="shared" ref="T326:T389" si="973">S326/1000</f>
        <v>-7.6707479041043497E-2</v>
      </c>
    </row>
    <row r="327" spans="1:20" x14ac:dyDescent="0.25">
      <c r="A327" s="5">
        <v>44266</v>
      </c>
      <c r="B327">
        <v>6.2399999999999999E-4</v>
      </c>
      <c r="C327">
        <v>6.2500000000000001E-4</v>
      </c>
      <c r="D327">
        <v>5.8299999999999997E-4</v>
      </c>
      <c r="E327">
        <v>5.8500000000000002E-4</v>
      </c>
      <c r="F327">
        <v>142077.12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-0.90476190476190255</v>
      </c>
      <c r="Q327">
        <f t="shared" si="970"/>
        <v>-128545.9657142854</v>
      </c>
      <c r="R327">
        <f t="shared" si="971"/>
        <v>-7568098.555629774</v>
      </c>
      <c r="S327">
        <f t="shared" si="972"/>
        <v>-75.680985556297742</v>
      </c>
      <c r="T327">
        <f t="shared" si="973"/>
        <v>-7.5680985556297736E-2</v>
      </c>
    </row>
    <row r="328" spans="1:20" x14ac:dyDescent="0.25">
      <c r="A328" s="5">
        <v>44265</v>
      </c>
      <c r="B328">
        <v>5.6499999999999996E-4</v>
      </c>
      <c r="C328">
        <v>6.3199999999999997E-4</v>
      </c>
      <c r="D328">
        <v>5.44E-4</v>
      </c>
      <c r="E328">
        <v>6.2299999999999996E-4</v>
      </c>
      <c r="F328">
        <v>183442.72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0.7954545454545453</v>
      </c>
      <c r="Q328">
        <f t="shared" si="970"/>
        <v>145920.34545454543</v>
      </c>
      <c r="R328">
        <f t="shared" si="971"/>
        <v>-7439552.5899154888</v>
      </c>
      <c r="S328">
        <f t="shared" si="972"/>
        <v>-74.39552589915489</v>
      </c>
      <c r="T328">
        <f t="shared" si="973"/>
        <v>-7.4395525899154893E-2</v>
      </c>
    </row>
    <row r="329" spans="1:20" x14ac:dyDescent="0.25">
      <c r="A329" s="5">
        <v>44264</v>
      </c>
      <c r="B329">
        <v>5.6400000000000005E-4</v>
      </c>
      <c r="C329">
        <v>5.9000000000000003E-4</v>
      </c>
      <c r="D329">
        <v>5.4600000000000004E-4</v>
      </c>
      <c r="E329">
        <v>5.6599999999999999E-4</v>
      </c>
      <c r="F329">
        <v>125528.16</v>
      </c>
      <c r="G329">
        <v>0</v>
      </c>
      <c r="L329" t="s">
        <v>7</v>
      </c>
      <c r="M329" t="s">
        <v>8</v>
      </c>
      <c r="N329" t="s">
        <v>7</v>
      </c>
      <c r="P329">
        <f t="shared" si="969"/>
        <v>-9.0909090909093146E-2</v>
      </c>
      <c r="Q329">
        <f t="shared" si="970"/>
        <v>-11411.65090909119</v>
      </c>
      <c r="R329">
        <f t="shared" si="971"/>
        <v>-7585472.9353700345</v>
      </c>
      <c r="S329">
        <f t="shared" si="972"/>
        <v>-75.85472935370035</v>
      </c>
      <c r="T329">
        <f t="shared" si="973"/>
        <v>-7.5854729353700356E-2</v>
      </c>
    </row>
    <row r="330" spans="1:20" x14ac:dyDescent="0.25">
      <c r="A330" s="5">
        <v>44263</v>
      </c>
      <c r="B330">
        <v>5.6700000000000001E-4</v>
      </c>
      <c r="C330">
        <v>5.9999999999999995E-4</v>
      </c>
      <c r="D330">
        <v>5.5199999999999997E-4</v>
      </c>
      <c r="E330">
        <v>5.6300000000000002E-4</v>
      </c>
      <c r="F330">
        <v>148884.26999999999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-0.5416666666666643</v>
      </c>
      <c r="Q330">
        <f t="shared" si="970"/>
        <v>-80645.646249999641</v>
      </c>
      <c r="R330">
        <f t="shared" si="971"/>
        <v>-7574061.2844609432</v>
      </c>
      <c r="S330">
        <f t="shared" si="972"/>
        <v>-75.74061284460943</v>
      </c>
      <c r="T330">
        <f t="shared" si="973"/>
        <v>-7.5740612844609437E-2</v>
      </c>
    </row>
    <row r="331" spans="1:20" x14ac:dyDescent="0.25">
      <c r="A331" s="5">
        <v>44262</v>
      </c>
      <c r="B331">
        <v>5.6899999999999995E-4</v>
      </c>
      <c r="C331">
        <v>5.9500000000000004E-4</v>
      </c>
      <c r="D331">
        <v>5.62E-4</v>
      </c>
      <c r="E331">
        <v>5.6700000000000001E-4</v>
      </c>
      <c r="F331">
        <v>78546.73</v>
      </c>
      <c r="G331">
        <v>0</v>
      </c>
      <c r="L331" t="s">
        <v>7</v>
      </c>
      <c r="M331" t="s">
        <v>8</v>
      </c>
      <c r="N331" t="s">
        <v>7</v>
      </c>
      <c r="P331">
        <f t="shared" si="969"/>
        <v>-0.69696969696969657</v>
      </c>
      <c r="Q331">
        <f t="shared" si="970"/>
        <v>-54744.690606060569</v>
      </c>
      <c r="R331">
        <f t="shared" si="971"/>
        <v>-7493415.6382109439</v>
      </c>
      <c r="S331">
        <f t="shared" si="972"/>
        <v>-74.934156382109435</v>
      </c>
      <c r="T331">
        <f t="shared" si="973"/>
        <v>-7.4934156382109429E-2</v>
      </c>
    </row>
    <row r="332" spans="1:20" x14ac:dyDescent="0.25">
      <c r="A332" s="5">
        <v>44261</v>
      </c>
      <c r="B332">
        <v>5.6099999999999998E-4</v>
      </c>
      <c r="C332">
        <v>5.9900000000000003E-4</v>
      </c>
      <c r="D332">
        <v>5.5999999999999995E-4</v>
      </c>
      <c r="E332">
        <v>5.6700000000000001E-4</v>
      </c>
      <c r="F332">
        <v>77236.58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-0.64102564102563864</v>
      </c>
      <c r="Q332">
        <f t="shared" si="970"/>
        <v>-49510.628205128021</v>
      </c>
      <c r="R332">
        <f t="shared" si="971"/>
        <v>-7438670.9476048835</v>
      </c>
      <c r="S332">
        <f t="shared" si="972"/>
        <v>-74.386709476048836</v>
      </c>
      <c r="T332">
        <f t="shared" si="973"/>
        <v>-7.4386709476048835E-2</v>
      </c>
    </row>
    <row r="333" spans="1:20" x14ac:dyDescent="0.25">
      <c r="A333" s="5">
        <v>44260</v>
      </c>
      <c r="B333">
        <v>5.6499999999999996E-4</v>
      </c>
      <c r="C333">
        <v>5.9900000000000003E-4</v>
      </c>
      <c r="D333">
        <v>5.53E-4</v>
      </c>
      <c r="E333">
        <v>5.62E-4</v>
      </c>
      <c r="F333">
        <v>76752.73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-0.60869565217391319</v>
      </c>
      <c r="Q333">
        <f t="shared" si="970"/>
        <v>-46719.05304347827</v>
      </c>
      <c r="R333">
        <f t="shared" si="971"/>
        <v>-7389160.3193997554</v>
      </c>
      <c r="S333">
        <f t="shared" si="972"/>
        <v>-73.891603193997554</v>
      </c>
      <c r="T333">
        <f t="shared" si="973"/>
        <v>-7.3891603193997554E-2</v>
      </c>
    </row>
    <row r="334" spans="1:20" x14ac:dyDescent="0.25">
      <c r="A334" s="5">
        <v>44259</v>
      </c>
      <c r="B334">
        <v>5.5500000000000005E-4</v>
      </c>
      <c r="C334">
        <v>5.8100000000000003E-4</v>
      </c>
      <c r="D334">
        <v>5.4000000000000001E-4</v>
      </c>
      <c r="E334">
        <v>5.6499999999999996E-4</v>
      </c>
      <c r="F334">
        <v>88762.53</v>
      </c>
      <c r="G334">
        <v>0</v>
      </c>
      <c r="L334" t="s">
        <v>8</v>
      </c>
      <c r="M334" t="s">
        <v>8</v>
      </c>
      <c r="N334" t="s">
        <v>7</v>
      </c>
      <c r="P334">
        <f t="shared" si="969"/>
        <v>0.2195121951219485</v>
      </c>
      <c r="Q334">
        <f t="shared" si="970"/>
        <v>19484.457804877806</v>
      </c>
      <c r="R334">
        <f t="shared" si="971"/>
        <v>-7342441.2663562773</v>
      </c>
      <c r="S334">
        <f t="shared" si="972"/>
        <v>-73.424412663562777</v>
      </c>
      <c r="T334">
        <f t="shared" si="973"/>
        <v>-7.3424412663562783E-2</v>
      </c>
    </row>
    <row r="335" spans="1:20" x14ac:dyDescent="0.25">
      <c r="A335" s="5">
        <v>44258</v>
      </c>
      <c r="B335">
        <v>5.4600000000000004E-4</v>
      </c>
      <c r="C335">
        <v>5.9199999999999997E-4</v>
      </c>
      <c r="D335">
        <v>5.2899999999999996E-4</v>
      </c>
      <c r="E335">
        <v>5.53E-4</v>
      </c>
      <c r="F335">
        <v>104736.31</v>
      </c>
      <c r="G335">
        <v>0</v>
      </c>
      <c r="L335" t="s">
        <v>7</v>
      </c>
      <c r="M335" t="s">
        <v>8</v>
      </c>
      <c r="N335" t="s">
        <v>7</v>
      </c>
      <c r="P335">
        <f t="shared" si="969"/>
        <v>-0.23809523809523694</v>
      </c>
      <c r="Q335">
        <f t="shared" si="970"/>
        <v>-24937.216666666547</v>
      </c>
      <c r="R335">
        <f t="shared" si="971"/>
        <v>-7361925.7241611555</v>
      </c>
      <c r="S335">
        <f t="shared" si="972"/>
        <v>-73.61925724161155</v>
      </c>
      <c r="T335">
        <f t="shared" si="973"/>
        <v>-7.3619257241611544E-2</v>
      </c>
    </row>
    <row r="336" spans="1:20" x14ac:dyDescent="0.25">
      <c r="A336" s="5">
        <v>44257</v>
      </c>
      <c r="B336">
        <v>5.3300000000000005E-4</v>
      </c>
      <c r="C336">
        <v>5.7200000000000003E-4</v>
      </c>
      <c r="D336">
        <v>5.2599999999999999E-4</v>
      </c>
      <c r="E336">
        <v>5.4699999999999996E-4</v>
      </c>
      <c r="F336">
        <v>76371.320000000007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-8.6956521739132486E-2</v>
      </c>
      <c r="Q336">
        <f t="shared" si="970"/>
        <v>-6640.9843478262446</v>
      </c>
      <c r="R336">
        <f t="shared" si="971"/>
        <v>-7336988.5074944887</v>
      </c>
      <c r="S336">
        <f t="shared" si="972"/>
        <v>-73.369885074944889</v>
      </c>
      <c r="T336">
        <f t="shared" si="973"/>
        <v>-7.3369885074944893E-2</v>
      </c>
    </row>
    <row r="337" spans="1:20" x14ac:dyDescent="0.25">
      <c r="A337" s="5">
        <v>44256</v>
      </c>
      <c r="B337">
        <v>5.2899999999999996E-4</v>
      </c>
      <c r="C337">
        <v>5.7200000000000003E-4</v>
      </c>
      <c r="D337">
        <v>5.2400000000000005E-4</v>
      </c>
      <c r="E337">
        <v>5.31E-4</v>
      </c>
      <c r="F337">
        <v>72885.919999999998</v>
      </c>
      <c r="G337">
        <v>0</v>
      </c>
      <c r="L337" t="s">
        <v>7</v>
      </c>
      <c r="M337" t="s">
        <v>8</v>
      </c>
      <c r="N337" t="s">
        <v>7</v>
      </c>
      <c r="P337">
        <f t="shared" si="969"/>
        <v>-0.70833333333333515</v>
      </c>
      <c r="Q337">
        <f t="shared" si="970"/>
        <v>-51627.526666666796</v>
      </c>
      <c r="R337">
        <f t="shared" si="971"/>
        <v>-7330347.5231466629</v>
      </c>
      <c r="S337">
        <f t="shared" si="972"/>
        <v>-73.303475231466635</v>
      </c>
      <c r="T337">
        <f t="shared" si="973"/>
        <v>-7.330347523146663E-2</v>
      </c>
    </row>
    <row r="338" spans="1:20" x14ac:dyDescent="0.25">
      <c r="A338" s="5">
        <v>44255</v>
      </c>
      <c r="B338">
        <v>5.62E-4</v>
      </c>
      <c r="C338">
        <v>5.6300000000000002E-4</v>
      </c>
      <c r="D338">
        <v>5.1000000000000004E-4</v>
      </c>
      <c r="E338">
        <v>5.2999999999999998E-4</v>
      </c>
      <c r="F338">
        <v>70525.759999999995</v>
      </c>
      <c r="G338">
        <v>0</v>
      </c>
      <c r="L338" t="s">
        <v>8</v>
      </c>
      <c r="M338" t="s">
        <v>8</v>
      </c>
      <c r="N338" t="s">
        <v>7</v>
      </c>
      <c r="P338">
        <f t="shared" si="969"/>
        <v>-0.24528301886792644</v>
      </c>
      <c r="Q338">
        <f t="shared" si="970"/>
        <v>-17298.771320754851</v>
      </c>
      <c r="R338">
        <f t="shared" si="971"/>
        <v>-7278719.9964799965</v>
      </c>
      <c r="S338">
        <f t="shared" si="972"/>
        <v>-72.787199964799967</v>
      </c>
      <c r="T338">
        <f t="shared" si="973"/>
        <v>-7.2787199964799973E-2</v>
      </c>
    </row>
    <row r="339" spans="1:20" x14ac:dyDescent="0.25">
      <c r="A339" s="5">
        <v>44254</v>
      </c>
      <c r="B339">
        <v>5.5599999999999996E-4</v>
      </c>
      <c r="C339">
        <v>5.8200000000000005E-4</v>
      </c>
      <c r="D339">
        <v>5.5099999999999995E-4</v>
      </c>
      <c r="E339">
        <v>5.5999999999999995E-4</v>
      </c>
      <c r="F339">
        <v>51563.82</v>
      </c>
      <c r="G339">
        <v>0</v>
      </c>
      <c r="L339" t="s">
        <v>7</v>
      </c>
      <c r="M339" t="s">
        <v>8</v>
      </c>
      <c r="N339" t="s">
        <v>7</v>
      </c>
      <c r="P339">
        <f t="shared" si="969"/>
        <v>-0.41935483870967921</v>
      </c>
      <c r="Q339">
        <f t="shared" si="970"/>
        <v>-21623.537419354932</v>
      </c>
      <c r="R339">
        <f t="shared" si="971"/>
        <v>-7261421.2251592418</v>
      </c>
      <c r="S339">
        <f t="shared" si="972"/>
        <v>-72.61421225159242</v>
      </c>
      <c r="T339">
        <f t="shared" si="973"/>
        <v>-7.2614212251592425E-2</v>
      </c>
    </row>
    <row r="340" spans="1:20" x14ac:dyDescent="0.25">
      <c r="A340" s="5">
        <v>44253</v>
      </c>
      <c r="B340">
        <v>5.5900000000000004E-4</v>
      </c>
      <c r="C340">
        <v>5.9500000000000004E-4</v>
      </c>
      <c r="D340">
        <v>5.3300000000000005E-4</v>
      </c>
      <c r="E340">
        <v>5.5599999999999996E-4</v>
      </c>
      <c r="F340">
        <v>122297.17</v>
      </c>
      <c r="G340">
        <v>0</v>
      </c>
      <c r="L340" t="s">
        <v>8</v>
      </c>
      <c r="M340" t="s">
        <v>8</v>
      </c>
      <c r="N340" t="s">
        <v>7</v>
      </c>
      <c r="P340">
        <f t="shared" si="969"/>
        <v>-0.25806451612903508</v>
      </c>
      <c r="Q340">
        <f t="shared" si="970"/>
        <v>-31560.560000000343</v>
      </c>
      <c r="R340">
        <f t="shared" si="971"/>
        <v>-7239797.6877398873</v>
      </c>
      <c r="S340">
        <f t="shared" si="972"/>
        <v>-72.397976877398875</v>
      </c>
      <c r="T340">
        <f t="shared" si="973"/>
        <v>-7.2397976877398879E-2</v>
      </c>
    </row>
    <row r="341" spans="1:20" x14ac:dyDescent="0.25">
      <c r="A341" s="5">
        <v>44252</v>
      </c>
      <c r="B341">
        <v>5.5599999999999996E-4</v>
      </c>
      <c r="C341">
        <v>5.9900000000000003E-4</v>
      </c>
      <c r="D341">
        <v>5.3899999999999998E-4</v>
      </c>
      <c r="E341">
        <v>5.6099999999999998E-4</v>
      </c>
      <c r="F341">
        <v>135918.56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-0.2666666666666675</v>
      </c>
      <c r="Q341">
        <f t="shared" si="970"/>
        <v>-36244.949333333447</v>
      </c>
      <c r="R341">
        <f t="shared" si="971"/>
        <v>-7208237.1277398868</v>
      </c>
      <c r="S341">
        <f t="shared" si="972"/>
        <v>-72.082371277398863</v>
      </c>
      <c r="T341">
        <f t="shared" si="973"/>
        <v>-7.208237127739886E-2</v>
      </c>
    </row>
    <row r="342" spans="1:20" x14ac:dyDescent="0.25">
      <c r="A342" s="5">
        <v>44251</v>
      </c>
      <c r="B342">
        <v>5.4600000000000004E-4</v>
      </c>
      <c r="C342">
        <v>6.11E-4</v>
      </c>
      <c r="D342">
        <v>5.4100000000000003E-4</v>
      </c>
      <c r="E342">
        <v>5.5400000000000002E-4</v>
      </c>
      <c r="F342">
        <v>157720.07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-0.62857142857142867</v>
      </c>
      <c r="Q342">
        <f t="shared" si="970"/>
        <v>-99138.329714285734</v>
      </c>
      <c r="R342">
        <f t="shared" si="971"/>
        <v>-7171992.1784065533</v>
      </c>
      <c r="S342">
        <f t="shared" si="972"/>
        <v>-71.719921784065534</v>
      </c>
      <c r="T342">
        <f t="shared" si="973"/>
        <v>-7.1719921784065527E-2</v>
      </c>
    </row>
    <row r="343" spans="1:20" x14ac:dyDescent="0.25">
      <c r="A343" s="5">
        <v>44250</v>
      </c>
      <c r="B343">
        <v>6.1399999999999996E-4</v>
      </c>
      <c r="C343">
        <v>6.1399999999999996E-4</v>
      </c>
      <c r="D343">
        <v>4.6000000000000001E-4</v>
      </c>
      <c r="E343">
        <v>5.4500000000000002E-4</v>
      </c>
      <c r="F343">
        <v>257179.18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0.10389610389610435</v>
      </c>
      <c r="Q343">
        <f t="shared" si="970"/>
        <v>26719.91480519492</v>
      </c>
      <c r="R343">
        <f t="shared" si="971"/>
        <v>-7072853.8486922672</v>
      </c>
      <c r="S343">
        <f t="shared" si="972"/>
        <v>-70.728538486922673</v>
      </c>
      <c r="T343">
        <f t="shared" si="973"/>
        <v>-7.0728538486922676E-2</v>
      </c>
    </row>
    <row r="344" spans="1:20" x14ac:dyDescent="0.25">
      <c r="A344" s="5">
        <v>44249</v>
      </c>
      <c r="B344">
        <v>5.6300000000000002E-4</v>
      </c>
      <c r="C344">
        <v>6.4999999999999997E-4</v>
      </c>
      <c r="D344">
        <v>5.4799999999999998E-4</v>
      </c>
      <c r="E344">
        <v>6.1300000000000005E-4</v>
      </c>
      <c r="F344">
        <v>400179.56</v>
      </c>
      <c r="G344">
        <v>0</v>
      </c>
      <c r="L344" t="s">
        <v>8</v>
      </c>
      <c r="M344" t="s">
        <v>7</v>
      </c>
      <c r="N344" t="s">
        <v>8</v>
      </c>
      <c r="P344">
        <f t="shared" si="969"/>
        <v>0.27450980392157004</v>
      </c>
      <c r="Q344">
        <f t="shared" si="970"/>
        <v>109853.21254902017</v>
      </c>
      <c r="R344">
        <f t="shared" si="971"/>
        <v>-7099573.7634974625</v>
      </c>
      <c r="S344">
        <f t="shared" si="972"/>
        <v>-70.995737634974631</v>
      </c>
      <c r="T344">
        <f t="shared" si="973"/>
        <v>-7.0995737634974632E-2</v>
      </c>
    </row>
    <row r="345" spans="1:20" x14ac:dyDescent="0.25">
      <c r="A345" s="5">
        <v>44248</v>
      </c>
      <c r="B345">
        <v>4.57E-4</v>
      </c>
      <c r="C345">
        <v>6.6500000000000001E-4</v>
      </c>
      <c r="D345">
        <v>4.5199999999999998E-4</v>
      </c>
      <c r="E345">
        <v>5.6300000000000002E-4</v>
      </c>
      <c r="F345">
        <v>407537.34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4.2253521126760819E-2</v>
      </c>
      <c r="Q345">
        <f t="shared" si="970"/>
        <v>17219.887605633907</v>
      </c>
      <c r="R345">
        <f t="shared" si="971"/>
        <v>-7209426.976046483</v>
      </c>
      <c r="S345">
        <f t="shared" si="972"/>
        <v>-72.094269760464826</v>
      </c>
      <c r="T345">
        <f t="shared" si="973"/>
        <v>-7.2094269760464832E-2</v>
      </c>
    </row>
    <row r="346" spans="1:20" x14ac:dyDescent="0.25">
      <c r="A346" s="5">
        <v>44247</v>
      </c>
      <c r="B346">
        <v>4.8999999999999998E-4</v>
      </c>
      <c r="C346">
        <v>5.0000000000000001E-4</v>
      </c>
      <c r="D346">
        <v>4.5100000000000001E-4</v>
      </c>
      <c r="E346">
        <v>4.5600000000000003E-4</v>
      </c>
      <c r="F346">
        <v>91701.52</v>
      </c>
      <c r="G346">
        <v>0</v>
      </c>
      <c r="L346" t="s">
        <v>8</v>
      </c>
      <c r="M346" t="s">
        <v>7</v>
      </c>
      <c r="N346" t="s">
        <v>7</v>
      </c>
      <c r="P346">
        <f t="shared" si="969"/>
        <v>-0.79591836734693822</v>
      </c>
      <c r="Q346">
        <f t="shared" si="970"/>
        <v>-72986.924081632606</v>
      </c>
      <c r="R346">
        <f t="shared" si="971"/>
        <v>-7226646.8636521166</v>
      </c>
      <c r="S346">
        <f t="shared" si="972"/>
        <v>-72.266468636521168</v>
      </c>
      <c r="T346">
        <f t="shared" si="973"/>
        <v>-7.2266468636521169E-2</v>
      </c>
    </row>
    <row r="347" spans="1:20" x14ac:dyDescent="0.25">
      <c r="A347" s="5">
        <v>44246</v>
      </c>
      <c r="B347">
        <v>5.0799999999999999E-4</v>
      </c>
      <c r="C347">
        <v>5.2999999999999998E-4</v>
      </c>
      <c r="D347">
        <v>4.8099999999999998E-4</v>
      </c>
      <c r="E347">
        <v>4.9299999999999995E-4</v>
      </c>
      <c r="F347">
        <v>139466.15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-0.5102040816326544</v>
      </c>
      <c r="Q347">
        <f t="shared" si="970"/>
        <v>-71156.198979592024</v>
      </c>
      <c r="R347">
        <f t="shared" si="971"/>
        <v>-7153659.9395704838</v>
      </c>
      <c r="S347">
        <f t="shared" si="972"/>
        <v>-71.53659939570484</v>
      </c>
      <c r="T347">
        <f t="shared" si="973"/>
        <v>-7.1536599395704836E-2</v>
      </c>
    </row>
    <row r="348" spans="1:20" x14ac:dyDescent="0.25">
      <c r="A348" s="5">
        <v>44245</v>
      </c>
      <c r="B348">
        <v>5.2099999999999998E-4</v>
      </c>
      <c r="C348">
        <v>5.3600000000000002E-4</v>
      </c>
      <c r="D348">
        <v>4.95E-4</v>
      </c>
      <c r="E348">
        <v>5.1000000000000004E-4</v>
      </c>
      <c r="F348">
        <v>91028.76</v>
      </c>
      <c r="G348">
        <v>0</v>
      </c>
      <c r="L348" t="s">
        <v>8</v>
      </c>
      <c r="M348" t="s">
        <v>7</v>
      </c>
      <c r="N348" t="s">
        <v>8</v>
      </c>
      <c r="P348">
        <f t="shared" si="969"/>
        <v>-0.26829268292682773</v>
      </c>
      <c r="Q348">
        <f t="shared" si="970"/>
        <v>-24422.350243902296</v>
      </c>
      <c r="R348">
        <f t="shared" si="971"/>
        <v>-7082503.7405908918</v>
      </c>
      <c r="S348">
        <f t="shared" si="972"/>
        <v>-70.825037405908915</v>
      </c>
      <c r="T348">
        <f t="shared" si="973"/>
        <v>-7.0825037405908911E-2</v>
      </c>
    </row>
    <row r="349" spans="1:20" x14ac:dyDescent="0.25">
      <c r="A349" s="5">
        <v>44244</v>
      </c>
      <c r="B349">
        <v>5.3399999999999997E-4</v>
      </c>
      <c r="C349">
        <v>5.5599999999999996E-4</v>
      </c>
      <c r="D349">
        <v>5.13E-4</v>
      </c>
      <c r="E349">
        <v>5.2099999999999998E-4</v>
      </c>
      <c r="F349">
        <v>145514.9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-0.62790697674418672</v>
      </c>
      <c r="Q349">
        <f t="shared" si="970"/>
        <v>-91369.820930232658</v>
      </c>
      <c r="R349">
        <f t="shared" si="971"/>
        <v>-7058081.39034699</v>
      </c>
      <c r="S349">
        <f t="shared" si="972"/>
        <v>-70.580813903469902</v>
      </c>
      <c r="T349">
        <f t="shared" si="973"/>
        <v>-7.0580813903469902E-2</v>
      </c>
    </row>
    <row r="350" spans="1:20" x14ac:dyDescent="0.25">
      <c r="A350" s="5">
        <v>44243</v>
      </c>
      <c r="B350">
        <v>5.8399999999999999E-4</v>
      </c>
      <c r="C350">
        <v>5.8500000000000002E-4</v>
      </c>
      <c r="D350">
        <v>5.2599999999999999E-4</v>
      </c>
      <c r="E350">
        <v>5.3399999999999997E-4</v>
      </c>
      <c r="F350">
        <v>228917.93</v>
      </c>
      <c r="G350">
        <v>0</v>
      </c>
      <c r="L350" t="s">
        <v>8</v>
      </c>
      <c r="M350" t="s">
        <v>7</v>
      </c>
      <c r="N350" t="s">
        <v>8</v>
      </c>
      <c r="P350">
        <f t="shared" si="969"/>
        <v>-0.72881355932203473</v>
      </c>
      <c r="Q350">
        <f t="shared" si="970"/>
        <v>-166838.49135593238</v>
      </c>
      <c r="R350">
        <f t="shared" si="971"/>
        <v>-6966711.5694167577</v>
      </c>
      <c r="S350">
        <f t="shared" si="972"/>
        <v>-69.667115694167578</v>
      </c>
      <c r="T350">
        <f t="shared" si="973"/>
        <v>-6.9667115694167572E-2</v>
      </c>
    </row>
    <row r="351" spans="1:20" x14ac:dyDescent="0.25">
      <c r="A351" s="5">
        <v>44242</v>
      </c>
      <c r="B351">
        <v>5.3799999999999996E-4</v>
      </c>
      <c r="C351">
        <v>6.7500000000000004E-4</v>
      </c>
      <c r="D351">
        <v>5.2300000000000003E-4</v>
      </c>
      <c r="E351">
        <v>5.8200000000000005E-4</v>
      </c>
      <c r="F351">
        <v>1036041.1</v>
      </c>
      <c r="G351">
        <v>0</v>
      </c>
      <c r="L351" t="s">
        <v>7</v>
      </c>
      <c r="M351" t="s">
        <v>8</v>
      </c>
      <c r="N351" t="s">
        <v>8</v>
      </c>
      <c r="P351">
        <f t="shared" si="969"/>
        <v>-0.22368421052631551</v>
      </c>
      <c r="Q351">
        <f t="shared" si="970"/>
        <v>-231746.03552631551</v>
      </c>
      <c r="R351">
        <f t="shared" si="971"/>
        <v>-6799873.0780608254</v>
      </c>
      <c r="S351">
        <f t="shared" si="972"/>
        <v>-67.998730780608255</v>
      </c>
      <c r="T351">
        <f t="shared" si="973"/>
        <v>-6.7998730780608252E-2</v>
      </c>
    </row>
    <row r="352" spans="1:20" x14ac:dyDescent="0.25">
      <c r="A352" s="5">
        <v>44241</v>
      </c>
      <c r="B352">
        <v>3.7599999999999998E-4</v>
      </c>
      <c r="C352">
        <v>5.5800000000000001E-4</v>
      </c>
      <c r="D352">
        <v>3.6999999999999999E-4</v>
      </c>
      <c r="E352">
        <v>5.3700000000000004E-4</v>
      </c>
      <c r="F352">
        <v>891238.6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0.77659574468085146</v>
      </c>
      <c r="Q352">
        <f t="shared" si="970"/>
        <v>692132.10425531946</v>
      </c>
      <c r="R352">
        <f t="shared" si="971"/>
        <v>-6568127.0425345097</v>
      </c>
      <c r="S352">
        <f t="shared" si="972"/>
        <v>-65.68127042534509</v>
      </c>
      <c r="T352">
        <f t="shared" si="973"/>
        <v>-6.5681270425345092E-2</v>
      </c>
    </row>
    <row r="353" spans="1:20" x14ac:dyDescent="0.25">
      <c r="A353" s="5">
        <v>44240</v>
      </c>
      <c r="B353">
        <v>3.2600000000000001E-4</v>
      </c>
      <c r="C353">
        <v>3.9899999999999999E-4</v>
      </c>
      <c r="D353">
        <v>3.2299999999999999E-4</v>
      </c>
      <c r="E353">
        <v>3.7399999999999998E-4</v>
      </c>
      <c r="F353">
        <v>301697.19</v>
      </c>
      <c r="G353">
        <v>0</v>
      </c>
      <c r="L353" t="s">
        <v>7</v>
      </c>
      <c r="M353" t="s">
        <v>8</v>
      </c>
      <c r="N353" t="s">
        <v>7</v>
      </c>
      <c r="P353">
        <f t="shared" si="969"/>
        <v>0.34210526315789447</v>
      </c>
      <c r="Q353">
        <f t="shared" si="970"/>
        <v>103212.19657894729</v>
      </c>
      <c r="R353">
        <f t="shared" si="971"/>
        <v>-7260259.1467898292</v>
      </c>
      <c r="S353">
        <f t="shared" si="972"/>
        <v>-72.602591467898293</v>
      </c>
      <c r="T353">
        <f t="shared" si="973"/>
        <v>-7.2602591467898298E-2</v>
      </c>
    </row>
    <row r="354" spans="1:20" x14ac:dyDescent="0.25">
      <c r="A354" s="5">
        <v>44239</v>
      </c>
      <c r="B354">
        <v>3.1799999999999998E-4</v>
      </c>
      <c r="C354">
        <v>3.3199999999999999E-4</v>
      </c>
      <c r="D354">
        <v>3.1300000000000002E-4</v>
      </c>
      <c r="E354">
        <v>3.2600000000000001E-4</v>
      </c>
      <c r="F354">
        <v>155917.28</v>
      </c>
      <c r="G354">
        <v>0</v>
      </c>
      <c r="L354" t="s">
        <v>8</v>
      </c>
      <c r="M354" t="s">
        <v>8</v>
      </c>
      <c r="N354" t="s">
        <v>7</v>
      </c>
      <c r="P354">
        <f t="shared" si="969"/>
        <v>0.36842105263157987</v>
      </c>
      <c r="Q354">
        <f t="shared" si="970"/>
        <v>57443.208421052776</v>
      </c>
      <c r="R354">
        <f t="shared" si="971"/>
        <v>-7363471.3433687761</v>
      </c>
      <c r="S354">
        <f t="shared" si="972"/>
        <v>-73.634713433687764</v>
      </c>
      <c r="T354">
        <f t="shared" si="973"/>
        <v>-7.3634713433687771E-2</v>
      </c>
    </row>
    <row r="355" spans="1:20" x14ac:dyDescent="0.25">
      <c r="A355" s="5">
        <v>44238</v>
      </c>
      <c r="B355">
        <v>3.21E-4</v>
      </c>
      <c r="C355">
        <v>3.4299999999999999E-4</v>
      </c>
      <c r="D355">
        <v>3.1199999999999999E-4</v>
      </c>
      <c r="E355">
        <v>3.1799999999999998E-4</v>
      </c>
      <c r="F355">
        <v>179101.03</v>
      </c>
      <c r="G355">
        <v>0</v>
      </c>
      <c r="L355" t="s">
        <v>7</v>
      </c>
      <c r="M355" t="s">
        <v>8</v>
      </c>
      <c r="N355" t="s">
        <v>7</v>
      </c>
      <c r="P355">
        <f t="shared" si="969"/>
        <v>-0.61290322580645262</v>
      </c>
      <c r="Q355">
        <f t="shared" si="970"/>
        <v>-109771.59903225825</v>
      </c>
      <c r="R355">
        <f t="shared" si="971"/>
        <v>-7420914.5517898286</v>
      </c>
      <c r="S355">
        <f t="shared" si="972"/>
        <v>-74.209145517898293</v>
      </c>
      <c r="T355">
        <f t="shared" si="973"/>
        <v>-7.4209145517898298E-2</v>
      </c>
    </row>
    <row r="356" spans="1:20" x14ac:dyDescent="0.25">
      <c r="A356" s="5">
        <v>44237</v>
      </c>
      <c r="B356">
        <v>3.0499999999999999E-4</v>
      </c>
      <c r="C356">
        <v>3.2400000000000001E-4</v>
      </c>
      <c r="D356">
        <v>2.9999999999999997E-4</v>
      </c>
      <c r="E356">
        <v>3.2000000000000003E-4</v>
      </c>
      <c r="F356">
        <v>89988.82</v>
      </c>
      <c r="G356">
        <v>0</v>
      </c>
      <c r="L356" t="s">
        <v>8</v>
      </c>
      <c r="M356" t="s">
        <v>7</v>
      </c>
      <c r="N356" t="s">
        <v>7</v>
      </c>
      <c r="P356">
        <f t="shared" si="969"/>
        <v>0.66666666666666818</v>
      </c>
      <c r="Q356">
        <f t="shared" si="970"/>
        <v>59992.546666666807</v>
      </c>
      <c r="R356">
        <f t="shared" si="971"/>
        <v>-7311142.95275757</v>
      </c>
      <c r="S356">
        <f t="shared" si="972"/>
        <v>-73.111429527575694</v>
      </c>
      <c r="T356">
        <f t="shared" si="973"/>
        <v>-7.3111429527575697E-2</v>
      </c>
    </row>
    <row r="357" spans="1:20" x14ac:dyDescent="0.25">
      <c r="A357" s="5">
        <v>44236</v>
      </c>
      <c r="B357">
        <v>2.9500000000000001E-4</v>
      </c>
      <c r="C357">
        <v>3.1100000000000002E-4</v>
      </c>
      <c r="D357">
        <v>2.8600000000000001E-4</v>
      </c>
      <c r="E357">
        <v>3.0600000000000001E-4</v>
      </c>
      <c r="F357">
        <v>122502.21</v>
      </c>
      <c r="G357">
        <v>0</v>
      </c>
      <c r="L357" t="s">
        <v>7</v>
      </c>
      <c r="M357" t="s">
        <v>7</v>
      </c>
      <c r="N357" t="s">
        <v>7</v>
      </c>
      <c r="P357">
        <f t="shared" si="969"/>
        <v>0.59999999999999909</v>
      </c>
      <c r="Q357">
        <f t="shared" si="970"/>
        <v>73501.325999999899</v>
      </c>
      <c r="R357">
        <f t="shared" si="971"/>
        <v>-7371135.4994242368</v>
      </c>
      <c r="S357">
        <f t="shared" si="972"/>
        <v>-73.71135499424237</v>
      </c>
      <c r="T357">
        <f t="shared" si="973"/>
        <v>-7.3711354994242376E-2</v>
      </c>
    </row>
    <row r="358" spans="1:20" x14ac:dyDescent="0.25">
      <c r="A358" s="5">
        <v>44235</v>
      </c>
      <c r="B358">
        <v>3.1399999999999999E-4</v>
      </c>
      <c r="C358">
        <v>3.2499999999999999E-4</v>
      </c>
      <c r="D358">
        <v>2.8899999999999998E-4</v>
      </c>
      <c r="E358">
        <v>2.9500000000000001E-4</v>
      </c>
      <c r="F358">
        <v>78983.89</v>
      </c>
      <c r="G358">
        <v>0</v>
      </c>
      <c r="L358" t="s">
        <v>8</v>
      </c>
      <c r="M358" t="s">
        <v>7</v>
      </c>
      <c r="N358" t="s">
        <v>7</v>
      </c>
      <c r="P358">
        <f t="shared" si="969"/>
        <v>-0.66666666666666463</v>
      </c>
      <c r="Q358">
        <f t="shared" si="970"/>
        <v>-52655.926666666506</v>
      </c>
      <c r="R358">
        <f t="shared" si="971"/>
        <v>-7444636.8254242372</v>
      </c>
      <c r="S358">
        <f t="shared" si="972"/>
        <v>-74.446368254242373</v>
      </c>
      <c r="T358">
        <f t="shared" si="973"/>
        <v>-7.4446368254242376E-2</v>
      </c>
    </row>
    <row r="359" spans="1:20" x14ac:dyDescent="0.25">
      <c r="A359" s="5">
        <v>44234</v>
      </c>
      <c r="B359">
        <v>3.2400000000000001E-4</v>
      </c>
      <c r="C359">
        <v>3.28E-4</v>
      </c>
      <c r="D359">
        <v>3.0800000000000001E-4</v>
      </c>
      <c r="E359">
        <v>3.1599999999999998E-4</v>
      </c>
      <c r="F359">
        <v>82718.880000000005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-0.20000000000000218</v>
      </c>
      <c r="Q359">
        <f t="shared" si="970"/>
        <v>-16543.77600000018</v>
      </c>
      <c r="R359">
        <f t="shared" si="971"/>
        <v>-7391980.8987575704</v>
      </c>
      <c r="S359">
        <f t="shared" si="972"/>
        <v>-73.919808987575706</v>
      </c>
      <c r="T359">
        <f t="shared" si="973"/>
        <v>-7.3919808987575705E-2</v>
      </c>
    </row>
    <row r="360" spans="1:20" x14ac:dyDescent="0.25">
      <c r="A360" s="5">
        <v>44233</v>
      </c>
      <c r="B360">
        <v>3.1399999999999999E-4</v>
      </c>
      <c r="C360">
        <v>3.4299999999999999E-4</v>
      </c>
      <c r="D360">
        <v>3.0800000000000001E-4</v>
      </c>
      <c r="E360">
        <v>3.2299999999999999E-4</v>
      </c>
      <c r="F360">
        <v>168480.71</v>
      </c>
      <c r="G360">
        <v>0</v>
      </c>
      <c r="L360" t="s">
        <v>8</v>
      </c>
      <c r="M360" t="s">
        <v>7</v>
      </c>
      <c r="N360" t="s">
        <v>7</v>
      </c>
      <c r="P360">
        <f t="shared" si="969"/>
        <v>-0.14285714285714329</v>
      </c>
      <c r="Q360">
        <f t="shared" si="970"/>
        <v>-24068.67285714293</v>
      </c>
      <c r="R360">
        <f t="shared" si="971"/>
        <v>-7375437.1227575699</v>
      </c>
      <c r="S360">
        <f t="shared" si="972"/>
        <v>-73.754371227575703</v>
      </c>
      <c r="T360">
        <f t="shared" si="973"/>
        <v>-7.3754371227575707E-2</v>
      </c>
    </row>
    <row r="361" spans="1:20" x14ac:dyDescent="0.25">
      <c r="A361" s="5">
        <v>44232</v>
      </c>
      <c r="B361">
        <v>2.9999999999999997E-4</v>
      </c>
      <c r="C361">
        <v>3.2299999999999999E-4</v>
      </c>
      <c r="D361">
        <v>2.9799999999999998E-4</v>
      </c>
      <c r="E361">
        <v>3.1500000000000001E-4</v>
      </c>
      <c r="F361">
        <v>66813.789999999994</v>
      </c>
      <c r="G361">
        <v>0</v>
      </c>
      <c r="L361" t="s">
        <v>7</v>
      </c>
      <c r="M361" t="s">
        <v>7</v>
      </c>
      <c r="N361" t="s">
        <v>7</v>
      </c>
      <c r="P361">
        <f t="shared" si="969"/>
        <v>0.3600000000000021</v>
      </c>
      <c r="Q361">
        <f t="shared" si="970"/>
        <v>24052.964400000139</v>
      </c>
      <c r="R361">
        <f t="shared" si="971"/>
        <v>-7351368.4499004269</v>
      </c>
      <c r="S361">
        <f t="shared" si="972"/>
        <v>-73.51368449900427</v>
      </c>
      <c r="T361">
        <f t="shared" si="973"/>
        <v>-7.3513684499004264E-2</v>
      </c>
    </row>
    <row r="362" spans="1:20" x14ac:dyDescent="0.25">
      <c r="A362" s="5">
        <v>44231</v>
      </c>
      <c r="B362">
        <v>3.0800000000000001E-4</v>
      </c>
      <c r="C362">
        <v>3.0899999999999998E-4</v>
      </c>
      <c r="D362">
        <v>2.9399999999999999E-4</v>
      </c>
      <c r="E362">
        <v>2.9999999999999997E-4</v>
      </c>
      <c r="F362">
        <v>40348.82</v>
      </c>
      <c r="G362">
        <v>0</v>
      </c>
      <c r="L362" t="s">
        <v>8</v>
      </c>
      <c r="M362" t="s">
        <v>7</v>
      </c>
      <c r="N362" t="s">
        <v>7</v>
      </c>
      <c r="P362">
        <f t="shared" si="969"/>
        <v>-0.20000000000000145</v>
      </c>
      <c r="Q362">
        <f t="shared" si="970"/>
        <v>-8069.7640000000583</v>
      </c>
      <c r="R362">
        <f t="shared" si="971"/>
        <v>-7375421.4143004268</v>
      </c>
      <c r="S362">
        <f t="shared" si="972"/>
        <v>-73.754214143004262</v>
      </c>
      <c r="T362">
        <f t="shared" si="973"/>
        <v>-7.375421414300426E-2</v>
      </c>
    </row>
    <row r="363" spans="1:20" x14ac:dyDescent="0.25">
      <c r="A363" s="5">
        <v>44230</v>
      </c>
      <c r="B363">
        <v>3.1199999999999999E-4</v>
      </c>
      <c r="C363">
        <v>3.1500000000000001E-4</v>
      </c>
      <c r="D363">
        <v>3.0499999999999999E-4</v>
      </c>
      <c r="E363">
        <v>3.0899999999999998E-4</v>
      </c>
      <c r="F363">
        <v>57482.53</v>
      </c>
      <c r="G363">
        <v>0</v>
      </c>
      <c r="L363" t="s">
        <v>7</v>
      </c>
      <c r="M363" t="s">
        <v>7</v>
      </c>
      <c r="N363" t="s">
        <v>7</v>
      </c>
      <c r="P363">
        <f t="shared" si="969"/>
        <v>-0.20000000000000434</v>
      </c>
      <c r="Q363">
        <f t="shared" si="970"/>
        <v>-11496.506000000249</v>
      </c>
      <c r="R363">
        <f t="shared" si="971"/>
        <v>-7367351.6503004264</v>
      </c>
      <c r="S363">
        <f t="shared" si="972"/>
        <v>-73.673516503004265</v>
      </c>
      <c r="T363">
        <f t="shared" si="973"/>
        <v>-7.3673516503004272E-2</v>
      </c>
    </row>
    <row r="364" spans="1:20" x14ac:dyDescent="0.25">
      <c r="A364" s="5">
        <v>44229</v>
      </c>
      <c r="B364">
        <v>3.1500000000000001E-4</v>
      </c>
      <c r="C364">
        <v>3.2499999999999999E-4</v>
      </c>
      <c r="D364">
        <v>3.0699999999999998E-4</v>
      </c>
      <c r="E364">
        <v>3.1399999999999999E-4</v>
      </c>
      <c r="F364">
        <v>52754.26</v>
      </c>
      <c r="G364">
        <v>0</v>
      </c>
      <c r="L364" t="s">
        <v>8</v>
      </c>
      <c r="M364" t="s">
        <v>7</v>
      </c>
      <c r="N364" t="s">
        <v>7</v>
      </c>
      <c r="P364">
        <f t="shared" si="969"/>
        <v>-0.22222222222222154</v>
      </c>
      <c r="Q364">
        <f t="shared" si="970"/>
        <v>-11723.168888888853</v>
      </c>
      <c r="R364">
        <f t="shared" si="971"/>
        <v>-7355855.1443004264</v>
      </c>
      <c r="S364">
        <f t="shared" si="972"/>
        <v>-73.558551443004262</v>
      </c>
      <c r="T364">
        <f t="shared" si="973"/>
        <v>-7.3558551443004258E-2</v>
      </c>
    </row>
    <row r="365" spans="1:20" x14ac:dyDescent="0.25">
      <c r="A365" s="5">
        <v>44228</v>
      </c>
      <c r="B365">
        <v>3.1599999999999998E-4</v>
      </c>
      <c r="C365">
        <v>3.28E-4</v>
      </c>
      <c r="D365">
        <v>3.0899999999999998E-4</v>
      </c>
      <c r="E365">
        <v>3.1500000000000001E-4</v>
      </c>
      <c r="F365">
        <v>115898.44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-0.36842105263157593</v>
      </c>
      <c r="Q365">
        <f t="shared" si="970"/>
        <v>-42699.425263157544</v>
      </c>
      <c r="R365">
        <f t="shared" si="971"/>
        <v>-7344131.9754115371</v>
      </c>
      <c r="S365">
        <f t="shared" si="972"/>
        <v>-73.441319754115369</v>
      </c>
      <c r="T365">
        <f t="shared" si="973"/>
        <v>-7.3441319754115372E-2</v>
      </c>
    </row>
    <row r="366" spans="1:20" x14ac:dyDescent="0.25">
      <c r="A366" s="5">
        <v>44227</v>
      </c>
      <c r="B366">
        <v>3.1700000000000001E-4</v>
      </c>
      <c r="C366">
        <v>3.21E-4</v>
      </c>
      <c r="D366">
        <v>3.1199999999999999E-4</v>
      </c>
      <c r="E366">
        <v>3.1700000000000001E-4</v>
      </c>
      <c r="F366">
        <v>43503.88</v>
      </c>
      <c r="G366">
        <v>0</v>
      </c>
      <c r="L366" t="s">
        <v>8</v>
      </c>
      <c r="M366" t="s">
        <v>7</v>
      </c>
      <c r="N366" t="s">
        <v>7</v>
      </c>
      <c r="P366">
        <f t="shared" si="969"/>
        <v>0.11111111111111378</v>
      </c>
      <c r="Q366">
        <f t="shared" si="970"/>
        <v>4833.7644444445605</v>
      </c>
      <c r="R366">
        <f t="shared" si="971"/>
        <v>-7301432.55014838</v>
      </c>
      <c r="S366">
        <f t="shared" si="972"/>
        <v>-73.014325501483796</v>
      </c>
      <c r="T366">
        <f t="shared" si="973"/>
        <v>-7.301432550148379E-2</v>
      </c>
    </row>
    <row r="367" spans="1:20" x14ac:dyDescent="0.25">
      <c r="A367" s="5">
        <v>44226</v>
      </c>
      <c r="B367">
        <v>3.2000000000000003E-4</v>
      </c>
      <c r="C367">
        <v>3.28E-4</v>
      </c>
      <c r="D367">
        <v>3.1100000000000002E-4</v>
      </c>
      <c r="E367">
        <v>3.1700000000000001E-4</v>
      </c>
      <c r="F367">
        <v>71100.899999999994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-0.29411764705882465</v>
      </c>
      <c r="Q367">
        <f t="shared" si="970"/>
        <v>-20912.029411764783</v>
      </c>
      <c r="R367">
        <f t="shared" si="971"/>
        <v>-7306266.3145928243</v>
      </c>
      <c r="S367">
        <f t="shared" si="972"/>
        <v>-73.062663145928241</v>
      </c>
      <c r="T367">
        <f t="shared" si="973"/>
        <v>-7.3062663145928242E-2</v>
      </c>
    </row>
    <row r="368" spans="1:20" x14ac:dyDescent="0.25">
      <c r="A368" s="5">
        <v>44225</v>
      </c>
      <c r="B368">
        <v>3.1300000000000002E-4</v>
      </c>
      <c r="C368">
        <v>3.7800000000000003E-4</v>
      </c>
      <c r="D368">
        <v>2.9599999999999998E-4</v>
      </c>
      <c r="E368">
        <v>3.2000000000000003E-4</v>
      </c>
      <c r="F368">
        <v>329980.31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-0.41463414634146273</v>
      </c>
      <c r="Q368">
        <f t="shared" si="970"/>
        <v>-136821.10414634124</v>
      </c>
      <c r="R368">
        <f t="shared" si="971"/>
        <v>-7285354.2851810595</v>
      </c>
      <c r="S368">
        <f t="shared" si="972"/>
        <v>-72.853542851810602</v>
      </c>
      <c r="T368">
        <f t="shared" si="973"/>
        <v>-7.2853542851810602E-2</v>
      </c>
    </row>
    <row r="369" spans="1:20" x14ac:dyDescent="0.25">
      <c r="A369" s="5">
        <v>44224</v>
      </c>
      <c r="B369">
        <v>3.1799999999999998E-4</v>
      </c>
      <c r="C369">
        <v>3.39E-4</v>
      </c>
      <c r="D369">
        <v>3.1199999999999999E-4</v>
      </c>
      <c r="E369">
        <v>3.1300000000000002E-4</v>
      </c>
      <c r="F369">
        <v>69131.429999999993</v>
      </c>
      <c r="G369">
        <v>0</v>
      </c>
      <c r="L369" t="s">
        <v>7</v>
      </c>
      <c r="M369" t="s">
        <v>7</v>
      </c>
      <c r="N369" t="s">
        <v>7</v>
      </c>
      <c r="P369">
        <f t="shared" si="969"/>
        <v>-0.92592592592592415</v>
      </c>
      <c r="Q369">
        <f t="shared" si="970"/>
        <v>-64010.583333333205</v>
      </c>
      <c r="R369">
        <f t="shared" si="971"/>
        <v>-7148533.1810347186</v>
      </c>
      <c r="S369">
        <f t="shared" si="972"/>
        <v>-71.485331810347191</v>
      </c>
      <c r="T369">
        <f t="shared" si="973"/>
        <v>-7.1485331810347191E-2</v>
      </c>
    </row>
    <row r="370" spans="1:20" x14ac:dyDescent="0.25">
      <c r="A370" s="5">
        <v>44223</v>
      </c>
      <c r="B370">
        <v>3.2600000000000001E-4</v>
      </c>
      <c r="C370">
        <v>3.3E-4</v>
      </c>
      <c r="D370">
        <v>3.1300000000000002E-4</v>
      </c>
      <c r="E370">
        <v>3.19E-4</v>
      </c>
      <c r="F370">
        <v>37109.769999999997</v>
      </c>
      <c r="G370">
        <v>0</v>
      </c>
      <c r="L370" t="s">
        <v>8</v>
      </c>
      <c r="M370" t="s">
        <v>7</v>
      </c>
      <c r="N370" t="s">
        <v>7</v>
      </c>
      <c r="P370">
        <f t="shared" si="969"/>
        <v>-0.29411764705882465</v>
      </c>
      <c r="Q370">
        <f t="shared" si="970"/>
        <v>-10914.638235294158</v>
      </c>
      <c r="R370">
        <f t="shared" si="971"/>
        <v>-7084522.5977013856</v>
      </c>
      <c r="S370">
        <f t="shared" si="972"/>
        <v>-70.845225977013854</v>
      </c>
      <c r="T370">
        <f t="shared" si="973"/>
        <v>-7.0845225977013856E-2</v>
      </c>
    </row>
    <row r="371" spans="1:20" x14ac:dyDescent="0.25">
      <c r="A371" s="5">
        <v>44222</v>
      </c>
      <c r="B371">
        <v>3.3500000000000001E-4</v>
      </c>
      <c r="C371">
        <v>3.3700000000000001E-4</v>
      </c>
      <c r="D371">
        <v>3.2400000000000001E-4</v>
      </c>
      <c r="E371">
        <v>3.2600000000000001E-4</v>
      </c>
      <c r="F371">
        <v>40185.660000000003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-0.69230769230769296</v>
      </c>
      <c r="Q371">
        <f t="shared" si="970"/>
        <v>-27820.841538461566</v>
      </c>
      <c r="R371">
        <f t="shared" si="971"/>
        <v>-7073607.9594660914</v>
      </c>
      <c r="S371">
        <f t="shared" si="972"/>
        <v>-70.736079594660907</v>
      </c>
      <c r="T371">
        <f t="shared" si="973"/>
        <v>-7.0736079594660911E-2</v>
      </c>
    </row>
    <row r="372" spans="1:20" x14ac:dyDescent="0.25">
      <c r="A372" s="5">
        <v>44221</v>
      </c>
      <c r="B372">
        <v>3.4400000000000001E-4</v>
      </c>
      <c r="C372">
        <v>3.4699999999999998E-4</v>
      </c>
      <c r="D372">
        <v>3.2600000000000001E-4</v>
      </c>
      <c r="E372">
        <v>3.3399999999999999E-4</v>
      </c>
      <c r="F372">
        <v>38752.78</v>
      </c>
      <c r="G372">
        <v>0</v>
      </c>
      <c r="L372" t="s">
        <v>8</v>
      </c>
      <c r="M372" t="s">
        <v>7</v>
      </c>
      <c r="N372" t="s">
        <v>7</v>
      </c>
      <c r="P372">
        <f t="shared" si="969"/>
        <v>-0.23809523809523908</v>
      </c>
      <c r="Q372">
        <f t="shared" si="970"/>
        <v>-9226.8523809524195</v>
      </c>
      <c r="R372">
        <f t="shared" si="971"/>
        <v>-7045787.1179276295</v>
      </c>
      <c r="S372">
        <f t="shared" si="972"/>
        <v>-70.457871179276296</v>
      </c>
      <c r="T372">
        <f t="shared" si="973"/>
        <v>-7.0457871179276294E-2</v>
      </c>
    </row>
    <row r="373" spans="1:20" x14ac:dyDescent="0.25">
      <c r="A373" s="5">
        <v>44220</v>
      </c>
      <c r="B373">
        <v>3.3500000000000001E-4</v>
      </c>
      <c r="C373">
        <v>3.5199999999999999E-4</v>
      </c>
      <c r="D373">
        <v>3.3199999999999999E-4</v>
      </c>
      <c r="E373">
        <v>3.4400000000000001E-4</v>
      </c>
      <c r="F373">
        <v>34011.35</v>
      </c>
      <c r="G373">
        <v>0</v>
      </c>
      <c r="L373" t="s">
        <v>7</v>
      </c>
      <c r="M373" t="s">
        <v>7</v>
      </c>
      <c r="N373" t="s">
        <v>7</v>
      </c>
      <c r="P373">
        <f t="shared" si="969"/>
        <v>0.20000000000000218</v>
      </c>
      <c r="Q373">
        <f t="shared" si="970"/>
        <v>6802.2700000000741</v>
      </c>
      <c r="R373">
        <f t="shared" si="971"/>
        <v>-7036560.2655466767</v>
      </c>
      <c r="S373">
        <f t="shared" si="972"/>
        <v>-70.365602655466773</v>
      </c>
      <c r="T373">
        <f t="shared" si="973"/>
        <v>-7.0365602655466777E-2</v>
      </c>
    </row>
    <row r="374" spans="1:20" x14ac:dyDescent="0.25">
      <c r="A374" s="5">
        <v>44219</v>
      </c>
      <c r="B374">
        <v>3.2299999999999999E-4</v>
      </c>
      <c r="C374">
        <v>3.4900000000000003E-4</v>
      </c>
      <c r="D374">
        <v>3.2200000000000002E-4</v>
      </c>
      <c r="E374">
        <v>3.3300000000000002E-4</v>
      </c>
      <c r="F374">
        <v>45358.23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-0.18518518518518562</v>
      </c>
      <c r="Q374">
        <f t="shared" si="970"/>
        <v>-8399.6722222222434</v>
      </c>
      <c r="R374">
        <f t="shared" si="971"/>
        <v>-7043362.5355466772</v>
      </c>
      <c r="S374">
        <f t="shared" si="972"/>
        <v>-70.433625355466773</v>
      </c>
      <c r="T374">
        <f t="shared" si="973"/>
        <v>-7.0433625355466767E-2</v>
      </c>
    </row>
    <row r="375" spans="1:20" x14ac:dyDescent="0.25">
      <c r="A375" s="5">
        <v>44218</v>
      </c>
      <c r="B375">
        <v>3.3199999999999999E-4</v>
      </c>
      <c r="C375">
        <v>3.3500000000000001E-4</v>
      </c>
      <c r="D375">
        <v>3.1500000000000001E-4</v>
      </c>
      <c r="E375">
        <v>3.2299999999999999E-4</v>
      </c>
      <c r="F375">
        <v>55360.39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-0.20000000000000218</v>
      </c>
      <c r="Q375">
        <f t="shared" si="970"/>
        <v>-11072.07800000012</v>
      </c>
      <c r="R375">
        <f t="shared" si="971"/>
        <v>-7034962.863324455</v>
      </c>
      <c r="S375">
        <f t="shared" si="972"/>
        <v>-70.349628633244549</v>
      </c>
      <c r="T375">
        <f t="shared" si="973"/>
        <v>-7.0349628633244551E-2</v>
      </c>
    </row>
    <row r="376" spans="1:20" x14ac:dyDescent="0.25">
      <c r="A376" s="5">
        <v>44217</v>
      </c>
      <c r="B376">
        <v>3.4699999999999998E-4</v>
      </c>
      <c r="C376">
        <v>3.5199999999999999E-4</v>
      </c>
      <c r="D376">
        <v>3.3E-4</v>
      </c>
      <c r="E376">
        <v>3.3199999999999999E-4</v>
      </c>
      <c r="F376">
        <v>59015.18</v>
      </c>
      <c r="G376">
        <v>0</v>
      </c>
      <c r="L376" t="s">
        <v>8</v>
      </c>
      <c r="M376" t="s">
        <v>7</v>
      </c>
      <c r="N376" t="s">
        <v>7</v>
      </c>
      <c r="P376">
        <f t="shared" si="969"/>
        <v>-0.81818181818181868</v>
      </c>
      <c r="Q376">
        <f t="shared" si="970"/>
        <v>-48285.147272727299</v>
      </c>
      <c r="R376">
        <f t="shared" si="971"/>
        <v>-7023890.7853244552</v>
      </c>
      <c r="S376">
        <f t="shared" si="972"/>
        <v>-70.238907853244555</v>
      </c>
      <c r="T376">
        <f t="shared" si="973"/>
        <v>-7.0238907853244562E-2</v>
      </c>
    </row>
    <row r="377" spans="1:20" x14ac:dyDescent="0.25">
      <c r="A377" s="5">
        <v>44216</v>
      </c>
      <c r="B377">
        <v>3.4900000000000003E-4</v>
      </c>
      <c r="C377">
        <v>3.5399999999999999E-4</v>
      </c>
      <c r="D377">
        <v>3.3799999999999998E-4</v>
      </c>
      <c r="E377">
        <v>3.4699999999999998E-4</v>
      </c>
      <c r="F377">
        <v>49594.74</v>
      </c>
      <c r="G377">
        <v>0</v>
      </c>
      <c r="L377" t="s">
        <v>7</v>
      </c>
      <c r="M377" t="s">
        <v>8</v>
      </c>
      <c r="N377" t="s">
        <v>7</v>
      </c>
      <c r="P377">
        <f t="shared" si="969"/>
        <v>0.12499999999999957</v>
      </c>
      <c r="Q377">
        <f t="shared" si="970"/>
        <v>6199.3424999999788</v>
      </c>
      <c r="R377">
        <f t="shared" si="971"/>
        <v>-6975605.6380517278</v>
      </c>
      <c r="S377">
        <f t="shared" si="972"/>
        <v>-69.756056380517279</v>
      </c>
      <c r="T377">
        <f t="shared" si="973"/>
        <v>-6.9756056380517281E-2</v>
      </c>
    </row>
    <row r="378" spans="1:20" x14ac:dyDescent="0.25">
      <c r="A378" s="5">
        <v>44215</v>
      </c>
      <c r="B378">
        <v>3.4600000000000001E-4</v>
      </c>
      <c r="C378">
        <v>3.59E-4</v>
      </c>
      <c r="D378">
        <v>3.4000000000000002E-4</v>
      </c>
      <c r="E378">
        <v>3.48E-4</v>
      </c>
      <c r="F378">
        <v>44449.46</v>
      </c>
      <c r="G378">
        <v>0</v>
      </c>
      <c r="L378" t="s">
        <v>8</v>
      </c>
      <c r="M378" t="s">
        <v>8</v>
      </c>
      <c r="N378" t="s">
        <v>7</v>
      </c>
      <c r="P378">
        <f t="shared" si="969"/>
        <v>-0.15789473684210648</v>
      </c>
      <c r="Q378">
        <f t="shared" si="970"/>
        <v>-7018.3357894737383</v>
      </c>
      <c r="R378">
        <f t="shared" si="971"/>
        <v>-6981804.980551728</v>
      </c>
      <c r="S378">
        <f t="shared" si="972"/>
        <v>-69.818049805517276</v>
      </c>
      <c r="T378">
        <f t="shared" si="973"/>
        <v>-6.9818049805517271E-2</v>
      </c>
    </row>
    <row r="379" spans="1:20" x14ac:dyDescent="0.25">
      <c r="A379" s="5">
        <v>44214</v>
      </c>
      <c r="B379">
        <v>3.4499999999999998E-4</v>
      </c>
      <c r="C379">
        <v>3.5199999999999999E-4</v>
      </c>
      <c r="D379">
        <v>3.39E-4</v>
      </c>
      <c r="E379">
        <v>3.4600000000000001E-4</v>
      </c>
      <c r="F379">
        <v>48010.720000000001</v>
      </c>
      <c r="G379">
        <v>0</v>
      </c>
      <c r="L379" t="s">
        <v>7</v>
      </c>
      <c r="M379" t="s">
        <v>8</v>
      </c>
      <c r="N379" t="s">
        <v>7</v>
      </c>
      <c r="P379">
        <f t="shared" si="969"/>
        <v>7.6923076923078842E-2</v>
      </c>
      <c r="Q379">
        <f t="shared" si="970"/>
        <v>3693.1323076924</v>
      </c>
      <c r="R379">
        <f t="shared" si="971"/>
        <v>-6974786.6447622543</v>
      </c>
      <c r="S379">
        <f t="shared" si="972"/>
        <v>-69.747866447622542</v>
      </c>
      <c r="T379">
        <f t="shared" si="973"/>
        <v>-6.9747866447622542E-2</v>
      </c>
    </row>
    <row r="380" spans="1:20" x14ac:dyDescent="0.25">
      <c r="A380" s="5">
        <v>44213</v>
      </c>
      <c r="B380">
        <v>3.5500000000000001E-4</v>
      </c>
      <c r="C380">
        <v>3.5599999999999998E-4</v>
      </c>
      <c r="D380">
        <v>3.4099999999999999E-4</v>
      </c>
      <c r="E380">
        <v>3.4600000000000001E-4</v>
      </c>
      <c r="F380">
        <v>42764.76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-0.33333333333333093</v>
      </c>
      <c r="Q380">
        <f t="shared" si="970"/>
        <v>-14254.919999999898</v>
      </c>
      <c r="R380">
        <f t="shared" si="971"/>
        <v>-6978479.7770699468</v>
      </c>
      <c r="S380">
        <f t="shared" si="972"/>
        <v>-69.78479777069947</v>
      </c>
      <c r="T380">
        <f t="shared" si="973"/>
        <v>-6.9784797770699472E-2</v>
      </c>
    </row>
    <row r="381" spans="1:20" x14ac:dyDescent="0.25">
      <c r="A381" s="5">
        <v>44212</v>
      </c>
      <c r="B381">
        <v>3.48E-4</v>
      </c>
      <c r="C381">
        <v>3.59E-4</v>
      </c>
      <c r="D381">
        <v>3.4400000000000001E-4</v>
      </c>
      <c r="E381">
        <v>3.5500000000000001E-4</v>
      </c>
      <c r="F381">
        <v>39007.35</v>
      </c>
      <c r="G381">
        <v>0</v>
      </c>
      <c r="L381" t="s">
        <v>7</v>
      </c>
      <c r="M381" t="s">
        <v>8</v>
      </c>
      <c r="N381" t="s">
        <v>7</v>
      </c>
      <c r="P381">
        <f t="shared" si="969"/>
        <v>0.46666666666666762</v>
      </c>
      <c r="Q381">
        <f t="shared" si="970"/>
        <v>18203.430000000037</v>
      </c>
      <c r="R381">
        <f t="shared" si="971"/>
        <v>-6964224.8570699468</v>
      </c>
      <c r="S381">
        <f t="shared" si="972"/>
        <v>-69.642248570699465</v>
      </c>
      <c r="T381">
        <f t="shared" si="973"/>
        <v>-6.9642248570699464E-2</v>
      </c>
    </row>
    <row r="382" spans="1:20" x14ac:dyDescent="0.25">
      <c r="A382" s="5">
        <v>44211</v>
      </c>
      <c r="B382">
        <v>3.4900000000000003E-4</v>
      </c>
      <c r="C382">
        <v>3.5799999999999997E-4</v>
      </c>
      <c r="D382">
        <v>3.39E-4</v>
      </c>
      <c r="E382">
        <v>3.4900000000000003E-4</v>
      </c>
      <c r="F382">
        <v>58217.73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5.2631578947372623E-2</v>
      </c>
      <c r="Q382">
        <f t="shared" si="970"/>
        <v>3064.0910526318239</v>
      </c>
      <c r="R382">
        <f t="shared" si="971"/>
        <v>-6982428.2870699465</v>
      </c>
      <c r="S382">
        <f t="shared" si="972"/>
        <v>-69.824282870699463</v>
      </c>
      <c r="T382">
        <f t="shared" si="973"/>
        <v>-6.9824282870699458E-2</v>
      </c>
    </row>
    <row r="383" spans="1:20" x14ac:dyDescent="0.25">
      <c r="A383" s="5">
        <v>44210</v>
      </c>
      <c r="B383">
        <v>3.6299999999999999E-4</v>
      </c>
      <c r="C383">
        <v>3.6400000000000001E-4</v>
      </c>
      <c r="D383">
        <v>3.4400000000000001E-4</v>
      </c>
      <c r="E383">
        <v>3.5100000000000002E-4</v>
      </c>
      <c r="F383">
        <v>67048.149999999994</v>
      </c>
      <c r="G383">
        <v>0</v>
      </c>
      <c r="L383" t="s">
        <v>7</v>
      </c>
      <c r="M383" t="s">
        <v>8</v>
      </c>
      <c r="N383" t="s">
        <v>7</v>
      </c>
      <c r="P383">
        <f t="shared" si="969"/>
        <v>-0.29999999999999921</v>
      </c>
      <c r="Q383">
        <f t="shared" si="970"/>
        <v>-20114.444999999945</v>
      </c>
      <c r="R383">
        <f t="shared" si="971"/>
        <v>-6985492.3781225784</v>
      </c>
      <c r="S383">
        <f t="shared" si="972"/>
        <v>-69.854923781225779</v>
      </c>
      <c r="T383">
        <f t="shared" si="973"/>
        <v>-6.9854923781225778E-2</v>
      </c>
    </row>
    <row r="384" spans="1:20" x14ac:dyDescent="0.25">
      <c r="A384" s="5">
        <v>44209</v>
      </c>
      <c r="B384">
        <v>3.7500000000000001E-4</v>
      </c>
      <c r="C384">
        <v>4.0200000000000001E-4</v>
      </c>
      <c r="D384">
        <v>3.5500000000000001E-4</v>
      </c>
      <c r="E384">
        <v>3.6400000000000001E-4</v>
      </c>
      <c r="F384">
        <v>76129.87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-0.61702127659574468</v>
      </c>
      <c r="Q384">
        <f t="shared" si="970"/>
        <v>-46973.749574468085</v>
      </c>
      <c r="R384">
        <f t="shared" si="971"/>
        <v>-6965377.9331225781</v>
      </c>
      <c r="S384">
        <f t="shared" si="972"/>
        <v>-69.653779331225778</v>
      </c>
      <c r="T384">
        <f t="shared" si="973"/>
        <v>-6.9653779331225782E-2</v>
      </c>
    </row>
    <row r="385" spans="1:20" x14ac:dyDescent="0.25">
      <c r="A385" s="5">
        <v>44208</v>
      </c>
      <c r="B385">
        <v>3.4600000000000001E-4</v>
      </c>
      <c r="C385">
        <v>3.8400000000000001E-4</v>
      </c>
      <c r="D385">
        <v>3.3399999999999999E-4</v>
      </c>
      <c r="E385">
        <v>3.7399999999999998E-4</v>
      </c>
      <c r="F385">
        <v>145276.93</v>
      </c>
      <c r="G385">
        <v>0</v>
      </c>
      <c r="L385" t="s">
        <v>7</v>
      </c>
      <c r="M385" t="s">
        <v>8</v>
      </c>
      <c r="N385" t="s">
        <v>7</v>
      </c>
      <c r="P385">
        <f t="shared" si="969"/>
        <v>0.59999999999999909</v>
      </c>
      <c r="Q385">
        <f t="shared" si="970"/>
        <v>87166.157999999865</v>
      </c>
      <c r="R385">
        <f t="shared" si="971"/>
        <v>-6918404.1835481096</v>
      </c>
      <c r="S385">
        <f t="shared" si="972"/>
        <v>-69.184041835481096</v>
      </c>
      <c r="T385">
        <f t="shared" si="973"/>
        <v>-6.9184041835481103E-2</v>
      </c>
    </row>
    <row r="386" spans="1:20" x14ac:dyDescent="0.25">
      <c r="A386" s="5">
        <v>44207</v>
      </c>
      <c r="B386">
        <v>3.4900000000000003E-4</v>
      </c>
      <c r="C386">
        <v>3.5300000000000002E-4</v>
      </c>
      <c r="D386">
        <v>3.0600000000000001E-4</v>
      </c>
      <c r="E386">
        <v>3.4600000000000001E-4</v>
      </c>
      <c r="F386">
        <v>206211.29</v>
      </c>
      <c r="G386">
        <v>0</v>
      </c>
      <c r="L386" t="s">
        <v>8</v>
      </c>
      <c r="M386" t="s">
        <v>7</v>
      </c>
      <c r="N386" t="s">
        <v>7</v>
      </c>
      <c r="P386">
        <f t="shared" si="969"/>
        <v>0.70212765957446777</v>
      </c>
      <c r="Q386">
        <f t="shared" si="970"/>
        <v>144786.65042553184</v>
      </c>
      <c r="R386">
        <f t="shared" si="971"/>
        <v>-7005570.3415481094</v>
      </c>
      <c r="S386">
        <f t="shared" si="972"/>
        <v>-70.055703415481091</v>
      </c>
      <c r="T386">
        <f t="shared" si="973"/>
        <v>-7.0055703415481091E-2</v>
      </c>
    </row>
    <row r="387" spans="1:20" x14ac:dyDescent="0.25">
      <c r="A387" s="5">
        <v>44206</v>
      </c>
      <c r="B387">
        <v>3.3599999999999998E-4</v>
      </c>
      <c r="C387">
        <v>4.4999999999999999E-4</v>
      </c>
      <c r="D387">
        <v>3.1399999999999999E-4</v>
      </c>
      <c r="E387">
        <v>3.5300000000000002E-4</v>
      </c>
      <c r="F387">
        <v>714835.77</v>
      </c>
      <c r="G387">
        <v>0</v>
      </c>
      <c r="L387" t="s">
        <v>7</v>
      </c>
      <c r="M387" t="s">
        <v>8</v>
      </c>
      <c r="N387" t="s">
        <v>8</v>
      </c>
      <c r="P387">
        <f t="shared" si="969"/>
        <v>-0.42647058823529371</v>
      </c>
      <c r="Q387">
        <f t="shared" si="970"/>
        <v>-304856.4313235291</v>
      </c>
      <c r="R387">
        <f t="shared" si="971"/>
        <v>-7150356.9919736413</v>
      </c>
      <c r="S387">
        <f t="shared" si="972"/>
        <v>-71.503569919736407</v>
      </c>
      <c r="T387">
        <f t="shared" si="973"/>
        <v>-7.1503569919736401E-2</v>
      </c>
    </row>
    <row r="388" spans="1:20" x14ac:dyDescent="0.25">
      <c r="A388" s="5">
        <v>44205</v>
      </c>
      <c r="B388">
        <v>2.7300000000000002E-4</v>
      </c>
      <c r="C388">
        <v>3.5E-4</v>
      </c>
      <c r="D388">
        <v>2.5700000000000001E-4</v>
      </c>
      <c r="E388">
        <v>3.3599999999999998E-4</v>
      </c>
      <c r="F388">
        <v>182596.37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0.6989247311827953</v>
      </c>
      <c r="Q388">
        <f t="shared" si="970"/>
        <v>127621.11881720423</v>
      </c>
      <c r="R388">
        <f t="shared" si="971"/>
        <v>-6845500.5606501121</v>
      </c>
      <c r="S388">
        <f t="shared" si="972"/>
        <v>-68.455005606501118</v>
      </c>
      <c r="T388">
        <f t="shared" si="973"/>
        <v>-6.8455005606501113E-2</v>
      </c>
    </row>
    <row r="389" spans="1:20" x14ac:dyDescent="0.25">
      <c r="A389" s="5">
        <v>44204</v>
      </c>
      <c r="B389">
        <v>2.5599999999999999E-4</v>
      </c>
      <c r="C389">
        <v>3.0600000000000001E-4</v>
      </c>
      <c r="D389">
        <v>2.5599999999999999E-4</v>
      </c>
      <c r="E389">
        <v>2.7399999999999999E-4</v>
      </c>
      <c r="F389">
        <v>147089.65</v>
      </c>
      <c r="G389">
        <v>0</v>
      </c>
      <c r="L389" t="s">
        <v>7</v>
      </c>
      <c r="M389" t="s">
        <v>8</v>
      </c>
      <c r="N389" t="s">
        <v>7</v>
      </c>
      <c r="P389">
        <f t="shared" si="969"/>
        <v>-0.28000000000000019</v>
      </c>
      <c r="Q389">
        <f t="shared" si="970"/>
        <v>-41185.102000000028</v>
      </c>
      <c r="R389">
        <f t="shared" si="971"/>
        <v>-6973121.6794673167</v>
      </c>
      <c r="S389">
        <f t="shared" si="972"/>
        <v>-69.731216794673173</v>
      </c>
      <c r="T389">
        <f t="shared" si="973"/>
        <v>-6.9731216794673173E-2</v>
      </c>
    </row>
    <row r="390" spans="1:20" x14ac:dyDescent="0.25">
      <c r="A390" s="5">
        <v>44203</v>
      </c>
      <c r="B390">
        <v>2.5700000000000001E-4</v>
      </c>
      <c r="C390">
        <v>2.9799999999999998E-4</v>
      </c>
      <c r="D390">
        <v>2.5300000000000002E-4</v>
      </c>
      <c r="E390">
        <v>2.5700000000000001E-4</v>
      </c>
      <c r="F390">
        <v>119721.31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-0.82222222222222252</v>
      </c>
      <c r="Q390">
        <f t="shared" ref="Q390:Q453" si="975">F390*P390</f>
        <v>-98437.521555555591</v>
      </c>
      <c r="R390">
        <f t="shared" ref="R390:R453" si="976">R391+Q390</f>
        <v>-6931936.5774673168</v>
      </c>
      <c r="S390">
        <f t="shared" ref="S390:S453" si="977">R390/100000</f>
        <v>-69.319365774673173</v>
      </c>
      <c r="T390">
        <f t="shared" ref="T390:T453" si="978">S390/1000</f>
        <v>-6.9319365774673167E-2</v>
      </c>
    </row>
    <row r="391" spans="1:20" x14ac:dyDescent="0.25">
      <c r="A391" s="5">
        <v>44202</v>
      </c>
      <c r="B391">
        <v>2.6699999999999998E-4</v>
      </c>
      <c r="C391">
        <v>2.7599999999999999E-4</v>
      </c>
      <c r="D391">
        <v>2.5300000000000002E-4</v>
      </c>
      <c r="E391">
        <v>2.5599999999999999E-4</v>
      </c>
      <c r="F391">
        <v>50950.03</v>
      </c>
      <c r="G391">
        <v>0</v>
      </c>
      <c r="L391" t="s">
        <v>7</v>
      </c>
      <c r="M391" t="s">
        <v>8</v>
      </c>
      <c r="N391" t="s">
        <v>7</v>
      </c>
      <c r="P391">
        <f t="shared" si="974"/>
        <v>-0.73913043478261131</v>
      </c>
      <c r="Q391">
        <f t="shared" si="975"/>
        <v>-37658.717826087086</v>
      </c>
      <c r="R391">
        <f t="shared" si="976"/>
        <v>-6833499.0559117608</v>
      </c>
      <c r="S391">
        <f t="shared" si="977"/>
        <v>-68.334990559117614</v>
      </c>
      <c r="T391">
        <f t="shared" si="978"/>
        <v>-6.8334990559117612E-2</v>
      </c>
    </row>
    <row r="392" spans="1:20" x14ac:dyDescent="0.25">
      <c r="A392" s="5">
        <v>44201</v>
      </c>
      <c r="B392">
        <v>2.7399999999999999E-4</v>
      </c>
      <c r="C392">
        <v>2.8800000000000001E-4</v>
      </c>
      <c r="D392">
        <v>2.5799999999999998E-4</v>
      </c>
      <c r="E392">
        <v>2.6499999999999999E-4</v>
      </c>
      <c r="F392">
        <v>47771.22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-0.53333333333333321</v>
      </c>
      <c r="Q392">
        <f t="shared" si="975"/>
        <v>-25477.983999999997</v>
      </c>
      <c r="R392">
        <f t="shared" si="976"/>
        <v>-6795840.3380856737</v>
      </c>
      <c r="S392">
        <f t="shared" si="977"/>
        <v>-67.958403380856737</v>
      </c>
      <c r="T392">
        <f t="shared" si="978"/>
        <v>-6.7958403380856736E-2</v>
      </c>
    </row>
    <row r="393" spans="1:20" x14ac:dyDescent="0.25">
      <c r="A393" s="5">
        <v>44200</v>
      </c>
      <c r="B393">
        <v>2.6400000000000002E-4</v>
      </c>
      <c r="C393">
        <v>2.8899999999999998E-4</v>
      </c>
      <c r="D393">
        <v>2.5999999999999998E-4</v>
      </c>
      <c r="E393">
        <v>2.7399999999999999E-4</v>
      </c>
      <c r="F393">
        <v>47237.82</v>
      </c>
      <c r="G393">
        <v>0</v>
      </c>
      <c r="L393" t="s">
        <v>7</v>
      </c>
      <c r="M393" t="s">
        <v>8</v>
      </c>
      <c r="N393" t="s">
        <v>7</v>
      </c>
      <c r="P393">
        <f t="shared" si="974"/>
        <v>-3.4482758620688621E-2</v>
      </c>
      <c r="Q393">
        <f t="shared" si="975"/>
        <v>-1628.8903448275373</v>
      </c>
      <c r="R393">
        <f t="shared" si="976"/>
        <v>-6770362.3540856736</v>
      </c>
      <c r="S393">
        <f t="shared" si="977"/>
        <v>-67.703623540856739</v>
      </c>
      <c r="T393">
        <f t="shared" si="978"/>
        <v>-6.7703623540856739E-2</v>
      </c>
    </row>
    <row r="394" spans="1:20" x14ac:dyDescent="0.25">
      <c r="A394" s="5">
        <v>44199</v>
      </c>
      <c r="B394">
        <v>2.61E-4</v>
      </c>
      <c r="C394">
        <v>2.6800000000000001E-4</v>
      </c>
      <c r="D394">
        <v>2.3900000000000001E-4</v>
      </c>
      <c r="E394">
        <v>2.6400000000000002E-4</v>
      </c>
      <c r="F394">
        <v>65624.73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0.72413793103448354</v>
      </c>
      <c r="Q394">
        <f t="shared" si="975"/>
        <v>47521.356206896598</v>
      </c>
      <c r="R394">
        <f t="shared" si="976"/>
        <v>-6768733.4637408461</v>
      </c>
      <c r="S394">
        <f t="shared" si="977"/>
        <v>-67.687334637408455</v>
      </c>
      <c r="T394">
        <f t="shared" si="978"/>
        <v>-6.7687334637408461E-2</v>
      </c>
    </row>
    <row r="395" spans="1:20" x14ac:dyDescent="0.25">
      <c r="A395" s="5">
        <v>44198</v>
      </c>
      <c r="B395">
        <v>2.8800000000000001E-4</v>
      </c>
      <c r="C395">
        <v>2.8899999999999998E-4</v>
      </c>
      <c r="D395">
        <v>2.5300000000000002E-4</v>
      </c>
      <c r="E395">
        <v>2.61E-4</v>
      </c>
      <c r="F395">
        <v>114123.21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-0.55555555555555625</v>
      </c>
      <c r="Q395">
        <f t="shared" si="975"/>
        <v>-63401.783333333413</v>
      </c>
      <c r="R395">
        <f t="shared" si="976"/>
        <v>-6816254.8199477429</v>
      </c>
      <c r="S395">
        <f t="shared" si="977"/>
        <v>-68.162548199477428</v>
      </c>
      <c r="T395">
        <f t="shared" si="978"/>
        <v>-6.8162548199477424E-2</v>
      </c>
    </row>
    <row r="396" spans="1:20" x14ac:dyDescent="0.25">
      <c r="A396" s="5">
        <v>44197</v>
      </c>
      <c r="B396">
        <v>2.8800000000000001E-4</v>
      </c>
      <c r="C396">
        <v>2.9799999999999998E-4</v>
      </c>
      <c r="D396">
        <v>2.8499999999999999E-4</v>
      </c>
      <c r="E396">
        <v>2.8600000000000001E-4</v>
      </c>
      <c r="F396">
        <v>28995.18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-0.84615384615384226</v>
      </c>
      <c r="Q396">
        <f t="shared" si="975"/>
        <v>-24534.383076922964</v>
      </c>
      <c r="R396">
        <f t="shared" si="976"/>
        <v>-6752853.0366144096</v>
      </c>
      <c r="S396">
        <f t="shared" si="977"/>
        <v>-67.528530366144096</v>
      </c>
      <c r="T396">
        <f t="shared" si="978"/>
        <v>-6.7528530366144091E-2</v>
      </c>
    </row>
    <row r="397" spans="1:20" x14ac:dyDescent="0.25">
      <c r="A397" s="5">
        <v>44196</v>
      </c>
      <c r="B397">
        <v>2.92E-4</v>
      </c>
      <c r="C397">
        <v>2.9799999999999998E-4</v>
      </c>
      <c r="D397">
        <v>2.8400000000000002E-4</v>
      </c>
      <c r="E397">
        <v>2.8699999999999998E-4</v>
      </c>
      <c r="F397">
        <v>19889.07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-0.57142857142857528</v>
      </c>
      <c r="Q397">
        <f t="shared" si="975"/>
        <v>-11365.182857142934</v>
      </c>
      <c r="R397">
        <f t="shared" si="976"/>
        <v>-6728318.6535374867</v>
      </c>
      <c r="S397">
        <f t="shared" si="977"/>
        <v>-67.283186535374867</v>
      </c>
      <c r="T397">
        <f t="shared" si="978"/>
        <v>-6.7283186535374864E-2</v>
      </c>
    </row>
    <row r="398" spans="1:20" x14ac:dyDescent="0.25">
      <c r="A398" s="5">
        <v>44195</v>
      </c>
      <c r="B398">
        <v>3.0699999999999998E-4</v>
      </c>
      <c r="C398">
        <v>3.0800000000000001E-4</v>
      </c>
      <c r="D398">
        <v>2.9E-4</v>
      </c>
      <c r="E398">
        <v>2.9500000000000001E-4</v>
      </c>
      <c r="F398">
        <v>28697.31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-0.44444444444444309</v>
      </c>
      <c r="Q398">
        <f t="shared" si="975"/>
        <v>-12754.359999999962</v>
      </c>
      <c r="R398">
        <f t="shared" si="976"/>
        <v>-6716953.4706803439</v>
      </c>
      <c r="S398">
        <f t="shared" si="977"/>
        <v>-67.169534706803432</v>
      </c>
      <c r="T398">
        <f t="shared" si="978"/>
        <v>-6.7169534706803438E-2</v>
      </c>
    </row>
    <row r="399" spans="1:20" x14ac:dyDescent="0.25">
      <c r="A399" s="5">
        <v>44194</v>
      </c>
      <c r="B399">
        <v>3.19E-4</v>
      </c>
      <c r="C399">
        <v>3.21E-4</v>
      </c>
      <c r="D399">
        <v>3.0299999999999999E-4</v>
      </c>
      <c r="E399">
        <v>3.0600000000000001E-4</v>
      </c>
      <c r="F399">
        <v>34858.800000000003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-0.66666666666666463</v>
      </c>
      <c r="Q399">
        <f t="shared" si="975"/>
        <v>-23239.199999999932</v>
      </c>
      <c r="R399">
        <f t="shared" si="976"/>
        <v>-6704199.1106803436</v>
      </c>
      <c r="S399">
        <f t="shared" si="977"/>
        <v>-67.041991106803437</v>
      </c>
      <c r="T399">
        <f t="shared" si="978"/>
        <v>-6.7041991106803436E-2</v>
      </c>
    </row>
    <row r="400" spans="1:20" x14ac:dyDescent="0.25">
      <c r="A400" s="5">
        <v>44193</v>
      </c>
      <c r="B400">
        <v>3.3E-4</v>
      </c>
      <c r="C400">
        <v>3.3799999999999998E-4</v>
      </c>
      <c r="D400">
        <v>3.1300000000000002E-4</v>
      </c>
      <c r="E400">
        <v>3.19E-4</v>
      </c>
      <c r="F400">
        <v>52021.2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-0.52000000000000057</v>
      </c>
      <c r="Q400">
        <f t="shared" si="975"/>
        <v>-27051.024000000027</v>
      </c>
      <c r="R400">
        <f t="shared" si="976"/>
        <v>-6680959.9106803434</v>
      </c>
      <c r="S400">
        <f t="shared" si="977"/>
        <v>-66.809599106803432</v>
      </c>
      <c r="T400">
        <f t="shared" si="978"/>
        <v>-6.6809599106803438E-2</v>
      </c>
    </row>
    <row r="401" spans="1:20" x14ac:dyDescent="0.25">
      <c r="A401" s="5">
        <v>44192</v>
      </c>
      <c r="B401">
        <v>3.28E-4</v>
      </c>
      <c r="C401">
        <v>3.4900000000000003E-4</v>
      </c>
      <c r="D401">
        <v>3.0699999999999998E-4</v>
      </c>
      <c r="E401">
        <v>3.2899999999999997E-4</v>
      </c>
      <c r="F401">
        <v>62561.21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4.7619047619046145E-2</v>
      </c>
      <c r="Q401">
        <f t="shared" si="975"/>
        <v>2979.105238095146</v>
      </c>
      <c r="R401">
        <f t="shared" si="976"/>
        <v>-6653908.8866803432</v>
      </c>
      <c r="S401">
        <f t="shared" si="977"/>
        <v>-66.539088866803425</v>
      </c>
      <c r="T401">
        <f t="shared" si="978"/>
        <v>-6.6539088866803431E-2</v>
      </c>
    </row>
    <row r="402" spans="1:20" x14ac:dyDescent="0.25">
      <c r="A402" s="5">
        <v>44191</v>
      </c>
      <c r="B402">
        <v>3.4400000000000001E-4</v>
      </c>
      <c r="C402">
        <v>3.5300000000000002E-4</v>
      </c>
      <c r="D402">
        <v>3.1799999999999998E-4</v>
      </c>
      <c r="E402">
        <v>3.28E-4</v>
      </c>
      <c r="F402">
        <v>30985.1</v>
      </c>
      <c r="G402">
        <v>0</v>
      </c>
      <c r="L402" t="s">
        <v>8</v>
      </c>
      <c r="M402" t="s">
        <v>7</v>
      </c>
      <c r="N402" t="s">
        <v>7</v>
      </c>
      <c r="P402">
        <f t="shared" si="974"/>
        <v>-0.42857142857142766</v>
      </c>
      <c r="Q402">
        <f t="shared" si="975"/>
        <v>-13279.328571428543</v>
      </c>
      <c r="R402">
        <f t="shared" si="976"/>
        <v>-6656887.9919184381</v>
      </c>
      <c r="S402">
        <f t="shared" si="977"/>
        <v>-66.568879919184383</v>
      </c>
      <c r="T402">
        <f t="shared" si="978"/>
        <v>-6.6568879919184379E-2</v>
      </c>
    </row>
    <row r="403" spans="1:20" x14ac:dyDescent="0.25">
      <c r="A403" s="5">
        <v>44190</v>
      </c>
      <c r="B403">
        <v>3.57E-4</v>
      </c>
      <c r="C403">
        <v>3.68E-4</v>
      </c>
      <c r="D403">
        <v>3.3700000000000001E-4</v>
      </c>
      <c r="E403">
        <v>3.4400000000000001E-4</v>
      </c>
      <c r="F403">
        <v>41670.69</v>
      </c>
      <c r="G403">
        <v>0</v>
      </c>
      <c r="L403" t="s">
        <v>7</v>
      </c>
      <c r="M403" t="s">
        <v>8</v>
      </c>
      <c r="N403" t="s">
        <v>7</v>
      </c>
      <c r="P403">
        <f t="shared" si="974"/>
        <v>-0.54838709677419295</v>
      </c>
      <c r="Q403">
        <f t="shared" si="975"/>
        <v>-22851.668709677397</v>
      </c>
      <c r="R403">
        <f t="shared" si="976"/>
        <v>-6643608.6633470096</v>
      </c>
      <c r="S403">
        <f t="shared" si="977"/>
        <v>-66.436086633470097</v>
      </c>
      <c r="T403">
        <f t="shared" si="978"/>
        <v>-6.6436086633470101E-2</v>
      </c>
    </row>
    <row r="404" spans="1:20" x14ac:dyDescent="0.25">
      <c r="A404" s="5">
        <v>44189</v>
      </c>
      <c r="B404">
        <v>3.3799999999999998E-4</v>
      </c>
      <c r="C404">
        <v>3.6000000000000002E-4</v>
      </c>
      <c r="D404">
        <v>3.2899999999999997E-4</v>
      </c>
      <c r="E404">
        <v>3.57E-4</v>
      </c>
      <c r="F404">
        <v>43503.49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0.80645161290322487</v>
      </c>
      <c r="Q404">
        <f t="shared" si="975"/>
        <v>35083.459677419312</v>
      </c>
      <c r="R404">
        <f t="shared" si="976"/>
        <v>-6620756.9946373319</v>
      </c>
      <c r="S404">
        <f t="shared" si="977"/>
        <v>-66.207569946373326</v>
      </c>
      <c r="T404">
        <f t="shared" si="978"/>
        <v>-6.6207569946373321E-2</v>
      </c>
    </row>
    <row r="405" spans="1:20" x14ac:dyDescent="0.25">
      <c r="A405" s="5">
        <v>44188</v>
      </c>
      <c r="B405">
        <v>3.8200000000000002E-4</v>
      </c>
      <c r="C405">
        <v>3.8200000000000002E-4</v>
      </c>
      <c r="D405">
        <v>3.1599999999999998E-4</v>
      </c>
      <c r="E405">
        <v>3.3799999999999998E-4</v>
      </c>
      <c r="F405">
        <v>75692.009999999995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-0.33333333333333387</v>
      </c>
      <c r="Q405">
        <f t="shared" si="975"/>
        <v>-25230.670000000038</v>
      </c>
      <c r="R405">
        <f t="shared" si="976"/>
        <v>-6655840.4543147516</v>
      </c>
      <c r="S405">
        <f t="shared" si="977"/>
        <v>-66.558404543147518</v>
      </c>
      <c r="T405">
        <f t="shared" si="978"/>
        <v>-6.6558404543147515E-2</v>
      </c>
    </row>
    <row r="406" spans="1:20" x14ac:dyDescent="0.25">
      <c r="A406" s="5">
        <v>44187</v>
      </c>
      <c r="B406">
        <v>4.0200000000000001E-4</v>
      </c>
      <c r="C406">
        <v>4.0299999999999998E-4</v>
      </c>
      <c r="D406">
        <v>3.7599999999999998E-4</v>
      </c>
      <c r="E406">
        <v>3.8200000000000002E-4</v>
      </c>
      <c r="F406">
        <v>25288.83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-0.55555555555555292</v>
      </c>
      <c r="Q406">
        <f t="shared" si="975"/>
        <v>-14049.349999999935</v>
      </c>
      <c r="R406">
        <f t="shared" si="976"/>
        <v>-6630609.7843147516</v>
      </c>
      <c r="S406">
        <f t="shared" si="977"/>
        <v>-66.306097843147512</v>
      </c>
      <c r="T406">
        <f t="shared" si="978"/>
        <v>-6.6306097843147518E-2</v>
      </c>
    </row>
    <row r="407" spans="1:20" x14ac:dyDescent="0.25">
      <c r="A407" s="5">
        <v>44186</v>
      </c>
      <c r="B407">
        <v>4.1399999999999998E-4</v>
      </c>
      <c r="C407">
        <v>4.2499999999999998E-4</v>
      </c>
      <c r="D407">
        <v>3.9500000000000001E-4</v>
      </c>
      <c r="E407">
        <v>4.0200000000000001E-4</v>
      </c>
      <c r="F407">
        <v>25506.29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-0.53333333333333233</v>
      </c>
      <c r="Q407">
        <f t="shared" si="975"/>
        <v>-13603.354666666641</v>
      </c>
      <c r="R407">
        <f t="shared" si="976"/>
        <v>-6616560.434314752</v>
      </c>
      <c r="S407">
        <f t="shared" si="977"/>
        <v>-66.165604343147521</v>
      </c>
      <c r="T407">
        <f t="shared" si="978"/>
        <v>-6.6165604343147527E-2</v>
      </c>
    </row>
    <row r="408" spans="1:20" x14ac:dyDescent="0.25">
      <c r="A408" s="5">
        <v>44185</v>
      </c>
      <c r="B408">
        <v>4.0700000000000003E-4</v>
      </c>
      <c r="C408">
        <v>4.2999999999999999E-4</v>
      </c>
      <c r="D408">
        <v>4.0200000000000001E-4</v>
      </c>
      <c r="E408">
        <v>4.17E-4</v>
      </c>
      <c r="F408">
        <v>43708.09</v>
      </c>
      <c r="G408">
        <v>0</v>
      </c>
      <c r="L408" t="s">
        <v>8</v>
      </c>
      <c r="M408" t="s">
        <v>7</v>
      </c>
      <c r="N408" t="s">
        <v>7</v>
      </c>
      <c r="P408">
        <f t="shared" si="974"/>
        <v>7.1428571428571286E-2</v>
      </c>
      <c r="Q408">
        <f t="shared" si="975"/>
        <v>3122.006428571422</v>
      </c>
      <c r="R408">
        <f t="shared" si="976"/>
        <v>-6602957.0796480849</v>
      </c>
      <c r="S408">
        <f t="shared" si="977"/>
        <v>-66.029570796480854</v>
      </c>
      <c r="T408">
        <f t="shared" si="978"/>
        <v>-6.6029570796480849E-2</v>
      </c>
    </row>
    <row r="409" spans="1:20" x14ac:dyDescent="0.25">
      <c r="A409" s="5">
        <v>44184</v>
      </c>
      <c r="B409">
        <v>4.2099999999999999E-4</v>
      </c>
      <c r="C409">
        <v>4.2999999999999999E-4</v>
      </c>
      <c r="D409">
        <v>4.0299999999999998E-4</v>
      </c>
      <c r="E409">
        <v>4.08E-4</v>
      </c>
      <c r="F409">
        <v>37517.370000000003</v>
      </c>
      <c r="G409">
        <v>0</v>
      </c>
      <c r="L409" t="s">
        <v>7</v>
      </c>
      <c r="M409" t="s">
        <v>7</v>
      </c>
      <c r="N409" t="s">
        <v>7</v>
      </c>
      <c r="P409">
        <f t="shared" si="974"/>
        <v>-0.62962962962962876</v>
      </c>
      <c r="Q409">
        <f t="shared" si="975"/>
        <v>-23622.047777777745</v>
      </c>
      <c r="R409">
        <f t="shared" si="976"/>
        <v>-6606079.0860766564</v>
      </c>
      <c r="S409">
        <f t="shared" si="977"/>
        <v>-66.060790860766559</v>
      </c>
      <c r="T409">
        <f t="shared" si="978"/>
        <v>-6.6060790860766563E-2</v>
      </c>
    </row>
    <row r="410" spans="1:20" x14ac:dyDescent="0.25">
      <c r="A410" s="5">
        <v>44183</v>
      </c>
      <c r="B410">
        <v>4.1599999999999997E-4</v>
      </c>
      <c r="C410">
        <v>4.4999999999999999E-4</v>
      </c>
      <c r="D410">
        <v>4.0000000000000002E-4</v>
      </c>
      <c r="E410">
        <v>4.1800000000000002E-4</v>
      </c>
      <c r="F410">
        <v>63618.6</v>
      </c>
      <c r="G410">
        <v>0</v>
      </c>
      <c r="L410" t="s">
        <v>8</v>
      </c>
      <c r="M410" t="s">
        <v>7</v>
      </c>
      <c r="N410" t="s">
        <v>7</v>
      </c>
      <c r="P410">
        <f t="shared" si="974"/>
        <v>-0.27999999999999942</v>
      </c>
      <c r="Q410">
        <f t="shared" si="975"/>
        <v>-17813.207999999962</v>
      </c>
      <c r="R410">
        <f t="shared" si="976"/>
        <v>-6582457.0382988788</v>
      </c>
      <c r="S410">
        <f t="shared" si="977"/>
        <v>-65.824570382988782</v>
      </c>
      <c r="T410">
        <f t="shared" si="978"/>
        <v>-6.5824570382988778E-2</v>
      </c>
    </row>
    <row r="411" spans="1:20" x14ac:dyDescent="0.25">
      <c r="A411" s="5">
        <v>44182</v>
      </c>
      <c r="B411">
        <v>4.3800000000000002E-4</v>
      </c>
      <c r="C411">
        <v>4.4499999999999997E-4</v>
      </c>
      <c r="D411">
        <v>4.0000000000000002E-4</v>
      </c>
      <c r="E411">
        <v>4.2000000000000002E-4</v>
      </c>
      <c r="F411">
        <v>90264.03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-0.11111111111111031</v>
      </c>
      <c r="Q411">
        <f t="shared" si="975"/>
        <v>-10029.336666666595</v>
      </c>
      <c r="R411">
        <f t="shared" si="976"/>
        <v>-6564643.8302988792</v>
      </c>
      <c r="S411">
        <f t="shared" si="977"/>
        <v>-65.646438302988798</v>
      </c>
      <c r="T411">
        <f t="shared" si="978"/>
        <v>-6.5646438302988802E-2</v>
      </c>
    </row>
    <row r="412" spans="1:20" x14ac:dyDescent="0.25">
      <c r="A412" s="5">
        <v>44181</v>
      </c>
      <c r="B412">
        <v>4.5300000000000001E-4</v>
      </c>
      <c r="C412">
        <v>4.55E-4</v>
      </c>
      <c r="D412">
        <v>4.3100000000000001E-4</v>
      </c>
      <c r="E412">
        <v>4.3800000000000002E-4</v>
      </c>
      <c r="F412">
        <v>35803.61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-0.41666666666666574</v>
      </c>
      <c r="Q412">
        <f t="shared" si="975"/>
        <v>-14918.170833333301</v>
      </c>
      <c r="R412">
        <f t="shared" si="976"/>
        <v>-6554614.4936322123</v>
      </c>
      <c r="S412">
        <f t="shared" si="977"/>
        <v>-65.546144936322122</v>
      </c>
      <c r="T412">
        <f t="shared" si="978"/>
        <v>-6.5546144936322118E-2</v>
      </c>
    </row>
    <row r="413" spans="1:20" x14ac:dyDescent="0.25">
      <c r="A413" s="5">
        <v>44180</v>
      </c>
      <c r="B413">
        <v>4.5300000000000001E-4</v>
      </c>
      <c r="C413">
        <v>4.6299999999999998E-4</v>
      </c>
      <c r="D413">
        <v>4.4999999999999999E-4</v>
      </c>
      <c r="E413">
        <v>4.5300000000000001E-4</v>
      </c>
      <c r="F413">
        <v>8356.84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-0.53846153846153522</v>
      </c>
      <c r="Q413">
        <f t="shared" si="975"/>
        <v>-4499.8369230768958</v>
      </c>
      <c r="R413">
        <f t="shared" si="976"/>
        <v>-6539696.3227988789</v>
      </c>
      <c r="S413">
        <f t="shared" si="977"/>
        <v>-65.396963227988792</v>
      </c>
      <c r="T413">
        <f t="shared" si="978"/>
        <v>-6.5396963227988797E-2</v>
      </c>
    </row>
    <row r="414" spans="1:20" x14ac:dyDescent="0.25">
      <c r="A414" s="5">
        <v>44179</v>
      </c>
      <c r="B414">
        <v>4.6299999999999998E-4</v>
      </c>
      <c r="C414">
        <v>4.7399999999999997E-4</v>
      </c>
      <c r="D414">
        <v>4.3100000000000001E-4</v>
      </c>
      <c r="E414">
        <v>4.5300000000000001E-4</v>
      </c>
      <c r="F414">
        <v>51091.41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2.3255813953488958E-2</v>
      </c>
      <c r="Q414">
        <f t="shared" si="975"/>
        <v>1188.1723255814254</v>
      </c>
      <c r="R414">
        <f t="shared" si="976"/>
        <v>-6535196.4858758021</v>
      </c>
      <c r="S414">
        <f t="shared" si="977"/>
        <v>-65.351964858758024</v>
      </c>
      <c r="T414">
        <f t="shared" si="978"/>
        <v>-6.5351964858758022E-2</v>
      </c>
    </row>
    <row r="415" spans="1:20" x14ac:dyDescent="0.25">
      <c r="A415" s="5">
        <v>44178</v>
      </c>
      <c r="B415">
        <v>4.5199999999999998E-4</v>
      </c>
      <c r="C415">
        <v>4.8999999999999998E-4</v>
      </c>
      <c r="D415">
        <v>4.5100000000000001E-4</v>
      </c>
      <c r="E415">
        <v>4.6299999999999998E-4</v>
      </c>
      <c r="F415">
        <v>85326.96</v>
      </c>
      <c r="G415">
        <v>0</v>
      </c>
      <c r="L415" t="s">
        <v>7</v>
      </c>
      <c r="M415" t="s">
        <v>7</v>
      </c>
      <c r="N415" t="s">
        <v>7</v>
      </c>
      <c r="P415">
        <f t="shared" si="974"/>
        <v>-0.38461538461538591</v>
      </c>
      <c r="Q415">
        <f t="shared" si="975"/>
        <v>-32818.061538461654</v>
      </c>
      <c r="R415">
        <f t="shared" si="976"/>
        <v>-6536384.6582013834</v>
      </c>
      <c r="S415">
        <f t="shared" si="977"/>
        <v>-65.363846582013835</v>
      </c>
      <c r="T415">
        <f t="shared" si="978"/>
        <v>-6.5363846582013829E-2</v>
      </c>
    </row>
    <row r="416" spans="1:20" x14ac:dyDescent="0.25">
      <c r="A416" s="5">
        <v>44177</v>
      </c>
      <c r="B416">
        <v>4.5100000000000001E-4</v>
      </c>
      <c r="C416">
        <v>4.7800000000000002E-4</v>
      </c>
      <c r="D416">
        <v>4.4700000000000002E-4</v>
      </c>
      <c r="E416">
        <v>4.5199999999999998E-4</v>
      </c>
      <c r="F416">
        <v>16201.84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-0.6774193548387123</v>
      </c>
      <c r="Q416">
        <f t="shared" si="975"/>
        <v>-10975.440000000042</v>
      </c>
      <c r="R416">
        <f t="shared" si="976"/>
        <v>-6503566.5966629218</v>
      </c>
      <c r="S416">
        <f t="shared" si="977"/>
        <v>-65.035665966629224</v>
      </c>
      <c r="T416">
        <f t="shared" si="978"/>
        <v>-6.5035665966629227E-2</v>
      </c>
    </row>
    <row r="417" spans="1:20" x14ac:dyDescent="0.25">
      <c r="A417" s="5">
        <v>44176</v>
      </c>
      <c r="B417">
        <v>4.5899999999999999E-4</v>
      </c>
      <c r="C417">
        <v>4.6299999999999998E-4</v>
      </c>
      <c r="D417">
        <v>4.4900000000000002E-4</v>
      </c>
      <c r="E417">
        <v>4.5100000000000001E-4</v>
      </c>
      <c r="F417">
        <v>14028.77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-0.7142857142857143</v>
      </c>
      <c r="Q417">
        <f t="shared" si="975"/>
        <v>-10020.550000000001</v>
      </c>
      <c r="R417">
        <f t="shared" si="976"/>
        <v>-6492591.1566629214</v>
      </c>
      <c r="S417">
        <f t="shared" si="977"/>
        <v>-64.92591156662921</v>
      </c>
      <c r="T417">
        <f t="shared" si="978"/>
        <v>-6.4925911566629205E-2</v>
      </c>
    </row>
    <row r="418" spans="1:20" x14ac:dyDescent="0.25">
      <c r="A418" s="5">
        <v>44175</v>
      </c>
      <c r="B418">
        <v>4.6500000000000003E-4</v>
      </c>
      <c r="C418">
        <v>4.6700000000000002E-4</v>
      </c>
      <c r="D418">
        <v>4.4999999999999999E-4</v>
      </c>
      <c r="E418">
        <v>4.5600000000000003E-4</v>
      </c>
      <c r="F418">
        <v>17886.189999999999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-0.29411764705882054</v>
      </c>
      <c r="Q418">
        <f t="shared" si="975"/>
        <v>-5260.6441176470053</v>
      </c>
      <c r="R418">
        <f t="shared" si="976"/>
        <v>-6482570.6066629216</v>
      </c>
      <c r="S418">
        <f t="shared" si="977"/>
        <v>-64.825706066629209</v>
      </c>
      <c r="T418">
        <f t="shared" si="978"/>
        <v>-6.4825706066629213E-2</v>
      </c>
    </row>
    <row r="419" spans="1:20" x14ac:dyDescent="0.25">
      <c r="A419" s="5">
        <v>44174</v>
      </c>
      <c r="B419">
        <v>4.6799999999999999E-4</v>
      </c>
      <c r="C419">
        <v>4.9100000000000001E-4</v>
      </c>
      <c r="D419">
        <v>4.55E-4</v>
      </c>
      <c r="E419">
        <v>4.6500000000000003E-4</v>
      </c>
      <c r="F419">
        <v>28622.16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-0.44444444444444309</v>
      </c>
      <c r="Q419">
        <f t="shared" si="975"/>
        <v>-12720.959999999961</v>
      </c>
      <c r="R419">
        <f t="shared" si="976"/>
        <v>-6477309.9625452748</v>
      </c>
      <c r="S419">
        <f t="shared" si="977"/>
        <v>-64.773099625452744</v>
      </c>
      <c r="T419">
        <f t="shared" si="978"/>
        <v>-6.4773099625452746E-2</v>
      </c>
    </row>
    <row r="420" spans="1:20" x14ac:dyDescent="0.25">
      <c r="A420" s="5">
        <v>44173</v>
      </c>
      <c r="B420">
        <v>4.7399999999999997E-4</v>
      </c>
      <c r="C420">
        <v>4.95E-4</v>
      </c>
      <c r="D420">
        <v>4.4000000000000002E-4</v>
      </c>
      <c r="E420">
        <v>4.6900000000000002E-4</v>
      </c>
      <c r="F420">
        <v>39302.25</v>
      </c>
      <c r="G420">
        <v>0</v>
      </c>
      <c r="L420" t="s">
        <v>8</v>
      </c>
      <c r="M420" t="s">
        <v>7</v>
      </c>
      <c r="N420" t="s">
        <v>7</v>
      </c>
      <c r="P420">
        <f t="shared" si="974"/>
        <v>5.4545454545454904E-2</v>
      </c>
      <c r="Q420">
        <f t="shared" si="975"/>
        <v>2143.759090909105</v>
      </c>
      <c r="R420">
        <f t="shared" si="976"/>
        <v>-6464589.0025452748</v>
      </c>
      <c r="S420">
        <f t="shared" si="977"/>
        <v>-64.645890025452744</v>
      </c>
      <c r="T420">
        <f t="shared" si="978"/>
        <v>-6.4645890025452749E-2</v>
      </c>
    </row>
    <row r="421" spans="1:20" x14ac:dyDescent="0.25">
      <c r="A421" s="5">
        <v>44172</v>
      </c>
      <c r="B421">
        <v>4.8000000000000001E-4</v>
      </c>
      <c r="C421">
        <v>4.8999999999999998E-4</v>
      </c>
      <c r="D421">
        <v>4.7399999999999997E-4</v>
      </c>
      <c r="E421">
        <v>4.7399999999999997E-4</v>
      </c>
      <c r="F421">
        <v>17284.23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-1</v>
      </c>
      <c r="Q421">
        <f t="shared" si="975"/>
        <v>-17284.23</v>
      </c>
      <c r="R421">
        <f t="shared" si="976"/>
        <v>-6466732.7616361836</v>
      </c>
      <c r="S421">
        <f t="shared" si="977"/>
        <v>-64.667327616361831</v>
      </c>
      <c r="T421">
        <f t="shared" si="978"/>
        <v>-6.4667327616361833E-2</v>
      </c>
    </row>
    <row r="422" spans="1:20" x14ac:dyDescent="0.25">
      <c r="A422" s="5">
        <v>44171</v>
      </c>
      <c r="B422">
        <v>4.8999999999999998E-4</v>
      </c>
      <c r="C422">
        <v>4.95E-4</v>
      </c>
      <c r="D422">
        <v>4.75E-4</v>
      </c>
      <c r="E422">
        <v>4.84E-4</v>
      </c>
      <c r="F422">
        <v>26040.880000000001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-9.9999999999999728E-2</v>
      </c>
      <c r="Q422">
        <f t="shared" si="975"/>
        <v>-2604.0879999999929</v>
      </c>
      <c r="R422">
        <f t="shared" si="976"/>
        <v>-6449448.5316361832</v>
      </c>
      <c r="S422">
        <f t="shared" si="977"/>
        <v>-64.494485316361832</v>
      </c>
      <c r="T422">
        <f t="shared" si="978"/>
        <v>-6.449448531636183E-2</v>
      </c>
    </row>
    <row r="423" spans="1:20" x14ac:dyDescent="0.25">
      <c r="A423" s="5">
        <v>44170</v>
      </c>
      <c r="B423">
        <v>4.8999999999999998E-4</v>
      </c>
      <c r="C423">
        <v>4.9899999999999999E-4</v>
      </c>
      <c r="D423">
        <v>4.8200000000000001E-4</v>
      </c>
      <c r="E423">
        <v>4.8999999999999998E-4</v>
      </c>
      <c r="F423">
        <v>38687.99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-5.8823529411766204E-2</v>
      </c>
      <c r="Q423">
        <f t="shared" si="975"/>
        <v>-2275.7641176471166</v>
      </c>
      <c r="R423">
        <f t="shared" si="976"/>
        <v>-6446844.4436361827</v>
      </c>
      <c r="S423">
        <f t="shared" si="977"/>
        <v>-64.468444436361821</v>
      </c>
      <c r="T423">
        <f t="shared" si="978"/>
        <v>-6.4468444436361821E-2</v>
      </c>
    </row>
    <row r="424" spans="1:20" x14ac:dyDescent="0.25">
      <c r="A424" s="5">
        <v>44169</v>
      </c>
      <c r="B424">
        <v>4.8200000000000001E-4</v>
      </c>
      <c r="C424">
        <v>5.8E-4</v>
      </c>
      <c r="D424">
        <v>4.7199999999999998E-4</v>
      </c>
      <c r="E424">
        <v>4.9200000000000003E-4</v>
      </c>
      <c r="F424">
        <v>80345.53</v>
      </c>
      <c r="G424">
        <v>0</v>
      </c>
      <c r="L424" t="s">
        <v>8</v>
      </c>
      <c r="M424" t="s">
        <v>8</v>
      </c>
      <c r="N424" t="s">
        <v>7</v>
      </c>
      <c r="P424">
        <f t="shared" si="974"/>
        <v>-0.62962962962962876</v>
      </c>
      <c r="Q424">
        <f t="shared" si="975"/>
        <v>-50587.926296296224</v>
      </c>
      <c r="R424">
        <f t="shared" si="976"/>
        <v>-6444568.6795185357</v>
      </c>
      <c r="S424">
        <f t="shared" si="977"/>
        <v>-64.445686795185352</v>
      </c>
      <c r="T424">
        <f t="shared" si="978"/>
        <v>-6.444568679518535E-2</v>
      </c>
    </row>
    <row r="425" spans="1:20" x14ac:dyDescent="0.25">
      <c r="A425" s="5">
        <v>44168</v>
      </c>
      <c r="B425">
        <v>4.8000000000000001E-4</v>
      </c>
      <c r="C425">
        <v>5.1999999999999995E-4</v>
      </c>
      <c r="D425">
        <v>4.7800000000000002E-4</v>
      </c>
      <c r="E425">
        <v>4.8200000000000001E-4</v>
      </c>
      <c r="F425">
        <v>61944.13</v>
      </c>
      <c r="G425">
        <v>0</v>
      </c>
      <c r="L425" t="s">
        <v>7</v>
      </c>
      <c r="M425" t="s">
        <v>7</v>
      </c>
      <c r="N425" t="s">
        <v>7</v>
      </c>
      <c r="P425">
        <f t="shared" si="974"/>
        <v>-0.80952380952380976</v>
      </c>
      <c r="Q425">
        <f t="shared" si="975"/>
        <v>-50145.248095238108</v>
      </c>
      <c r="R425">
        <f t="shared" si="976"/>
        <v>-6393980.7532222392</v>
      </c>
      <c r="S425">
        <f t="shared" si="977"/>
        <v>-63.939807532222389</v>
      </c>
      <c r="T425">
        <f t="shared" si="978"/>
        <v>-6.3939807532222392E-2</v>
      </c>
    </row>
    <row r="426" spans="1:20" x14ac:dyDescent="0.25">
      <c r="A426" s="5">
        <v>44167</v>
      </c>
      <c r="B426">
        <v>4.8200000000000001E-4</v>
      </c>
      <c r="C426">
        <v>4.86E-4</v>
      </c>
      <c r="D426">
        <v>4.6900000000000002E-4</v>
      </c>
      <c r="E426">
        <v>4.8000000000000001E-4</v>
      </c>
      <c r="F426">
        <v>20500.490000000002</v>
      </c>
      <c r="G426">
        <v>0</v>
      </c>
      <c r="L426" t="s">
        <v>8</v>
      </c>
      <c r="M426" t="s">
        <v>7</v>
      </c>
      <c r="N426" t="s">
        <v>7</v>
      </c>
      <c r="P426">
        <f t="shared" si="974"/>
        <v>0.29411764705882465</v>
      </c>
      <c r="Q426">
        <f t="shared" si="975"/>
        <v>6029.5558823529645</v>
      </c>
      <c r="R426">
        <f t="shared" si="976"/>
        <v>-6343835.5051270016</v>
      </c>
      <c r="S426">
        <f t="shared" si="977"/>
        <v>-63.438355051270015</v>
      </c>
      <c r="T426">
        <f t="shared" si="978"/>
        <v>-6.3438355051270018E-2</v>
      </c>
    </row>
    <row r="427" spans="1:20" x14ac:dyDescent="0.25">
      <c r="A427" s="5">
        <v>44166</v>
      </c>
      <c r="B427">
        <v>4.9100000000000001E-4</v>
      </c>
      <c r="C427">
        <v>4.9799999999999996E-4</v>
      </c>
      <c r="D427">
        <v>4.7199999999999998E-4</v>
      </c>
      <c r="E427">
        <v>4.8099999999999998E-4</v>
      </c>
      <c r="F427">
        <v>30294.86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-0.30769230769230704</v>
      </c>
      <c r="Q427">
        <f t="shared" si="975"/>
        <v>-9321.4953846153658</v>
      </c>
      <c r="R427">
        <f t="shared" si="976"/>
        <v>-6349865.0610093549</v>
      </c>
      <c r="S427">
        <f t="shared" si="977"/>
        <v>-63.498650610093549</v>
      </c>
      <c r="T427">
        <f t="shared" si="978"/>
        <v>-6.3498650610093549E-2</v>
      </c>
    </row>
    <row r="428" spans="1:20" x14ac:dyDescent="0.25">
      <c r="A428" s="5">
        <v>44165</v>
      </c>
      <c r="B428">
        <v>5.0500000000000002E-4</v>
      </c>
      <c r="C428">
        <v>5.1999999999999995E-4</v>
      </c>
      <c r="D428">
        <v>4.73E-4</v>
      </c>
      <c r="E428">
        <v>4.9299999999999995E-4</v>
      </c>
      <c r="F428">
        <v>44101.51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-0.14893617021276742</v>
      </c>
      <c r="Q428">
        <f t="shared" si="975"/>
        <v>-6568.310000000065</v>
      </c>
      <c r="R428">
        <f t="shared" si="976"/>
        <v>-6340543.56562474</v>
      </c>
      <c r="S428">
        <f t="shared" si="977"/>
        <v>-63.405435656247398</v>
      </c>
      <c r="T428">
        <f t="shared" si="978"/>
        <v>-6.34054356562474E-2</v>
      </c>
    </row>
    <row r="429" spans="1:20" x14ac:dyDescent="0.25">
      <c r="A429" s="5">
        <v>44164</v>
      </c>
      <c r="B429">
        <v>5.1000000000000004E-4</v>
      </c>
      <c r="C429">
        <v>5.1500000000000005E-4</v>
      </c>
      <c r="D429">
        <v>4.8799999999999999E-4</v>
      </c>
      <c r="E429">
        <v>5.0699999999999996E-4</v>
      </c>
      <c r="F429">
        <v>28327.26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0.40740740740740233</v>
      </c>
      <c r="Q429">
        <f t="shared" si="975"/>
        <v>11540.735555555411</v>
      </c>
      <c r="R429">
        <f t="shared" si="976"/>
        <v>-6333975.2556247395</v>
      </c>
      <c r="S429">
        <f t="shared" si="977"/>
        <v>-63.339752556247397</v>
      </c>
      <c r="T429">
        <f t="shared" si="978"/>
        <v>-6.3339752556247395E-2</v>
      </c>
    </row>
    <row r="430" spans="1:20" x14ac:dyDescent="0.25">
      <c r="A430" s="5">
        <v>44163</v>
      </c>
      <c r="B430">
        <v>5.0699999999999996E-4</v>
      </c>
      <c r="C430">
        <v>5.2800000000000004E-4</v>
      </c>
      <c r="D430">
        <v>5.0299999999999997E-4</v>
      </c>
      <c r="E430">
        <v>5.13E-4</v>
      </c>
      <c r="F430">
        <v>24287.91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-0.2</v>
      </c>
      <c r="Q430">
        <f t="shared" si="975"/>
        <v>-4857.5820000000003</v>
      </c>
      <c r="R430">
        <f t="shared" si="976"/>
        <v>-6345515.9911802951</v>
      </c>
      <c r="S430">
        <f t="shared" si="977"/>
        <v>-63.455159911802951</v>
      </c>
      <c r="T430">
        <f t="shared" si="978"/>
        <v>-6.345515991180295E-2</v>
      </c>
    </row>
    <row r="431" spans="1:20" x14ac:dyDescent="0.25">
      <c r="A431" s="5">
        <v>44162</v>
      </c>
      <c r="B431">
        <v>4.9299999999999995E-4</v>
      </c>
      <c r="C431">
        <v>5.3799999999999996E-4</v>
      </c>
      <c r="D431">
        <v>4.8999999999999998E-4</v>
      </c>
      <c r="E431">
        <v>5.0600000000000005E-4</v>
      </c>
      <c r="F431">
        <v>32855.57</v>
      </c>
      <c r="G431">
        <v>0</v>
      </c>
      <c r="L431" t="s">
        <v>7</v>
      </c>
      <c r="M431" t="s">
        <v>8</v>
      </c>
      <c r="N431" t="s">
        <v>7</v>
      </c>
      <c r="P431">
        <f t="shared" si="974"/>
        <v>-0.33333333333333032</v>
      </c>
      <c r="Q431">
        <f t="shared" si="975"/>
        <v>-10951.856666666568</v>
      </c>
      <c r="R431">
        <f t="shared" si="976"/>
        <v>-6340658.4091802947</v>
      </c>
      <c r="S431">
        <f t="shared" si="977"/>
        <v>-63.406584091802948</v>
      </c>
      <c r="T431">
        <f t="shared" si="978"/>
        <v>-6.3406584091802942E-2</v>
      </c>
    </row>
    <row r="432" spans="1:20" x14ac:dyDescent="0.25">
      <c r="A432" s="5">
        <v>44161</v>
      </c>
      <c r="B432">
        <v>5.2499999999999997E-4</v>
      </c>
      <c r="C432">
        <v>5.4100000000000003E-4</v>
      </c>
      <c r="D432">
        <v>4.86E-4</v>
      </c>
      <c r="E432">
        <v>4.9399999999999997E-4</v>
      </c>
      <c r="F432">
        <v>50829.18</v>
      </c>
      <c r="G432">
        <v>0</v>
      </c>
      <c r="L432" t="s">
        <v>8</v>
      </c>
      <c r="M432" t="s">
        <v>8</v>
      </c>
      <c r="N432" t="s">
        <v>7</v>
      </c>
      <c r="P432">
        <f t="shared" si="974"/>
        <v>-0.7090909090909101</v>
      </c>
      <c r="Q432">
        <f t="shared" si="975"/>
        <v>-36042.509454545507</v>
      </c>
      <c r="R432">
        <f t="shared" si="976"/>
        <v>-6329706.5525136283</v>
      </c>
      <c r="S432">
        <f t="shared" si="977"/>
        <v>-63.297065525136283</v>
      </c>
      <c r="T432">
        <f t="shared" si="978"/>
        <v>-6.3297065525136281E-2</v>
      </c>
    </row>
    <row r="433" spans="1:20" x14ac:dyDescent="0.25">
      <c r="A433" s="5">
        <v>44160</v>
      </c>
      <c r="B433">
        <v>5.2700000000000002E-4</v>
      </c>
      <c r="C433">
        <v>5.6099999999999998E-4</v>
      </c>
      <c r="D433">
        <v>5.13E-4</v>
      </c>
      <c r="E433">
        <v>5.2300000000000003E-4</v>
      </c>
      <c r="F433">
        <v>78136</v>
      </c>
      <c r="G433">
        <v>0</v>
      </c>
      <c r="L433" t="s">
        <v>7</v>
      </c>
      <c r="M433" t="s">
        <v>8</v>
      </c>
      <c r="N433" t="s">
        <v>7</v>
      </c>
      <c r="P433">
        <f t="shared" si="974"/>
        <v>-0.58333333333333204</v>
      </c>
      <c r="Q433">
        <f t="shared" si="975"/>
        <v>-45579.333333333234</v>
      </c>
      <c r="R433">
        <f t="shared" si="976"/>
        <v>-6293664.0430590827</v>
      </c>
      <c r="S433">
        <f t="shared" si="977"/>
        <v>-62.936640430590828</v>
      </c>
      <c r="T433">
        <f t="shared" si="978"/>
        <v>-6.2936640430590829E-2</v>
      </c>
    </row>
    <row r="434" spans="1:20" x14ac:dyDescent="0.25">
      <c r="A434" s="5">
        <v>44159</v>
      </c>
      <c r="B434">
        <v>5.2999999999999998E-4</v>
      </c>
      <c r="C434">
        <v>5.6899999999999995E-4</v>
      </c>
      <c r="D434">
        <v>4.64E-4</v>
      </c>
      <c r="E434">
        <v>5.2700000000000002E-4</v>
      </c>
      <c r="F434">
        <v>155203.71</v>
      </c>
      <c r="G434">
        <v>0</v>
      </c>
      <c r="L434" t="s">
        <v>8</v>
      </c>
      <c r="M434" t="s">
        <v>7</v>
      </c>
      <c r="N434" t="s">
        <v>7</v>
      </c>
      <c r="P434">
        <f t="shared" si="974"/>
        <v>0.20000000000000082</v>
      </c>
      <c r="Q434">
        <f t="shared" si="975"/>
        <v>31040.742000000126</v>
      </c>
      <c r="R434">
        <f t="shared" si="976"/>
        <v>-6248084.7097257497</v>
      </c>
      <c r="S434">
        <f t="shared" si="977"/>
        <v>-62.480847097257495</v>
      </c>
      <c r="T434">
        <f t="shared" si="978"/>
        <v>-6.2480847097257493E-2</v>
      </c>
    </row>
    <row r="435" spans="1:20" x14ac:dyDescent="0.25">
      <c r="A435" s="5">
        <v>44158</v>
      </c>
      <c r="B435">
        <v>5.0900000000000001E-4</v>
      </c>
      <c r="C435">
        <v>5.31E-4</v>
      </c>
      <c r="D435">
        <v>5.0199999999999995E-4</v>
      </c>
      <c r="E435">
        <v>5.2899999999999996E-4</v>
      </c>
      <c r="F435">
        <v>67689.94</v>
      </c>
      <c r="G435">
        <v>0</v>
      </c>
      <c r="L435" t="s">
        <v>7</v>
      </c>
      <c r="M435" t="s">
        <v>8</v>
      </c>
      <c r="N435" t="s">
        <v>7</v>
      </c>
      <c r="P435">
        <f t="shared" si="974"/>
        <v>0.86206896551723833</v>
      </c>
      <c r="Q435">
        <f t="shared" si="975"/>
        <v>58353.396551723934</v>
      </c>
      <c r="R435">
        <f t="shared" si="976"/>
        <v>-6279125.4517257502</v>
      </c>
      <c r="S435">
        <f t="shared" si="977"/>
        <v>-62.791254517257499</v>
      </c>
      <c r="T435">
        <f t="shared" si="978"/>
        <v>-6.2791254517257505E-2</v>
      </c>
    </row>
    <row r="436" spans="1:20" x14ac:dyDescent="0.25">
      <c r="A436" s="5">
        <v>44157</v>
      </c>
      <c r="B436">
        <v>5.2999999999999998E-4</v>
      </c>
      <c r="C436">
        <v>5.4500000000000002E-4</v>
      </c>
      <c r="D436">
        <v>5.0100000000000003E-4</v>
      </c>
      <c r="E436">
        <v>5.0900000000000001E-4</v>
      </c>
      <c r="F436">
        <v>51471.86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-0.63636363636363724</v>
      </c>
      <c r="Q436">
        <f t="shared" si="975"/>
        <v>-32754.820000000047</v>
      </c>
      <c r="R436">
        <f t="shared" si="976"/>
        <v>-6337478.8482774738</v>
      </c>
      <c r="S436">
        <f t="shared" si="977"/>
        <v>-63.37478848277474</v>
      </c>
      <c r="T436">
        <f t="shared" si="978"/>
        <v>-6.3374788482774738E-2</v>
      </c>
    </row>
    <row r="437" spans="1:20" x14ac:dyDescent="0.25">
      <c r="A437" s="5">
        <v>44156</v>
      </c>
      <c r="B437">
        <v>5.0500000000000002E-4</v>
      </c>
      <c r="C437">
        <v>5.3600000000000002E-4</v>
      </c>
      <c r="D437">
        <v>4.9100000000000001E-4</v>
      </c>
      <c r="E437">
        <v>5.2999999999999998E-4</v>
      </c>
      <c r="F437">
        <v>78081.41</v>
      </c>
      <c r="G437">
        <v>0</v>
      </c>
      <c r="L437" t="s">
        <v>7</v>
      </c>
      <c r="M437" t="s">
        <v>8</v>
      </c>
      <c r="N437" t="s">
        <v>7</v>
      </c>
      <c r="P437">
        <f t="shared" si="974"/>
        <v>0.73333333333333173</v>
      </c>
      <c r="Q437">
        <f t="shared" si="975"/>
        <v>57259.70066666654</v>
      </c>
      <c r="R437">
        <f t="shared" si="976"/>
        <v>-6304724.0282774735</v>
      </c>
      <c r="S437">
        <f t="shared" si="977"/>
        <v>-63.047240282774737</v>
      </c>
      <c r="T437">
        <f t="shared" si="978"/>
        <v>-6.3047240282774739E-2</v>
      </c>
    </row>
    <row r="438" spans="1:20" x14ac:dyDescent="0.25">
      <c r="A438" s="5">
        <v>44155</v>
      </c>
      <c r="B438">
        <v>4.9700000000000005E-4</v>
      </c>
      <c r="C438">
        <v>5.2999999999999998E-4</v>
      </c>
      <c r="D438">
        <v>4.9200000000000003E-4</v>
      </c>
      <c r="E438">
        <v>5.0500000000000002E-4</v>
      </c>
      <c r="F438">
        <v>79532.61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-0.31578947368421006</v>
      </c>
      <c r="Q438">
        <f t="shared" si="975"/>
        <v>-25115.561052631543</v>
      </c>
      <c r="R438">
        <f t="shared" si="976"/>
        <v>-6361983.7289441405</v>
      </c>
      <c r="S438">
        <f t="shared" si="977"/>
        <v>-63.619837289441406</v>
      </c>
      <c r="T438">
        <f t="shared" si="978"/>
        <v>-6.36198372894414E-2</v>
      </c>
    </row>
    <row r="439" spans="1:20" x14ac:dyDescent="0.25">
      <c r="A439" s="5">
        <v>44154</v>
      </c>
      <c r="B439">
        <v>5.2700000000000002E-4</v>
      </c>
      <c r="C439">
        <v>5.44E-4</v>
      </c>
      <c r="D439">
        <v>4.86E-4</v>
      </c>
      <c r="E439">
        <v>4.9700000000000005E-4</v>
      </c>
      <c r="F439">
        <v>123225.11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-0.62068965517241204</v>
      </c>
      <c r="Q439">
        <f t="shared" si="975"/>
        <v>-76484.551034482545</v>
      </c>
      <c r="R439">
        <f t="shared" si="976"/>
        <v>-6336868.1678915089</v>
      </c>
      <c r="S439">
        <f t="shared" si="977"/>
        <v>-63.368681678915088</v>
      </c>
      <c r="T439">
        <f t="shared" si="978"/>
        <v>-6.3368681678915087E-2</v>
      </c>
    </row>
    <row r="440" spans="1:20" x14ac:dyDescent="0.25">
      <c r="A440" s="5">
        <v>44153</v>
      </c>
      <c r="B440">
        <v>4.6000000000000001E-4</v>
      </c>
      <c r="C440">
        <v>5.7799999999999995E-4</v>
      </c>
      <c r="D440">
        <v>4.5399999999999998E-4</v>
      </c>
      <c r="E440">
        <v>5.2599999999999999E-4</v>
      </c>
      <c r="F440">
        <v>409430.43</v>
      </c>
      <c r="G440">
        <v>0</v>
      </c>
      <c r="L440" t="s">
        <v>8</v>
      </c>
      <c r="M440" t="s">
        <v>8</v>
      </c>
      <c r="N440" t="s">
        <v>7</v>
      </c>
      <c r="P440">
        <f t="shared" si="974"/>
        <v>0.1612903225806456</v>
      </c>
      <c r="Q440">
        <f t="shared" si="975"/>
        <v>66037.166129032441</v>
      </c>
      <c r="R440">
        <f t="shared" si="976"/>
        <v>-6260383.6168570267</v>
      </c>
      <c r="S440">
        <f t="shared" si="977"/>
        <v>-62.603836168570268</v>
      </c>
      <c r="T440">
        <f t="shared" si="978"/>
        <v>-6.2603836168570265E-2</v>
      </c>
    </row>
    <row r="441" spans="1:20" x14ac:dyDescent="0.25">
      <c r="A441" s="5">
        <v>44152</v>
      </c>
      <c r="B441">
        <v>4.7399999999999997E-4</v>
      </c>
      <c r="C441">
        <v>4.8000000000000001E-4</v>
      </c>
      <c r="D441">
        <v>4.4799999999999999E-4</v>
      </c>
      <c r="E441">
        <v>4.6000000000000001E-4</v>
      </c>
      <c r="F441">
        <v>41637.82</v>
      </c>
      <c r="G441">
        <v>0</v>
      </c>
      <c r="L441" t="s">
        <v>7</v>
      </c>
      <c r="M441" t="s">
        <v>7</v>
      </c>
      <c r="N441" t="s">
        <v>7</v>
      </c>
      <c r="P441">
        <f t="shared" si="974"/>
        <v>-0.24999999999999914</v>
      </c>
      <c r="Q441">
        <f t="shared" si="975"/>
        <v>-10409.454999999964</v>
      </c>
      <c r="R441">
        <f t="shared" si="976"/>
        <v>-6326420.7829860589</v>
      </c>
      <c r="S441">
        <f t="shared" si="977"/>
        <v>-63.264207829860588</v>
      </c>
      <c r="T441">
        <f t="shared" si="978"/>
        <v>-6.3264207829860586E-2</v>
      </c>
    </row>
    <row r="442" spans="1:20" x14ac:dyDescent="0.25">
      <c r="A442" s="5">
        <v>44151</v>
      </c>
      <c r="B442">
        <v>4.64E-4</v>
      </c>
      <c r="C442">
        <v>4.84E-4</v>
      </c>
      <c r="D442">
        <v>4.5399999999999998E-4</v>
      </c>
      <c r="E442">
        <v>4.7399999999999997E-4</v>
      </c>
      <c r="F442">
        <v>30343.9</v>
      </c>
      <c r="G442">
        <v>0</v>
      </c>
      <c r="L442" t="s">
        <v>8</v>
      </c>
      <c r="M442" t="s">
        <v>7</v>
      </c>
      <c r="N442" t="s">
        <v>7</v>
      </c>
      <c r="P442">
        <f t="shared" si="974"/>
        <v>0.33333333333333215</v>
      </c>
      <c r="Q442">
        <f t="shared" si="975"/>
        <v>10114.633333333299</v>
      </c>
      <c r="R442">
        <f t="shared" si="976"/>
        <v>-6316011.3279860588</v>
      </c>
      <c r="S442">
        <f t="shared" si="977"/>
        <v>-63.160113279860589</v>
      </c>
      <c r="T442">
        <f t="shared" si="978"/>
        <v>-6.3160113279860583E-2</v>
      </c>
    </row>
    <row r="443" spans="1:20" x14ac:dyDescent="0.25">
      <c r="A443" s="5">
        <v>44150</v>
      </c>
      <c r="B443">
        <v>4.8000000000000001E-4</v>
      </c>
      <c r="C443">
        <v>4.8899999999999996E-4</v>
      </c>
      <c r="D443">
        <v>4.6000000000000001E-4</v>
      </c>
      <c r="E443">
        <v>4.6500000000000003E-4</v>
      </c>
      <c r="F443">
        <v>29132.27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-0.65517241379310187</v>
      </c>
      <c r="Q443">
        <f t="shared" si="975"/>
        <v>-19086.659655172367</v>
      </c>
      <c r="R443">
        <f t="shared" si="976"/>
        <v>-6326125.9613193916</v>
      </c>
      <c r="S443">
        <f t="shared" si="977"/>
        <v>-63.261259613193914</v>
      </c>
      <c r="T443">
        <f t="shared" si="978"/>
        <v>-6.3261259613193913E-2</v>
      </c>
    </row>
    <row r="444" spans="1:20" x14ac:dyDescent="0.25">
      <c r="A444" s="5">
        <v>44149</v>
      </c>
      <c r="B444">
        <v>4.66E-4</v>
      </c>
      <c r="C444">
        <v>4.8700000000000002E-4</v>
      </c>
      <c r="D444">
        <v>4.64E-4</v>
      </c>
      <c r="E444">
        <v>4.8000000000000001E-4</v>
      </c>
      <c r="F444">
        <v>19724.78</v>
      </c>
      <c r="G444">
        <v>0</v>
      </c>
      <c r="L444" t="s">
        <v>8</v>
      </c>
      <c r="M444" t="s">
        <v>7</v>
      </c>
      <c r="N444" t="s">
        <v>7</v>
      </c>
      <c r="P444">
        <f t="shared" si="974"/>
        <v>0.39130434782608675</v>
      </c>
      <c r="Q444">
        <f t="shared" si="975"/>
        <v>7718.3921739130392</v>
      </c>
      <c r="R444">
        <f t="shared" si="976"/>
        <v>-6307039.3016642192</v>
      </c>
      <c r="S444">
        <f t="shared" si="977"/>
        <v>-63.070393016642193</v>
      </c>
      <c r="T444">
        <f t="shared" si="978"/>
        <v>-6.307039301664219E-2</v>
      </c>
    </row>
    <row r="445" spans="1:20" x14ac:dyDescent="0.25">
      <c r="A445" s="5">
        <v>44148</v>
      </c>
      <c r="B445">
        <v>4.6299999999999998E-4</v>
      </c>
      <c r="C445">
        <v>4.7399999999999997E-4</v>
      </c>
      <c r="D445">
        <v>4.55E-4</v>
      </c>
      <c r="E445">
        <v>4.66E-4</v>
      </c>
      <c r="F445">
        <v>20829.02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0.15789473684210648</v>
      </c>
      <c r="Q445">
        <f t="shared" si="975"/>
        <v>3288.7926315789728</v>
      </c>
      <c r="R445">
        <f t="shared" si="976"/>
        <v>-6314757.6938381325</v>
      </c>
      <c r="S445">
        <f t="shared" si="977"/>
        <v>-63.147576938381327</v>
      </c>
      <c r="T445">
        <f t="shared" si="978"/>
        <v>-6.3147576938381328E-2</v>
      </c>
    </row>
    <row r="446" spans="1:20" x14ac:dyDescent="0.25">
      <c r="A446" s="5">
        <v>44147</v>
      </c>
      <c r="B446">
        <v>4.75E-4</v>
      </c>
      <c r="C446">
        <v>4.9600000000000002E-4</v>
      </c>
      <c r="D446">
        <v>4.6299999999999998E-4</v>
      </c>
      <c r="E446">
        <v>4.6299999999999998E-4</v>
      </c>
      <c r="F446">
        <v>45777.25</v>
      </c>
      <c r="G446">
        <v>0</v>
      </c>
      <c r="L446" t="s">
        <v>8</v>
      </c>
      <c r="M446" t="s">
        <v>7</v>
      </c>
      <c r="N446" t="s">
        <v>7</v>
      </c>
      <c r="P446">
        <f t="shared" si="974"/>
        <v>-1</v>
      </c>
      <c r="Q446">
        <f t="shared" si="975"/>
        <v>-45777.25</v>
      </c>
      <c r="R446">
        <f t="shared" si="976"/>
        <v>-6318046.4864697112</v>
      </c>
      <c r="S446">
        <f t="shared" si="977"/>
        <v>-63.180464864697115</v>
      </c>
      <c r="T446">
        <f t="shared" si="978"/>
        <v>-6.3180464864697111E-2</v>
      </c>
    </row>
    <row r="447" spans="1:20" x14ac:dyDescent="0.25">
      <c r="A447" s="5">
        <v>44146</v>
      </c>
      <c r="B447">
        <v>4.8099999999999998E-4</v>
      </c>
      <c r="C447">
        <v>4.86E-4</v>
      </c>
      <c r="D447">
        <v>4.6700000000000002E-4</v>
      </c>
      <c r="E447">
        <v>4.75E-4</v>
      </c>
      <c r="F447">
        <v>19906.86</v>
      </c>
      <c r="G447">
        <v>0</v>
      </c>
      <c r="L447" t="s">
        <v>7</v>
      </c>
      <c r="M447" t="s">
        <v>7</v>
      </c>
      <c r="N447" t="s">
        <v>7</v>
      </c>
      <c r="P447">
        <f t="shared" si="974"/>
        <v>-0.15789473684210648</v>
      </c>
      <c r="Q447">
        <f t="shared" si="975"/>
        <v>-3143.1884210526559</v>
      </c>
      <c r="R447">
        <f t="shared" si="976"/>
        <v>-6272269.2364697112</v>
      </c>
      <c r="S447">
        <f t="shared" si="977"/>
        <v>-62.72269236469711</v>
      </c>
      <c r="T447">
        <f t="shared" si="978"/>
        <v>-6.2722692364697116E-2</v>
      </c>
    </row>
    <row r="448" spans="1:20" x14ac:dyDescent="0.25">
      <c r="A448" s="5">
        <v>44145</v>
      </c>
      <c r="B448">
        <v>4.7800000000000002E-4</v>
      </c>
      <c r="C448">
        <v>4.8500000000000003E-4</v>
      </c>
      <c r="D448">
        <v>4.7199999999999998E-4</v>
      </c>
      <c r="E448">
        <v>4.8099999999999998E-4</v>
      </c>
      <c r="F448">
        <v>13490.55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0.38461538461538014</v>
      </c>
      <c r="Q448">
        <f t="shared" si="975"/>
        <v>5188.6730769230162</v>
      </c>
      <c r="R448">
        <f t="shared" si="976"/>
        <v>-6269126.0480486583</v>
      </c>
      <c r="S448">
        <f t="shared" si="977"/>
        <v>-62.691260480486584</v>
      </c>
      <c r="T448">
        <f t="shared" si="978"/>
        <v>-6.269126048048658E-2</v>
      </c>
    </row>
    <row r="449" spans="1:20" x14ac:dyDescent="0.25">
      <c r="A449" s="5">
        <v>44144</v>
      </c>
      <c r="B449">
        <v>4.8500000000000003E-4</v>
      </c>
      <c r="C449">
        <v>4.8999999999999998E-4</v>
      </c>
      <c r="D449">
        <v>4.7399999999999997E-4</v>
      </c>
      <c r="E449">
        <v>4.7800000000000002E-4</v>
      </c>
      <c r="F449">
        <v>12461.91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-0.49999999999999489</v>
      </c>
      <c r="Q449">
        <f t="shared" si="975"/>
        <v>-6230.9549999999363</v>
      </c>
      <c r="R449">
        <f t="shared" si="976"/>
        <v>-6274314.7211255813</v>
      </c>
      <c r="S449">
        <f t="shared" si="977"/>
        <v>-62.74314721125581</v>
      </c>
      <c r="T449">
        <f t="shared" si="978"/>
        <v>-6.2743147211255804E-2</v>
      </c>
    </row>
    <row r="450" spans="1:20" x14ac:dyDescent="0.25">
      <c r="A450" s="5">
        <v>44143</v>
      </c>
      <c r="B450">
        <v>4.9100000000000001E-4</v>
      </c>
      <c r="C450">
        <v>4.9600000000000002E-4</v>
      </c>
      <c r="D450">
        <v>4.8099999999999998E-4</v>
      </c>
      <c r="E450">
        <v>4.84E-4</v>
      </c>
      <c r="F450">
        <v>10504.78</v>
      </c>
      <c r="G450">
        <v>0</v>
      </c>
      <c r="L450" t="s">
        <v>8</v>
      </c>
      <c r="M450" t="s">
        <v>7</v>
      </c>
      <c r="N450" t="s">
        <v>7</v>
      </c>
      <c r="P450">
        <f t="shared" si="974"/>
        <v>-0.59999999999999853</v>
      </c>
      <c r="Q450">
        <f t="shared" si="975"/>
        <v>-6302.8679999999849</v>
      </c>
      <c r="R450">
        <f t="shared" si="976"/>
        <v>-6268083.7661255812</v>
      </c>
      <c r="S450">
        <f t="shared" si="977"/>
        <v>-62.680837661255815</v>
      </c>
      <c r="T450">
        <f t="shared" si="978"/>
        <v>-6.2680837661255817E-2</v>
      </c>
    </row>
    <row r="451" spans="1:20" x14ac:dyDescent="0.25">
      <c r="A451" s="5">
        <v>44142</v>
      </c>
      <c r="B451">
        <v>4.9100000000000001E-4</v>
      </c>
      <c r="C451">
        <v>5.1999999999999995E-4</v>
      </c>
      <c r="D451">
        <v>4.8099999999999998E-4</v>
      </c>
      <c r="E451">
        <v>4.9100000000000001E-4</v>
      </c>
      <c r="F451">
        <v>33048.69</v>
      </c>
      <c r="G451">
        <v>0</v>
      </c>
      <c r="L451" t="s">
        <v>7</v>
      </c>
      <c r="M451" t="s">
        <v>7</v>
      </c>
      <c r="N451" t="s">
        <v>7</v>
      </c>
      <c r="P451">
        <f t="shared" si="974"/>
        <v>-0.48717948717948545</v>
      </c>
      <c r="Q451">
        <f t="shared" si="975"/>
        <v>-16100.643846153791</v>
      </c>
      <c r="R451">
        <f t="shared" si="976"/>
        <v>-6261780.8981255814</v>
      </c>
      <c r="S451">
        <f t="shared" si="977"/>
        <v>-62.617808981255813</v>
      </c>
      <c r="T451">
        <f t="shared" si="978"/>
        <v>-6.261780898125581E-2</v>
      </c>
    </row>
    <row r="452" spans="1:20" x14ac:dyDescent="0.25">
      <c r="A452" s="5">
        <v>44141</v>
      </c>
      <c r="B452">
        <v>4.6999999999999999E-4</v>
      </c>
      <c r="C452">
        <v>5.0000000000000001E-4</v>
      </c>
      <c r="D452">
        <v>4.6500000000000003E-4</v>
      </c>
      <c r="E452">
        <v>4.9100000000000001E-4</v>
      </c>
      <c r="F452">
        <v>27430.6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0.48571428571428538</v>
      </c>
      <c r="Q452">
        <f t="shared" si="975"/>
        <v>13323.434285714276</v>
      </c>
      <c r="R452">
        <f t="shared" si="976"/>
        <v>-6245680.2542794272</v>
      </c>
      <c r="S452">
        <f t="shared" si="977"/>
        <v>-62.456802542794271</v>
      </c>
      <c r="T452">
        <f t="shared" si="978"/>
        <v>-6.2456802542794274E-2</v>
      </c>
    </row>
    <row r="453" spans="1:20" x14ac:dyDescent="0.25">
      <c r="A453" s="5">
        <v>44140</v>
      </c>
      <c r="B453">
        <v>5.0000000000000001E-4</v>
      </c>
      <c r="C453">
        <v>5.04E-4</v>
      </c>
      <c r="D453">
        <v>4.66E-4</v>
      </c>
      <c r="E453">
        <v>4.6799999999999999E-4</v>
      </c>
      <c r="F453">
        <v>19929.29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-0.8947368421052635</v>
      </c>
      <c r="Q453">
        <f t="shared" si="975"/>
        <v>-17831.470000000008</v>
      </c>
      <c r="R453">
        <f t="shared" si="976"/>
        <v>-6259003.6885651415</v>
      </c>
      <c r="S453">
        <f t="shared" si="977"/>
        <v>-62.590036885651415</v>
      </c>
      <c r="T453">
        <f t="shared" si="978"/>
        <v>-6.2590036885651415E-2</v>
      </c>
    </row>
    <row r="454" spans="1:20" x14ac:dyDescent="0.25">
      <c r="A454" s="5">
        <v>44139</v>
      </c>
      <c r="B454">
        <v>4.9899999999999999E-4</v>
      </c>
      <c r="C454">
        <v>5.2499999999999997E-4</v>
      </c>
      <c r="D454">
        <v>4.9399999999999997E-4</v>
      </c>
      <c r="E454">
        <v>5.0000000000000001E-4</v>
      </c>
      <c r="F454">
        <v>25736.07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-0.61290322580644918</v>
      </c>
      <c r="Q454">
        <f t="shared" ref="Q454:Q517" si="980">F454*P454</f>
        <v>-15773.720322580582</v>
      </c>
      <c r="R454">
        <f t="shared" ref="R454:R517" si="981">R455+Q454</f>
        <v>-6241172.2185651418</v>
      </c>
      <c r="S454">
        <f t="shared" ref="S454:S517" si="982">R454/100000</f>
        <v>-62.411722185651421</v>
      </c>
      <c r="T454">
        <f t="shared" ref="T454:T517" si="983">S454/1000</f>
        <v>-6.2411722185651421E-2</v>
      </c>
    </row>
    <row r="455" spans="1:20" x14ac:dyDescent="0.25">
      <c r="A455" s="5">
        <v>44138</v>
      </c>
      <c r="B455">
        <v>5.1099999999999995E-4</v>
      </c>
      <c r="C455">
        <v>5.1999999999999995E-4</v>
      </c>
      <c r="D455">
        <v>4.9700000000000005E-4</v>
      </c>
      <c r="E455">
        <v>4.9799999999999996E-4</v>
      </c>
      <c r="F455">
        <v>20140.23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-0.91304347826087651</v>
      </c>
      <c r="Q455">
        <f t="shared" si="980"/>
        <v>-18388.905652174053</v>
      </c>
      <c r="R455">
        <f t="shared" si="981"/>
        <v>-6225398.4982425608</v>
      </c>
      <c r="S455">
        <f t="shared" si="982"/>
        <v>-62.253984982425607</v>
      </c>
      <c r="T455">
        <f t="shared" si="983"/>
        <v>-6.2253984982425604E-2</v>
      </c>
    </row>
    <row r="456" spans="1:20" x14ac:dyDescent="0.25">
      <c r="A456" s="5">
        <v>44137</v>
      </c>
      <c r="B456">
        <v>5.2599999999999999E-4</v>
      </c>
      <c r="C456">
        <v>5.2800000000000004E-4</v>
      </c>
      <c r="D456">
        <v>5.0900000000000001E-4</v>
      </c>
      <c r="E456">
        <v>5.1099999999999995E-4</v>
      </c>
      <c r="F456">
        <v>19359.2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-0.78947368421053288</v>
      </c>
      <c r="Q456">
        <f t="shared" si="980"/>
        <v>-15283.578947368549</v>
      </c>
      <c r="R456">
        <f t="shared" si="981"/>
        <v>-6207009.592590387</v>
      </c>
      <c r="S456">
        <f t="shared" si="982"/>
        <v>-62.070095925903871</v>
      </c>
      <c r="T456">
        <f t="shared" si="983"/>
        <v>-6.2070095925903873E-2</v>
      </c>
    </row>
    <row r="457" spans="1:20" x14ac:dyDescent="0.25">
      <c r="A457" s="5">
        <v>44136</v>
      </c>
      <c r="B457">
        <v>5.13E-4</v>
      </c>
      <c r="C457">
        <v>5.3499999999999999E-4</v>
      </c>
      <c r="D457">
        <v>5.13E-4</v>
      </c>
      <c r="E457">
        <v>5.2800000000000004E-4</v>
      </c>
      <c r="F457">
        <v>18205.61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0.36363636363636764</v>
      </c>
      <c r="Q457">
        <f t="shared" si="980"/>
        <v>6620.2218181818916</v>
      </c>
      <c r="R457">
        <f t="shared" si="981"/>
        <v>-6191726.013643018</v>
      </c>
      <c r="S457">
        <f t="shared" si="982"/>
        <v>-61.91726013643018</v>
      </c>
      <c r="T457">
        <f t="shared" si="983"/>
        <v>-6.1917260136430181E-2</v>
      </c>
    </row>
    <row r="458" spans="1:20" x14ac:dyDescent="0.25">
      <c r="A458" s="5">
        <v>44135</v>
      </c>
      <c r="B458">
        <v>5.2499999999999997E-4</v>
      </c>
      <c r="C458">
        <v>5.2599999999999999E-4</v>
      </c>
      <c r="D458">
        <v>5.1099999999999995E-4</v>
      </c>
      <c r="E458">
        <v>5.13E-4</v>
      </c>
      <c r="F458">
        <v>9378.1200000000008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-0.73333333333332751</v>
      </c>
      <c r="Q458">
        <f t="shared" si="980"/>
        <v>-6877.2879999999459</v>
      </c>
      <c r="R458">
        <f t="shared" si="981"/>
        <v>-6198346.2354611997</v>
      </c>
      <c r="S458">
        <f t="shared" si="982"/>
        <v>-61.983462354611994</v>
      </c>
      <c r="T458">
        <f t="shared" si="983"/>
        <v>-6.1983462354611996E-2</v>
      </c>
    </row>
    <row r="459" spans="1:20" x14ac:dyDescent="0.25">
      <c r="A459" s="5">
        <v>44134</v>
      </c>
      <c r="B459">
        <v>5.31E-4</v>
      </c>
      <c r="C459">
        <v>5.5199999999999997E-4</v>
      </c>
      <c r="D459">
        <v>5.22E-4</v>
      </c>
      <c r="E459">
        <v>5.2499999999999997E-4</v>
      </c>
      <c r="F459">
        <v>20053.099999999999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-0.80000000000000215</v>
      </c>
      <c r="Q459">
        <f t="shared" si="980"/>
        <v>-16042.480000000041</v>
      </c>
      <c r="R459">
        <f t="shared" si="981"/>
        <v>-6191468.9474611999</v>
      </c>
      <c r="S459">
        <f t="shared" si="982"/>
        <v>-61.914689474611997</v>
      </c>
      <c r="T459">
        <f t="shared" si="983"/>
        <v>-6.1914689474611997E-2</v>
      </c>
    </row>
    <row r="460" spans="1:20" x14ac:dyDescent="0.25">
      <c r="A460" s="5">
        <v>44133</v>
      </c>
      <c r="B460">
        <v>5.5199999999999997E-4</v>
      </c>
      <c r="C460">
        <v>5.6400000000000005E-4</v>
      </c>
      <c r="D460">
        <v>5.2599999999999999E-4</v>
      </c>
      <c r="E460">
        <v>5.31E-4</v>
      </c>
      <c r="F460">
        <v>30104.02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-0.73684210526315763</v>
      </c>
      <c r="Q460">
        <f t="shared" si="980"/>
        <v>-22181.909473684202</v>
      </c>
      <c r="R460">
        <f t="shared" si="981"/>
        <v>-6175426.4674611995</v>
      </c>
      <c r="S460">
        <f t="shared" si="982"/>
        <v>-61.754264674611996</v>
      </c>
      <c r="T460">
        <f t="shared" si="983"/>
        <v>-6.1754264674611994E-2</v>
      </c>
    </row>
    <row r="461" spans="1:20" x14ac:dyDescent="0.25">
      <c r="A461" s="5">
        <v>44132</v>
      </c>
      <c r="B461">
        <v>5.53E-4</v>
      </c>
      <c r="C461">
        <v>5.6099999999999998E-4</v>
      </c>
      <c r="D461">
        <v>5.2599999999999999E-4</v>
      </c>
      <c r="E461">
        <v>5.53E-4</v>
      </c>
      <c r="F461">
        <v>66098.75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0.54285714285714393</v>
      </c>
      <c r="Q461">
        <f t="shared" si="980"/>
        <v>35882.178571428645</v>
      </c>
      <c r="R461">
        <f t="shared" si="981"/>
        <v>-6153244.5579875149</v>
      </c>
      <c r="S461">
        <f t="shared" si="982"/>
        <v>-61.532445579875152</v>
      </c>
      <c r="T461">
        <f t="shared" si="983"/>
        <v>-6.1532445579875153E-2</v>
      </c>
    </row>
    <row r="462" spans="1:20" x14ac:dyDescent="0.25">
      <c r="A462" s="5">
        <v>44131</v>
      </c>
      <c r="B462">
        <v>5.7399999999999997E-4</v>
      </c>
      <c r="C462">
        <v>5.7899999999999998E-4</v>
      </c>
      <c r="D462">
        <v>5.44E-4</v>
      </c>
      <c r="E462">
        <v>5.53E-4</v>
      </c>
      <c r="F462">
        <v>25435.66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-0.48571428571428538</v>
      </c>
      <c r="Q462">
        <f t="shared" si="980"/>
        <v>-12354.46342857142</v>
      </c>
      <c r="R462">
        <f t="shared" si="981"/>
        <v>-6189126.736558944</v>
      </c>
      <c r="S462">
        <f t="shared" si="982"/>
        <v>-61.891267365589442</v>
      </c>
      <c r="T462">
        <f t="shared" si="983"/>
        <v>-6.189126736558944E-2</v>
      </c>
    </row>
    <row r="463" spans="1:20" x14ac:dyDescent="0.25">
      <c r="A463" s="5">
        <v>44130</v>
      </c>
      <c r="B463">
        <v>6.0499999999999996E-4</v>
      </c>
      <c r="C463">
        <v>6.1200000000000002E-4</v>
      </c>
      <c r="D463">
        <v>5.71E-4</v>
      </c>
      <c r="E463">
        <v>5.7300000000000005E-4</v>
      </c>
      <c r="F463">
        <v>49397.79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-0.9024390243902416</v>
      </c>
      <c r="Q463">
        <f t="shared" si="980"/>
        <v>-44578.493414634031</v>
      </c>
      <c r="R463">
        <f t="shared" si="981"/>
        <v>-6176772.2731303722</v>
      </c>
      <c r="S463">
        <f t="shared" si="982"/>
        <v>-61.767722731303721</v>
      </c>
      <c r="T463">
        <f t="shared" si="983"/>
        <v>-6.1767722731303723E-2</v>
      </c>
    </row>
    <row r="464" spans="1:20" x14ac:dyDescent="0.25">
      <c r="A464" s="5">
        <v>44129</v>
      </c>
      <c r="B464">
        <v>6.0499999999999996E-4</v>
      </c>
      <c r="C464">
        <v>6.1899999999999998E-4</v>
      </c>
      <c r="D464">
        <v>5.9599999999999996E-4</v>
      </c>
      <c r="E464">
        <v>6.0599999999999998E-4</v>
      </c>
      <c r="F464">
        <v>35221.360000000001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-0.13043478260869401</v>
      </c>
      <c r="Q464">
        <f t="shared" si="980"/>
        <v>-4594.0904347825508</v>
      </c>
      <c r="R464">
        <f t="shared" si="981"/>
        <v>-6132193.7797157383</v>
      </c>
      <c r="S464">
        <f t="shared" si="982"/>
        <v>-61.321937797157382</v>
      </c>
      <c r="T464">
        <f t="shared" si="983"/>
        <v>-6.1321937797157382E-2</v>
      </c>
    </row>
    <row r="465" spans="1:20" x14ac:dyDescent="0.25">
      <c r="A465" s="5">
        <v>44128</v>
      </c>
      <c r="B465">
        <v>6.0899999999999995E-4</v>
      </c>
      <c r="C465">
        <v>6.1300000000000005E-4</v>
      </c>
      <c r="D465">
        <v>5.9800000000000001E-4</v>
      </c>
      <c r="E465">
        <v>6.0499999999999996E-4</v>
      </c>
      <c r="F465">
        <v>16938.38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-6.6666666666675339E-2</v>
      </c>
      <c r="Q465">
        <f t="shared" si="980"/>
        <v>-1129.2253333334802</v>
      </c>
      <c r="R465">
        <f t="shared" si="981"/>
        <v>-6127599.6892809561</v>
      </c>
      <c r="S465">
        <f t="shared" si="982"/>
        <v>-61.275996892809559</v>
      </c>
      <c r="T465">
        <f t="shared" si="983"/>
        <v>-6.1275996892809562E-2</v>
      </c>
    </row>
    <row r="466" spans="1:20" x14ac:dyDescent="0.25">
      <c r="A466" s="5">
        <v>44127</v>
      </c>
      <c r="B466">
        <v>6.0700000000000001E-4</v>
      </c>
      <c r="C466">
        <v>6.2500000000000001E-4</v>
      </c>
      <c r="D466">
        <v>5.9199999999999997E-4</v>
      </c>
      <c r="E466">
        <v>6.0999999999999997E-4</v>
      </c>
      <c r="F466">
        <v>34672.639999999999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9.0909090909089718E-2</v>
      </c>
      <c r="Q466">
        <f t="shared" si="980"/>
        <v>3152.0581818181404</v>
      </c>
      <c r="R466">
        <f t="shared" si="981"/>
        <v>-6126470.463947623</v>
      </c>
      <c r="S466">
        <f t="shared" si="982"/>
        <v>-61.264704639476228</v>
      </c>
      <c r="T466">
        <f t="shared" si="983"/>
        <v>-6.1264704639476225E-2</v>
      </c>
    </row>
    <row r="467" spans="1:20" x14ac:dyDescent="0.25">
      <c r="A467" s="5">
        <v>44126</v>
      </c>
      <c r="B467">
        <v>6.1300000000000005E-4</v>
      </c>
      <c r="C467">
        <v>6.29E-4</v>
      </c>
      <c r="D467">
        <v>6.0099999999999997E-4</v>
      </c>
      <c r="E467">
        <v>6.0300000000000002E-4</v>
      </c>
      <c r="F467">
        <v>23195.27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-0.85714285714285388</v>
      </c>
      <c r="Q467">
        <f t="shared" si="980"/>
        <v>-19881.659999999923</v>
      </c>
      <c r="R467">
        <f t="shared" si="981"/>
        <v>-6129622.5221294416</v>
      </c>
      <c r="S467">
        <f t="shared" si="982"/>
        <v>-61.296225221294414</v>
      </c>
      <c r="T467">
        <f t="shared" si="983"/>
        <v>-6.1296225221294416E-2</v>
      </c>
    </row>
    <row r="468" spans="1:20" x14ac:dyDescent="0.25">
      <c r="A468" s="5">
        <v>44125</v>
      </c>
      <c r="B468">
        <v>6.2699999999999995E-4</v>
      </c>
      <c r="C468">
        <v>6.3299999999999999E-4</v>
      </c>
      <c r="D468">
        <v>5.9599999999999996E-4</v>
      </c>
      <c r="E468">
        <v>6.1300000000000005E-4</v>
      </c>
      <c r="F468">
        <v>38854.11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-8.1081081081077117E-2</v>
      </c>
      <c r="Q468">
        <f t="shared" si="980"/>
        <v>-3150.3332432430893</v>
      </c>
      <c r="R468">
        <f t="shared" si="981"/>
        <v>-6109740.8621294415</v>
      </c>
      <c r="S468">
        <f t="shared" si="982"/>
        <v>-61.097408621294413</v>
      </c>
      <c r="T468">
        <f t="shared" si="983"/>
        <v>-6.1097408621294411E-2</v>
      </c>
    </row>
    <row r="469" spans="1:20" x14ac:dyDescent="0.25">
      <c r="A469" s="5">
        <v>44124</v>
      </c>
      <c r="B469">
        <v>6.5899999999999997E-4</v>
      </c>
      <c r="C469">
        <v>6.6600000000000003E-4</v>
      </c>
      <c r="D469">
        <v>6.1300000000000005E-4</v>
      </c>
      <c r="E469">
        <v>6.2699999999999995E-4</v>
      </c>
      <c r="F469">
        <v>43819.44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-0.47169811320755056</v>
      </c>
      <c r="Q469">
        <f t="shared" si="980"/>
        <v>-20669.547169811471</v>
      </c>
      <c r="R469">
        <f t="shared" si="981"/>
        <v>-6106590.5288861981</v>
      </c>
      <c r="S469">
        <f t="shared" si="982"/>
        <v>-61.065905288861984</v>
      </c>
      <c r="T469">
        <f t="shared" si="983"/>
        <v>-6.1065905288861987E-2</v>
      </c>
    </row>
    <row r="470" spans="1:20" x14ac:dyDescent="0.25">
      <c r="A470" s="5">
        <v>44123</v>
      </c>
      <c r="B470">
        <v>6.7000000000000002E-4</v>
      </c>
      <c r="C470">
        <v>6.9700000000000003E-4</v>
      </c>
      <c r="D470">
        <v>6.5399999999999996E-4</v>
      </c>
      <c r="E470">
        <v>6.5799999999999995E-4</v>
      </c>
      <c r="F470">
        <v>27023.74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-0.8139534883720938</v>
      </c>
      <c r="Q470">
        <f t="shared" si="980"/>
        <v>-21996.067441860487</v>
      </c>
      <c r="R470">
        <f t="shared" si="981"/>
        <v>-6085920.981716387</v>
      </c>
      <c r="S470">
        <f t="shared" si="982"/>
        <v>-60.859209817163872</v>
      </c>
      <c r="T470">
        <f t="shared" si="983"/>
        <v>-6.0859209817163876E-2</v>
      </c>
    </row>
    <row r="471" spans="1:20" x14ac:dyDescent="0.25">
      <c r="A471" s="5">
        <v>44122</v>
      </c>
      <c r="B471">
        <v>6.7299999999999999E-4</v>
      </c>
      <c r="C471">
        <v>6.78E-4</v>
      </c>
      <c r="D471">
        <v>6.69E-4</v>
      </c>
      <c r="E471">
        <v>6.7100000000000005E-4</v>
      </c>
      <c r="F471">
        <v>3162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-0.55555555555554481</v>
      </c>
      <c r="Q471">
        <f t="shared" si="980"/>
        <v>-1756.6666666666326</v>
      </c>
      <c r="R471">
        <f t="shared" si="981"/>
        <v>-6063924.9142745268</v>
      </c>
      <c r="S471">
        <f t="shared" si="982"/>
        <v>-60.639249142745271</v>
      </c>
      <c r="T471">
        <f t="shared" si="983"/>
        <v>-6.0639249142745273E-2</v>
      </c>
    </row>
    <row r="472" spans="1:20" x14ac:dyDescent="0.25">
      <c r="A472" s="5">
        <v>44121</v>
      </c>
      <c r="B472">
        <v>6.7599999999999995E-4</v>
      </c>
      <c r="C472">
        <v>6.8000000000000005E-4</v>
      </c>
      <c r="D472">
        <v>6.69E-4</v>
      </c>
      <c r="E472">
        <v>6.7100000000000005E-4</v>
      </c>
      <c r="F472">
        <v>8011.77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-0.63636363636362925</v>
      </c>
      <c r="Q472">
        <f t="shared" si="980"/>
        <v>-5098.3990909090344</v>
      </c>
      <c r="R472">
        <f t="shared" si="981"/>
        <v>-6062168.2476078598</v>
      </c>
      <c r="S472">
        <f t="shared" si="982"/>
        <v>-60.621682476078597</v>
      </c>
      <c r="T472">
        <f t="shared" si="983"/>
        <v>-6.0621682476078596E-2</v>
      </c>
    </row>
    <row r="473" spans="1:20" x14ac:dyDescent="0.25">
      <c r="A473" s="5">
        <v>44120</v>
      </c>
      <c r="B473">
        <v>6.8199999999999999E-4</v>
      </c>
      <c r="C473">
        <v>6.8199999999999999E-4</v>
      </c>
      <c r="D473">
        <v>6.6100000000000002E-4</v>
      </c>
      <c r="E473">
        <v>6.7199999999999996E-4</v>
      </c>
      <c r="F473">
        <v>17297.41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4.7619047619043682E-2</v>
      </c>
      <c r="Q473">
        <f t="shared" si="980"/>
        <v>823.68619047612242</v>
      </c>
      <c r="R473">
        <f t="shared" si="981"/>
        <v>-6057069.8485169504</v>
      </c>
      <c r="S473">
        <f t="shared" si="982"/>
        <v>-60.570698485169501</v>
      </c>
      <c r="T473">
        <f t="shared" si="983"/>
        <v>-6.0570698485169501E-2</v>
      </c>
    </row>
    <row r="474" spans="1:20" x14ac:dyDescent="0.25">
      <c r="A474" s="5">
        <v>44119</v>
      </c>
      <c r="B474">
        <v>6.78E-4</v>
      </c>
      <c r="C474">
        <v>7.0100000000000002E-4</v>
      </c>
      <c r="D474">
        <v>6.7199999999999996E-4</v>
      </c>
      <c r="E474">
        <v>6.8300000000000001E-4</v>
      </c>
      <c r="F474">
        <v>22118.87</v>
      </c>
      <c r="G474">
        <v>0</v>
      </c>
      <c r="L474" t="s">
        <v>8</v>
      </c>
      <c r="M474" t="s">
        <v>7</v>
      </c>
      <c r="N474" t="s">
        <v>7</v>
      </c>
      <c r="P474">
        <f t="shared" si="979"/>
        <v>-0.24137931034482552</v>
      </c>
      <c r="Q474">
        <f t="shared" si="980"/>
        <v>-5339.0375862068504</v>
      </c>
      <c r="R474">
        <f t="shared" si="981"/>
        <v>-6057893.5347074261</v>
      </c>
      <c r="S474">
        <f t="shared" si="982"/>
        <v>-60.578935347074264</v>
      </c>
      <c r="T474">
        <f t="shared" si="983"/>
        <v>-6.0578935347074266E-2</v>
      </c>
    </row>
    <row r="475" spans="1:20" x14ac:dyDescent="0.25">
      <c r="A475" s="5">
        <v>44118</v>
      </c>
      <c r="B475">
        <v>7.0699999999999995E-4</v>
      </c>
      <c r="C475">
        <v>7.1100000000000004E-4</v>
      </c>
      <c r="D475">
        <v>6.6399999999999999E-4</v>
      </c>
      <c r="E475">
        <v>6.7900000000000002E-4</v>
      </c>
      <c r="F475">
        <v>50934.84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-0.3617021276595736</v>
      </c>
      <c r="Q475">
        <f t="shared" si="980"/>
        <v>-18423.239999999954</v>
      </c>
      <c r="R475">
        <f t="shared" si="981"/>
        <v>-6052554.4971212195</v>
      </c>
      <c r="S475">
        <f t="shared" si="982"/>
        <v>-60.525544971212199</v>
      </c>
      <c r="T475">
        <f t="shared" si="983"/>
        <v>-6.0525544971212202E-2</v>
      </c>
    </row>
    <row r="476" spans="1:20" x14ac:dyDescent="0.25">
      <c r="A476" s="5">
        <v>44117</v>
      </c>
      <c r="B476">
        <v>7.1100000000000004E-4</v>
      </c>
      <c r="C476">
        <v>7.2099999999999996E-4</v>
      </c>
      <c r="D476">
        <v>6.96E-4</v>
      </c>
      <c r="E476">
        <v>7.1000000000000002E-4</v>
      </c>
      <c r="F476">
        <v>33016.17</v>
      </c>
      <c r="G476">
        <v>0</v>
      </c>
      <c r="L476" t="s">
        <v>8</v>
      </c>
      <c r="M476" t="s">
        <v>7</v>
      </c>
      <c r="N476" t="s">
        <v>7</v>
      </c>
      <c r="P476">
        <f t="shared" si="979"/>
        <v>0.12000000000000312</v>
      </c>
      <c r="Q476">
        <f t="shared" si="980"/>
        <v>3961.9404000001027</v>
      </c>
      <c r="R476">
        <f t="shared" si="981"/>
        <v>-6034131.2571212193</v>
      </c>
      <c r="S476">
        <f t="shared" si="982"/>
        <v>-60.341312571212192</v>
      </c>
      <c r="T476">
        <f t="shared" si="983"/>
        <v>-6.034131257121219E-2</v>
      </c>
    </row>
    <row r="477" spans="1:20" x14ac:dyDescent="0.25">
      <c r="A477" s="5">
        <v>44116</v>
      </c>
      <c r="B477">
        <v>7.2800000000000002E-4</v>
      </c>
      <c r="C477">
        <v>7.3099999999999999E-4</v>
      </c>
      <c r="D477">
        <v>7.0699999999999995E-4</v>
      </c>
      <c r="E477">
        <v>7.1100000000000004E-4</v>
      </c>
      <c r="F477">
        <v>19140.96</v>
      </c>
      <c r="G477">
        <v>0</v>
      </c>
      <c r="L477" t="s">
        <v>7</v>
      </c>
      <c r="M477" t="s">
        <v>7</v>
      </c>
      <c r="N477" t="s">
        <v>7</v>
      </c>
      <c r="P477">
        <f t="shared" si="979"/>
        <v>-0.66666666666665919</v>
      </c>
      <c r="Q477">
        <f t="shared" si="980"/>
        <v>-12760.639999999856</v>
      </c>
      <c r="R477">
        <f t="shared" si="981"/>
        <v>-6038093.197521219</v>
      </c>
      <c r="S477">
        <f t="shared" si="982"/>
        <v>-60.380931975212192</v>
      </c>
      <c r="T477">
        <f t="shared" si="983"/>
        <v>-6.0380931975212195E-2</v>
      </c>
    </row>
    <row r="478" spans="1:20" x14ac:dyDescent="0.25">
      <c r="A478" s="5">
        <v>44115</v>
      </c>
      <c r="B478">
        <v>7.3200000000000001E-4</v>
      </c>
      <c r="C478">
        <v>7.5000000000000002E-4</v>
      </c>
      <c r="D478">
        <v>7.2499999999999995E-4</v>
      </c>
      <c r="E478">
        <v>7.2900000000000005E-4</v>
      </c>
      <c r="F478">
        <v>10361.56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-0.67999999999999305</v>
      </c>
      <c r="Q478">
        <f t="shared" si="980"/>
        <v>-7045.8607999999276</v>
      </c>
      <c r="R478">
        <f t="shared" si="981"/>
        <v>-6025332.5575212194</v>
      </c>
      <c r="S478">
        <f t="shared" si="982"/>
        <v>-60.253325575212195</v>
      </c>
      <c r="T478">
        <f t="shared" si="983"/>
        <v>-6.0253325575212194E-2</v>
      </c>
    </row>
    <row r="479" spans="1:20" x14ac:dyDescent="0.25">
      <c r="A479" s="5">
        <v>44114</v>
      </c>
      <c r="B479">
        <v>7.3399999999999995E-4</v>
      </c>
      <c r="C479">
        <v>7.54E-4</v>
      </c>
      <c r="D479">
        <v>7.2499999999999995E-4</v>
      </c>
      <c r="E479">
        <v>7.3099999999999999E-4</v>
      </c>
      <c r="F479">
        <v>28240.07</v>
      </c>
      <c r="G479">
        <v>0</v>
      </c>
      <c r="L479" t="s">
        <v>7</v>
      </c>
      <c r="M479" t="s">
        <v>7</v>
      </c>
      <c r="N479" t="s">
        <v>7</v>
      </c>
      <c r="P479">
        <f t="shared" si="979"/>
        <v>-0.58620689655172231</v>
      </c>
      <c r="Q479">
        <f t="shared" si="980"/>
        <v>-16554.523793103395</v>
      </c>
      <c r="R479">
        <f t="shared" si="981"/>
        <v>-6018286.6967212195</v>
      </c>
      <c r="S479">
        <f t="shared" si="982"/>
        <v>-60.182866967212192</v>
      </c>
      <c r="T479">
        <f t="shared" si="983"/>
        <v>-6.0182866967212194E-2</v>
      </c>
    </row>
    <row r="480" spans="1:20" x14ac:dyDescent="0.25">
      <c r="A480" s="5">
        <v>44113</v>
      </c>
      <c r="B480">
        <v>7.3099999999999999E-4</v>
      </c>
      <c r="C480">
        <v>7.54E-4</v>
      </c>
      <c r="D480">
        <v>7.2300000000000001E-4</v>
      </c>
      <c r="E480">
        <v>7.3499999999999998E-4</v>
      </c>
      <c r="F480">
        <v>19831.34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-0.22580645161290525</v>
      </c>
      <c r="Q480">
        <f t="shared" si="980"/>
        <v>-4478.0445161290727</v>
      </c>
      <c r="R480">
        <f t="shared" si="981"/>
        <v>-6001732.1729281163</v>
      </c>
      <c r="S480">
        <f t="shared" si="982"/>
        <v>-60.017321729281164</v>
      </c>
      <c r="T480">
        <f t="shared" si="983"/>
        <v>-6.0017321729281162E-2</v>
      </c>
    </row>
    <row r="481" spans="1:20" x14ac:dyDescent="0.25">
      <c r="A481" s="5">
        <v>44112</v>
      </c>
      <c r="B481">
        <v>7.2199999999999999E-4</v>
      </c>
      <c r="C481">
        <v>7.3800000000000005E-4</v>
      </c>
      <c r="D481">
        <v>7.1199999999999996E-4</v>
      </c>
      <c r="E481">
        <v>7.2999999999999996E-4</v>
      </c>
      <c r="F481">
        <v>15273.71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0.38461538461538014</v>
      </c>
      <c r="Q481">
        <f t="shared" si="980"/>
        <v>5874.5038461537779</v>
      </c>
      <c r="R481">
        <f t="shared" si="981"/>
        <v>-5997254.1284119869</v>
      </c>
      <c r="S481">
        <f t="shared" si="982"/>
        <v>-59.97254128411987</v>
      </c>
      <c r="T481">
        <f t="shared" si="983"/>
        <v>-5.9972541284119871E-2</v>
      </c>
    </row>
    <row r="482" spans="1:20" x14ac:dyDescent="0.25">
      <c r="A482" s="5">
        <v>44111</v>
      </c>
      <c r="B482">
        <v>7.2300000000000001E-4</v>
      </c>
      <c r="C482">
        <v>7.3499999999999998E-4</v>
      </c>
      <c r="D482">
        <v>7.1000000000000002E-4</v>
      </c>
      <c r="E482">
        <v>7.2000000000000005E-4</v>
      </c>
      <c r="F482">
        <v>21131.67</v>
      </c>
      <c r="G482">
        <v>0</v>
      </c>
      <c r="L482" t="s">
        <v>8</v>
      </c>
      <c r="M482" t="s">
        <v>7</v>
      </c>
      <c r="N482" t="s">
        <v>7</v>
      </c>
      <c r="P482">
        <f t="shared" si="979"/>
        <v>-0.19999999999999654</v>
      </c>
      <c r="Q482">
        <f t="shared" si="980"/>
        <v>-4226.3339999999262</v>
      </c>
      <c r="R482">
        <f t="shared" si="981"/>
        <v>-6003128.6322581405</v>
      </c>
      <c r="S482">
        <f t="shared" si="982"/>
        <v>-60.031286322581401</v>
      </c>
      <c r="T482">
        <f t="shared" si="983"/>
        <v>-6.0031286322581402E-2</v>
      </c>
    </row>
    <row r="483" spans="1:20" x14ac:dyDescent="0.25">
      <c r="A483" s="5">
        <v>44110</v>
      </c>
      <c r="B483">
        <v>7.27E-4</v>
      </c>
      <c r="C483">
        <v>7.4600000000000003E-4</v>
      </c>
      <c r="D483">
        <v>7.18E-4</v>
      </c>
      <c r="E483">
        <v>7.2300000000000001E-4</v>
      </c>
      <c r="F483">
        <v>30430.240000000002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-0.64285714285714235</v>
      </c>
      <c r="Q483">
        <f t="shared" si="980"/>
        <v>-19562.297142857129</v>
      </c>
      <c r="R483">
        <f t="shared" si="981"/>
        <v>-5998902.2982581407</v>
      </c>
      <c r="S483">
        <f t="shared" si="982"/>
        <v>-59.98902298258141</v>
      </c>
      <c r="T483">
        <f t="shared" si="983"/>
        <v>-5.9989022982581408E-2</v>
      </c>
    </row>
    <row r="484" spans="1:20" x14ac:dyDescent="0.25">
      <c r="A484" s="5">
        <v>44109</v>
      </c>
      <c r="B484">
        <v>7.3200000000000001E-4</v>
      </c>
      <c r="C484">
        <v>7.54E-4</v>
      </c>
      <c r="D484">
        <v>7.2599999999999997E-4</v>
      </c>
      <c r="E484">
        <v>7.2599999999999997E-4</v>
      </c>
      <c r="F484">
        <v>34800.14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-1</v>
      </c>
      <c r="Q484">
        <f t="shared" si="980"/>
        <v>-34800.14</v>
      </c>
      <c r="R484">
        <f t="shared" si="981"/>
        <v>-5979340.0011152839</v>
      </c>
      <c r="S484">
        <f t="shared" si="982"/>
        <v>-59.793400011152841</v>
      </c>
      <c r="T484">
        <f t="shared" si="983"/>
        <v>-5.9793400011152839E-2</v>
      </c>
    </row>
    <row r="485" spans="1:20" x14ac:dyDescent="0.25">
      <c r="A485" s="5">
        <v>44108</v>
      </c>
      <c r="B485">
        <v>7.2999999999999996E-4</v>
      </c>
      <c r="C485">
        <v>7.3999999999999999E-4</v>
      </c>
      <c r="D485">
        <v>7.2499999999999995E-4</v>
      </c>
      <c r="E485">
        <v>7.3300000000000004E-4</v>
      </c>
      <c r="F485">
        <v>14257.12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6.6666666666675339E-2</v>
      </c>
      <c r="Q485">
        <f t="shared" si="980"/>
        <v>950.47466666679031</v>
      </c>
      <c r="R485">
        <f t="shared" si="981"/>
        <v>-5944539.8611152843</v>
      </c>
      <c r="S485">
        <f t="shared" si="982"/>
        <v>-59.445398611152839</v>
      </c>
      <c r="T485">
        <f t="shared" si="983"/>
        <v>-5.944539861115284E-2</v>
      </c>
    </row>
    <row r="486" spans="1:20" x14ac:dyDescent="0.25">
      <c r="A486" s="5">
        <v>44107</v>
      </c>
      <c r="B486">
        <v>7.2199999999999999E-4</v>
      </c>
      <c r="C486">
        <v>7.36E-4</v>
      </c>
      <c r="D486">
        <v>7.1900000000000002E-4</v>
      </c>
      <c r="E486">
        <v>7.3099999999999999E-4</v>
      </c>
      <c r="F486">
        <v>19121.72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0.4117647058823507</v>
      </c>
      <c r="Q486">
        <f t="shared" si="980"/>
        <v>7873.6494117646635</v>
      </c>
      <c r="R486">
        <f t="shared" si="981"/>
        <v>-5945490.3357819514</v>
      </c>
      <c r="S486">
        <f t="shared" si="982"/>
        <v>-59.454903357819518</v>
      </c>
      <c r="T486">
        <f t="shared" si="983"/>
        <v>-5.945490335781952E-2</v>
      </c>
    </row>
    <row r="487" spans="1:20" x14ac:dyDescent="0.25">
      <c r="A487" s="5">
        <v>44106</v>
      </c>
      <c r="B487">
        <v>7.3800000000000005E-4</v>
      </c>
      <c r="C487">
        <v>7.3899999999999997E-4</v>
      </c>
      <c r="D487">
        <v>7.18E-4</v>
      </c>
      <c r="E487">
        <v>7.2099999999999996E-4</v>
      </c>
      <c r="F487">
        <v>16062.61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-0.71428571428571719</v>
      </c>
      <c r="Q487">
        <f t="shared" si="980"/>
        <v>-11473.292857142904</v>
      </c>
      <c r="R487">
        <f t="shared" si="981"/>
        <v>-5953363.9851937164</v>
      </c>
      <c r="S487">
        <f t="shared" si="982"/>
        <v>-59.533639851937167</v>
      </c>
      <c r="T487">
        <f t="shared" si="983"/>
        <v>-5.9533639851937166E-2</v>
      </c>
    </row>
    <row r="488" spans="1:20" x14ac:dyDescent="0.25">
      <c r="A488" s="5">
        <v>44105</v>
      </c>
      <c r="B488">
        <v>7.4100000000000001E-4</v>
      </c>
      <c r="C488">
        <v>7.5199999999999996E-4</v>
      </c>
      <c r="D488">
        <v>7.36E-4</v>
      </c>
      <c r="E488">
        <v>7.3700000000000002E-4</v>
      </c>
      <c r="F488">
        <v>27217.64</v>
      </c>
      <c r="G488">
        <v>0</v>
      </c>
      <c r="L488" t="s">
        <v>8</v>
      </c>
      <c r="M488" t="s">
        <v>7</v>
      </c>
      <c r="N488" t="s">
        <v>7</v>
      </c>
      <c r="P488">
        <f t="shared" si="979"/>
        <v>-0.87499999999999656</v>
      </c>
      <c r="Q488">
        <f t="shared" si="980"/>
        <v>-23815.434999999907</v>
      </c>
      <c r="R488">
        <f t="shared" si="981"/>
        <v>-5941890.6923365733</v>
      </c>
      <c r="S488">
        <f t="shared" si="982"/>
        <v>-59.418906923365732</v>
      </c>
      <c r="T488">
        <f t="shared" si="983"/>
        <v>-5.9418906923365732E-2</v>
      </c>
    </row>
    <row r="489" spans="1:20" x14ac:dyDescent="0.25">
      <c r="A489" s="5">
        <v>44104</v>
      </c>
      <c r="B489">
        <v>7.4299999999999995E-4</v>
      </c>
      <c r="C489">
        <v>7.5000000000000002E-4</v>
      </c>
      <c r="D489">
        <v>7.3700000000000002E-4</v>
      </c>
      <c r="E489">
        <v>7.4100000000000001E-4</v>
      </c>
      <c r="F489">
        <v>8447.76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-0.38461538461538591</v>
      </c>
      <c r="Q489">
        <f t="shared" si="980"/>
        <v>-3249.1384615384727</v>
      </c>
      <c r="R489">
        <f t="shared" si="981"/>
        <v>-5918075.2573365737</v>
      </c>
      <c r="S489">
        <f t="shared" si="982"/>
        <v>-59.180752573365737</v>
      </c>
      <c r="T489">
        <f t="shared" si="983"/>
        <v>-5.918075257336574E-2</v>
      </c>
    </row>
    <row r="490" spans="1:20" x14ac:dyDescent="0.25">
      <c r="A490" s="5">
        <v>44103</v>
      </c>
      <c r="B490">
        <v>7.3800000000000005E-4</v>
      </c>
      <c r="C490">
        <v>7.5000000000000002E-4</v>
      </c>
      <c r="D490">
        <v>7.3399999999999995E-4</v>
      </c>
      <c r="E490">
        <v>7.4299999999999995E-4</v>
      </c>
      <c r="F490">
        <v>12277.42</v>
      </c>
      <c r="G490">
        <v>0</v>
      </c>
      <c r="L490" t="s">
        <v>8</v>
      </c>
      <c r="M490" t="s">
        <v>7</v>
      </c>
      <c r="N490" t="s">
        <v>7</v>
      </c>
      <c r="P490">
        <f t="shared" si="979"/>
        <v>0.12499999999999577</v>
      </c>
      <c r="Q490">
        <f t="shared" si="980"/>
        <v>1534.6774999999479</v>
      </c>
      <c r="R490">
        <f t="shared" si="981"/>
        <v>-5914826.1188750351</v>
      </c>
      <c r="S490">
        <f t="shared" si="982"/>
        <v>-59.148261188750354</v>
      </c>
      <c r="T490">
        <f t="shared" si="983"/>
        <v>-5.9148261188750356E-2</v>
      </c>
    </row>
    <row r="491" spans="1:20" x14ac:dyDescent="0.25">
      <c r="A491" s="5">
        <v>44102</v>
      </c>
      <c r="B491">
        <v>7.4299999999999995E-4</v>
      </c>
      <c r="C491">
        <v>7.5000000000000002E-4</v>
      </c>
      <c r="D491">
        <v>7.3300000000000004E-4</v>
      </c>
      <c r="E491">
        <v>7.3899999999999997E-4</v>
      </c>
      <c r="F491">
        <v>12919.41</v>
      </c>
      <c r="G491">
        <v>0</v>
      </c>
      <c r="L491" t="s">
        <v>7</v>
      </c>
      <c r="M491" t="s">
        <v>7</v>
      </c>
      <c r="N491" t="s">
        <v>7</v>
      </c>
      <c r="P491">
        <f t="shared" si="979"/>
        <v>-0.29411764705883103</v>
      </c>
      <c r="Q491">
        <f t="shared" si="980"/>
        <v>-3799.8264705883321</v>
      </c>
      <c r="R491">
        <f t="shared" si="981"/>
        <v>-5916360.7963750353</v>
      </c>
      <c r="S491">
        <f t="shared" si="982"/>
        <v>-59.163607963750351</v>
      </c>
      <c r="T491">
        <f t="shared" si="983"/>
        <v>-5.916360796375035E-2</v>
      </c>
    </row>
    <row r="492" spans="1:20" x14ac:dyDescent="0.25">
      <c r="A492" s="5">
        <v>44101</v>
      </c>
      <c r="B492">
        <v>7.3899999999999997E-4</v>
      </c>
      <c r="C492">
        <v>7.6499999999999995E-4</v>
      </c>
      <c r="D492">
        <v>7.3200000000000001E-4</v>
      </c>
      <c r="E492">
        <v>7.4399999999999998E-4</v>
      </c>
      <c r="F492">
        <v>27593.16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-0.27272727272727332</v>
      </c>
      <c r="Q492">
        <f t="shared" si="980"/>
        <v>-7525.4072727272887</v>
      </c>
      <c r="R492">
        <f t="shared" si="981"/>
        <v>-5912560.969904447</v>
      </c>
      <c r="S492">
        <f t="shared" si="982"/>
        <v>-59.125609699044468</v>
      </c>
      <c r="T492">
        <f t="shared" si="983"/>
        <v>-5.9125609699044471E-2</v>
      </c>
    </row>
    <row r="493" spans="1:20" x14ac:dyDescent="0.25">
      <c r="A493" s="5">
        <v>44100</v>
      </c>
      <c r="B493">
        <v>7.3999999999999999E-4</v>
      </c>
      <c r="C493">
        <v>7.45E-4</v>
      </c>
      <c r="D493">
        <v>7.2999999999999996E-4</v>
      </c>
      <c r="E493">
        <v>7.3899999999999997E-4</v>
      </c>
      <c r="F493">
        <v>24381.67</v>
      </c>
      <c r="G493">
        <v>0</v>
      </c>
      <c r="L493" t="s">
        <v>7</v>
      </c>
      <c r="M493" t="s">
        <v>7</v>
      </c>
      <c r="N493" t="s">
        <v>7</v>
      </c>
      <c r="P493">
        <f t="shared" si="979"/>
        <v>0.1999999999999971</v>
      </c>
      <c r="Q493">
        <f t="shared" si="980"/>
        <v>4876.3339999999289</v>
      </c>
      <c r="R493">
        <f t="shared" si="981"/>
        <v>-5905035.5626317197</v>
      </c>
      <c r="S493">
        <f t="shared" si="982"/>
        <v>-59.050355626317199</v>
      </c>
      <c r="T493">
        <f t="shared" si="983"/>
        <v>-5.9050355626317198E-2</v>
      </c>
    </row>
    <row r="494" spans="1:20" x14ac:dyDescent="0.25">
      <c r="A494" s="5">
        <v>44099</v>
      </c>
      <c r="B494">
        <v>7.2099999999999996E-4</v>
      </c>
      <c r="C494">
        <v>7.4399999999999998E-4</v>
      </c>
      <c r="D494">
        <v>7.1299999999999998E-4</v>
      </c>
      <c r="E494">
        <v>7.3800000000000005E-4</v>
      </c>
      <c r="F494">
        <v>29978.93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0.61290322580645618</v>
      </c>
      <c r="Q494">
        <f t="shared" si="980"/>
        <v>18374.182903225945</v>
      </c>
      <c r="R494">
        <f t="shared" si="981"/>
        <v>-5909911.8966317195</v>
      </c>
      <c r="S494">
        <f t="shared" si="982"/>
        <v>-59.099118966317192</v>
      </c>
      <c r="T494">
        <f t="shared" si="983"/>
        <v>-5.9099118966317192E-2</v>
      </c>
    </row>
    <row r="495" spans="1:20" x14ac:dyDescent="0.25">
      <c r="A495" s="5">
        <v>44098</v>
      </c>
      <c r="B495">
        <v>7.2199999999999999E-4</v>
      </c>
      <c r="C495">
        <v>7.3499999999999998E-4</v>
      </c>
      <c r="D495">
        <v>7.18E-4</v>
      </c>
      <c r="E495">
        <v>7.2099999999999996E-4</v>
      </c>
      <c r="F495">
        <v>22174.98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-0.64705882352941546</v>
      </c>
      <c r="Q495">
        <f t="shared" si="980"/>
        <v>-14348.516470588316</v>
      </c>
      <c r="R495">
        <f t="shared" si="981"/>
        <v>-5928286.0795349451</v>
      </c>
      <c r="S495">
        <f t="shared" si="982"/>
        <v>-59.28286079534945</v>
      </c>
      <c r="T495">
        <f t="shared" si="983"/>
        <v>-5.9282860795349453E-2</v>
      </c>
    </row>
    <row r="496" spans="1:20" x14ac:dyDescent="0.25">
      <c r="A496" s="5">
        <v>44097</v>
      </c>
      <c r="B496">
        <v>7.54E-4</v>
      </c>
      <c r="C496">
        <v>7.5799999999999999E-4</v>
      </c>
      <c r="D496">
        <v>7.2199999999999999E-4</v>
      </c>
      <c r="E496">
        <v>7.2400000000000003E-4</v>
      </c>
      <c r="F496">
        <v>31174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-0.88888888888888618</v>
      </c>
      <c r="Q496">
        <f t="shared" si="980"/>
        <v>-27710.222222222139</v>
      </c>
      <c r="R496">
        <f t="shared" si="981"/>
        <v>-5913937.5630643563</v>
      </c>
      <c r="S496">
        <f t="shared" si="982"/>
        <v>-59.139375630643563</v>
      </c>
      <c r="T496">
        <f t="shared" si="983"/>
        <v>-5.9139375630643566E-2</v>
      </c>
    </row>
    <row r="497" spans="1:20" x14ac:dyDescent="0.25">
      <c r="A497" s="5">
        <v>44096</v>
      </c>
      <c r="B497">
        <v>7.5199999999999996E-4</v>
      </c>
      <c r="C497">
        <v>7.6900000000000004E-4</v>
      </c>
      <c r="D497">
        <v>7.2800000000000002E-4</v>
      </c>
      <c r="E497">
        <v>7.5500000000000003E-4</v>
      </c>
      <c r="F497">
        <v>51635.9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0.31707317073170693</v>
      </c>
      <c r="Q497">
        <f t="shared" si="980"/>
        <v>16372.358536585347</v>
      </c>
      <c r="R497">
        <f t="shared" si="981"/>
        <v>-5886227.3408421343</v>
      </c>
      <c r="S497">
        <f t="shared" si="982"/>
        <v>-58.862273408421345</v>
      </c>
      <c r="T497">
        <f t="shared" si="983"/>
        <v>-5.8862273408421345E-2</v>
      </c>
    </row>
    <row r="498" spans="1:20" x14ac:dyDescent="0.25">
      <c r="A498" s="5">
        <v>44095</v>
      </c>
      <c r="B498">
        <v>7.4600000000000003E-4</v>
      </c>
      <c r="C498">
        <v>7.6599999999999997E-4</v>
      </c>
      <c r="D498">
        <v>7.2000000000000005E-4</v>
      </c>
      <c r="E498">
        <v>7.5199999999999996E-4</v>
      </c>
      <c r="F498">
        <v>46795.53</v>
      </c>
      <c r="G498">
        <v>0</v>
      </c>
      <c r="L498" t="s">
        <v>8</v>
      </c>
      <c r="M498" t="s">
        <v>7</v>
      </c>
      <c r="N498" t="s">
        <v>7</v>
      </c>
      <c r="P498">
        <f t="shared" si="979"/>
        <v>0.39130434782608531</v>
      </c>
      <c r="Q498">
        <f t="shared" si="980"/>
        <v>18311.294347826009</v>
      </c>
      <c r="R498">
        <f t="shared" si="981"/>
        <v>-5902599.6993787196</v>
      </c>
      <c r="S498">
        <f t="shared" si="982"/>
        <v>-59.025996993787196</v>
      </c>
      <c r="T498">
        <f t="shared" si="983"/>
        <v>-5.9025996993787196E-2</v>
      </c>
    </row>
    <row r="499" spans="1:20" x14ac:dyDescent="0.25">
      <c r="A499" s="5">
        <v>44094</v>
      </c>
      <c r="B499">
        <v>7.4299999999999995E-4</v>
      </c>
      <c r="C499">
        <v>7.5600000000000005E-4</v>
      </c>
      <c r="D499">
        <v>7.36E-4</v>
      </c>
      <c r="E499">
        <v>7.4600000000000003E-4</v>
      </c>
      <c r="F499">
        <v>20298.04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0</v>
      </c>
      <c r="Q499">
        <f t="shared" si="980"/>
        <v>0</v>
      </c>
      <c r="R499">
        <f t="shared" si="981"/>
        <v>-5920910.9937265459</v>
      </c>
      <c r="S499">
        <f t="shared" si="982"/>
        <v>-59.20910993726546</v>
      </c>
      <c r="T499">
        <f t="shared" si="983"/>
        <v>-5.9209109937265463E-2</v>
      </c>
    </row>
    <row r="500" spans="1:20" x14ac:dyDescent="0.25">
      <c r="A500" s="5">
        <v>44093</v>
      </c>
      <c r="B500">
        <v>7.5299999999999998E-4</v>
      </c>
      <c r="C500">
        <v>7.5699999999999997E-4</v>
      </c>
      <c r="D500">
        <v>7.4100000000000001E-4</v>
      </c>
      <c r="E500">
        <v>7.4299999999999995E-4</v>
      </c>
      <c r="F500">
        <v>17022.740000000002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-0.75000000000000677</v>
      </c>
      <c r="Q500">
        <f t="shared" si="980"/>
        <v>-12767.055000000117</v>
      </c>
      <c r="R500">
        <f t="shared" si="981"/>
        <v>-5920910.9937265459</v>
      </c>
      <c r="S500">
        <f t="shared" si="982"/>
        <v>-59.20910993726546</v>
      </c>
      <c r="T500">
        <f t="shared" si="983"/>
        <v>-5.9209109937265463E-2</v>
      </c>
    </row>
    <row r="501" spans="1:20" x14ac:dyDescent="0.25">
      <c r="A501" s="5">
        <v>44092</v>
      </c>
      <c r="B501">
        <v>7.5600000000000005E-4</v>
      </c>
      <c r="C501">
        <v>7.7099999999999998E-4</v>
      </c>
      <c r="D501">
        <v>7.4899999999999999E-4</v>
      </c>
      <c r="E501">
        <v>7.5299999999999998E-4</v>
      </c>
      <c r="F501">
        <v>16371.35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-0.63636363636363724</v>
      </c>
      <c r="Q501">
        <f t="shared" si="980"/>
        <v>-10418.131818181833</v>
      </c>
      <c r="R501">
        <f t="shared" si="981"/>
        <v>-5908143.9387265462</v>
      </c>
      <c r="S501">
        <f t="shared" si="982"/>
        <v>-59.081439387265462</v>
      </c>
      <c r="T501">
        <f t="shared" si="983"/>
        <v>-5.9081439387265462E-2</v>
      </c>
    </row>
    <row r="502" spans="1:20" x14ac:dyDescent="0.25">
      <c r="A502" s="5">
        <v>44091</v>
      </c>
      <c r="B502">
        <v>7.5900000000000002E-4</v>
      </c>
      <c r="C502">
        <v>7.6999999999999996E-4</v>
      </c>
      <c r="D502">
        <v>7.5000000000000002E-4</v>
      </c>
      <c r="E502">
        <v>7.5699999999999997E-4</v>
      </c>
      <c r="F502">
        <v>26712.18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-0.30000000000000271</v>
      </c>
      <c r="Q502">
        <f t="shared" si="980"/>
        <v>-8013.6540000000723</v>
      </c>
      <c r="R502">
        <f t="shared" si="981"/>
        <v>-5897725.8069083644</v>
      </c>
      <c r="S502">
        <f t="shared" si="982"/>
        <v>-58.977258069083646</v>
      </c>
      <c r="T502">
        <f t="shared" si="983"/>
        <v>-5.8977258069083646E-2</v>
      </c>
    </row>
    <row r="503" spans="1:20" x14ac:dyDescent="0.25">
      <c r="A503" s="5">
        <v>44090</v>
      </c>
      <c r="B503">
        <v>7.76E-4</v>
      </c>
      <c r="C503">
        <v>7.7899999999999996E-4</v>
      </c>
      <c r="D503">
        <v>7.4399999999999998E-4</v>
      </c>
      <c r="E503">
        <v>7.5900000000000002E-4</v>
      </c>
      <c r="F503">
        <v>49988.639999999999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-0.14285714285714021</v>
      </c>
      <c r="Q503">
        <f t="shared" si="980"/>
        <v>-7141.234285714153</v>
      </c>
      <c r="R503">
        <f t="shared" si="981"/>
        <v>-5889712.1529083643</v>
      </c>
      <c r="S503">
        <f t="shared" si="982"/>
        <v>-58.897121529083641</v>
      </c>
      <c r="T503">
        <f t="shared" si="983"/>
        <v>-5.8897121529083642E-2</v>
      </c>
    </row>
    <row r="504" spans="1:20" x14ac:dyDescent="0.25">
      <c r="A504" s="5">
        <v>44089</v>
      </c>
      <c r="B504">
        <v>7.9600000000000005E-4</v>
      </c>
      <c r="C504">
        <v>8.0999999999999996E-4</v>
      </c>
      <c r="D504">
        <v>7.6499999999999995E-4</v>
      </c>
      <c r="E504">
        <v>7.76E-4</v>
      </c>
      <c r="F504">
        <v>28444.61</v>
      </c>
      <c r="G504">
        <v>0</v>
      </c>
      <c r="L504" t="s">
        <v>8</v>
      </c>
      <c r="M504" t="s">
        <v>7</v>
      </c>
      <c r="N504" t="s">
        <v>7</v>
      </c>
      <c r="P504">
        <f t="shared" si="979"/>
        <v>-0.51111111111110896</v>
      </c>
      <c r="Q504">
        <f t="shared" si="980"/>
        <v>-14538.356222222161</v>
      </c>
      <c r="R504">
        <f t="shared" si="981"/>
        <v>-5882570.9186226502</v>
      </c>
      <c r="S504">
        <f t="shared" si="982"/>
        <v>-58.825709186226504</v>
      </c>
      <c r="T504">
        <f t="shared" si="983"/>
        <v>-5.8825709186226503E-2</v>
      </c>
    </row>
    <row r="505" spans="1:20" x14ac:dyDescent="0.25">
      <c r="A505" s="5">
        <v>44088</v>
      </c>
      <c r="B505">
        <v>8.1400000000000005E-4</v>
      </c>
      <c r="C505">
        <v>8.1400000000000005E-4</v>
      </c>
      <c r="D505">
        <v>7.8700000000000005E-4</v>
      </c>
      <c r="E505">
        <v>7.9600000000000005E-4</v>
      </c>
      <c r="F505">
        <v>19368.59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-0.33333333333333331</v>
      </c>
      <c r="Q505">
        <f t="shared" si="980"/>
        <v>-6456.1966666666667</v>
      </c>
      <c r="R505">
        <f t="shared" si="981"/>
        <v>-5868032.5624004276</v>
      </c>
      <c r="S505">
        <f t="shared" si="982"/>
        <v>-58.680325624004276</v>
      </c>
      <c r="T505">
        <f t="shared" si="983"/>
        <v>-5.8680325624004277E-2</v>
      </c>
    </row>
    <row r="506" spans="1:20" x14ac:dyDescent="0.25">
      <c r="A506" s="5">
        <v>44087</v>
      </c>
      <c r="B506">
        <v>8.2700000000000004E-4</v>
      </c>
      <c r="C506">
        <v>8.3600000000000005E-4</v>
      </c>
      <c r="D506">
        <v>8.0599999999999997E-4</v>
      </c>
      <c r="E506">
        <v>8.1400000000000005E-4</v>
      </c>
      <c r="F506">
        <v>25530.79</v>
      </c>
      <c r="G506">
        <v>0</v>
      </c>
      <c r="L506" t="s">
        <v>8</v>
      </c>
      <c r="M506" t="s">
        <v>7</v>
      </c>
      <c r="N506" t="s">
        <v>7</v>
      </c>
      <c r="P506">
        <f t="shared" si="979"/>
        <v>-0.46666666666666234</v>
      </c>
      <c r="Q506">
        <f t="shared" si="980"/>
        <v>-11914.368666666556</v>
      </c>
      <c r="R506">
        <f t="shared" si="981"/>
        <v>-5861576.3657337613</v>
      </c>
      <c r="S506">
        <f t="shared" si="982"/>
        <v>-58.615763657337617</v>
      </c>
      <c r="T506">
        <f t="shared" si="983"/>
        <v>-5.8615763657337616E-2</v>
      </c>
    </row>
    <row r="507" spans="1:20" x14ac:dyDescent="0.25">
      <c r="A507" s="5">
        <v>44086</v>
      </c>
      <c r="B507">
        <v>8.2700000000000004E-4</v>
      </c>
      <c r="C507">
        <v>8.3500000000000002E-4</v>
      </c>
      <c r="D507">
        <v>8.1700000000000002E-4</v>
      </c>
      <c r="E507">
        <v>8.2899999999999998E-4</v>
      </c>
      <c r="F507">
        <v>22303.37</v>
      </c>
      <c r="G507">
        <v>0</v>
      </c>
      <c r="L507" t="s">
        <v>7</v>
      </c>
      <c r="M507" t="s">
        <v>7</v>
      </c>
      <c r="N507" t="s">
        <v>7</v>
      </c>
      <c r="P507">
        <f t="shared" si="979"/>
        <v>0.33333333333332932</v>
      </c>
      <c r="Q507">
        <f t="shared" si="980"/>
        <v>7434.4566666665769</v>
      </c>
      <c r="R507">
        <f t="shared" si="981"/>
        <v>-5849661.9970670948</v>
      </c>
      <c r="S507">
        <f t="shared" si="982"/>
        <v>-58.496619970670949</v>
      </c>
      <c r="T507">
        <f t="shared" si="983"/>
        <v>-5.8496619970670946E-2</v>
      </c>
    </row>
    <row r="508" spans="1:20" x14ac:dyDescent="0.25">
      <c r="A508" s="5">
        <v>44085</v>
      </c>
      <c r="B508">
        <v>8.2799999999999996E-4</v>
      </c>
      <c r="C508">
        <v>8.4000000000000003E-4</v>
      </c>
      <c r="D508">
        <v>8.1999999999999998E-4</v>
      </c>
      <c r="E508">
        <v>8.2600000000000002E-4</v>
      </c>
      <c r="F508">
        <v>17019.02</v>
      </c>
      <c r="G508">
        <v>0</v>
      </c>
      <c r="L508" t="s">
        <v>8</v>
      </c>
      <c r="M508" t="s">
        <v>7</v>
      </c>
      <c r="N508" t="s">
        <v>7</v>
      </c>
      <c r="P508">
        <f t="shared" si="979"/>
        <v>-0.39999999999999786</v>
      </c>
      <c r="Q508">
        <f t="shared" si="980"/>
        <v>-6807.6079999999638</v>
      </c>
      <c r="R508">
        <f t="shared" si="981"/>
        <v>-5857096.4537337618</v>
      </c>
      <c r="S508">
        <f t="shared" si="982"/>
        <v>-58.570964537337616</v>
      </c>
      <c r="T508">
        <f t="shared" si="983"/>
        <v>-5.8570964537337615E-2</v>
      </c>
    </row>
    <row r="509" spans="1:20" x14ac:dyDescent="0.25">
      <c r="A509" s="5">
        <v>44084</v>
      </c>
      <c r="B509">
        <v>8.1999999999999998E-4</v>
      </c>
      <c r="C509">
        <v>8.3699999999999996E-4</v>
      </c>
      <c r="D509">
        <v>8.1700000000000002E-4</v>
      </c>
      <c r="E509">
        <v>8.2799999999999996E-4</v>
      </c>
      <c r="F509">
        <v>20845.52</v>
      </c>
      <c r="G509">
        <v>0</v>
      </c>
      <c r="L509" t="s">
        <v>7</v>
      </c>
      <c r="M509" t="s">
        <v>7</v>
      </c>
      <c r="N509" t="s">
        <v>7</v>
      </c>
      <c r="P509">
        <f t="shared" si="979"/>
        <v>9.9999999999997286E-2</v>
      </c>
      <c r="Q509">
        <f t="shared" si="980"/>
        <v>2084.5519999999433</v>
      </c>
      <c r="R509">
        <f t="shared" si="981"/>
        <v>-5850288.8457337618</v>
      </c>
      <c r="S509">
        <f t="shared" si="982"/>
        <v>-58.502888457337619</v>
      </c>
      <c r="T509">
        <f t="shared" si="983"/>
        <v>-5.8502888457337622E-2</v>
      </c>
    </row>
    <row r="510" spans="1:20" x14ac:dyDescent="0.25">
      <c r="A510" s="5">
        <v>44083</v>
      </c>
      <c r="B510">
        <v>8.1599999999999999E-4</v>
      </c>
      <c r="C510">
        <v>8.25E-4</v>
      </c>
      <c r="D510">
        <v>8.0699999999999999E-4</v>
      </c>
      <c r="E510">
        <v>8.2299999999999995E-4</v>
      </c>
      <c r="F510">
        <v>16477.95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0.77777777777777246</v>
      </c>
      <c r="Q510">
        <f t="shared" si="980"/>
        <v>12816.183333333247</v>
      </c>
      <c r="R510">
        <f t="shared" si="981"/>
        <v>-5852373.3977337619</v>
      </c>
      <c r="S510">
        <f t="shared" si="982"/>
        <v>-58.523733977337621</v>
      </c>
      <c r="T510">
        <f t="shared" si="983"/>
        <v>-5.8523733977337622E-2</v>
      </c>
    </row>
    <row r="511" spans="1:20" x14ac:dyDescent="0.25">
      <c r="A511" s="5">
        <v>44082</v>
      </c>
      <c r="B511">
        <v>8.2200000000000003E-4</v>
      </c>
      <c r="C511">
        <v>8.25E-4</v>
      </c>
      <c r="D511">
        <v>8.0900000000000004E-4</v>
      </c>
      <c r="E511">
        <v>8.1599999999999999E-4</v>
      </c>
      <c r="F511">
        <v>19841.7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-0.12500000000000339</v>
      </c>
      <c r="Q511">
        <f t="shared" si="980"/>
        <v>-2480.2125000000674</v>
      </c>
      <c r="R511">
        <f t="shared" si="981"/>
        <v>-5865189.5810670955</v>
      </c>
      <c r="S511">
        <f t="shared" si="982"/>
        <v>-58.651895810670958</v>
      </c>
      <c r="T511">
        <f t="shared" si="983"/>
        <v>-5.8651895810670956E-2</v>
      </c>
    </row>
    <row r="512" spans="1:20" x14ac:dyDescent="0.25">
      <c r="A512" s="5">
        <v>44081</v>
      </c>
      <c r="B512">
        <v>8.0500000000000005E-4</v>
      </c>
      <c r="C512">
        <v>8.3600000000000005E-4</v>
      </c>
      <c r="D512">
        <v>8.0099999999999995E-4</v>
      </c>
      <c r="E512">
        <v>8.2399999999999997E-4</v>
      </c>
      <c r="F512">
        <v>42429.59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0.31428571428571178</v>
      </c>
      <c r="Q512">
        <f t="shared" si="980"/>
        <v>13335.013999999892</v>
      </c>
      <c r="R512">
        <f t="shared" si="981"/>
        <v>-5862709.3685670951</v>
      </c>
      <c r="S512">
        <f t="shared" si="982"/>
        <v>-58.62709368567095</v>
      </c>
      <c r="T512">
        <f t="shared" si="983"/>
        <v>-5.8627093685670949E-2</v>
      </c>
    </row>
    <row r="513" spans="1:20" x14ac:dyDescent="0.25">
      <c r="A513" s="5">
        <v>44080</v>
      </c>
      <c r="B513">
        <v>7.9799999999999999E-4</v>
      </c>
      <c r="C513">
        <v>8.2899999999999998E-4</v>
      </c>
      <c r="D513">
        <v>7.9000000000000001E-4</v>
      </c>
      <c r="E513">
        <v>8.0500000000000005E-4</v>
      </c>
      <c r="F513">
        <v>39131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-0.2307692307692282</v>
      </c>
      <c r="Q513">
        <f t="shared" si="980"/>
        <v>-9030.2307692306695</v>
      </c>
      <c r="R513">
        <f t="shared" si="981"/>
        <v>-5876044.3825670946</v>
      </c>
      <c r="S513">
        <f t="shared" si="982"/>
        <v>-58.760443825670947</v>
      </c>
      <c r="T513">
        <f t="shared" si="983"/>
        <v>-5.8760443825670944E-2</v>
      </c>
    </row>
    <row r="514" spans="1:20" x14ac:dyDescent="0.25">
      <c r="A514" s="5">
        <v>44079</v>
      </c>
      <c r="B514">
        <v>8.1899999999999996E-4</v>
      </c>
      <c r="C514">
        <v>8.3699999999999996E-4</v>
      </c>
      <c r="D514">
        <v>7.8799999999999996E-4</v>
      </c>
      <c r="E514">
        <v>8.0099999999999995E-4</v>
      </c>
      <c r="F514">
        <v>54958.879999999997</v>
      </c>
      <c r="G514">
        <v>0</v>
      </c>
      <c r="L514" t="s">
        <v>8</v>
      </c>
      <c r="M514" t="s">
        <v>7</v>
      </c>
      <c r="N514" t="s">
        <v>7</v>
      </c>
      <c r="P514">
        <f t="shared" si="979"/>
        <v>-0.46938775510204117</v>
      </c>
      <c r="Q514">
        <f t="shared" si="980"/>
        <v>-25797.025306122468</v>
      </c>
      <c r="R514">
        <f t="shared" si="981"/>
        <v>-5867014.1517978637</v>
      </c>
      <c r="S514">
        <f t="shared" si="982"/>
        <v>-58.670141517978635</v>
      </c>
      <c r="T514">
        <f t="shared" si="983"/>
        <v>-5.8670141517978634E-2</v>
      </c>
    </row>
    <row r="515" spans="1:20" x14ac:dyDescent="0.25">
      <c r="A515" s="5">
        <v>44078</v>
      </c>
      <c r="B515">
        <v>8.1599999999999999E-4</v>
      </c>
      <c r="C515">
        <v>8.4000000000000003E-4</v>
      </c>
      <c r="D515">
        <v>8.0400000000000003E-4</v>
      </c>
      <c r="E515">
        <v>8.1700000000000002E-4</v>
      </c>
      <c r="F515">
        <v>44308.66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-0.27777777777777846</v>
      </c>
      <c r="Q515">
        <f t="shared" si="980"/>
        <v>-12307.961111111143</v>
      </c>
      <c r="R515">
        <f t="shared" si="981"/>
        <v>-5841217.1264917413</v>
      </c>
      <c r="S515">
        <f t="shared" si="982"/>
        <v>-58.412171264917411</v>
      </c>
      <c r="T515">
        <f t="shared" si="983"/>
        <v>-5.8412171264917413E-2</v>
      </c>
    </row>
    <row r="516" spans="1:20" x14ac:dyDescent="0.25">
      <c r="A516" s="5">
        <v>44077</v>
      </c>
      <c r="B516">
        <v>8.4599999999999996E-4</v>
      </c>
      <c r="C516">
        <v>8.4699999999999999E-4</v>
      </c>
      <c r="D516">
        <v>8.0199999999999998E-4</v>
      </c>
      <c r="E516">
        <v>8.1700000000000002E-4</v>
      </c>
      <c r="F516">
        <v>54029.72</v>
      </c>
      <c r="G516">
        <v>0</v>
      </c>
      <c r="L516" t="s">
        <v>8</v>
      </c>
      <c r="M516" t="s">
        <v>7</v>
      </c>
      <c r="N516" t="s">
        <v>7</v>
      </c>
      <c r="P516">
        <f t="shared" si="979"/>
        <v>-0.33333333333333171</v>
      </c>
      <c r="Q516">
        <f t="shared" si="980"/>
        <v>-18009.906666666579</v>
      </c>
      <c r="R516">
        <f t="shared" si="981"/>
        <v>-5828909.1653806297</v>
      </c>
      <c r="S516">
        <f t="shared" si="982"/>
        <v>-58.289091653806295</v>
      </c>
      <c r="T516">
        <f t="shared" si="983"/>
        <v>-5.8289091653806295E-2</v>
      </c>
    </row>
    <row r="517" spans="1:20" x14ac:dyDescent="0.25">
      <c r="A517" s="5">
        <v>44076</v>
      </c>
      <c r="B517">
        <v>8.7399999999999999E-4</v>
      </c>
      <c r="C517">
        <v>8.7699999999999996E-4</v>
      </c>
      <c r="D517">
        <v>8.3699999999999996E-4</v>
      </c>
      <c r="E517">
        <v>8.4500000000000005E-4</v>
      </c>
      <c r="F517">
        <v>28531.14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-0.59999999999999565</v>
      </c>
      <c r="Q517">
        <f t="shared" si="980"/>
        <v>-17118.683999999874</v>
      </c>
      <c r="R517">
        <f t="shared" si="981"/>
        <v>-5810899.2587139634</v>
      </c>
      <c r="S517">
        <f t="shared" si="982"/>
        <v>-58.108992587139632</v>
      </c>
      <c r="T517">
        <f t="shared" si="983"/>
        <v>-5.8108992587139634E-2</v>
      </c>
    </row>
    <row r="518" spans="1:20" x14ac:dyDescent="0.25">
      <c r="A518" s="5">
        <v>44075</v>
      </c>
      <c r="B518">
        <v>8.6700000000000004E-4</v>
      </c>
      <c r="C518">
        <v>8.7699999999999996E-4</v>
      </c>
      <c r="D518">
        <v>8.4999999999999995E-4</v>
      </c>
      <c r="E518">
        <v>8.7500000000000002E-4</v>
      </c>
      <c r="F518">
        <v>54178.95</v>
      </c>
      <c r="G518">
        <v>0</v>
      </c>
      <c r="L518" t="s">
        <v>8</v>
      </c>
      <c r="M518" t="s">
        <v>7</v>
      </c>
      <c r="N518" t="s">
        <v>7</v>
      </c>
      <c r="P518">
        <f t="shared" ref="P518:P581" si="984">IF(C518=D518,0,((E518-D518)-(C518-E518))/(C518-D518))</f>
        <v>0.8518518518518563</v>
      </c>
      <c r="Q518">
        <f t="shared" ref="Q518:Q581" si="985">F518*P518</f>
        <v>46152.438888889126</v>
      </c>
      <c r="R518">
        <f t="shared" ref="R518:R581" si="986">R519+Q518</f>
        <v>-5793780.574713964</v>
      </c>
      <c r="S518">
        <f t="shared" ref="S518:S581" si="987">R518/100000</f>
        <v>-57.937805747139642</v>
      </c>
      <c r="T518">
        <f t="shared" ref="T518:T581" si="988">S518/1000</f>
        <v>-5.7937805747139644E-2</v>
      </c>
    </row>
    <row r="519" spans="1:20" x14ac:dyDescent="0.25">
      <c r="A519" s="5">
        <v>44074</v>
      </c>
      <c r="B519">
        <v>8.6799999999999996E-4</v>
      </c>
      <c r="C519">
        <v>8.8099999999999995E-4</v>
      </c>
      <c r="D519">
        <v>8.5700000000000001E-4</v>
      </c>
      <c r="E519">
        <v>8.6700000000000004E-4</v>
      </c>
      <c r="F519">
        <v>25829.31</v>
      </c>
      <c r="G519">
        <v>0</v>
      </c>
      <c r="L519" t="s">
        <v>7</v>
      </c>
      <c r="M519" t="s">
        <v>7</v>
      </c>
      <c r="N519" t="s">
        <v>7</v>
      </c>
      <c r="P519">
        <f t="shared" si="984"/>
        <v>-0.16666666666666216</v>
      </c>
      <c r="Q519">
        <f t="shared" si="985"/>
        <v>-4304.8849999998838</v>
      </c>
      <c r="R519">
        <f t="shared" si="986"/>
        <v>-5839933.0136028528</v>
      </c>
      <c r="S519">
        <f t="shared" si="987"/>
        <v>-58.399330136028532</v>
      </c>
      <c r="T519">
        <f t="shared" si="988"/>
        <v>-5.8399330136028535E-2</v>
      </c>
    </row>
    <row r="520" spans="1:20" x14ac:dyDescent="0.25">
      <c r="A520" s="5">
        <v>44073</v>
      </c>
      <c r="B520">
        <v>8.6799999999999996E-4</v>
      </c>
      <c r="C520">
        <v>8.7900000000000001E-4</v>
      </c>
      <c r="D520">
        <v>8.5700000000000001E-4</v>
      </c>
      <c r="E520">
        <v>8.7000000000000001E-4</v>
      </c>
      <c r="F520">
        <v>34975.65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0.18181818181818138</v>
      </c>
      <c r="Q520">
        <f t="shared" si="985"/>
        <v>6359.2090909090757</v>
      </c>
      <c r="R520">
        <f t="shared" si="986"/>
        <v>-5835628.128602853</v>
      </c>
      <c r="S520">
        <f t="shared" si="987"/>
        <v>-58.356281286028533</v>
      </c>
      <c r="T520">
        <f t="shared" si="988"/>
        <v>-5.835628128602853E-2</v>
      </c>
    </row>
    <row r="521" spans="1:20" x14ac:dyDescent="0.25">
      <c r="A521" s="5">
        <v>44072</v>
      </c>
      <c r="B521">
        <v>8.5800000000000004E-4</v>
      </c>
      <c r="C521">
        <v>8.7100000000000003E-4</v>
      </c>
      <c r="D521">
        <v>8.4999999999999995E-4</v>
      </c>
      <c r="E521">
        <v>8.6799999999999996E-4</v>
      </c>
      <c r="F521">
        <v>27957.3</v>
      </c>
      <c r="G521">
        <v>0</v>
      </c>
      <c r="L521" t="s">
        <v>7</v>
      </c>
      <c r="M521" t="s">
        <v>7</v>
      </c>
      <c r="N521" t="s">
        <v>7</v>
      </c>
      <c r="P521">
        <f t="shared" si="984"/>
        <v>0.71428571428570842</v>
      </c>
      <c r="Q521">
        <f t="shared" si="985"/>
        <v>19969.499999999836</v>
      </c>
      <c r="R521">
        <f t="shared" si="986"/>
        <v>-5841987.337693762</v>
      </c>
      <c r="S521">
        <f t="shared" si="987"/>
        <v>-58.419873376937623</v>
      </c>
      <c r="T521">
        <f t="shared" si="988"/>
        <v>-5.8419873376937624E-2</v>
      </c>
    </row>
    <row r="522" spans="1:20" x14ac:dyDescent="0.25">
      <c r="A522" s="5">
        <v>44071</v>
      </c>
      <c r="B522">
        <v>8.4500000000000005E-4</v>
      </c>
      <c r="C522">
        <v>8.7000000000000001E-4</v>
      </c>
      <c r="D522">
        <v>8.2200000000000003E-4</v>
      </c>
      <c r="E522">
        <v>8.5999999999999998E-4</v>
      </c>
      <c r="F522">
        <v>54744.14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0.58333333333333204</v>
      </c>
      <c r="Q522">
        <f t="shared" si="985"/>
        <v>31934.081666666596</v>
      </c>
      <c r="R522">
        <f t="shared" si="986"/>
        <v>-5861956.837693762</v>
      </c>
      <c r="S522">
        <f t="shared" si="987"/>
        <v>-58.619568376937622</v>
      </c>
      <c r="T522">
        <f t="shared" si="988"/>
        <v>-5.8619568376937624E-2</v>
      </c>
    </row>
    <row r="523" spans="1:20" x14ac:dyDescent="0.25">
      <c r="A523" s="5">
        <v>44070</v>
      </c>
      <c r="B523">
        <v>8.7600000000000004E-4</v>
      </c>
      <c r="C523">
        <v>8.7799999999999998E-4</v>
      </c>
      <c r="D523">
        <v>8.3199999999999995E-4</v>
      </c>
      <c r="E523">
        <v>8.4699999999999999E-4</v>
      </c>
      <c r="F523">
        <v>41098.400000000001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-0.34782608695652051</v>
      </c>
      <c r="Q523">
        <f t="shared" si="985"/>
        <v>-14295.095652173863</v>
      </c>
      <c r="R523">
        <f t="shared" si="986"/>
        <v>-5893890.919360429</v>
      </c>
      <c r="S523">
        <f t="shared" si="987"/>
        <v>-58.938909193604289</v>
      </c>
      <c r="T523">
        <f t="shared" si="988"/>
        <v>-5.893890919360429E-2</v>
      </c>
    </row>
    <row r="524" spans="1:20" x14ac:dyDescent="0.25">
      <c r="A524" s="5">
        <v>44069</v>
      </c>
      <c r="B524">
        <v>8.7600000000000004E-4</v>
      </c>
      <c r="C524">
        <v>8.9700000000000001E-4</v>
      </c>
      <c r="D524">
        <v>7.9799999999999999E-4</v>
      </c>
      <c r="E524">
        <v>8.7500000000000002E-4</v>
      </c>
      <c r="F524">
        <v>177222.52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0.5555555555555558</v>
      </c>
      <c r="Q524">
        <f t="shared" si="985"/>
        <v>98456.9555555556</v>
      </c>
      <c r="R524">
        <f t="shared" si="986"/>
        <v>-5879595.8237082548</v>
      </c>
      <c r="S524">
        <f t="shared" si="987"/>
        <v>-58.795958237082552</v>
      </c>
      <c r="T524">
        <f t="shared" si="988"/>
        <v>-5.879595823708255E-2</v>
      </c>
    </row>
    <row r="525" spans="1:20" x14ac:dyDescent="0.25">
      <c r="A525" s="5">
        <v>44068</v>
      </c>
      <c r="B525">
        <v>9.2900000000000003E-4</v>
      </c>
      <c r="C525">
        <v>9.3199999999999999E-4</v>
      </c>
      <c r="D525">
        <v>8.4800000000000001E-4</v>
      </c>
      <c r="E525">
        <v>8.7299999999999997E-4</v>
      </c>
      <c r="F525">
        <v>95660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-0.40476190476190566</v>
      </c>
      <c r="Q525">
        <f t="shared" si="985"/>
        <v>-38719.523809523896</v>
      </c>
      <c r="R525">
        <f t="shared" si="986"/>
        <v>-5978052.7792638103</v>
      </c>
      <c r="S525">
        <f t="shared" si="987"/>
        <v>-59.780527792638104</v>
      </c>
      <c r="T525">
        <f t="shared" si="988"/>
        <v>-5.9780527792638101E-2</v>
      </c>
    </row>
    <row r="526" spans="1:20" x14ac:dyDescent="0.25">
      <c r="A526" s="5">
        <v>44067</v>
      </c>
      <c r="B526">
        <v>9.3000000000000005E-4</v>
      </c>
      <c r="C526">
        <v>9.3499999999999996E-4</v>
      </c>
      <c r="D526">
        <v>9.0899999999999998E-4</v>
      </c>
      <c r="E526">
        <v>9.2800000000000001E-4</v>
      </c>
      <c r="F526">
        <v>24222.080000000002</v>
      </c>
      <c r="G526">
        <v>0</v>
      </c>
      <c r="L526" t="s">
        <v>8</v>
      </c>
      <c r="M526" t="s">
        <v>7</v>
      </c>
      <c r="N526" t="s">
        <v>7</v>
      </c>
      <c r="P526">
        <f t="shared" si="984"/>
        <v>0.46153846153846473</v>
      </c>
      <c r="Q526">
        <f t="shared" si="985"/>
        <v>11179.421538461616</v>
      </c>
      <c r="R526">
        <f t="shared" si="986"/>
        <v>-5939333.255454286</v>
      </c>
      <c r="S526">
        <f t="shared" si="987"/>
        <v>-59.393332554542859</v>
      </c>
      <c r="T526">
        <f t="shared" si="988"/>
        <v>-5.9393332554542856E-2</v>
      </c>
    </row>
    <row r="527" spans="1:20" x14ac:dyDescent="0.25">
      <c r="A527" s="5">
        <v>44066</v>
      </c>
      <c r="B527">
        <v>9.3999999999999997E-4</v>
      </c>
      <c r="C527">
        <v>9.5200000000000005E-4</v>
      </c>
      <c r="D527">
        <v>8.92E-4</v>
      </c>
      <c r="E527">
        <v>9.3000000000000005E-4</v>
      </c>
      <c r="F527">
        <v>76553.039999999994</v>
      </c>
      <c r="G527">
        <v>0</v>
      </c>
      <c r="L527" t="s">
        <v>7</v>
      </c>
      <c r="M527" t="s">
        <v>7</v>
      </c>
      <c r="N527" t="s">
        <v>7</v>
      </c>
      <c r="P527">
        <f t="shared" si="984"/>
        <v>0.2666666666666675</v>
      </c>
      <c r="Q527">
        <f t="shared" si="985"/>
        <v>20414.144000000062</v>
      </c>
      <c r="R527">
        <f t="shared" si="986"/>
        <v>-5950512.6769927479</v>
      </c>
      <c r="S527">
        <f t="shared" si="987"/>
        <v>-59.505126769927479</v>
      </c>
      <c r="T527">
        <f t="shared" si="988"/>
        <v>-5.9505126769927481E-2</v>
      </c>
    </row>
    <row r="528" spans="1:20" x14ac:dyDescent="0.25">
      <c r="A528" s="5">
        <v>44065</v>
      </c>
      <c r="B528">
        <v>9.3099999999999997E-4</v>
      </c>
      <c r="C528">
        <v>9.4200000000000002E-4</v>
      </c>
      <c r="D528">
        <v>8.7799999999999998E-4</v>
      </c>
      <c r="E528">
        <v>9.3999999999999997E-4</v>
      </c>
      <c r="F528">
        <v>79825.69</v>
      </c>
      <c r="G528">
        <v>0</v>
      </c>
      <c r="L528" t="s">
        <v>8</v>
      </c>
      <c r="M528" t="s">
        <v>7</v>
      </c>
      <c r="N528" t="s">
        <v>7</v>
      </c>
      <c r="P528">
        <f t="shared" si="984"/>
        <v>0.93749999999999856</v>
      </c>
      <c r="Q528">
        <f t="shared" si="985"/>
        <v>74836.584374999889</v>
      </c>
      <c r="R528">
        <f t="shared" si="986"/>
        <v>-5970926.8209927483</v>
      </c>
      <c r="S528">
        <f t="shared" si="987"/>
        <v>-59.70926820992748</v>
      </c>
      <c r="T528">
        <f t="shared" si="988"/>
        <v>-5.9709268209927481E-2</v>
      </c>
    </row>
    <row r="529" spans="1:20" x14ac:dyDescent="0.25">
      <c r="A529" s="5">
        <v>44064</v>
      </c>
      <c r="B529">
        <v>9.2500000000000004E-4</v>
      </c>
      <c r="C529">
        <v>9.7799999999999992E-4</v>
      </c>
      <c r="D529">
        <v>9.2100000000000005E-4</v>
      </c>
      <c r="E529">
        <v>9.3099999999999997E-4</v>
      </c>
      <c r="F529">
        <v>69866.47</v>
      </c>
      <c r="G529">
        <v>0</v>
      </c>
      <c r="L529" t="s">
        <v>7</v>
      </c>
      <c r="M529" t="s">
        <v>8</v>
      </c>
      <c r="N529" t="s">
        <v>7</v>
      </c>
      <c r="P529">
        <f t="shared" si="984"/>
        <v>-0.64912280701754588</v>
      </c>
      <c r="Q529">
        <f t="shared" si="985"/>
        <v>-45351.919122807158</v>
      </c>
      <c r="R529">
        <f t="shared" si="986"/>
        <v>-6045763.4053677479</v>
      </c>
      <c r="S529">
        <f t="shared" si="987"/>
        <v>-60.457634053677481</v>
      </c>
      <c r="T529">
        <f t="shared" si="988"/>
        <v>-6.0457634053677482E-2</v>
      </c>
    </row>
    <row r="530" spans="1:20" x14ac:dyDescent="0.25">
      <c r="A530" s="5">
        <v>44063</v>
      </c>
      <c r="B530">
        <v>9.0399999999999996E-4</v>
      </c>
      <c r="C530">
        <v>9.2699999999999998E-4</v>
      </c>
      <c r="D530">
        <v>8.8999999999999995E-4</v>
      </c>
      <c r="E530">
        <v>9.2500000000000004E-4</v>
      </c>
      <c r="F530">
        <v>33837.620000000003</v>
      </c>
      <c r="G530">
        <v>0</v>
      </c>
      <c r="L530" t="s">
        <v>8</v>
      </c>
      <c r="M530" t="s">
        <v>8</v>
      </c>
      <c r="N530" t="s">
        <v>7</v>
      </c>
      <c r="P530">
        <f t="shared" si="984"/>
        <v>0.89189189189189522</v>
      </c>
      <c r="Q530">
        <f t="shared" si="985"/>
        <v>30179.498918919035</v>
      </c>
      <c r="R530">
        <f t="shared" si="986"/>
        <v>-6000411.4862449411</v>
      </c>
      <c r="S530">
        <f t="shared" si="987"/>
        <v>-60.004114862449413</v>
      </c>
      <c r="T530">
        <f t="shared" si="988"/>
        <v>-6.0004114862449415E-2</v>
      </c>
    </row>
    <row r="531" spans="1:20" x14ac:dyDescent="0.25">
      <c r="A531" s="5">
        <v>44062</v>
      </c>
      <c r="B531">
        <v>9.4399999999999996E-4</v>
      </c>
      <c r="C531">
        <v>9.6900000000000003E-4</v>
      </c>
      <c r="D531">
        <v>8.8999999999999995E-4</v>
      </c>
      <c r="E531">
        <v>9.0300000000000005E-4</v>
      </c>
      <c r="F531">
        <v>51243.59</v>
      </c>
      <c r="G531">
        <v>0</v>
      </c>
      <c r="L531" t="s">
        <v>7</v>
      </c>
      <c r="M531" t="s">
        <v>8</v>
      </c>
      <c r="N531" t="s">
        <v>7</v>
      </c>
      <c r="P531">
        <f t="shared" si="984"/>
        <v>-0.67088607594936489</v>
      </c>
      <c r="Q531">
        <f t="shared" si="985"/>
        <v>-34378.611012658112</v>
      </c>
      <c r="R531">
        <f t="shared" si="986"/>
        <v>-6030590.98516386</v>
      </c>
      <c r="S531">
        <f t="shared" si="987"/>
        <v>-60.305909851638603</v>
      </c>
      <c r="T531">
        <f t="shared" si="988"/>
        <v>-6.0305909851638605E-2</v>
      </c>
    </row>
    <row r="532" spans="1:20" x14ac:dyDescent="0.25">
      <c r="A532" s="5">
        <v>44061</v>
      </c>
      <c r="B532">
        <v>9.6100000000000005E-4</v>
      </c>
      <c r="C532">
        <v>9.9200000000000004E-4</v>
      </c>
      <c r="D532">
        <v>9.2800000000000001E-4</v>
      </c>
      <c r="E532">
        <v>9.4399999999999996E-4</v>
      </c>
      <c r="F532">
        <v>35766.080000000002</v>
      </c>
      <c r="G532">
        <v>0</v>
      </c>
      <c r="L532" t="s">
        <v>8</v>
      </c>
      <c r="M532" t="s">
        <v>8</v>
      </c>
      <c r="N532" t="s">
        <v>7</v>
      </c>
      <c r="P532">
        <f t="shared" si="984"/>
        <v>-0.50000000000000167</v>
      </c>
      <c r="Q532">
        <f t="shared" si="985"/>
        <v>-17883.040000000059</v>
      </c>
      <c r="R532">
        <f t="shared" si="986"/>
        <v>-5996212.3741512019</v>
      </c>
      <c r="S532">
        <f t="shared" si="987"/>
        <v>-59.962123741512016</v>
      </c>
      <c r="T532">
        <f t="shared" si="988"/>
        <v>-5.9962123741512018E-2</v>
      </c>
    </row>
    <row r="533" spans="1:20" x14ac:dyDescent="0.25">
      <c r="A533" s="5">
        <v>44060</v>
      </c>
      <c r="B533">
        <v>9.8299999999999993E-4</v>
      </c>
      <c r="C533">
        <v>1.021E-3</v>
      </c>
      <c r="D533">
        <v>9.2000000000000003E-4</v>
      </c>
      <c r="E533">
        <v>9.6100000000000005E-4</v>
      </c>
      <c r="F533">
        <v>125363.82</v>
      </c>
      <c r="G533">
        <v>0</v>
      </c>
      <c r="L533" t="s">
        <v>7</v>
      </c>
      <c r="M533" t="s">
        <v>8</v>
      </c>
      <c r="N533" t="s">
        <v>7</v>
      </c>
      <c r="P533">
        <f t="shared" si="984"/>
        <v>-0.1881188118811874</v>
      </c>
      <c r="Q533">
        <f t="shared" si="985"/>
        <v>-23583.292871287038</v>
      </c>
      <c r="R533">
        <f t="shared" si="986"/>
        <v>-5978329.3341512019</v>
      </c>
      <c r="S533">
        <f t="shared" si="987"/>
        <v>-59.783293341512021</v>
      </c>
      <c r="T533">
        <f t="shared" si="988"/>
        <v>-5.9783293341512021E-2</v>
      </c>
    </row>
    <row r="534" spans="1:20" x14ac:dyDescent="0.25">
      <c r="A534" s="5">
        <v>44059</v>
      </c>
      <c r="B534">
        <v>9.5E-4</v>
      </c>
      <c r="C534">
        <v>1.0280000000000001E-3</v>
      </c>
      <c r="D534">
        <v>9.4300000000000004E-4</v>
      </c>
      <c r="E534">
        <v>9.8299999999999993E-4</v>
      </c>
      <c r="F534">
        <v>106558.46</v>
      </c>
      <c r="G534">
        <v>0</v>
      </c>
      <c r="L534" t="s">
        <v>8</v>
      </c>
      <c r="M534" t="s">
        <v>8</v>
      </c>
      <c r="N534" t="s">
        <v>7</v>
      </c>
      <c r="P534">
        <f t="shared" si="984"/>
        <v>-5.8823529411767404E-2</v>
      </c>
      <c r="Q534">
        <f t="shared" si="985"/>
        <v>-6268.1447058826407</v>
      </c>
      <c r="R534">
        <f t="shared" si="986"/>
        <v>-5954746.0412799148</v>
      </c>
      <c r="S534">
        <f t="shared" si="987"/>
        <v>-59.547460412799147</v>
      </c>
      <c r="T534">
        <f t="shared" si="988"/>
        <v>-5.9547460412799146E-2</v>
      </c>
    </row>
    <row r="535" spans="1:20" x14ac:dyDescent="0.25">
      <c r="A535" s="5">
        <v>44058</v>
      </c>
      <c r="B535">
        <v>9.2800000000000001E-4</v>
      </c>
      <c r="C535">
        <v>9.7000000000000005E-4</v>
      </c>
      <c r="D535">
        <v>9.1699999999999995E-4</v>
      </c>
      <c r="E535">
        <v>9.4899999999999997E-4</v>
      </c>
      <c r="F535">
        <v>62395.7</v>
      </c>
      <c r="G535">
        <v>0</v>
      </c>
      <c r="L535" t="s">
        <v>8</v>
      </c>
      <c r="M535" t="s">
        <v>8</v>
      </c>
      <c r="N535" t="s">
        <v>7</v>
      </c>
      <c r="P535">
        <f t="shared" si="984"/>
        <v>0.20754716981131929</v>
      </c>
      <c r="Q535">
        <f t="shared" si="985"/>
        <v>12950.050943396134</v>
      </c>
      <c r="R535">
        <f t="shared" si="986"/>
        <v>-5948477.8965740325</v>
      </c>
      <c r="S535">
        <f t="shared" si="987"/>
        <v>-59.484778965740325</v>
      </c>
      <c r="T535">
        <f t="shared" si="988"/>
        <v>-5.9484778965740323E-2</v>
      </c>
    </row>
    <row r="536" spans="1:20" x14ac:dyDescent="0.25">
      <c r="A536" s="5">
        <v>44057</v>
      </c>
      <c r="B536">
        <v>9.3000000000000005E-4</v>
      </c>
      <c r="C536">
        <v>9.3999999999999997E-4</v>
      </c>
      <c r="D536">
        <v>9.19E-4</v>
      </c>
      <c r="E536">
        <v>9.3000000000000005E-4</v>
      </c>
      <c r="F536">
        <v>29359.68</v>
      </c>
      <c r="G536">
        <v>0</v>
      </c>
      <c r="L536" t="s">
        <v>7</v>
      </c>
      <c r="M536" t="s">
        <v>8</v>
      </c>
      <c r="N536" t="s">
        <v>7</v>
      </c>
      <c r="P536">
        <f t="shared" si="984"/>
        <v>4.7619047619054014E-2</v>
      </c>
      <c r="Q536">
        <f t="shared" si="985"/>
        <v>1398.0800000001877</v>
      </c>
      <c r="R536">
        <f t="shared" si="986"/>
        <v>-5961427.9475174285</v>
      </c>
      <c r="S536">
        <f t="shared" si="987"/>
        <v>-59.614279475174285</v>
      </c>
      <c r="T536">
        <f t="shared" si="988"/>
        <v>-5.9614279475174288E-2</v>
      </c>
    </row>
    <row r="537" spans="1:20" x14ac:dyDescent="0.25">
      <c r="A537" s="5">
        <v>44056</v>
      </c>
      <c r="B537">
        <v>9.1600000000000004E-4</v>
      </c>
      <c r="C537">
        <v>9.8999999999999999E-4</v>
      </c>
      <c r="D537">
        <v>9.1399999999999999E-4</v>
      </c>
      <c r="E537">
        <v>9.3000000000000005E-4</v>
      </c>
      <c r="F537">
        <v>116068.5</v>
      </c>
      <c r="G537">
        <v>0</v>
      </c>
      <c r="L537" t="s">
        <v>8</v>
      </c>
      <c r="M537" t="s">
        <v>8</v>
      </c>
      <c r="N537" t="s">
        <v>7</v>
      </c>
      <c r="P537">
        <f t="shared" si="984"/>
        <v>-0.57894736842105099</v>
      </c>
      <c r="Q537">
        <f t="shared" si="985"/>
        <v>-67197.552631578757</v>
      </c>
      <c r="R537">
        <f t="shared" si="986"/>
        <v>-5962826.0275174286</v>
      </c>
      <c r="S537">
        <f t="shared" si="987"/>
        <v>-59.628260275174284</v>
      </c>
      <c r="T537">
        <f t="shared" si="988"/>
        <v>-5.9628260275174282E-2</v>
      </c>
    </row>
    <row r="538" spans="1:20" x14ac:dyDescent="0.25">
      <c r="A538" s="5">
        <v>44055</v>
      </c>
      <c r="B538">
        <v>9.2800000000000001E-4</v>
      </c>
      <c r="C538">
        <v>9.5500000000000001E-4</v>
      </c>
      <c r="D538">
        <v>8.9400000000000005E-4</v>
      </c>
      <c r="E538">
        <v>9.1799999999999998E-4</v>
      </c>
      <c r="F538">
        <v>119852.74</v>
      </c>
      <c r="G538">
        <v>0</v>
      </c>
      <c r="L538" t="s">
        <v>7</v>
      </c>
      <c r="M538" t="s">
        <v>8</v>
      </c>
      <c r="N538" t="s">
        <v>7</v>
      </c>
      <c r="P538">
        <f t="shared" si="984"/>
        <v>-0.21311475409836239</v>
      </c>
      <c r="Q538">
        <f t="shared" si="985"/>
        <v>-25542.387213114962</v>
      </c>
      <c r="R538">
        <f t="shared" si="986"/>
        <v>-5895628.4748858502</v>
      </c>
      <c r="S538">
        <f t="shared" si="987"/>
        <v>-58.956284748858501</v>
      </c>
      <c r="T538">
        <f t="shared" si="988"/>
        <v>-5.8956284748858501E-2</v>
      </c>
    </row>
    <row r="539" spans="1:20" x14ac:dyDescent="0.25">
      <c r="A539" s="5">
        <v>44054</v>
      </c>
      <c r="B539">
        <v>8.1999999999999998E-4</v>
      </c>
      <c r="C539">
        <v>9.5799999999999998E-4</v>
      </c>
      <c r="D539">
        <v>8.0900000000000004E-4</v>
      </c>
      <c r="E539">
        <v>9.3000000000000005E-4</v>
      </c>
      <c r="F539">
        <v>213830.25</v>
      </c>
      <c r="G539">
        <v>0</v>
      </c>
      <c r="L539" t="s">
        <v>8</v>
      </c>
      <c r="M539" t="s">
        <v>8</v>
      </c>
      <c r="N539" t="s">
        <v>7</v>
      </c>
      <c r="P539">
        <f t="shared" si="984"/>
        <v>0.62416107382550423</v>
      </c>
      <c r="Q539">
        <f t="shared" si="985"/>
        <v>133464.51845637601</v>
      </c>
      <c r="R539">
        <f t="shared" si="986"/>
        <v>-5870086.0876727356</v>
      </c>
      <c r="S539">
        <f t="shared" si="987"/>
        <v>-58.700860876727354</v>
      </c>
      <c r="T539">
        <f t="shared" si="988"/>
        <v>-5.8700860876727351E-2</v>
      </c>
    </row>
    <row r="540" spans="1:20" x14ac:dyDescent="0.25">
      <c r="A540" s="5">
        <v>44053</v>
      </c>
      <c r="B540">
        <v>8.2200000000000003E-4</v>
      </c>
      <c r="C540">
        <v>8.2299999999999995E-4</v>
      </c>
      <c r="D540">
        <v>7.7499999999999997E-4</v>
      </c>
      <c r="E540">
        <v>8.1999999999999998E-4</v>
      </c>
      <c r="F540">
        <v>45255.360000000001</v>
      </c>
      <c r="G540">
        <v>0</v>
      </c>
      <c r="L540" t="s">
        <v>7</v>
      </c>
      <c r="M540" t="s">
        <v>8</v>
      </c>
      <c r="N540" t="s">
        <v>7</v>
      </c>
      <c r="P540">
        <f t="shared" si="984"/>
        <v>0.87500000000000144</v>
      </c>
      <c r="Q540">
        <f t="shared" si="985"/>
        <v>39598.440000000068</v>
      </c>
      <c r="R540">
        <f t="shared" si="986"/>
        <v>-6003550.6061291117</v>
      </c>
      <c r="S540">
        <f t="shared" si="987"/>
        <v>-60.035506061291116</v>
      </c>
      <c r="T540">
        <f t="shared" si="988"/>
        <v>-6.0035506061291113E-2</v>
      </c>
    </row>
    <row r="541" spans="1:20" x14ac:dyDescent="0.25">
      <c r="A541" s="5">
        <v>44052</v>
      </c>
      <c r="B541">
        <v>8.1800000000000004E-4</v>
      </c>
      <c r="C541">
        <v>8.3199999999999995E-4</v>
      </c>
      <c r="D541">
        <v>8.12E-4</v>
      </c>
      <c r="E541">
        <v>8.2200000000000003E-4</v>
      </c>
      <c r="F541">
        <v>22293.91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5.4210108624275372E-15</v>
      </c>
      <c r="Q541">
        <f t="shared" si="985"/>
        <v>1.208555282759819E-10</v>
      </c>
      <c r="R541">
        <f t="shared" si="986"/>
        <v>-6043149.0461291121</v>
      </c>
      <c r="S541">
        <f t="shared" si="987"/>
        <v>-60.431490461291119</v>
      </c>
      <c r="T541">
        <f t="shared" si="988"/>
        <v>-6.0431490461291121E-2</v>
      </c>
    </row>
    <row r="542" spans="1:20" x14ac:dyDescent="0.25">
      <c r="A542" s="5">
        <v>44051</v>
      </c>
      <c r="B542">
        <v>8.4000000000000003E-4</v>
      </c>
      <c r="C542">
        <v>8.4800000000000001E-4</v>
      </c>
      <c r="D542">
        <v>8.0800000000000002E-4</v>
      </c>
      <c r="E542">
        <v>8.1499999999999997E-4</v>
      </c>
      <c r="F542">
        <v>31541.02</v>
      </c>
      <c r="G542">
        <v>0</v>
      </c>
      <c r="L542" t="s">
        <v>7</v>
      </c>
      <c r="M542" t="s">
        <v>8</v>
      </c>
      <c r="N542" t="s">
        <v>7</v>
      </c>
      <c r="P542">
        <f t="shared" si="984"/>
        <v>-0.65000000000000235</v>
      </c>
      <c r="Q542">
        <f t="shared" si="985"/>
        <v>-20501.663000000073</v>
      </c>
      <c r="R542">
        <f t="shared" si="986"/>
        <v>-6043149.0461291121</v>
      </c>
      <c r="S542">
        <f t="shared" si="987"/>
        <v>-60.431490461291119</v>
      </c>
      <c r="T542">
        <f t="shared" si="988"/>
        <v>-6.0431490461291121E-2</v>
      </c>
    </row>
    <row r="543" spans="1:20" x14ac:dyDescent="0.25">
      <c r="A543" s="5">
        <v>44050</v>
      </c>
      <c r="B543">
        <v>8.4599999999999996E-4</v>
      </c>
      <c r="C543">
        <v>8.5300000000000003E-4</v>
      </c>
      <c r="D543">
        <v>8.1400000000000005E-4</v>
      </c>
      <c r="E543">
        <v>8.4000000000000003E-4</v>
      </c>
      <c r="F543">
        <v>18014.62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0.33333333333333331</v>
      </c>
      <c r="Q543">
        <f t="shared" si="985"/>
        <v>6004.873333333333</v>
      </c>
      <c r="R543">
        <f t="shared" si="986"/>
        <v>-6022647.3831291124</v>
      </c>
      <c r="S543">
        <f t="shared" si="987"/>
        <v>-60.226473831291123</v>
      </c>
      <c r="T543">
        <f t="shared" si="988"/>
        <v>-6.0226473831291122E-2</v>
      </c>
    </row>
    <row r="544" spans="1:20" x14ac:dyDescent="0.25">
      <c r="A544" s="5">
        <v>44049</v>
      </c>
      <c r="B544">
        <v>8.4000000000000003E-4</v>
      </c>
      <c r="C544">
        <v>8.5300000000000003E-4</v>
      </c>
      <c r="D544">
        <v>8.2899999999999998E-4</v>
      </c>
      <c r="E544">
        <v>8.4599999999999996E-4</v>
      </c>
      <c r="F544">
        <v>23322.99</v>
      </c>
      <c r="G544">
        <v>0</v>
      </c>
      <c r="L544" t="s">
        <v>7</v>
      </c>
      <c r="M544" t="s">
        <v>8</v>
      </c>
      <c r="N544" t="s">
        <v>7</v>
      </c>
      <c r="P544">
        <f t="shared" si="984"/>
        <v>0.41666666666666252</v>
      </c>
      <c r="Q544">
        <f t="shared" si="985"/>
        <v>9717.912499999904</v>
      </c>
      <c r="R544">
        <f t="shared" si="986"/>
        <v>-6028652.2564624455</v>
      </c>
      <c r="S544">
        <f t="shared" si="987"/>
        <v>-60.286522564624455</v>
      </c>
      <c r="T544">
        <f t="shared" si="988"/>
        <v>-6.0286522564624453E-2</v>
      </c>
    </row>
    <row r="545" spans="1:20" x14ac:dyDescent="0.25">
      <c r="A545" s="5">
        <v>44048</v>
      </c>
      <c r="B545">
        <v>8.5700000000000001E-4</v>
      </c>
      <c r="C545">
        <v>8.5899999999999995E-4</v>
      </c>
      <c r="D545">
        <v>8.2200000000000003E-4</v>
      </c>
      <c r="E545">
        <v>8.4000000000000003E-4</v>
      </c>
      <c r="F545">
        <v>19697.77</v>
      </c>
      <c r="G545">
        <v>0</v>
      </c>
      <c r="L545" t="s">
        <v>8</v>
      </c>
      <c r="M545" t="s">
        <v>8</v>
      </c>
      <c r="N545" t="s">
        <v>7</v>
      </c>
      <c r="P545">
        <f t="shared" si="984"/>
        <v>-2.7027027027024808E-2</v>
      </c>
      <c r="Q545">
        <f t="shared" si="985"/>
        <v>-532.37216216211846</v>
      </c>
      <c r="R545">
        <f t="shared" si="986"/>
        <v>-6038370.1689624451</v>
      </c>
      <c r="S545">
        <f t="shared" si="987"/>
        <v>-60.383701689624452</v>
      </c>
      <c r="T545">
        <f t="shared" si="988"/>
        <v>-6.0383701689624453E-2</v>
      </c>
    </row>
    <row r="546" spans="1:20" x14ac:dyDescent="0.25">
      <c r="A546" s="5">
        <v>44047</v>
      </c>
      <c r="B546">
        <v>8.5700000000000001E-4</v>
      </c>
      <c r="C546">
        <v>8.6399999999999997E-4</v>
      </c>
      <c r="D546">
        <v>8.3299999999999997E-4</v>
      </c>
      <c r="E546">
        <v>8.5700000000000001E-4</v>
      </c>
      <c r="F546">
        <v>47625.08</v>
      </c>
      <c r="G546">
        <v>0</v>
      </c>
      <c r="L546" t="s">
        <v>7</v>
      </c>
      <c r="M546" t="s">
        <v>8</v>
      </c>
      <c r="N546" t="s">
        <v>7</v>
      </c>
      <c r="P546">
        <f t="shared" si="984"/>
        <v>0.5483870967741965</v>
      </c>
      <c r="Q546">
        <f t="shared" si="985"/>
        <v>26116.979354838852</v>
      </c>
      <c r="R546">
        <f t="shared" si="986"/>
        <v>-6037837.7968002828</v>
      </c>
      <c r="S546">
        <f t="shared" si="987"/>
        <v>-60.37837796800283</v>
      </c>
      <c r="T546">
        <f t="shared" si="988"/>
        <v>-6.0378377968002828E-2</v>
      </c>
    </row>
    <row r="547" spans="1:20" x14ac:dyDescent="0.25">
      <c r="A547" s="5">
        <v>44046</v>
      </c>
      <c r="B547">
        <v>8.5099999999999998E-4</v>
      </c>
      <c r="C547">
        <v>8.7900000000000001E-4</v>
      </c>
      <c r="D547">
        <v>8.43E-4</v>
      </c>
      <c r="E547">
        <v>8.5599999999999999E-4</v>
      </c>
      <c r="F547">
        <v>36849.919999999998</v>
      </c>
      <c r="G547">
        <v>0</v>
      </c>
      <c r="L547" t="s">
        <v>8</v>
      </c>
      <c r="M547" t="s">
        <v>8</v>
      </c>
      <c r="N547" t="s">
        <v>7</v>
      </c>
      <c r="P547">
        <f t="shared" si="984"/>
        <v>-0.27777777777777846</v>
      </c>
      <c r="Q547">
        <f t="shared" si="985"/>
        <v>-10236.088888888913</v>
      </c>
      <c r="R547">
        <f t="shared" si="986"/>
        <v>-6063954.7761551216</v>
      </c>
      <c r="S547">
        <f t="shared" si="987"/>
        <v>-60.639547761551214</v>
      </c>
      <c r="T547">
        <f t="shared" si="988"/>
        <v>-6.0639547761551213E-2</v>
      </c>
    </row>
    <row r="548" spans="1:20" x14ac:dyDescent="0.25">
      <c r="A548" s="5">
        <v>44045</v>
      </c>
      <c r="B548">
        <v>8.5999999999999998E-4</v>
      </c>
      <c r="C548">
        <v>9.2199999999999997E-4</v>
      </c>
      <c r="D548">
        <v>8.4000000000000003E-4</v>
      </c>
      <c r="E548">
        <v>8.5400000000000005E-4</v>
      </c>
      <c r="F548">
        <v>79682.58</v>
      </c>
      <c r="G548">
        <v>0</v>
      </c>
      <c r="L548" t="s">
        <v>7</v>
      </c>
      <c r="M548" t="s">
        <v>8</v>
      </c>
      <c r="N548" t="s">
        <v>7</v>
      </c>
      <c r="P548">
        <f t="shared" si="984"/>
        <v>-0.65853658536585302</v>
      </c>
      <c r="Q548">
        <f t="shared" si="985"/>
        <v>-52473.894146341416</v>
      </c>
      <c r="R548">
        <f t="shared" si="986"/>
        <v>-6053718.6872662324</v>
      </c>
      <c r="S548">
        <f t="shared" si="987"/>
        <v>-60.537186872662325</v>
      </c>
      <c r="T548">
        <f t="shared" si="988"/>
        <v>-6.0537186872662324E-2</v>
      </c>
    </row>
    <row r="549" spans="1:20" x14ac:dyDescent="0.25">
      <c r="A549" s="5">
        <v>44044</v>
      </c>
      <c r="B549">
        <v>8.5800000000000004E-4</v>
      </c>
      <c r="C549">
        <v>9.0499999999999999E-4</v>
      </c>
      <c r="D549">
        <v>8.3000000000000001E-4</v>
      </c>
      <c r="E549">
        <v>8.5999999999999998E-4</v>
      </c>
      <c r="F549">
        <v>106044.09</v>
      </c>
      <c r="G549">
        <v>0</v>
      </c>
      <c r="L549" t="s">
        <v>8</v>
      </c>
      <c r="M549" t="s">
        <v>8</v>
      </c>
      <c r="N549" t="s">
        <v>7</v>
      </c>
      <c r="P549">
        <f t="shared" si="984"/>
        <v>-0.20000000000000057</v>
      </c>
      <c r="Q549">
        <f t="shared" si="985"/>
        <v>-21208.818000000061</v>
      </c>
      <c r="R549">
        <f t="shared" si="986"/>
        <v>-6001244.7931198906</v>
      </c>
      <c r="S549">
        <f t="shared" si="987"/>
        <v>-60.012447931198906</v>
      </c>
      <c r="T549">
        <f t="shared" si="988"/>
        <v>-6.0012447931198906E-2</v>
      </c>
    </row>
    <row r="550" spans="1:20" x14ac:dyDescent="0.25">
      <c r="A550" s="5">
        <v>44043</v>
      </c>
      <c r="B550">
        <v>8.5099999999999998E-4</v>
      </c>
      <c r="C550">
        <v>8.7900000000000001E-4</v>
      </c>
      <c r="D550">
        <v>8.3299999999999997E-4</v>
      </c>
      <c r="E550">
        <v>8.5899999999999995E-4</v>
      </c>
      <c r="F550">
        <v>28296.92</v>
      </c>
      <c r="G550">
        <v>0</v>
      </c>
      <c r="L550" t="s">
        <v>7</v>
      </c>
      <c r="M550" t="s">
        <v>8</v>
      </c>
      <c r="N550" t="s">
        <v>7</v>
      </c>
      <c r="P550">
        <f t="shared" si="984"/>
        <v>0.13043478260869401</v>
      </c>
      <c r="Q550">
        <f t="shared" si="985"/>
        <v>3690.9026086956055</v>
      </c>
      <c r="R550">
        <f t="shared" si="986"/>
        <v>-5980035.9751198906</v>
      </c>
      <c r="S550">
        <f t="shared" si="987"/>
        <v>-59.800359751198904</v>
      </c>
      <c r="T550">
        <f t="shared" si="988"/>
        <v>-5.9800359751198906E-2</v>
      </c>
    </row>
    <row r="551" spans="1:20" x14ac:dyDescent="0.25">
      <c r="A551" s="5">
        <v>44042</v>
      </c>
      <c r="B551">
        <v>8.52E-4</v>
      </c>
      <c r="C551">
        <v>8.9899999999999995E-4</v>
      </c>
      <c r="D551">
        <v>8.2799999999999996E-4</v>
      </c>
      <c r="E551">
        <v>8.5400000000000005E-4</v>
      </c>
      <c r="F551">
        <v>39760.980000000003</v>
      </c>
      <c r="G551">
        <v>0</v>
      </c>
      <c r="L551" t="s">
        <v>8</v>
      </c>
      <c r="M551" t="s">
        <v>8</v>
      </c>
      <c r="N551" t="s">
        <v>7</v>
      </c>
      <c r="P551">
        <f t="shared" si="984"/>
        <v>-0.26760563380281427</v>
      </c>
      <c r="Q551">
        <f t="shared" si="985"/>
        <v>-10640.262253521023</v>
      </c>
      <c r="R551">
        <f t="shared" si="986"/>
        <v>-5983726.8777285861</v>
      </c>
      <c r="S551">
        <f t="shared" si="987"/>
        <v>-59.837268777285864</v>
      </c>
      <c r="T551">
        <f t="shared" si="988"/>
        <v>-5.9837268777285867E-2</v>
      </c>
    </row>
    <row r="552" spans="1:20" x14ac:dyDescent="0.25">
      <c r="A552" s="5">
        <v>44041</v>
      </c>
      <c r="B552">
        <v>8.6200000000000003E-4</v>
      </c>
      <c r="C552">
        <v>9.1100000000000003E-4</v>
      </c>
      <c r="D552">
        <v>7.1599999999999995E-4</v>
      </c>
      <c r="E552">
        <v>8.52E-4</v>
      </c>
      <c r="F552">
        <v>43839.12</v>
      </c>
      <c r="G552">
        <v>0</v>
      </c>
      <c r="L552" t="s">
        <v>7</v>
      </c>
      <c r="M552" t="s">
        <v>7</v>
      </c>
      <c r="N552" t="s">
        <v>7</v>
      </c>
      <c r="P552">
        <f t="shared" si="984"/>
        <v>0.39487179487179486</v>
      </c>
      <c r="Q552">
        <f t="shared" si="985"/>
        <v>17310.832000000002</v>
      </c>
      <c r="R552">
        <f t="shared" si="986"/>
        <v>-5973086.6154750651</v>
      </c>
      <c r="S552">
        <f t="shared" si="987"/>
        <v>-59.73086615475065</v>
      </c>
      <c r="T552">
        <f t="shared" si="988"/>
        <v>-5.973086615475065E-2</v>
      </c>
    </row>
    <row r="553" spans="1:20" x14ac:dyDescent="0.25">
      <c r="A553" s="5">
        <v>44040</v>
      </c>
      <c r="B553">
        <v>8.3299999999999997E-4</v>
      </c>
      <c r="C553">
        <v>9.4499999999999998E-4</v>
      </c>
      <c r="D553">
        <v>8.0999999999999996E-4</v>
      </c>
      <c r="E553">
        <v>8.6600000000000002E-4</v>
      </c>
      <c r="F553">
        <v>99918.51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-0.17037037037036964</v>
      </c>
      <c r="Q553">
        <f t="shared" si="985"/>
        <v>-17023.153555555484</v>
      </c>
      <c r="R553">
        <f t="shared" si="986"/>
        <v>-5990397.4474750655</v>
      </c>
      <c r="S553">
        <f t="shared" si="987"/>
        <v>-59.903974474750655</v>
      </c>
      <c r="T553">
        <f t="shared" si="988"/>
        <v>-5.9903974474750654E-2</v>
      </c>
    </row>
    <row r="554" spans="1:20" x14ac:dyDescent="0.25">
      <c r="A554" s="5">
        <v>44039</v>
      </c>
      <c r="B554">
        <v>9.2000000000000003E-4</v>
      </c>
      <c r="C554">
        <v>9.2000000000000003E-4</v>
      </c>
      <c r="D554">
        <v>7.8899999999999999E-4</v>
      </c>
      <c r="E554">
        <v>8.2700000000000004E-4</v>
      </c>
      <c r="F554">
        <v>74720.820000000007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-0.41984732824427412</v>
      </c>
      <c r="Q554">
        <f t="shared" si="985"/>
        <v>-31371.336641221325</v>
      </c>
      <c r="R554">
        <f t="shared" si="986"/>
        <v>-5973374.2939195102</v>
      </c>
      <c r="S554">
        <f t="shared" si="987"/>
        <v>-59.733742939195103</v>
      </c>
      <c r="T554">
        <f t="shared" si="988"/>
        <v>-5.9733742939195103E-2</v>
      </c>
    </row>
    <row r="555" spans="1:20" x14ac:dyDescent="0.25">
      <c r="A555" s="5">
        <v>44038</v>
      </c>
      <c r="B555">
        <v>9.3700000000000001E-4</v>
      </c>
      <c r="C555">
        <v>9.5100000000000002E-4</v>
      </c>
      <c r="D555">
        <v>8.9300000000000002E-4</v>
      </c>
      <c r="E555">
        <v>9.2000000000000003E-4</v>
      </c>
      <c r="F555">
        <v>44118.32</v>
      </c>
      <c r="G555">
        <v>0</v>
      </c>
      <c r="L555" t="s">
        <v>8</v>
      </c>
      <c r="M555" t="s">
        <v>7</v>
      </c>
      <c r="N555" t="s">
        <v>7</v>
      </c>
      <c r="P555">
        <f t="shared" si="984"/>
        <v>-6.8965517241379115E-2</v>
      </c>
      <c r="Q555">
        <f t="shared" si="985"/>
        <v>-3042.642758620681</v>
      </c>
      <c r="R555">
        <f t="shared" si="986"/>
        <v>-5942002.9572782889</v>
      </c>
      <c r="S555">
        <f t="shared" si="987"/>
        <v>-59.420029572782887</v>
      </c>
      <c r="T555">
        <f t="shared" si="988"/>
        <v>-5.942002957278289E-2</v>
      </c>
    </row>
    <row r="556" spans="1:20" x14ac:dyDescent="0.25">
      <c r="A556" s="5">
        <v>44037</v>
      </c>
      <c r="B556">
        <v>9.4899999999999997E-4</v>
      </c>
      <c r="C556">
        <v>9.5399999999999999E-4</v>
      </c>
      <c r="D556">
        <v>9.3400000000000004E-4</v>
      </c>
      <c r="E556">
        <v>9.3700000000000001E-4</v>
      </c>
      <c r="F556">
        <v>24142.68</v>
      </c>
      <c r="G556">
        <v>0</v>
      </c>
      <c r="L556" t="s">
        <v>7</v>
      </c>
      <c r="M556" t="s">
        <v>7</v>
      </c>
      <c r="N556" t="s">
        <v>7</v>
      </c>
      <c r="P556">
        <f t="shared" si="984"/>
        <v>-0.70000000000000273</v>
      </c>
      <c r="Q556">
        <f t="shared" si="985"/>
        <v>-16899.876000000066</v>
      </c>
      <c r="R556">
        <f t="shared" si="986"/>
        <v>-5938960.314519668</v>
      </c>
      <c r="S556">
        <f t="shared" si="987"/>
        <v>-59.389603145196681</v>
      </c>
      <c r="T556">
        <f t="shared" si="988"/>
        <v>-5.938960314519668E-2</v>
      </c>
    </row>
    <row r="557" spans="1:20" x14ac:dyDescent="0.25">
      <c r="A557" s="5">
        <v>44036</v>
      </c>
      <c r="B557">
        <v>9.3499999999999996E-4</v>
      </c>
      <c r="C557">
        <v>9.5E-4</v>
      </c>
      <c r="D557">
        <v>9.2400000000000002E-4</v>
      </c>
      <c r="E557">
        <v>9.4600000000000001E-4</v>
      </c>
      <c r="F557">
        <v>24462.44</v>
      </c>
      <c r="G557">
        <v>0</v>
      </c>
      <c r="L557" t="s">
        <v>8</v>
      </c>
      <c r="M557" t="s">
        <v>7</v>
      </c>
      <c r="N557" t="s">
        <v>7</v>
      </c>
      <c r="P557">
        <f t="shared" si="984"/>
        <v>0.69230769230769296</v>
      </c>
      <c r="Q557">
        <f t="shared" si="985"/>
        <v>16935.535384615399</v>
      </c>
      <c r="R557">
        <f t="shared" si="986"/>
        <v>-5922060.4385196678</v>
      </c>
      <c r="S557">
        <f t="shared" si="987"/>
        <v>-59.22060438519668</v>
      </c>
      <c r="T557">
        <f t="shared" si="988"/>
        <v>-5.9220604385196676E-2</v>
      </c>
    </row>
    <row r="558" spans="1:20" x14ac:dyDescent="0.25">
      <c r="A558" s="5">
        <v>44035</v>
      </c>
      <c r="B558">
        <v>9.5299999999999996E-4</v>
      </c>
      <c r="C558">
        <v>9.6299999999999999E-4</v>
      </c>
      <c r="D558">
        <v>9.2500000000000004E-4</v>
      </c>
      <c r="E558">
        <v>9.3599999999999998E-4</v>
      </c>
      <c r="F558">
        <v>53313.45</v>
      </c>
      <c r="G558">
        <v>0</v>
      </c>
      <c r="L558" t="s">
        <v>7</v>
      </c>
      <c r="M558" t="s">
        <v>7</v>
      </c>
      <c r="N558" t="s">
        <v>7</v>
      </c>
      <c r="P558">
        <f t="shared" si="984"/>
        <v>-0.42105263157894962</v>
      </c>
      <c r="Q558">
        <f t="shared" si="985"/>
        <v>-22447.768421052751</v>
      </c>
      <c r="R558">
        <f t="shared" si="986"/>
        <v>-5938995.9739042828</v>
      </c>
      <c r="S558">
        <f t="shared" si="987"/>
        <v>-59.38995973904283</v>
      </c>
      <c r="T558">
        <f t="shared" si="988"/>
        <v>-5.9389959739042833E-2</v>
      </c>
    </row>
    <row r="559" spans="1:20" x14ac:dyDescent="0.25">
      <c r="A559" s="5">
        <v>44034</v>
      </c>
      <c r="B559">
        <v>9.5100000000000002E-4</v>
      </c>
      <c r="C559">
        <v>9.6100000000000005E-4</v>
      </c>
      <c r="D559">
        <v>9.3800000000000003E-4</v>
      </c>
      <c r="E559">
        <v>9.5299999999999996E-4</v>
      </c>
      <c r="F559">
        <v>34180.379999999997</v>
      </c>
      <c r="G559">
        <v>0</v>
      </c>
      <c r="L559" t="s">
        <v>8</v>
      </c>
      <c r="M559" t="s">
        <v>7</v>
      </c>
      <c r="N559" t="s">
        <v>7</v>
      </c>
      <c r="P559">
        <f t="shared" si="984"/>
        <v>0.30434782608694955</v>
      </c>
      <c r="Q559">
        <f t="shared" si="985"/>
        <v>10402.724347825848</v>
      </c>
      <c r="R559">
        <f t="shared" si="986"/>
        <v>-5916548.2054832298</v>
      </c>
      <c r="S559">
        <f t="shared" si="987"/>
        <v>-59.165482054832296</v>
      </c>
      <c r="T559">
        <f t="shared" si="988"/>
        <v>-5.9165482054832297E-2</v>
      </c>
    </row>
    <row r="560" spans="1:20" x14ac:dyDescent="0.25">
      <c r="A560" s="5">
        <v>44033</v>
      </c>
      <c r="B560">
        <v>9.5500000000000001E-4</v>
      </c>
      <c r="C560">
        <v>9.6100000000000005E-4</v>
      </c>
      <c r="D560">
        <v>9.3599999999999998E-4</v>
      </c>
      <c r="E560">
        <v>9.4600000000000001E-4</v>
      </c>
      <c r="F560">
        <v>38431.22</v>
      </c>
      <c r="G560">
        <v>0</v>
      </c>
      <c r="L560" t="s">
        <v>7</v>
      </c>
      <c r="M560" t="s">
        <v>7</v>
      </c>
      <c r="N560" t="s">
        <v>7</v>
      </c>
      <c r="P560">
        <f t="shared" si="984"/>
        <v>-0.2</v>
      </c>
      <c r="Q560">
        <f t="shared" si="985"/>
        <v>-7686.2440000000006</v>
      </c>
      <c r="R560">
        <f t="shared" si="986"/>
        <v>-5926950.9298310559</v>
      </c>
      <c r="S560">
        <f t="shared" si="987"/>
        <v>-59.26950929831056</v>
      </c>
      <c r="T560">
        <f t="shared" si="988"/>
        <v>-5.9269509298310562E-2</v>
      </c>
    </row>
    <row r="561" spans="1:104" x14ac:dyDescent="0.25">
      <c r="A561" s="5">
        <v>44032</v>
      </c>
      <c r="B561">
        <v>9.3599999999999998E-4</v>
      </c>
      <c r="C561">
        <v>9.9400000000000009E-4</v>
      </c>
      <c r="D561">
        <v>9.3400000000000004E-4</v>
      </c>
      <c r="E561">
        <v>9.5E-4</v>
      </c>
      <c r="F561">
        <v>101524.1</v>
      </c>
      <c r="G561">
        <v>0</v>
      </c>
      <c r="L561" t="s">
        <v>8</v>
      </c>
      <c r="M561" t="s">
        <v>7</v>
      </c>
      <c r="N561" t="s">
        <v>7</v>
      </c>
      <c r="P561">
        <f t="shared" si="984"/>
        <v>-0.46666666666666862</v>
      </c>
      <c r="Q561">
        <f t="shared" si="985"/>
        <v>-47377.913333333534</v>
      </c>
      <c r="R561">
        <f t="shared" si="986"/>
        <v>-5919264.685831056</v>
      </c>
      <c r="S561">
        <f t="shared" si="987"/>
        <v>-59.19264685831056</v>
      </c>
      <c r="T561">
        <f t="shared" si="988"/>
        <v>-5.9192646858310563E-2</v>
      </c>
      <c r="CZ561" t="s">
        <v>7</v>
      </c>
    </row>
    <row r="562" spans="1:104" x14ac:dyDescent="0.25">
      <c r="A562" s="5">
        <v>44031</v>
      </c>
      <c r="B562">
        <v>9.4700000000000003E-4</v>
      </c>
      <c r="C562">
        <v>9.4799999999999995E-4</v>
      </c>
      <c r="D562">
        <v>9.2800000000000001E-4</v>
      </c>
      <c r="E562">
        <v>9.3499999999999996E-4</v>
      </c>
      <c r="F562">
        <v>13826.65</v>
      </c>
      <c r="G562">
        <v>0</v>
      </c>
      <c r="L562" t="s">
        <v>7</v>
      </c>
      <c r="M562" t="s">
        <v>7</v>
      </c>
      <c r="N562" t="s">
        <v>7</v>
      </c>
      <c r="P562">
        <f t="shared" si="984"/>
        <v>-0.30000000000000271</v>
      </c>
      <c r="Q562">
        <f t="shared" si="985"/>
        <v>-4147.9950000000372</v>
      </c>
      <c r="R562">
        <f t="shared" si="986"/>
        <v>-5871886.7724977229</v>
      </c>
      <c r="S562">
        <f t="shared" si="987"/>
        <v>-58.71886772497723</v>
      </c>
      <c r="T562">
        <f t="shared" si="988"/>
        <v>-5.8718867724977232E-2</v>
      </c>
      <c r="CZ562" t="s">
        <v>7</v>
      </c>
    </row>
    <row r="563" spans="1:104" x14ac:dyDescent="0.25">
      <c r="A563" s="5">
        <v>44030</v>
      </c>
      <c r="B563">
        <v>9.3999999999999997E-4</v>
      </c>
      <c r="C563">
        <v>9.6500000000000004E-4</v>
      </c>
      <c r="D563">
        <v>9.2699999999999998E-4</v>
      </c>
      <c r="E563">
        <v>9.4799999999999995E-4</v>
      </c>
      <c r="F563">
        <v>29195.17</v>
      </c>
      <c r="G563">
        <v>0</v>
      </c>
      <c r="L563" t="s">
        <v>8</v>
      </c>
      <c r="M563" t="s">
        <v>7</v>
      </c>
      <c r="N563" t="s">
        <v>7</v>
      </c>
      <c r="P563">
        <f t="shared" si="984"/>
        <v>0.10526315789473353</v>
      </c>
      <c r="Q563">
        <f t="shared" si="985"/>
        <v>3073.1757894735874</v>
      </c>
      <c r="R563">
        <f t="shared" si="986"/>
        <v>-5867738.7774977228</v>
      </c>
      <c r="S563">
        <f t="shared" si="987"/>
        <v>-58.677387774977227</v>
      </c>
      <c r="T563">
        <f t="shared" si="988"/>
        <v>-5.8677387774977226E-2</v>
      </c>
      <c r="CZ563" t="s">
        <v>7</v>
      </c>
    </row>
    <row r="564" spans="1:104" x14ac:dyDescent="0.25">
      <c r="A564" s="5">
        <v>44029</v>
      </c>
      <c r="B564">
        <v>9.5100000000000002E-4</v>
      </c>
      <c r="C564">
        <v>9.5500000000000001E-4</v>
      </c>
      <c r="D564">
        <v>9.2400000000000002E-4</v>
      </c>
      <c r="E564">
        <v>9.3999999999999997E-4</v>
      </c>
      <c r="F564">
        <v>20942.2</v>
      </c>
      <c r="G564">
        <v>0</v>
      </c>
      <c r="L564" t="s">
        <v>7</v>
      </c>
      <c r="M564" t="s">
        <v>7</v>
      </c>
      <c r="N564" t="s">
        <v>7</v>
      </c>
      <c r="P564">
        <f t="shared" si="984"/>
        <v>3.2258064516126325E-2</v>
      </c>
      <c r="Q564">
        <f t="shared" si="985"/>
        <v>675.55483870962075</v>
      </c>
      <c r="R564">
        <f t="shared" si="986"/>
        <v>-5870811.9532871963</v>
      </c>
      <c r="S564">
        <f t="shared" si="987"/>
        <v>-58.708119532871962</v>
      </c>
      <c r="T564">
        <f t="shared" si="988"/>
        <v>-5.8708119532871965E-2</v>
      </c>
    </row>
    <row r="565" spans="1:104" x14ac:dyDescent="0.25">
      <c r="A565" s="5">
        <v>44028</v>
      </c>
      <c r="B565">
        <v>9.3599999999999998E-4</v>
      </c>
      <c r="C565">
        <v>9.5600000000000004E-4</v>
      </c>
      <c r="D565">
        <v>9.2000000000000003E-4</v>
      </c>
      <c r="E565">
        <v>9.5100000000000002E-4</v>
      </c>
      <c r="F565">
        <v>32527.919999999998</v>
      </c>
      <c r="G565">
        <v>0</v>
      </c>
      <c r="L565" t="s">
        <v>8</v>
      </c>
      <c r="M565" t="s">
        <v>7</v>
      </c>
      <c r="N565" t="s">
        <v>7</v>
      </c>
      <c r="P565">
        <f t="shared" si="984"/>
        <v>0.72222222222222154</v>
      </c>
      <c r="Q565">
        <f t="shared" si="985"/>
        <v>23492.386666666644</v>
      </c>
      <c r="R565">
        <f t="shared" si="986"/>
        <v>-5871487.5081259059</v>
      </c>
      <c r="S565">
        <f t="shared" si="987"/>
        <v>-58.714875081259059</v>
      </c>
      <c r="T565">
        <f t="shared" si="988"/>
        <v>-5.8714875081259062E-2</v>
      </c>
    </row>
    <row r="566" spans="1:104" x14ac:dyDescent="0.25">
      <c r="A566" s="5">
        <v>44027</v>
      </c>
      <c r="B566">
        <v>9.4300000000000004E-4</v>
      </c>
      <c r="C566">
        <v>9.59E-4</v>
      </c>
      <c r="D566">
        <v>9.2599999999999996E-4</v>
      </c>
      <c r="E566">
        <v>9.3599999999999998E-4</v>
      </c>
      <c r="F566">
        <v>19866.490000000002</v>
      </c>
      <c r="G566">
        <v>0</v>
      </c>
      <c r="L566" t="s">
        <v>7</v>
      </c>
      <c r="M566" t="s">
        <v>7</v>
      </c>
      <c r="N566" t="s">
        <v>7</v>
      </c>
      <c r="P566">
        <f t="shared" si="984"/>
        <v>-0.39393939393939315</v>
      </c>
      <c r="Q566">
        <f t="shared" si="985"/>
        <v>-7826.1930303030149</v>
      </c>
      <c r="R566">
        <f t="shared" si="986"/>
        <v>-5894979.8947925726</v>
      </c>
      <c r="S566">
        <f t="shared" si="987"/>
        <v>-58.949798947925728</v>
      </c>
      <c r="T566">
        <f t="shared" si="988"/>
        <v>-5.8949798947925729E-2</v>
      </c>
    </row>
    <row r="567" spans="1:104" x14ac:dyDescent="0.25">
      <c r="A567" s="5">
        <v>44026</v>
      </c>
      <c r="B567">
        <v>9.2599999999999996E-4</v>
      </c>
      <c r="C567">
        <v>9.6100000000000005E-4</v>
      </c>
      <c r="D567">
        <v>9.19E-4</v>
      </c>
      <c r="E567">
        <v>9.4600000000000001E-4</v>
      </c>
      <c r="F567">
        <v>31754.73</v>
      </c>
      <c r="G567">
        <v>0</v>
      </c>
      <c r="L567" t="s">
        <v>8</v>
      </c>
      <c r="M567" t="s">
        <v>7</v>
      </c>
      <c r="N567" t="s">
        <v>7</v>
      </c>
      <c r="P567">
        <f t="shared" si="984"/>
        <v>0.28571428571428459</v>
      </c>
      <c r="Q567">
        <f t="shared" si="985"/>
        <v>9072.7799999999643</v>
      </c>
      <c r="R567">
        <f t="shared" si="986"/>
        <v>-5887153.7017622693</v>
      </c>
      <c r="S567">
        <f t="shared" si="987"/>
        <v>-58.871537017622693</v>
      </c>
      <c r="T567">
        <f t="shared" si="988"/>
        <v>-5.887153701762269E-2</v>
      </c>
    </row>
    <row r="568" spans="1:104" x14ac:dyDescent="0.25">
      <c r="A568" s="5">
        <v>44025</v>
      </c>
      <c r="B568">
        <v>9.5200000000000005E-4</v>
      </c>
      <c r="C568">
        <v>9.7400000000000004E-4</v>
      </c>
      <c r="D568">
        <v>8.9999999999999998E-4</v>
      </c>
      <c r="E568">
        <v>9.2599999999999996E-4</v>
      </c>
      <c r="F568">
        <v>59609.74</v>
      </c>
      <c r="G568">
        <v>0</v>
      </c>
      <c r="L568" t="s">
        <v>7</v>
      </c>
      <c r="M568" t="s">
        <v>7</v>
      </c>
      <c r="N568" t="s">
        <v>7</v>
      </c>
      <c r="P568">
        <f t="shared" si="984"/>
        <v>-0.29729729729729842</v>
      </c>
      <c r="Q568">
        <f t="shared" si="985"/>
        <v>-17721.81459459466</v>
      </c>
      <c r="R568">
        <f t="shared" si="986"/>
        <v>-5896226.4817622695</v>
      </c>
      <c r="S568">
        <f t="shared" si="987"/>
        <v>-58.962264817622696</v>
      </c>
      <c r="T568">
        <f t="shared" si="988"/>
        <v>-5.8962264817622699E-2</v>
      </c>
    </row>
    <row r="569" spans="1:104" x14ac:dyDescent="0.25">
      <c r="A569" s="5">
        <v>44024</v>
      </c>
      <c r="B569">
        <v>9.7999999999999997E-4</v>
      </c>
      <c r="C569">
        <v>1.0380000000000001E-3</v>
      </c>
      <c r="D569">
        <v>9.3800000000000003E-4</v>
      </c>
      <c r="E569">
        <v>9.5100000000000002E-4</v>
      </c>
      <c r="F569">
        <v>132454.97</v>
      </c>
      <c r="G569">
        <v>0</v>
      </c>
      <c r="L569" t="s">
        <v>8</v>
      </c>
      <c r="M569" t="s">
        <v>7</v>
      </c>
      <c r="N569" t="s">
        <v>7</v>
      </c>
      <c r="P569">
        <f t="shared" si="984"/>
        <v>-0.74000000000000032</v>
      </c>
      <c r="Q569">
        <f t="shared" si="985"/>
        <v>-98016.677800000049</v>
      </c>
      <c r="R569">
        <f t="shared" si="986"/>
        <v>-5878504.6671676748</v>
      </c>
      <c r="S569">
        <f t="shared" si="987"/>
        <v>-58.785046671676746</v>
      </c>
      <c r="T569">
        <f t="shared" si="988"/>
        <v>-5.8785046671676743E-2</v>
      </c>
    </row>
    <row r="570" spans="1:104" x14ac:dyDescent="0.25">
      <c r="A570" s="5">
        <v>44023</v>
      </c>
      <c r="B570">
        <v>9.3800000000000003E-4</v>
      </c>
      <c r="C570">
        <v>9.9200000000000004E-4</v>
      </c>
      <c r="D570">
        <v>9.3599999999999998E-4</v>
      </c>
      <c r="E570">
        <v>9.7999999999999997E-4</v>
      </c>
      <c r="F570">
        <v>75291.839999999997</v>
      </c>
      <c r="G570">
        <v>0</v>
      </c>
      <c r="L570" t="s">
        <v>7</v>
      </c>
      <c r="M570" t="s">
        <v>7</v>
      </c>
      <c r="N570" t="s">
        <v>7</v>
      </c>
      <c r="P570">
        <f t="shared" si="984"/>
        <v>0.57142857142856918</v>
      </c>
      <c r="Q570">
        <f t="shared" si="985"/>
        <v>43023.908571428401</v>
      </c>
      <c r="R570">
        <f t="shared" si="986"/>
        <v>-5780487.989367675</v>
      </c>
      <c r="S570">
        <f t="shared" si="987"/>
        <v>-57.804879893676748</v>
      </c>
      <c r="T570">
        <f t="shared" si="988"/>
        <v>-5.7804879893676747E-2</v>
      </c>
    </row>
    <row r="571" spans="1:104" x14ac:dyDescent="0.25">
      <c r="A571" s="5">
        <v>44022</v>
      </c>
      <c r="B571">
        <v>9.4499999999999998E-4</v>
      </c>
      <c r="C571">
        <v>9.5500000000000001E-4</v>
      </c>
      <c r="D571">
        <v>9.3199999999999999E-4</v>
      </c>
      <c r="E571">
        <v>9.3899999999999995E-4</v>
      </c>
      <c r="F571">
        <v>36167.660000000003</v>
      </c>
      <c r="G571">
        <v>0</v>
      </c>
      <c r="L571" t="s">
        <v>8</v>
      </c>
      <c r="M571" t="s">
        <v>7</v>
      </c>
      <c r="N571" t="s">
        <v>7</v>
      </c>
      <c r="P571">
        <f t="shared" si="984"/>
        <v>-0.39130434782609147</v>
      </c>
      <c r="Q571">
        <f t="shared" si="985"/>
        <v>-14152.562608695816</v>
      </c>
      <c r="R571">
        <f t="shared" si="986"/>
        <v>-5823511.8979391037</v>
      </c>
      <c r="S571">
        <f t="shared" si="987"/>
        <v>-58.235118979391039</v>
      </c>
      <c r="T571">
        <f t="shared" si="988"/>
        <v>-5.8235118979391036E-2</v>
      </c>
    </row>
    <row r="572" spans="1:104" x14ac:dyDescent="0.25">
      <c r="A572" s="5">
        <v>44021</v>
      </c>
      <c r="B572">
        <v>9.5200000000000005E-4</v>
      </c>
      <c r="C572">
        <v>9.859999999999999E-4</v>
      </c>
      <c r="D572">
        <v>9.2800000000000001E-4</v>
      </c>
      <c r="E572">
        <v>9.4700000000000003E-4</v>
      </c>
      <c r="F572">
        <v>87645.75</v>
      </c>
      <c r="G572">
        <v>0</v>
      </c>
      <c r="L572" t="s">
        <v>7</v>
      </c>
      <c r="M572" t="s">
        <v>7</v>
      </c>
      <c r="N572" t="s">
        <v>7</v>
      </c>
      <c r="P572">
        <f t="shared" si="984"/>
        <v>-0.34482758620689435</v>
      </c>
      <c r="Q572">
        <f t="shared" si="985"/>
        <v>-30222.672413792912</v>
      </c>
      <c r="R572">
        <f t="shared" si="986"/>
        <v>-5809359.3353304081</v>
      </c>
      <c r="S572">
        <f t="shared" si="987"/>
        <v>-58.09359335330408</v>
      </c>
      <c r="T572">
        <f t="shared" si="988"/>
        <v>-5.8093593353304079E-2</v>
      </c>
    </row>
    <row r="573" spans="1:104" x14ac:dyDescent="0.25">
      <c r="A573" s="5">
        <v>44020</v>
      </c>
      <c r="B573">
        <v>9.3400000000000004E-4</v>
      </c>
      <c r="C573">
        <v>9.7400000000000004E-4</v>
      </c>
      <c r="D573">
        <v>9.2199999999999997E-4</v>
      </c>
      <c r="E573">
        <v>9.5500000000000001E-4</v>
      </c>
      <c r="F573">
        <v>139616.57</v>
      </c>
      <c r="G573">
        <v>0</v>
      </c>
      <c r="L573" t="s">
        <v>8</v>
      </c>
      <c r="M573" t="s">
        <v>7</v>
      </c>
      <c r="N573" t="s">
        <v>7</v>
      </c>
      <c r="P573">
        <f t="shared" si="984"/>
        <v>0.26923076923076916</v>
      </c>
      <c r="Q573">
        <f t="shared" si="985"/>
        <v>37589.07653846153</v>
      </c>
      <c r="R573">
        <f t="shared" si="986"/>
        <v>-5779136.6629166156</v>
      </c>
      <c r="S573">
        <f t="shared" si="987"/>
        <v>-57.791366629166156</v>
      </c>
      <c r="T573">
        <f t="shared" si="988"/>
        <v>-5.7791366629166153E-2</v>
      </c>
    </row>
    <row r="574" spans="1:104" x14ac:dyDescent="0.25">
      <c r="A574" s="5">
        <v>44019</v>
      </c>
      <c r="B574">
        <v>9.4700000000000003E-4</v>
      </c>
      <c r="C574">
        <v>9.6599999999999995E-4</v>
      </c>
      <c r="D574">
        <v>9.2199999999999997E-4</v>
      </c>
      <c r="E574">
        <v>9.3400000000000004E-4</v>
      </c>
      <c r="F574">
        <v>81375.73</v>
      </c>
      <c r="G574">
        <v>0</v>
      </c>
      <c r="L574" t="s">
        <v>7</v>
      </c>
      <c r="M574" t="s">
        <v>7</v>
      </c>
      <c r="N574" t="s">
        <v>7</v>
      </c>
      <c r="P574">
        <f t="shared" si="984"/>
        <v>-0.45454545454545098</v>
      </c>
      <c r="Q574">
        <f t="shared" si="985"/>
        <v>-36988.968181817887</v>
      </c>
      <c r="R574">
        <f t="shared" si="986"/>
        <v>-5816725.7394550769</v>
      </c>
      <c r="S574">
        <f t="shared" si="987"/>
        <v>-58.167257394550766</v>
      </c>
      <c r="T574">
        <f t="shared" si="988"/>
        <v>-5.8167257394550767E-2</v>
      </c>
    </row>
    <row r="575" spans="1:104" x14ac:dyDescent="0.25">
      <c r="A575" s="5">
        <v>44018</v>
      </c>
      <c r="B575">
        <v>9.1200000000000005E-4</v>
      </c>
      <c r="C575">
        <v>9.68E-4</v>
      </c>
      <c r="D575">
        <v>9.1200000000000005E-4</v>
      </c>
      <c r="E575">
        <v>9.4600000000000001E-4</v>
      </c>
      <c r="F575">
        <v>229767.89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0.21428571428571386</v>
      </c>
      <c r="Q575">
        <f t="shared" si="985"/>
        <v>49235.976428571332</v>
      </c>
      <c r="R575">
        <f t="shared" si="986"/>
        <v>-5779736.7712732591</v>
      </c>
      <c r="S575">
        <f t="shared" si="987"/>
        <v>-57.797367712732594</v>
      </c>
      <c r="T575">
        <f t="shared" si="988"/>
        <v>-5.7797367712732597E-2</v>
      </c>
    </row>
    <row r="576" spans="1:104" x14ac:dyDescent="0.25">
      <c r="A576" s="5">
        <v>44017</v>
      </c>
      <c r="B576">
        <v>9.7199999999999999E-4</v>
      </c>
      <c r="C576">
        <v>9.7199999999999999E-4</v>
      </c>
      <c r="D576">
        <v>9.0600000000000001E-4</v>
      </c>
      <c r="E576">
        <v>9.1200000000000005E-4</v>
      </c>
      <c r="F576">
        <v>183917.98</v>
      </c>
      <c r="G576">
        <v>0</v>
      </c>
      <c r="L576" t="s">
        <v>7</v>
      </c>
      <c r="M576" t="s">
        <v>7</v>
      </c>
      <c r="N576" t="s">
        <v>7</v>
      </c>
      <c r="P576">
        <f t="shared" si="984"/>
        <v>-0.81818181818181701</v>
      </c>
      <c r="Q576">
        <f t="shared" si="985"/>
        <v>-150478.34727272706</v>
      </c>
      <c r="R576">
        <f t="shared" si="986"/>
        <v>-5828972.7477018302</v>
      </c>
      <c r="S576">
        <f t="shared" si="987"/>
        <v>-58.289727477018303</v>
      </c>
      <c r="T576">
        <f t="shared" si="988"/>
        <v>-5.8289727477018306E-2</v>
      </c>
    </row>
    <row r="577" spans="1:20" x14ac:dyDescent="0.25">
      <c r="A577" s="5">
        <v>44016</v>
      </c>
      <c r="B577">
        <v>9.41E-4</v>
      </c>
      <c r="C577">
        <v>9.8700000000000003E-4</v>
      </c>
      <c r="D577">
        <v>9.19E-4</v>
      </c>
      <c r="E577">
        <v>9.7199999999999999E-4</v>
      </c>
      <c r="F577">
        <v>165128.5</v>
      </c>
      <c r="G577">
        <v>0</v>
      </c>
      <c r="L577" t="s">
        <v>8</v>
      </c>
      <c r="M577" t="s">
        <v>7</v>
      </c>
      <c r="N577" t="s">
        <v>7</v>
      </c>
      <c r="P577">
        <f t="shared" si="984"/>
        <v>0.55882352941176372</v>
      </c>
      <c r="Q577">
        <f t="shared" si="985"/>
        <v>92277.691176470427</v>
      </c>
      <c r="R577">
        <f t="shared" si="986"/>
        <v>-5678494.4004291035</v>
      </c>
      <c r="S577">
        <f t="shared" si="987"/>
        <v>-56.784944004291035</v>
      </c>
      <c r="T577">
        <f t="shared" si="988"/>
        <v>-5.6784944004291037E-2</v>
      </c>
    </row>
    <row r="578" spans="1:20" x14ac:dyDescent="0.25">
      <c r="A578" s="5">
        <v>44015</v>
      </c>
      <c r="B578">
        <v>1E-3</v>
      </c>
      <c r="C578">
        <v>1.0139999999999999E-3</v>
      </c>
      <c r="D578">
        <v>8.9999999999999998E-4</v>
      </c>
      <c r="E578">
        <v>9.41E-4</v>
      </c>
      <c r="F578">
        <v>276947.03000000003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-0.28070175438596423</v>
      </c>
      <c r="Q578">
        <f t="shared" si="985"/>
        <v>-77739.517192982268</v>
      </c>
      <c r="R578">
        <f t="shared" si="986"/>
        <v>-5770772.0916055739</v>
      </c>
      <c r="S578">
        <f t="shared" si="987"/>
        <v>-57.707720916055742</v>
      </c>
      <c r="T578">
        <f t="shared" si="988"/>
        <v>-5.7707720916055742E-2</v>
      </c>
    </row>
    <row r="579" spans="1:20" x14ac:dyDescent="0.25">
      <c r="A579" s="5">
        <v>44014</v>
      </c>
      <c r="B579">
        <v>1.1230000000000001E-3</v>
      </c>
      <c r="C579">
        <v>1.134E-3</v>
      </c>
      <c r="D579">
        <v>9.8999999999999999E-4</v>
      </c>
      <c r="E579">
        <v>1E-3</v>
      </c>
      <c r="F579">
        <v>370084.9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-0.86111111111111083</v>
      </c>
      <c r="Q579">
        <f t="shared" si="985"/>
        <v>-318684.21944444434</v>
      </c>
      <c r="R579">
        <f t="shared" si="986"/>
        <v>-5693032.5744125918</v>
      </c>
      <c r="S579">
        <f t="shared" si="987"/>
        <v>-56.930325744125916</v>
      </c>
      <c r="T579">
        <f t="shared" si="988"/>
        <v>-5.6930325744125918E-2</v>
      </c>
    </row>
    <row r="580" spans="1:20" x14ac:dyDescent="0.25">
      <c r="A580" s="5">
        <v>44013</v>
      </c>
      <c r="B580">
        <v>1.155E-3</v>
      </c>
      <c r="C580">
        <v>1.2999999999999999E-3</v>
      </c>
      <c r="D580">
        <v>1.106E-3</v>
      </c>
      <c r="E580">
        <v>1.1230000000000001E-3</v>
      </c>
      <c r="F580">
        <v>326391.27</v>
      </c>
      <c r="G580">
        <v>0</v>
      </c>
      <c r="L580" t="s">
        <v>8</v>
      </c>
      <c r="M580" t="s">
        <v>8</v>
      </c>
      <c r="N580" t="s">
        <v>8</v>
      </c>
      <c r="P580">
        <f t="shared" si="984"/>
        <v>-0.82474226804123618</v>
      </c>
      <c r="Q580">
        <f t="shared" si="985"/>
        <v>-269188.67628865951</v>
      </c>
      <c r="R580">
        <f t="shared" si="986"/>
        <v>-5374348.3549681474</v>
      </c>
      <c r="S580">
        <f t="shared" si="987"/>
        <v>-53.743483549681471</v>
      </c>
      <c r="T580">
        <f t="shared" si="988"/>
        <v>-5.3743483549681469E-2</v>
      </c>
    </row>
    <row r="581" spans="1:20" x14ac:dyDescent="0.25">
      <c r="A581" s="5">
        <v>44012</v>
      </c>
      <c r="B581">
        <v>1.137E-3</v>
      </c>
      <c r="C581">
        <v>1.1969999999999999E-3</v>
      </c>
      <c r="D581">
        <v>1.08E-3</v>
      </c>
      <c r="E581">
        <v>1.1590000000000001E-3</v>
      </c>
      <c r="F581">
        <v>325872.53999999998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0.35042735042735274</v>
      </c>
      <c r="Q581">
        <f t="shared" si="985"/>
        <v>114194.65076923152</v>
      </c>
      <c r="R581">
        <f t="shared" si="986"/>
        <v>-5105159.6786794877</v>
      </c>
      <c r="S581">
        <f t="shared" si="987"/>
        <v>-51.051596786794875</v>
      </c>
      <c r="T581">
        <f t="shared" si="988"/>
        <v>-5.1051596786794877E-2</v>
      </c>
    </row>
    <row r="582" spans="1:20" x14ac:dyDescent="0.25">
      <c r="A582" s="5">
        <v>44011</v>
      </c>
      <c r="B582">
        <v>1.1299999999999999E-3</v>
      </c>
      <c r="C582">
        <v>1.4170000000000001E-3</v>
      </c>
      <c r="D582">
        <v>1.0499999999999999E-3</v>
      </c>
      <c r="E582">
        <v>1.1410000000000001E-3</v>
      </c>
      <c r="F582">
        <v>1002481.2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89">IF(C582=D582,0,((E582-D582)-(C582-E582))/(C582-D582))</f>
        <v>-0.5040871934604898</v>
      </c>
      <c r="Q582">
        <f t="shared" ref="Q582:Q645" si="990">F582*P582</f>
        <v>-505337.93460490397</v>
      </c>
      <c r="R582">
        <f t="shared" ref="R582:R645" si="991">R583+Q582</f>
        <v>-5219354.3294487195</v>
      </c>
      <c r="S582">
        <f t="shared" ref="S582:S645" si="992">R582/100000</f>
        <v>-52.193543294487192</v>
      </c>
      <c r="T582">
        <f t="shared" ref="T582:T645" si="993">S582/1000</f>
        <v>-5.2193543294487194E-2</v>
      </c>
    </row>
    <row r="583" spans="1:20" x14ac:dyDescent="0.25">
      <c r="A583" s="5">
        <v>44010</v>
      </c>
      <c r="B583">
        <v>8.8699999999999998E-4</v>
      </c>
      <c r="C583">
        <v>1.4400000000000001E-3</v>
      </c>
      <c r="D583">
        <v>8.8199999999999997E-4</v>
      </c>
      <c r="E583">
        <v>1.129E-3</v>
      </c>
      <c r="F583">
        <v>758759.82</v>
      </c>
      <c r="G583">
        <v>0</v>
      </c>
      <c r="L583" t="s">
        <v>8</v>
      </c>
      <c r="M583" t="s">
        <v>8</v>
      </c>
      <c r="N583" t="s">
        <v>8</v>
      </c>
      <c r="P583">
        <f t="shared" si="989"/>
        <v>-0.11469534050179216</v>
      </c>
      <c r="Q583">
        <f t="shared" si="990"/>
        <v>-87026.215913978522</v>
      </c>
      <c r="R583">
        <f t="shared" si="991"/>
        <v>-4714016.3948438158</v>
      </c>
      <c r="S583">
        <f t="shared" si="992"/>
        <v>-47.140163948438158</v>
      </c>
      <c r="T583">
        <f t="shared" si="993"/>
        <v>-4.714016394843816E-2</v>
      </c>
    </row>
    <row r="584" spans="1:20" x14ac:dyDescent="0.25">
      <c r="A584" s="5">
        <v>44009</v>
      </c>
      <c r="B584">
        <v>9.1699999999999995E-4</v>
      </c>
      <c r="C584">
        <v>9.2000000000000003E-4</v>
      </c>
      <c r="D584">
        <v>8.7900000000000001E-4</v>
      </c>
      <c r="E584">
        <v>8.8699999999999998E-4</v>
      </c>
      <c r="F584">
        <v>27698.15</v>
      </c>
      <c r="G584">
        <v>0</v>
      </c>
      <c r="L584" t="s">
        <v>8</v>
      </c>
      <c r="M584" t="s">
        <v>7</v>
      </c>
      <c r="N584" t="s">
        <v>7</v>
      </c>
      <c r="P584">
        <f t="shared" si="989"/>
        <v>-0.60975609756097693</v>
      </c>
      <c r="Q584">
        <f t="shared" si="990"/>
        <v>-16889.115853658575</v>
      </c>
      <c r="R584">
        <f t="shared" si="991"/>
        <v>-4626990.1789298374</v>
      </c>
      <c r="S584">
        <f t="shared" si="992"/>
        <v>-46.269901789298373</v>
      </c>
      <c r="T584">
        <f t="shared" si="993"/>
        <v>-4.6269901789298372E-2</v>
      </c>
    </row>
    <row r="585" spans="1:20" x14ac:dyDescent="0.25">
      <c r="A585" s="5">
        <v>44008</v>
      </c>
      <c r="B585">
        <v>9.2199999999999997E-4</v>
      </c>
      <c r="C585">
        <v>9.2400000000000002E-4</v>
      </c>
      <c r="D585">
        <v>9.0799999999999995E-4</v>
      </c>
      <c r="E585">
        <v>9.1699999999999995E-4</v>
      </c>
      <c r="F585">
        <v>18368.52</v>
      </c>
      <c r="G585">
        <v>0</v>
      </c>
      <c r="L585" t="s">
        <v>7</v>
      </c>
      <c r="M585" t="s">
        <v>7</v>
      </c>
      <c r="N585" t="s">
        <v>7</v>
      </c>
      <c r="P585">
        <f t="shared" si="989"/>
        <v>0.12499999999999577</v>
      </c>
      <c r="Q585">
        <f t="shared" si="990"/>
        <v>2296.0649999999223</v>
      </c>
      <c r="R585">
        <f t="shared" si="991"/>
        <v>-4610101.0630761785</v>
      </c>
      <c r="S585">
        <f t="shared" si="992"/>
        <v>-46.101010630761785</v>
      </c>
      <c r="T585">
        <f t="shared" si="993"/>
        <v>-4.6101010630761788E-2</v>
      </c>
    </row>
    <row r="586" spans="1:20" x14ac:dyDescent="0.25">
      <c r="A586" s="5">
        <v>44007</v>
      </c>
      <c r="B586">
        <v>9.2800000000000001E-4</v>
      </c>
      <c r="C586">
        <v>9.4799999999999995E-4</v>
      </c>
      <c r="D586">
        <v>9.0899999999999998E-4</v>
      </c>
      <c r="E586">
        <v>9.19E-4</v>
      </c>
      <c r="F586">
        <v>33557.29</v>
      </c>
      <c r="G586">
        <v>0</v>
      </c>
      <c r="L586" t="s">
        <v>8</v>
      </c>
      <c r="M586" t="s">
        <v>7</v>
      </c>
      <c r="N586" t="s">
        <v>7</v>
      </c>
      <c r="P586">
        <f t="shared" si="989"/>
        <v>-0.48717948717948545</v>
      </c>
      <c r="Q586">
        <f t="shared" si="990"/>
        <v>-16348.423333333276</v>
      </c>
      <c r="R586">
        <f t="shared" si="991"/>
        <v>-4612397.128076178</v>
      </c>
      <c r="S586">
        <f t="shared" si="992"/>
        <v>-46.123971280761779</v>
      </c>
      <c r="T586">
        <f t="shared" si="993"/>
        <v>-4.6123971280761782E-2</v>
      </c>
    </row>
    <row r="587" spans="1:20" x14ac:dyDescent="0.25">
      <c r="A587" s="5">
        <v>44006</v>
      </c>
      <c r="B587">
        <v>9.3599999999999998E-4</v>
      </c>
      <c r="C587">
        <v>9.3999999999999997E-4</v>
      </c>
      <c r="D587">
        <v>9.1699999999999995E-4</v>
      </c>
      <c r="E587">
        <v>9.2900000000000003E-4</v>
      </c>
      <c r="F587">
        <v>25902.18</v>
      </c>
      <c r="G587">
        <v>0</v>
      </c>
      <c r="L587" t="s">
        <v>7</v>
      </c>
      <c r="M587" t="s">
        <v>7</v>
      </c>
      <c r="N587" t="s">
        <v>7</v>
      </c>
      <c r="P587">
        <f t="shared" si="989"/>
        <v>4.3478260869570955E-2</v>
      </c>
      <c r="Q587">
        <f t="shared" si="990"/>
        <v>1126.1817391305833</v>
      </c>
      <c r="R587">
        <f t="shared" si="991"/>
        <v>-4596048.7047428451</v>
      </c>
      <c r="S587">
        <f t="shared" si="992"/>
        <v>-45.960487047428451</v>
      </c>
      <c r="T587">
        <f t="shared" si="993"/>
        <v>-4.5960487047428451E-2</v>
      </c>
    </row>
    <row r="588" spans="1:20" x14ac:dyDescent="0.25">
      <c r="A588" s="5">
        <v>44005</v>
      </c>
      <c r="B588">
        <v>9.1299999999999997E-4</v>
      </c>
      <c r="C588">
        <v>9.8400000000000007E-4</v>
      </c>
      <c r="D588">
        <v>9.1E-4</v>
      </c>
      <c r="E588">
        <v>9.3499999999999996E-4</v>
      </c>
      <c r="F588">
        <v>145376.57</v>
      </c>
      <c r="G588">
        <v>0</v>
      </c>
      <c r="L588" t="s">
        <v>8</v>
      </c>
      <c r="M588" t="s">
        <v>7</v>
      </c>
      <c r="N588" t="s">
        <v>7</v>
      </c>
      <c r="P588">
        <f t="shared" si="989"/>
        <v>-0.32432432432432606</v>
      </c>
      <c r="Q588">
        <f t="shared" si="990"/>
        <v>-47149.157837838095</v>
      </c>
      <c r="R588">
        <f t="shared" si="991"/>
        <v>-4597174.8864819761</v>
      </c>
      <c r="S588">
        <f t="shared" si="992"/>
        <v>-45.971748864819759</v>
      </c>
      <c r="T588">
        <f t="shared" si="993"/>
        <v>-4.5971748864819757E-2</v>
      </c>
    </row>
    <row r="589" spans="1:20" x14ac:dyDescent="0.25">
      <c r="A589" s="5">
        <v>44004</v>
      </c>
      <c r="B589">
        <v>9.1500000000000001E-4</v>
      </c>
      <c r="C589">
        <v>9.19E-4</v>
      </c>
      <c r="D589">
        <v>9.0499999999999999E-4</v>
      </c>
      <c r="E589">
        <v>9.1299999999999997E-4</v>
      </c>
      <c r="F589">
        <v>14043.27</v>
      </c>
      <c r="G589">
        <v>0</v>
      </c>
      <c r="L589" t="s">
        <v>7</v>
      </c>
      <c r="M589" t="s">
        <v>7</v>
      </c>
      <c r="N589" t="s">
        <v>7</v>
      </c>
      <c r="P589">
        <f t="shared" si="989"/>
        <v>0.14285714285713844</v>
      </c>
      <c r="Q589">
        <f t="shared" si="990"/>
        <v>2006.1814285713665</v>
      </c>
      <c r="R589">
        <f t="shared" si="991"/>
        <v>-4550025.7286441382</v>
      </c>
      <c r="S589">
        <f t="shared" si="992"/>
        <v>-45.500257286441382</v>
      </c>
      <c r="T589">
        <f t="shared" si="993"/>
        <v>-4.550025728644138E-2</v>
      </c>
    </row>
    <row r="590" spans="1:20" x14ac:dyDescent="0.25">
      <c r="A590" s="5">
        <v>44003</v>
      </c>
      <c r="B590">
        <v>9.1500000000000001E-4</v>
      </c>
      <c r="C590">
        <v>9.2699999999999998E-4</v>
      </c>
      <c r="D590">
        <v>9.1E-4</v>
      </c>
      <c r="E590">
        <v>9.1299999999999997E-4</v>
      </c>
      <c r="F590">
        <v>12176.28</v>
      </c>
      <c r="G590">
        <v>0</v>
      </c>
      <c r="L590" t="s">
        <v>8</v>
      </c>
      <c r="M590" t="s">
        <v>7</v>
      </c>
      <c r="N590" t="s">
        <v>7</v>
      </c>
      <c r="P590">
        <f t="shared" si="989"/>
        <v>-0.64705882352941546</v>
      </c>
      <c r="Q590">
        <f t="shared" si="990"/>
        <v>-7878.7694117647516</v>
      </c>
      <c r="R590">
        <f t="shared" si="991"/>
        <v>-4552031.9100727094</v>
      </c>
      <c r="S590">
        <f t="shared" si="992"/>
        <v>-45.520319100727093</v>
      </c>
      <c r="T590">
        <f t="shared" si="993"/>
        <v>-4.552031910072709E-2</v>
      </c>
    </row>
    <row r="591" spans="1:20" x14ac:dyDescent="0.25">
      <c r="A591" s="5">
        <v>44002</v>
      </c>
      <c r="B591">
        <v>9.1100000000000003E-4</v>
      </c>
      <c r="C591">
        <v>9.2599999999999996E-4</v>
      </c>
      <c r="D591">
        <v>9.0499999999999999E-4</v>
      </c>
      <c r="E591">
        <v>9.1500000000000001E-4</v>
      </c>
      <c r="F591">
        <v>16014.17</v>
      </c>
      <c r="G591">
        <v>0</v>
      </c>
      <c r="L591" t="s">
        <v>7</v>
      </c>
      <c r="M591" t="s">
        <v>7</v>
      </c>
      <c r="N591" t="s">
        <v>7</v>
      </c>
      <c r="P591">
        <f t="shared" si="989"/>
        <v>-4.7619047619043682E-2</v>
      </c>
      <c r="Q591">
        <f t="shared" si="990"/>
        <v>-762.57952380946074</v>
      </c>
      <c r="R591">
        <f t="shared" si="991"/>
        <v>-4544153.1406609444</v>
      </c>
      <c r="S591">
        <f t="shared" si="992"/>
        <v>-45.441531406609442</v>
      </c>
      <c r="T591">
        <f t="shared" si="993"/>
        <v>-4.5441531406609441E-2</v>
      </c>
    </row>
    <row r="592" spans="1:20" x14ac:dyDescent="0.25">
      <c r="A592" s="5">
        <v>44001</v>
      </c>
      <c r="B592">
        <v>9.0799999999999995E-4</v>
      </c>
      <c r="C592">
        <v>9.19E-4</v>
      </c>
      <c r="D592">
        <v>9.0399999999999996E-4</v>
      </c>
      <c r="E592">
        <v>9.1100000000000003E-4</v>
      </c>
      <c r="F592">
        <v>17273.95</v>
      </c>
      <c r="G592">
        <v>0</v>
      </c>
      <c r="L592" t="s">
        <v>8</v>
      </c>
      <c r="M592" t="s">
        <v>7</v>
      </c>
      <c r="N592" t="s">
        <v>7</v>
      </c>
      <c r="P592">
        <f t="shared" si="989"/>
        <v>-6.6666666666660879E-2</v>
      </c>
      <c r="Q592">
        <f t="shared" si="990"/>
        <v>-1151.5966666665668</v>
      </c>
      <c r="R592">
        <f t="shared" si="991"/>
        <v>-4543390.5611371351</v>
      </c>
      <c r="S592">
        <f t="shared" si="992"/>
        <v>-45.433905611371351</v>
      </c>
      <c r="T592">
        <f t="shared" si="993"/>
        <v>-4.5433905611371353E-2</v>
      </c>
    </row>
    <row r="593" spans="1:20" x14ac:dyDescent="0.25">
      <c r="A593" s="5">
        <v>44000</v>
      </c>
      <c r="B593">
        <v>9.0899999999999998E-4</v>
      </c>
      <c r="C593">
        <v>9.2500000000000004E-4</v>
      </c>
      <c r="D593">
        <v>8.9300000000000002E-4</v>
      </c>
      <c r="E593">
        <v>9.0600000000000001E-4</v>
      </c>
      <c r="F593">
        <v>41539.35</v>
      </c>
      <c r="G593">
        <v>0</v>
      </c>
      <c r="L593" t="s">
        <v>7</v>
      </c>
      <c r="M593" t="s">
        <v>7</v>
      </c>
      <c r="N593" t="s">
        <v>7</v>
      </c>
      <c r="P593">
        <f t="shared" si="989"/>
        <v>-0.18750000000000105</v>
      </c>
      <c r="Q593">
        <f t="shared" si="990"/>
        <v>-7788.6281250000438</v>
      </c>
      <c r="R593">
        <f t="shared" si="991"/>
        <v>-4542238.9644704685</v>
      </c>
      <c r="S593">
        <f t="shared" si="992"/>
        <v>-45.422389644704687</v>
      </c>
      <c r="T593">
        <f t="shared" si="993"/>
        <v>-4.5422389644704686E-2</v>
      </c>
    </row>
    <row r="594" spans="1:20" x14ac:dyDescent="0.25">
      <c r="A594" s="5">
        <v>43999</v>
      </c>
      <c r="B594">
        <v>9.0200000000000002E-4</v>
      </c>
      <c r="C594">
        <v>9.2299999999999999E-4</v>
      </c>
      <c r="D594">
        <v>8.9400000000000005E-4</v>
      </c>
      <c r="E594">
        <v>9.0899999999999998E-4</v>
      </c>
      <c r="F594">
        <v>23680.14</v>
      </c>
      <c r="G594">
        <v>0</v>
      </c>
      <c r="L594" t="s">
        <v>8</v>
      </c>
      <c r="M594" t="s">
        <v>7</v>
      </c>
      <c r="N594" t="s">
        <v>7</v>
      </c>
      <c r="P594">
        <f t="shared" si="989"/>
        <v>3.4482758620686817E-2</v>
      </c>
      <c r="Q594">
        <f t="shared" si="990"/>
        <v>816.55655172407069</v>
      </c>
      <c r="R594">
        <f t="shared" si="991"/>
        <v>-4534450.3363454686</v>
      </c>
      <c r="S594">
        <f t="shared" si="992"/>
        <v>-45.344503363454685</v>
      </c>
      <c r="T594">
        <f t="shared" si="993"/>
        <v>-4.5344503363454684E-2</v>
      </c>
    </row>
    <row r="595" spans="1:20" x14ac:dyDescent="0.25">
      <c r="A595" s="5">
        <v>43998</v>
      </c>
      <c r="B595">
        <v>9.0300000000000005E-4</v>
      </c>
      <c r="C595">
        <v>9.1299999999999997E-4</v>
      </c>
      <c r="D595">
        <v>8.92E-4</v>
      </c>
      <c r="E595">
        <v>8.9899999999999995E-4</v>
      </c>
      <c r="F595">
        <v>20090.5</v>
      </c>
      <c r="G595">
        <v>0</v>
      </c>
      <c r="L595" t="s">
        <v>7</v>
      </c>
      <c r="M595" t="s">
        <v>7</v>
      </c>
      <c r="N595" t="s">
        <v>7</v>
      </c>
      <c r="P595">
        <f t="shared" si="989"/>
        <v>-0.33333333333333676</v>
      </c>
      <c r="Q595">
        <f t="shared" si="990"/>
        <v>-6696.8333333334022</v>
      </c>
      <c r="R595">
        <f t="shared" si="991"/>
        <v>-4535266.8928971924</v>
      </c>
      <c r="S595">
        <f t="shared" si="992"/>
        <v>-45.352668928971923</v>
      </c>
      <c r="T595">
        <f t="shared" si="993"/>
        <v>-4.5352668928971926E-2</v>
      </c>
    </row>
    <row r="596" spans="1:20" x14ac:dyDescent="0.25">
      <c r="A596" s="5">
        <v>43997</v>
      </c>
      <c r="B596">
        <v>9.2100000000000005E-4</v>
      </c>
      <c r="C596">
        <v>9.3099999999999997E-4</v>
      </c>
      <c r="D596">
        <v>8.8800000000000001E-4</v>
      </c>
      <c r="E596">
        <v>9.0399999999999996E-4</v>
      </c>
      <c r="F596">
        <v>29046.22</v>
      </c>
      <c r="G596">
        <v>0</v>
      </c>
      <c r="L596" t="s">
        <v>8</v>
      </c>
      <c r="M596" t="s">
        <v>7</v>
      </c>
      <c r="N596" t="s">
        <v>7</v>
      </c>
      <c r="P596">
        <f t="shared" si="989"/>
        <v>-0.25581395348837349</v>
      </c>
      <c r="Q596">
        <f t="shared" si="990"/>
        <v>-7430.4283720930644</v>
      </c>
      <c r="R596">
        <f t="shared" si="991"/>
        <v>-4528570.0595638594</v>
      </c>
      <c r="S596">
        <f t="shared" si="992"/>
        <v>-45.285700595638595</v>
      </c>
      <c r="T596">
        <f t="shared" si="993"/>
        <v>-4.5285700595638592E-2</v>
      </c>
    </row>
    <row r="597" spans="1:20" x14ac:dyDescent="0.25">
      <c r="A597" s="5">
        <v>43996</v>
      </c>
      <c r="B597">
        <v>9.3000000000000005E-4</v>
      </c>
      <c r="C597">
        <v>9.3599999999999998E-4</v>
      </c>
      <c r="D597">
        <v>9.1200000000000005E-4</v>
      </c>
      <c r="E597">
        <v>9.2199999999999997E-4</v>
      </c>
      <c r="F597">
        <v>20608.07</v>
      </c>
      <c r="G597">
        <v>0</v>
      </c>
      <c r="L597" t="s">
        <v>7</v>
      </c>
      <c r="M597" t="s">
        <v>7</v>
      </c>
      <c r="N597" t="s">
        <v>7</v>
      </c>
      <c r="P597">
        <f t="shared" si="989"/>
        <v>-0.16666666666667118</v>
      </c>
      <c r="Q597">
        <f t="shared" si="990"/>
        <v>-3434.6783333334265</v>
      </c>
      <c r="R597">
        <f t="shared" si="991"/>
        <v>-4521139.6311917659</v>
      </c>
      <c r="S597">
        <f t="shared" si="992"/>
        <v>-45.21139631191766</v>
      </c>
      <c r="T597">
        <f t="shared" si="993"/>
        <v>-4.5211396311917659E-2</v>
      </c>
    </row>
    <row r="598" spans="1:20" x14ac:dyDescent="0.25">
      <c r="A598" s="5">
        <v>43995</v>
      </c>
      <c r="B598">
        <v>9.1200000000000005E-4</v>
      </c>
      <c r="C598">
        <v>9.3499999999999996E-4</v>
      </c>
      <c r="D598">
        <v>9.1100000000000003E-4</v>
      </c>
      <c r="E598">
        <v>9.3000000000000005E-4</v>
      </c>
      <c r="F598">
        <v>35492.46</v>
      </c>
      <c r="G598">
        <v>0</v>
      </c>
      <c r="L598" t="s">
        <v>8</v>
      </c>
      <c r="M598" t="s">
        <v>7</v>
      </c>
      <c r="N598" t="s">
        <v>7</v>
      </c>
      <c r="P598">
        <f t="shared" si="989"/>
        <v>0.58333333333334014</v>
      </c>
      <c r="Q598">
        <f t="shared" si="990"/>
        <v>20703.935000000241</v>
      </c>
      <c r="R598">
        <f t="shared" si="991"/>
        <v>-4517704.9528584322</v>
      </c>
      <c r="S598">
        <f t="shared" si="992"/>
        <v>-45.17704952858432</v>
      </c>
      <c r="T598">
        <f t="shared" si="993"/>
        <v>-4.5177049528584319E-2</v>
      </c>
    </row>
    <row r="599" spans="1:20" x14ac:dyDescent="0.25">
      <c r="A599" s="5">
        <v>43994</v>
      </c>
      <c r="B599">
        <v>9.0700000000000004E-4</v>
      </c>
      <c r="C599">
        <v>9.2100000000000005E-4</v>
      </c>
      <c r="D599">
        <v>9.0200000000000002E-4</v>
      </c>
      <c r="E599">
        <v>9.1E-4</v>
      </c>
      <c r="F599">
        <v>30639.31</v>
      </c>
      <c r="G599">
        <v>0</v>
      </c>
      <c r="L599" t="s">
        <v>7</v>
      </c>
      <c r="M599" t="s">
        <v>7</v>
      </c>
      <c r="N599" t="s">
        <v>7</v>
      </c>
      <c r="P599">
        <f t="shared" si="989"/>
        <v>-0.15789473684210886</v>
      </c>
      <c r="Q599">
        <f t="shared" si="990"/>
        <v>-4837.7857894737945</v>
      </c>
      <c r="R599">
        <f t="shared" si="991"/>
        <v>-4538408.8878584327</v>
      </c>
      <c r="S599">
        <f t="shared" si="992"/>
        <v>-45.384088878584329</v>
      </c>
      <c r="T599">
        <f t="shared" si="993"/>
        <v>-4.5384088878584326E-2</v>
      </c>
    </row>
    <row r="600" spans="1:20" x14ac:dyDescent="0.25">
      <c r="A600" s="5">
        <v>43993</v>
      </c>
      <c r="B600">
        <v>9.4300000000000004E-4</v>
      </c>
      <c r="C600">
        <v>9.5E-4</v>
      </c>
      <c r="D600">
        <v>9.0499999999999999E-4</v>
      </c>
      <c r="E600">
        <v>9.0799999999999995E-4</v>
      </c>
      <c r="F600">
        <v>38861.97</v>
      </c>
      <c r="G600">
        <v>0</v>
      </c>
      <c r="L600" t="s">
        <v>8</v>
      </c>
      <c r="M600" t="s">
        <v>7</v>
      </c>
      <c r="N600" t="s">
        <v>7</v>
      </c>
      <c r="P600">
        <f t="shared" si="989"/>
        <v>-0.86666666666666825</v>
      </c>
      <c r="Q600">
        <f t="shared" si="990"/>
        <v>-33680.374000000062</v>
      </c>
      <c r="R600">
        <f t="shared" si="991"/>
        <v>-4533571.1020689588</v>
      </c>
      <c r="S600">
        <f t="shared" si="992"/>
        <v>-45.335711020689587</v>
      </c>
      <c r="T600">
        <f t="shared" si="993"/>
        <v>-4.533571102068959E-2</v>
      </c>
    </row>
    <row r="601" spans="1:20" x14ac:dyDescent="0.25">
      <c r="A601" s="5">
        <v>43992</v>
      </c>
      <c r="B601">
        <v>9.3999999999999997E-4</v>
      </c>
      <c r="C601">
        <v>9.5799999999999998E-4</v>
      </c>
      <c r="D601">
        <v>9.2299999999999999E-4</v>
      </c>
      <c r="E601">
        <v>9.4300000000000004E-4</v>
      </c>
      <c r="F601">
        <v>29617.64</v>
      </c>
      <c r="G601">
        <v>0</v>
      </c>
      <c r="L601" t="s">
        <v>7</v>
      </c>
      <c r="M601" t="s">
        <v>7</v>
      </c>
      <c r="N601" t="s">
        <v>7</v>
      </c>
      <c r="P601">
        <f t="shared" si="989"/>
        <v>0.1428571428571464</v>
      </c>
      <c r="Q601">
        <f t="shared" si="990"/>
        <v>4231.0914285715335</v>
      </c>
      <c r="R601">
        <f t="shared" si="991"/>
        <v>-4499890.728068959</v>
      </c>
      <c r="S601">
        <f t="shared" si="992"/>
        <v>-44.998907280689586</v>
      </c>
      <c r="T601">
        <f t="shared" si="993"/>
        <v>-4.4998907280689587E-2</v>
      </c>
    </row>
    <row r="602" spans="1:20" x14ac:dyDescent="0.25">
      <c r="A602" s="5">
        <v>43991</v>
      </c>
      <c r="B602">
        <v>9.5E-4</v>
      </c>
      <c r="C602">
        <v>9.5500000000000001E-4</v>
      </c>
      <c r="D602">
        <v>9.3599999999999998E-4</v>
      </c>
      <c r="E602">
        <v>9.3999999999999997E-4</v>
      </c>
      <c r="F602">
        <v>18829.43</v>
      </c>
      <c r="G602">
        <v>0</v>
      </c>
      <c r="L602" t="s">
        <v>8</v>
      </c>
      <c r="M602" t="s">
        <v>7</v>
      </c>
      <c r="N602" t="s">
        <v>7</v>
      </c>
      <c r="P602">
        <f t="shared" si="989"/>
        <v>-0.57894736842105443</v>
      </c>
      <c r="Q602">
        <f t="shared" si="990"/>
        <v>-10901.248947368455</v>
      </c>
      <c r="R602">
        <f t="shared" si="991"/>
        <v>-4504121.8194975303</v>
      </c>
      <c r="S602">
        <f t="shared" si="992"/>
        <v>-45.041218194975301</v>
      </c>
      <c r="T602">
        <f t="shared" si="993"/>
        <v>-4.5041218194975301E-2</v>
      </c>
    </row>
    <row r="603" spans="1:20" x14ac:dyDescent="0.25">
      <c r="A603" s="5">
        <v>43990</v>
      </c>
      <c r="B603">
        <v>9.5E-4</v>
      </c>
      <c r="C603">
        <v>9.5E-4</v>
      </c>
      <c r="D603">
        <v>9.3499999999999996E-4</v>
      </c>
      <c r="E603">
        <v>9.5E-4</v>
      </c>
      <c r="F603">
        <v>16298.3</v>
      </c>
      <c r="G603">
        <v>0</v>
      </c>
      <c r="L603" t="s">
        <v>7</v>
      </c>
      <c r="M603" t="s">
        <v>7</v>
      </c>
      <c r="N603" t="s">
        <v>7</v>
      </c>
      <c r="P603">
        <f t="shared" si="989"/>
        <v>1</v>
      </c>
      <c r="Q603">
        <f t="shared" si="990"/>
        <v>16298.3</v>
      </c>
      <c r="R603">
        <f t="shared" si="991"/>
        <v>-4493220.5705501623</v>
      </c>
      <c r="S603">
        <f t="shared" si="992"/>
        <v>-44.932205705501623</v>
      </c>
      <c r="T603">
        <f t="shared" si="993"/>
        <v>-4.4932205705501625E-2</v>
      </c>
    </row>
    <row r="604" spans="1:20" x14ac:dyDescent="0.25">
      <c r="A604" s="5">
        <v>43989</v>
      </c>
      <c r="B604">
        <v>9.59E-4</v>
      </c>
      <c r="C604">
        <v>9.6500000000000004E-4</v>
      </c>
      <c r="D604">
        <v>9.3999999999999997E-4</v>
      </c>
      <c r="E604">
        <v>9.5E-4</v>
      </c>
      <c r="F604">
        <v>19641.349999999999</v>
      </c>
      <c r="G604">
        <v>0</v>
      </c>
      <c r="L604" t="s">
        <v>8</v>
      </c>
      <c r="M604" t="s">
        <v>7</v>
      </c>
      <c r="N604" t="s">
        <v>7</v>
      </c>
      <c r="P604">
        <f t="shared" si="989"/>
        <v>-0.2</v>
      </c>
      <c r="Q604">
        <f t="shared" si="990"/>
        <v>-3928.27</v>
      </c>
      <c r="R604">
        <f t="shared" si="991"/>
        <v>-4509518.8705501622</v>
      </c>
      <c r="S604">
        <f t="shared" si="992"/>
        <v>-45.09518870550162</v>
      </c>
      <c r="T604">
        <f t="shared" si="993"/>
        <v>-4.5095188705501617E-2</v>
      </c>
    </row>
    <row r="605" spans="1:20" x14ac:dyDescent="0.25">
      <c r="A605" s="5">
        <v>43988</v>
      </c>
      <c r="B605">
        <v>9.6199999999999996E-4</v>
      </c>
      <c r="C605">
        <v>9.7000000000000005E-4</v>
      </c>
      <c r="D605">
        <v>9.5100000000000002E-4</v>
      </c>
      <c r="E605">
        <v>9.5699999999999995E-4</v>
      </c>
      <c r="F605">
        <v>26634.080000000002</v>
      </c>
      <c r="G605">
        <v>0</v>
      </c>
      <c r="L605" t="s">
        <v>8</v>
      </c>
      <c r="M605" t="s">
        <v>7</v>
      </c>
      <c r="N605" t="s">
        <v>7</v>
      </c>
      <c r="P605">
        <f t="shared" si="989"/>
        <v>-0.36842105263158736</v>
      </c>
      <c r="Q605">
        <f t="shared" si="990"/>
        <v>-9812.5557894739086</v>
      </c>
      <c r="R605">
        <f t="shared" si="991"/>
        <v>-4505590.6005501626</v>
      </c>
      <c r="S605">
        <f t="shared" si="992"/>
        <v>-45.055906005501626</v>
      </c>
      <c r="T605">
        <f t="shared" si="993"/>
        <v>-4.5055906005501627E-2</v>
      </c>
    </row>
    <row r="606" spans="1:20" x14ac:dyDescent="0.25">
      <c r="A606" s="5">
        <v>43987</v>
      </c>
      <c r="B606">
        <v>9.5699999999999995E-4</v>
      </c>
      <c r="C606">
        <v>9.68E-4</v>
      </c>
      <c r="D606">
        <v>9.4899999999999997E-4</v>
      </c>
      <c r="E606">
        <v>9.6000000000000002E-4</v>
      </c>
      <c r="F606">
        <v>29664.12</v>
      </c>
      <c r="G606">
        <v>0</v>
      </c>
      <c r="L606" t="s">
        <v>8</v>
      </c>
      <c r="M606" t="s">
        <v>7</v>
      </c>
      <c r="N606" t="s">
        <v>7</v>
      </c>
      <c r="P606">
        <f t="shared" si="989"/>
        <v>0.15789473684210886</v>
      </c>
      <c r="Q606">
        <f t="shared" si="990"/>
        <v>4683.8084210527386</v>
      </c>
      <c r="R606">
        <f t="shared" si="991"/>
        <v>-4495778.0447606891</v>
      </c>
      <c r="S606">
        <f t="shared" si="992"/>
        <v>-44.957780447606893</v>
      </c>
      <c r="T606">
        <f t="shared" si="993"/>
        <v>-4.4957780447606892E-2</v>
      </c>
    </row>
    <row r="607" spans="1:20" x14ac:dyDescent="0.25">
      <c r="A607" s="5">
        <v>43986</v>
      </c>
      <c r="B607">
        <v>9.6599999999999995E-4</v>
      </c>
      <c r="C607">
        <v>9.8999999999999999E-4</v>
      </c>
      <c r="D607">
        <v>9.5600000000000004E-4</v>
      </c>
      <c r="E607">
        <v>9.59E-4</v>
      </c>
      <c r="F607">
        <v>50299.12</v>
      </c>
      <c r="G607">
        <v>0</v>
      </c>
      <c r="L607" t="s">
        <v>8</v>
      </c>
      <c r="M607" t="s">
        <v>7</v>
      </c>
      <c r="N607" t="s">
        <v>7</v>
      </c>
      <c r="P607">
        <f t="shared" si="989"/>
        <v>-0.82352941176470773</v>
      </c>
      <c r="Q607">
        <f t="shared" si="990"/>
        <v>-41422.804705882445</v>
      </c>
      <c r="R607">
        <f t="shared" si="991"/>
        <v>-4500461.8531817421</v>
      </c>
      <c r="S607">
        <f t="shared" si="992"/>
        <v>-45.004618531817421</v>
      </c>
      <c r="T607">
        <f t="shared" si="993"/>
        <v>-4.500461853181742E-2</v>
      </c>
    </row>
    <row r="608" spans="1:20" x14ac:dyDescent="0.25">
      <c r="A608" s="5">
        <v>43985</v>
      </c>
      <c r="B608">
        <v>9.68E-4</v>
      </c>
      <c r="C608">
        <v>9.7499999999999996E-4</v>
      </c>
      <c r="D608">
        <v>9.5799999999999998E-4</v>
      </c>
      <c r="E608">
        <v>9.6599999999999995E-4</v>
      </c>
      <c r="F608">
        <v>21536.53</v>
      </c>
      <c r="G608">
        <v>0</v>
      </c>
      <c r="L608" t="s">
        <v>8</v>
      </c>
      <c r="M608" t="s">
        <v>7</v>
      </c>
      <c r="N608" t="s">
        <v>7</v>
      </c>
      <c r="P608">
        <f t="shared" si="989"/>
        <v>-5.8823529411766204E-2</v>
      </c>
      <c r="Q608">
        <f t="shared" si="990"/>
        <v>-1266.8547058823851</v>
      </c>
      <c r="R608">
        <f t="shared" si="991"/>
        <v>-4459039.0484758597</v>
      </c>
      <c r="S608">
        <f t="shared" si="992"/>
        <v>-44.590390484758593</v>
      </c>
      <c r="T608">
        <f t="shared" si="993"/>
        <v>-4.4590390484758595E-2</v>
      </c>
    </row>
    <row r="609" spans="1:20" x14ac:dyDescent="0.25">
      <c r="A609" s="5">
        <v>43984</v>
      </c>
      <c r="B609">
        <v>9.3400000000000004E-4</v>
      </c>
      <c r="C609">
        <v>9.8999999999999999E-4</v>
      </c>
      <c r="D609">
        <v>9.3199999999999999E-4</v>
      </c>
      <c r="E609">
        <v>9.6500000000000004E-4</v>
      </c>
      <c r="F609">
        <v>56462.03</v>
      </c>
      <c r="G609">
        <v>0</v>
      </c>
      <c r="L609" t="s">
        <v>8</v>
      </c>
      <c r="M609" t="s">
        <v>7</v>
      </c>
      <c r="N609" t="s">
        <v>7</v>
      </c>
      <c r="P609">
        <f t="shared" si="989"/>
        <v>0.13793103448276009</v>
      </c>
      <c r="Q609">
        <f t="shared" si="990"/>
        <v>7787.8662068966341</v>
      </c>
      <c r="R609">
        <f t="shared" si="991"/>
        <v>-4457772.1937699774</v>
      </c>
      <c r="S609">
        <f t="shared" si="992"/>
        <v>-44.577721937699778</v>
      </c>
      <c r="T609">
        <f t="shared" si="993"/>
        <v>-4.457772193769978E-2</v>
      </c>
    </row>
    <row r="610" spans="1:20" x14ac:dyDescent="0.25">
      <c r="A610" s="5">
        <v>43983</v>
      </c>
      <c r="B610">
        <v>9.6599999999999995E-4</v>
      </c>
      <c r="C610">
        <v>9.7099999999999997E-4</v>
      </c>
      <c r="D610">
        <v>9.2599999999999996E-4</v>
      </c>
      <c r="E610">
        <v>9.3499999999999996E-4</v>
      </c>
      <c r="F610">
        <v>37363.71</v>
      </c>
      <c r="G610">
        <v>0</v>
      </c>
      <c r="L610" t="s">
        <v>7</v>
      </c>
      <c r="M610" t="s">
        <v>7</v>
      </c>
      <c r="N610" t="s">
        <v>7</v>
      </c>
      <c r="P610">
        <f t="shared" si="989"/>
        <v>-0.6</v>
      </c>
      <c r="Q610">
        <f t="shared" si="990"/>
        <v>-22418.225999999999</v>
      </c>
      <c r="R610">
        <f t="shared" si="991"/>
        <v>-4465560.0599768739</v>
      </c>
      <c r="S610">
        <f t="shared" si="992"/>
        <v>-44.655600599768739</v>
      </c>
      <c r="T610">
        <f t="shared" si="993"/>
        <v>-4.4655600599768738E-2</v>
      </c>
    </row>
    <row r="611" spans="1:20" x14ac:dyDescent="0.25">
      <c r="A611" s="5">
        <v>43982</v>
      </c>
      <c r="B611">
        <v>9.9400000000000009E-4</v>
      </c>
      <c r="C611">
        <v>9.9500000000000001E-4</v>
      </c>
      <c r="D611">
        <v>9.6299999999999999E-4</v>
      </c>
      <c r="E611">
        <v>9.6599999999999995E-4</v>
      </c>
      <c r="F611">
        <v>38456.839999999997</v>
      </c>
      <c r="G611">
        <v>0</v>
      </c>
      <c r="L611" t="s">
        <v>8</v>
      </c>
      <c r="M611" t="s">
        <v>7</v>
      </c>
      <c r="N611" t="s">
        <v>7</v>
      </c>
      <c r="P611">
        <f t="shared" si="989"/>
        <v>-0.81250000000000233</v>
      </c>
      <c r="Q611">
        <f t="shared" si="990"/>
        <v>-31246.182500000086</v>
      </c>
      <c r="R611">
        <f t="shared" si="991"/>
        <v>-4443141.8339768741</v>
      </c>
      <c r="S611">
        <f t="shared" si="992"/>
        <v>-44.43141833976874</v>
      </c>
      <c r="T611">
        <f t="shared" si="993"/>
        <v>-4.4431418339768741E-2</v>
      </c>
    </row>
    <row r="612" spans="1:20" x14ac:dyDescent="0.25">
      <c r="A612" s="5">
        <v>43981</v>
      </c>
      <c r="B612">
        <v>9.6900000000000003E-4</v>
      </c>
      <c r="C612">
        <v>9.9500000000000001E-4</v>
      </c>
      <c r="D612">
        <v>9.5399999999999999E-4</v>
      </c>
      <c r="E612">
        <v>9.9400000000000009E-4</v>
      </c>
      <c r="F612">
        <v>45933.75</v>
      </c>
      <c r="G612">
        <v>0</v>
      </c>
      <c r="L612" t="s">
        <v>8</v>
      </c>
      <c r="M612" t="s">
        <v>7</v>
      </c>
      <c r="N612" t="s">
        <v>7</v>
      </c>
      <c r="P612">
        <f t="shared" si="989"/>
        <v>0.95121951219512613</v>
      </c>
      <c r="Q612">
        <f t="shared" si="990"/>
        <v>43693.079268292873</v>
      </c>
      <c r="R612">
        <f t="shared" si="991"/>
        <v>-4411895.651476874</v>
      </c>
      <c r="S612">
        <f t="shared" si="992"/>
        <v>-44.11895651476874</v>
      </c>
      <c r="T612">
        <f t="shared" si="993"/>
        <v>-4.4118956514768742E-2</v>
      </c>
    </row>
    <row r="613" spans="1:20" x14ac:dyDescent="0.25">
      <c r="A613" s="5">
        <v>43980</v>
      </c>
      <c r="B613">
        <v>9.6100000000000005E-4</v>
      </c>
      <c r="C613">
        <v>9.7799999999999992E-4</v>
      </c>
      <c r="D613">
        <v>9.5299999999999996E-4</v>
      </c>
      <c r="E613">
        <v>9.7199999999999999E-4</v>
      </c>
      <c r="F613">
        <v>29062.86</v>
      </c>
      <c r="G613">
        <v>0</v>
      </c>
      <c r="L613" t="s">
        <v>8</v>
      </c>
      <c r="M613" t="s">
        <v>7</v>
      </c>
      <c r="N613" t="s">
        <v>7</v>
      </c>
      <c r="P613">
        <f t="shared" si="989"/>
        <v>0.5200000000000049</v>
      </c>
      <c r="Q613">
        <f t="shared" si="990"/>
        <v>15112.687200000142</v>
      </c>
      <c r="R613">
        <f t="shared" si="991"/>
        <v>-4455588.7307451665</v>
      </c>
      <c r="S613">
        <f t="shared" si="992"/>
        <v>-44.555887307451663</v>
      </c>
      <c r="T613">
        <f t="shared" si="993"/>
        <v>-4.4555887307451664E-2</v>
      </c>
    </row>
    <row r="614" spans="1:20" x14ac:dyDescent="0.25">
      <c r="A614" s="5">
        <v>43979</v>
      </c>
      <c r="B614">
        <v>9.7799999999999992E-4</v>
      </c>
      <c r="C614">
        <v>9.7999999999999997E-4</v>
      </c>
      <c r="D614">
        <v>9.5E-4</v>
      </c>
      <c r="E614">
        <v>9.5699999999999995E-4</v>
      </c>
      <c r="F614">
        <v>23643.83</v>
      </c>
      <c r="G614">
        <v>0</v>
      </c>
      <c r="L614" t="s">
        <v>7</v>
      </c>
      <c r="M614" t="s">
        <v>7</v>
      </c>
      <c r="N614" t="s">
        <v>7</v>
      </c>
      <c r="P614">
        <f t="shared" si="989"/>
        <v>-0.53333333333333599</v>
      </c>
      <c r="Q614">
        <f t="shared" si="990"/>
        <v>-12610.04266666673</v>
      </c>
      <c r="R614">
        <f t="shared" si="991"/>
        <v>-4470701.417945167</v>
      </c>
      <c r="S614">
        <f t="shared" si="992"/>
        <v>-44.707014179451669</v>
      </c>
      <c r="T614">
        <f t="shared" si="993"/>
        <v>-4.4707014179451672E-2</v>
      </c>
    </row>
    <row r="615" spans="1:20" x14ac:dyDescent="0.25">
      <c r="A615" s="5">
        <v>43978</v>
      </c>
      <c r="B615">
        <v>9.9099999999999991E-4</v>
      </c>
      <c r="C615">
        <v>1.016E-3</v>
      </c>
      <c r="D615">
        <v>9.6000000000000002E-4</v>
      </c>
      <c r="E615">
        <v>9.7999999999999997E-4</v>
      </c>
      <c r="F615">
        <v>54125.46</v>
      </c>
      <c r="G615">
        <v>0</v>
      </c>
      <c r="L615" t="s">
        <v>8</v>
      </c>
      <c r="M615" t="s">
        <v>7</v>
      </c>
      <c r="N615" t="s">
        <v>7</v>
      </c>
      <c r="P615">
        <f t="shared" si="989"/>
        <v>-0.28571428571428709</v>
      </c>
      <c r="Q615">
        <f t="shared" si="990"/>
        <v>-15464.417142857217</v>
      </c>
      <c r="R615">
        <f t="shared" si="991"/>
        <v>-4458091.3752784999</v>
      </c>
      <c r="S615">
        <f t="shared" si="992"/>
        <v>-44.580913752785001</v>
      </c>
      <c r="T615">
        <f t="shared" si="993"/>
        <v>-4.4580913752785001E-2</v>
      </c>
    </row>
    <row r="616" spans="1:20" x14ac:dyDescent="0.25">
      <c r="A616" s="5">
        <v>43977</v>
      </c>
      <c r="B616">
        <v>1.0039999999999999E-3</v>
      </c>
      <c r="C616">
        <v>1.0200000000000001E-3</v>
      </c>
      <c r="D616">
        <v>9.7499999999999996E-4</v>
      </c>
      <c r="E616">
        <v>9.8999999999999999E-4</v>
      </c>
      <c r="F616">
        <v>67200.86</v>
      </c>
      <c r="G616">
        <v>0</v>
      </c>
      <c r="L616" t="s">
        <v>8</v>
      </c>
      <c r="M616" t="s">
        <v>7</v>
      </c>
      <c r="N616" t="s">
        <v>7</v>
      </c>
      <c r="P616">
        <f t="shared" si="989"/>
        <v>-0.33333333333333331</v>
      </c>
      <c r="Q616">
        <f t="shared" si="990"/>
        <v>-22400.286666666667</v>
      </c>
      <c r="R616">
        <f t="shared" si="991"/>
        <v>-4442626.958135643</v>
      </c>
      <c r="S616">
        <f t="shared" si="992"/>
        <v>-44.426269581356429</v>
      </c>
      <c r="T616">
        <f t="shared" si="993"/>
        <v>-4.4426269581356433E-2</v>
      </c>
    </row>
    <row r="617" spans="1:20" x14ac:dyDescent="0.25">
      <c r="A617" s="5">
        <v>43976</v>
      </c>
      <c r="B617">
        <v>9.7300000000000002E-4</v>
      </c>
      <c r="C617">
        <v>1.0250000000000001E-3</v>
      </c>
      <c r="D617">
        <v>9.68E-4</v>
      </c>
      <c r="E617">
        <v>1.0039999999999999E-3</v>
      </c>
      <c r="F617">
        <v>71200.210000000006</v>
      </c>
      <c r="G617">
        <v>0</v>
      </c>
      <c r="L617" t="s">
        <v>8</v>
      </c>
      <c r="M617" t="s">
        <v>7</v>
      </c>
      <c r="N617" t="s">
        <v>7</v>
      </c>
      <c r="P617">
        <f t="shared" si="989"/>
        <v>0.26315789473683671</v>
      </c>
      <c r="Q617">
        <f t="shared" si="990"/>
        <v>18736.897368420668</v>
      </c>
      <c r="R617">
        <f t="shared" si="991"/>
        <v>-4420226.671468976</v>
      </c>
      <c r="S617">
        <f t="shared" si="992"/>
        <v>-44.202266714689756</v>
      </c>
      <c r="T617">
        <f t="shared" si="993"/>
        <v>-4.4202266714689756E-2</v>
      </c>
    </row>
    <row r="618" spans="1:20" x14ac:dyDescent="0.25">
      <c r="A618" s="5">
        <v>43975</v>
      </c>
      <c r="B618">
        <v>9.6100000000000005E-4</v>
      </c>
      <c r="C618">
        <v>1.005E-3</v>
      </c>
      <c r="D618">
        <v>9.5200000000000005E-4</v>
      </c>
      <c r="E618">
        <v>9.7599999999999998E-4</v>
      </c>
      <c r="F618">
        <v>71464.83</v>
      </c>
      <c r="G618">
        <v>0</v>
      </c>
      <c r="L618" t="s">
        <v>8</v>
      </c>
      <c r="M618" t="s">
        <v>7</v>
      </c>
      <c r="N618" t="s">
        <v>7</v>
      </c>
      <c r="P618">
        <f t="shared" si="989"/>
        <v>-9.4339622641511744E-2</v>
      </c>
      <c r="Q618">
        <f t="shared" si="990"/>
        <v>-6741.9650943397883</v>
      </c>
      <c r="R618">
        <f t="shared" si="991"/>
        <v>-4438963.5688373968</v>
      </c>
      <c r="S618">
        <f t="shared" si="992"/>
        <v>-44.389635688373971</v>
      </c>
      <c r="T618">
        <f t="shared" si="993"/>
        <v>-4.4389635688373973E-2</v>
      </c>
    </row>
    <row r="619" spans="1:20" x14ac:dyDescent="0.25">
      <c r="A619" s="5">
        <v>43974</v>
      </c>
      <c r="B619">
        <v>9.8400000000000007E-4</v>
      </c>
      <c r="C619">
        <v>9.8900000000000008E-4</v>
      </c>
      <c r="D619">
        <v>9.4799999999999995E-4</v>
      </c>
      <c r="E619">
        <v>9.59E-4</v>
      </c>
      <c r="F619">
        <v>45659.43</v>
      </c>
      <c r="G619">
        <v>0</v>
      </c>
      <c r="L619" t="s">
        <v>8</v>
      </c>
      <c r="M619" t="s">
        <v>7</v>
      </c>
      <c r="N619" t="s">
        <v>7</v>
      </c>
      <c r="P619">
        <f t="shared" si="989"/>
        <v>-0.46341463414634071</v>
      </c>
      <c r="Q619">
        <f t="shared" si="990"/>
        <v>-21159.248048780453</v>
      </c>
      <c r="R619">
        <f t="shared" si="991"/>
        <v>-4432221.6037430568</v>
      </c>
      <c r="S619">
        <f t="shared" si="992"/>
        <v>-44.322216037430564</v>
      </c>
      <c r="T619">
        <f t="shared" si="993"/>
        <v>-4.4322216037430563E-2</v>
      </c>
    </row>
    <row r="620" spans="1:20" x14ac:dyDescent="0.25">
      <c r="A620" s="5">
        <v>43973</v>
      </c>
      <c r="B620">
        <v>9.5E-4</v>
      </c>
      <c r="C620">
        <v>9.8400000000000007E-4</v>
      </c>
      <c r="D620">
        <v>9.3599999999999998E-4</v>
      </c>
      <c r="E620">
        <v>9.8400000000000007E-4</v>
      </c>
      <c r="F620">
        <v>77164.320000000007</v>
      </c>
      <c r="G620">
        <v>0</v>
      </c>
      <c r="L620" t="s">
        <v>8</v>
      </c>
      <c r="M620" t="s">
        <v>7</v>
      </c>
      <c r="N620" t="s">
        <v>7</v>
      </c>
      <c r="P620">
        <f t="shared" si="989"/>
        <v>1</v>
      </c>
      <c r="Q620">
        <f t="shared" si="990"/>
        <v>77164.320000000007</v>
      </c>
      <c r="R620">
        <f t="shared" si="991"/>
        <v>-4411062.3556942763</v>
      </c>
      <c r="S620">
        <f t="shared" si="992"/>
        <v>-44.110623556942762</v>
      </c>
      <c r="T620">
        <f t="shared" si="993"/>
        <v>-4.4110623556942764E-2</v>
      </c>
    </row>
    <row r="621" spans="1:20" x14ac:dyDescent="0.25">
      <c r="A621" s="5">
        <v>43972</v>
      </c>
      <c r="B621">
        <v>9.4399999999999996E-4</v>
      </c>
      <c r="C621">
        <v>9.6599999999999995E-4</v>
      </c>
      <c r="D621">
        <v>9.3800000000000003E-4</v>
      </c>
      <c r="E621">
        <v>9.4700000000000003E-4</v>
      </c>
      <c r="F621">
        <v>57261.53</v>
      </c>
      <c r="G621">
        <v>0</v>
      </c>
      <c r="L621" t="s">
        <v>7</v>
      </c>
      <c r="M621" t="s">
        <v>7</v>
      </c>
      <c r="N621" t="s">
        <v>7</v>
      </c>
      <c r="P621">
        <f t="shared" si="989"/>
        <v>-0.35714285714285521</v>
      </c>
      <c r="Q621">
        <f t="shared" si="990"/>
        <v>-20450.546428571317</v>
      </c>
      <c r="R621">
        <f t="shared" si="991"/>
        <v>-4488226.6756942766</v>
      </c>
      <c r="S621">
        <f t="shared" si="992"/>
        <v>-44.882266756942762</v>
      </c>
      <c r="T621">
        <f t="shared" si="993"/>
        <v>-4.4882266756942762E-2</v>
      </c>
    </row>
    <row r="622" spans="1:20" x14ac:dyDescent="0.25">
      <c r="A622" s="5">
        <v>43971</v>
      </c>
      <c r="B622">
        <v>9.41E-4</v>
      </c>
      <c r="C622">
        <v>9.5500000000000001E-4</v>
      </c>
      <c r="D622">
        <v>9.3300000000000002E-4</v>
      </c>
      <c r="E622">
        <v>9.4799999999999995E-4</v>
      </c>
      <c r="F622">
        <v>31397.78</v>
      </c>
      <c r="G622">
        <v>0</v>
      </c>
      <c r="L622" t="s">
        <v>8</v>
      </c>
      <c r="M622" t="s">
        <v>7</v>
      </c>
      <c r="N622" t="s">
        <v>7</v>
      </c>
      <c r="P622">
        <f t="shared" si="989"/>
        <v>0.36363636363635782</v>
      </c>
      <c r="Q622">
        <f t="shared" si="990"/>
        <v>11417.374545454362</v>
      </c>
      <c r="R622">
        <f t="shared" si="991"/>
        <v>-4467776.1292657051</v>
      </c>
      <c r="S622">
        <f t="shared" si="992"/>
        <v>-44.677761292657053</v>
      </c>
      <c r="T622">
        <f t="shared" si="993"/>
        <v>-4.4677761292657055E-2</v>
      </c>
    </row>
    <row r="623" spans="1:20" x14ac:dyDescent="0.25">
      <c r="A623" s="5">
        <v>43970</v>
      </c>
      <c r="B623">
        <v>9.5600000000000004E-4</v>
      </c>
      <c r="C623">
        <v>9.6500000000000004E-4</v>
      </c>
      <c r="D623">
        <v>9.3800000000000003E-4</v>
      </c>
      <c r="E623">
        <v>9.4200000000000002E-4</v>
      </c>
      <c r="F623">
        <v>21666.09</v>
      </c>
      <c r="G623">
        <v>0</v>
      </c>
      <c r="L623" t="s">
        <v>7</v>
      </c>
      <c r="M623" t="s">
        <v>7</v>
      </c>
      <c r="N623" t="s">
        <v>7</v>
      </c>
      <c r="P623">
        <f t="shared" si="989"/>
        <v>-0.70370370370370461</v>
      </c>
      <c r="Q623">
        <f t="shared" si="990"/>
        <v>-15246.507777777797</v>
      </c>
      <c r="R623">
        <f t="shared" si="991"/>
        <v>-4479193.5038111592</v>
      </c>
      <c r="S623">
        <f t="shared" si="992"/>
        <v>-44.791935038111589</v>
      </c>
      <c r="T623">
        <f t="shared" si="993"/>
        <v>-4.4791935038111588E-2</v>
      </c>
    </row>
    <row r="624" spans="1:20" x14ac:dyDescent="0.25">
      <c r="A624" s="5">
        <v>43969</v>
      </c>
      <c r="B624">
        <v>9.3800000000000003E-4</v>
      </c>
      <c r="C624">
        <v>9.7499999999999996E-4</v>
      </c>
      <c r="D624">
        <v>9.2299999999999999E-4</v>
      </c>
      <c r="E624">
        <v>9.5600000000000004E-4</v>
      </c>
      <c r="F624">
        <v>28860.22</v>
      </c>
      <c r="G624">
        <v>0</v>
      </c>
      <c r="L624" t="s">
        <v>8</v>
      </c>
      <c r="M624" t="s">
        <v>7</v>
      </c>
      <c r="N624" t="s">
        <v>7</v>
      </c>
      <c r="P624">
        <f t="shared" si="989"/>
        <v>0.26923076923077177</v>
      </c>
      <c r="Q624">
        <f t="shared" si="990"/>
        <v>7770.0592307693041</v>
      </c>
      <c r="R624">
        <f t="shared" si="991"/>
        <v>-4463946.9960333817</v>
      </c>
      <c r="S624">
        <f t="shared" si="992"/>
        <v>-44.63946996033382</v>
      </c>
      <c r="T624">
        <f t="shared" si="993"/>
        <v>-4.463946996033382E-2</v>
      </c>
    </row>
    <row r="625" spans="1:20" x14ac:dyDescent="0.25">
      <c r="A625" s="5">
        <v>43968</v>
      </c>
      <c r="B625">
        <v>9.6400000000000001E-4</v>
      </c>
      <c r="C625">
        <v>9.6599999999999995E-4</v>
      </c>
      <c r="D625">
        <v>9.2299999999999999E-4</v>
      </c>
      <c r="E625">
        <v>9.3800000000000003E-4</v>
      </c>
      <c r="F625">
        <v>23768.639999999999</v>
      </c>
      <c r="G625">
        <v>0</v>
      </c>
      <c r="L625" t="s">
        <v>7</v>
      </c>
      <c r="M625" t="s">
        <v>7</v>
      </c>
      <c r="N625" t="s">
        <v>7</v>
      </c>
      <c r="P625">
        <f t="shared" si="989"/>
        <v>-0.30232558139534638</v>
      </c>
      <c r="Q625">
        <f t="shared" si="990"/>
        <v>-7185.8679069766858</v>
      </c>
      <c r="R625">
        <f t="shared" si="991"/>
        <v>-4471717.0552641507</v>
      </c>
      <c r="S625">
        <f t="shared" si="992"/>
        <v>-44.717170552641505</v>
      </c>
      <c r="T625">
        <f t="shared" si="993"/>
        <v>-4.4717170552641503E-2</v>
      </c>
    </row>
    <row r="626" spans="1:20" x14ac:dyDescent="0.25">
      <c r="A626" s="5">
        <v>43967</v>
      </c>
      <c r="B626">
        <v>9.59E-4</v>
      </c>
      <c r="C626">
        <v>9.7499999999999996E-4</v>
      </c>
      <c r="D626">
        <v>9.5100000000000002E-4</v>
      </c>
      <c r="E626">
        <v>9.6299999999999999E-4</v>
      </c>
      <c r="F626">
        <v>19917.25</v>
      </c>
      <c r="G626">
        <v>0</v>
      </c>
      <c r="L626" t="s">
        <v>8</v>
      </c>
      <c r="M626" t="s">
        <v>7</v>
      </c>
      <c r="N626" t="s">
        <v>7</v>
      </c>
      <c r="P626">
        <f t="shared" si="989"/>
        <v>0</v>
      </c>
      <c r="Q626">
        <f t="shared" si="990"/>
        <v>0</v>
      </c>
      <c r="R626">
        <f t="shared" si="991"/>
        <v>-4464531.1873571742</v>
      </c>
      <c r="S626">
        <f t="shared" si="992"/>
        <v>-44.645311873571742</v>
      </c>
      <c r="T626">
        <f t="shared" si="993"/>
        <v>-4.4645311873571743E-2</v>
      </c>
    </row>
    <row r="627" spans="1:20" x14ac:dyDescent="0.25">
      <c r="A627" s="5">
        <v>43966</v>
      </c>
      <c r="B627">
        <v>9.3499999999999996E-4</v>
      </c>
      <c r="C627">
        <v>9.68E-4</v>
      </c>
      <c r="D627">
        <v>9.3099999999999997E-4</v>
      </c>
      <c r="E627">
        <v>9.5699999999999995E-4</v>
      </c>
      <c r="F627">
        <v>25299.8</v>
      </c>
      <c r="G627">
        <v>0</v>
      </c>
      <c r="L627" t="s">
        <v>7</v>
      </c>
      <c r="M627" t="s">
        <v>7</v>
      </c>
      <c r="N627" t="s">
        <v>7</v>
      </c>
      <c r="P627">
        <f t="shared" si="989"/>
        <v>0.40540540540540321</v>
      </c>
      <c r="Q627">
        <f t="shared" si="990"/>
        <v>10256.67567567562</v>
      </c>
      <c r="R627">
        <f t="shared" si="991"/>
        <v>-4464531.1873571742</v>
      </c>
      <c r="S627">
        <f t="shared" si="992"/>
        <v>-44.645311873571742</v>
      </c>
      <c r="T627">
        <f t="shared" si="993"/>
        <v>-4.4645311873571743E-2</v>
      </c>
    </row>
    <row r="628" spans="1:20" x14ac:dyDescent="0.25">
      <c r="A628" s="5">
        <v>43965</v>
      </c>
      <c r="B628">
        <v>9.8299999999999993E-4</v>
      </c>
      <c r="C628">
        <v>9.990000000000001E-4</v>
      </c>
      <c r="D628">
        <v>9.3400000000000004E-4</v>
      </c>
      <c r="E628">
        <v>9.3999999999999997E-4</v>
      </c>
      <c r="F628">
        <v>26898.32</v>
      </c>
      <c r="G628">
        <v>0</v>
      </c>
      <c r="L628" t="s">
        <v>8</v>
      </c>
      <c r="M628" t="s">
        <v>7</v>
      </c>
      <c r="N628" t="s">
        <v>7</v>
      </c>
      <c r="P628">
        <f t="shared" si="989"/>
        <v>-0.81538461538461771</v>
      </c>
      <c r="Q628">
        <f t="shared" si="990"/>
        <v>-21932.47630769237</v>
      </c>
      <c r="R628">
        <f t="shared" si="991"/>
        <v>-4474787.8630328495</v>
      </c>
      <c r="S628">
        <f t="shared" si="992"/>
        <v>-44.747878630328493</v>
      </c>
      <c r="T628">
        <f t="shared" si="993"/>
        <v>-4.4747878630328496E-2</v>
      </c>
    </row>
    <row r="629" spans="1:20" x14ac:dyDescent="0.25">
      <c r="A629" s="5">
        <v>43964</v>
      </c>
      <c r="B629">
        <v>1.005E-3</v>
      </c>
      <c r="C629">
        <v>1.0089999999999999E-3</v>
      </c>
      <c r="D629">
        <v>9.6699999999999998E-4</v>
      </c>
      <c r="E629">
        <v>9.8900000000000008E-4</v>
      </c>
      <c r="F629">
        <v>31485.26</v>
      </c>
      <c r="G629">
        <v>0</v>
      </c>
      <c r="L629" t="s">
        <v>7</v>
      </c>
      <c r="M629" t="s">
        <v>7</v>
      </c>
      <c r="N629" t="s">
        <v>7</v>
      </c>
      <c r="P629">
        <f t="shared" si="989"/>
        <v>4.7619047619054014E-2</v>
      </c>
      <c r="Q629">
        <f t="shared" si="990"/>
        <v>1499.2980952382966</v>
      </c>
      <c r="R629">
        <f t="shared" si="991"/>
        <v>-4452855.3867251575</v>
      </c>
      <c r="S629">
        <f t="shared" si="992"/>
        <v>-44.528553867251574</v>
      </c>
      <c r="T629">
        <f t="shared" si="993"/>
        <v>-4.4528553867251575E-2</v>
      </c>
    </row>
    <row r="630" spans="1:20" x14ac:dyDescent="0.25">
      <c r="A630" s="5">
        <v>43963</v>
      </c>
      <c r="B630">
        <v>1.018E-3</v>
      </c>
      <c r="C630">
        <v>1.039E-3</v>
      </c>
      <c r="D630">
        <v>9.9599999999999992E-4</v>
      </c>
      <c r="E630">
        <v>1.003E-3</v>
      </c>
      <c r="F630">
        <v>26310.01</v>
      </c>
      <c r="G630">
        <v>0</v>
      </c>
      <c r="L630" t="s">
        <v>7</v>
      </c>
      <c r="M630" t="s">
        <v>7</v>
      </c>
      <c r="N630" t="s">
        <v>7</v>
      </c>
      <c r="P630">
        <f t="shared" si="989"/>
        <v>-0.67441860465116044</v>
      </c>
      <c r="Q630">
        <f t="shared" si="990"/>
        <v>-17743.960232558078</v>
      </c>
      <c r="R630">
        <f t="shared" si="991"/>
        <v>-4454354.6848203959</v>
      </c>
      <c r="S630">
        <f t="shared" si="992"/>
        <v>-44.54354684820396</v>
      </c>
      <c r="T630">
        <f t="shared" si="993"/>
        <v>-4.4543546848203962E-2</v>
      </c>
    </row>
    <row r="631" spans="1:20" x14ac:dyDescent="0.25">
      <c r="A631" s="5">
        <v>43962</v>
      </c>
      <c r="B631">
        <v>1.0200000000000001E-3</v>
      </c>
      <c r="C631">
        <v>1.023E-3</v>
      </c>
      <c r="D631">
        <v>9.7999999999999997E-4</v>
      </c>
      <c r="E631">
        <v>1.018E-3</v>
      </c>
      <c r="F631">
        <v>42451.89</v>
      </c>
      <c r="G631">
        <v>0</v>
      </c>
      <c r="L631" t="s">
        <v>7</v>
      </c>
      <c r="M631" t="s">
        <v>7</v>
      </c>
      <c r="N631" t="s">
        <v>7</v>
      </c>
      <c r="P631">
        <f t="shared" si="989"/>
        <v>0.76744186046511609</v>
      </c>
      <c r="Q631">
        <f t="shared" si="990"/>
        <v>32579.357441860455</v>
      </c>
      <c r="R631">
        <f t="shared" si="991"/>
        <v>-4436610.7245878382</v>
      </c>
      <c r="S631">
        <f t="shared" si="992"/>
        <v>-44.366107245878382</v>
      </c>
      <c r="T631">
        <f t="shared" si="993"/>
        <v>-4.4366107245878382E-2</v>
      </c>
    </row>
    <row r="632" spans="1:20" x14ac:dyDescent="0.25">
      <c r="A632" s="5">
        <v>43961</v>
      </c>
      <c r="B632">
        <v>1.0300000000000001E-3</v>
      </c>
      <c r="C632">
        <v>1.077E-3</v>
      </c>
      <c r="D632">
        <v>1.0009999999999999E-3</v>
      </c>
      <c r="E632">
        <v>1.021E-3</v>
      </c>
      <c r="F632">
        <v>59832.99</v>
      </c>
      <c r="G632">
        <v>0</v>
      </c>
      <c r="L632" t="s">
        <v>8</v>
      </c>
      <c r="M632" t="s">
        <v>7</v>
      </c>
      <c r="N632" t="s">
        <v>7</v>
      </c>
      <c r="P632">
        <f t="shared" si="989"/>
        <v>-0.47368421052631521</v>
      </c>
      <c r="Q632">
        <f t="shared" si="990"/>
        <v>-28341.942631578913</v>
      </c>
      <c r="R632">
        <f t="shared" si="991"/>
        <v>-4469190.0820296984</v>
      </c>
      <c r="S632">
        <f t="shared" si="992"/>
        <v>-44.691900820296986</v>
      </c>
      <c r="T632">
        <f t="shared" si="993"/>
        <v>-4.469190082029699E-2</v>
      </c>
    </row>
    <row r="633" spans="1:20" x14ac:dyDescent="0.25">
      <c r="A633" s="5">
        <v>43960</v>
      </c>
      <c r="B633">
        <v>1.0150000000000001E-3</v>
      </c>
      <c r="C633">
        <v>1.044E-3</v>
      </c>
      <c r="D633">
        <v>1.0089999999999999E-3</v>
      </c>
      <c r="E633">
        <v>1.029E-3</v>
      </c>
      <c r="F633">
        <v>62125.25</v>
      </c>
      <c r="G633">
        <v>0</v>
      </c>
      <c r="L633" t="s">
        <v>7</v>
      </c>
      <c r="M633" t="s">
        <v>7</v>
      </c>
      <c r="N633" t="s">
        <v>7</v>
      </c>
      <c r="P633">
        <f t="shared" si="989"/>
        <v>0.14285714285714285</v>
      </c>
      <c r="Q633">
        <f t="shared" si="990"/>
        <v>8875.0357142857138</v>
      </c>
      <c r="R633">
        <f t="shared" si="991"/>
        <v>-4440848.1393981194</v>
      </c>
      <c r="S633">
        <f t="shared" si="992"/>
        <v>-44.408481393981191</v>
      </c>
      <c r="T633">
        <f t="shared" si="993"/>
        <v>-4.4408481393981188E-2</v>
      </c>
    </row>
    <row r="634" spans="1:20" x14ac:dyDescent="0.25">
      <c r="A634" s="5">
        <v>43959</v>
      </c>
      <c r="B634">
        <v>1E-3</v>
      </c>
      <c r="C634">
        <v>1.0200000000000001E-3</v>
      </c>
      <c r="D634">
        <v>9.8499999999999998E-4</v>
      </c>
      <c r="E634">
        <v>1.0120000000000001E-3</v>
      </c>
      <c r="F634">
        <v>41237.300000000003</v>
      </c>
      <c r="G634">
        <v>0</v>
      </c>
      <c r="L634" t="s">
        <v>7</v>
      </c>
      <c r="M634" t="s">
        <v>7</v>
      </c>
      <c r="N634" t="s">
        <v>7</v>
      </c>
      <c r="P634">
        <f t="shared" si="989"/>
        <v>0.54285714285714537</v>
      </c>
      <c r="Q634">
        <f t="shared" si="990"/>
        <v>22385.962857142964</v>
      </c>
      <c r="R634">
        <f t="shared" si="991"/>
        <v>-4449723.1751124049</v>
      </c>
      <c r="S634">
        <f t="shared" si="992"/>
        <v>-44.497231751124048</v>
      </c>
      <c r="T634">
        <f t="shared" si="993"/>
        <v>-4.449723175112405E-2</v>
      </c>
    </row>
    <row r="635" spans="1:20" x14ac:dyDescent="0.25">
      <c r="A635" s="5">
        <v>43958</v>
      </c>
      <c r="B635">
        <v>1.0529999999999999E-3</v>
      </c>
      <c r="C635">
        <v>1.0560000000000001E-3</v>
      </c>
      <c r="D635">
        <v>9.859999999999999E-4</v>
      </c>
      <c r="E635">
        <v>9.9799999999999997E-4</v>
      </c>
      <c r="F635">
        <v>46046.720000000001</v>
      </c>
      <c r="G635">
        <v>0</v>
      </c>
      <c r="L635" t="s">
        <v>7</v>
      </c>
      <c r="M635" t="s">
        <v>7</v>
      </c>
      <c r="N635" t="s">
        <v>7</v>
      </c>
      <c r="P635">
        <f t="shared" si="989"/>
        <v>-0.65714285714285592</v>
      </c>
      <c r="Q635">
        <f t="shared" si="990"/>
        <v>-30259.273142857088</v>
      </c>
      <c r="R635">
        <f t="shared" si="991"/>
        <v>-4472109.1379695479</v>
      </c>
      <c r="S635">
        <f t="shared" si="992"/>
        <v>-44.72109137969548</v>
      </c>
      <c r="T635">
        <f t="shared" si="993"/>
        <v>-4.4721091379695481E-2</v>
      </c>
    </row>
    <row r="636" spans="1:20" x14ac:dyDescent="0.25">
      <c r="A636" s="5">
        <v>43957</v>
      </c>
      <c r="B636">
        <v>1.0839999999999999E-3</v>
      </c>
      <c r="C636">
        <v>1.085E-3</v>
      </c>
      <c r="D636">
        <v>1.042E-3</v>
      </c>
      <c r="E636">
        <v>1.049E-3</v>
      </c>
      <c r="F636">
        <v>34817.35</v>
      </c>
      <c r="G636">
        <v>0</v>
      </c>
      <c r="L636" t="s">
        <v>7</v>
      </c>
      <c r="M636" t="s">
        <v>7</v>
      </c>
      <c r="N636" t="s">
        <v>7</v>
      </c>
      <c r="P636">
        <f t="shared" si="989"/>
        <v>-0.67441860465116044</v>
      </c>
      <c r="Q636">
        <f t="shared" si="990"/>
        <v>-23481.46860465108</v>
      </c>
      <c r="R636">
        <f t="shared" si="991"/>
        <v>-4441849.8648266904</v>
      </c>
      <c r="S636">
        <f t="shared" si="992"/>
        <v>-44.418498648266905</v>
      </c>
      <c r="T636">
        <f t="shared" si="993"/>
        <v>-4.4418498648266906E-2</v>
      </c>
    </row>
    <row r="637" spans="1:20" x14ac:dyDescent="0.25">
      <c r="A637" s="5">
        <v>43956</v>
      </c>
      <c r="B637">
        <v>1.101E-3</v>
      </c>
      <c r="C637">
        <v>1.108E-3</v>
      </c>
      <c r="D637">
        <v>1.0809999999999999E-3</v>
      </c>
      <c r="E637">
        <v>1.085E-3</v>
      </c>
      <c r="F637">
        <v>26397.9</v>
      </c>
      <c r="G637">
        <v>0</v>
      </c>
      <c r="L637" t="s">
        <v>7</v>
      </c>
      <c r="M637" t="s">
        <v>7</v>
      </c>
      <c r="N637" t="s">
        <v>8</v>
      </c>
      <c r="P637">
        <f t="shared" si="989"/>
        <v>-0.70370370370369772</v>
      </c>
      <c r="Q637">
        <f t="shared" si="990"/>
        <v>-18576.299999999843</v>
      </c>
      <c r="R637">
        <f t="shared" si="991"/>
        <v>-4418368.3962220391</v>
      </c>
      <c r="S637">
        <f t="shared" si="992"/>
        <v>-44.183683962220393</v>
      </c>
      <c r="T637">
        <f t="shared" si="993"/>
        <v>-4.4183683962220395E-2</v>
      </c>
    </row>
    <row r="638" spans="1:20" x14ac:dyDescent="0.25">
      <c r="A638" s="5">
        <v>43955</v>
      </c>
      <c r="B638">
        <v>1.1169999999999999E-3</v>
      </c>
      <c r="C638">
        <v>1.1249999999999999E-3</v>
      </c>
      <c r="D638">
        <v>1.0820000000000001E-3</v>
      </c>
      <c r="E638">
        <v>1.106E-3</v>
      </c>
      <c r="F638">
        <v>44760.959999999999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0.11627906976744257</v>
      </c>
      <c r="Q638">
        <f t="shared" si="990"/>
        <v>5204.7627906977059</v>
      </c>
      <c r="R638">
        <f t="shared" si="991"/>
        <v>-4399792.0962220393</v>
      </c>
      <c r="S638">
        <f t="shared" si="992"/>
        <v>-43.997920962220391</v>
      </c>
      <c r="T638">
        <f t="shared" si="993"/>
        <v>-4.399792096222039E-2</v>
      </c>
    </row>
    <row r="639" spans="1:20" x14ac:dyDescent="0.25">
      <c r="A639" s="5">
        <v>43954</v>
      </c>
      <c r="B639">
        <v>1.1360000000000001E-3</v>
      </c>
      <c r="C639">
        <v>1.1640000000000001E-3</v>
      </c>
      <c r="D639">
        <v>1.1100000000000001E-3</v>
      </c>
      <c r="E639">
        <v>1.1169999999999999E-3</v>
      </c>
      <c r="F639">
        <v>32399.43</v>
      </c>
      <c r="G639">
        <v>0</v>
      </c>
      <c r="L639" t="s">
        <v>7</v>
      </c>
      <c r="M639" t="s">
        <v>7</v>
      </c>
      <c r="N639" t="s">
        <v>8</v>
      </c>
      <c r="P639">
        <f t="shared" si="989"/>
        <v>-0.74074074074074658</v>
      </c>
      <c r="Q639">
        <f t="shared" si="990"/>
        <v>-23999.577777777966</v>
      </c>
      <c r="R639">
        <f t="shared" si="991"/>
        <v>-4404996.8590127369</v>
      </c>
      <c r="S639">
        <f t="shared" si="992"/>
        <v>-44.049968590127371</v>
      </c>
      <c r="T639">
        <f t="shared" si="993"/>
        <v>-4.4049968590127372E-2</v>
      </c>
    </row>
    <row r="640" spans="1:20" x14ac:dyDescent="0.25">
      <c r="A640" s="5">
        <v>43953</v>
      </c>
      <c r="B640">
        <v>1.1559999999999999E-3</v>
      </c>
      <c r="C640">
        <v>1.165E-3</v>
      </c>
      <c r="D640">
        <v>1.124E-3</v>
      </c>
      <c r="E640">
        <v>1.1360000000000001E-3</v>
      </c>
      <c r="F640">
        <v>26610.44</v>
      </c>
      <c r="G640">
        <v>0</v>
      </c>
      <c r="L640" t="s">
        <v>7</v>
      </c>
      <c r="M640" t="s">
        <v>7</v>
      </c>
      <c r="N640" t="s">
        <v>8</v>
      </c>
      <c r="P640">
        <f t="shared" si="989"/>
        <v>-0.41463414634146006</v>
      </c>
      <c r="Q640">
        <f t="shared" si="990"/>
        <v>-11033.597073170642</v>
      </c>
      <c r="R640">
        <f t="shared" si="991"/>
        <v>-4380997.2812349591</v>
      </c>
      <c r="S640">
        <f t="shared" si="992"/>
        <v>-43.809972812349592</v>
      </c>
      <c r="T640">
        <f t="shared" si="993"/>
        <v>-4.3809972812349593E-2</v>
      </c>
    </row>
    <row r="641" spans="1:20" x14ac:dyDescent="0.25">
      <c r="A641" s="5">
        <v>43952</v>
      </c>
      <c r="B641">
        <v>1.1349999999999999E-3</v>
      </c>
      <c r="C641">
        <v>1.1609999999999999E-3</v>
      </c>
      <c r="D641">
        <v>1.1310000000000001E-3</v>
      </c>
      <c r="E641">
        <v>1.155E-3</v>
      </c>
      <c r="F641">
        <v>38542.699999999997</v>
      </c>
      <c r="G641">
        <v>0</v>
      </c>
      <c r="L641" t="s">
        <v>7</v>
      </c>
      <c r="M641" t="s">
        <v>7</v>
      </c>
      <c r="N641" t="s">
        <v>8</v>
      </c>
      <c r="P641">
        <f t="shared" si="989"/>
        <v>0.60000000000000286</v>
      </c>
      <c r="Q641">
        <f t="shared" si="990"/>
        <v>23125.620000000108</v>
      </c>
      <c r="R641">
        <f t="shared" si="991"/>
        <v>-4369963.6841617888</v>
      </c>
      <c r="S641">
        <f t="shared" si="992"/>
        <v>-43.699636841617888</v>
      </c>
      <c r="T641">
        <f t="shared" si="993"/>
        <v>-4.3699636841617887E-2</v>
      </c>
    </row>
    <row r="642" spans="1:20" x14ac:dyDescent="0.25">
      <c r="A642" s="5">
        <v>43951</v>
      </c>
      <c r="B642">
        <v>1.1429999999999999E-3</v>
      </c>
      <c r="C642">
        <v>1.225E-3</v>
      </c>
      <c r="D642">
        <v>1.103E-3</v>
      </c>
      <c r="E642">
        <v>1.1360000000000001E-3</v>
      </c>
      <c r="F642">
        <v>121017.01</v>
      </c>
      <c r="G642">
        <v>0</v>
      </c>
      <c r="L642" t="s">
        <v>7</v>
      </c>
      <c r="M642" t="s">
        <v>7</v>
      </c>
      <c r="N642" t="s">
        <v>8</v>
      </c>
      <c r="P642">
        <f t="shared" si="989"/>
        <v>-0.45901639344262191</v>
      </c>
      <c r="Q642">
        <f t="shared" si="990"/>
        <v>-55548.791475409707</v>
      </c>
      <c r="R642">
        <f t="shared" si="991"/>
        <v>-4393089.3041617889</v>
      </c>
      <c r="S642">
        <f t="shared" si="992"/>
        <v>-43.930893041617892</v>
      </c>
      <c r="T642">
        <f t="shared" si="993"/>
        <v>-4.3930893041617895E-2</v>
      </c>
    </row>
    <row r="643" spans="1:20" x14ac:dyDescent="0.25">
      <c r="A643" s="5">
        <v>43950</v>
      </c>
      <c r="B643">
        <v>1.2110000000000001E-3</v>
      </c>
      <c r="C643">
        <v>1.245E-3</v>
      </c>
      <c r="D643">
        <v>1.134E-3</v>
      </c>
      <c r="E643">
        <v>1.1460000000000001E-3</v>
      </c>
      <c r="F643">
        <v>141229.16</v>
      </c>
      <c r="G643">
        <v>0</v>
      </c>
      <c r="L643" t="s">
        <v>7</v>
      </c>
      <c r="M643" t="s">
        <v>7</v>
      </c>
      <c r="N643" t="s">
        <v>8</v>
      </c>
      <c r="P643">
        <f t="shared" si="989"/>
        <v>-0.78378378378378244</v>
      </c>
      <c r="Q643">
        <f t="shared" si="990"/>
        <v>-110693.12540540521</v>
      </c>
      <c r="R643">
        <f t="shared" si="991"/>
        <v>-4337540.5126863793</v>
      </c>
      <c r="S643">
        <f t="shared" si="992"/>
        <v>-43.375405126863789</v>
      </c>
      <c r="T643">
        <f t="shared" si="993"/>
        <v>-4.3375405126863789E-2</v>
      </c>
    </row>
    <row r="644" spans="1:20" x14ac:dyDescent="0.25">
      <c r="A644" s="5">
        <v>43949</v>
      </c>
      <c r="B644">
        <v>1.2160000000000001E-3</v>
      </c>
      <c r="C644">
        <v>1.224E-3</v>
      </c>
      <c r="D644">
        <v>1.1980000000000001E-3</v>
      </c>
      <c r="E644">
        <v>1.2080000000000001E-3</v>
      </c>
      <c r="F644">
        <v>27333.67</v>
      </c>
      <c r="G644">
        <v>0</v>
      </c>
      <c r="L644" t="s">
        <v>7</v>
      </c>
      <c r="M644" t="s">
        <v>7</v>
      </c>
      <c r="N644" t="s">
        <v>8</v>
      </c>
      <c r="P644">
        <f t="shared" si="989"/>
        <v>-0.2307692307692282</v>
      </c>
      <c r="Q644">
        <f t="shared" si="990"/>
        <v>-6307.7699999999295</v>
      </c>
      <c r="R644">
        <f t="shared" si="991"/>
        <v>-4226847.3872809736</v>
      </c>
      <c r="S644">
        <f t="shared" si="992"/>
        <v>-42.268473872809736</v>
      </c>
      <c r="T644">
        <f t="shared" si="993"/>
        <v>-4.2268473872809735E-2</v>
      </c>
    </row>
    <row r="645" spans="1:20" x14ac:dyDescent="0.25">
      <c r="A645" s="5">
        <v>43948</v>
      </c>
      <c r="B645">
        <v>1.2279999999999999E-3</v>
      </c>
      <c r="C645">
        <v>1.232E-3</v>
      </c>
      <c r="D645">
        <v>1.194E-3</v>
      </c>
      <c r="E645">
        <v>1.214E-3</v>
      </c>
      <c r="F645">
        <v>34584.480000000003</v>
      </c>
      <c r="G645">
        <v>0</v>
      </c>
      <c r="L645" t="s">
        <v>7</v>
      </c>
      <c r="M645" t="s">
        <v>7</v>
      </c>
      <c r="N645" t="s">
        <v>8</v>
      </c>
      <c r="P645">
        <f t="shared" si="989"/>
        <v>5.2631578947369625E-2</v>
      </c>
      <c r="Q645">
        <f t="shared" si="990"/>
        <v>1820.2357894737261</v>
      </c>
      <c r="R645">
        <f t="shared" si="991"/>
        <v>-4220539.6172809741</v>
      </c>
      <c r="S645">
        <f t="shared" si="992"/>
        <v>-42.205396172809742</v>
      </c>
      <c r="T645">
        <f t="shared" si="993"/>
        <v>-4.2205396172809745E-2</v>
      </c>
    </row>
    <row r="646" spans="1:20" x14ac:dyDescent="0.25">
      <c r="A646" s="5">
        <v>43947</v>
      </c>
      <c r="B646">
        <v>1.24E-3</v>
      </c>
      <c r="C646">
        <v>1.2459999999999999E-3</v>
      </c>
      <c r="D646">
        <v>1.224E-3</v>
      </c>
      <c r="E646">
        <v>1.2260000000000001E-3</v>
      </c>
      <c r="F646">
        <v>27084.53</v>
      </c>
      <c r="G646">
        <v>0</v>
      </c>
      <c r="L646" t="s">
        <v>7</v>
      </c>
      <c r="M646" t="s">
        <v>7</v>
      </c>
      <c r="N646" t="s">
        <v>8</v>
      </c>
      <c r="P646">
        <f t="shared" ref="P646:P709" si="994">IF(C646=D646,0,((E646-D646)-(C646-E646))/(C646-D646))</f>
        <v>-0.81818181818181279</v>
      </c>
      <c r="Q646">
        <f t="shared" ref="Q646:Q709" si="995">F646*P646</f>
        <v>-22160.069999999854</v>
      </c>
      <c r="R646">
        <f t="shared" ref="R646:R709" si="996">R647+Q646</f>
        <v>-4222359.8530704482</v>
      </c>
      <c r="S646">
        <f t="shared" ref="S646:S709" si="997">R646/100000</f>
        <v>-42.223598530704479</v>
      </c>
      <c r="T646">
        <f t="shared" ref="T646:T709" si="998">S646/1000</f>
        <v>-4.2223598530704481E-2</v>
      </c>
    </row>
    <row r="647" spans="1:20" x14ac:dyDescent="0.25">
      <c r="A647" s="5">
        <v>43946</v>
      </c>
      <c r="B647">
        <v>1.2390000000000001E-3</v>
      </c>
      <c r="C647">
        <v>1.2600000000000001E-3</v>
      </c>
      <c r="D647">
        <v>1.23E-3</v>
      </c>
      <c r="E647">
        <v>1.238E-3</v>
      </c>
      <c r="F647">
        <v>24278.81</v>
      </c>
      <c r="G647">
        <v>0</v>
      </c>
      <c r="L647" t="s">
        <v>7</v>
      </c>
      <c r="M647" t="s">
        <v>7</v>
      </c>
      <c r="N647" t="s">
        <v>8</v>
      </c>
      <c r="P647">
        <f t="shared" si="994"/>
        <v>-0.46666666666666956</v>
      </c>
      <c r="Q647">
        <f t="shared" si="995"/>
        <v>-11330.111333333403</v>
      </c>
      <c r="R647">
        <f t="shared" si="996"/>
        <v>-4200199.7830704479</v>
      </c>
      <c r="S647">
        <f t="shared" si="997"/>
        <v>-42.001997830704475</v>
      </c>
      <c r="T647">
        <f t="shared" si="998"/>
        <v>-4.2001997830704477E-2</v>
      </c>
    </row>
    <row r="648" spans="1:20" x14ac:dyDescent="0.25">
      <c r="A648" s="5">
        <v>43945</v>
      </c>
      <c r="B648">
        <v>1.242E-3</v>
      </c>
      <c r="C648">
        <v>1.2570000000000001E-3</v>
      </c>
      <c r="D648">
        <v>1.2199999999999999E-3</v>
      </c>
      <c r="E648">
        <v>1.237E-3</v>
      </c>
      <c r="F648">
        <v>26390.53</v>
      </c>
      <c r="G648">
        <v>0</v>
      </c>
      <c r="L648" t="s">
        <v>7</v>
      </c>
      <c r="M648" t="s">
        <v>7</v>
      </c>
      <c r="N648" t="s">
        <v>8</v>
      </c>
      <c r="P648">
        <f t="shared" si="994"/>
        <v>-8.1081081081079809E-2</v>
      </c>
      <c r="Q648">
        <f t="shared" si="995"/>
        <v>-2139.772702702669</v>
      </c>
      <c r="R648">
        <f t="shared" si="996"/>
        <v>-4188869.6717371149</v>
      </c>
      <c r="S648">
        <f t="shared" si="997"/>
        <v>-41.888696717371147</v>
      </c>
      <c r="T648">
        <f t="shared" si="998"/>
        <v>-4.1888696717371145E-2</v>
      </c>
    </row>
    <row r="649" spans="1:20" x14ac:dyDescent="0.25">
      <c r="A649" s="5">
        <v>43944</v>
      </c>
      <c r="B649">
        <v>1.286E-3</v>
      </c>
      <c r="C649">
        <v>1.2880000000000001E-3</v>
      </c>
      <c r="D649">
        <v>1.224E-3</v>
      </c>
      <c r="E649">
        <v>1.242E-3</v>
      </c>
      <c r="F649">
        <v>53905.48</v>
      </c>
      <c r="G649">
        <v>0</v>
      </c>
      <c r="L649" t="s">
        <v>7</v>
      </c>
      <c r="M649" t="s">
        <v>7</v>
      </c>
      <c r="N649" t="s">
        <v>8</v>
      </c>
      <c r="P649">
        <f t="shared" si="994"/>
        <v>-0.43750000000000022</v>
      </c>
      <c r="Q649">
        <f t="shared" si="995"/>
        <v>-23583.647500000014</v>
      </c>
      <c r="R649">
        <f t="shared" si="996"/>
        <v>-4186729.8990344121</v>
      </c>
      <c r="S649">
        <f t="shared" si="997"/>
        <v>-41.867298990344118</v>
      </c>
      <c r="T649">
        <f t="shared" si="998"/>
        <v>-4.1867298990344116E-2</v>
      </c>
    </row>
    <row r="650" spans="1:20" x14ac:dyDescent="0.25">
      <c r="A650" s="5">
        <v>43943</v>
      </c>
      <c r="B650">
        <v>1.299E-3</v>
      </c>
      <c r="C650">
        <v>1.305E-3</v>
      </c>
      <c r="D650">
        <v>1.2800000000000001E-3</v>
      </c>
      <c r="E650">
        <v>1.286E-3</v>
      </c>
      <c r="F650">
        <v>34470.120000000003</v>
      </c>
      <c r="G650">
        <v>0</v>
      </c>
      <c r="L650" t="s">
        <v>7</v>
      </c>
      <c r="M650" t="s">
        <v>8</v>
      </c>
      <c r="N650" t="s">
        <v>8</v>
      </c>
      <c r="P650">
        <f t="shared" si="994"/>
        <v>-0.52000000000000279</v>
      </c>
      <c r="Q650">
        <f t="shared" si="995"/>
        <v>-17924.462400000099</v>
      </c>
      <c r="R650">
        <f t="shared" si="996"/>
        <v>-4163146.2515344121</v>
      </c>
      <c r="S650">
        <f t="shared" si="997"/>
        <v>-41.631462515344118</v>
      </c>
      <c r="T650">
        <f t="shared" si="998"/>
        <v>-4.1631462515344116E-2</v>
      </c>
    </row>
    <row r="651" spans="1:20" x14ac:dyDescent="0.25">
      <c r="A651" s="5">
        <v>43942</v>
      </c>
      <c r="B651">
        <v>1.2930000000000001E-3</v>
      </c>
      <c r="C651">
        <v>1.312E-3</v>
      </c>
      <c r="D651">
        <v>1.2600000000000001E-3</v>
      </c>
      <c r="E651">
        <v>1.2979999999999999E-3</v>
      </c>
      <c r="F651">
        <v>56347.09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0.4615384615384564</v>
      </c>
      <c r="Q651">
        <f t="shared" si="995"/>
        <v>26006.349230768941</v>
      </c>
      <c r="R651">
        <f t="shared" si="996"/>
        <v>-4145221.7891344121</v>
      </c>
      <c r="S651">
        <f t="shared" si="997"/>
        <v>-41.452217891344119</v>
      </c>
      <c r="T651">
        <f t="shared" si="998"/>
        <v>-4.1452217891344116E-2</v>
      </c>
    </row>
    <row r="652" spans="1:20" x14ac:dyDescent="0.25">
      <c r="A652" s="5">
        <v>43941</v>
      </c>
      <c r="B652">
        <v>1.361E-3</v>
      </c>
      <c r="C652">
        <v>1.366E-3</v>
      </c>
      <c r="D652">
        <v>1.279E-3</v>
      </c>
      <c r="E652">
        <v>1.2930000000000001E-3</v>
      </c>
      <c r="F652">
        <v>80537.8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-0.67816091954022728</v>
      </c>
      <c r="Q652">
        <f t="shared" si="995"/>
        <v>-54617.58850574692</v>
      </c>
      <c r="R652">
        <f t="shared" si="996"/>
        <v>-4171228.1383651812</v>
      </c>
      <c r="S652">
        <f t="shared" si="997"/>
        <v>-41.712281383651813</v>
      </c>
      <c r="T652">
        <f t="shared" si="998"/>
        <v>-4.1712281383651816E-2</v>
      </c>
    </row>
    <row r="653" spans="1:20" x14ac:dyDescent="0.25">
      <c r="A653" s="5">
        <v>43940</v>
      </c>
      <c r="B653">
        <v>1.3910000000000001E-3</v>
      </c>
      <c r="C653">
        <v>1.3910000000000001E-3</v>
      </c>
      <c r="D653">
        <v>1.351E-3</v>
      </c>
      <c r="E653">
        <v>1.361E-3</v>
      </c>
      <c r="F653">
        <v>36289.29</v>
      </c>
      <c r="G653">
        <v>0</v>
      </c>
      <c r="L653" t="s">
        <v>7</v>
      </c>
      <c r="M653" t="s">
        <v>8</v>
      </c>
      <c r="N653" t="s">
        <v>8</v>
      </c>
      <c r="P653">
        <f t="shared" si="994"/>
        <v>-0.5</v>
      </c>
      <c r="Q653">
        <f t="shared" si="995"/>
        <v>-18144.645</v>
      </c>
      <c r="R653">
        <f t="shared" si="996"/>
        <v>-4116610.5498594344</v>
      </c>
      <c r="S653">
        <f t="shared" si="997"/>
        <v>-41.166105498594341</v>
      </c>
      <c r="T653">
        <f t="shared" si="998"/>
        <v>-4.1166105498594341E-2</v>
      </c>
    </row>
    <row r="654" spans="1:20" x14ac:dyDescent="0.25">
      <c r="A654" s="5">
        <v>43939</v>
      </c>
      <c r="B654">
        <v>1.415E-3</v>
      </c>
      <c r="C654">
        <v>1.421E-3</v>
      </c>
      <c r="D654">
        <v>1.3760000000000001E-3</v>
      </c>
      <c r="E654">
        <v>1.3910000000000001E-3</v>
      </c>
      <c r="F654">
        <v>63634.91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-0.3333333333333301</v>
      </c>
      <c r="Q654">
        <f t="shared" si="995"/>
        <v>-21211.636666666462</v>
      </c>
      <c r="R654">
        <f t="shared" si="996"/>
        <v>-4098465.9048594343</v>
      </c>
      <c r="S654">
        <f t="shared" si="997"/>
        <v>-40.984659048594345</v>
      </c>
      <c r="T654">
        <f t="shared" si="998"/>
        <v>-4.0984659048594344E-2</v>
      </c>
    </row>
    <row r="655" spans="1:20" x14ac:dyDescent="0.25">
      <c r="A655" s="5">
        <v>43938</v>
      </c>
      <c r="B655">
        <v>1.3929999999999999E-3</v>
      </c>
      <c r="C655">
        <v>1.47E-3</v>
      </c>
      <c r="D655">
        <v>1.3829999999999999E-3</v>
      </c>
      <c r="E655">
        <v>1.4139999999999999E-3</v>
      </c>
      <c r="F655">
        <v>62326.79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-0.28735632183908105</v>
      </c>
      <c r="Q655">
        <f t="shared" si="995"/>
        <v>-17909.997126436818</v>
      </c>
      <c r="R655">
        <f t="shared" si="996"/>
        <v>-4077254.2681927681</v>
      </c>
      <c r="S655">
        <f t="shared" si="997"/>
        <v>-40.772542681927682</v>
      </c>
      <c r="T655">
        <f t="shared" si="998"/>
        <v>-4.0772542681927683E-2</v>
      </c>
    </row>
    <row r="656" spans="1:20" x14ac:dyDescent="0.25">
      <c r="A656" s="5">
        <v>43937</v>
      </c>
      <c r="B656">
        <v>1.413E-3</v>
      </c>
      <c r="C656">
        <v>1.4250000000000001E-3</v>
      </c>
      <c r="D656">
        <v>1.335E-3</v>
      </c>
      <c r="E656">
        <v>1.3979999999999999E-3</v>
      </c>
      <c r="F656">
        <v>84556.23</v>
      </c>
      <c r="G656">
        <v>0</v>
      </c>
      <c r="L656" t="s">
        <v>7</v>
      </c>
      <c r="M656" t="s">
        <v>8</v>
      </c>
      <c r="N656" t="s">
        <v>8</v>
      </c>
      <c r="P656">
        <f t="shared" si="994"/>
        <v>0.39999999999999758</v>
      </c>
      <c r="Q656">
        <f t="shared" si="995"/>
        <v>33822.491999999795</v>
      </c>
      <c r="R656">
        <f t="shared" si="996"/>
        <v>-4059344.2710663313</v>
      </c>
      <c r="S656">
        <f t="shared" si="997"/>
        <v>-40.593442710663311</v>
      </c>
      <c r="T656">
        <f t="shared" si="998"/>
        <v>-4.0593442710663313E-2</v>
      </c>
    </row>
    <row r="657" spans="1:20" x14ac:dyDescent="0.25">
      <c r="A657" s="5">
        <v>43936</v>
      </c>
      <c r="B657">
        <v>1.4450000000000001E-3</v>
      </c>
      <c r="C657">
        <v>1.4710000000000001E-3</v>
      </c>
      <c r="D657">
        <v>1.408E-3</v>
      </c>
      <c r="E657">
        <v>1.413E-3</v>
      </c>
      <c r="F657">
        <v>55239.82</v>
      </c>
      <c r="G657">
        <v>0</v>
      </c>
      <c r="L657" t="s">
        <v>8</v>
      </c>
      <c r="M657" t="s">
        <v>8</v>
      </c>
      <c r="N657" t="s">
        <v>8</v>
      </c>
      <c r="P657">
        <f t="shared" si="994"/>
        <v>-0.84126984126984117</v>
      </c>
      <c r="Q657">
        <f t="shared" si="995"/>
        <v>-46471.594603174599</v>
      </c>
      <c r="R657">
        <f t="shared" si="996"/>
        <v>-4093166.7630663309</v>
      </c>
      <c r="S657">
        <f t="shared" si="997"/>
        <v>-40.931667630663313</v>
      </c>
      <c r="T657">
        <f t="shared" si="998"/>
        <v>-4.0931667630663311E-2</v>
      </c>
    </row>
    <row r="658" spans="1:20" x14ac:dyDescent="0.25">
      <c r="A658" s="5">
        <v>43935</v>
      </c>
      <c r="B658">
        <v>1.4480000000000001E-3</v>
      </c>
      <c r="C658">
        <v>1.4630000000000001E-3</v>
      </c>
      <c r="D658">
        <v>1.3209999999999999E-3</v>
      </c>
      <c r="E658">
        <v>1.446E-3</v>
      </c>
      <c r="F658">
        <v>55739.08</v>
      </c>
      <c r="G658">
        <v>0</v>
      </c>
      <c r="L658" t="s">
        <v>7</v>
      </c>
      <c r="M658" t="s">
        <v>8</v>
      </c>
      <c r="N658" t="s">
        <v>8</v>
      </c>
      <c r="P658">
        <f t="shared" si="994"/>
        <v>0.76056338028168924</v>
      </c>
      <c r="Q658">
        <f t="shared" si="995"/>
        <v>42393.103098591499</v>
      </c>
      <c r="R658">
        <f t="shared" si="996"/>
        <v>-4046695.1684631566</v>
      </c>
      <c r="S658">
        <f t="shared" si="997"/>
        <v>-40.466951684631567</v>
      </c>
      <c r="T658">
        <f t="shared" si="998"/>
        <v>-4.0466951684631568E-2</v>
      </c>
    </row>
    <row r="659" spans="1:20" x14ac:dyDescent="0.25">
      <c r="A659" s="5">
        <v>43934</v>
      </c>
      <c r="B659">
        <v>1.4519999999999999E-3</v>
      </c>
      <c r="C659">
        <v>1.4530000000000001E-3</v>
      </c>
      <c r="D659">
        <v>1.4159999999999999E-3</v>
      </c>
      <c r="E659">
        <v>1.444E-3</v>
      </c>
      <c r="F659">
        <v>82693.86</v>
      </c>
      <c r="G659">
        <v>0</v>
      </c>
      <c r="L659" t="s">
        <v>8</v>
      </c>
      <c r="M659" t="s">
        <v>8</v>
      </c>
      <c r="N659" t="s">
        <v>8</v>
      </c>
      <c r="P659">
        <f t="shared" si="994"/>
        <v>0.51351351351350938</v>
      </c>
      <c r="Q659">
        <f t="shared" si="995"/>
        <v>42464.414594594251</v>
      </c>
      <c r="R659">
        <f t="shared" si="996"/>
        <v>-4089088.2715617479</v>
      </c>
      <c r="S659">
        <f t="shared" si="997"/>
        <v>-40.890882715617479</v>
      </c>
      <c r="T659">
        <f t="shared" si="998"/>
        <v>-4.0890882715617478E-2</v>
      </c>
    </row>
    <row r="660" spans="1:20" x14ac:dyDescent="0.25">
      <c r="A660" s="5">
        <v>43933</v>
      </c>
      <c r="B660">
        <v>1.418E-3</v>
      </c>
      <c r="C660">
        <v>1.503E-3</v>
      </c>
      <c r="D660">
        <v>1.413E-3</v>
      </c>
      <c r="E660">
        <v>1.449E-3</v>
      </c>
      <c r="F660">
        <v>166360.4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-0.2</v>
      </c>
      <c r="Q660">
        <f t="shared" si="995"/>
        <v>-33272.080000000002</v>
      </c>
      <c r="R660">
        <f t="shared" si="996"/>
        <v>-4131552.6861563423</v>
      </c>
      <c r="S660">
        <f t="shared" si="997"/>
        <v>-41.31552686156342</v>
      </c>
      <c r="T660">
        <f t="shared" si="998"/>
        <v>-4.1315526861563423E-2</v>
      </c>
    </row>
    <row r="661" spans="1:20" x14ac:dyDescent="0.25">
      <c r="A661" s="5">
        <v>43932</v>
      </c>
      <c r="B661">
        <v>1.2999999999999999E-3</v>
      </c>
      <c r="C661">
        <v>1.462E-3</v>
      </c>
      <c r="D661">
        <v>1.2949999999999999E-3</v>
      </c>
      <c r="E661">
        <v>1.4189999999999999E-3</v>
      </c>
      <c r="F661">
        <v>215871.33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0.48502994011975981</v>
      </c>
      <c r="Q661">
        <f t="shared" si="995"/>
        <v>104704.05826347291</v>
      </c>
      <c r="R661">
        <f t="shared" si="996"/>
        <v>-4098280.6061563422</v>
      </c>
      <c r="S661">
        <f t="shared" si="997"/>
        <v>-40.982806061563423</v>
      </c>
      <c r="T661">
        <f t="shared" si="998"/>
        <v>-4.0982806061563425E-2</v>
      </c>
    </row>
    <row r="662" spans="1:20" x14ac:dyDescent="0.25">
      <c r="A662" s="5">
        <v>43931</v>
      </c>
      <c r="B662">
        <v>1.3309999999999999E-3</v>
      </c>
      <c r="C662">
        <v>1.379E-3</v>
      </c>
      <c r="D662">
        <v>1.248E-3</v>
      </c>
      <c r="E662">
        <v>1.2999999999999999E-3</v>
      </c>
      <c r="F662">
        <v>174337.2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-0.20610687022900845</v>
      </c>
      <c r="Q662">
        <f t="shared" si="995"/>
        <v>-35932.094656488691</v>
      </c>
      <c r="R662">
        <f t="shared" si="996"/>
        <v>-4202984.6644198149</v>
      </c>
      <c r="S662">
        <f t="shared" si="997"/>
        <v>-42.029846644198152</v>
      </c>
      <c r="T662">
        <f t="shared" si="998"/>
        <v>-4.2029846644198149E-2</v>
      </c>
    </row>
    <row r="663" spans="1:20" x14ac:dyDescent="0.25">
      <c r="A663" s="5">
        <v>43930</v>
      </c>
      <c r="B663">
        <v>1.2800000000000001E-3</v>
      </c>
      <c r="C663">
        <v>1.415E-3</v>
      </c>
      <c r="D663">
        <v>1.2570000000000001E-3</v>
      </c>
      <c r="E663">
        <v>1.3339999999999999E-3</v>
      </c>
      <c r="F663">
        <v>264792.52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-2.531645569620453E-2</v>
      </c>
      <c r="Q663">
        <f t="shared" si="995"/>
        <v>-6703.6081012663526</v>
      </c>
      <c r="R663">
        <f t="shared" si="996"/>
        <v>-4167052.5697633266</v>
      </c>
      <c r="S663">
        <f t="shared" si="997"/>
        <v>-41.670525697633266</v>
      </c>
      <c r="T663">
        <f t="shared" si="998"/>
        <v>-4.1670525697633264E-2</v>
      </c>
    </row>
    <row r="664" spans="1:20" x14ac:dyDescent="0.25">
      <c r="A664" s="5">
        <v>43929</v>
      </c>
      <c r="B664">
        <v>1.083E-3</v>
      </c>
      <c r="C664">
        <v>1.2899999999999999E-3</v>
      </c>
      <c r="D664">
        <v>1.078E-3</v>
      </c>
      <c r="E664">
        <v>1.281E-3</v>
      </c>
      <c r="F664">
        <v>239512.62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0.91509433962264253</v>
      </c>
      <c r="Q664">
        <f t="shared" si="995"/>
        <v>219176.64283018891</v>
      </c>
      <c r="R664">
        <f t="shared" si="996"/>
        <v>-4160348.9616620601</v>
      </c>
      <c r="S664">
        <f t="shared" si="997"/>
        <v>-41.6034896166206</v>
      </c>
      <c r="T664">
        <f t="shared" si="998"/>
        <v>-4.1603489616620602E-2</v>
      </c>
    </row>
    <row r="665" spans="1:20" x14ac:dyDescent="0.25">
      <c r="A665" s="5">
        <v>43928</v>
      </c>
      <c r="B665">
        <v>1.0889999999999999E-3</v>
      </c>
      <c r="C665">
        <v>1.1130000000000001E-3</v>
      </c>
      <c r="D665">
        <v>1.0690000000000001E-3</v>
      </c>
      <c r="E665">
        <v>1.0809999999999999E-3</v>
      </c>
      <c r="F665">
        <v>51983.77</v>
      </c>
      <c r="G665">
        <v>0</v>
      </c>
      <c r="L665" t="s">
        <v>7</v>
      </c>
      <c r="M665" t="s">
        <v>7</v>
      </c>
      <c r="N665" t="s">
        <v>8</v>
      </c>
      <c r="P665">
        <f t="shared" si="994"/>
        <v>-0.4545454545454608</v>
      </c>
      <c r="Q665">
        <f t="shared" si="995"/>
        <v>-23628.986363636686</v>
      </c>
      <c r="R665">
        <f t="shared" si="996"/>
        <v>-4379525.604492249</v>
      </c>
      <c r="S665">
        <f t="shared" si="997"/>
        <v>-43.795256044922489</v>
      </c>
      <c r="T665">
        <f t="shared" si="998"/>
        <v>-4.3795256044922487E-2</v>
      </c>
    </row>
    <row r="666" spans="1:20" x14ac:dyDescent="0.25">
      <c r="A666" s="5">
        <v>43927</v>
      </c>
      <c r="B666">
        <v>1.078E-3</v>
      </c>
      <c r="C666">
        <v>1.0970000000000001E-3</v>
      </c>
      <c r="D666">
        <v>1.0629999999999999E-3</v>
      </c>
      <c r="E666">
        <v>1.0889999999999999E-3</v>
      </c>
      <c r="F666">
        <v>38387.620000000003</v>
      </c>
      <c r="G666">
        <v>0</v>
      </c>
      <c r="L666" t="s">
        <v>7</v>
      </c>
      <c r="M666" t="s">
        <v>7</v>
      </c>
      <c r="N666" t="s">
        <v>8</v>
      </c>
      <c r="P666">
        <f t="shared" si="994"/>
        <v>0.52941176470587337</v>
      </c>
      <c r="Q666">
        <f t="shared" si="995"/>
        <v>20322.857647058481</v>
      </c>
      <c r="R666">
        <f t="shared" si="996"/>
        <v>-4355896.6181286126</v>
      </c>
      <c r="S666">
        <f t="shared" si="997"/>
        <v>-43.558966181286124</v>
      </c>
      <c r="T666">
        <f t="shared" si="998"/>
        <v>-4.3558966181286123E-2</v>
      </c>
    </row>
    <row r="667" spans="1:20" x14ac:dyDescent="0.25">
      <c r="A667" s="5">
        <v>43926</v>
      </c>
      <c r="B667">
        <v>1.077E-3</v>
      </c>
      <c r="C667">
        <v>1.09E-3</v>
      </c>
      <c r="D667">
        <v>1.0610000000000001E-3</v>
      </c>
      <c r="E667">
        <v>1.0759999999999999E-3</v>
      </c>
      <c r="F667">
        <v>30792.21</v>
      </c>
      <c r="G667">
        <v>0</v>
      </c>
      <c r="L667" t="s">
        <v>7</v>
      </c>
      <c r="M667" t="s">
        <v>7</v>
      </c>
      <c r="N667" t="s">
        <v>8</v>
      </c>
      <c r="P667">
        <f t="shared" si="994"/>
        <v>3.4482758620679343E-2</v>
      </c>
      <c r="Q667">
        <f t="shared" si="995"/>
        <v>1061.8003448272686</v>
      </c>
      <c r="R667">
        <f t="shared" si="996"/>
        <v>-4376219.4757756712</v>
      </c>
      <c r="S667">
        <f t="shared" si="997"/>
        <v>-43.76219475775671</v>
      </c>
      <c r="T667">
        <f t="shared" si="998"/>
        <v>-4.3762194757756709E-2</v>
      </c>
    </row>
    <row r="668" spans="1:20" x14ac:dyDescent="0.25">
      <c r="A668" s="5">
        <v>43925</v>
      </c>
      <c r="B668">
        <v>1.0939999999999999E-3</v>
      </c>
      <c r="C668">
        <v>1.101E-3</v>
      </c>
      <c r="D668">
        <v>1.059E-3</v>
      </c>
      <c r="E668">
        <v>1.077E-3</v>
      </c>
      <c r="F668">
        <v>42604.87</v>
      </c>
      <c r="G668">
        <v>0</v>
      </c>
      <c r="L668" t="s">
        <v>7</v>
      </c>
      <c r="M668" t="s">
        <v>7</v>
      </c>
      <c r="N668" t="s">
        <v>8</v>
      </c>
      <c r="P668">
        <f t="shared" si="994"/>
        <v>-0.14285714285714138</v>
      </c>
      <c r="Q668">
        <f t="shared" si="995"/>
        <v>-6086.4099999999371</v>
      </c>
      <c r="R668">
        <f t="shared" si="996"/>
        <v>-4377281.2761204988</v>
      </c>
      <c r="S668">
        <f t="shared" si="997"/>
        <v>-43.772812761204989</v>
      </c>
      <c r="T668">
        <f t="shared" si="998"/>
        <v>-4.3772812761204989E-2</v>
      </c>
    </row>
    <row r="669" spans="1:20" x14ac:dyDescent="0.25">
      <c r="A669" s="5">
        <v>43924</v>
      </c>
      <c r="B669">
        <v>1.091E-3</v>
      </c>
      <c r="C669">
        <v>1.116E-3</v>
      </c>
      <c r="D669">
        <v>1.078E-3</v>
      </c>
      <c r="E669">
        <v>1.0989999999999999E-3</v>
      </c>
      <c r="F669">
        <v>32978</v>
      </c>
      <c r="G669">
        <v>0</v>
      </c>
      <c r="L669" t="s">
        <v>7</v>
      </c>
      <c r="M669" t="s">
        <v>7</v>
      </c>
      <c r="N669" t="s">
        <v>8</v>
      </c>
      <c r="P669">
        <f t="shared" si="994"/>
        <v>0.10526315789473353</v>
      </c>
      <c r="Q669">
        <f t="shared" si="995"/>
        <v>3471.3684210525225</v>
      </c>
      <c r="R669">
        <f t="shared" si="996"/>
        <v>-4371194.8661204986</v>
      </c>
      <c r="S669">
        <f t="shared" si="997"/>
        <v>-43.711948661204985</v>
      </c>
      <c r="T669">
        <f t="shared" si="998"/>
        <v>-4.3711948661204987E-2</v>
      </c>
    </row>
    <row r="670" spans="1:20" x14ac:dyDescent="0.25">
      <c r="A670" s="5">
        <v>43923</v>
      </c>
      <c r="B670">
        <v>1.0950000000000001E-3</v>
      </c>
      <c r="C670">
        <v>1.111E-3</v>
      </c>
      <c r="D670">
        <v>1.072E-3</v>
      </c>
      <c r="E670">
        <v>1.0939999999999999E-3</v>
      </c>
      <c r="F670">
        <v>34042.94</v>
      </c>
      <c r="G670">
        <v>0</v>
      </c>
      <c r="L670" t="s">
        <v>7</v>
      </c>
      <c r="M670" t="s">
        <v>7</v>
      </c>
      <c r="N670" t="s">
        <v>8</v>
      </c>
      <c r="P670">
        <f t="shared" si="994"/>
        <v>0.12820512820512306</v>
      </c>
      <c r="Q670">
        <f t="shared" si="995"/>
        <v>4364.4794871793119</v>
      </c>
      <c r="R670">
        <f t="shared" si="996"/>
        <v>-4374666.2345415512</v>
      </c>
      <c r="S670">
        <f t="shared" si="997"/>
        <v>-43.746662345415515</v>
      </c>
      <c r="T670">
        <f t="shared" si="998"/>
        <v>-4.3746662345415514E-2</v>
      </c>
    </row>
    <row r="671" spans="1:20" x14ac:dyDescent="0.25">
      <c r="A671" s="5">
        <v>43922</v>
      </c>
      <c r="B671">
        <v>1.1230000000000001E-3</v>
      </c>
      <c r="C671">
        <v>1.129E-3</v>
      </c>
      <c r="D671">
        <v>1.093E-3</v>
      </c>
      <c r="E671">
        <v>1.0950000000000001E-3</v>
      </c>
      <c r="F671">
        <v>22821.31</v>
      </c>
      <c r="G671">
        <v>0</v>
      </c>
      <c r="L671" t="s">
        <v>7</v>
      </c>
      <c r="M671" t="s">
        <v>7</v>
      </c>
      <c r="N671" t="s">
        <v>8</v>
      </c>
      <c r="P671">
        <f t="shared" si="994"/>
        <v>-0.88888888888888618</v>
      </c>
      <c r="Q671">
        <f t="shared" si="995"/>
        <v>-20285.60888888883</v>
      </c>
      <c r="R671">
        <f t="shared" si="996"/>
        <v>-4379030.7140287301</v>
      </c>
      <c r="S671">
        <f t="shared" si="997"/>
        <v>-43.790307140287304</v>
      </c>
      <c r="T671">
        <f t="shared" si="998"/>
        <v>-4.3790307140287303E-2</v>
      </c>
    </row>
    <row r="672" spans="1:20" x14ac:dyDescent="0.25">
      <c r="A672" s="5">
        <v>43921</v>
      </c>
      <c r="B672">
        <v>1.122E-3</v>
      </c>
      <c r="C672">
        <v>1.1299999999999999E-3</v>
      </c>
      <c r="D672">
        <v>1.0950000000000001E-3</v>
      </c>
      <c r="E672">
        <v>1.1230000000000001E-3</v>
      </c>
      <c r="F672">
        <v>29038.63</v>
      </c>
      <c r="G672">
        <v>0</v>
      </c>
      <c r="L672" t="s">
        <v>7</v>
      </c>
      <c r="M672" t="s">
        <v>7</v>
      </c>
      <c r="N672" t="s">
        <v>8</v>
      </c>
      <c r="P672">
        <f t="shared" si="994"/>
        <v>0.60000000000000742</v>
      </c>
      <c r="Q672">
        <f t="shared" si="995"/>
        <v>17423.178000000215</v>
      </c>
      <c r="R672">
        <f t="shared" si="996"/>
        <v>-4358745.1051398413</v>
      </c>
      <c r="S672">
        <f t="shared" si="997"/>
        <v>-43.587451051398411</v>
      </c>
      <c r="T672">
        <f t="shared" si="998"/>
        <v>-4.3587451051398413E-2</v>
      </c>
    </row>
    <row r="673" spans="1:20" x14ac:dyDescent="0.25">
      <c r="A673" s="5">
        <v>43920</v>
      </c>
      <c r="B673">
        <v>1.119E-3</v>
      </c>
      <c r="C673">
        <v>1.152E-3</v>
      </c>
      <c r="D673">
        <v>1.109E-3</v>
      </c>
      <c r="E673">
        <v>1.124E-3</v>
      </c>
      <c r="F673">
        <v>52228.14</v>
      </c>
      <c r="G673">
        <v>0</v>
      </c>
      <c r="L673" t="s">
        <v>7</v>
      </c>
      <c r="M673" t="s">
        <v>7</v>
      </c>
      <c r="N673" t="s">
        <v>8</v>
      </c>
      <c r="P673">
        <f t="shared" si="994"/>
        <v>-0.30232558139534815</v>
      </c>
      <c r="Q673">
        <f t="shared" si="995"/>
        <v>-15789.902790697639</v>
      </c>
      <c r="R673">
        <f t="shared" si="996"/>
        <v>-4376168.2831398416</v>
      </c>
      <c r="S673">
        <f t="shared" si="997"/>
        <v>-43.761682831398417</v>
      </c>
      <c r="T673">
        <f t="shared" si="998"/>
        <v>-4.3761682831398419E-2</v>
      </c>
    </row>
    <row r="674" spans="1:20" x14ac:dyDescent="0.25">
      <c r="A674" s="5">
        <v>43919</v>
      </c>
      <c r="B674">
        <v>1.1310000000000001E-3</v>
      </c>
      <c r="C674">
        <v>1.152E-3</v>
      </c>
      <c r="D674">
        <v>1.1169999999999999E-3</v>
      </c>
      <c r="E674">
        <v>1.1169999999999999E-3</v>
      </c>
      <c r="F674">
        <v>37373.120000000003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-1</v>
      </c>
      <c r="Q674">
        <f t="shared" si="995"/>
        <v>-37373.120000000003</v>
      </c>
      <c r="R674">
        <f t="shared" si="996"/>
        <v>-4360378.3803491443</v>
      </c>
      <c r="S674">
        <f t="shared" si="997"/>
        <v>-43.603783803491446</v>
      </c>
      <c r="T674">
        <f t="shared" si="998"/>
        <v>-4.3603783803491447E-2</v>
      </c>
    </row>
    <row r="675" spans="1:20" x14ac:dyDescent="0.25">
      <c r="A675" s="5">
        <v>43918</v>
      </c>
      <c r="B675">
        <v>1.134E-3</v>
      </c>
      <c r="C675">
        <v>1.1479999999999999E-3</v>
      </c>
      <c r="D675">
        <v>1.1100000000000001E-3</v>
      </c>
      <c r="E675">
        <v>1.1349999999999999E-3</v>
      </c>
      <c r="F675">
        <v>39945.81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0.31578947368420812</v>
      </c>
      <c r="Q675">
        <f t="shared" si="995"/>
        <v>12614.466315789377</v>
      </c>
      <c r="R675">
        <f t="shared" si="996"/>
        <v>-4323005.2603491442</v>
      </c>
      <c r="S675">
        <f t="shared" si="997"/>
        <v>-43.230052603491444</v>
      </c>
      <c r="T675">
        <f t="shared" si="998"/>
        <v>-4.3230052603491442E-2</v>
      </c>
    </row>
    <row r="676" spans="1:20" x14ac:dyDescent="0.25">
      <c r="A676" s="5">
        <v>43917</v>
      </c>
      <c r="B676">
        <v>1.1280000000000001E-3</v>
      </c>
      <c r="C676">
        <v>1.1460000000000001E-3</v>
      </c>
      <c r="D676">
        <v>1.111E-3</v>
      </c>
      <c r="E676">
        <v>1.134E-3</v>
      </c>
      <c r="F676">
        <v>40224.769999999997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0.31428571428571178</v>
      </c>
      <c r="Q676">
        <f t="shared" si="995"/>
        <v>12642.07057142847</v>
      </c>
      <c r="R676">
        <f t="shared" si="996"/>
        <v>-4335619.7266649334</v>
      </c>
      <c r="S676">
        <f t="shared" si="997"/>
        <v>-43.356197266649332</v>
      </c>
      <c r="T676">
        <f t="shared" si="998"/>
        <v>-4.3356197266649334E-2</v>
      </c>
    </row>
    <row r="677" spans="1:20" x14ac:dyDescent="0.25">
      <c r="A677" s="5">
        <v>43916</v>
      </c>
      <c r="B677">
        <v>1.1230000000000001E-3</v>
      </c>
      <c r="C677">
        <v>1.1460000000000001E-3</v>
      </c>
      <c r="D677">
        <v>1.114E-3</v>
      </c>
      <c r="E677">
        <v>1.132E-3</v>
      </c>
      <c r="F677">
        <v>27914.11</v>
      </c>
      <c r="G677">
        <v>0</v>
      </c>
      <c r="L677" t="s">
        <v>7</v>
      </c>
      <c r="M677" t="s">
        <v>7</v>
      </c>
      <c r="N677" t="s">
        <v>8</v>
      </c>
      <c r="P677">
        <f t="shared" si="994"/>
        <v>0.12499999999999577</v>
      </c>
      <c r="Q677">
        <f t="shared" si="995"/>
        <v>3489.2637499998818</v>
      </c>
      <c r="R677">
        <f t="shared" si="996"/>
        <v>-4348261.7972363615</v>
      </c>
      <c r="S677">
        <f t="shared" si="997"/>
        <v>-43.482617972363613</v>
      </c>
      <c r="T677">
        <f t="shared" si="998"/>
        <v>-4.3482617972363614E-2</v>
      </c>
    </row>
    <row r="678" spans="1:20" x14ac:dyDescent="0.25">
      <c r="A678" s="5">
        <v>43915</v>
      </c>
      <c r="B678">
        <v>1.139E-3</v>
      </c>
      <c r="C678">
        <v>1.145E-3</v>
      </c>
      <c r="D678">
        <v>1.1050000000000001E-3</v>
      </c>
      <c r="E678">
        <v>1.126E-3</v>
      </c>
      <c r="F678">
        <v>25963.1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5.0000000000001356E-2</v>
      </c>
      <c r="Q678">
        <f t="shared" si="995"/>
        <v>1298.1550000000352</v>
      </c>
      <c r="R678">
        <f t="shared" si="996"/>
        <v>-4351751.0609863615</v>
      </c>
      <c r="S678">
        <f t="shared" si="997"/>
        <v>-43.517510609863614</v>
      </c>
      <c r="T678">
        <f t="shared" si="998"/>
        <v>-4.3517510609863613E-2</v>
      </c>
    </row>
    <row r="679" spans="1:20" x14ac:dyDescent="0.25">
      <c r="A679" s="5">
        <v>43914</v>
      </c>
      <c r="B679">
        <v>1.165E-3</v>
      </c>
      <c r="C679">
        <v>1.1659999999999999E-3</v>
      </c>
      <c r="D679">
        <v>1.127E-3</v>
      </c>
      <c r="E679">
        <v>1.139E-3</v>
      </c>
      <c r="F679">
        <v>47107.81</v>
      </c>
      <c r="G679">
        <v>0</v>
      </c>
      <c r="L679" t="s">
        <v>7</v>
      </c>
      <c r="M679" t="s">
        <v>7</v>
      </c>
      <c r="N679" t="s">
        <v>8</v>
      </c>
      <c r="P679">
        <f t="shared" si="994"/>
        <v>-0.38461538461538036</v>
      </c>
      <c r="Q679">
        <f t="shared" si="995"/>
        <v>-18118.388461538259</v>
      </c>
      <c r="R679">
        <f t="shared" si="996"/>
        <v>-4353049.2159863617</v>
      </c>
      <c r="S679">
        <f t="shared" si="997"/>
        <v>-43.53049215986362</v>
      </c>
      <c r="T679">
        <f t="shared" si="998"/>
        <v>-4.3530492159863619E-2</v>
      </c>
    </row>
    <row r="680" spans="1:20" x14ac:dyDescent="0.25">
      <c r="A680" s="5">
        <v>43913</v>
      </c>
      <c r="B680">
        <v>1.165E-3</v>
      </c>
      <c r="C680">
        <v>1.201E-3</v>
      </c>
      <c r="D680">
        <v>1.1509999999999999E-3</v>
      </c>
      <c r="E680">
        <v>1.1670000000000001E-3</v>
      </c>
      <c r="F680">
        <v>54143.26</v>
      </c>
      <c r="G680">
        <v>0</v>
      </c>
      <c r="L680" t="s">
        <v>7</v>
      </c>
      <c r="M680" t="s">
        <v>8</v>
      </c>
      <c r="N680" t="s">
        <v>8</v>
      </c>
      <c r="P680">
        <f t="shared" si="994"/>
        <v>-0.35999999999999477</v>
      </c>
      <c r="Q680">
        <f t="shared" si="995"/>
        <v>-19491.573599999716</v>
      </c>
      <c r="R680">
        <f t="shared" si="996"/>
        <v>-4334930.8275248231</v>
      </c>
      <c r="S680">
        <f t="shared" si="997"/>
        <v>-43.349308275248234</v>
      </c>
      <c r="T680">
        <f t="shared" si="998"/>
        <v>-4.3349308275248237E-2</v>
      </c>
    </row>
    <row r="681" spans="1:20" x14ac:dyDescent="0.25">
      <c r="A681" s="5">
        <v>43912</v>
      </c>
      <c r="B681">
        <v>1.243E-3</v>
      </c>
      <c r="C681">
        <v>1.2589999999999999E-3</v>
      </c>
      <c r="D681">
        <v>1.158E-3</v>
      </c>
      <c r="E681">
        <v>1.168E-3</v>
      </c>
      <c r="F681">
        <v>61992.56</v>
      </c>
      <c r="G681">
        <v>0</v>
      </c>
      <c r="L681" t="s">
        <v>7</v>
      </c>
      <c r="M681" t="s">
        <v>8</v>
      </c>
      <c r="N681" t="s">
        <v>8</v>
      </c>
      <c r="P681">
        <f t="shared" si="994"/>
        <v>-0.80198019801980136</v>
      </c>
      <c r="Q681">
        <f t="shared" si="995"/>
        <v>-49716.805544554416</v>
      </c>
      <c r="R681">
        <f t="shared" si="996"/>
        <v>-4315439.2539248234</v>
      </c>
      <c r="S681">
        <f t="shared" si="997"/>
        <v>-43.154392539248235</v>
      </c>
      <c r="T681">
        <f t="shared" si="998"/>
        <v>-4.3154392539248236E-2</v>
      </c>
    </row>
    <row r="682" spans="1:20" x14ac:dyDescent="0.25">
      <c r="A682" s="5">
        <v>43911</v>
      </c>
      <c r="B682">
        <v>1.2049999999999999E-3</v>
      </c>
      <c r="C682">
        <v>1.266E-3</v>
      </c>
      <c r="D682">
        <v>1.191E-3</v>
      </c>
      <c r="E682">
        <v>1.24E-3</v>
      </c>
      <c r="F682">
        <v>104007.81</v>
      </c>
      <c r="G682">
        <v>0</v>
      </c>
      <c r="L682" t="s">
        <v>7</v>
      </c>
      <c r="M682" t="s">
        <v>8</v>
      </c>
      <c r="N682" t="s">
        <v>8</v>
      </c>
      <c r="P682">
        <f t="shared" si="994"/>
        <v>0.30666666666666698</v>
      </c>
      <c r="Q682">
        <f t="shared" si="995"/>
        <v>31895.728400000033</v>
      </c>
      <c r="R682">
        <f t="shared" si="996"/>
        <v>-4265722.4483802691</v>
      </c>
      <c r="S682">
        <f t="shared" si="997"/>
        <v>-42.657224483802693</v>
      </c>
      <c r="T682">
        <f t="shared" si="998"/>
        <v>-4.2657224483802693E-2</v>
      </c>
    </row>
    <row r="683" spans="1:20" x14ac:dyDescent="0.25">
      <c r="A683" s="5">
        <v>43910</v>
      </c>
      <c r="B683">
        <v>1.201E-3</v>
      </c>
      <c r="C683">
        <v>1.315E-3</v>
      </c>
      <c r="D683">
        <v>1.1529999999999999E-3</v>
      </c>
      <c r="E683">
        <v>1.2049999999999999E-3</v>
      </c>
      <c r="F683">
        <v>173552.87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-0.35802469135802528</v>
      </c>
      <c r="Q683">
        <f t="shared" si="995"/>
        <v>-62136.212716049486</v>
      </c>
      <c r="R683">
        <f t="shared" si="996"/>
        <v>-4297618.1767802695</v>
      </c>
      <c r="S683">
        <f t="shared" si="997"/>
        <v>-42.976181767802693</v>
      </c>
      <c r="T683">
        <f t="shared" si="998"/>
        <v>-4.2976181767802692E-2</v>
      </c>
    </row>
    <row r="684" spans="1:20" x14ac:dyDescent="0.25">
      <c r="A684" s="5">
        <v>43909</v>
      </c>
      <c r="B684">
        <v>1.188E-3</v>
      </c>
      <c r="C684">
        <v>1.2600000000000001E-3</v>
      </c>
      <c r="D684">
        <v>1.134E-3</v>
      </c>
      <c r="E684">
        <v>1.204E-3</v>
      </c>
      <c r="F684">
        <v>144093.76999999999</v>
      </c>
      <c r="G684">
        <v>0</v>
      </c>
      <c r="L684" t="s">
        <v>7</v>
      </c>
      <c r="M684" t="s">
        <v>8</v>
      </c>
      <c r="N684" t="s">
        <v>8</v>
      </c>
      <c r="P684">
        <f t="shared" si="994"/>
        <v>0.11111111111111034</v>
      </c>
      <c r="Q684">
        <f t="shared" si="995"/>
        <v>16010.418888888777</v>
      </c>
      <c r="R684">
        <f t="shared" si="996"/>
        <v>-4235481.96406422</v>
      </c>
      <c r="S684">
        <f t="shared" si="997"/>
        <v>-42.354819640642198</v>
      </c>
      <c r="T684">
        <f t="shared" si="998"/>
        <v>-4.2354819640642201E-2</v>
      </c>
    </row>
    <row r="685" spans="1:20" x14ac:dyDescent="0.25">
      <c r="A685" s="5">
        <v>43908</v>
      </c>
      <c r="B685">
        <v>1.158E-3</v>
      </c>
      <c r="C685">
        <v>1.2099999999999999E-3</v>
      </c>
      <c r="D685">
        <v>1.152E-3</v>
      </c>
      <c r="E685">
        <v>1.1839999999999999E-3</v>
      </c>
      <c r="F685">
        <v>105622.32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0.10344827586206794</v>
      </c>
      <c r="Q685">
        <f t="shared" si="995"/>
        <v>10926.446896551617</v>
      </c>
      <c r="R685">
        <f t="shared" si="996"/>
        <v>-4251492.3829531083</v>
      </c>
      <c r="S685">
        <f t="shared" si="997"/>
        <v>-42.514923829531085</v>
      </c>
      <c r="T685">
        <f t="shared" si="998"/>
        <v>-4.2514923829531086E-2</v>
      </c>
    </row>
    <row r="686" spans="1:20" x14ac:dyDescent="0.25">
      <c r="A686" s="5">
        <v>43907</v>
      </c>
      <c r="B686">
        <v>1.173E-3</v>
      </c>
      <c r="C686">
        <v>1.2030000000000001E-3</v>
      </c>
      <c r="D686">
        <v>1.1490000000000001E-3</v>
      </c>
      <c r="E686">
        <v>1.1620000000000001E-3</v>
      </c>
      <c r="F686">
        <v>48674.44</v>
      </c>
      <c r="G686">
        <v>0</v>
      </c>
      <c r="L686" t="s">
        <v>7</v>
      </c>
      <c r="M686" t="s">
        <v>8</v>
      </c>
      <c r="N686" t="s">
        <v>8</v>
      </c>
      <c r="P686">
        <f t="shared" si="994"/>
        <v>-0.51851851851851893</v>
      </c>
      <c r="Q686">
        <f t="shared" si="995"/>
        <v>-25238.598518518538</v>
      </c>
      <c r="R686">
        <f t="shared" si="996"/>
        <v>-4262418.8298496595</v>
      </c>
      <c r="S686">
        <f t="shared" si="997"/>
        <v>-42.624188298496591</v>
      </c>
      <c r="T686">
        <f t="shared" si="998"/>
        <v>-4.2624188298496589E-2</v>
      </c>
    </row>
    <row r="687" spans="1:20" x14ac:dyDescent="0.25">
      <c r="A687" s="5">
        <v>43906</v>
      </c>
      <c r="B687">
        <v>1.201E-3</v>
      </c>
      <c r="C687">
        <v>1.242E-3</v>
      </c>
      <c r="D687">
        <v>1.1559999999999999E-3</v>
      </c>
      <c r="E687">
        <v>1.17E-3</v>
      </c>
      <c r="F687">
        <v>96355.05</v>
      </c>
      <c r="G687">
        <v>0</v>
      </c>
      <c r="L687" t="s">
        <v>7</v>
      </c>
      <c r="M687" t="s">
        <v>8</v>
      </c>
      <c r="N687" t="s">
        <v>8</v>
      </c>
      <c r="P687">
        <f t="shared" si="994"/>
        <v>-0.67441860465116044</v>
      </c>
      <c r="Q687">
        <f t="shared" si="995"/>
        <v>-64983.638372092799</v>
      </c>
      <c r="R687">
        <f t="shared" si="996"/>
        <v>-4237180.2313311407</v>
      </c>
      <c r="S687">
        <f t="shared" si="997"/>
        <v>-42.371802313311406</v>
      </c>
      <c r="T687">
        <f t="shared" si="998"/>
        <v>-4.2371802313311405E-2</v>
      </c>
    </row>
    <row r="688" spans="1:20" x14ac:dyDescent="0.25">
      <c r="A688" s="5">
        <v>43905</v>
      </c>
      <c r="B688">
        <v>1.163E-3</v>
      </c>
      <c r="C688">
        <v>1.25E-3</v>
      </c>
      <c r="D688">
        <v>1.1440000000000001E-3</v>
      </c>
      <c r="E688">
        <v>1.201E-3</v>
      </c>
      <c r="F688">
        <v>78333.990000000005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7.547169811320735E-2</v>
      </c>
      <c r="Q688">
        <f t="shared" si="995"/>
        <v>5911.9992452830038</v>
      </c>
      <c r="R688">
        <f t="shared" si="996"/>
        <v>-4172196.5929590482</v>
      </c>
      <c r="S688">
        <f t="shared" si="997"/>
        <v>-41.721965929590482</v>
      </c>
      <c r="T688">
        <f t="shared" si="998"/>
        <v>-4.1721965929590481E-2</v>
      </c>
    </row>
    <row r="689" spans="1:20" x14ac:dyDescent="0.25">
      <c r="A689" s="5">
        <v>43904</v>
      </c>
      <c r="B689">
        <v>1.1460000000000001E-3</v>
      </c>
      <c r="C689">
        <v>1.189E-3</v>
      </c>
      <c r="D689">
        <v>1.1199999999999999E-3</v>
      </c>
      <c r="E689">
        <v>1.163E-3</v>
      </c>
      <c r="F689">
        <v>86277.85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0.24637681159420399</v>
      </c>
      <c r="Q689">
        <f t="shared" si="995"/>
        <v>21256.861594202994</v>
      </c>
      <c r="R689">
        <f t="shared" si="996"/>
        <v>-4178108.5922043314</v>
      </c>
      <c r="S689">
        <f t="shared" si="997"/>
        <v>-41.781085922043317</v>
      </c>
      <c r="T689">
        <f t="shared" si="998"/>
        <v>-4.1781085922043319E-2</v>
      </c>
    </row>
    <row r="690" spans="1:20" x14ac:dyDescent="0.25">
      <c r="A690" s="5">
        <v>43903</v>
      </c>
      <c r="B690">
        <v>1.06E-3</v>
      </c>
      <c r="C690">
        <v>1.1999999999999999E-3</v>
      </c>
      <c r="D690">
        <v>9.77E-4</v>
      </c>
      <c r="E690">
        <v>1.139E-3</v>
      </c>
      <c r="F690">
        <v>183905.12</v>
      </c>
      <c r="G690">
        <v>0</v>
      </c>
      <c r="L690" t="s">
        <v>7</v>
      </c>
      <c r="M690" t="s">
        <v>7</v>
      </c>
      <c r="N690" t="s">
        <v>8</v>
      </c>
      <c r="P690">
        <f t="shared" si="994"/>
        <v>0.45291479820627906</v>
      </c>
      <c r="Q690">
        <f t="shared" si="995"/>
        <v>83293.350313901537</v>
      </c>
      <c r="R690">
        <f t="shared" si="996"/>
        <v>-4199365.4537985343</v>
      </c>
      <c r="S690">
        <f t="shared" si="997"/>
        <v>-41.993654537985343</v>
      </c>
      <c r="T690">
        <f t="shared" si="998"/>
        <v>-4.1993654537985342E-2</v>
      </c>
    </row>
    <row r="691" spans="1:20" x14ac:dyDescent="0.25">
      <c r="A691" s="5">
        <v>43902</v>
      </c>
      <c r="B691">
        <v>1.1529999999999999E-3</v>
      </c>
      <c r="C691">
        <v>1.1540000000000001E-3</v>
      </c>
      <c r="D691">
        <v>1.01E-3</v>
      </c>
      <c r="E691">
        <v>1.0629999999999999E-3</v>
      </c>
      <c r="F691">
        <v>221721.3</v>
      </c>
      <c r="G691">
        <v>0</v>
      </c>
      <c r="L691" t="s">
        <v>7</v>
      </c>
      <c r="M691" t="s">
        <v>7</v>
      </c>
      <c r="N691" t="s">
        <v>8</v>
      </c>
      <c r="P691">
        <f t="shared" si="994"/>
        <v>-0.26388888888889073</v>
      </c>
      <c r="Q691">
        <f t="shared" si="995"/>
        <v>-58509.787500000406</v>
      </c>
      <c r="R691">
        <f t="shared" si="996"/>
        <v>-4282658.8041124362</v>
      </c>
      <c r="S691">
        <f t="shared" si="997"/>
        <v>-42.82658804112436</v>
      </c>
      <c r="T691">
        <f t="shared" si="998"/>
        <v>-4.282658804112436E-2</v>
      </c>
    </row>
    <row r="692" spans="1:20" x14ac:dyDescent="0.25">
      <c r="A692" s="5">
        <v>43901</v>
      </c>
      <c r="B692">
        <v>1.2080000000000001E-3</v>
      </c>
      <c r="C692">
        <v>1.217E-3</v>
      </c>
      <c r="D692">
        <v>1.1360000000000001E-3</v>
      </c>
      <c r="E692">
        <v>1.1509999999999999E-3</v>
      </c>
      <c r="F692">
        <v>108469.58</v>
      </c>
      <c r="G692">
        <v>0</v>
      </c>
      <c r="L692" t="s">
        <v>7</v>
      </c>
      <c r="M692" t="s">
        <v>7</v>
      </c>
      <c r="N692" t="s">
        <v>8</v>
      </c>
      <c r="P692">
        <f t="shared" si="994"/>
        <v>-0.62962962962963365</v>
      </c>
      <c r="Q692">
        <f t="shared" si="995"/>
        <v>-68295.661481481919</v>
      </c>
      <c r="R692">
        <f t="shared" si="996"/>
        <v>-4224149.0166124357</v>
      </c>
      <c r="S692">
        <f t="shared" si="997"/>
        <v>-42.241490166124358</v>
      </c>
      <c r="T692">
        <f t="shared" si="998"/>
        <v>-4.2241490166124357E-2</v>
      </c>
    </row>
    <row r="693" spans="1:20" x14ac:dyDescent="0.25">
      <c r="A693" s="5">
        <v>43900</v>
      </c>
      <c r="B693">
        <v>1.1900000000000001E-3</v>
      </c>
      <c r="C693">
        <v>1.2409999999999999E-3</v>
      </c>
      <c r="D693">
        <v>1.15E-3</v>
      </c>
      <c r="E693">
        <v>1.2080000000000001E-3</v>
      </c>
      <c r="F693">
        <v>116728.99</v>
      </c>
      <c r="G693">
        <v>0</v>
      </c>
      <c r="L693" t="s">
        <v>8</v>
      </c>
      <c r="M693" t="s">
        <v>7</v>
      </c>
      <c r="N693" t="s">
        <v>8</v>
      </c>
      <c r="P693">
        <f t="shared" si="994"/>
        <v>0.27472527472527802</v>
      </c>
      <c r="Q693">
        <f t="shared" si="995"/>
        <v>32068.403846154233</v>
      </c>
      <c r="R693">
        <f t="shared" si="996"/>
        <v>-4155853.3551309542</v>
      </c>
      <c r="S693">
        <f t="shared" si="997"/>
        <v>-41.558533551309544</v>
      </c>
      <c r="T693">
        <f t="shared" si="998"/>
        <v>-4.1558533551309541E-2</v>
      </c>
    </row>
    <row r="694" spans="1:20" x14ac:dyDescent="0.25">
      <c r="A694" s="5">
        <v>43899</v>
      </c>
      <c r="B694">
        <v>1.132E-3</v>
      </c>
      <c r="C694">
        <v>1.1919999999999999E-3</v>
      </c>
      <c r="D694">
        <v>1.096E-3</v>
      </c>
      <c r="E694">
        <v>1.188E-3</v>
      </c>
      <c r="F694">
        <v>174502.44</v>
      </c>
      <c r="G694">
        <v>0</v>
      </c>
      <c r="L694" t="s">
        <v>7</v>
      </c>
      <c r="M694" t="s">
        <v>7</v>
      </c>
      <c r="N694" t="s">
        <v>8</v>
      </c>
      <c r="P694">
        <f t="shared" si="994"/>
        <v>0.91666666666666907</v>
      </c>
      <c r="Q694">
        <f t="shared" si="995"/>
        <v>159960.57000000041</v>
      </c>
      <c r="R694">
        <f t="shared" si="996"/>
        <v>-4187921.7589771086</v>
      </c>
      <c r="S694">
        <f t="shared" si="997"/>
        <v>-41.879217589771088</v>
      </c>
      <c r="T694">
        <f t="shared" si="998"/>
        <v>-4.1879217589771089E-2</v>
      </c>
    </row>
    <row r="695" spans="1:20" x14ac:dyDescent="0.25">
      <c r="A695" s="5">
        <v>43898</v>
      </c>
      <c r="B695">
        <v>1.2260000000000001E-3</v>
      </c>
      <c r="C695">
        <v>1.2719999999999999E-3</v>
      </c>
      <c r="D695">
        <v>1.1050000000000001E-3</v>
      </c>
      <c r="E695">
        <v>1.1280000000000001E-3</v>
      </c>
      <c r="F695">
        <v>148641.76999999999</v>
      </c>
      <c r="G695">
        <v>0</v>
      </c>
      <c r="L695" t="s">
        <v>7</v>
      </c>
      <c r="M695" t="s">
        <v>7</v>
      </c>
      <c r="N695" t="s">
        <v>8</v>
      </c>
      <c r="P695">
        <f t="shared" si="994"/>
        <v>-0.72455089820359231</v>
      </c>
      <c r="Q695">
        <f t="shared" si="995"/>
        <v>-107698.52796407178</v>
      </c>
      <c r="R695">
        <f t="shared" si="996"/>
        <v>-4347882.3289771089</v>
      </c>
      <c r="S695">
        <f t="shared" si="997"/>
        <v>-43.478823289771093</v>
      </c>
      <c r="T695">
        <f t="shared" si="998"/>
        <v>-4.3478823289771096E-2</v>
      </c>
    </row>
    <row r="696" spans="1:20" x14ac:dyDescent="0.25">
      <c r="A696" s="5">
        <v>43897</v>
      </c>
      <c r="B696">
        <v>1.2830000000000001E-3</v>
      </c>
      <c r="C696">
        <v>1.2899999999999999E-3</v>
      </c>
      <c r="D696">
        <v>1.194E-3</v>
      </c>
      <c r="E696">
        <v>1.224E-3</v>
      </c>
      <c r="F696">
        <v>91278.68</v>
      </c>
      <c r="G696">
        <v>0</v>
      </c>
      <c r="L696" t="s">
        <v>7</v>
      </c>
      <c r="M696" t="s">
        <v>8</v>
      </c>
      <c r="N696" t="s">
        <v>8</v>
      </c>
      <c r="P696">
        <f t="shared" si="994"/>
        <v>-0.374999999999998</v>
      </c>
      <c r="Q696">
        <f t="shared" si="995"/>
        <v>-34229.504999999815</v>
      </c>
      <c r="R696">
        <f t="shared" si="996"/>
        <v>-4240183.8010130376</v>
      </c>
      <c r="S696">
        <f t="shared" si="997"/>
        <v>-42.401838010130376</v>
      </c>
      <c r="T696">
        <f t="shared" si="998"/>
        <v>-4.2401838010130373E-2</v>
      </c>
    </row>
    <row r="697" spans="1:20" x14ac:dyDescent="0.25">
      <c r="A697" s="5">
        <v>43896</v>
      </c>
      <c r="B697">
        <v>1.3320000000000001E-3</v>
      </c>
      <c r="C697">
        <v>1.3389999999999999E-3</v>
      </c>
      <c r="D697">
        <v>1.2639999999999999E-3</v>
      </c>
      <c r="E697">
        <v>1.2849999999999999E-3</v>
      </c>
      <c r="F697">
        <v>146968.38</v>
      </c>
      <c r="G697">
        <v>0</v>
      </c>
      <c r="L697" t="s">
        <v>8</v>
      </c>
      <c r="M697" t="s">
        <v>8</v>
      </c>
      <c r="N697" t="s">
        <v>8</v>
      </c>
      <c r="P697">
        <f t="shared" si="994"/>
        <v>-0.44000000000000067</v>
      </c>
      <c r="Q697">
        <f t="shared" si="995"/>
        <v>-64666.087200000104</v>
      </c>
      <c r="R697">
        <f t="shared" si="996"/>
        <v>-4205954.2960130377</v>
      </c>
      <c r="S697">
        <f t="shared" si="997"/>
        <v>-42.059542960130379</v>
      </c>
      <c r="T697">
        <f t="shared" si="998"/>
        <v>-4.2059542960130376E-2</v>
      </c>
    </row>
    <row r="698" spans="1:20" x14ac:dyDescent="0.25">
      <c r="A698" s="5">
        <v>43895</v>
      </c>
      <c r="B698">
        <v>1.1980000000000001E-3</v>
      </c>
      <c r="C698">
        <v>1.3470000000000001E-3</v>
      </c>
      <c r="D698">
        <v>1.1950000000000001E-3</v>
      </c>
      <c r="E698">
        <v>1.3320000000000001E-3</v>
      </c>
      <c r="F698">
        <v>309568.51</v>
      </c>
      <c r="G698">
        <v>0</v>
      </c>
      <c r="L698" t="s">
        <v>8</v>
      </c>
      <c r="M698" t="s">
        <v>8</v>
      </c>
      <c r="N698" t="s">
        <v>8</v>
      </c>
      <c r="P698">
        <f t="shared" si="994"/>
        <v>0.80263157894736792</v>
      </c>
      <c r="Q698">
        <f t="shared" si="995"/>
        <v>248469.46197368405</v>
      </c>
      <c r="R698">
        <f t="shared" si="996"/>
        <v>-4141288.2088130377</v>
      </c>
      <c r="S698">
        <f t="shared" si="997"/>
        <v>-41.412882088130374</v>
      </c>
      <c r="T698">
        <f t="shared" si="998"/>
        <v>-4.1412882088130376E-2</v>
      </c>
    </row>
    <row r="699" spans="1:20" x14ac:dyDescent="0.25">
      <c r="A699" s="5">
        <v>43894</v>
      </c>
      <c r="B699">
        <v>1.134E-3</v>
      </c>
      <c r="C699">
        <v>1.1999999999999999E-3</v>
      </c>
      <c r="D699">
        <v>1.1169999999999999E-3</v>
      </c>
      <c r="E699">
        <v>1.196E-3</v>
      </c>
      <c r="F699">
        <v>181574.41</v>
      </c>
      <c r="G699">
        <v>0</v>
      </c>
      <c r="L699" t="s">
        <v>8</v>
      </c>
      <c r="M699" t="s">
        <v>8</v>
      </c>
      <c r="N699" t="s">
        <v>7</v>
      </c>
      <c r="P699">
        <f t="shared" si="994"/>
        <v>0.9036144578313281</v>
      </c>
      <c r="Q699">
        <f t="shared" si="995"/>
        <v>164073.26204819328</v>
      </c>
      <c r="R699">
        <f t="shared" si="996"/>
        <v>-4389757.6707867216</v>
      </c>
      <c r="S699">
        <f t="shared" si="997"/>
        <v>-43.897576707867216</v>
      </c>
      <c r="T699">
        <f t="shared" si="998"/>
        <v>-4.3897576707867217E-2</v>
      </c>
    </row>
    <row r="700" spans="1:20" x14ac:dyDescent="0.25">
      <c r="A700" s="5">
        <v>43893</v>
      </c>
      <c r="B700">
        <v>1.129E-3</v>
      </c>
      <c r="C700">
        <v>1.1479999999999999E-3</v>
      </c>
      <c r="D700">
        <v>1.09E-3</v>
      </c>
      <c r="E700">
        <v>1.1329999999999999E-3</v>
      </c>
      <c r="F700">
        <v>100055.19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0.48275862068965286</v>
      </c>
      <c r="Q700">
        <f t="shared" si="995"/>
        <v>48302.505517241152</v>
      </c>
      <c r="R700">
        <f t="shared" si="996"/>
        <v>-4553830.9328349149</v>
      </c>
      <c r="S700">
        <f t="shared" si="997"/>
        <v>-45.53830932834915</v>
      </c>
      <c r="T700">
        <f t="shared" si="998"/>
        <v>-4.5538309328349152E-2</v>
      </c>
    </row>
    <row r="701" spans="1:20" x14ac:dyDescent="0.25">
      <c r="A701" s="5">
        <v>43892</v>
      </c>
      <c r="B701">
        <v>1.0629999999999999E-3</v>
      </c>
      <c r="C701">
        <v>1.15E-3</v>
      </c>
      <c r="D701">
        <v>1.059E-3</v>
      </c>
      <c r="E701">
        <v>1.129E-3</v>
      </c>
      <c r="F701">
        <v>151479.10999999999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0.53846153846153888</v>
      </c>
      <c r="Q701">
        <f t="shared" si="995"/>
        <v>81565.674615384676</v>
      </c>
      <c r="R701">
        <f t="shared" si="996"/>
        <v>-4602133.4383521564</v>
      </c>
      <c r="S701">
        <f t="shared" si="997"/>
        <v>-46.021334383521562</v>
      </c>
      <c r="T701">
        <f t="shared" si="998"/>
        <v>-4.6021334383521566E-2</v>
      </c>
    </row>
    <row r="702" spans="1:20" x14ac:dyDescent="0.25">
      <c r="A702" s="5">
        <v>43891</v>
      </c>
      <c r="B702">
        <v>9.5799999999999998E-4</v>
      </c>
      <c r="C702">
        <v>1.1360000000000001E-3</v>
      </c>
      <c r="D702">
        <v>9.5699999999999995E-4</v>
      </c>
      <c r="E702">
        <v>1.062E-3</v>
      </c>
      <c r="F702">
        <v>280633.33</v>
      </c>
      <c r="G702">
        <v>0</v>
      </c>
      <c r="L702" t="s">
        <v>8</v>
      </c>
      <c r="M702" t="s">
        <v>8</v>
      </c>
      <c r="N702" t="s">
        <v>7</v>
      </c>
      <c r="P702">
        <f t="shared" si="994"/>
        <v>0.17318435754189929</v>
      </c>
      <c r="Q702">
        <f t="shared" si="995"/>
        <v>48601.302960893816</v>
      </c>
      <c r="R702">
        <f t="shared" si="996"/>
        <v>-4683699.1129675414</v>
      </c>
      <c r="S702">
        <f t="shared" si="997"/>
        <v>-46.836991129675411</v>
      </c>
      <c r="T702">
        <f t="shared" si="998"/>
        <v>-4.6836991129675411E-2</v>
      </c>
    </row>
    <row r="703" spans="1:20" x14ac:dyDescent="0.25">
      <c r="A703" s="5">
        <v>43890</v>
      </c>
      <c r="B703">
        <v>9.5100000000000002E-4</v>
      </c>
      <c r="C703">
        <v>9.7400000000000004E-4</v>
      </c>
      <c r="D703">
        <v>9.4399999999999996E-4</v>
      </c>
      <c r="E703">
        <v>9.5699999999999995E-4</v>
      </c>
      <c r="F703">
        <v>66441.59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-0.13333333333333622</v>
      </c>
      <c r="Q703">
        <f t="shared" si="995"/>
        <v>-8858.8786666668584</v>
      </c>
      <c r="R703">
        <f t="shared" si="996"/>
        <v>-4732300.4159284355</v>
      </c>
      <c r="S703">
        <f t="shared" si="997"/>
        <v>-47.323004159284352</v>
      </c>
      <c r="T703">
        <f t="shared" si="998"/>
        <v>-4.7323004159284351E-2</v>
      </c>
    </row>
    <row r="704" spans="1:20" x14ac:dyDescent="0.25">
      <c r="A704" s="5">
        <v>43889</v>
      </c>
      <c r="B704">
        <v>9.3000000000000005E-4</v>
      </c>
      <c r="C704">
        <v>1.0020000000000001E-3</v>
      </c>
      <c r="D704">
        <v>9.2800000000000001E-4</v>
      </c>
      <c r="E704">
        <v>9.5100000000000002E-4</v>
      </c>
      <c r="F704">
        <v>95812.31</v>
      </c>
      <c r="G704">
        <v>0</v>
      </c>
      <c r="L704" t="s">
        <v>8</v>
      </c>
      <c r="M704" t="s">
        <v>7</v>
      </c>
      <c r="N704" t="s">
        <v>7</v>
      </c>
      <c r="P704">
        <f t="shared" si="994"/>
        <v>-0.37837837837837845</v>
      </c>
      <c r="Q704">
        <f t="shared" si="995"/>
        <v>-36253.306486486494</v>
      </c>
      <c r="R704">
        <f t="shared" si="996"/>
        <v>-4723441.5372617682</v>
      </c>
      <c r="S704">
        <f t="shared" si="997"/>
        <v>-47.234415372617683</v>
      </c>
      <c r="T704">
        <f t="shared" si="998"/>
        <v>-4.7234415372617682E-2</v>
      </c>
    </row>
    <row r="705" spans="1:20" x14ac:dyDescent="0.25">
      <c r="A705" s="5">
        <v>43888</v>
      </c>
      <c r="B705">
        <v>9.2100000000000005E-4</v>
      </c>
      <c r="C705">
        <v>9.6599999999999995E-4</v>
      </c>
      <c r="D705">
        <v>8.8900000000000003E-4</v>
      </c>
      <c r="E705">
        <v>9.3099999999999997E-4</v>
      </c>
      <c r="F705">
        <v>126439.72</v>
      </c>
      <c r="G705">
        <v>0</v>
      </c>
      <c r="L705" t="s">
        <v>7</v>
      </c>
      <c r="M705" t="s">
        <v>7</v>
      </c>
      <c r="N705" t="s">
        <v>7</v>
      </c>
      <c r="P705">
        <f t="shared" si="994"/>
        <v>9.0909090909090398E-2</v>
      </c>
      <c r="Q705">
        <f t="shared" si="995"/>
        <v>11494.519999999935</v>
      </c>
      <c r="R705">
        <f t="shared" si="996"/>
        <v>-4687188.2307752818</v>
      </c>
      <c r="S705">
        <f t="shared" si="997"/>
        <v>-46.87188230775282</v>
      </c>
      <c r="T705">
        <f t="shared" si="998"/>
        <v>-4.687188230775282E-2</v>
      </c>
    </row>
    <row r="706" spans="1:20" x14ac:dyDescent="0.25">
      <c r="A706" s="5">
        <v>43887</v>
      </c>
      <c r="B706">
        <v>9.7999999999999997E-4</v>
      </c>
      <c r="C706">
        <v>9.8299999999999993E-4</v>
      </c>
      <c r="D706">
        <v>8.8400000000000002E-4</v>
      </c>
      <c r="E706">
        <v>9.2199999999999997E-4</v>
      </c>
      <c r="F706">
        <v>166991.51999999999</v>
      </c>
      <c r="G706">
        <v>0</v>
      </c>
      <c r="L706" t="s">
        <v>8</v>
      </c>
      <c r="M706" t="s">
        <v>7</v>
      </c>
      <c r="N706" t="s">
        <v>7</v>
      </c>
      <c r="P706">
        <f t="shared" si="994"/>
        <v>-0.23232323232323271</v>
      </c>
      <c r="Q706">
        <f t="shared" si="995"/>
        <v>-38796.009696969762</v>
      </c>
      <c r="R706">
        <f t="shared" si="996"/>
        <v>-4698682.7507752813</v>
      </c>
      <c r="S706">
        <f t="shared" si="997"/>
        <v>-46.986827507752814</v>
      </c>
      <c r="T706">
        <f t="shared" si="998"/>
        <v>-4.6986827507752814E-2</v>
      </c>
    </row>
    <row r="707" spans="1:20" x14ac:dyDescent="0.25">
      <c r="A707" s="5">
        <v>43886</v>
      </c>
      <c r="B707">
        <v>1.0280000000000001E-3</v>
      </c>
      <c r="C707">
        <v>1.0330000000000001E-3</v>
      </c>
      <c r="D707">
        <v>9.7199999999999999E-4</v>
      </c>
      <c r="E707">
        <v>9.7900000000000005E-4</v>
      </c>
      <c r="F707">
        <v>96154.91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-0.77049180327868683</v>
      </c>
      <c r="Q707">
        <f t="shared" si="995"/>
        <v>-74086.569999999832</v>
      </c>
      <c r="R707">
        <f t="shared" si="996"/>
        <v>-4659886.7410783116</v>
      </c>
      <c r="S707">
        <f t="shared" si="997"/>
        <v>-46.598867410783114</v>
      </c>
      <c r="T707">
        <f t="shared" si="998"/>
        <v>-4.6598867410783111E-2</v>
      </c>
    </row>
    <row r="708" spans="1:20" x14ac:dyDescent="0.25">
      <c r="A708" s="5">
        <v>43885</v>
      </c>
      <c r="B708">
        <v>1.0549999999999999E-3</v>
      </c>
      <c r="C708">
        <v>1.067E-3</v>
      </c>
      <c r="D708">
        <v>1.0200000000000001E-3</v>
      </c>
      <c r="E708">
        <v>1.0280000000000001E-3</v>
      </c>
      <c r="F708">
        <v>89623.81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-0.659574468085107</v>
      </c>
      <c r="Q708">
        <f t="shared" si="995"/>
        <v>-59113.57680851069</v>
      </c>
      <c r="R708">
        <f t="shared" si="996"/>
        <v>-4585800.1710783113</v>
      </c>
      <c r="S708">
        <f t="shared" si="997"/>
        <v>-45.858001710783114</v>
      </c>
      <c r="T708">
        <f t="shared" si="998"/>
        <v>-4.5858001710783115E-2</v>
      </c>
    </row>
    <row r="709" spans="1:20" x14ac:dyDescent="0.25">
      <c r="A709" s="5">
        <v>43884</v>
      </c>
      <c r="B709">
        <v>1.052E-3</v>
      </c>
      <c r="C709">
        <v>1.0740000000000001E-3</v>
      </c>
      <c r="D709">
        <v>1.047E-3</v>
      </c>
      <c r="E709">
        <v>1.0549999999999999E-3</v>
      </c>
      <c r="F709">
        <v>54294.19</v>
      </c>
      <c r="G709">
        <v>0</v>
      </c>
      <c r="L709" t="s">
        <v>7</v>
      </c>
      <c r="M709" t="s">
        <v>7</v>
      </c>
      <c r="N709" t="s">
        <v>7</v>
      </c>
      <c r="P709">
        <f t="shared" si="994"/>
        <v>-0.40740740740741155</v>
      </c>
      <c r="Q709">
        <f t="shared" si="995"/>
        <v>-22119.85518518541</v>
      </c>
      <c r="R709">
        <f t="shared" si="996"/>
        <v>-4526686.5942698009</v>
      </c>
      <c r="S709">
        <f t="shared" si="997"/>
        <v>-45.266865942698011</v>
      </c>
      <c r="T709">
        <f t="shared" si="998"/>
        <v>-4.5266865942698013E-2</v>
      </c>
    </row>
    <row r="710" spans="1:20" x14ac:dyDescent="0.25">
      <c r="A710" s="5">
        <v>43883</v>
      </c>
      <c r="B710">
        <v>1.075E-3</v>
      </c>
      <c r="C710">
        <v>1.083E-3</v>
      </c>
      <c r="D710">
        <v>1.044E-3</v>
      </c>
      <c r="E710">
        <v>1.0529999999999999E-3</v>
      </c>
      <c r="F710">
        <v>67885.31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-0.53846153846154354</v>
      </c>
      <c r="Q710">
        <f t="shared" ref="Q710:Q766" si="1000">F710*P710</f>
        <v>-36553.628461538807</v>
      </c>
      <c r="R710">
        <f t="shared" ref="R710:R766" si="1001">R711+Q710</f>
        <v>-4504566.7390846154</v>
      </c>
      <c r="S710">
        <f t="shared" ref="S710:S766" si="1002">R710/100000</f>
        <v>-45.045667390846155</v>
      </c>
      <c r="T710">
        <f t="shared" ref="T710:T766" si="1003">S710/1000</f>
        <v>-4.5045667390846159E-2</v>
      </c>
    </row>
    <row r="711" spans="1:20" x14ac:dyDescent="0.25">
      <c r="A711" s="5">
        <v>43882</v>
      </c>
      <c r="B711">
        <v>1.0679999999999999E-3</v>
      </c>
      <c r="C711">
        <v>1.0920000000000001E-3</v>
      </c>
      <c r="D711">
        <v>1.0579999999999999E-3</v>
      </c>
      <c r="E711">
        <v>1.0740000000000001E-3</v>
      </c>
      <c r="F711">
        <v>69713.22</v>
      </c>
      <c r="G711">
        <v>0</v>
      </c>
      <c r="L711" t="s">
        <v>7</v>
      </c>
      <c r="M711" t="s">
        <v>7</v>
      </c>
      <c r="N711" t="s">
        <v>7</v>
      </c>
      <c r="P711">
        <f t="shared" si="999"/>
        <v>-5.8823529411759452E-2</v>
      </c>
      <c r="Q711">
        <f t="shared" si="1000"/>
        <v>-4100.7776470584577</v>
      </c>
      <c r="R711">
        <f t="shared" si="1001"/>
        <v>-4468013.1106230766</v>
      </c>
      <c r="S711">
        <f t="shared" si="1002"/>
        <v>-44.680131106230768</v>
      </c>
      <c r="T711">
        <f t="shared" si="1003"/>
        <v>-4.4680131106230765E-2</v>
      </c>
    </row>
    <row r="712" spans="1:20" x14ac:dyDescent="0.25">
      <c r="A712" s="5">
        <v>43881</v>
      </c>
      <c r="B712">
        <v>1.057E-3</v>
      </c>
      <c r="C712">
        <v>1.0820000000000001E-3</v>
      </c>
      <c r="D712">
        <v>1.036E-3</v>
      </c>
      <c r="E712">
        <v>1.0679999999999999E-3</v>
      </c>
      <c r="F712">
        <v>86424.62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0.39130434782608203</v>
      </c>
      <c r="Q712">
        <f t="shared" si="1000"/>
        <v>33818.329565216962</v>
      </c>
      <c r="R712">
        <f t="shared" si="1001"/>
        <v>-4463912.3329760181</v>
      </c>
      <c r="S712">
        <f t="shared" si="1002"/>
        <v>-44.639123329760181</v>
      </c>
      <c r="T712">
        <f t="shared" si="1003"/>
        <v>-4.463912332976018E-2</v>
      </c>
    </row>
    <row r="713" spans="1:20" x14ac:dyDescent="0.25">
      <c r="A713" s="5">
        <v>43880</v>
      </c>
      <c r="B713">
        <v>1.1069999999999999E-3</v>
      </c>
      <c r="C713">
        <v>1.109E-3</v>
      </c>
      <c r="D713">
        <v>1.0499999999999999E-3</v>
      </c>
      <c r="E713">
        <v>1.0579999999999999E-3</v>
      </c>
      <c r="F713">
        <v>98943.13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-0.72881355932203473</v>
      </c>
      <c r="Q713">
        <f t="shared" si="1000"/>
        <v>-72111.094745762792</v>
      </c>
      <c r="R713">
        <f t="shared" si="1001"/>
        <v>-4497730.6625412349</v>
      </c>
      <c r="S713">
        <f t="shared" si="1002"/>
        <v>-44.977306625412346</v>
      </c>
      <c r="T713">
        <f t="shared" si="1003"/>
        <v>-4.4977306625412349E-2</v>
      </c>
    </row>
    <row r="714" spans="1:20" x14ac:dyDescent="0.25">
      <c r="A714" s="5">
        <v>43879</v>
      </c>
      <c r="B714">
        <v>1.1360000000000001E-3</v>
      </c>
      <c r="C714">
        <v>1.16E-3</v>
      </c>
      <c r="D714">
        <v>1.077E-3</v>
      </c>
      <c r="E714">
        <v>1.1069999999999999E-3</v>
      </c>
      <c r="F714">
        <v>187218.03</v>
      </c>
      <c r="G714">
        <v>0</v>
      </c>
      <c r="L714" t="s">
        <v>7</v>
      </c>
      <c r="M714" t="s">
        <v>7</v>
      </c>
      <c r="N714" t="s">
        <v>7</v>
      </c>
      <c r="P714">
        <f t="shared" si="999"/>
        <v>-0.27710843373494271</v>
      </c>
      <c r="Q714">
        <f t="shared" si="1000"/>
        <v>-51879.695060241516</v>
      </c>
      <c r="R714">
        <f t="shared" si="1001"/>
        <v>-4425619.5677954722</v>
      </c>
      <c r="S714">
        <f t="shared" si="1002"/>
        <v>-44.256195677954722</v>
      </c>
      <c r="T714">
        <f t="shared" si="1003"/>
        <v>-4.4256195677954718E-2</v>
      </c>
    </row>
    <row r="715" spans="1:20" x14ac:dyDescent="0.25">
      <c r="A715" s="5">
        <v>43878</v>
      </c>
      <c r="B715">
        <v>1.126E-3</v>
      </c>
      <c r="C715">
        <v>1.16E-3</v>
      </c>
      <c r="D715">
        <v>1.021E-3</v>
      </c>
      <c r="E715">
        <v>1.1349999999999999E-3</v>
      </c>
      <c r="F715">
        <v>273168.43</v>
      </c>
      <c r="G715">
        <v>0</v>
      </c>
      <c r="L715" t="s">
        <v>8</v>
      </c>
      <c r="M715" t="s">
        <v>7</v>
      </c>
      <c r="N715" t="s">
        <v>7</v>
      </c>
      <c r="P715">
        <f t="shared" si="999"/>
        <v>0.64028776978417179</v>
      </c>
      <c r="Q715">
        <f t="shared" si="1000"/>
        <v>174906.40482014365</v>
      </c>
      <c r="R715">
        <f t="shared" si="1001"/>
        <v>-4373739.8727352303</v>
      </c>
      <c r="S715">
        <f t="shared" si="1002"/>
        <v>-43.7373987273523</v>
      </c>
      <c r="T715">
        <f t="shared" si="1003"/>
        <v>-4.37373987273523E-2</v>
      </c>
    </row>
    <row r="716" spans="1:20" x14ac:dyDescent="0.25">
      <c r="A716" s="5">
        <v>43877</v>
      </c>
      <c r="B716">
        <v>1.176E-3</v>
      </c>
      <c r="C716">
        <v>1.1950000000000001E-3</v>
      </c>
      <c r="D716">
        <v>9.8999999999999999E-4</v>
      </c>
      <c r="E716">
        <v>1.129E-3</v>
      </c>
      <c r="F716">
        <v>252553.51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0.35609756097560924</v>
      </c>
      <c r="Q716">
        <f t="shared" si="1000"/>
        <v>89933.688926829142</v>
      </c>
      <c r="R716">
        <f t="shared" si="1001"/>
        <v>-4548646.2775553735</v>
      </c>
      <c r="S716">
        <f t="shared" si="1002"/>
        <v>-45.486462775553733</v>
      </c>
      <c r="T716">
        <f t="shared" si="1003"/>
        <v>-4.5486462775553731E-2</v>
      </c>
    </row>
    <row r="717" spans="1:20" x14ac:dyDescent="0.25">
      <c r="A717" s="5">
        <v>43876</v>
      </c>
      <c r="B717">
        <v>1.2700000000000001E-3</v>
      </c>
      <c r="C717">
        <v>1.2800000000000001E-3</v>
      </c>
      <c r="D717">
        <v>1.15E-3</v>
      </c>
      <c r="E717">
        <v>1.176E-3</v>
      </c>
      <c r="F717">
        <v>214243.58</v>
      </c>
      <c r="G717">
        <v>0</v>
      </c>
      <c r="L717" t="s">
        <v>7</v>
      </c>
      <c r="M717" t="s">
        <v>7</v>
      </c>
      <c r="N717" t="s">
        <v>7</v>
      </c>
      <c r="P717">
        <f t="shared" si="999"/>
        <v>-0.60000000000000064</v>
      </c>
      <c r="Q717">
        <f t="shared" si="1000"/>
        <v>-128546.14800000013</v>
      </c>
      <c r="R717">
        <f t="shared" si="1001"/>
        <v>-4638579.9664822025</v>
      </c>
      <c r="S717">
        <f t="shared" si="1002"/>
        <v>-46.385799664822024</v>
      </c>
      <c r="T717">
        <f t="shared" si="1003"/>
        <v>-4.6385799664822022E-2</v>
      </c>
    </row>
    <row r="718" spans="1:20" x14ac:dyDescent="0.25">
      <c r="A718" s="5">
        <v>43875</v>
      </c>
      <c r="B718">
        <v>1.2539999999999999E-3</v>
      </c>
      <c r="C718">
        <v>1.2960000000000001E-3</v>
      </c>
      <c r="D718">
        <v>1.2390000000000001E-3</v>
      </c>
      <c r="E718">
        <v>1.2689999999999999E-3</v>
      </c>
      <c r="F718">
        <v>181918.72</v>
      </c>
      <c r="G718">
        <v>0</v>
      </c>
      <c r="L718" t="s">
        <v>7</v>
      </c>
      <c r="M718" t="s">
        <v>7</v>
      </c>
      <c r="N718" t="s">
        <v>7</v>
      </c>
      <c r="P718">
        <f t="shared" si="999"/>
        <v>5.2631578947364019E-2</v>
      </c>
      <c r="Q718">
        <f t="shared" si="1000"/>
        <v>9574.6694736834106</v>
      </c>
      <c r="R718">
        <f t="shared" si="1001"/>
        <v>-4510033.8184822025</v>
      </c>
      <c r="S718">
        <f t="shared" si="1002"/>
        <v>-45.100338184822022</v>
      </c>
      <c r="T718">
        <f t="shared" si="1003"/>
        <v>-4.5100338184822023E-2</v>
      </c>
    </row>
    <row r="719" spans="1:20" x14ac:dyDescent="0.25">
      <c r="A719" s="5">
        <v>43874</v>
      </c>
      <c r="B719">
        <v>1.315E-3</v>
      </c>
      <c r="C719">
        <v>1.3370000000000001E-3</v>
      </c>
      <c r="D719">
        <v>1.2359999999999999E-3</v>
      </c>
      <c r="E719">
        <v>1.253E-3</v>
      </c>
      <c r="F719">
        <v>266686.94</v>
      </c>
      <c r="G719">
        <v>0</v>
      </c>
      <c r="L719" t="s">
        <v>7</v>
      </c>
      <c r="M719" t="s">
        <v>7</v>
      </c>
      <c r="N719" t="s">
        <v>7</v>
      </c>
      <c r="P719">
        <f t="shared" si="999"/>
        <v>-0.66336633663366218</v>
      </c>
      <c r="Q719">
        <f t="shared" si="1000"/>
        <v>-176911.13841584127</v>
      </c>
      <c r="R719">
        <f t="shared" si="1001"/>
        <v>-4519608.4879558859</v>
      </c>
      <c r="S719">
        <f t="shared" si="1002"/>
        <v>-45.19608487955886</v>
      </c>
      <c r="T719">
        <f t="shared" si="1003"/>
        <v>-4.5196084879558861E-2</v>
      </c>
    </row>
    <row r="720" spans="1:20" x14ac:dyDescent="0.25">
      <c r="A720" s="5">
        <v>43873</v>
      </c>
      <c r="B720">
        <v>1.34E-3</v>
      </c>
      <c r="C720">
        <v>1.3829999999999999E-3</v>
      </c>
      <c r="D720">
        <v>1.291E-3</v>
      </c>
      <c r="E720">
        <v>1.315E-3</v>
      </c>
      <c r="F720">
        <v>281533.34000000003</v>
      </c>
      <c r="G720">
        <v>0</v>
      </c>
      <c r="L720" t="s">
        <v>7</v>
      </c>
      <c r="M720" t="s">
        <v>7</v>
      </c>
      <c r="N720" t="s">
        <v>7</v>
      </c>
      <c r="P720">
        <f t="shared" si="999"/>
        <v>-0.47826086956521802</v>
      </c>
      <c r="Q720">
        <f t="shared" si="1000"/>
        <v>-134646.38000000018</v>
      </c>
      <c r="R720">
        <f t="shared" si="1001"/>
        <v>-4342697.3495400446</v>
      </c>
      <c r="S720">
        <f t="shared" si="1002"/>
        <v>-43.426973495400446</v>
      </c>
      <c r="T720">
        <f t="shared" si="1003"/>
        <v>-4.3426973495400444E-2</v>
      </c>
    </row>
    <row r="721" spans="1:20" x14ac:dyDescent="0.25">
      <c r="A721" s="5">
        <v>43872</v>
      </c>
      <c r="B721">
        <v>1.3780000000000001E-3</v>
      </c>
      <c r="C721">
        <v>1.436E-3</v>
      </c>
      <c r="D721">
        <v>1.322E-3</v>
      </c>
      <c r="E721">
        <v>1.3389999999999999E-3</v>
      </c>
      <c r="F721">
        <v>365854.08</v>
      </c>
      <c r="G721">
        <v>0</v>
      </c>
      <c r="L721" t="s">
        <v>7</v>
      </c>
      <c r="M721" t="s">
        <v>8</v>
      </c>
      <c r="N721" t="s">
        <v>7</v>
      </c>
      <c r="P721">
        <f t="shared" si="999"/>
        <v>-0.70175438596491446</v>
      </c>
      <c r="Q721">
        <f t="shared" si="1000"/>
        <v>-256739.70526315871</v>
      </c>
      <c r="R721">
        <f t="shared" si="1001"/>
        <v>-4208050.9695400447</v>
      </c>
      <c r="S721">
        <f t="shared" si="1002"/>
        <v>-42.080509695400444</v>
      </c>
      <c r="T721">
        <f t="shared" si="1003"/>
        <v>-4.2080509695400441E-2</v>
      </c>
    </row>
    <row r="722" spans="1:20" x14ac:dyDescent="0.25">
      <c r="A722" s="5">
        <v>43871</v>
      </c>
      <c r="B722">
        <v>1.3209999999999999E-3</v>
      </c>
      <c r="C722">
        <v>1.5250000000000001E-3</v>
      </c>
      <c r="D722">
        <v>1.2819999999999999E-3</v>
      </c>
      <c r="E722">
        <v>1.379E-3</v>
      </c>
      <c r="F722">
        <v>696305.24</v>
      </c>
      <c r="G722">
        <v>0</v>
      </c>
      <c r="L722" t="s">
        <v>8</v>
      </c>
      <c r="M722" t="s">
        <v>8</v>
      </c>
      <c r="N722" t="s">
        <v>7</v>
      </c>
      <c r="P722">
        <f t="shared" si="999"/>
        <v>-0.20164609053497928</v>
      </c>
      <c r="Q722">
        <f t="shared" si="1000"/>
        <v>-140407.22946502047</v>
      </c>
      <c r="R722">
        <f t="shared" si="1001"/>
        <v>-3951311.2642768864</v>
      </c>
      <c r="S722">
        <f t="shared" si="1002"/>
        <v>-39.513112642768867</v>
      </c>
      <c r="T722">
        <f t="shared" si="1003"/>
        <v>-3.9513112642768869E-2</v>
      </c>
    </row>
    <row r="723" spans="1:20" x14ac:dyDescent="0.25">
      <c r="A723" s="5">
        <v>43870</v>
      </c>
      <c r="B723">
        <v>1.2520000000000001E-3</v>
      </c>
      <c r="C723">
        <v>1.4250000000000001E-3</v>
      </c>
      <c r="D723">
        <v>1.23E-3</v>
      </c>
      <c r="E723">
        <v>1.322E-3</v>
      </c>
      <c r="F723">
        <v>780690.75</v>
      </c>
      <c r="G723">
        <v>0</v>
      </c>
      <c r="L723" t="s">
        <v>8</v>
      </c>
      <c r="M723" t="s">
        <v>7</v>
      </c>
      <c r="N723" t="s">
        <v>7</v>
      </c>
      <c r="P723">
        <f t="shared" si="999"/>
        <v>-5.6410256410256092E-2</v>
      </c>
      <c r="Q723">
        <f t="shared" si="1000"/>
        <v>-44038.965384615134</v>
      </c>
      <c r="R723">
        <f t="shared" si="1001"/>
        <v>-3810904.034811866</v>
      </c>
      <c r="S723">
        <f t="shared" si="1002"/>
        <v>-38.109040348118661</v>
      </c>
      <c r="T723">
        <f t="shared" si="1003"/>
        <v>-3.8109040348118663E-2</v>
      </c>
    </row>
    <row r="724" spans="1:20" x14ac:dyDescent="0.25">
      <c r="A724" s="5">
        <v>43869</v>
      </c>
      <c r="B724">
        <v>1.1770000000000001E-3</v>
      </c>
      <c r="C724">
        <v>1.449E-3</v>
      </c>
      <c r="D724">
        <v>1.1360000000000001E-3</v>
      </c>
      <c r="E724">
        <v>1.2509999999999999E-3</v>
      </c>
      <c r="F724">
        <v>711711.7</v>
      </c>
      <c r="G724">
        <v>0</v>
      </c>
      <c r="L724" t="s">
        <v>7</v>
      </c>
      <c r="M724" t="s">
        <v>8</v>
      </c>
      <c r="N724" t="s">
        <v>7</v>
      </c>
      <c r="P724">
        <f t="shared" si="999"/>
        <v>-0.26517571884984087</v>
      </c>
      <c r="Q724">
        <f t="shared" si="1000"/>
        <v>-188728.66166134228</v>
      </c>
      <c r="R724">
        <f t="shared" si="1001"/>
        <v>-3766865.0694272509</v>
      </c>
      <c r="S724">
        <f t="shared" si="1002"/>
        <v>-37.668650694272507</v>
      </c>
      <c r="T724">
        <f t="shared" si="1003"/>
        <v>-3.7668650694272506E-2</v>
      </c>
    </row>
    <row r="725" spans="1:20" x14ac:dyDescent="0.25">
      <c r="A725" s="5">
        <v>43868</v>
      </c>
      <c r="B725">
        <v>1.1820000000000001E-3</v>
      </c>
      <c r="C725">
        <v>1.204E-3</v>
      </c>
      <c r="D725">
        <v>1.1659999999999999E-3</v>
      </c>
      <c r="E725">
        <v>1.178E-3</v>
      </c>
      <c r="F725">
        <v>178180.49</v>
      </c>
      <c r="G725">
        <v>0</v>
      </c>
      <c r="L725" t="s">
        <v>7</v>
      </c>
      <c r="M725" t="s">
        <v>7</v>
      </c>
      <c r="N725" t="s">
        <v>7</v>
      </c>
      <c r="P725">
        <f t="shared" si="999"/>
        <v>-0.36842105263157593</v>
      </c>
      <c r="Q725">
        <f t="shared" si="1000"/>
        <v>-65645.443684209982</v>
      </c>
      <c r="R725">
        <f t="shared" si="1001"/>
        <v>-3578136.4077659086</v>
      </c>
      <c r="S725">
        <f t="shared" si="1002"/>
        <v>-35.781364077659084</v>
      </c>
      <c r="T725">
        <f t="shared" si="1003"/>
        <v>-3.5781364077659084E-2</v>
      </c>
    </row>
    <row r="726" spans="1:20" x14ac:dyDescent="0.25">
      <c r="A726" s="5">
        <v>43867</v>
      </c>
      <c r="B726">
        <v>1.2229999999999999E-3</v>
      </c>
      <c r="C726">
        <v>1.2279999999999999E-3</v>
      </c>
      <c r="D726">
        <v>1.1659999999999999E-3</v>
      </c>
      <c r="E726">
        <v>1.1820000000000001E-3</v>
      </c>
      <c r="F726">
        <v>232483.18</v>
      </c>
      <c r="G726">
        <v>0</v>
      </c>
      <c r="L726" t="s">
        <v>7</v>
      </c>
      <c r="M726" t="s">
        <v>7</v>
      </c>
      <c r="N726" t="s">
        <v>7</v>
      </c>
      <c r="P726">
        <f t="shared" si="999"/>
        <v>-0.48387096774192984</v>
      </c>
      <c r="Q726">
        <f t="shared" si="1000"/>
        <v>-112491.86129032126</v>
      </c>
      <c r="R726">
        <f t="shared" si="1001"/>
        <v>-3512490.9640816986</v>
      </c>
      <c r="S726">
        <f t="shared" si="1002"/>
        <v>-35.124909640816988</v>
      </c>
      <c r="T726">
        <f t="shared" si="1003"/>
        <v>-3.5124909640816986E-2</v>
      </c>
    </row>
    <row r="727" spans="1:20" x14ac:dyDescent="0.25">
      <c r="A727" s="5">
        <v>43866</v>
      </c>
      <c r="B727">
        <v>1.2210000000000001E-3</v>
      </c>
      <c r="C727">
        <v>1.299E-3</v>
      </c>
      <c r="D727">
        <v>1.1999999999999999E-3</v>
      </c>
      <c r="E727">
        <v>1.2229999999999999E-3</v>
      </c>
      <c r="F727">
        <v>318105.53999999998</v>
      </c>
      <c r="G727">
        <v>0</v>
      </c>
      <c r="L727" t="s">
        <v>7</v>
      </c>
      <c r="M727" t="s">
        <v>7</v>
      </c>
      <c r="N727" t="s">
        <v>7</v>
      </c>
      <c r="P727">
        <f t="shared" si="999"/>
        <v>-0.53535353535353558</v>
      </c>
      <c r="Q727">
        <f t="shared" si="1000"/>
        <v>-170298.9254545455</v>
      </c>
      <c r="R727">
        <f t="shared" si="1001"/>
        <v>-3399999.1027913773</v>
      </c>
      <c r="S727">
        <f t="shared" si="1002"/>
        <v>-33.999991027913772</v>
      </c>
      <c r="T727">
        <f t="shared" si="1003"/>
        <v>-3.3999991027913776E-2</v>
      </c>
    </row>
    <row r="728" spans="1:20" x14ac:dyDescent="0.25">
      <c r="A728" s="5">
        <v>43865</v>
      </c>
      <c r="B728">
        <v>1.281E-3</v>
      </c>
      <c r="C728">
        <v>1.328E-3</v>
      </c>
      <c r="D728">
        <v>1.1919999999999999E-3</v>
      </c>
      <c r="E728">
        <v>1.2210000000000001E-3</v>
      </c>
      <c r="F728">
        <v>169707.04</v>
      </c>
      <c r="G728">
        <v>0</v>
      </c>
      <c r="L728" t="s">
        <v>8</v>
      </c>
      <c r="M728" t="s">
        <v>7</v>
      </c>
      <c r="N728" t="s">
        <v>7</v>
      </c>
      <c r="P728">
        <f t="shared" si="999"/>
        <v>-0.57352941176470362</v>
      </c>
      <c r="Q728">
        <f t="shared" si="1000"/>
        <v>-97331.978823529033</v>
      </c>
      <c r="R728">
        <f t="shared" si="1001"/>
        <v>-3229700.177336832</v>
      </c>
      <c r="S728">
        <f t="shared" si="1002"/>
        <v>-32.297001773368322</v>
      </c>
      <c r="T728">
        <f t="shared" si="1003"/>
        <v>-3.229700177336832E-2</v>
      </c>
    </row>
    <row r="729" spans="1:20" x14ac:dyDescent="0.25">
      <c r="A729" s="5">
        <v>43864</v>
      </c>
      <c r="B729">
        <v>1.155E-3</v>
      </c>
      <c r="C729">
        <v>1.312E-3</v>
      </c>
      <c r="D729">
        <v>1.145E-3</v>
      </c>
      <c r="E729">
        <v>1.281E-3</v>
      </c>
      <c r="F729">
        <v>211401.44</v>
      </c>
      <c r="G729">
        <v>0</v>
      </c>
      <c r="L729" t="s">
        <v>8</v>
      </c>
      <c r="M729" t="s">
        <v>7</v>
      </c>
      <c r="N729" t="s">
        <v>7</v>
      </c>
      <c r="P729">
        <f t="shared" si="999"/>
        <v>0.62874251497006006</v>
      </c>
      <c r="Q729">
        <f t="shared" si="1000"/>
        <v>132917.07305389227</v>
      </c>
      <c r="R729">
        <f t="shared" si="1001"/>
        <v>-3132368.198513303</v>
      </c>
      <c r="S729">
        <f t="shared" si="1002"/>
        <v>-31.323681985133028</v>
      </c>
      <c r="T729">
        <f t="shared" si="1003"/>
        <v>-3.132368198513303E-2</v>
      </c>
    </row>
    <row r="730" spans="1:20" x14ac:dyDescent="0.25">
      <c r="A730" s="5">
        <v>43863</v>
      </c>
      <c r="B730">
        <v>1.1689999999999999E-3</v>
      </c>
      <c r="C730">
        <v>1.1869999999999999E-3</v>
      </c>
      <c r="D730">
        <v>1.1460000000000001E-3</v>
      </c>
      <c r="E730">
        <v>1.1529999999999999E-3</v>
      </c>
      <c r="F730">
        <v>103339.57</v>
      </c>
      <c r="G730">
        <v>0</v>
      </c>
      <c r="L730" t="s">
        <v>7</v>
      </c>
      <c r="M730" t="s">
        <v>7</v>
      </c>
      <c r="N730" t="s">
        <v>7</v>
      </c>
      <c r="P730">
        <f t="shared" si="999"/>
        <v>-0.65853658536585957</v>
      </c>
      <c r="Q730">
        <f t="shared" si="1000"/>
        <v>-68052.887560976233</v>
      </c>
      <c r="R730">
        <f t="shared" si="1001"/>
        <v>-3265285.2715671952</v>
      </c>
      <c r="S730">
        <f t="shared" si="1002"/>
        <v>-32.652852715671955</v>
      </c>
      <c r="T730">
        <f t="shared" si="1003"/>
        <v>-3.2652852715671955E-2</v>
      </c>
    </row>
    <row r="731" spans="1:20" x14ac:dyDescent="0.25">
      <c r="A731" s="5">
        <v>43862</v>
      </c>
      <c r="B731">
        <v>1.1720000000000001E-3</v>
      </c>
      <c r="C731">
        <v>1.201E-3</v>
      </c>
      <c r="D731">
        <v>1.1509999999999999E-3</v>
      </c>
      <c r="E731">
        <v>1.17E-3</v>
      </c>
      <c r="F731">
        <v>83679.55</v>
      </c>
      <c r="G731">
        <v>0</v>
      </c>
      <c r="L731" t="s">
        <v>7</v>
      </c>
      <c r="M731" t="s">
        <v>7</v>
      </c>
      <c r="N731" t="s">
        <v>7</v>
      </c>
      <c r="P731">
        <f t="shared" si="999"/>
        <v>-0.23999999999999652</v>
      </c>
      <c r="Q731">
        <f t="shared" si="1000"/>
        <v>-20083.09199999971</v>
      </c>
      <c r="R731">
        <f t="shared" si="1001"/>
        <v>-3197232.384006219</v>
      </c>
      <c r="S731">
        <f t="shared" si="1002"/>
        <v>-31.972323840062188</v>
      </c>
      <c r="T731">
        <f t="shared" si="1003"/>
        <v>-3.197232384006219E-2</v>
      </c>
    </row>
    <row r="732" spans="1:20" x14ac:dyDescent="0.25">
      <c r="A732" s="5">
        <v>43861</v>
      </c>
      <c r="B732">
        <v>1.2049999999999999E-3</v>
      </c>
      <c r="C732">
        <v>1.219E-3</v>
      </c>
      <c r="D732">
        <v>1.1529999999999999E-3</v>
      </c>
      <c r="E732">
        <v>1.1709999999999999E-3</v>
      </c>
      <c r="F732">
        <v>109282.34</v>
      </c>
      <c r="G732">
        <v>0</v>
      </c>
      <c r="L732" t="s">
        <v>7</v>
      </c>
      <c r="M732" t="s">
        <v>7</v>
      </c>
      <c r="N732" t="s">
        <v>7</v>
      </c>
      <c r="P732">
        <f t="shared" si="999"/>
        <v>-0.45454545454545514</v>
      </c>
      <c r="Q732">
        <f t="shared" si="1000"/>
        <v>-49673.790909090974</v>
      </c>
      <c r="R732">
        <f t="shared" si="1001"/>
        <v>-3177149.2920062193</v>
      </c>
      <c r="S732">
        <f t="shared" si="1002"/>
        <v>-31.771492920062194</v>
      </c>
      <c r="T732">
        <f t="shared" si="1003"/>
        <v>-3.1771492920062192E-2</v>
      </c>
    </row>
    <row r="733" spans="1:20" x14ac:dyDescent="0.25">
      <c r="A733" s="5">
        <v>43860</v>
      </c>
      <c r="B733">
        <v>1.2149999999999999E-3</v>
      </c>
      <c r="C733">
        <v>1.25E-3</v>
      </c>
      <c r="D733">
        <v>1.191E-3</v>
      </c>
      <c r="E733">
        <v>1.204E-3</v>
      </c>
      <c r="F733">
        <v>127284.03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-0.55932203389830559</v>
      </c>
      <c r="Q733">
        <f t="shared" si="1000"/>
        <v>-71192.762542372948</v>
      </c>
      <c r="R733">
        <f t="shared" si="1001"/>
        <v>-3127475.5010971283</v>
      </c>
      <c r="S733">
        <f t="shared" si="1002"/>
        <v>-31.274755010971283</v>
      </c>
      <c r="T733">
        <f t="shared" si="1003"/>
        <v>-3.1274755010971281E-2</v>
      </c>
    </row>
    <row r="734" spans="1:20" x14ac:dyDescent="0.25">
      <c r="A734" s="5">
        <v>43859</v>
      </c>
      <c r="B734">
        <v>1.2149999999999999E-3</v>
      </c>
      <c r="C734">
        <v>1.2780000000000001E-3</v>
      </c>
      <c r="D734">
        <v>1.2019999999999999E-3</v>
      </c>
      <c r="E734">
        <v>1.212E-3</v>
      </c>
      <c r="F734">
        <v>188715.29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-0.73684210526315763</v>
      </c>
      <c r="Q734">
        <f t="shared" si="1000"/>
        <v>-139053.37157894732</v>
      </c>
      <c r="R734">
        <f t="shared" si="1001"/>
        <v>-3056282.7385547552</v>
      </c>
      <c r="S734">
        <f t="shared" si="1002"/>
        <v>-30.562827385547553</v>
      </c>
      <c r="T734">
        <f t="shared" si="1003"/>
        <v>-3.0562827385547553E-2</v>
      </c>
    </row>
    <row r="735" spans="1:20" x14ac:dyDescent="0.25">
      <c r="A735" s="5">
        <v>43858</v>
      </c>
      <c r="B735">
        <v>1.307E-3</v>
      </c>
      <c r="C735">
        <v>1.354E-3</v>
      </c>
      <c r="D735">
        <v>1.201E-3</v>
      </c>
      <c r="E735">
        <v>1.214E-3</v>
      </c>
      <c r="F735">
        <v>271613.89</v>
      </c>
      <c r="G735">
        <v>0</v>
      </c>
      <c r="L735" t="s">
        <v>7</v>
      </c>
      <c r="M735" t="s">
        <v>7</v>
      </c>
      <c r="N735" t="s">
        <v>7</v>
      </c>
      <c r="P735">
        <f t="shared" si="999"/>
        <v>-0.83006535947712423</v>
      </c>
      <c r="Q735">
        <f t="shared" si="1000"/>
        <v>-225457.28124183009</v>
      </c>
      <c r="R735">
        <f t="shared" si="1001"/>
        <v>-2917229.3669758081</v>
      </c>
      <c r="S735">
        <f t="shared" si="1002"/>
        <v>-29.17229366975808</v>
      </c>
      <c r="T735">
        <f t="shared" si="1003"/>
        <v>-2.9172293669758081E-2</v>
      </c>
    </row>
    <row r="736" spans="1:20" x14ac:dyDescent="0.25">
      <c r="A736" s="5">
        <v>43857</v>
      </c>
      <c r="B736">
        <v>1.3129999999999999E-3</v>
      </c>
      <c r="C736">
        <v>1.4649999999999999E-3</v>
      </c>
      <c r="D736">
        <v>1.2819999999999999E-3</v>
      </c>
      <c r="E736">
        <v>1.3090000000000001E-3</v>
      </c>
      <c r="F736">
        <v>590573.4</v>
      </c>
      <c r="G736">
        <v>0</v>
      </c>
      <c r="L736" t="s">
        <v>7</v>
      </c>
      <c r="M736" t="s">
        <v>8</v>
      </c>
      <c r="N736" t="s">
        <v>7</v>
      </c>
      <c r="P736">
        <f t="shared" si="999"/>
        <v>-0.70491803278688403</v>
      </c>
      <c r="Q736">
        <f t="shared" si="1000"/>
        <v>-416305.83934426162</v>
      </c>
      <c r="R736">
        <f t="shared" si="1001"/>
        <v>-2691772.0857339781</v>
      </c>
      <c r="S736">
        <f t="shared" si="1002"/>
        <v>-26.917720857339781</v>
      </c>
      <c r="T736">
        <f t="shared" si="1003"/>
        <v>-2.6917720857339782E-2</v>
      </c>
    </row>
    <row r="737" spans="1:20" x14ac:dyDescent="0.25">
      <c r="A737" s="5">
        <v>43856</v>
      </c>
      <c r="B737">
        <v>1.2019999999999999E-3</v>
      </c>
      <c r="C737">
        <v>1.488E-3</v>
      </c>
      <c r="D737">
        <v>1.199E-3</v>
      </c>
      <c r="E737">
        <v>1.3190000000000001E-3</v>
      </c>
      <c r="F737">
        <v>488491.8</v>
      </c>
      <c r="G737">
        <v>0</v>
      </c>
      <c r="L737" t="s">
        <v>8</v>
      </c>
      <c r="M737" t="s">
        <v>8</v>
      </c>
      <c r="N737" t="s">
        <v>7</v>
      </c>
      <c r="P737">
        <f t="shared" si="999"/>
        <v>-0.16955017301037989</v>
      </c>
      <c r="Q737">
        <f t="shared" si="1000"/>
        <v>-82823.869204151895</v>
      </c>
      <c r="R737">
        <f t="shared" si="1001"/>
        <v>-2275466.2463897164</v>
      </c>
      <c r="S737">
        <f t="shared" si="1002"/>
        <v>-22.754662463897166</v>
      </c>
      <c r="T737">
        <f t="shared" si="1003"/>
        <v>-2.2754662463897166E-2</v>
      </c>
    </row>
    <row r="738" spans="1:20" x14ac:dyDescent="0.25">
      <c r="A738" s="5">
        <v>43855</v>
      </c>
      <c r="B738">
        <v>1.181E-3</v>
      </c>
      <c r="C738">
        <v>1.2489999999999999E-3</v>
      </c>
      <c r="D738">
        <v>1.155E-3</v>
      </c>
      <c r="E738">
        <v>1.204E-3</v>
      </c>
      <c r="F738">
        <v>158403.64000000001</v>
      </c>
      <c r="G738">
        <v>0</v>
      </c>
      <c r="L738" t="s">
        <v>8</v>
      </c>
      <c r="M738" t="s">
        <v>7</v>
      </c>
      <c r="N738" t="s">
        <v>7</v>
      </c>
      <c r="P738">
        <f t="shared" si="999"/>
        <v>4.2553191489362784E-2</v>
      </c>
      <c r="Q738">
        <f t="shared" si="1000"/>
        <v>6740.5804255320863</v>
      </c>
      <c r="R738">
        <f t="shared" si="1001"/>
        <v>-2192642.3771855645</v>
      </c>
      <c r="S738">
        <f t="shared" si="1002"/>
        <v>-21.926423771855646</v>
      </c>
      <c r="T738">
        <f t="shared" si="1003"/>
        <v>-2.1926423771855646E-2</v>
      </c>
    </row>
    <row r="739" spans="1:20" x14ac:dyDescent="0.25">
      <c r="A739" s="5">
        <v>43854</v>
      </c>
      <c r="B739">
        <v>1.1659999999999999E-3</v>
      </c>
      <c r="C739">
        <v>1.2099999999999999E-3</v>
      </c>
      <c r="D739">
        <v>1.1000000000000001E-3</v>
      </c>
      <c r="E739">
        <v>1.1820000000000001E-3</v>
      </c>
      <c r="F739">
        <v>167469.76000000001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0.49090909090909363</v>
      </c>
      <c r="Q739">
        <f t="shared" si="1000"/>
        <v>82212.427636364097</v>
      </c>
      <c r="R739">
        <f t="shared" si="1001"/>
        <v>-2199382.9576110966</v>
      </c>
      <c r="S739">
        <f t="shared" si="1002"/>
        <v>-21.993829576110965</v>
      </c>
      <c r="T739">
        <f t="shared" si="1003"/>
        <v>-2.1993829576110964E-2</v>
      </c>
    </row>
    <row r="740" spans="1:20" x14ac:dyDescent="0.25">
      <c r="A740" s="5">
        <v>43853</v>
      </c>
      <c r="B740">
        <v>1.2459999999999999E-3</v>
      </c>
      <c r="C740">
        <v>1.2520000000000001E-3</v>
      </c>
      <c r="D740">
        <v>1.1460000000000001E-3</v>
      </c>
      <c r="E740">
        <v>1.163E-3</v>
      </c>
      <c r="F740">
        <v>131510.91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-0.67924528301887033</v>
      </c>
      <c r="Q740">
        <f t="shared" si="1000"/>
        <v>-89328.165283019189</v>
      </c>
      <c r="R740">
        <f t="shared" si="1001"/>
        <v>-2281595.3852474606</v>
      </c>
      <c r="S740">
        <f t="shared" si="1002"/>
        <v>-22.815953852474607</v>
      </c>
      <c r="T740">
        <f t="shared" si="1003"/>
        <v>-2.2815953852474608E-2</v>
      </c>
    </row>
    <row r="741" spans="1:20" x14ac:dyDescent="0.25">
      <c r="A741" s="5">
        <v>43852</v>
      </c>
      <c r="B741">
        <v>1.2880000000000001E-3</v>
      </c>
      <c r="C741">
        <v>1.32E-3</v>
      </c>
      <c r="D741">
        <v>1.2279999999999999E-3</v>
      </c>
      <c r="E741">
        <v>1.2509999999999999E-3</v>
      </c>
      <c r="F741">
        <v>120634.97</v>
      </c>
      <c r="G741">
        <v>0</v>
      </c>
      <c r="L741" t="s">
        <v>7</v>
      </c>
      <c r="M741" t="s">
        <v>8</v>
      </c>
      <c r="N741" t="s">
        <v>7</v>
      </c>
      <c r="P741">
        <f t="shared" si="999"/>
        <v>-0.5</v>
      </c>
      <c r="Q741">
        <f t="shared" si="1000"/>
        <v>-60317.485000000001</v>
      </c>
      <c r="R741">
        <f t="shared" si="1001"/>
        <v>-2192267.2199644414</v>
      </c>
      <c r="S741">
        <f t="shared" si="1002"/>
        <v>-21.922672199644413</v>
      </c>
      <c r="T741">
        <f t="shared" si="1003"/>
        <v>-2.1922672199644413E-2</v>
      </c>
    </row>
    <row r="742" spans="1:20" x14ac:dyDescent="0.25">
      <c r="A742" s="5">
        <v>43851</v>
      </c>
      <c r="B742">
        <v>1.3339999999999999E-3</v>
      </c>
      <c r="C742">
        <v>1.379E-3</v>
      </c>
      <c r="D742">
        <v>1.253E-3</v>
      </c>
      <c r="E742">
        <v>1.2880000000000001E-3</v>
      </c>
      <c r="F742">
        <v>235112.66</v>
      </c>
      <c r="G742">
        <v>0</v>
      </c>
      <c r="L742" t="s">
        <v>7</v>
      </c>
      <c r="M742" t="s">
        <v>8</v>
      </c>
      <c r="N742" t="s">
        <v>7</v>
      </c>
      <c r="P742">
        <f t="shared" si="999"/>
        <v>-0.44444444444444309</v>
      </c>
      <c r="Q742">
        <f t="shared" si="1000"/>
        <v>-104494.51555555523</v>
      </c>
      <c r="R742">
        <f t="shared" si="1001"/>
        <v>-2131949.7349644415</v>
      </c>
      <c r="S742">
        <f t="shared" si="1002"/>
        <v>-21.319497349644415</v>
      </c>
      <c r="T742">
        <f t="shared" si="1003"/>
        <v>-2.1319497349644414E-2</v>
      </c>
    </row>
    <row r="743" spans="1:20" x14ac:dyDescent="0.25">
      <c r="A743" s="5">
        <v>43850</v>
      </c>
      <c r="B743">
        <v>1.2620000000000001E-3</v>
      </c>
      <c r="C743">
        <v>1.4189999999999999E-3</v>
      </c>
      <c r="D743">
        <v>1.1720000000000001E-3</v>
      </c>
      <c r="E743">
        <v>1.3320000000000001E-3</v>
      </c>
      <c r="F743">
        <v>303764.09000000003</v>
      </c>
      <c r="G743">
        <v>0</v>
      </c>
      <c r="L743" t="s">
        <v>8</v>
      </c>
      <c r="M743" t="s">
        <v>8</v>
      </c>
      <c r="N743" t="s">
        <v>7</v>
      </c>
      <c r="P743">
        <f t="shared" si="999"/>
        <v>0.29554655870445423</v>
      </c>
      <c r="Q743">
        <f t="shared" si="1000"/>
        <v>89776.431457490122</v>
      </c>
      <c r="R743">
        <f t="shared" si="1001"/>
        <v>-2027455.2194088865</v>
      </c>
      <c r="S743">
        <f t="shared" si="1002"/>
        <v>-20.274552194088866</v>
      </c>
      <c r="T743">
        <f t="shared" si="1003"/>
        <v>-2.0274552194088864E-2</v>
      </c>
    </row>
    <row r="744" spans="1:20" x14ac:dyDescent="0.25">
      <c r="A744" s="5">
        <v>43849</v>
      </c>
      <c r="B744">
        <v>1.258E-3</v>
      </c>
      <c r="C744">
        <v>1.3489999999999999E-3</v>
      </c>
      <c r="D744">
        <v>1.158E-3</v>
      </c>
      <c r="E744">
        <v>1.2620000000000001E-3</v>
      </c>
      <c r="F744">
        <v>309078.96999999997</v>
      </c>
      <c r="G744">
        <v>0</v>
      </c>
      <c r="L744" t="s">
        <v>7</v>
      </c>
      <c r="M744" t="s">
        <v>7</v>
      </c>
      <c r="N744" t="s">
        <v>7</v>
      </c>
      <c r="P744">
        <f t="shared" si="999"/>
        <v>8.9005235602095847E-2</v>
      </c>
      <c r="Q744">
        <f t="shared" si="1000"/>
        <v>27509.646544503114</v>
      </c>
      <c r="R744">
        <f t="shared" si="1001"/>
        <v>-2117231.6508663767</v>
      </c>
      <c r="S744">
        <f t="shared" si="1002"/>
        <v>-21.172316508663766</v>
      </c>
      <c r="T744">
        <f t="shared" si="1003"/>
        <v>-2.1172316508663767E-2</v>
      </c>
    </row>
    <row r="745" spans="1:20" x14ac:dyDescent="0.25">
      <c r="A745" s="5">
        <v>43848</v>
      </c>
      <c r="B745">
        <v>1.4059999999999999E-3</v>
      </c>
      <c r="C745">
        <v>1.5089999999999999E-3</v>
      </c>
      <c r="D745">
        <v>1.1999999999999999E-3</v>
      </c>
      <c r="E745">
        <v>1.2589999999999999E-3</v>
      </c>
      <c r="F745">
        <v>327415.77</v>
      </c>
      <c r="G745">
        <v>0</v>
      </c>
      <c r="L745" t="s">
        <v>7</v>
      </c>
      <c r="M745" t="s">
        <v>7</v>
      </c>
      <c r="N745" t="s">
        <v>7</v>
      </c>
      <c r="P745">
        <f t="shared" si="999"/>
        <v>-0.61812297734627819</v>
      </c>
      <c r="Q745">
        <f t="shared" si="1000"/>
        <v>-202383.21058252425</v>
      </c>
      <c r="R745">
        <f t="shared" si="1001"/>
        <v>-2144741.2974108797</v>
      </c>
      <c r="S745">
        <f t="shared" si="1002"/>
        <v>-21.447412974108797</v>
      </c>
      <c r="T745">
        <f t="shared" si="1003"/>
        <v>-2.1447412974108796E-2</v>
      </c>
    </row>
    <row r="746" spans="1:20" x14ac:dyDescent="0.25">
      <c r="A746" s="5">
        <v>43847</v>
      </c>
      <c r="B746">
        <v>1.505E-3</v>
      </c>
      <c r="C746">
        <v>1.5499999999999999E-3</v>
      </c>
      <c r="D746">
        <v>1.3550000000000001E-3</v>
      </c>
      <c r="E746">
        <v>1.41E-3</v>
      </c>
      <c r="F746">
        <v>493817.14</v>
      </c>
      <c r="G746">
        <v>0</v>
      </c>
      <c r="L746" t="s">
        <v>8</v>
      </c>
      <c r="M746" t="s">
        <v>8</v>
      </c>
      <c r="N746" t="s">
        <v>7</v>
      </c>
      <c r="P746">
        <f t="shared" si="999"/>
        <v>-0.43589743589743624</v>
      </c>
      <c r="Q746">
        <f t="shared" si="1000"/>
        <v>-215253.62512820531</v>
      </c>
      <c r="R746">
        <f t="shared" si="1001"/>
        <v>-1942358.0868283557</v>
      </c>
      <c r="S746">
        <f t="shared" si="1002"/>
        <v>-19.423580868283558</v>
      </c>
      <c r="T746">
        <f t="shared" si="1003"/>
        <v>-1.9423580868283559E-2</v>
      </c>
    </row>
    <row r="747" spans="1:20" x14ac:dyDescent="0.25">
      <c r="A747" s="5">
        <v>43846</v>
      </c>
      <c r="B747">
        <v>1.6930000000000001E-3</v>
      </c>
      <c r="C747">
        <v>1.774E-3</v>
      </c>
      <c r="D747">
        <v>1.304E-3</v>
      </c>
      <c r="E747">
        <v>1.505E-3</v>
      </c>
      <c r="F747">
        <v>1055923.1100000001</v>
      </c>
      <c r="G747">
        <v>0</v>
      </c>
      <c r="L747" t="s">
        <v>7</v>
      </c>
      <c r="M747" t="s">
        <v>7</v>
      </c>
      <c r="N747" t="s">
        <v>7</v>
      </c>
      <c r="P747">
        <f t="shared" si="999"/>
        <v>-0.14468085106382964</v>
      </c>
      <c r="Q747">
        <f t="shared" si="1000"/>
        <v>-152771.85421276581</v>
      </c>
      <c r="R747">
        <f t="shared" si="1001"/>
        <v>-1727104.4617001503</v>
      </c>
      <c r="S747">
        <f t="shared" si="1002"/>
        <v>-17.271044617001504</v>
      </c>
      <c r="T747">
        <f t="shared" si="1003"/>
        <v>-1.7271044617001505E-2</v>
      </c>
    </row>
    <row r="748" spans="1:20" x14ac:dyDescent="0.25">
      <c r="A748" s="5">
        <v>43845</v>
      </c>
      <c r="B748">
        <v>1.6230000000000001E-3</v>
      </c>
      <c r="C748">
        <v>3.1549999999999998E-3</v>
      </c>
      <c r="D748">
        <v>1.4530000000000001E-3</v>
      </c>
      <c r="E748">
        <v>1.6869999999999999E-3</v>
      </c>
      <c r="F748">
        <v>2728919.15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-0.72502937720329041</v>
      </c>
      <c r="Q748">
        <f t="shared" si="1000"/>
        <v>-1978546.5517626326</v>
      </c>
      <c r="R748">
        <f t="shared" si="1001"/>
        <v>-1574332.6074873845</v>
      </c>
      <c r="S748">
        <f t="shared" si="1002"/>
        <v>-15.743326074873845</v>
      </c>
      <c r="T748">
        <f t="shared" si="1003"/>
        <v>-1.5743326074873845E-2</v>
      </c>
    </row>
    <row r="749" spans="1:20" x14ac:dyDescent="0.25">
      <c r="A749" s="5">
        <v>43844</v>
      </c>
      <c r="B749">
        <v>8.61E-4</v>
      </c>
      <c r="C749">
        <v>1.851E-3</v>
      </c>
      <c r="D749">
        <v>8.5300000000000003E-4</v>
      </c>
      <c r="E749">
        <v>1.632E-3</v>
      </c>
      <c r="F749">
        <v>613463.88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0.56112224448897796</v>
      </c>
      <c r="Q749">
        <f t="shared" si="1000"/>
        <v>344228.22925851704</v>
      </c>
      <c r="R749">
        <f t="shared" si="1001"/>
        <v>404213.94427524804</v>
      </c>
      <c r="S749">
        <f t="shared" si="1002"/>
        <v>4.0421394427524806</v>
      </c>
      <c r="T749">
        <f t="shared" si="1003"/>
        <v>4.0421394427524807E-3</v>
      </c>
    </row>
    <row r="750" spans="1:20" x14ac:dyDescent="0.25">
      <c r="A750" s="5">
        <v>43843</v>
      </c>
      <c r="B750">
        <v>8.2899999999999998E-4</v>
      </c>
      <c r="C750">
        <v>8.6200000000000003E-4</v>
      </c>
      <c r="D750">
        <v>8.1800000000000004E-4</v>
      </c>
      <c r="E750">
        <v>8.61E-4</v>
      </c>
      <c r="F750">
        <v>33886.68</v>
      </c>
      <c r="G750">
        <v>0</v>
      </c>
      <c r="L750" t="s">
        <v>8</v>
      </c>
      <c r="M750" t="s">
        <v>8</v>
      </c>
      <c r="N750" t="s">
        <v>7</v>
      </c>
      <c r="P750">
        <f t="shared" si="999"/>
        <v>0.95454545454545348</v>
      </c>
      <c r="Q750">
        <f t="shared" si="1000"/>
        <v>32346.376363636329</v>
      </c>
      <c r="R750">
        <f t="shared" si="1001"/>
        <v>59985.715016731025</v>
      </c>
      <c r="S750">
        <f t="shared" si="1002"/>
        <v>0.59985715016731023</v>
      </c>
      <c r="T750">
        <f t="shared" si="1003"/>
        <v>5.998571501673102E-4</v>
      </c>
    </row>
    <row r="751" spans="1:20" x14ac:dyDescent="0.25">
      <c r="A751" s="5">
        <v>43842</v>
      </c>
      <c r="B751">
        <v>8.0800000000000002E-4</v>
      </c>
      <c r="C751">
        <v>8.3600000000000005E-4</v>
      </c>
      <c r="D751">
        <v>7.8100000000000001E-4</v>
      </c>
      <c r="E751">
        <v>8.2899999999999998E-4</v>
      </c>
      <c r="F751">
        <v>52919.37</v>
      </c>
      <c r="G751">
        <v>0</v>
      </c>
      <c r="L751" t="s">
        <v>7</v>
      </c>
      <c r="M751" t="s">
        <v>8</v>
      </c>
      <c r="N751" t="s">
        <v>7</v>
      </c>
      <c r="P751">
        <f t="shared" si="999"/>
        <v>0.74545454545454337</v>
      </c>
      <c r="Q751">
        <f t="shared" si="1000"/>
        <v>39448.984909090803</v>
      </c>
      <c r="R751">
        <f t="shared" si="1001"/>
        <v>27639.338653094695</v>
      </c>
      <c r="S751">
        <f t="shared" si="1002"/>
        <v>0.27639338653094697</v>
      </c>
      <c r="T751">
        <f t="shared" si="1003"/>
        <v>2.7639338653094695E-4</v>
      </c>
    </row>
    <row r="752" spans="1:20" x14ac:dyDescent="0.25">
      <c r="A752" s="5">
        <v>43841</v>
      </c>
      <c r="B752">
        <v>7.6800000000000002E-4</v>
      </c>
      <c r="C752">
        <v>8.4400000000000002E-4</v>
      </c>
      <c r="D752">
        <v>7.6800000000000002E-4</v>
      </c>
      <c r="E752">
        <v>8.0699999999999999E-4</v>
      </c>
      <c r="F752">
        <v>123698.25</v>
      </c>
      <c r="G752">
        <v>0</v>
      </c>
      <c r="L752" t="s">
        <v>8</v>
      </c>
      <c r="M752" t="s">
        <v>8</v>
      </c>
      <c r="N752" t="s">
        <v>7</v>
      </c>
      <c r="P752">
        <f t="shared" si="999"/>
        <v>2.6315789473683422E-2</v>
      </c>
      <c r="Q752">
        <f t="shared" si="1000"/>
        <v>3255.2171052630601</v>
      </c>
      <c r="R752">
        <f t="shared" si="1001"/>
        <v>-11809.646255996106</v>
      </c>
      <c r="S752">
        <f t="shared" si="1002"/>
        <v>-0.11809646255996105</v>
      </c>
      <c r="T752">
        <f t="shared" si="1003"/>
        <v>-1.1809646255996105E-4</v>
      </c>
    </row>
    <row r="753" spans="1:20" x14ac:dyDescent="0.25">
      <c r="A753" s="5">
        <v>43840</v>
      </c>
      <c r="B753">
        <v>7.4200000000000004E-4</v>
      </c>
      <c r="C753">
        <v>7.7899999999999996E-4</v>
      </c>
      <c r="D753">
        <v>7.1900000000000002E-4</v>
      </c>
      <c r="E753">
        <v>7.6800000000000002E-4</v>
      </c>
      <c r="F753">
        <v>66831.8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0.63333333333333486</v>
      </c>
      <c r="Q753">
        <f t="shared" si="1000"/>
        <v>42326.806666666773</v>
      </c>
      <c r="R753">
        <f t="shared" si="1001"/>
        <v>-15064.863361259166</v>
      </c>
      <c r="S753">
        <f t="shared" si="1002"/>
        <v>-0.15064863361259165</v>
      </c>
      <c r="T753">
        <f t="shared" si="1003"/>
        <v>-1.5064863361259165E-4</v>
      </c>
    </row>
    <row r="754" spans="1:20" x14ac:dyDescent="0.25">
      <c r="A754" s="5">
        <v>43839</v>
      </c>
      <c r="B754">
        <v>7.7399999999999995E-4</v>
      </c>
      <c r="C754">
        <v>7.8100000000000001E-4</v>
      </c>
      <c r="D754">
        <v>7.2599999999999997E-4</v>
      </c>
      <c r="E754">
        <v>7.3999999999999999E-4</v>
      </c>
      <c r="F754">
        <v>78470.78</v>
      </c>
      <c r="G754">
        <v>0</v>
      </c>
      <c r="L754" t="s">
        <v>8</v>
      </c>
      <c r="M754" t="s">
        <v>8</v>
      </c>
      <c r="N754" t="s">
        <v>7</v>
      </c>
      <c r="P754">
        <f t="shared" si="999"/>
        <v>-0.49090909090909068</v>
      </c>
      <c r="Q754">
        <f t="shared" si="1000"/>
        <v>-38522.019272727252</v>
      </c>
      <c r="R754">
        <f t="shared" si="1001"/>
        <v>-57391.670027925938</v>
      </c>
      <c r="S754">
        <f t="shared" si="1002"/>
        <v>-0.57391670027925934</v>
      </c>
      <c r="T754">
        <f t="shared" si="1003"/>
        <v>-5.7391670027925933E-4</v>
      </c>
    </row>
    <row r="755" spans="1:20" x14ac:dyDescent="0.25">
      <c r="A755" s="5">
        <v>43838</v>
      </c>
      <c r="B755">
        <v>7.2400000000000003E-4</v>
      </c>
      <c r="C755">
        <v>8.4800000000000001E-4</v>
      </c>
      <c r="D755">
        <v>7.0600000000000003E-4</v>
      </c>
      <c r="E755">
        <v>7.76E-4</v>
      </c>
      <c r="F755">
        <v>181701.77</v>
      </c>
      <c r="G755">
        <v>0</v>
      </c>
      <c r="L755" t="s">
        <v>7</v>
      </c>
      <c r="M755" t="s">
        <v>8</v>
      </c>
      <c r="N755" t="s">
        <v>7</v>
      </c>
      <c r="P755">
        <f t="shared" si="999"/>
        <v>-1.4084507042253865E-2</v>
      </c>
      <c r="Q755">
        <f t="shared" si="1000"/>
        <v>-2559.1798591549918</v>
      </c>
      <c r="R755">
        <f t="shared" si="1001"/>
        <v>-18869.650755198683</v>
      </c>
      <c r="S755">
        <f t="shared" si="1002"/>
        <v>-0.18869650755198683</v>
      </c>
      <c r="T755">
        <f t="shared" si="1003"/>
        <v>-1.8869650755198682E-4</v>
      </c>
    </row>
    <row r="756" spans="1:20" x14ac:dyDescent="0.25">
      <c r="A756" s="5">
        <v>43837</v>
      </c>
      <c r="B756">
        <v>7.4600000000000003E-4</v>
      </c>
      <c r="C756">
        <v>7.5500000000000003E-4</v>
      </c>
      <c r="D756">
        <v>7.2199999999999999E-4</v>
      </c>
      <c r="E756">
        <v>7.2499999999999995E-4</v>
      </c>
      <c r="F756">
        <v>36723.56</v>
      </c>
      <c r="G756">
        <v>0</v>
      </c>
      <c r="L756" t="s">
        <v>8</v>
      </c>
      <c r="M756" t="s">
        <v>7</v>
      </c>
      <c r="N756" t="s">
        <v>7</v>
      </c>
      <c r="P756">
        <f t="shared" si="999"/>
        <v>-0.81818181818182056</v>
      </c>
      <c r="Q756">
        <f t="shared" si="1000"/>
        <v>-30046.549090909175</v>
      </c>
      <c r="R756">
        <f t="shared" si="1001"/>
        <v>-16310.470896043693</v>
      </c>
      <c r="S756">
        <f t="shared" si="1002"/>
        <v>-0.16310470896043694</v>
      </c>
      <c r="T756">
        <f t="shared" si="1003"/>
        <v>-1.6310470896043695E-4</v>
      </c>
    </row>
    <row r="757" spans="1:20" x14ac:dyDescent="0.25">
      <c r="A757" s="5">
        <v>43836</v>
      </c>
      <c r="B757">
        <v>7.3300000000000004E-4</v>
      </c>
      <c r="C757">
        <v>7.4700000000000005E-4</v>
      </c>
      <c r="D757">
        <v>7.1500000000000003E-4</v>
      </c>
      <c r="E757">
        <v>7.4399999999999998E-4</v>
      </c>
      <c r="F757">
        <v>30835.21</v>
      </c>
      <c r="G757">
        <v>0</v>
      </c>
      <c r="L757" t="s">
        <v>7</v>
      </c>
      <c r="M757" t="s">
        <v>7</v>
      </c>
      <c r="N757" t="s">
        <v>7</v>
      </c>
      <c r="P757">
        <f t="shared" si="999"/>
        <v>0.81249999999999556</v>
      </c>
      <c r="Q757">
        <f t="shared" si="1000"/>
        <v>25053.608124999861</v>
      </c>
      <c r="R757">
        <f t="shared" si="1001"/>
        <v>13736.078194865482</v>
      </c>
      <c r="S757">
        <f t="shared" si="1002"/>
        <v>0.13736078194865481</v>
      </c>
      <c r="T757">
        <f t="shared" si="1003"/>
        <v>1.3736078194865481E-4</v>
      </c>
    </row>
    <row r="758" spans="1:20" x14ac:dyDescent="0.25">
      <c r="A758" s="5">
        <v>43835</v>
      </c>
      <c r="B758">
        <v>7.2999999999999996E-4</v>
      </c>
      <c r="C758">
        <v>7.4100000000000001E-4</v>
      </c>
      <c r="D758">
        <v>7.2099999999999996E-4</v>
      </c>
      <c r="E758">
        <v>7.3300000000000004E-4</v>
      </c>
      <c r="F758">
        <v>15364.58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0.20000000000000434</v>
      </c>
      <c r="Q758">
        <f t="shared" si="1000"/>
        <v>3072.9160000000666</v>
      </c>
      <c r="R758">
        <f t="shared" si="1001"/>
        <v>-11317.529930134378</v>
      </c>
      <c r="S758">
        <f t="shared" si="1002"/>
        <v>-0.11317529930134379</v>
      </c>
      <c r="T758">
        <f t="shared" si="1003"/>
        <v>-1.1317529930134379E-4</v>
      </c>
    </row>
    <row r="759" spans="1:20" x14ac:dyDescent="0.25">
      <c r="A759" s="5">
        <v>43834</v>
      </c>
      <c r="B759">
        <v>7.3300000000000004E-4</v>
      </c>
      <c r="C759">
        <v>7.3899999999999997E-4</v>
      </c>
      <c r="D759">
        <v>7.1699999999999997E-4</v>
      </c>
      <c r="E759">
        <v>7.2900000000000005E-4</v>
      </c>
      <c r="F759">
        <v>26295.97</v>
      </c>
      <c r="G759">
        <v>0</v>
      </c>
      <c r="L759" t="s">
        <v>7</v>
      </c>
      <c r="M759" t="s">
        <v>7</v>
      </c>
      <c r="N759" t="s">
        <v>7</v>
      </c>
      <c r="P759">
        <f t="shared" si="999"/>
        <v>9.0909090909098073E-2</v>
      </c>
      <c r="Q759">
        <f t="shared" si="1000"/>
        <v>2390.5427272729157</v>
      </c>
      <c r="R759">
        <f t="shared" si="1001"/>
        <v>-14390.445930134445</v>
      </c>
      <c r="S759">
        <f t="shared" si="1002"/>
        <v>-0.14390445930134446</v>
      </c>
      <c r="T759">
        <f t="shared" si="1003"/>
        <v>-1.4390445930134447E-4</v>
      </c>
    </row>
    <row r="760" spans="1:20" x14ac:dyDescent="0.25">
      <c r="A760" s="5">
        <v>43833</v>
      </c>
      <c r="B760">
        <v>7.3099999999999999E-4</v>
      </c>
      <c r="C760">
        <v>7.4700000000000005E-4</v>
      </c>
      <c r="D760">
        <v>7.2000000000000005E-4</v>
      </c>
      <c r="E760">
        <v>7.3300000000000004E-4</v>
      </c>
      <c r="F760">
        <v>25095.89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-3.703703703703793E-2</v>
      </c>
      <c r="Q760">
        <f t="shared" si="1000"/>
        <v>-929.47740740742984</v>
      </c>
      <c r="R760">
        <f t="shared" si="1001"/>
        <v>-16780.988657407361</v>
      </c>
      <c r="S760">
        <f t="shared" si="1002"/>
        <v>-0.16780988657407361</v>
      </c>
      <c r="T760">
        <f t="shared" si="1003"/>
        <v>-1.6780988657407361E-4</v>
      </c>
    </row>
    <row r="761" spans="1:20" x14ac:dyDescent="0.25">
      <c r="A761" s="5">
        <v>43832</v>
      </c>
      <c r="B761">
        <v>7.36E-4</v>
      </c>
      <c r="C761">
        <v>7.6099999999999996E-4</v>
      </c>
      <c r="D761">
        <v>7.2099999999999996E-4</v>
      </c>
      <c r="E761">
        <v>7.3099999999999999E-4</v>
      </c>
      <c r="F761">
        <v>22359.65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-0.49999999999999867</v>
      </c>
      <c r="Q761">
        <f t="shared" si="1000"/>
        <v>-11179.824999999972</v>
      </c>
      <c r="R761">
        <f t="shared" si="1001"/>
        <v>-15851.51124999993</v>
      </c>
      <c r="S761">
        <f t="shared" si="1002"/>
        <v>-0.15851511249999931</v>
      </c>
      <c r="T761">
        <f t="shared" si="1003"/>
        <v>-1.585151124999993E-4</v>
      </c>
    </row>
    <row r="762" spans="1:20" x14ac:dyDescent="0.25">
      <c r="A762" s="5">
        <v>43831</v>
      </c>
      <c r="B762">
        <v>7.3700000000000002E-4</v>
      </c>
      <c r="C762">
        <v>7.4899999999999999E-4</v>
      </c>
      <c r="D762">
        <v>7.3300000000000004E-4</v>
      </c>
      <c r="E762">
        <v>7.3800000000000005E-4</v>
      </c>
      <c r="F762">
        <v>12457.83</v>
      </c>
      <c r="G762">
        <v>0</v>
      </c>
      <c r="P762">
        <f t="shared" si="999"/>
        <v>-0.37499999999999661</v>
      </c>
      <c r="Q762">
        <f t="shared" si="1000"/>
        <v>-4671.6862499999579</v>
      </c>
      <c r="R762">
        <f t="shared" si="1001"/>
        <v>-4671.6862499999579</v>
      </c>
      <c r="S762">
        <f t="shared" si="1002"/>
        <v>-4.6716862499999581E-2</v>
      </c>
      <c r="T762">
        <f t="shared" si="1003"/>
        <v>-4.6716862499999581E-5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RP418" sqref="RP41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$A$417</v>
      </c>
      <c r="D111" s="1" t="str">
        <f>ADDRESS(C121-1,D121,1,1)</f>
        <v>$RP$417</v>
      </c>
      <c r="E111"/>
    </row>
    <row r="112" spans="1:5" x14ac:dyDescent="0.25">
      <c r="A112" s="7">
        <v>12164.144957890772</v>
      </c>
      <c r="C112" s="1" t="str">
        <f>ADDRESS(C121,1,1,1)</f>
        <v>$A$418</v>
      </c>
      <c r="D112" s="1" t="str">
        <f>ADDRESS(C121,D121-1,1,1)</f>
        <v>$RO$418</v>
      </c>
      <c r="E112"/>
    </row>
    <row r="113" spans="1:5" x14ac:dyDescent="0.25">
      <c r="A113" s="7">
        <v>11925.63231165762</v>
      </c>
      <c r="C113" s="1" t="str">
        <f>ADDRESS(C121+1,1,1,1)</f>
        <v>$A$419</v>
      </c>
      <c r="D113" s="1" t="str">
        <f>ADDRESS(C121-1,D121+1,1,1)</f>
        <v>$RQ$417</v>
      </c>
    </row>
    <row r="114" spans="1:5" x14ac:dyDescent="0.25">
      <c r="A114" s="7">
        <v>11691.796383978059</v>
      </c>
      <c r="C114" s="1" t="str">
        <f>ADDRESS(C121,D121,1,1)</f>
        <v>$RP$418</v>
      </c>
      <c r="D114" s="1" t="str">
        <f>ADDRESS(C121+1,D121+1,1,1)</f>
        <v>$RQ$419</v>
      </c>
    </row>
    <row r="115" spans="1:5" x14ac:dyDescent="0.25">
      <c r="A115" s="7">
        <v>11462.545474488292</v>
      </c>
      <c r="C115" s="1" t="str">
        <f>ADDRESS(C121+1,D121,1,1)</f>
        <v>$RP$419</v>
      </c>
    </row>
    <row r="116" spans="1:5" x14ac:dyDescent="0.25">
      <c r="A116" s="7">
        <v>11237.789680870874</v>
      </c>
      <c r="C116" s="1">
        <f>C117-1</f>
        <v>417</v>
      </c>
    </row>
    <row r="117" spans="1:5" x14ac:dyDescent="0.25">
      <c r="A117" s="7">
        <v>11017.440863598895</v>
      </c>
      <c r="C117" s="1">
        <f>C121</f>
        <v>418</v>
      </c>
      <c r="D117" s="1">
        <f>D121</f>
        <v>484</v>
      </c>
    </row>
    <row r="118" spans="1:5" x14ac:dyDescent="0.25">
      <c r="A118" s="7">
        <v>10801.412611371465</v>
      </c>
      <c r="C118" s="1">
        <f>C117+1</f>
        <v>419</v>
      </c>
      <c r="D118" s="1">
        <f>D117+1</f>
        <v>485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418</v>
      </c>
      <c r="D121" s="19">
        <v>484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R418</v>
      </c>
      <c r="D123" s="1" t="str">
        <f>"C"&amp;D121</f>
        <v>C484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28.407239170473709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441" x14ac:dyDescent="0.25">
      <c r="A353" s="7">
        <v>102.90588033356946</v>
      </c>
      <c r="B353"/>
      <c r="C353"/>
      <c r="D353"/>
      <c r="E353"/>
    </row>
    <row r="354" spans="1:441" x14ac:dyDescent="0.25">
      <c r="A354" s="7">
        <v>100.88811797408771</v>
      </c>
      <c r="B354"/>
      <c r="C354"/>
      <c r="D354"/>
      <c r="E354"/>
    </row>
    <row r="355" spans="1:441" x14ac:dyDescent="0.25">
      <c r="A355" s="7">
        <v>98.909919582438931</v>
      </c>
      <c r="B355"/>
      <c r="C355"/>
      <c r="D355"/>
      <c r="E355"/>
    </row>
    <row r="356" spans="1:441" x14ac:dyDescent="0.25">
      <c r="A356" s="7">
        <v>96.970509394547975</v>
      </c>
      <c r="B356"/>
      <c r="C356"/>
      <c r="D356"/>
      <c r="E356"/>
    </row>
    <row r="357" spans="1:441" x14ac:dyDescent="0.25">
      <c r="A357" s="7">
        <v>95.069126857399979</v>
      </c>
      <c r="B357"/>
      <c r="C357"/>
      <c r="D357"/>
      <c r="E357"/>
    </row>
    <row r="358" spans="1:441" x14ac:dyDescent="0.25">
      <c r="A358" s="7">
        <v>93.205026330784293</v>
      </c>
      <c r="B358"/>
      <c r="C358"/>
      <c r="D358"/>
      <c r="E358"/>
      <c r="PI358" s="27" t="s">
        <v>8</v>
      </c>
    </row>
    <row r="359" spans="1:441" x14ac:dyDescent="0.25">
      <c r="A359" s="7">
        <v>91.377476794886562</v>
      </c>
      <c r="B359"/>
      <c r="C359"/>
      <c r="D359"/>
      <c r="E359"/>
      <c r="PI359" s="27" t="s">
        <v>8</v>
      </c>
      <c r="PJ359" s="27" t="s">
        <v>7</v>
      </c>
    </row>
    <row r="360" spans="1:441" x14ac:dyDescent="0.25">
      <c r="A360" s="7">
        <v>89.58576156361427</v>
      </c>
      <c r="B360"/>
      <c r="C360"/>
      <c r="D360"/>
      <c r="E360"/>
      <c r="PI360" s="27" t="s">
        <v>8</v>
      </c>
      <c r="PJ360" s="27" t="s">
        <v>7</v>
      </c>
    </row>
    <row r="361" spans="1:441" x14ac:dyDescent="0.25">
      <c r="A361" s="7">
        <v>87.829178003543404</v>
      </c>
      <c r="B361"/>
      <c r="C361"/>
      <c r="D361"/>
      <c r="E361"/>
      <c r="PI361" s="27" t="s">
        <v>8</v>
      </c>
      <c r="PJ361" s="27" t="s">
        <v>7</v>
      </c>
      <c r="PK361" s="27" t="s">
        <v>8</v>
      </c>
    </row>
    <row r="362" spans="1:441" x14ac:dyDescent="0.25">
      <c r="A362" s="7">
        <v>86.107037258375883</v>
      </c>
      <c r="B362"/>
      <c r="C362"/>
      <c r="D362"/>
      <c r="E362"/>
      <c r="PI362" s="27" t="s">
        <v>8</v>
      </c>
      <c r="PJ362" s="27" t="s">
        <v>7</v>
      </c>
      <c r="PK362" s="27" t="s">
        <v>8</v>
      </c>
      <c r="PL362" s="27" t="s">
        <v>7</v>
      </c>
    </row>
    <row r="363" spans="1:441" x14ac:dyDescent="0.25">
      <c r="A363" s="7">
        <v>84.418663978799884</v>
      </c>
      <c r="B363"/>
      <c r="C363"/>
      <c r="D363"/>
      <c r="E363"/>
      <c r="PI363" s="27" t="s">
        <v>8</v>
      </c>
      <c r="PJ363" s="27" t="s">
        <v>7</v>
      </c>
      <c r="PK363" s="27" t="s">
        <v>8</v>
      </c>
      <c r="PL363" s="27" t="s">
        <v>7</v>
      </c>
    </row>
    <row r="364" spans="1:441" x14ac:dyDescent="0.25">
      <c r="A364" s="7">
        <v>82.763396057646943</v>
      </c>
      <c r="B364"/>
      <c r="C364"/>
      <c r="D364"/>
      <c r="E364"/>
      <c r="PI364" s="27" t="s">
        <v>8</v>
      </c>
      <c r="PJ364" s="27" t="s">
        <v>7</v>
      </c>
      <c r="PK364" s="27" t="s">
        <v>8</v>
      </c>
      <c r="PL364" s="27" t="s">
        <v>7</v>
      </c>
    </row>
    <row r="365" spans="1:441" x14ac:dyDescent="0.25">
      <c r="A365" s="7">
        <v>81.140584370242095</v>
      </c>
      <c r="B365"/>
      <c r="C365"/>
      <c r="D365"/>
      <c r="E365"/>
      <c r="PI365" s="27" t="s">
        <v>8</v>
      </c>
      <c r="PJ365" s="27" t="s">
        <v>7</v>
      </c>
      <c r="PK365" s="27" t="s">
        <v>8</v>
      </c>
      <c r="PL365" s="27" t="s">
        <v>7</v>
      </c>
    </row>
    <row r="366" spans="1:441" x14ac:dyDescent="0.25">
      <c r="A366" s="7">
        <v>79.549592519845191</v>
      </c>
      <c r="B366"/>
      <c r="C366"/>
      <c r="D366"/>
      <c r="E366"/>
      <c r="PI366" s="27" t="s">
        <v>8</v>
      </c>
      <c r="PJ366" s="27" t="s">
        <v>7</v>
      </c>
      <c r="PK366" s="27" t="s">
        <v>8</v>
      </c>
      <c r="PL366" s="27" t="s">
        <v>7</v>
      </c>
    </row>
    <row r="367" spans="1:441" x14ac:dyDescent="0.25">
      <c r="A367" s="7">
        <v>77.989796588083522</v>
      </c>
      <c r="B367"/>
      <c r="C367"/>
      <c r="D367"/>
      <c r="E367"/>
      <c r="PG367" s="27" t="s">
        <v>8</v>
      </c>
      <c r="PI367" s="27" t="s">
        <v>8</v>
      </c>
      <c r="PJ367" s="27" t="s">
        <v>7</v>
      </c>
      <c r="PK367" s="27" t="s">
        <v>8</v>
      </c>
      <c r="PL367" s="27" t="s">
        <v>7</v>
      </c>
    </row>
    <row r="368" spans="1:441" x14ac:dyDescent="0.25">
      <c r="A368" s="7">
        <v>76.460584890277957</v>
      </c>
      <c r="B368"/>
      <c r="C368"/>
      <c r="D368"/>
      <c r="E368"/>
      <c r="PG368" s="27" t="s">
        <v>8</v>
      </c>
      <c r="PH368" s="27" t="s">
        <v>7</v>
      </c>
      <c r="PI368" s="27" t="s">
        <v>8</v>
      </c>
      <c r="PJ368" s="27" t="s">
        <v>7</v>
      </c>
      <c r="PK368" s="27" t="s">
        <v>8</v>
      </c>
      <c r="PL368" s="27" t="s">
        <v>7</v>
      </c>
      <c r="PY368" s="27" t="s">
        <v>8</v>
      </c>
    </row>
    <row r="369" spans="1:460" x14ac:dyDescent="0.25">
      <c r="A369" s="7">
        <v>74.961357735566622</v>
      </c>
      <c r="B369"/>
      <c r="C369"/>
      <c r="D369"/>
      <c r="E369"/>
      <c r="PG369" s="27" t="s">
        <v>8</v>
      </c>
      <c r="PH369" s="27" t="s">
        <v>7</v>
      </c>
      <c r="PI369" s="27" t="s">
        <v>8</v>
      </c>
      <c r="PJ369" s="27" t="s">
        <v>7</v>
      </c>
      <c r="PL369" s="27" t="s">
        <v>7</v>
      </c>
      <c r="PY369" s="27" t="s">
        <v>8</v>
      </c>
      <c r="PZ369" s="27" t="s">
        <v>7</v>
      </c>
      <c r="QC369" s="27" t="s">
        <v>8</v>
      </c>
      <c r="QK369" s="27" t="s">
        <v>8</v>
      </c>
    </row>
    <row r="370" spans="1:460" x14ac:dyDescent="0.25">
      <c r="A370" s="7">
        <v>73.491527191731976</v>
      </c>
      <c r="B370"/>
      <c r="C370"/>
      <c r="D370"/>
      <c r="E370"/>
      <c r="PG370" s="27" t="s">
        <v>8</v>
      </c>
      <c r="PH370" s="27" t="s">
        <v>7</v>
      </c>
      <c r="PI370" s="27" t="s">
        <v>8</v>
      </c>
      <c r="PL370" s="27" t="s">
        <v>7</v>
      </c>
      <c r="PY370" s="27" t="s">
        <v>8</v>
      </c>
      <c r="PZ370" s="27" t="s">
        <v>7</v>
      </c>
      <c r="QC370" s="27" t="s">
        <v>8</v>
      </c>
      <c r="QD370" s="27" t="s">
        <v>7</v>
      </c>
      <c r="QE370" s="27" t="s">
        <v>8</v>
      </c>
      <c r="QK370" s="27" t="s">
        <v>8</v>
      </c>
      <c r="QL370" s="27" t="s">
        <v>7</v>
      </c>
    </row>
    <row r="371" spans="1:460" x14ac:dyDescent="0.25">
      <c r="A371" s="7">
        <v>72.050516854639184</v>
      </c>
      <c r="B371"/>
      <c r="C371"/>
      <c r="D371"/>
      <c r="E371"/>
      <c r="PE371" s="27" t="s">
        <v>8</v>
      </c>
      <c r="PG371" s="27" t="s">
        <v>8</v>
      </c>
      <c r="PH371" s="27" t="s">
        <v>7</v>
      </c>
      <c r="PI371" s="27" t="s">
        <v>8</v>
      </c>
      <c r="PL371" s="27" t="s">
        <v>7</v>
      </c>
      <c r="PM371" s="27" t="s">
        <v>8</v>
      </c>
      <c r="PY371" s="27" t="s">
        <v>8</v>
      </c>
      <c r="PZ371" s="27" t="s">
        <v>7</v>
      </c>
      <c r="QC371" s="27" t="s">
        <v>8</v>
      </c>
      <c r="QD371" s="27" t="s">
        <v>7</v>
      </c>
      <c r="QE371" s="27" t="s">
        <v>8</v>
      </c>
      <c r="QF371" s="27" t="s">
        <v>7</v>
      </c>
      <c r="QG371" s="27" t="s">
        <v>8</v>
      </c>
      <c r="QK371" s="27" t="s">
        <v>8</v>
      </c>
      <c r="QL371" s="27" t="s">
        <v>7</v>
      </c>
    </row>
    <row r="372" spans="1:460" x14ac:dyDescent="0.25">
      <c r="A372" s="7">
        <v>70.637761622195271</v>
      </c>
      <c r="B372"/>
      <c r="C372"/>
      <c r="D372"/>
      <c r="E372"/>
      <c r="PE372" s="27" t="s">
        <v>8</v>
      </c>
      <c r="PF372" s="27" t="s">
        <v>7</v>
      </c>
      <c r="PG372" s="27" t="s">
        <v>8</v>
      </c>
      <c r="PH372" s="27" t="s">
        <v>7</v>
      </c>
      <c r="PI372" s="27" t="s">
        <v>8</v>
      </c>
      <c r="PL372" s="27" t="s">
        <v>7</v>
      </c>
      <c r="PM372" s="27" t="s">
        <v>8</v>
      </c>
      <c r="PN372" s="27" t="s">
        <v>7</v>
      </c>
      <c r="PQ372" s="27" t="s">
        <v>8</v>
      </c>
      <c r="PY372" s="27" t="s">
        <v>8</v>
      </c>
      <c r="PZ372" s="27" t="s">
        <v>7</v>
      </c>
      <c r="QA372" s="27" t="s">
        <v>8</v>
      </c>
      <c r="QC372" s="27" t="s">
        <v>8</v>
      </c>
      <c r="QD372" s="27" t="s">
        <v>7</v>
      </c>
      <c r="QE372" s="27" t="s">
        <v>8</v>
      </c>
      <c r="QF372" s="27" t="s">
        <v>7</v>
      </c>
      <c r="QG372" s="27" t="s">
        <v>8</v>
      </c>
      <c r="QH372" s="27" t="s">
        <v>7</v>
      </c>
      <c r="QK372" s="27" t="s">
        <v>8</v>
      </c>
      <c r="QL372" s="27" t="s">
        <v>7</v>
      </c>
    </row>
    <row r="373" spans="1:460" x14ac:dyDescent="0.25">
      <c r="A373" s="7">
        <v>69.252707472740454</v>
      </c>
      <c r="B373"/>
      <c r="C373"/>
      <c r="D373"/>
      <c r="E373"/>
      <c r="PE373" s="27" t="s">
        <v>8</v>
      </c>
      <c r="PF373" s="27" t="s">
        <v>7</v>
      </c>
      <c r="PG373" s="27" t="s">
        <v>8</v>
      </c>
      <c r="PH373" s="27" t="s">
        <v>7</v>
      </c>
      <c r="PI373" s="27" t="s">
        <v>8</v>
      </c>
      <c r="PL373" s="27" t="s">
        <v>7</v>
      </c>
      <c r="PM373" s="27" t="s">
        <v>8</v>
      </c>
      <c r="PN373" s="27" t="s">
        <v>7</v>
      </c>
      <c r="PO373" s="27" t="s">
        <v>8</v>
      </c>
      <c r="PQ373" s="27" t="s">
        <v>8</v>
      </c>
      <c r="PR373" s="27" t="s">
        <v>7</v>
      </c>
      <c r="PY373" s="27" t="s">
        <v>8</v>
      </c>
      <c r="PZ373" s="27" t="s">
        <v>7</v>
      </c>
      <c r="QA373" s="27" t="s">
        <v>8</v>
      </c>
      <c r="QB373" s="27" t="s">
        <v>7</v>
      </c>
      <c r="QC373" s="27" t="s">
        <v>8</v>
      </c>
      <c r="QD373" s="27" t="s">
        <v>7</v>
      </c>
      <c r="QE373" s="27" t="s">
        <v>8</v>
      </c>
      <c r="QF373" s="27" t="s">
        <v>7</v>
      </c>
      <c r="QG373" s="27" t="s">
        <v>8</v>
      </c>
      <c r="QH373" s="27" t="s">
        <v>7</v>
      </c>
      <c r="QK373" s="27" t="s">
        <v>8</v>
      </c>
      <c r="QL373" s="27" t="s">
        <v>7</v>
      </c>
    </row>
    <row r="374" spans="1:460" x14ac:dyDescent="0.25">
      <c r="A374" s="7">
        <v>67.894811247784759</v>
      </c>
      <c r="B374"/>
      <c r="C374"/>
      <c r="D374"/>
      <c r="E374"/>
      <c r="PE374" s="27" t="s">
        <v>8</v>
      </c>
      <c r="PF374" s="27" t="s">
        <v>7</v>
      </c>
      <c r="PG374" s="27" t="s">
        <v>8</v>
      </c>
      <c r="PH374" s="27" t="s">
        <v>7</v>
      </c>
      <c r="PI374" s="27" t="s">
        <v>8</v>
      </c>
      <c r="PL374" s="27" t="s">
        <v>7</v>
      </c>
      <c r="PM374" s="27" t="s">
        <v>8</v>
      </c>
      <c r="PN374" s="27" t="s">
        <v>7</v>
      </c>
      <c r="PO374" s="27" t="s">
        <v>8</v>
      </c>
      <c r="PP374" s="27" t="s">
        <v>7</v>
      </c>
      <c r="PQ374" s="27" t="s">
        <v>8</v>
      </c>
      <c r="PR374" s="27" t="s">
        <v>7</v>
      </c>
      <c r="PY374" s="27" t="s">
        <v>8</v>
      </c>
      <c r="PZ374" s="27" t="s">
        <v>7</v>
      </c>
      <c r="QA374" s="27" t="s">
        <v>8</v>
      </c>
      <c r="QB374" s="27" t="s">
        <v>7</v>
      </c>
      <c r="QC374" s="27" t="s">
        <v>8</v>
      </c>
      <c r="QD374" s="27" t="s">
        <v>7</v>
      </c>
      <c r="QE374" s="27" t="s">
        <v>8</v>
      </c>
      <c r="QF374" s="27" t="s">
        <v>7</v>
      </c>
      <c r="QG374" s="27" t="s">
        <v>8</v>
      </c>
      <c r="QH374" s="27" t="s">
        <v>7</v>
      </c>
      <c r="QI374" s="27" t="s">
        <v>8</v>
      </c>
      <c r="QK374" s="27" t="s">
        <v>8</v>
      </c>
      <c r="QL374" s="27" t="s">
        <v>7</v>
      </c>
    </row>
    <row r="375" spans="1:460" x14ac:dyDescent="0.25">
      <c r="A375" s="7">
        <v>66.563540439004669</v>
      </c>
      <c r="B375"/>
      <c r="C375"/>
      <c r="D375"/>
      <c r="E375"/>
      <c r="PE375" s="27" t="s">
        <v>8</v>
      </c>
      <c r="PF375" s="27" t="s">
        <v>7</v>
      </c>
      <c r="PG375" s="27" t="s">
        <v>8</v>
      </c>
      <c r="PH375" s="27" t="s">
        <v>7</v>
      </c>
      <c r="PI375" s="27" t="s">
        <v>8</v>
      </c>
      <c r="PL375" s="27" t="s">
        <v>7</v>
      </c>
      <c r="PM375" s="27" t="s">
        <v>8</v>
      </c>
      <c r="PN375" s="27" t="s">
        <v>7</v>
      </c>
      <c r="PO375" s="27" t="s">
        <v>8</v>
      </c>
      <c r="PP375" s="27" t="s">
        <v>7</v>
      </c>
      <c r="PQ375" s="27" t="s">
        <v>8</v>
      </c>
      <c r="PR375" s="27" t="s">
        <v>7</v>
      </c>
      <c r="PY375" s="27" t="s">
        <v>8</v>
      </c>
      <c r="PZ375" s="27" t="s">
        <v>7</v>
      </c>
      <c r="QA375" s="27" t="s">
        <v>8</v>
      </c>
      <c r="QB375" s="27" t="s">
        <v>7</v>
      </c>
      <c r="QC375" s="27" t="s">
        <v>8</v>
      </c>
      <c r="QD375" s="27" t="s">
        <v>7</v>
      </c>
      <c r="QF375" s="27" t="s">
        <v>7</v>
      </c>
      <c r="QH375" s="27" t="s">
        <v>7</v>
      </c>
      <c r="QI375" s="27" t="s">
        <v>8</v>
      </c>
      <c r="QJ375" s="27" t="s">
        <v>7</v>
      </c>
      <c r="QK375" s="27" t="s">
        <v>8</v>
      </c>
      <c r="QL375" s="27" t="s">
        <v>7</v>
      </c>
    </row>
    <row r="376" spans="1:460" x14ac:dyDescent="0.25">
      <c r="A376" s="7">
        <v>65.258372979416336</v>
      </c>
      <c r="B376"/>
      <c r="C376"/>
      <c r="D376"/>
      <c r="E376"/>
      <c r="PE376" s="27" t="s">
        <v>8</v>
      </c>
      <c r="PF376" s="27" t="s">
        <v>7</v>
      </c>
      <c r="PG376" s="27" t="s">
        <v>8</v>
      </c>
      <c r="PH376" s="27" t="s">
        <v>7</v>
      </c>
      <c r="PI376" s="27" t="s">
        <v>8</v>
      </c>
      <c r="PL376" s="27" t="s">
        <v>7</v>
      </c>
      <c r="PM376" s="27" t="s">
        <v>8</v>
      </c>
      <c r="PN376" s="27" t="s">
        <v>7</v>
      </c>
      <c r="PO376" s="27" t="s">
        <v>8</v>
      </c>
      <c r="PP376" s="27" t="s">
        <v>7</v>
      </c>
      <c r="PQ376" s="27" t="s">
        <v>8</v>
      </c>
      <c r="PR376" s="27" t="s">
        <v>7</v>
      </c>
      <c r="PY376" s="27" t="s">
        <v>8</v>
      </c>
      <c r="PZ376" s="27" t="s">
        <v>7</v>
      </c>
      <c r="QB376" s="27" t="s">
        <v>7</v>
      </c>
      <c r="QH376" s="27" t="s">
        <v>7</v>
      </c>
      <c r="QI376" s="27" t="s">
        <v>8</v>
      </c>
      <c r="QJ376" s="27" t="s">
        <v>7</v>
      </c>
      <c r="QK376" s="27" t="s">
        <v>8</v>
      </c>
      <c r="QL376" s="27" t="s">
        <v>7</v>
      </c>
    </row>
    <row r="377" spans="1:460" x14ac:dyDescent="0.25">
      <c r="A377" s="7">
        <v>63.978797038643471</v>
      </c>
      <c r="B377"/>
      <c r="C377"/>
      <c r="D377"/>
      <c r="E377"/>
      <c r="PE377" s="27" t="s">
        <v>8</v>
      </c>
      <c r="PF377" s="27" t="s">
        <v>7</v>
      </c>
      <c r="PG377" s="27" t="s">
        <v>8</v>
      </c>
      <c r="PH377" s="27" t="s">
        <v>7</v>
      </c>
      <c r="PI377" s="27" t="s">
        <v>8</v>
      </c>
      <c r="PL377" s="27" t="s">
        <v>7</v>
      </c>
      <c r="PM377" s="27" t="s">
        <v>8</v>
      </c>
      <c r="PN377" s="27" t="s">
        <v>7</v>
      </c>
      <c r="PP377" s="27" t="s">
        <v>7</v>
      </c>
      <c r="PR377" s="27" t="s">
        <v>7</v>
      </c>
      <c r="PY377" s="27" t="s">
        <v>8</v>
      </c>
      <c r="QH377" s="27" t="s">
        <v>7</v>
      </c>
      <c r="QI377" s="27" t="s">
        <v>8</v>
      </c>
      <c r="QJ377" s="27" t="s">
        <v>7</v>
      </c>
      <c r="QK377" s="27" t="s">
        <v>8</v>
      </c>
      <c r="QL377" s="27" t="s">
        <v>7</v>
      </c>
    </row>
    <row r="378" spans="1:460" x14ac:dyDescent="0.25">
      <c r="A378" s="7">
        <v>62.724310822199477</v>
      </c>
      <c r="B378"/>
      <c r="C378"/>
      <c r="D378"/>
      <c r="E378"/>
      <c r="PC378" s="27" t="s">
        <v>8</v>
      </c>
      <c r="PE378" s="27" t="s">
        <v>8</v>
      </c>
      <c r="PF378" s="27" t="s">
        <v>7</v>
      </c>
      <c r="PG378" s="27" t="s">
        <v>8</v>
      </c>
      <c r="PH378" s="27" t="s">
        <v>7</v>
      </c>
      <c r="PI378" s="27" t="s">
        <v>8</v>
      </c>
      <c r="PL378" s="27" t="s">
        <v>7</v>
      </c>
      <c r="PM378" s="27" t="s">
        <v>8</v>
      </c>
      <c r="PR378" s="27" t="s">
        <v>7</v>
      </c>
      <c r="PY378" s="27" t="s">
        <v>8</v>
      </c>
      <c r="QH378" s="27" t="s">
        <v>7</v>
      </c>
      <c r="QI378" s="27" t="s">
        <v>8</v>
      </c>
      <c r="QJ378" s="27" t="s">
        <v>7</v>
      </c>
      <c r="QL378" s="27" t="s">
        <v>7</v>
      </c>
    </row>
    <row r="379" spans="1:460" x14ac:dyDescent="0.25">
      <c r="A379" s="7">
        <v>61.494422374705366</v>
      </c>
      <c r="B379"/>
      <c r="C379"/>
      <c r="D379"/>
      <c r="E379"/>
      <c r="PC379" s="27" t="s">
        <v>8</v>
      </c>
      <c r="PD379" s="27" t="s">
        <v>7</v>
      </c>
      <c r="PE379" s="27" t="s">
        <v>8</v>
      </c>
      <c r="PF379" s="27" t="s">
        <v>7</v>
      </c>
      <c r="PG379" s="27" t="s">
        <v>8</v>
      </c>
      <c r="PH379" s="27" t="s">
        <v>7</v>
      </c>
      <c r="PL379" s="27" t="s">
        <v>7</v>
      </c>
      <c r="PM379" s="27" t="s">
        <v>8</v>
      </c>
      <c r="PR379" s="27" t="s">
        <v>7</v>
      </c>
      <c r="PY379" s="27" t="s">
        <v>8</v>
      </c>
      <c r="QH379" s="27" t="s">
        <v>7</v>
      </c>
      <c r="QI379" s="27" t="s">
        <v>8</v>
      </c>
      <c r="QL379" s="27" t="s">
        <v>7</v>
      </c>
      <c r="QO379" s="27" t="s">
        <v>8</v>
      </c>
    </row>
    <row r="380" spans="1:460" x14ac:dyDescent="0.25">
      <c r="A380" s="7">
        <v>60.288649386966043</v>
      </c>
      <c r="B380"/>
      <c r="C380"/>
      <c r="D380"/>
      <c r="E380"/>
      <c r="PA380" s="27" t="s">
        <v>8</v>
      </c>
      <c r="PC380" s="27" t="s">
        <v>8</v>
      </c>
      <c r="PD380" s="27" t="s">
        <v>7</v>
      </c>
      <c r="PE380" s="27" t="s">
        <v>8</v>
      </c>
      <c r="PF380" s="27" t="s">
        <v>7</v>
      </c>
      <c r="PG380" s="27" t="s">
        <v>8</v>
      </c>
      <c r="PL380" s="27" t="s">
        <v>7</v>
      </c>
      <c r="PR380" s="27" t="s">
        <v>7</v>
      </c>
      <c r="PY380" s="27" t="s">
        <v>8</v>
      </c>
      <c r="QH380" s="27" t="s">
        <v>7</v>
      </c>
      <c r="QI380" s="27" t="s">
        <v>8</v>
      </c>
      <c r="QL380" s="27" t="s">
        <v>7</v>
      </c>
      <c r="QO380" s="27" t="s">
        <v>8</v>
      </c>
      <c r="QP380" s="27" t="s">
        <v>7</v>
      </c>
    </row>
    <row r="381" spans="1:460" x14ac:dyDescent="0.25">
      <c r="A381" s="7">
        <v>59.106519006829451</v>
      </c>
      <c r="B381"/>
      <c r="C381"/>
      <c r="D381"/>
      <c r="E381"/>
      <c r="OY381" s="27" t="s">
        <v>8</v>
      </c>
      <c r="PA381" s="27" t="s">
        <v>8</v>
      </c>
      <c r="PB381" s="27" t="s">
        <v>7</v>
      </c>
      <c r="PC381" s="27" t="s">
        <v>8</v>
      </c>
      <c r="PD381" s="27" t="s">
        <v>7</v>
      </c>
      <c r="PE381" s="27" t="s">
        <v>8</v>
      </c>
      <c r="PF381" s="27" t="s">
        <v>7</v>
      </c>
      <c r="PR381" s="27" t="s">
        <v>7</v>
      </c>
      <c r="PY381" s="27" t="s">
        <v>8</v>
      </c>
      <c r="QH381" s="27" t="s">
        <v>7</v>
      </c>
      <c r="QL381" s="27" t="s">
        <v>7</v>
      </c>
      <c r="QM381" s="27" t="s">
        <v>8</v>
      </c>
      <c r="QO381" s="27" t="s">
        <v>8</v>
      </c>
      <c r="QP381" s="27" t="s">
        <v>7</v>
      </c>
    </row>
    <row r="382" spans="1:460" x14ac:dyDescent="0.25">
      <c r="A382" s="7">
        <v>57.947567653754362</v>
      </c>
      <c r="B382"/>
      <c r="C382"/>
      <c r="D382"/>
      <c r="E382"/>
      <c r="OY382" s="27" t="s">
        <v>8</v>
      </c>
      <c r="OZ382" s="27" t="s">
        <v>7</v>
      </c>
      <c r="PA382" s="27" t="s">
        <v>8</v>
      </c>
      <c r="PB382" s="27" t="s">
        <v>7</v>
      </c>
      <c r="PC382" s="27" t="s">
        <v>8</v>
      </c>
      <c r="PD382" s="27" t="s">
        <v>7</v>
      </c>
      <c r="PR382" s="27" t="s">
        <v>7</v>
      </c>
      <c r="PS382" s="27" t="s">
        <v>8</v>
      </c>
      <c r="PY382" s="27" t="s">
        <v>8</v>
      </c>
      <c r="QL382" s="27" t="s">
        <v>7</v>
      </c>
      <c r="QM382" s="27" t="s">
        <v>8</v>
      </c>
      <c r="QN382" s="27" t="s">
        <v>7</v>
      </c>
      <c r="QO382" s="27" t="s">
        <v>8</v>
      </c>
      <c r="QP382" s="27" t="s">
        <v>7</v>
      </c>
      <c r="QQ382" s="27" t="s">
        <v>8</v>
      </c>
    </row>
    <row r="383" spans="1:460" x14ac:dyDescent="0.25">
      <c r="A383" s="7">
        <v>56.811340837014079</v>
      </c>
      <c r="B383"/>
      <c r="C383"/>
      <c r="D383"/>
      <c r="E383"/>
      <c r="OY383" s="27" t="s">
        <v>8</v>
      </c>
      <c r="OZ383" s="27" t="s">
        <v>7</v>
      </c>
      <c r="PA383" s="27" t="s">
        <v>8</v>
      </c>
      <c r="PB383" s="27" t="s">
        <v>7</v>
      </c>
      <c r="PC383" s="27" t="s">
        <v>8</v>
      </c>
      <c r="PR383" s="27" t="s">
        <v>7</v>
      </c>
      <c r="PS383" s="27" t="s">
        <v>8</v>
      </c>
      <c r="PT383" s="27" t="s">
        <v>7</v>
      </c>
      <c r="PY383" s="27" t="s">
        <v>8</v>
      </c>
      <c r="QL383" s="27" t="s">
        <v>7</v>
      </c>
      <c r="QM383" s="27" t="s">
        <v>8</v>
      </c>
      <c r="QN383" s="27" t="s">
        <v>7</v>
      </c>
      <c r="QO383" s="27" t="s">
        <v>8</v>
      </c>
      <c r="QP383" s="27" t="s">
        <v>7</v>
      </c>
      <c r="QQ383" s="27" t="s">
        <v>8</v>
      </c>
      <c r="QR383" s="27" t="s">
        <v>7</v>
      </c>
    </row>
    <row r="384" spans="1:460" x14ac:dyDescent="0.25">
      <c r="A384" s="7">
        <v>55.69739297746478</v>
      </c>
      <c r="B384"/>
      <c r="C384"/>
      <c r="D384"/>
      <c r="E384"/>
      <c r="OY384" s="27" t="s">
        <v>8</v>
      </c>
      <c r="OZ384" s="27" t="s">
        <v>7</v>
      </c>
      <c r="PA384" s="27" t="s">
        <v>8</v>
      </c>
      <c r="PB384" s="27" t="s">
        <v>7</v>
      </c>
      <c r="PC384" s="27" t="s">
        <v>8</v>
      </c>
      <c r="PR384" s="27" t="s">
        <v>7</v>
      </c>
      <c r="PS384" s="27" t="s">
        <v>8</v>
      </c>
      <c r="PT384" s="27" t="s">
        <v>7</v>
      </c>
      <c r="PU384" s="27" t="s">
        <v>8</v>
      </c>
      <c r="PY384" s="27" t="s">
        <v>8</v>
      </c>
      <c r="QL384" s="27" t="s">
        <v>7</v>
      </c>
      <c r="QN384" s="27" t="s">
        <v>7</v>
      </c>
      <c r="QP384" s="27" t="s">
        <v>7</v>
      </c>
      <c r="QQ384" s="27" t="s">
        <v>8</v>
      </c>
      <c r="QR384" s="27" t="s">
        <v>7</v>
      </c>
    </row>
    <row r="385" spans="1:476" x14ac:dyDescent="0.25">
      <c r="A385" s="7">
        <v>54.605287232808607</v>
      </c>
      <c r="B385"/>
      <c r="C385"/>
      <c r="D385"/>
      <c r="E385"/>
      <c r="OW385" s="27" t="s">
        <v>8</v>
      </c>
      <c r="OY385" s="27" t="s">
        <v>8</v>
      </c>
      <c r="OZ385" s="27" t="s">
        <v>7</v>
      </c>
      <c r="PA385" s="27" t="s">
        <v>8</v>
      </c>
      <c r="PB385" s="27" t="s">
        <v>7</v>
      </c>
      <c r="PR385" s="27" t="s">
        <v>7</v>
      </c>
      <c r="PS385" s="27" t="s">
        <v>8</v>
      </c>
      <c r="PT385" s="27" t="s">
        <v>7</v>
      </c>
      <c r="PU385" s="27" t="s">
        <v>8</v>
      </c>
      <c r="PV385" s="27" t="s">
        <v>7</v>
      </c>
      <c r="PY385" s="27" t="s">
        <v>8</v>
      </c>
      <c r="QP385" s="27" t="s">
        <v>7</v>
      </c>
      <c r="QQ385" s="27" t="s">
        <v>8</v>
      </c>
      <c r="QR385" s="27" t="s">
        <v>7</v>
      </c>
    </row>
    <row r="386" spans="1:476" x14ac:dyDescent="0.25">
      <c r="A386" s="7">
        <v>53.534595326282947</v>
      </c>
      <c r="B386"/>
      <c r="C386"/>
      <c r="D386"/>
      <c r="E386"/>
      <c r="OW386" s="27" t="s">
        <v>8</v>
      </c>
      <c r="OX386" s="27" t="s">
        <v>7</v>
      </c>
      <c r="OY386" s="27" t="s">
        <v>8</v>
      </c>
      <c r="OZ386" s="27" t="s">
        <v>7</v>
      </c>
      <c r="PA386" s="27" t="s">
        <v>8</v>
      </c>
      <c r="PR386" s="27" t="s">
        <v>7</v>
      </c>
      <c r="PS386" s="27" t="s">
        <v>8</v>
      </c>
      <c r="PT386" s="27" t="s">
        <v>7</v>
      </c>
      <c r="PU386" s="27" t="s">
        <v>8</v>
      </c>
      <c r="PV386" s="27" t="s">
        <v>7</v>
      </c>
      <c r="PY386" s="27" t="s">
        <v>8</v>
      </c>
      <c r="QP386" s="27" t="s">
        <v>7</v>
      </c>
      <c r="QQ386" s="27" t="s">
        <v>8</v>
      </c>
      <c r="QR386" s="27" t="s">
        <v>7</v>
      </c>
    </row>
    <row r="387" spans="1:476" x14ac:dyDescent="0.25">
      <c r="A387" s="7">
        <v>52.484897378708773</v>
      </c>
      <c r="B387"/>
      <c r="C387"/>
      <c r="D387"/>
      <c r="E387"/>
      <c r="OW387" s="27" t="s">
        <v>8</v>
      </c>
      <c r="OX387" s="27" t="s">
        <v>7</v>
      </c>
      <c r="OY387" s="27" t="s">
        <v>8</v>
      </c>
      <c r="OZ387" s="27" t="s">
        <v>7</v>
      </c>
      <c r="PA387" s="27" t="s">
        <v>8</v>
      </c>
      <c r="PR387" s="27" t="s">
        <v>7</v>
      </c>
      <c r="PS387" s="27" t="s">
        <v>8</v>
      </c>
      <c r="PT387" s="27" t="s">
        <v>7</v>
      </c>
      <c r="PU387" s="27" t="s">
        <v>8</v>
      </c>
      <c r="PV387" s="27" t="s">
        <v>7</v>
      </c>
      <c r="PW387" s="27" t="s">
        <v>8</v>
      </c>
      <c r="PY387" s="27" t="s">
        <v>8</v>
      </c>
      <c r="QP387" s="27" t="s">
        <v>7</v>
      </c>
      <c r="QR387" s="27" t="s">
        <v>7</v>
      </c>
    </row>
    <row r="388" spans="1:476" x14ac:dyDescent="0.25">
      <c r="A388" s="7">
        <v>51.455781743832127</v>
      </c>
      <c r="B388"/>
      <c r="C388"/>
      <c r="D388"/>
      <c r="E388"/>
      <c r="OW388" s="27" t="s">
        <v>8</v>
      </c>
      <c r="OX388" s="27" t="s">
        <v>7</v>
      </c>
      <c r="OY388" s="27" t="s">
        <v>8</v>
      </c>
      <c r="OZ388" s="27" t="s">
        <v>7</v>
      </c>
      <c r="PR388" s="27" t="s">
        <v>7</v>
      </c>
      <c r="PS388" s="27" t="s">
        <v>8</v>
      </c>
      <c r="PT388" s="27" t="s">
        <v>7</v>
      </c>
      <c r="PU388" s="27" t="s">
        <v>8</v>
      </c>
      <c r="PV388" s="27" t="s">
        <v>7</v>
      </c>
      <c r="PW388" s="27" t="s">
        <v>8</v>
      </c>
      <c r="PX388" s="27" t="s">
        <v>7</v>
      </c>
      <c r="PY388" s="27" t="s">
        <v>8</v>
      </c>
      <c r="QR388" s="27" t="s">
        <v>7</v>
      </c>
    </row>
    <row r="389" spans="1:476" x14ac:dyDescent="0.25">
      <c r="A389" s="7">
        <v>50.446844846894244</v>
      </c>
      <c r="B389"/>
      <c r="C389"/>
      <c r="D389"/>
      <c r="E389"/>
      <c r="OU389" s="27" t="s">
        <v>8</v>
      </c>
      <c r="OW389" s="27" t="s">
        <v>8</v>
      </c>
      <c r="OX389" s="27" t="s">
        <v>7</v>
      </c>
      <c r="OY389" s="27" t="s">
        <v>8</v>
      </c>
      <c r="PR389" s="27" t="s">
        <v>7</v>
      </c>
      <c r="PS389" s="27" t="s">
        <v>8</v>
      </c>
      <c r="PT389" s="27" t="s">
        <v>7</v>
      </c>
      <c r="PU389" s="27" t="s">
        <v>8</v>
      </c>
      <c r="PV389" s="27" t="s">
        <v>7</v>
      </c>
      <c r="PW389" s="27" t="s">
        <v>8</v>
      </c>
      <c r="PX389" s="27" t="s">
        <v>7</v>
      </c>
      <c r="PY389" s="27" t="s">
        <v>8</v>
      </c>
      <c r="QR389" s="27" t="s">
        <v>7</v>
      </c>
    </row>
    <row r="390" spans="1:476" x14ac:dyDescent="0.25">
      <c r="A390" s="7">
        <v>49.457691026366902</v>
      </c>
      <c r="B390"/>
      <c r="C390"/>
      <c r="D390"/>
      <c r="E390"/>
      <c r="OU390" s="27" t="s">
        <v>8</v>
      </c>
      <c r="OV390" s="27" t="s">
        <v>7</v>
      </c>
      <c r="OW390" s="27" t="s">
        <v>8</v>
      </c>
      <c r="OX390" s="27" t="s">
        <v>7</v>
      </c>
      <c r="OY390" s="27" t="s">
        <v>8</v>
      </c>
      <c r="PR390" s="27" t="s">
        <v>7</v>
      </c>
      <c r="PS390" s="27" t="s">
        <v>8</v>
      </c>
      <c r="PT390" s="27" t="s">
        <v>7</v>
      </c>
      <c r="PV390" s="27" t="s">
        <v>7</v>
      </c>
      <c r="PX390" s="27" t="s">
        <v>7</v>
      </c>
      <c r="QR390" s="27" t="s">
        <v>7</v>
      </c>
      <c r="QS390" s="27" t="s">
        <v>8</v>
      </c>
    </row>
    <row r="391" spans="1:476" x14ac:dyDescent="0.25">
      <c r="A391" s="7">
        <v>48.487932378791079</v>
      </c>
      <c r="B391"/>
      <c r="C391"/>
      <c r="D391"/>
      <c r="E391"/>
      <c r="OU391" s="27" t="s">
        <v>8</v>
      </c>
      <c r="OV391" s="27" t="s">
        <v>7</v>
      </c>
      <c r="OW391" s="27" t="s">
        <v>8</v>
      </c>
      <c r="OX391" s="27" t="s">
        <v>7</v>
      </c>
      <c r="PR391" s="27" t="s">
        <v>7</v>
      </c>
      <c r="QR391" s="27" t="s">
        <v>7</v>
      </c>
      <c r="QS391" s="27" t="s">
        <v>8</v>
      </c>
      <c r="QT391" s="27" t="s">
        <v>7</v>
      </c>
      <c r="RE391" s="27" t="s">
        <v>8</v>
      </c>
    </row>
    <row r="392" spans="1:476" x14ac:dyDescent="0.25">
      <c r="A392" s="7">
        <v>47.537188606657921</v>
      </c>
      <c r="B392"/>
      <c r="C392"/>
      <c r="D392"/>
      <c r="E392"/>
      <c r="OU392" s="27" t="s">
        <v>8</v>
      </c>
      <c r="OV392" s="27" t="s">
        <v>7</v>
      </c>
      <c r="OW392" s="27" t="s">
        <v>8</v>
      </c>
      <c r="QR392" s="27" t="s">
        <v>7</v>
      </c>
      <c r="QS392" s="27" t="s">
        <v>8</v>
      </c>
      <c r="QT392" s="27" t="s">
        <v>7</v>
      </c>
      <c r="RC392" s="27" t="s">
        <v>8</v>
      </c>
      <c r="RE392" s="27" t="s">
        <v>8</v>
      </c>
      <c r="RF392" s="27" t="s">
        <v>7</v>
      </c>
    </row>
    <row r="393" spans="1:476" x14ac:dyDescent="0.25">
      <c r="A393" s="7">
        <v>46.605086869272469</v>
      </c>
      <c r="B393"/>
      <c r="C393"/>
      <c r="D393"/>
      <c r="E393"/>
      <c r="OU393" s="27" t="s">
        <v>8</v>
      </c>
      <c r="OV393" s="27" t="s">
        <v>7</v>
      </c>
      <c r="OW393" s="27" t="s">
        <v>8</v>
      </c>
      <c r="QR393" s="27" t="s">
        <v>7</v>
      </c>
      <c r="QS393" s="27" t="s">
        <v>8</v>
      </c>
      <c r="QT393" s="27" t="s">
        <v>7</v>
      </c>
      <c r="RC393" s="27" t="s">
        <v>8</v>
      </c>
      <c r="RD393" s="27" t="s">
        <v>7</v>
      </c>
      <c r="RE393" s="27" t="s">
        <v>8</v>
      </c>
      <c r="RF393" s="27" t="s">
        <v>7</v>
      </c>
    </row>
    <row r="394" spans="1:476" x14ac:dyDescent="0.25">
      <c r="A394" s="7">
        <v>45.691261636541633</v>
      </c>
      <c r="B394"/>
      <c r="C394"/>
      <c r="D394"/>
      <c r="E394"/>
      <c r="OU394" s="27" t="s">
        <v>8</v>
      </c>
      <c r="OV394" s="27" t="s">
        <v>7</v>
      </c>
      <c r="OW394" s="27" t="s">
        <v>8</v>
      </c>
      <c r="QR394" s="27" t="s">
        <v>7</v>
      </c>
      <c r="QS394" s="27" t="s">
        <v>8</v>
      </c>
      <c r="QT394" s="27" t="s">
        <v>7</v>
      </c>
      <c r="RC394" s="27" t="s">
        <v>8</v>
      </c>
      <c r="RD394" s="27" t="s">
        <v>7</v>
      </c>
      <c r="RE394" s="27" t="s">
        <v>8</v>
      </c>
      <c r="RF394" s="27" t="s">
        <v>7</v>
      </c>
    </row>
    <row r="395" spans="1:476" x14ac:dyDescent="0.25">
      <c r="A395" s="7">
        <v>44.795354545629053</v>
      </c>
      <c r="B395"/>
      <c r="C395"/>
      <c r="D395"/>
      <c r="E395"/>
      <c r="OU395" s="27" t="s">
        <v>8</v>
      </c>
      <c r="OV395" s="27" t="s">
        <v>7</v>
      </c>
      <c r="OW395" s="27" t="s">
        <v>8</v>
      </c>
      <c r="QR395" s="27" t="s">
        <v>7</v>
      </c>
      <c r="QS395" s="27" t="s">
        <v>8</v>
      </c>
      <c r="QT395" s="27" t="s">
        <v>7</v>
      </c>
      <c r="QU395" s="27" t="s">
        <v>8</v>
      </c>
      <c r="RC395" s="27" t="s">
        <v>8</v>
      </c>
      <c r="RD395" s="27" t="s">
        <v>7</v>
      </c>
      <c r="RE395" s="27" t="s">
        <v>8</v>
      </c>
      <c r="RF395" s="27" t="s">
        <v>7</v>
      </c>
    </row>
    <row r="396" spans="1:476" x14ac:dyDescent="0.25">
      <c r="A396" s="7">
        <v>43.917014260420636</v>
      </c>
      <c r="B396"/>
      <c r="C396"/>
      <c r="D396"/>
      <c r="E396"/>
      <c r="OS396" s="27" t="s">
        <v>8</v>
      </c>
      <c r="OU396" s="27" t="s">
        <v>8</v>
      </c>
      <c r="OV396" s="27" t="s">
        <v>7</v>
      </c>
      <c r="QR396" s="27" t="s">
        <v>7</v>
      </c>
      <c r="QS396" s="27" t="s">
        <v>8</v>
      </c>
      <c r="QT396" s="27" t="s">
        <v>7</v>
      </c>
      <c r="QU396" s="27" t="s">
        <v>8</v>
      </c>
      <c r="QV396" s="27" t="s">
        <v>7</v>
      </c>
      <c r="QW396" s="27" t="s">
        <v>8</v>
      </c>
      <c r="RA396" s="27" t="s">
        <v>8</v>
      </c>
      <c r="RC396" s="27" t="s">
        <v>8</v>
      </c>
      <c r="RD396" s="27" t="s">
        <v>7</v>
      </c>
      <c r="RF396" s="27" t="s">
        <v>7</v>
      </c>
      <c r="RG396" s="27" t="s">
        <v>8</v>
      </c>
    </row>
    <row r="397" spans="1:476" x14ac:dyDescent="0.25">
      <c r="A397" s="7">
        <v>43.055896333745721</v>
      </c>
      <c r="B397"/>
      <c r="C397"/>
      <c r="D397"/>
      <c r="E397"/>
      <c r="OS397" s="27" t="s">
        <v>8</v>
      </c>
      <c r="OT397" s="27" t="s">
        <v>7</v>
      </c>
      <c r="OU397" s="27" t="s">
        <v>8</v>
      </c>
      <c r="QR397" s="27" t="s">
        <v>7</v>
      </c>
      <c r="QS397" s="27" t="s">
        <v>8</v>
      </c>
      <c r="QT397" s="27" t="s">
        <v>7</v>
      </c>
      <c r="QU397" s="27" t="s">
        <v>8</v>
      </c>
      <c r="QV397" s="27" t="s">
        <v>7</v>
      </c>
      <c r="QW397" s="27" t="s">
        <v>8</v>
      </c>
      <c r="QX397" s="27" t="s">
        <v>7</v>
      </c>
      <c r="QY397" s="27" t="s">
        <v>8</v>
      </c>
      <c r="RA397" s="27" t="s">
        <v>8</v>
      </c>
      <c r="RB397" s="27" t="s">
        <v>7</v>
      </c>
      <c r="RC397" s="27" t="s">
        <v>8</v>
      </c>
      <c r="RF397" s="27" t="s">
        <v>7</v>
      </c>
      <c r="RG397" s="27" t="s">
        <v>8</v>
      </c>
      <c r="RH397" s="27" t="s">
        <v>7</v>
      </c>
    </row>
    <row r="398" spans="1:476" x14ac:dyDescent="0.25">
      <c r="A398" s="7">
        <v>42.211663072299729</v>
      </c>
      <c r="B398"/>
      <c r="C398"/>
      <c r="D398"/>
      <c r="E398"/>
      <c r="OS398" s="27" t="s">
        <v>8</v>
      </c>
      <c r="OT398" s="27" t="s">
        <v>7</v>
      </c>
      <c r="OU398" s="27" t="s">
        <v>8</v>
      </c>
      <c r="QR398" s="27" t="s">
        <v>7</v>
      </c>
      <c r="QS398" s="27" t="s">
        <v>8</v>
      </c>
      <c r="QT398" s="27" t="s">
        <v>7</v>
      </c>
      <c r="QV398" s="27" t="s">
        <v>7</v>
      </c>
      <c r="QW398" s="27" t="s">
        <v>8</v>
      </c>
      <c r="QX398" s="27" t="s">
        <v>7</v>
      </c>
      <c r="QY398" s="27" t="s">
        <v>8</v>
      </c>
      <c r="QZ398" s="27" t="s">
        <v>7</v>
      </c>
      <c r="RA398" s="27" t="s">
        <v>8</v>
      </c>
      <c r="RB398" s="27" t="s">
        <v>7</v>
      </c>
      <c r="RC398" s="27" t="s">
        <v>8</v>
      </c>
      <c r="RF398" s="27" t="s">
        <v>7</v>
      </c>
      <c r="RG398" s="27" t="s">
        <v>8</v>
      </c>
      <c r="RH398" s="27" t="s">
        <v>7</v>
      </c>
    </row>
    <row r="399" spans="1:476" x14ac:dyDescent="0.25">
      <c r="A399" s="7">
        <v>41.383983404215421</v>
      </c>
      <c r="B399"/>
      <c r="C399"/>
      <c r="D399"/>
      <c r="E399"/>
      <c r="OS399" s="27" t="s">
        <v>8</v>
      </c>
      <c r="OT399" s="27" t="s">
        <v>7</v>
      </c>
      <c r="QR399" s="27" t="s">
        <v>7</v>
      </c>
      <c r="QS399" s="27" t="s">
        <v>8</v>
      </c>
      <c r="QV399" s="27" t="s">
        <v>7</v>
      </c>
      <c r="QW399" s="27" t="s">
        <v>8</v>
      </c>
      <c r="QX399" s="27" t="s">
        <v>7</v>
      </c>
      <c r="QY399" s="27" t="s">
        <v>8</v>
      </c>
      <c r="QZ399" s="27" t="s">
        <v>7</v>
      </c>
      <c r="RA399" s="27" t="s">
        <v>8</v>
      </c>
      <c r="RB399" s="27" t="s">
        <v>7</v>
      </c>
      <c r="RC399" s="27" t="s">
        <v>8</v>
      </c>
      <c r="RF399" s="27" t="s">
        <v>7</v>
      </c>
      <c r="RG399" s="27" t="s">
        <v>8</v>
      </c>
      <c r="RH399" s="27" t="s">
        <v>7</v>
      </c>
    </row>
    <row r="400" spans="1:476" x14ac:dyDescent="0.25">
      <c r="A400" s="7">
        <v>40.572532749230803</v>
      </c>
      <c r="B400"/>
      <c r="C400"/>
      <c r="D400"/>
      <c r="E400"/>
      <c r="OS400" s="27" t="s">
        <v>8</v>
      </c>
      <c r="QR400" s="27" t="s">
        <v>7</v>
      </c>
      <c r="QS400" s="27" t="s">
        <v>8</v>
      </c>
      <c r="QV400" s="27" t="s">
        <v>7</v>
      </c>
      <c r="QW400" s="27" t="s">
        <v>8</v>
      </c>
      <c r="QX400" s="27" t="s">
        <v>7</v>
      </c>
      <c r="QY400" s="27" t="s">
        <v>8</v>
      </c>
      <c r="QZ400" s="27" t="s">
        <v>7</v>
      </c>
      <c r="RA400" s="27" t="s">
        <v>8</v>
      </c>
      <c r="RB400" s="27" t="s">
        <v>7</v>
      </c>
      <c r="RF400" s="27" t="s">
        <v>7</v>
      </c>
      <c r="RH400" s="27" t="s">
        <v>7</v>
      </c>
    </row>
    <row r="401" spans="1:484" x14ac:dyDescent="0.25">
      <c r="A401" s="7">
        <v>39.776992891402749</v>
      </c>
      <c r="B401"/>
      <c r="C401"/>
      <c r="D401"/>
      <c r="E401"/>
      <c r="OS401" s="27" t="s">
        <v>8</v>
      </c>
      <c r="QR401" s="27" t="s">
        <v>7</v>
      </c>
      <c r="QS401" s="27" t="s">
        <v>8</v>
      </c>
      <c r="QV401" s="27" t="s">
        <v>7</v>
      </c>
      <c r="QX401" s="27" t="s">
        <v>7</v>
      </c>
      <c r="QZ401" s="27" t="s">
        <v>7</v>
      </c>
      <c r="RH401" s="27" t="s">
        <v>7</v>
      </c>
    </row>
    <row r="402" spans="1:484" x14ac:dyDescent="0.25">
      <c r="A402" s="7">
        <v>38.997051854316418</v>
      </c>
      <c r="B402"/>
      <c r="C402"/>
      <c r="D402"/>
      <c r="E402"/>
      <c r="OS402" s="27" t="s">
        <v>8</v>
      </c>
      <c r="QR402" s="27" t="s">
        <v>7</v>
      </c>
      <c r="QS402" s="27" t="s">
        <v>8</v>
      </c>
      <c r="RH402" s="27" t="s">
        <v>7</v>
      </c>
      <c r="RK402" s="27" t="s">
        <v>8</v>
      </c>
    </row>
    <row r="403" spans="1:484" x14ac:dyDescent="0.25">
      <c r="A403" s="7">
        <v>38.232403778741585</v>
      </c>
      <c r="B403"/>
      <c r="C403"/>
      <c r="D403"/>
      <c r="E403"/>
      <c r="OQ403" s="27" t="s">
        <v>8</v>
      </c>
      <c r="OS403" s="27" t="s">
        <v>8</v>
      </c>
      <c r="QR403" s="27" t="s">
        <v>7</v>
      </c>
      <c r="QS403" s="27" t="s">
        <v>8</v>
      </c>
      <c r="RH403" s="27" t="s">
        <v>7</v>
      </c>
      <c r="RK403" s="27" t="s">
        <v>8</v>
      </c>
      <c r="RL403" s="27" t="s">
        <v>7</v>
      </c>
    </row>
    <row r="404" spans="1:484" x14ac:dyDescent="0.25">
      <c r="A404" s="7">
        <v>37.48274880268783</v>
      </c>
      <c r="B404"/>
      <c r="C404"/>
      <c r="D404"/>
      <c r="E404"/>
      <c r="OQ404" s="27" t="s">
        <v>8</v>
      </c>
      <c r="OR404" s="27" t="s">
        <v>7</v>
      </c>
      <c r="OS404" s="27" t="s">
        <v>8</v>
      </c>
      <c r="QR404" s="27" t="s">
        <v>7</v>
      </c>
      <c r="QS404" s="27" t="s">
        <v>8</v>
      </c>
      <c r="RH404" s="27" t="s">
        <v>7</v>
      </c>
      <c r="RI404" s="27" t="s">
        <v>8</v>
      </c>
      <c r="RK404" s="27" t="s">
        <v>8</v>
      </c>
      <c r="RL404" s="27" t="s">
        <v>7</v>
      </c>
    </row>
    <row r="405" spans="1:484" x14ac:dyDescent="0.25">
      <c r="A405" s="7">
        <v>36.747792943811596</v>
      </c>
      <c r="B405"/>
      <c r="C405"/>
      <c r="D405"/>
      <c r="E405"/>
      <c r="OQ405" s="27" t="s">
        <v>8</v>
      </c>
      <c r="OR405" s="27" t="s">
        <v>7</v>
      </c>
      <c r="OS405" s="27" t="s">
        <v>8</v>
      </c>
      <c r="QR405" s="27" t="s">
        <v>7</v>
      </c>
      <c r="QS405" s="27" t="s">
        <v>8</v>
      </c>
      <c r="RH405" s="27" t="s">
        <v>7</v>
      </c>
      <c r="RI405" s="27" t="s">
        <v>8</v>
      </c>
      <c r="RJ405" s="27" t="s">
        <v>7</v>
      </c>
      <c r="RK405" s="27" t="s">
        <v>8</v>
      </c>
      <c r="RL405" s="27" t="s">
        <v>7</v>
      </c>
    </row>
    <row r="406" spans="1:484" x14ac:dyDescent="0.25">
      <c r="A406" s="7">
        <v>36.027247984129012</v>
      </c>
      <c r="B406"/>
      <c r="C406"/>
      <c r="D406"/>
      <c r="E406"/>
      <c r="OQ406" s="27" t="s">
        <v>8</v>
      </c>
      <c r="OR406" s="27" t="s">
        <v>7</v>
      </c>
      <c r="OS406" s="27" t="s">
        <v>8</v>
      </c>
      <c r="QR406" s="27" t="s">
        <v>7</v>
      </c>
      <c r="QS406" s="27" t="s">
        <v>8</v>
      </c>
      <c r="RH406" s="27" t="s">
        <v>7</v>
      </c>
      <c r="RI406" s="27" t="s">
        <v>8</v>
      </c>
      <c r="RJ406" s="27" t="s">
        <v>7</v>
      </c>
      <c r="RK406" s="27" t="s">
        <v>8</v>
      </c>
      <c r="RL406" s="27" t="s">
        <v>7</v>
      </c>
    </row>
    <row r="407" spans="1:484" x14ac:dyDescent="0.25">
      <c r="A407" s="7">
        <v>35.320831356989224</v>
      </c>
      <c r="B407"/>
      <c r="C407"/>
      <c r="D407"/>
      <c r="E407"/>
      <c r="OQ407" s="27" t="s">
        <v>8</v>
      </c>
      <c r="OR407" s="27" t="s">
        <v>7</v>
      </c>
      <c r="OS407" s="27" t="s">
        <v>8</v>
      </c>
      <c r="QR407" s="27" t="s">
        <v>7</v>
      </c>
      <c r="QS407" s="27" t="s">
        <v>8</v>
      </c>
      <c r="RH407" s="27" t="s">
        <v>7</v>
      </c>
      <c r="RJ407" s="27" t="s">
        <v>7</v>
      </c>
      <c r="RK407" s="27" t="s">
        <v>8</v>
      </c>
      <c r="RL407" s="27" t="s">
        <v>7</v>
      </c>
    </row>
    <row r="408" spans="1:484" x14ac:dyDescent="0.25">
      <c r="A408" s="7">
        <v>34.628266036263945</v>
      </c>
      <c r="B408"/>
      <c r="C408"/>
      <c r="D408"/>
      <c r="E408"/>
      <c r="OQ408" s="27" t="s">
        <v>8</v>
      </c>
      <c r="OR408" s="27" t="s">
        <v>7</v>
      </c>
      <c r="OS408" s="27" t="s">
        <v>8</v>
      </c>
      <c r="QR408" s="27" t="s">
        <v>7</v>
      </c>
      <c r="QS408" s="27" t="s">
        <v>8</v>
      </c>
      <c r="RJ408" s="27" t="s">
        <v>7</v>
      </c>
      <c r="RK408" s="27" t="s">
        <v>8</v>
      </c>
      <c r="RL408" s="27" t="s">
        <v>7</v>
      </c>
    </row>
    <row r="409" spans="1:484" x14ac:dyDescent="0.25">
      <c r="A409" s="7">
        <v>33.949280427709752</v>
      </c>
      <c r="B409"/>
      <c r="C409"/>
      <c r="D409"/>
      <c r="E409"/>
      <c r="OQ409" s="27" t="s">
        <v>8</v>
      </c>
      <c r="OR409" s="27" t="s">
        <v>7</v>
      </c>
      <c r="QR409" s="27" t="s">
        <v>7</v>
      </c>
      <c r="QS409" s="27" t="s">
        <v>8</v>
      </c>
      <c r="RJ409" s="27" t="s">
        <v>7</v>
      </c>
      <c r="RK409" s="27" t="s">
        <v>8</v>
      </c>
      <c r="RL409" s="27" t="s">
        <v>7</v>
      </c>
    </row>
    <row r="410" spans="1:484" x14ac:dyDescent="0.25">
      <c r="A410" s="7">
        <v>33.28360826246054</v>
      </c>
      <c r="B410"/>
      <c r="C410"/>
      <c r="D410"/>
      <c r="E410"/>
      <c r="OQ410" s="27" t="s">
        <v>8</v>
      </c>
      <c r="QR410" s="27" t="s">
        <v>7</v>
      </c>
      <c r="RJ410" s="27" t="s">
        <v>7</v>
      </c>
      <c r="RL410" s="27" t="s">
        <v>7</v>
      </c>
    </row>
    <row r="411" spans="1:484" x14ac:dyDescent="0.25">
      <c r="A411" s="7">
        <v>32.630988492608374</v>
      </c>
      <c r="B411"/>
      <c r="C411"/>
      <c r="D411"/>
      <c r="E411"/>
      <c r="OQ411" s="27" t="s">
        <v>8</v>
      </c>
      <c r="RL411" s="27" t="s">
        <v>7</v>
      </c>
    </row>
    <row r="412" spans="1:484" x14ac:dyDescent="0.25">
      <c r="A412" s="7">
        <v>31.99116518883174</v>
      </c>
      <c r="B412"/>
      <c r="C412"/>
      <c r="D412"/>
      <c r="E412"/>
      <c r="OQ412" s="27" t="s">
        <v>8</v>
      </c>
      <c r="RL412" s="27" t="s">
        <v>7</v>
      </c>
      <c r="RO412" s="27" t="s">
        <v>8</v>
      </c>
    </row>
    <row r="413" spans="1:484" x14ac:dyDescent="0.25">
      <c r="A413" s="7">
        <v>31.363887440031117</v>
      </c>
      <c r="B413"/>
      <c r="C413"/>
      <c r="D413"/>
      <c r="E413"/>
      <c r="OQ413" s="27" t="s">
        <v>8</v>
      </c>
      <c r="RL413" s="27" t="s">
        <v>7</v>
      </c>
      <c r="RO413" s="27" t="s">
        <v>8</v>
      </c>
      <c r="RP413" s="27" t="s">
        <v>7</v>
      </c>
    </row>
    <row r="414" spans="1:484" x14ac:dyDescent="0.25">
      <c r="A414" s="7">
        <v>30.748909254932467</v>
      </c>
      <c r="B414"/>
      <c r="C414"/>
      <c r="D414"/>
      <c r="E414"/>
      <c r="OQ414" s="27" t="s">
        <v>8</v>
      </c>
      <c r="RL414" s="27" t="s">
        <v>7</v>
      </c>
      <c r="RO414" s="27" t="s">
        <v>8</v>
      </c>
      <c r="RP414" s="27" t="s">
        <v>7</v>
      </c>
    </row>
    <row r="415" spans="1:484" x14ac:dyDescent="0.25">
      <c r="A415" s="7">
        <v>30.145989465620065</v>
      </c>
      <c r="B415"/>
      <c r="C415"/>
      <c r="D415"/>
      <c r="E415"/>
      <c r="OQ415" s="27" t="s">
        <v>8</v>
      </c>
      <c r="RL415" s="27" t="s">
        <v>7</v>
      </c>
      <c r="RM415" s="27" t="s">
        <v>8</v>
      </c>
      <c r="RO415" s="27" t="s">
        <v>8</v>
      </c>
      <c r="RP415" s="27" t="s">
        <v>7</v>
      </c>
    </row>
    <row r="416" spans="1:484" x14ac:dyDescent="0.25">
      <c r="A416" s="7">
        <v>29.55489163296085</v>
      </c>
      <c r="B416"/>
      <c r="C416"/>
      <c r="D416"/>
      <c r="E416"/>
      <c r="OQ416" s="27" t="s">
        <v>8</v>
      </c>
      <c r="RL416" s="27" t="s">
        <v>7</v>
      </c>
      <c r="RM416" s="27" t="s">
        <v>8</v>
      </c>
      <c r="RN416" s="27" t="s">
        <v>7</v>
      </c>
      <c r="RO416" s="27" t="s">
        <v>8</v>
      </c>
      <c r="RP416" s="27" t="s">
        <v>7</v>
      </c>
    </row>
    <row r="417" spans="1:484" x14ac:dyDescent="0.25">
      <c r="A417" s="7">
        <v>28.975383953883185</v>
      </c>
      <c r="B417"/>
      <c r="C417"/>
      <c r="D417"/>
      <c r="E417"/>
      <c r="OQ417" s="27" t="s">
        <v>8</v>
      </c>
      <c r="RL417" s="27" t="s">
        <v>7</v>
      </c>
      <c r="RM417" s="27" t="s">
        <v>8</v>
      </c>
      <c r="RN417" s="27" t="s">
        <v>7</v>
      </c>
      <c r="RO417" s="27" t="s">
        <v>8</v>
      </c>
      <c r="RP417" s="27" t="s">
        <v>7</v>
      </c>
    </row>
    <row r="418" spans="1:484" x14ac:dyDescent="0.25">
      <c r="A418" s="7">
        <v>28.407239170473709</v>
      </c>
      <c r="B418"/>
      <c r="C418"/>
      <c r="D418"/>
      <c r="E418"/>
      <c r="OQ418" s="27" t="s">
        <v>8</v>
      </c>
      <c r="RL418" s="27" t="s">
        <v>7</v>
      </c>
      <c r="RM418" s="27" t="s">
        <v>8</v>
      </c>
      <c r="RN418" s="27" t="s">
        <v>7</v>
      </c>
      <c r="RO418" s="27" t="s">
        <v>8</v>
      </c>
      <c r="RP418" s="27" t="s">
        <v>7</v>
      </c>
    </row>
    <row r="419" spans="1:484" x14ac:dyDescent="0.25">
      <c r="A419" s="7">
        <v>27.850234480856578</v>
      </c>
      <c r="B419"/>
      <c r="C419"/>
      <c r="D419"/>
      <c r="E419"/>
      <c r="OQ419" s="27" t="s">
        <v>8</v>
      </c>
      <c r="RL419" s="27" t="s">
        <v>7</v>
      </c>
      <c r="RM419" s="27" t="s">
        <v>8</v>
      </c>
      <c r="RN419" s="27" t="s">
        <v>7</v>
      </c>
    </row>
    <row r="420" spans="1:484" x14ac:dyDescent="0.25">
      <c r="A420" s="7">
        <v>27.304151451820175</v>
      </c>
      <c r="B420"/>
      <c r="C420"/>
      <c r="D420"/>
      <c r="E420"/>
      <c r="OQ420" s="27" t="s">
        <v>8</v>
      </c>
      <c r="RL420" s="27" t="s">
        <v>7</v>
      </c>
      <c r="RM420" s="27" t="s">
        <v>8</v>
      </c>
    </row>
    <row r="421" spans="1:484" x14ac:dyDescent="0.25">
      <c r="A421" s="7">
        <v>26.768775933157034</v>
      </c>
      <c r="B421"/>
      <c r="C421"/>
      <c r="D421"/>
      <c r="E421"/>
      <c r="OQ421" s="27" t="s">
        <v>8</v>
      </c>
      <c r="RL421" s="27" t="s">
        <v>7</v>
      </c>
    </row>
    <row r="422" spans="1:484" x14ac:dyDescent="0.25">
      <c r="A422" s="7">
        <v>26.243897973683367</v>
      </c>
      <c r="B422"/>
      <c r="C422"/>
      <c r="D422"/>
      <c r="E422"/>
      <c r="OQ422" s="27" t="s">
        <v>8</v>
      </c>
    </row>
    <row r="423" spans="1:484" x14ac:dyDescent="0.25">
      <c r="A423" s="7">
        <v>25.729311738905263</v>
      </c>
      <c r="B423"/>
      <c r="C423"/>
      <c r="D423"/>
      <c r="E423"/>
      <c r="OQ423" s="27" t="s">
        <v>8</v>
      </c>
    </row>
    <row r="424" spans="1:484" x14ac:dyDescent="0.25">
      <c r="A424" s="7">
        <v>25.224815430299277</v>
      </c>
      <c r="B424"/>
      <c r="C424"/>
      <c r="D424"/>
      <c r="E424"/>
      <c r="OQ424" s="27" t="s">
        <v>8</v>
      </c>
    </row>
    <row r="425" spans="1:484" x14ac:dyDescent="0.25">
      <c r="A425" s="7">
        <v>24.73021120617576</v>
      </c>
      <c r="B425"/>
      <c r="C425"/>
      <c r="D425"/>
      <c r="E425"/>
      <c r="OQ425" s="27" t="s">
        <v>8</v>
      </c>
    </row>
    <row r="426" spans="1:484" x14ac:dyDescent="0.25">
      <c r="A426" s="7">
        <v>24.24530510409388</v>
      </c>
      <c r="B426"/>
      <c r="C426"/>
      <c r="D426"/>
      <c r="E426"/>
      <c r="OQ426" s="27" t="s">
        <v>8</v>
      </c>
    </row>
    <row r="427" spans="1:484" x14ac:dyDescent="0.25">
      <c r="A427" s="7">
        <v>23.769906964797922</v>
      </c>
      <c r="B427"/>
      <c r="C427"/>
      <c r="D427"/>
      <c r="E427"/>
      <c r="OQ427" s="27" t="s">
        <v>8</v>
      </c>
    </row>
    <row r="428" spans="1:484" x14ac:dyDescent="0.25">
      <c r="A428" s="7">
        <v>23.303830357645023</v>
      </c>
      <c r="B428"/>
      <c r="C428"/>
      <c r="D428"/>
      <c r="E428"/>
      <c r="OQ428" s="27" t="s">
        <v>8</v>
      </c>
    </row>
    <row r="429" spans="1:484" x14ac:dyDescent="0.25">
      <c r="A429" s="7">
        <v>22.84689250749512</v>
      </c>
      <c r="B429"/>
      <c r="C429"/>
      <c r="D429"/>
      <c r="E429"/>
      <c r="OQ429" s="27" t="s">
        <v>8</v>
      </c>
    </row>
    <row r="430" spans="1:484" x14ac:dyDescent="0.25">
      <c r="A430" s="7">
        <v>22.398914223034431</v>
      </c>
      <c r="B430"/>
      <c r="C430"/>
      <c r="D430"/>
      <c r="E430"/>
      <c r="OQ430" s="27" t="s">
        <v>8</v>
      </c>
    </row>
    <row r="431" spans="1:484" x14ac:dyDescent="0.25">
      <c r="A431" s="7">
        <v>21.959719826504344</v>
      </c>
      <c r="B431"/>
      <c r="C431"/>
      <c r="D431"/>
      <c r="E431"/>
      <c r="OQ431" s="27" t="s">
        <v>8</v>
      </c>
    </row>
    <row r="432" spans="1:484" x14ac:dyDescent="0.25">
      <c r="A432" s="7">
        <v>21.52913708480818</v>
      </c>
      <c r="B432"/>
      <c r="C432"/>
      <c r="D432"/>
      <c r="E432"/>
      <c r="OQ432" s="27" t="s">
        <v>8</v>
      </c>
    </row>
    <row r="433" spans="1:407" x14ac:dyDescent="0.25">
      <c r="A433" s="7">
        <v>21.106997141968804</v>
      </c>
      <c r="B433"/>
      <c r="C433"/>
      <c r="D433"/>
      <c r="E433"/>
      <c r="OQ433" s="27" t="s">
        <v>8</v>
      </c>
    </row>
    <row r="434" spans="1:407" x14ac:dyDescent="0.25">
      <c r="A434" s="7">
        <v>20.693134452910591</v>
      </c>
      <c r="B434"/>
      <c r="C434"/>
      <c r="D434"/>
      <c r="E434"/>
      <c r="OQ434" s="27" t="s">
        <v>8</v>
      </c>
    </row>
    <row r="435" spans="1:407" x14ac:dyDescent="0.25">
      <c r="A435" s="7">
        <v>20.287386718539796</v>
      </c>
      <c r="B435"/>
      <c r="C435"/>
      <c r="D435"/>
      <c r="E435"/>
      <c r="OQ435" s="27" t="s">
        <v>8</v>
      </c>
    </row>
    <row r="436" spans="1:407" x14ac:dyDescent="0.25">
      <c r="A436" s="7">
        <v>19.889594822097838</v>
      </c>
      <c r="B436"/>
      <c r="C436"/>
      <c r="D436"/>
      <c r="E436"/>
      <c r="OQ436" s="27" t="s">
        <v>8</v>
      </c>
    </row>
    <row r="437" spans="1:407" x14ac:dyDescent="0.25">
      <c r="A437" s="7">
        <v>19.499602766762585</v>
      </c>
      <c r="B437"/>
      <c r="C437"/>
      <c r="D437"/>
      <c r="E437"/>
      <c r="OQ437" s="27" t="s">
        <v>8</v>
      </c>
    </row>
    <row r="438" spans="1:407" x14ac:dyDescent="0.25">
      <c r="A438" s="7">
        <v>19.117257614473122</v>
      </c>
      <c r="B438"/>
      <c r="C438"/>
      <c r="D438"/>
      <c r="E438"/>
      <c r="OQ438" s="27" t="s">
        <v>8</v>
      </c>
    </row>
    <row r="439" spans="1:407" x14ac:dyDescent="0.25">
      <c r="A439" s="7">
        <v>18.74240942595404</v>
      </c>
      <c r="B439"/>
      <c r="C439"/>
      <c r="D439"/>
      <c r="E439"/>
      <c r="OQ439" s="27" t="s">
        <v>8</v>
      </c>
    </row>
    <row r="440" spans="1:407" x14ac:dyDescent="0.25">
      <c r="A440" s="7">
        <v>18.374911201915726</v>
      </c>
      <c r="B440"/>
      <c r="C440"/>
      <c r="D440"/>
      <c r="E440"/>
      <c r="OQ440" s="27" t="s">
        <v>8</v>
      </c>
    </row>
    <row r="441" spans="1:407" x14ac:dyDescent="0.25">
      <c r="A441" s="7">
        <v>18.014618825407574</v>
      </c>
      <c r="B441"/>
      <c r="C441"/>
      <c r="D441"/>
      <c r="E441"/>
      <c r="OQ441" s="27" t="s">
        <v>8</v>
      </c>
    </row>
    <row r="442" spans="1:407" x14ac:dyDescent="0.25">
      <c r="A442" s="7">
        <v>17.661391005301542</v>
      </c>
      <c r="B442"/>
      <c r="C442"/>
      <c r="D442"/>
      <c r="E442"/>
      <c r="OQ442" s="27" t="s">
        <v>8</v>
      </c>
    </row>
    <row r="443" spans="1:407" x14ac:dyDescent="0.25">
      <c r="A443" s="7">
        <v>17.315089220883866</v>
      </c>
      <c r="B443"/>
      <c r="C443"/>
      <c r="D443"/>
      <c r="E443"/>
      <c r="OQ443" s="27" t="s">
        <v>8</v>
      </c>
    </row>
    <row r="444" spans="1:407" x14ac:dyDescent="0.25">
      <c r="A444" s="7">
        <v>16.975577667533202</v>
      </c>
      <c r="B444"/>
      <c r="C444"/>
      <c r="D444"/>
      <c r="E444"/>
      <c r="OQ444" s="27" t="s">
        <v>8</v>
      </c>
    </row>
    <row r="445" spans="1:407" x14ac:dyDescent="0.25">
      <c r="A445" s="7">
        <v>16.642723203463923</v>
      </c>
      <c r="B445"/>
      <c r="C445"/>
      <c r="D445"/>
      <c r="E445"/>
      <c r="OQ445" s="27" t="s">
        <v>8</v>
      </c>
    </row>
    <row r="446" spans="1:407" x14ac:dyDescent="0.25">
      <c r="A446" s="7">
        <v>16.316395297513651</v>
      </c>
      <c r="B446"/>
      <c r="C446"/>
      <c r="D446"/>
      <c r="E446"/>
      <c r="OQ446" s="27" t="s">
        <v>8</v>
      </c>
    </row>
    <row r="447" spans="1:407" x14ac:dyDescent="0.25">
      <c r="A447" s="7">
        <v>15.996465977954561</v>
      </c>
      <c r="B447"/>
      <c r="C447"/>
      <c r="D447"/>
      <c r="E447"/>
      <c r="OQ447" s="27" t="s">
        <v>8</v>
      </c>
    </row>
    <row r="448" spans="1:407" x14ac:dyDescent="0.25">
      <c r="A448" s="7">
        <v>15.682809782308393</v>
      </c>
      <c r="B448"/>
      <c r="C448"/>
      <c r="D448"/>
      <c r="E448"/>
      <c r="OQ448" s="27" t="s">
        <v>8</v>
      </c>
    </row>
    <row r="449" spans="1:407" x14ac:dyDescent="0.25">
      <c r="A449" s="7">
        <v>15.375303708145482</v>
      </c>
      <c r="B449"/>
      <c r="C449"/>
      <c r="D449"/>
      <c r="E449"/>
      <c r="OQ449" s="27" t="s">
        <v>8</v>
      </c>
    </row>
    <row r="450" spans="1:407" x14ac:dyDescent="0.25">
      <c r="A450" s="7">
        <v>15.073827164848511</v>
      </c>
      <c r="B450"/>
      <c r="C450"/>
      <c r="D450"/>
      <c r="E450"/>
      <c r="OQ450" s="27" t="s">
        <v>8</v>
      </c>
    </row>
    <row r="451" spans="1:407" x14ac:dyDescent="0.25">
      <c r="A451" s="7">
        <v>14.77826192632207</v>
      </c>
      <c r="B451"/>
      <c r="C451"/>
      <c r="D451"/>
      <c r="E451"/>
      <c r="OQ451" s="27" t="s">
        <v>8</v>
      </c>
    </row>
    <row r="452" spans="1:407" x14ac:dyDescent="0.25">
      <c r="A452" s="7">
        <v>14.488492084629481</v>
      </c>
      <c r="B452"/>
      <c r="C452"/>
      <c r="D452"/>
      <c r="E452"/>
      <c r="OQ452" s="27" t="s">
        <v>8</v>
      </c>
    </row>
    <row r="453" spans="1:407" x14ac:dyDescent="0.25">
      <c r="A453" s="7">
        <v>14.204404004538707</v>
      </c>
      <c r="B453"/>
      <c r="C453"/>
      <c r="D453"/>
      <c r="E453"/>
      <c r="OQ453" s="27" t="s">
        <v>8</v>
      </c>
    </row>
    <row r="454" spans="1:407" x14ac:dyDescent="0.25">
      <c r="A454" s="7">
        <v>13.925886278959517</v>
      </c>
      <c r="B454"/>
      <c r="C454"/>
      <c r="D454"/>
      <c r="E454"/>
      <c r="OQ454" s="27" t="s">
        <v>8</v>
      </c>
    </row>
    <row r="455" spans="1:407" x14ac:dyDescent="0.25">
      <c r="A455" s="7">
        <v>13.652829685254428</v>
      </c>
      <c r="B455"/>
      <c r="C455"/>
      <c r="D455"/>
      <c r="E455"/>
      <c r="OQ455" s="27" t="s">
        <v>8</v>
      </c>
    </row>
    <row r="456" spans="1:407" x14ac:dyDescent="0.25">
      <c r="A456" s="7">
        <v>13.385127142406303</v>
      </c>
      <c r="B456"/>
      <c r="C456"/>
      <c r="D456"/>
      <c r="E456"/>
      <c r="OQ456" s="27" t="s">
        <v>8</v>
      </c>
    </row>
    <row r="457" spans="1:407" x14ac:dyDescent="0.25">
      <c r="A457" s="7">
        <v>13.122673669025787</v>
      </c>
      <c r="B457"/>
      <c r="C457"/>
      <c r="D457"/>
      <c r="E457"/>
      <c r="OQ457" s="27" t="s">
        <v>8</v>
      </c>
    </row>
    <row r="458" spans="1:407" x14ac:dyDescent="0.25">
      <c r="A458" s="7">
        <v>12.865366342182144</v>
      </c>
      <c r="B458"/>
      <c r="C458"/>
      <c r="D458"/>
      <c r="E458"/>
      <c r="OQ458" s="27" t="s">
        <v>8</v>
      </c>
    </row>
    <row r="459" spans="1:407" x14ac:dyDescent="0.25">
      <c r="A459" s="7">
        <v>12.613104257041318</v>
      </c>
      <c r="B459"/>
      <c r="C459"/>
      <c r="D459"/>
      <c r="E459"/>
      <c r="OQ459" s="27" t="s">
        <v>8</v>
      </c>
    </row>
    <row r="460" spans="1:407" x14ac:dyDescent="0.25">
      <c r="A460" s="7">
        <v>12.36578848729541</v>
      </c>
      <c r="B460"/>
      <c r="C460"/>
      <c r="D460"/>
      <c r="E460"/>
      <c r="OQ460" s="27" t="s">
        <v>8</v>
      </c>
    </row>
    <row r="461" spans="1:407" x14ac:dyDescent="0.25">
      <c r="A461" s="7">
        <v>12.123322046368049</v>
      </c>
      <c r="B461"/>
      <c r="C461"/>
      <c r="D461"/>
      <c r="E461"/>
      <c r="OQ461" s="27" t="s">
        <v>8</v>
      </c>
    </row>
    <row r="462" spans="1:407" x14ac:dyDescent="0.25">
      <c r="A462" s="7">
        <v>11.88560984938044</v>
      </c>
      <c r="B462"/>
      <c r="C462"/>
      <c r="D462"/>
      <c r="E462"/>
      <c r="OQ462" s="27" t="s">
        <v>8</v>
      </c>
    </row>
    <row r="463" spans="1:407" x14ac:dyDescent="0.25">
      <c r="A463" s="7">
        <v>11.652558675863176</v>
      </c>
      <c r="B463"/>
      <c r="C463"/>
      <c r="D463"/>
      <c r="E463"/>
      <c r="OQ463" s="27" t="s">
        <v>8</v>
      </c>
    </row>
    <row r="464" spans="1:407" x14ac:dyDescent="0.25">
      <c r="A464" s="7">
        <v>11.424077133199193</v>
      </c>
      <c r="B464"/>
      <c r="C464"/>
      <c r="D464"/>
      <c r="E464"/>
      <c r="OQ464" s="27" t="s">
        <v>8</v>
      </c>
    </row>
    <row r="465" spans="1:407" x14ac:dyDescent="0.25">
      <c r="A465" s="7">
        <v>11.200075620783522</v>
      </c>
      <c r="B465"/>
      <c r="C465"/>
      <c r="D465"/>
      <c r="E465"/>
      <c r="OQ465" s="27" t="s">
        <v>8</v>
      </c>
    </row>
    <row r="466" spans="1:407" x14ac:dyDescent="0.25">
      <c r="A466" s="7">
        <v>10.980466294885806</v>
      </c>
      <c r="B466"/>
      <c r="C466"/>
      <c r="D466"/>
      <c r="E466"/>
      <c r="OQ466" s="27" t="s">
        <v>8</v>
      </c>
    </row>
    <row r="467" spans="1:407" x14ac:dyDescent="0.25">
      <c r="A467" s="7">
        <v>10.765163034201771</v>
      </c>
      <c r="B467"/>
      <c r="C467"/>
      <c r="D467"/>
      <c r="E467"/>
      <c r="OQ467" s="27" t="s">
        <v>8</v>
      </c>
    </row>
    <row r="468" spans="1:407" x14ac:dyDescent="0.25">
      <c r="A468" s="7">
        <v>10.554081406080169</v>
      </c>
      <c r="B468"/>
      <c r="C468"/>
      <c r="D468"/>
      <c r="E468"/>
      <c r="OQ468" s="27" t="s">
        <v>8</v>
      </c>
    </row>
    <row r="469" spans="1:407" x14ac:dyDescent="0.25">
      <c r="A469" s="7">
        <v>10.34713863341193</v>
      </c>
      <c r="B469"/>
      <c r="C469"/>
      <c r="D469"/>
      <c r="E469"/>
      <c r="OQ469" s="27" t="s">
        <v>8</v>
      </c>
    </row>
    <row r="470" spans="1:407" x14ac:dyDescent="0.25">
      <c r="A470" s="7">
        <v>10.14425356216856</v>
      </c>
      <c r="B470"/>
      <c r="C470"/>
      <c r="D470"/>
      <c r="E470"/>
      <c r="OQ470" s="27" t="s">
        <v>8</v>
      </c>
    </row>
    <row r="471" spans="1:407" x14ac:dyDescent="0.25">
      <c r="A471" s="7">
        <v>9.9453466295770188</v>
      </c>
      <c r="B471"/>
      <c r="C471"/>
      <c r="D471"/>
      <c r="E471"/>
      <c r="OQ471" s="27" t="s">
        <v>8</v>
      </c>
    </row>
    <row r="472" spans="1:407" x14ac:dyDescent="0.25">
      <c r="A472" s="7">
        <v>9.7503398329186464</v>
      </c>
      <c r="B472"/>
      <c r="C472"/>
      <c r="D472"/>
      <c r="E472"/>
      <c r="OQ472" s="27" t="s">
        <v>8</v>
      </c>
    </row>
    <row r="473" spans="1:407" x14ac:dyDescent="0.25">
      <c r="A473" s="7">
        <v>9.5591566989398498</v>
      </c>
      <c r="B473"/>
      <c r="C473"/>
      <c r="D473"/>
      <c r="E473"/>
      <c r="OQ473" s="27" t="s">
        <v>8</v>
      </c>
    </row>
    <row r="474" spans="1:407" x14ac:dyDescent="0.25">
      <c r="A474" s="7">
        <v>9.3717222538625968</v>
      </c>
      <c r="B474"/>
      <c r="C474"/>
      <c r="D474"/>
      <c r="E474"/>
      <c r="OQ474" s="27" t="s">
        <v>8</v>
      </c>
    </row>
    <row r="475" spans="1:407" x14ac:dyDescent="0.25">
      <c r="A475" s="7">
        <v>9.1879629939829375</v>
      </c>
      <c r="B475"/>
      <c r="C475"/>
      <c r="D475"/>
      <c r="E475"/>
      <c r="OQ475" s="27" t="s">
        <v>8</v>
      </c>
    </row>
    <row r="476" spans="1:407" x14ac:dyDescent="0.25">
      <c r="A476" s="7">
        <v>9.0078068568460168</v>
      </c>
      <c r="B476"/>
      <c r="C476"/>
      <c r="D476"/>
      <c r="E476"/>
      <c r="OQ476" s="27" t="s">
        <v>8</v>
      </c>
    </row>
    <row r="477" spans="1:407" x14ac:dyDescent="0.25">
      <c r="A477" s="7">
        <v>8.8311831929862912</v>
      </c>
      <c r="B477"/>
      <c r="C477"/>
      <c r="D477"/>
      <c r="E477"/>
      <c r="OQ477" s="27" t="s">
        <v>8</v>
      </c>
    </row>
    <row r="478" spans="1:407" x14ac:dyDescent="0.25">
      <c r="A478" s="7">
        <v>8.6580227382218542</v>
      </c>
      <c r="B478"/>
      <c r="C478"/>
      <c r="D478"/>
      <c r="E478"/>
      <c r="OQ478" s="27" t="s">
        <v>8</v>
      </c>
    </row>
    <row r="479" spans="1:407" x14ac:dyDescent="0.25">
      <c r="A479" s="7">
        <v>8.4882575864920131</v>
      </c>
      <c r="B479"/>
      <c r="C479"/>
      <c r="D479"/>
      <c r="E479"/>
      <c r="OQ479" s="27" t="s">
        <v>8</v>
      </c>
    </row>
    <row r="480" spans="1:407" x14ac:dyDescent="0.25">
      <c r="A480" s="7">
        <v>8.3218211632274635</v>
      </c>
      <c r="B480"/>
      <c r="C480"/>
      <c r="D480"/>
      <c r="E480"/>
      <c r="OQ480" s="27" t="s">
        <v>8</v>
      </c>
    </row>
    <row r="481" spans="1:407" x14ac:dyDescent="0.25">
      <c r="A481" s="7">
        <v>8.1586481992426112</v>
      </c>
      <c r="B481"/>
      <c r="C481"/>
      <c r="D481"/>
      <c r="E481"/>
      <c r="OQ481" s="27" t="s">
        <v>8</v>
      </c>
    </row>
    <row r="482" spans="1:407" x14ac:dyDescent="0.25">
      <c r="A482" s="7">
        <v>7.9986747051398144</v>
      </c>
      <c r="B482"/>
      <c r="C482"/>
      <c r="D482"/>
      <c r="E482"/>
      <c r="OQ482" s="27" t="s">
        <v>8</v>
      </c>
    </row>
    <row r="483" spans="1:407" x14ac:dyDescent="0.25">
      <c r="A483" s="7">
        <v>7.8418379462155041</v>
      </c>
      <c r="B483"/>
      <c r="C483"/>
      <c r="D483"/>
      <c r="E483"/>
      <c r="OQ483" s="27" t="s">
        <v>8</v>
      </c>
    </row>
    <row r="484" spans="1:407" x14ac:dyDescent="0.25">
      <c r="A484" s="7">
        <v>7.688076417858337</v>
      </c>
      <c r="B484"/>
      <c r="C484"/>
      <c r="D484"/>
      <c r="E484"/>
      <c r="OQ484" s="27" t="s">
        <v>8</v>
      </c>
    </row>
    <row r="485" spans="1:407" x14ac:dyDescent="0.25">
      <c r="A485" s="7">
        <v>7.5373298214297417</v>
      </c>
      <c r="B485"/>
      <c r="C485"/>
      <c r="D485"/>
      <c r="E485"/>
      <c r="OQ485" s="27" t="s">
        <v>8</v>
      </c>
    </row>
    <row r="486" spans="1:407" x14ac:dyDescent="0.25">
      <c r="A486" s="7">
        <v>7.389539040617394</v>
      </c>
      <c r="B486"/>
      <c r="C486"/>
      <c r="D486"/>
      <c r="E486"/>
      <c r="OQ486" s="27" t="s">
        <v>8</v>
      </c>
    </row>
    <row r="487" spans="1:407" x14ac:dyDescent="0.25">
      <c r="A487" s="7">
        <v>7.2446461182523469</v>
      </c>
      <c r="B487"/>
      <c r="C487"/>
      <c r="D487"/>
      <c r="E487"/>
      <c r="OQ487" s="27" t="s">
        <v>8</v>
      </c>
    </row>
    <row r="488" spans="1:407" x14ac:dyDescent="0.25">
      <c r="A488" s="7">
        <v>7.1025942335807324</v>
      </c>
      <c r="B488"/>
      <c r="C488"/>
      <c r="D488"/>
      <c r="E488"/>
      <c r="OQ488" s="27" t="s">
        <v>8</v>
      </c>
    </row>
    <row r="489" spans="1:407" x14ac:dyDescent="0.25">
      <c r="A489" s="7">
        <v>6.9633276799811101</v>
      </c>
      <c r="B489"/>
      <c r="C489"/>
      <c r="D489"/>
      <c r="E489"/>
      <c r="OQ489" s="27" t="s">
        <v>8</v>
      </c>
    </row>
    <row r="490" spans="1:407" x14ac:dyDescent="0.25">
      <c r="A490" s="7">
        <v>6.8267918431187349</v>
      </c>
      <c r="B490"/>
      <c r="C490"/>
      <c r="D490"/>
      <c r="E490"/>
      <c r="OQ490" s="27" t="s">
        <v>8</v>
      </c>
    </row>
    <row r="491" spans="1:407" x14ac:dyDescent="0.25">
      <c r="A491" s="7">
        <v>6.692933179528171</v>
      </c>
      <c r="B491"/>
      <c r="C491"/>
      <c r="D491"/>
      <c r="E491"/>
      <c r="OQ491" s="27" t="s">
        <v>8</v>
      </c>
    </row>
    <row r="492" spans="1:407" x14ac:dyDescent="0.25">
      <c r="A492" s="7">
        <v>6.5616991956158541</v>
      </c>
      <c r="B492"/>
      <c r="C492"/>
      <c r="D492"/>
      <c r="E492"/>
      <c r="OQ492" s="27" t="s">
        <v>8</v>
      </c>
    </row>
    <row r="493" spans="1:407" x14ac:dyDescent="0.25">
      <c r="A493" s="7">
        <v>6.4330384270743668</v>
      </c>
      <c r="B493"/>
      <c r="C493"/>
      <c r="D493"/>
      <c r="E493"/>
      <c r="OQ493" s="27" t="s">
        <v>8</v>
      </c>
    </row>
    <row r="494" spans="1:407" x14ac:dyDescent="0.25">
      <c r="A494" s="7">
        <v>6.3069004187003594</v>
      </c>
      <c r="B494"/>
      <c r="C494"/>
      <c r="D494"/>
      <c r="E494"/>
      <c r="OQ494" s="27" t="s">
        <v>8</v>
      </c>
    </row>
    <row r="495" spans="1:407" x14ac:dyDescent="0.25">
      <c r="A495" s="7">
        <v>6.1832357046081956</v>
      </c>
      <c r="B495"/>
      <c r="C495"/>
      <c r="D495"/>
      <c r="E495"/>
      <c r="OQ495" s="27" t="s">
        <v>8</v>
      </c>
    </row>
    <row r="496" spans="1:407" x14ac:dyDescent="0.25">
      <c r="A496" s="7">
        <v>6.0619957888315641</v>
      </c>
      <c r="B496"/>
      <c r="C496"/>
      <c r="D496"/>
      <c r="E496"/>
      <c r="OQ496" s="27" t="s">
        <v>8</v>
      </c>
    </row>
    <row r="497" spans="1:407" x14ac:dyDescent="0.25">
      <c r="A497" s="7">
        <v>5.9431331263054545</v>
      </c>
      <c r="B497"/>
      <c r="C497"/>
      <c r="D497"/>
      <c r="E497"/>
      <c r="OQ497" s="27" t="s">
        <v>8</v>
      </c>
    </row>
    <row r="498" spans="1:407" x14ac:dyDescent="0.25">
      <c r="A498" s="7">
        <v>5.8266011042210337</v>
      </c>
      <c r="B498"/>
      <c r="C498"/>
      <c r="D498"/>
      <c r="E498"/>
      <c r="OQ498" s="27" t="s">
        <v>8</v>
      </c>
    </row>
    <row r="499" spans="1:407" x14ac:dyDescent="0.25">
      <c r="A499" s="7">
        <v>5.7123540237461112</v>
      </c>
      <c r="B499"/>
      <c r="C499"/>
      <c r="D499"/>
      <c r="E499"/>
      <c r="OQ499" s="27" t="s">
        <v>8</v>
      </c>
    </row>
    <row r="500" spans="1:407" x14ac:dyDescent="0.25">
      <c r="A500" s="7">
        <v>5.6003470821040304</v>
      </c>
      <c r="B500"/>
      <c r="C500"/>
      <c r="D500"/>
      <c r="E500"/>
      <c r="OQ500" s="27" t="s">
        <v>8</v>
      </c>
    </row>
    <row r="501" spans="1:407" x14ac:dyDescent="0.25">
      <c r="A501" s="7">
        <v>5.4905363550039512</v>
      </c>
      <c r="B501"/>
      <c r="C501"/>
      <c r="D501"/>
      <c r="E501"/>
      <c r="OQ501" s="27" t="s">
        <v>8</v>
      </c>
    </row>
    <row r="502" spans="1:407" x14ac:dyDescent="0.25">
      <c r="A502" s="7">
        <v>5.3828787794156385</v>
      </c>
      <c r="B502"/>
      <c r="C502"/>
      <c r="D502"/>
      <c r="E502"/>
      <c r="OQ502" s="27" t="s">
        <v>8</v>
      </c>
    </row>
    <row r="503" spans="1:407" x14ac:dyDescent="0.25">
      <c r="A503" s="7">
        <v>5.2773321366819985</v>
      </c>
      <c r="B503"/>
      <c r="C503"/>
      <c r="D503"/>
      <c r="E503"/>
      <c r="OQ503" s="27" t="s">
        <v>8</v>
      </c>
    </row>
    <row r="504" spans="1:407" x14ac:dyDescent="0.25">
      <c r="A504" s="7">
        <v>5.1738550359627435</v>
      </c>
      <c r="B504"/>
      <c r="C504"/>
      <c r="D504"/>
      <c r="E504"/>
      <c r="OQ504" s="27" t="s">
        <v>8</v>
      </c>
    </row>
    <row r="505" spans="1:407" x14ac:dyDescent="0.25">
      <c r="A505" s="7">
        <v>5.07240689800269</v>
      </c>
      <c r="B505"/>
      <c r="C505"/>
      <c r="D505"/>
      <c r="E505"/>
      <c r="OQ505" s="27" t="s">
        <v>8</v>
      </c>
    </row>
    <row r="506" spans="1:407" x14ac:dyDescent="0.25">
      <c r="A506" s="7">
        <v>4.9729479392183231</v>
      </c>
      <c r="B506"/>
      <c r="C506"/>
      <c r="D506"/>
      <c r="E506"/>
      <c r="OQ506" s="27" t="s">
        <v>8</v>
      </c>
    </row>
    <row r="507" spans="1:407" x14ac:dyDescent="0.25">
      <c r="A507" s="7">
        <v>4.8754391560963954</v>
      </c>
      <c r="B507"/>
      <c r="C507"/>
      <c r="D507"/>
      <c r="E507"/>
      <c r="OQ507" s="27" t="s">
        <v>8</v>
      </c>
    </row>
    <row r="508" spans="1:407" x14ac:dyDescent="0.25">
      <c r="A508" s="7">
        <v>4.7798423098984264</v>
      </c>
      <c r="B508"/>
      <c r="C508"/>
      <c r="D508"/>
      <c r="E508"/>
      <c r="OQ508" s="27" t="s">
        <v>8</v>
      </c>
    </row>
    <row r="509" spans="1:407" x14ac:dyDescent="0.25">
      <c r="A509" s="7">
        <v>4.6861199116651235</v>
      </c>
      <c r="B509"/>
      <c r="C509"/>
      <c r="D509"/>
      <c r="E509"/>
      <c r="OQ509" s="27" t="s">
        <v>8</v>
      </c>
    </row>
    <row r="510" spans="1:407" x14ac:dyDescent="0.25">
      <c r="A510" s="7">
        <v>4.5942352075148269</v>
      </c>
      <c r="B510"/>
      <c r="C510"/>
      <c r="D510"/>
      <c r="E510"/>
      <c r="OQ510" s="27" t="s">
        <v>8</v>
      </c>
    </row>
    <row r="511" spans="1:407" x14ac:dyDescent="0.25">
      <c r="A511" s="7">
        <v>4.5041521642302227</v>
      </c>
      <c r="B511"/>
      <c r="C511"/>
      <c r="D511"/>
      <c r="E511"/>
      <c r="OQ511" s="27" t="s">
        <v>8</v>
      </c>
    </row>
    <row r="512" spans="1:407" x14ac:dyDescent="0.25">
      <c r="A512" s="7">
        <v>4.4158354551276693</v>
      </c>
      <c r="B512"/>
      <c r="C512"/>
      <c r="D512"/>
      <c r="E512"/>
      <c r="OQ512" s="27" t="s">
        <v>8</v>
      </c>
    </row>
    <row r="513" spans="1:407" x14ac:dyDescent="0.25">
      <c r="A513" s="7">
        <v>4.3292504462035977</v>
      </c>
      <c r="B513"/>
      <c r="C513"/>
      <c r="D513"/>
      <c r="E513"/>
      <c r="OQ513" s="27" t="s">
        <v>8</v>
      </c>
    </row>
    <row r="514" spans="1:407" x14ac:dyDescent="0.25">
      <c r="A514" s="7">
        <v>4.2443631825525463</v>
      </c>
      <c r="B514"/>
      <c r="C514"/>
      <c r="D514"/>
      <c r="E514"/>
      <c r="OQ514" s="27" t="s">
        <v>8</v>
      </c>
    </row>
    <row r="515" spans="1:407" x14ac:dyDescent="0.25">
      <c r="A515" s="7">
        <v>4.1611403750515157</v>
      </c>
      <c r="B515"/>
      <c r="C515"/>
      <c r="D515"/>
      <c r="E515"/>
      <c r="OQ515" s="27" t="s">
        <v>8</v>
      </c>
    </row>
    <row r="516" spans="1:407" x14ac:dyDescent="0.25">
      <c r="A516" s="7">
        <v>4.0795493873054074</v>
      </c>
      <c r="B516"/>
      <c r="C516"/>
      <c r="D516"/>
      <c r="E516"/>
      <c r="OQ516" s="27" t="s">
        <v>8</v>
      </c>
    </row>
    <row r="517" spans="1:407" x14ac:dyDescent="0.25">
      <c r="A517" s="7">
        <v>3.9995582228484383</v>
      </c>
      <c r="B517"/>
      <c r="C517"/>
      <c r="D517"/>
      <c r="E517"/>
      <c r="OQ517" s="27" t="s">
        <v>8</v>
      </c>
    </row>
    <row r="518" spans="1:407" x14ac:dyDescent="0.25">
      <c r="A518" s="7">
        <v>3.9211355125965079</v>
      </c>
      <c r="B518"/>
      <c r="C518"/>
      <c r="D518"/>
      <c r="E518"/>
      <c r="OQ518" s="27" t="s">
        <v>8</v>
      </c>
    </row>
    <row r="519" spans="1:407" x14ac:dyDescent="0.25">
      <c r="A519" s="7">
        <v>3.844250502545596</v>
      </c>
      <c r="B519"/>
      <c r="C519"/>
      <c r="D519"/>
      <c r="E519"/>
      <c r="OQ519" s="27" t="s">
        <v>8</v>
      </c>
    </row>
    <row r="520" spans="1:407" x14ac:dyDescent="0.25">
      <c r="A520" s="7">
        <v>3.7688730417113687</v>
      </c>
      <c r="B520"/>
      <c r="C520"/>
      <c r="D520"/>
      <c r="E520"/>
      <c r="OQ520" s="27" t="s">
        <v>8</v>
      </c>
    </row>
    <row r="521" spans="1:407" x14ac:dyDescent="0.25">
      <c r="A521" s="7">
        <v>3.6949735703052635</v>
      </c>
      <c r="B521"/>
      <c r="C521"/>
      <c r="D521"/>
      <c r="E521"/>
      <c r="OQ521" s="27" t="s">
        <v>8</v>
      </c>
    </row>
    <row r="522" spans="1:407" x14ac:dyDescent="0.25">
      <c r="A522" s="7">
        <v>3.6225231081424152</v>
      </c>
      <c r="B522"/>
      <c r="C522"/>
      <c r="D522"/>
      <c r="E522"/>
      <c r="OQ522" s="27" t="s">
        <v>8</v>
      </c>
    </row>
    <row r="523" spans="1:407" x14ac:dyDescent="0.25">
      <c r="A523" s="7">
        <v>3.5514932432768775</v>
      </c>
      <c r="B523"/>
      <c r="C523"/>
      <c r="D523"/>
      <c r="E523"/>
      <c r="OQ523" s="27" t="s">
        <v>8</v>
      </c>
    </row>
    <row r="524" spans="1:407" x14ac:dyDescent="0.25">
      <c r="A524" s="7">
        <v>3.4818561208596837</v>
      </c>
      <c r="B524"/>
      <c r="C524"/>
      <c r="D524"/>
      <c r="E524"/>
      <c r="OQ524" s="27" t="s">
        <v>8</v>
      </c>
    </row>
    <row r="525" spans="1:407" x14ac:dyDescent="0.25">
      <c r="A525" s="7">
        <v>3.4135844322153761</v>
      </c>
      <c r="B525"/>
      <c r="C525"/>
      <c r="D525"/>
      <c r="E525"/>
      <c r="OQ525" s="27" t="s">
        <v>8</v>
      </c>
    </row>
    <row r="526" spans="1:407" x14ac:dyDescent="0.25">
      <c r="A526" s="7">
        <v>3.3466514041327216</v>
      </c>
      <c r="B526"/>
      <c r="C526"/>
      <c r="D526"/>
      <c r="E526"/>
      <c r="OQ526" s="27" t="s">
        <v>8</v>
      </c>
    </row>
    <row r="527" spans="1:407" x14ac:dyDescent="0.25">
      <c r="A527" s="7">
        <v>3.2810307883654133</v>
      </c>
      <c r="B527"/>
      <c r="C527"/>
      <c r="D527"/>
      <c r="E527"/>
      <c r="OQ527" s="27" t="s">
        <v>8</v>
      </c>
    </row>
    <row r="528" spans="1:407" x14ac:dyDescent="0.25">
      <c r="A528" s="7">
        <v>3.2166968513386403</v>
      </c>
      <c r="B528"/>
      <c r="C528"/>
      <c r="D528"/>
      <c r="E528"/>
      <c r="OQ528" s="27" t="s">
        <v>8</v>
      </c>
    </row>
    <row r="529" spans="1:407" x14ac:dyDescent="0.25">
      <c r="A529" s="7">
        <v>3.1536243640574906</v>
      </c>
      <c r="B529"/>
      <c r="C529"/>
      <c r="D529"/>
      <c r="E529"/>
      <c r="OQ529" s="27" t="s">
        <v>8</v>
      </c>
    </row>
    <row r="530" spans="1:407" x14ac:dyDescent="0.25">
      <c r="A530" s="7">
        <v>3.0917885922132262</v>
      </c>
      <c r="B530"/>
      <c r="C530"/>
      <c r="D530"/>
      <c r="E530"/>
      <c r="OQ530" s="27" t="s">
        <v>8</v>
      </c>
    </row>
    <row r="531" spans="1:407" x14ac:dyDescent="0.25">
      <c r="A531" s="7">
        <v>3.0311652864835552</v>
      </c>
      <c r="B531"/>
      <c r="C531"/>
      <c r="D531"/>
      <c r="E531"/>
      <c r="OQ531" s="27" t="s">
        <v>8</v>
      </c>
    </row>
    <row r="532" spans="1:407" x14ac:dyDescent="0.25">
      <c r="A532" s="7">
        <v>2.9717306730230932</v>
      </c>
      <c r="B532"/>
      <c r="C532"/>
      <c r="D532"/>
      <c r="E532"/>
      <c r="OQ532" s="27" t="s">
        <v>8</v>
      </c>
    </row>
    <row r="533" spans="1:407" x14ac:dyDescent="0.25">
      <c r="A533" s="7">
        <v>2.9134614441402875</v>
      </c>
      <c r="B533"/>
      <c r="C533"/>
      <c r="D533"/>
      <c r="E533"/>
      <c r="OQ533" s="27" t="s">
        <v>8</v>
      </c>
    </row>
    <row r="534" spans="1:407" x14ac:dyDescent="0.25">
      <c r="A534" s="7">
        <v>2.8563347491571447</v>
      </c>
      <c r="B534"/>
      <c r="C534"/>
      <c r="D534"/>
      <c r="E534"/>
      <c r="OQ534" s="27" t="s">
        <v>8</v>
      </c>
    </row>
    <row r="535" spans="1:407" x14ac:dyDescent="0.25">
      <c r="A535" s="7">
        <v>2.8003281854481812</v>
      </c>
      <c r="B535"/>
      <c r="C535"/>
      <c r="D535"/>
      <c r="E535"/>
      <c r="OQ535" s="27" t="s">
        <v>8</v>
      </c>
    </row>
    <row r="536" spans="1:407" x14ac:dyDescent="0.25">
      <c r="A536" s="7">
        <v>2.7454197896550796</v>
      </c>
      <c r="B536"/>
      <c r="C536"/>
      <c r="D536"/>
      <c r="E536"/>
      <c r="OQ536" s="27" t="s">
        <v>8</v>
      </c>
    </row>
    <row r="537" spans="1:407" x14ac:dyDescent="0.25">
      <c r="A537" s="7">
        <v>2.6915880290736074</v>
      </c>
      <c r="B537"/>
      <c r="C537"/>
      <c r="D537"/>
      <c r="E537"/>
      <c r="OQ537" s="27" t="s">
        <v>8</v>
      </c>
    </row>
    <row r="538" spans="1:407" x14ac:dyDescent="0.25">
      <c r="A538" s="7">
        <v>2.6388117932094191</v>
      </c>
      <c r="B538"/>
      <c r="C538"/>
      <c r="D538"/>
      <c r="E538"/>
      <c r="OQ538" s="27" t="s">
        <v>8</v>
      </c>
    </row>
    <row r="539" spans="1:407" x14ac:dyDescent="0.25">
      <c r="A539" s="7">
        <v>2.5870703854994304</v>
      </c>
      <c r="B539"/>
      <c r="C539"/>
      <c r="D539"/>
      <c r="E539"/>
      <c r="OQ539" s="27" t="s">
        <v>8</v>
      </c>
    </row>
    <row r="540" spans="1:407" x14ac:dyDescent="0.25">
      <c r="A540" s="7">
        <v>2.53634351519552</v>
      </c>
      <c r="B540"/>
      <c r="C540"/>
      <c r="D540"/>
      <c r="E540"/>
      <c r="OQ540" s="27" t="s">
        <v>8</v>
      </c>
    </row>
    <row r="541" spans="1:407" x14ac:dyDescent="0.25">
      <c r="A541" s="7">
        <v>2.4866112894073726</v>
      </c>
      <c r="B541"/>
      <c r="C541"/>
      <c r="D541"/>
      <c r="E541"/>
      <c r="OQ541" s="27" t="s">
        <v>8</v>
      </c>
    </row>
    <row r="542" spans="1:407" x14ac:dyDescent="0.25">
      <c r="A542" s="7">
        <v>2.4378542053013459</v>
      </c>
      <c r="B542"/>
      <c r="C542"/>
      <c r="D542"/>
      <c r="E542"/>
      <c r="OQ542" s="27" t="s">
        <v>8</v>
      </c>
    </row>
    <row r="543" spans="1:407" x14ac:dyDescent="0.25">
      <c r="A543" s="7">
        <v>2.3900531424522997</v>
      </c>
      <c r="B543"/>
      <c r="C543"/>
      <c r="D543"/>
      <c r="E543"/>
      <c r="OQ543" s="27" t="s">
        <v>8</v>
      </c>
    </row>
    <row r="544" spans="1:407" x14ac:dyDescent="0.25">
      <c r="A544" s="7">
        <v>2.343189355345392</v>
      </c>
      <c r="B544"/>
      <c r="C544"/>
      <c r="D544"/>
      <c r="E544"/>
      <c r="OQ544" s="27" t="s">
        <v>8</v>
      </c>
    </row>
    <row r="545" spans="1:407" x14ac:dyDescent="0.25">
      <c r="A545" s="7">
        <v>2.2972444660248938</v>
      </c>
      <c r="B545"/>
      <c r="C545"/>
      <c r="D545"/>
      <c r="E545"/>
      <c r="OQ545" s="27" t="s">
        <v>8</v>
      </c>
    </row>
    <row r="546" spans="1:407" x14ac:dyDescent="0.25">
      <c r="A546" s="7">
        <v>2.252200456887151</v>
      </c>
      <c r="B546"/>
      <c r="C546"/>
      <c r="D546"/>
      <c r="E546"/>
      <c r="OQ546" s="27" t="s">
        <v>8</v>
      </c>
    </row>
    <row r="547" spans="1:407" x14ac:dyDescent="0.25">
      <c r="A547" s="7">
        <v>2.208039663614854</v>
      </c>
      <c r="B547"/>
      <c r="C547"/>
      <c r="D547"/>
      <c r="E547"/>
      <c r="OQ547" s="27" t="s">
        <v>8</v>
      </c>
    </row>
    <row r="548" spans="1:407" x14ac:dyDescent="0.25">
      <c r="A548" s="7">
        <v>2.1647447682498568</v>
      </c>
      <c r="B548"/>
      <c r="C548"/>
      <c r="D548"/>
      <c r="E548"/>
      <c r="OQ548" s="27" t="s">
        <v>8</v>
      </c>
    </row>
    <row r="549" spans="1:407" x14ac:dyDescent="0.25">
      <c r="A549" s="7">
        <v>2.1222987924018204</v>
      </c>
      <c r="B549"/>
      <c r="C549"/>
      <c r="D549"/>
      <c r="E549"/>
      <c r="OQ549" s="27" t="s">
        <v>8</v>
      </c>
    </row>
    <row r="550" spans="1:407" x14ac:dyDescent="0.25">
      <c r="A550" s="7">
        <v>2.0806850905900198</v>
      </c>
      <c r="B550"/>
      <c r="C550"/>
      <c r="D550"/>
      <c r="E550"/>
      <c r="OQ550" s="27" t="s">
        <v>8</v>
      </c>
    </row>
    <row r="551" spans="1:407" x14ac:dyDescent="0.25">
      <c r="A551" s="7">
        <v>2.0398873437157055</v>
      </c>
      <c r="B551"/>
      <c r="C551"/>
      <c r="D551"/>
      <c r="E551"/>
      <c r="OQ551" s="27" t="s">
        <v>8</v>
      </c>
    </row>
    <row r="552" spans="1:407" x14ac:dyDescent="0.25">
      <c r="A552" s="7">
        <v>1.9998895526624565</v>
      </c>
      <c r="B552"/>
      <c r="C552"/>
      <c r="D552"/>
      <c r="E552"/>
      <c r="OQ552" s="27" t="s">
        <v>8</v>
      </c>
    </row>
    <row r="553" spans="1:407" x14ac:dyDescent="0.25">
      <c r="A553" s="7">
        <v>1.9606760320220162</v>
      </c>
      <c r="B553"/>
      <c r="C553"/>
      <c r="D553"/>
      <c r="E553"/>
      <c r="OQ553" s="27" t="s">
        <v>8</v>
      </c>
    </row>
    <row r="554" spans="1:407" x14ac:dyDescent="0.25">
      <c r="A554" s="7">
        <v>1.9222314039431532</v>
      </c>
      <c r="B554"/>
      <c r="C554"/>
      <c r="D554"/>
      <c r="E554"/>
      <c r="OQ554" s="27" t="s">
        <v>8</v>
      </c>
    </row>
    <row r="555" spans="1:407" x14ac:dyDescent="0.25">
      <c r="A555" s="7">
        <v>1.8845405921011305</v>
      </c>
      <c r="B555"/>
      <c r="C555"/>
      <c r="D555"/>
      <c r="E555"/>
      <c r="OQ555" s="27" t="s">
        <v>8</v>
      </c>
    </row>
    <row r="556" spans="1:407" x14ac:dyDescent="0.25">
      <c r="A556" s="7">
        <v>1.8475888157854219</v>
      </c>
      <c r="B556"/>
      <c r="C556"/>
      <c r="D556"/>
      <c r="E556"/>
      <c r="OQ556" s="27" t="s">
        <v>8</v>
      </c>
    </row>
    <row r="557" spans="1:407" x14ac:dyDescent="0.25">
      <c r="A557" s="7">
        <v>1.8113615841033548</v>
      </c>
      <c r="B557"/>
      <c r="C557"/>
      <c r="D557"/>
      <c r="E557"/>
      <c r="OQ557" s="27" t="s">
        <v>8</v>
      </c>
    </row>
    <row r="558" spans="1:407" x14ac:dyDescent="0.25">
      <c r="A558" s="7">
        <v>1.7758446902974065</v>
      </c>
      <c r="B558"/>
      <c r="C558"/>
      <c r="D558"/>
      <c r="E558"/>
      <c r="OQ558" s="27" t="s">
        <v>8</v>
      </c>
    </row>
    <row r="559" spans="1:407" x14ac:dyDescent="0.25">
      <c r="A559" s="7">
        <v>1.7410242061739281</v>
      </c>
      <c r="B559"/>
      <c r="C559"/>
      <c r="D559"/>
      <c r="E559"/>
      <c r="OQ559" s="27" t="s">
        <v>8</v>
      </c>
    </row>
    <row r="560" spans="1:407" x14ac:dyDescent="0.25">
      <c r="A560" s="7">
        <v>1.7068864766411058</v>
      </c>
      <c r="B560"/>
      <c r="C560"/>
      <c r="D560"/>
      <c r="E560"/>
      <c r="OQ560" s="27" t="s">
        <v>8</v>
      </c>
    </row>
    <row r="561" spans="1:407" x14ac:dyDescent="0.25">
      <c r="A561" s="7">
        <v>1.6734181143540252</v>
      </c>
      <c r="B561"/>
      <c r="C561"/>
      <c r="D561"/>
      <c r="E561"/>
      <c r="OQ561" s="27" t="s">
        <v>8</v>
      </c>
    </row>
    <row r="562" spans="1:407" x14ac:dyDescent="0.25">
      <c r="A562" s="7">
        <v>1.6406059944647307</v>
      </c>
      <c r="B562"/>
      <c r="C562"/>
      <c r="D562"/>
      <c r="E562"/>
      <c r="OQ562" s="27" t="s">
        <v>8</v>
      </c>
    </row>
    <row r="563" spans="1:407" x14ac:dyDescent="0.25">
      <c r="A563" s="7">
        <v>1.6084372494752261</v>
      </c>
      <c r="B563"/>
      <c r="C563"/>
      <c r="D563"/>
      <c r="E563"/>
      <c r="OQ563" s="27" t="s">
        <v>8</v>
      </c>
    </row>
    <row r="564" spans="1:407" x14ac:dyDescent="0.25">
      <c r="A564" s="7">
        <v>1.5768992641913981</v>
      </c>
      <c r="B564"/>
      <c r="C564"/>
      <c r="D564"/>
      <c r="E564"/>
      <c r="OQ564" s="27" t="s">
        <v>8</v>
      </c>
    </row>
    <row r="565" spans="1:407" x14ac:dyDescent="0.25">
      <c r="A565" s="7">
        <v>1.5459796707758806</v>
      </c>
      <c r="B565"/>
      <c r="C565"/>
      <c r="D565"/>
      <c r="E565"/>
      <c r="OQ565" s="27" t="s">
        <v>8</v>
      </c>
    </row>
    <row r="566" spans="1:407" x14ac:dyDescent="0.25">
      <c r="A566" s="7">
        <v>1.5156663438979221</v>
      </c>
      <c r="B566"/>
      <c r="C566"/>
      <c r="D566"/>
      <c r="E566"/>
      <c r="OQ566" s="27" t="s">
        <v>8</v>
      </c>
    </row>
    <row r="567" spans="1:407" x14ac:dyDescent="0.25">
      <c r="A567" s="7">
        <v>1.4859473959783549</v>
      </c>
      <c r="B567"/>
      <c r="C567"/>
      <c r="D567"/>
      <c r="E567"/>
      <c r="OQ567" s="27" t="s">
        <v>8</v>
      </c>
    </row>
    <row r="568" spans="1:407" x14ac:dyDescent="0.25">
      <c r="A568" s="7">
        <v>1.4568111725277988</v>
      </c>
      <c r="B568"/>
      <c r="C568"/>
      <c r="D568"/>
      <c r="E568"/>
      <c r="OQ568" s="27" t="s">
        <v>8</v>
      </c>
    </row>
    <row r="569" spans="1:407" x14ac:dyDescent="0.25">
      <c r="A569" s="7">
        <v>1.4282462475762734</v>
      </c>
      <c r="B569"/>
      <c r="C569"/>
      <c r="D569"/>
      <c r="E569"/>
      <c r="OQ569" s="27" t="s">
        <v>8</v>
      </c>
    </row>
    <row r="570" spans="1:407" x14ac:dyDescent="0.25">
      <c r="A570" s="7">
        <v>1.4002414191924248</v>
      </c>
      <c r="B570"/>
      <c r="C570"/>
      <c r="D570"/>
      <c r="E570"/>
      <c r="OQ570" s="27" t="s">
        <v>8</v>
      </c>
    </row>
    <row r="571" spans="1:407" x14ac:dyDescent="0.25">
      <c r="A571" s="7">
        <v>1.3727857050906125</v>
      </c>
      <c r="B571"/>
      <c r="C571"/>
      <c r="D571"/>
      <c r="E571"/>
      <c r="OQ571" s="27" t="s">
        <v>8</v>
      </c>
    </row>
    <row r="572" spans="1:407" x14ac:dyDescent="0.25">
      <c r="A572" s="7">
        <v>1.3458683383241299</v>
      </c>
      <c r="B572"/>
      <c r="C572"/>
      <c r="D572"/>
      <c r="E572"/>
      <c r="OQ572" s="27" t="s">
        <v>8</v>
      </c>
    </row>
    <row r="573" spans="1:407" x14ac:dyDescent="0.25">
      <c r="A573" s="7">
        <v>1.3194787630628724</v>
      </c>
      <c r="B573"/>
      <c r="C573"/>
      <c r="D573"/>
      <c r="E573"/>
      <c r="OQ573" s="27" t="s">
        <v>8</v>
      </c>
    </row>
    <row r="574" spans="1:407" x14ac:dyDescent="0.25">
      <c r="A574" s="7">
        <v>1.2936066304537963</v>
      </c>
      <c r="B574"/>
      <c r="C574"/>
      <c r="D574"/>
      <c r="E574"/>
      <c r="OQ574" s="27" t="s">
        <v>8</v>
      </c>
    </row>
    <row r="575" spans="1:407" x14ac:dyDescent="0.25">
      <c r="A575" s="7">
        <v>1.2682417945625455</v>
      </c>
      <c r="B575"/>
      <c r="C575"/>
      <c r="D575"/>
      <c r="E575"/>
      <c r="OQ575" s="27" t="s">
        <v>8</v>
      </c>
    </row>
    <row r="576" spans="1:407" x14ac:dyDescent="0.25">
      <c r="A576" s="7">
        <v>1.2433743083946525</v>
      </c>
      <c r="B576"/>
      <c r="C576"/>
      <c r="D576"/>
      <c r="E576"/>
      <c r="OQ576" s="27" t="s">
        <v>8</v>
      </c>
    </row>
    <row r="577" spans="1:407" x14ac:dyDescent="0.25">
      <c r="A577" s="7">
        <v>1.2189944199947573</v>
      </c>
      <c r="B577"/>
      <c r="C577"/>
      <c r="D577"/>
      <c r="E577"/>
      <c r="OQ577" s="27" t="s">
        <v>8</v>
      </c>
    </row>
    <row r="578" spans="1:407" x14ac:dyDescent="0.25">
      <c r="A578" s="7">
        <v>1.1950925686223111</v>
      </c>
      <c r="B578"/>
      <c r="C578"/>
      <c r="D578"/>
      <c r="E578"/>
      <c r="OQ578" s="27" t="s">
        <v>8</v>
      </c>
    </row>
    <row r="579" spans="1:407" x14ac:dyDescent="0.25">
      <c r="A579" s="7">
        <v>1.1716593810022657</v>
      </c>
      <c r="B579"/>
      <c r="C579"/>
      <c r="D579"/>
      <c r="E579"/>
      <c r="OQ579" s="27" t="s">
        <v>8</v>
      </c>
    </row>
    <row r="580" spans="1:407" x14ac:dyDescent="0.25">
      <c r="A580" s="7">
        <v>1.14868566764928</v>
      </c>
      <c r="B580"/>
      <c r="C580"/>
      <c r="D580"/>
      <c r="E580"/>
      <c r="OQ580" s="27" t="s">
        <v>8</v>
      </c>
    </row>
    <row r="581" spans="1:407" x14ac:dyDescent="0.25">
      <c r="A581" s="7">
        <v>1.1261624192640001</v>
      </c>
      <c r="B581"/>
      <c r="C581"/>
      <c r="D581"/>
      <c r="E581"/>
      <c r="OQ581" s="27" t="s">
        <v>8</v>
      </c>
    </row>
    <row r="582" spans="1:407" x14ac:dyDescent="0.25">
      <c r="A582" s="7">
        <v>1.1040808032</v>
      </c>
      <c r="B582"/>
      <c r="C582"/>
      <c r="D582"/>
      <c r="E582"/>
      <c r="OQ582" s="27" t="s">
        <v>8</v>
      </c>
    </row>
    <row r="583" spans="1:407" x14ac:dyDescent="0.25">
      <c r="A583" s="7">
        <v>1.08243216</v>
      </c>
      <c r="B583"/>
      <c r="C583"/>
      <c r="D583"/>
      <c r="E583"/>
      <c r="OQ583" s="27" t="s">
        <v>8</v>
      </c>
    </row>
    <row r="584" spans="1:407" x14ac:dyDescent="0.25">
      <c r="A584" s="7">
        <v>1.0612079999999999</v>
      </c>
      <c r="B584"/>
      <c r="C584"/>
      <c r="D584"/>
      <c r="E584"/>
      <c r="OQ584" s="27" t="s">
        <v>8</v>
      </c>
    </row>
    <row r="585" spans="1:407" x14ac:dyDescent="0.25">
      <c r="A585" s="7">
        <v>1.0404</v>
      </c>
      <c r="B585"/>
      <c r="C585"/>
      <c r="D585"/>
      <c r="E585"/>
      <c r="OQ585" s="27" t="s">
        <v>8</v>
      </c>
    </row>
    <row r="586" spans="1:407" x14ac:dyDescent="0.25">
      <c r="A586" s="7">
        <v>1.02</v>
      </c>
      <c r="B586"/>
      <c r="C586"/>
      <c r="D586"/>
      <c r="E586"/>
      <c r="OQ586" s="27" t="s">
        <v>8</v>
      </c>
    </row>
    <row r="587" spans="1:407" x14ac:dyDescent="0.25">
      <c r="A587" s="7">
        <v>1</v>
      </c>
      <c r="B587"/>
      <c r="C587"/>
      <c r="D587"/>
      <c r="E587" s="29" t="s">
        <v>8</v>
      </c>
      <c r="OQ587" s="27" t="s">
        <v>8</v>
      </c>
    </row>
    <row r="588" spans="1:407" x14ac:dyDescent="0.25">
      <c r="A588" s="7">
        <v>0.98039215686274506</v>
      </c>
      <c r="B588"/>
      <c r="C588"/>
      <c r="D588"/>
      <c r="E588"/>
      <c r="F588" s="27" t="s">
        <v>7</v>
      </c>
      <c r="OQ588" s="27" t="s">
        <v>8</v>
      </c>
    </row>
    <row r="589" spans="1:407" x14ac:dyDescent="0.25">
      <c r="A589" s="7">
        <v>0.96116878123798544</v>
      </c>
      <c r="B589"/>
      <c r="C589"/>
      <c r="D589"/>
      <c r="E589"/>
      <c r="F589" s="27" t="s">
        <v>7</v>
      </c>
      <c r="OQ589" s="27" t="s">
        <v>8</v>
      </c>
    </row>
    <row r="590" spans="1:407" x14ac:dyDescent="0.25">
      <c r="A590" s="7">
        <v>0.94232233454704462</v>
      </c>
      <c r="B590"/>
      <c r="C590"/>
      <c r="D590"/>
      <c r="E590"/>
      <c r="F590" s="27" t="s">
        <v>7</v>
      </c>
      <c r="OQ590" s="27" t="s">
        <v>8</v>
      </c>
    </row>
    <row r="591" spans="1:407" x14ac:dyDescent="0.25">
      <c r="A591" s="7">
        <v>0.92384542602651432</v>
      </c>
      <c r="B591"/>
      <c r="C591"/>
      <c r="D591"/>
      <c r="E591"/>
      <c r="F591" s="27" t="s">
        <v>7</v>
      </c>
      <c r="OQ591" s="27" t="s">
        <v>8</v>
      </c>
    </row>
    <row r="592" spans="1:407" x14ac:dyDescent="0.25">
      <c r="A592" s="7">
        <v>0.90573080982991594</v>
      </c>
      <c r="B592"/>
      <c r="C592"/>
      <c r="D592"/>
      <c r="E592"/>
      <c r="F592" s="27" t="s">
        <v>7</v>
      </c>
      <c r="OQ592" s="27" t="s">
        <v>8</v>
      </c>
    </row>
    <row r="593" spans="1:407" x14ac:dyDescent="0.25">
      <c r="A593" s="7">
        <v>0.8879713821861922</v>
      </c>
      <c r="B593"/>
      <c r="C593"/>
      <c r="D593"/>
      <c r="E593"/>
      <c r="F593" s="27" t="s">
        <v>7</v>
      </c>
      <c r="OQ593" s="27" t="s">
        <v>8</v>
      </c>
    </row>
    <row r="594" spans="1:407" x14ac:dyDescent="0.25">
      <c r="A594" s="7">
        <v>0.87056017861391399</v>
      </c>
      <c r="B594"/>
      <c r="C594"/>
      <c r="D594"/>
      <c r="E594"/>
      <c r="F594" s="27" t="s">
        <v>7</v>
      </c>
      <c r="OQ594" s="27" t="s">
        <v>8</v>
      </c>
    </row>
    <row r="595" spans="1:407" x14ac:dyDescent="0.25">
      <c r="A595" s="7">
        <v>0.85349037119011173</v>
      </c>
      <c r="B595"/>
      <c r="C595"/>
      <c r="D595"/>
      <c r="E595"/>
      <c r="F595" s="27" t="s">
        <v>7</v>
      </c>
      <c r="OQ595" s="27" t="s">
        <v>8</v>
      </c>
    </row>
    <row r="596" spans="1:407" x14ac:dyDescent="0.25">
      <c r="A596" s="7">
        <v>0.83675526587265858</v>
      </c>
      <c r="B596"/>
      <c r="C596"/>
      <c r="D596"/>
      <c r="E596"/>
      <c r="F596" s="27" t="s">
        <v>7</v>
      </c>
      <c r="OQ596" s="27" t="s">
        <v>8</v>
      </c>
    </row>
    <row r="597" spans="1:407" x14ac:dyDescent="0.25">
      <c r="A597" s="7">
        <v>0.82034829987515545</v>
      </c>
      <c r="B597"/>
      <c r="C597"/>
      <c r="D597"/>
      <c r="E597"/>
      <c r="F597" s="27" t="s">
        <v>7</v>
      </c>
      <c r="OQ597" s="27" t="s">
        <v>8</v>
      </c>
    </row>
    <row r="598" spans="1:407" x14ac:dyDescent="0.25">
      <c r="A598" s="7">
        <v>0.80426303909328967</v>
      </c>
      <c r="B598"/>
      <c r="C598"/>
      <c r="D598"/>
      <c r="E598"/>
      <c r="F598" s="27" t="s">
        <v>7</v>
      </c>
      <c r="OQ598" s="27" t="s">
        <v>8</v>
      </c>
    </row>
    <row r="599" spans="1:407" x14ac:dyDescent="0.25">
      <c r="A599" s="7">
        <v>0.78849317558165644</v>
      </c>
      <c r="B599"/>
      <c r="C599"/>
      <c r="D599"/>
      <c r="E599"/>
      <c r="F599" s="27" t="s">
        <v>7</v>
      </c>
      <c r="OQ599" s="27" t="s">
        <v>8</v>
      </c>
    </row>
    <row r="600" spans="1:407" x14ac:dyDescent="0.25">
      <c r="A600" s="7">
        <v>0.77303252508005538</v>
      </c>
      <c r="B600"/>
      <c r="C600"/>
      <c r="D600"/>
      <c r="E600"/>
      <c r="F600" s="27" t="s">
        <v>7</v>
      </c>
      <c r="OQ600" s="27" t="s">
        <v>8</v>
      </c>
    </row>
    <row r="601" spans="1:407" x14ac:dyDescent="0.25">
      <c r="A601" s="7">
        <v>0.75787502458828959</v>
      </c>
      <c r="B601"/>
      <c r="C601"/>
      <c r="D601"/>
      <c r="E601"/>
      <c r="F601" s="27" t="s">
        <v>7</v>
      </c>
      <c r="OQ601" s="27" t="s">
        <v>8</v>
      </c>
    </row>
    <row r="602" spans="1:407" x14ac:dyDescent="0.25">
      <c r="A602" s="7">
        <v>0.74301472998851925</v>
      </c>
      <c r="B602"/>
      <c r="C602"/>
      <c r="D602"/>
      <c r="E602"/>
      <c r="F602" s="27" t="s">
        <v>7</v>
      </c>
      <c r="OQ602" s="27" t="s">
        <v>8</v>
      </c>
    </row>
    <row r="603" spans="1:407" x14ac:dyDescent="0.25">
      <c r="A603" s="7">
        <v>0.72844581371423456</v>
      </c>
      <c r="B603"/>
      <c r="C603"/>
      <c r="D603"/>
      <c r="E603"/>
      <c r="F603" s="27" t="s">
        <v>7</v>
      </c>
      <c r="OQ603" s="27" t="s">
        <v>8</v>
      </c>
    </row>
    <row r="604" spans="1:407" x14ac:dyDescent="0.25">
      <c r="A604" s="7">
        <v>0.71416256246493581</v>
      </c>
      <c r="B604"/>
      <c r="C604"/>
      <c r="D604"/>
      <c r="E604"/>
      <c r="F604" s="27" t="s">
        <v>7</v>
      </c>
      <c r="OQ604" s="27" t="s">
        <v>8</v>
      </c>
    </row>
    <row r="605" spans="1:407" x14ac:dyDescent="0.25">
      <c r="A605" s="7">
        <v>0.7001593749656233</v>
      </c>
      <c r="B605"/>
      <c r="C605"/>
      <c r="D605"/>
      <c r="E605"/>
      <c r="F605" s="27" t="s">
        <v>7</v>
      </c>
      <c r="OQ605" s="27" t="s">
        <v>8</v>
      </c>
    </row>
    <row r="606" spans="1:407" x14ac:dyDescent="0.25">
      <c r="A606" s="7">
        <v>0.68643075977021883</v>
      </c>
      <c r="B606"/>
      <c r="C606"/>
      <c r="D606"/>
      <c r="E606"/>
      <c r="F606" s="27" t="s">
        <v>7</v>
      </c>
      <c r="OQ606" s="27" t="s">
        <v>8</v>
      </c>
    </row>
    <row r="607" spans="1:407" x14ac:dyDescent="0.25">
      <c r="A607" s="7">
        <v>0.67297133310805768</v>
      </c>
      <c r="B607"/>
      <c r="C607"/>
      <c r="D607"/>
      <c r="E607"/>
      <c r="F607" s="27" t="s">
        <v>7</v>
      </c>
      <c r="OQ607" s="27" t="s">
        <v>8</v>
      </c>
    </row>
    <row r="608" spans="1:407" x14ac:dyDescent="0.25">
      <c r="A608" s="7">
        <v>0.65977581677260566</v>
      </c>
      <c r="B608"/>
      <c r="C608"/>
      <c r="D608"/>
      <c r="E608"/>
      <c r="F608" s="27" t="s">
        <v>7</v>
      </c>
      <c r="OQ608" s="27" t="s">
        <v>8</v>
      </c>
    </row>
    <row r="609" spans="1:407" x14ac:dyDescent="0.25">
      <c r="A609" s="7">
        <v>0.64683903605157422</v>
      </c>
      <c r="B609"/>
      <c r="C609"/>
      <c r="D609"/>
      <c r="E609"/>
      <c r="F609" s="27" t="s">
        <v>7</v>
      </c>
      <c r="OQ609" s="27" t="s">
        <v>8</v>
      </c>
    </row>
    <row r="610" spans="1:407" x14ac:dyDescent="0.25">
      <c r="A610" s="7">
        <v>0.63415591769762181</v>
      </c>
      <c r="B610"/>
      <c r="C610"/>
      <c r="D610"/>
      <c r="E610"/>
      <c r="F610" s="27" t="s">
        <v>7</v>
      </c>
      <c r="OQ610" s="27" t="s">
        <v>8</v>
      </c>
    </row>
    <row r="611" spans="1:407" x14ac:dyDescent="0.25">
      <c r="A611" s="7">
        <v>0.62172148793884496</v>
      </c>
      <c r="B611"/>
      <c r="C611"/>
      <c r="D611"/>
      <c r="E611"/>
      <c r="F611" s="27" t="s">
        <v>7</v>
      </c>
      <c r="OQ611" s="27" t="s">
        <v>8</v>
      </c>
    </row>
    <row r="612" spans="1:407" x14ac:dyDescent="0.25">
      <c r="A612" s="7">
        <v>0.60953087052827937</v>
      </c>
      <c r="B612"/>
      <c r="C612"/>
      <c r="D612"/>
      <c r="E612"/>
      <c r="F612" s="27" t="s">
        <v>7</v>
      </c>
      <c r="OQ612" s="27" t="s">
        <v>8</v>
      </c>
    </row>
    <row r="613" spans="1:407" x14ac:dyDescent="0.25">
      <c r="A613" s="7">
        <v>0.59757928483164646</v>
      </c>
      <c r="B613"/>
      <c r="C613"/>
      <c r="D613"/>
      <c r="E613"/>
      <c r="F613" s="27" t="s">
        <v>7</v>
      </c>
      <c r="OQ613" s="27" t="s">
        <v>8</v>
      </c>
    </row>
    <row r="614" spans="1:407" x14ac:dyDescent="0.25">
      <c r="A614" s="7">
        <v>0.58586204395259456</v>
      </c>
      <c r="B614"/>
      <c r="C614"/>
      <c r="D614"/>
      <c r="E614"/>
      <c r="F614" s="27" t="s">
        <v>7</v>
      </c>
      <c r="OQ614" s="27" t="s">
        <v>8</v>
      </c>
    </row>
    <row r="615" spans="1:407" x14ac:dyDescent="0.25">
      <c r="A615" s="7">
        <v>0.57437455289470052</v>
      </c>
      <c r="B615"/>
      <c r="C615"/>
      <c r="D615"/>
      <c r="E615"/>
      <c r="F615" s="27" t="s">
        <v>7</v>
      </c>
      <c r="OQ615" s="27" t="s">
        <v>8</v>
      </c>
    </row>
    <row r="616" spans="1:407" x14ac:dyDescent="0.25">
      <c r="A616" s="7">
        <v>0.56311230675951029</v>
      </c>
      <c r="B616"/>
      <c r="C616"/>
      <c r="D616"/>
      <c r="E616"/>
      <c r="F616" s="27" t="s">
        <v>7</v>
      </c>
      <c r="OQ616" s="27" t="s">
        <v>8</v>
      </c>
    </row>
    <row r="617" spans="1:407" x14ac:dyDescent="0.25">
      <c r="A617" s="7">
        <v>0.55207088897991208</v>
      </c>
      <c r="B617"/>
      <c r="C617"/>
      <c r="D617"/>
      <c r="E617"/>
      <c r="F617" s="27" t="s">
        <v>7</v>
      </c>
      <c r="OQ617" s="27" t="s">
        <v>8</v>
      </c>
    </row>
    <row r="618" spans="1:407" x14ac:dyDescent="0.25">
      <c r="A618" s="7">
        <v>0.54124596958814908</v>
      </c>
      <c r="B618"/>
      <c r="C618"/>
      <c r="D618"/>
      <c r="E618"/>
      <c r="F618" s="27" t="s">
        <v>7</v>
      </c>
      <c r="OQ618" s="27" t="s">
        <v>8</v>
      </c>
    </row>
    <row r="619" spans="1:407" x14ac:dyDescent="0.25">
      <c r="A619" s="7">
        <v>0.53063330351779314</v>
      </c>
      <c r="B619"/>
      <c r="C619"/>
      <c r="D619"/>
      <c r="E619"/>
      <c r="F619" s="27" t="s">
        <v>7</v>
      </c>
      <c r="OQ619" s="27" t="s">
        <v>8</v>
      </c>
    </row>
    <row r="620" spans="1:407" x14ac:dyDescent="0.25">
      <c r="A620" s="7">
        <v>0.52022872893901284</v>
      </c>
      <c r="B620"/>
      <c r="C620"/>
      <c r="D620"/>
      <c r="E620"/>
      <c r="F620" s="27" t="s">
        <v>7</v>
      </c>
      <c r="OQ620" s="27" t="s">
        <v>8</v>
      </c>
    </row>
    <row r="621" spans="1:407" x14ac:dyDescent="0.25">
      <c r="A621" s="7">
        <v>0.51002816562648323</v>
      </c>
      <c r="B621"/>
      <c r="C621"/>
      <c r="D621"/>
      <c r="E621"/>
      <c r="F621" s="27" t="s">
        <v>7</v>
      </c>
      <c r="OQ621" s="27" t="s">
        <v>8</v>
      </c>
    </row>
    <row r="622" spans="1:407" x14ac:dyDescent="0.25">
      <c r="A622" s="7">
        <v>0.50002761335929735</v>
      </c>
      <c r="B622"/>
      <c r="C622"/>
      <c r="D622"/>
      <c r="E622"/>
      <c r="F622" s="27" t="s">
        <v>7</v>
      </c>
      <c r="OQ622" s="27" t="s">
        <v>8</v>
      </c>
    </row>
    <row r="623" spans="1:407" x14ac:dyDescent="0.25">
      <c r="A623" s="7">
        <v>0.49022315035225228</v>
      </c>
      <c r="B623"/>
      <c r="C623"/>
      <c r="D623"/>
      <c r="E623"/>
      <c r="F623" s="27" t="s">
        <v>7</v>
      </c>
      <c r="OQ623" s="27" t="s">
        <v>8</v>
      </c>
    </row>
    <row r="624" spans="1:407" x14ac:dyDescent="0.25">
      <c r="A624" s="7">
        <v>0.48061093171789437</v>
      </c>
      <c r="B624"/>
      <c r="C624"/>
      <c r="D624"/>
      <c r="E624"/>
      <c r="F624" s="27" t="s">
        <v>7</v>
      </c>
      <c r="OQ624" s="27" t="s">
        <v>8</v>
      </c>
    </row>
    <row r="625" spans="1:407" x14ac:dyDescent="0.25">
      <c r="A625" s="7">
        <v>0.47118718795871994</v>
      </c>
      <c r="B625"/>
      <c r="C625"/>
      <c r="D625"/>
      <c r="E625"/>
      <c r="F625" s="27" t="s">
        <v>7</v>
      </c>
      <c r="OQ625" s="27" t="s">
        <v>8</v>
      </c>
    </row>
    <row r="626" spans="1:407" x14ac:dyDescent="0.25">
      <c r="A626" s="7">
        <v>0.46194822348894116</v>
      </c>
      <c r="B626"/>
      <c r="C626"/>
      <c r="D626"/>
      <c r="E626"/>
      <c r="F626" s="27" t="s">
        <v>7</v>
      </c>
      <c r="OQ626" s="27" t="s">
        <v>8</v>
      </c>
    </row>
    <row r="627" spans="1:407" x14ac:dyDescent="0.25">
      <c r="A627" s="7">
        <v>0.45289041518523643</v>
      </c>
      <c r="B627"/>
      <c r="C627"/>
      <c r="D627"/>
      <c r="E627"/>
      <c r="F627" s="27" t="s">
        <v>7</v>
      </c>
      <c r="OQ627" s="27" t="s">
        <v>8</v>
      </c>
    </row>
    <row r="628" spans="1:407" x14ac:dyDescent="0.25">
      <c r="A628" s="7">
        <v>0.44401021096591808</v>
      </c>
      <c r="B628"/>
      <c r="C628"/>
      <c r="D628"/>
      <c r="E628"/>
      <c r="F628" s="27" t="s">
        <v>7</v>
      </c>
      <c r="OQ628" s="27" t="s">
        <v>8</v>
      </c>
    </row>
    <row r="629" spans="1:407" x14ac:dyDescent="0.25">
      <c r="A629" s="7">
        <v>0.4353041283979589</v>
      </c>
      <c r="B629"/>
      <c r="C629"/>
      <c r="D629"/>
      <c r="E629"/>
      <c r="F629" s="27" t="s">
        <v>7</v>
      </c>
      <c r="OQ629" s="27" t="s">
        <v>8</v>
      </c>
    </row>
    <row r="630" spans="1:407" x14ac:dyDescent="0.25">
      <c r="A630" s="7">
        <v>0.4267687533313323</v>
      </c>
      <c r="B630"/>
      <c r="C630"/>
      <c r="D630"/>
      <c r="E630"/>
      <c r="F630" s="27" t="s">
        <v>7</v>
      </c>
      <c r="OQ630" s="27" t="s">
        <v>8</v>
      </c>
    </row>
    <row r="631" spans="1:407" x14ac:dyDescent="0.25">
      <c r="A631" s="7">
        <v>0.41840073856012971</v>
      </c>
      <c r="B631"/>
      <c r="C631"/>
      <c r="D631"/>
      <c r="E631"/>
      <c r="F631" s="27" t="s">
        <v>7</v>
      </c>
      <c r="OQ631" s="27" t="s">
        <v>8</v>
      </c>
    </row>
    <row r="632" spans="1:407" x14ac:dyDescent="0.25">
      <c r="A632" s="7">
        <v>0.41019680250993112</v>
      </c>
      <c r="B632"/>
      <c r="C632"/>
      <c r="D632"/>
      <c r="E632"/>
      <c r="F632" s="27" t="s">
        <v>7</v>
      </c>
      <c r="OQ632" s="27" t="s">
        <v>8</v>
      </c>
    </row>
    <row r="633" spans="1:407" x14ac:dyDescent="0.25">
      <c r="A633" s="7">
        <v>0.40215372795091286</v>
      </c>
      <c r="B633"/>
      <c r="C633"/>
      <c r="D633"/>
      <c r="E633"/>
      <c r="F633" s="27" t="s">
        <v>7</v>
      </c>
      <c r="OQ633" s="27" t="s">
        <v>8</v>
      </c>
    </row>
    <row r="634" spans="1:407" x14ac:dyDescent="0.25">
      <c r="A634" s="7">
        <v>0.39426836073618904</v>
      </c>
      <c r="B634"/>
      <c r="C634"/>
      <c r="D634"/>
      <c r="E634"/>
      <c r="F634" s="27" t="s">
        <v>7</v>
      </c>
      <c r="OQ634" s="27" t="s">
        <v>8</v>
      </c>
    </row>
    <row r="635" spans="1:407" x14ac:dyDescent="0.25">
      <c r="A635" s="7">
        <v>0.38653760856489122</v>
      </c>
      <c r="B635"/>
      <c r="C635"/>
      <c r="D635"/>
      <c r="E635"/>
      <c r="F635" s="27" t="s">
        <v>7</v>
      </c>
      <c r="OQ635" s="27" t="s">
        <v>8</v>
      </c>
    </row>
    <row r="636" spans="1:407" x14ac:dyDescent="0.25">
      <c r="A636" s="7">
        <v>0.37895843976950117</v>
      </c>
      <c r="B636"/>
      <c r="C636"/>
      <c r="D636"/>
      <c r="E636"/>
      <c r="F636" s="27" t="s">
        <v>7</v>
      </c>
      <c r="OQ636" s="27" t="s">
        <v>8</v>
      </c>
    </row>
    <row r="637" spans="1:407" x14ac:dyDescent="0.25">
      <c r="A637" s="7">
        <v>0.37152788212696197</v>
      </c>
      <c r="B637"/>
      <c r="C637"/>
      <c r="D637"/>
      <c r="E637"/>
      <c r="F637" s="27" t="s">
        <v>7</v>
      </c>
      <c r="OQ637" s="27" t="s">
        <v>8</v>
      </c>
    </row>
    <row r="638" spans="1:407" x14ac:dyDescent="0.25">
      <c r="A638" s="7">
        <v>0.36424302169310002</v>
      </c>
      <c r="B638"/>
      <c r="C638"/>
      <c r="D638"/>
      <c r="E638"/>
      <c r="F638" s="27" t="s">
        <v>7</v>
      </c>
      <c r="OQ638" s="27" t="s">
        <v>8</v>
      </c>
    </row>
    <row r="639" spans="1:407" x14ac:dyDescent="0.25">
      <c r="A639" s="7">
        <v>0.35710100165990194</v>
      </c>
      <c r="B639"/>
      <c r="C639"/>
      <c r="D639"/>
      <c r="E639"/>
      <c r="F639" s="27" t="s">
        <v>7</v>
      </c>
      <c r="OQ639" s="27" t="s">
        <v>8</v>
      </c>
    </row>
    <row r="640" spans="1:407" x14ac:dyDescent="0.25">
      <c r="A640" s="7">
        <v>0.35009902123519804</v>
      </c>
      <c r="B640"/>
      <c r="C640"/>
      <c r="D640"/>
      <c r="E640"/>
      <c r="F640" s="27" t="s">
        <v>7</v>
      </c>
      <c r="OQ640" s="27" t="s">
        <v>8</v>
      </c>
    </row>
    <row r="641" spans="1:407" x14ac:dyDescent="0.25">
      <c r="A641" s="7">
        <v>0.34323433454431179</v>
      </c>
      <c r="B641"/>
      <c r="C641"/>
      <c r="D641"/>
      <c r="E641"/>
      <c r="F641" s="27" t="s">
        <v>7</v>
      </c>
      <c r="OQ641" s="27" t="s">
        <v>8</v>
      </c>
    </row>
    <row r="642" spans="1:407" x14ac:dyDescent="0.25">
      <c r="A642" s="7">
        <v>0.33650424955324681</v>
      </c>
      <c r="B642"/>
      <c r="C642"/>
      <c r="D642"/>
      <c r="E642"/>
      <c r="F642" s="27" t="s">
        <v>7</v>
      </c>
      <c r="OQ642" s="27" t="s">
        <v>8</v>
      </c>
    </row>
    <row r="643" spans="1:407" x14ac:dyDescent="0.25">
      <c r="A643" s="7">
        <v>0.3299061270129871</v>
      </c>
      <c r="B643"/>
      <c r="C643"/>
      <c r="D643"/>
      <c r="E643"/>
      <c r="F643" s="27" t="s">
        <v>7</v>
      </c>
      <c r="OQ643" s="27" t="s">
        <v>8</v>
      </c>
    </row>
    <row r="644" spans="1:407" x14ac:dyDescent="0.25">
      <c r="A644" s="7">
        <v>0.32343737942449713</v>
      </c>
      <c r="B644"/>
      <c r="C644"/>
      <c r="D644"/>
      <c r="E644"/>
      <c r="F644" s="27" t="s">
        <v>7</v>
      </c>
      <c r="OQ644" s="27" t="s">
        <v>8</v>
      </c>
    </row>
    <row r="645" spans="1:407" x14ac:dyDescent="0.25">
      <c r="A645" s="7">
        <v>0.31709547002401678</v>
      </c>
      <c r="B645"/>
      <c r="C645"/>
      <c r="D645"/>
      <c r="E645"/>
      <c r="F645" s="27" t="s">
        <v>7</v>
      </c>
      <c r="OQ645" s="27" t="s">
        <v>8</v>
      </c>
    </row>
    <row r="646" spans="1:407" x14ac:dyDescent="0.25">
      <c r="A646" s="7">
        <v>0.31087791178825175</v>
      </c>
      <c r="B646"/>
      <c r="C646"/>
      <c r="D646"/>
      <c r="E646"/>
      <c r="F646" s="27" t="s">
        <v>7</v>
      </c>
      <c r="OQ646" s="27" t="s">
        <v>8</v>
      </c>
    </row>
    <row r="647" spans="1:407" x14ac:dyDescent="0.25">
      <c r="A647" s="7">
        <v>0.30478226645907036</v>
      </c>
      <c r="B647"/>
      <c r="C647"/>
      <c r="D647"/>
      <c r="E647"/>
      <c r="F647" s="27" t="s">
        <v>7</v>
      </c>
      <c r="OQ647" s="27" t="s">
        <v>8</v>
      </c>
    </row>
    <row r="648" spans="1:407" x14ac:dyDescent="0.25">
      <c r="A648" s="7">
        <v>0.29880614358732388</v>
      </c>
      <c r="B648"/>
      <c r="C648"/>
      <c r="D648"/>
      <c r="E648"/>
      <c r="F648" s="27" t="s">
        <v>7</v>
      </c>
      <c r="OQ648" s="27" t="s">
        <v>8</v>
      </c>
    </row>
    <row r="649" spans="1:407" x14ac:dyDescent="0.25">
      <c r="A649" s="7">
        <v>0.2929471995954156</v>
      </c>
      <c r="B649"/>
      <c r="C649"/>
      <c r="D649"/>
      <c r="E649"/>
      <c r="F649" s="27" t="s">
        <v>7</v>
      </c>
      <c r="OQ649" s="27" t="s">
        <v>8</v>
      </c>
    </row>
    <row r="650" spans="1:407" x14ac:dyDescent="0.25">
      <c r="A650" s="7">
        <v>0.28720313685825055</v>
      </c>
      <c r="B650"/>
      <c r="C650"/>
      <c r="D650"/>
      <c r="E650"/>
      <c r="F650" s="27" t="s">
        <v>7</v>
      </c>
      <c r="OQ650" s="27" t="s">
        <v>8</v>
      </c>
    </row>
    <row r="651" spans="1:407" x14ac:dyDescent="0.25">
      <c r="A651" s="7">
        <v>0.28157170280220645</v>
      </c>
      <c r="B651"/>
      <c r="C651"/>
      <c r="D651"/>
      <c r="E651"/>
      <c r="F651" s="27" t="s">
        <v>7</v>
      </c>
      <c r="OQ651" s="27" t="s">
        <v>8</v>
      </c>
    </row>
    <row r="652" spans="1:407" x14ac:dyDescent="0.25">
      <c r="A652" s="7">
        <v>0.27605068902177105</v>
      </c>
      <c r="B652"/>
      <c r="C652"/>
      <c r="D652"/>
      <c r="E652"/>
      <c r="F652" s="27" t="s">
        <v>7</v>
      </c>
      <c r="OQ652" s="27" t="s">
        <v>8</v>
      </c>
    </row>
    <row r="653" spans="1:407" x14ac:dyDescent="0.25">
      <c r="A653" s="7">
        <v>0.27063793041350104</v>
      </c>
      <c r="B653"/>
      <c r="C653"/>
      <c r="D653"/>
      <c r="E653"/>
      <c r="F653" s="27" t="s">
        <v>7</v>
      </c>
      <c r="OQ653" s="27" t="s">
        <v>8</v>
      </c>
    </row>
    <row r="654" spans="1:407" x14ac:dyDescent="0.25">
      <c r="A654" s="7">
        <v>0.26533130432696184</v>
      </c>
      <c r="B654"/>
      <c r="C654"/>
      <c r="D654"/>
      <c r="E654"/>
      <c r="F654" s="27" t="s">
        <v>7</v>
      </c>
      <c r="OQ654" s="27" t="s">
        <v>8</v>
      </c>
    </row>
    <row r="655" spans="1:407" x14ac:dyDescent="0.25">
      <c r="A655" s="7">
        <v>0.26012872973231554</v>
      </c>
      <c r="B655"/>
      <c r="C655"/>
      <c r="D655"/>
      <c r="E655"/>
      <c r="F655" s="27" t="s">
        <v>7</v>
      </c>
      <c r="OQ655" s="27" t="s">
        <v>8</v>
      </c>
    </row>
    <row r="656" spans="1:407" x14ac:dyDescent="0.25">
      <c r="A656" s="7">
        <v>0.25502816640423093</v>
      </c>
      <c r="B656"/>
      <c r="C656"/>
      <c r="D656"/>
      <c r="E656"/>
      <c r="F656" s="27" t="s">
        <v>7</v>
      </c>
      <c r="OQ656" s="27" t="s">
        <v>8</v>
      </c>
    </row>
    <row r="657" spans="1:407" x14ac:dyDescent="0.25">
      <c r="A657" s="7">
        <v>0.25002761412179503</v>
      </c>
      <c r="B657"/>
      <c r="C657"/>
      <c r="D657"/>
      <c r="E657"/>
      <c r="F657" s="27" t="s">
        <v>7</v>
      </c>
      <c r="OQ657" s="27" t="s">
        <v>8</v>
      </c>
    </row>
    <row r="658" spans="1:407" x14ac:dyDescent="0.25">
      <c r="A658" s="7">
        <v>0.24512511188411276</v>
      </c>
      <c r="B658"/>
      <c r="C658"/>
      <c r="D658"/>
      <c r="E658"/>
      <c r="F658" s="27" t="s">
        <v>7</v>
      </c>
      <c r="OQ658" s="27" t="s">
        <v>8</v>
      </c>
    </row>
    <row r="659" spans="1:407" x14ac:dyDescent="0.25">
      <c r="A659" s="7">
        <v>0.24031873714128701</v>
      </c>
      <c r="B659"/>
      <c r="C659"/>
      <c r="D659"/>
      <c r="E659"/>
      <c r="F659" s="27" t="s">
        <v>7</v>
      </c>
      <c r="OQ659" s="27" t="s">
        <v>8</v>
      </c>
    </row>
    <row r="660" spans="1:407" x14ac:dyDescent="0.25">
      <c r="A660" s="7">
        <v>0.23560660504047748</v>
      </c>
      <c r="B660"/>
      <c r="C660"/>
      <c r="D660"/>
      <c r="E660"/>
      <c r="F660" s="27" t="s">
        <v>7</v>
      </c>
      <c r="OQ660" s="27" t="s">
        <v>8</v>
      </c>
    </row>
    <row r="661" spans="1:407" x14ac:dyDescent="0.25">
      <c r="A661" s="7">
        <v>0.23098686768674265</v>
      </c>
      <c r="B661"/>
      <c r="C661"/>
      <c r="D661"/>
      <c r="E661"/>
      <c r="F661" s="27" t="s">
        <v>7</v>
      </c>
      <c r="OQ661" s="27" t="s">
        <v>8</v>
      </c>
    </row>
    <row r="662" spans="1:407" x14ac:dyDescent="0.25">
      <c r="A662" s="7">
        <v>0.22645771341837515</v>
      </c>
      <c r="B662"/>
      <c r="C662"/>
      <c r="D662"/>
      <c r="E662"/>
      <c r="F662" s="27" t="s">
        <v>7</v>
      </c>
      <c r="OQ662" s="27" t="s">
        <v>8</v>
      </c>
    </row>
    <row r="663" spans="1:407" x14ac:dyDescent="0.25">
      <c r="A663" s="7">
        <v>0.22201736609644623</v>
      </c>
      <c r="B663"/>
      <c r="C663"/>
      <c r="D663"/>
      <c r="E663"/>
      <c r="F663" s="27" t="s">
        <v>7</v>
      </c>
      <c r="OQ663" s="27" t="s">
        <v>8</v>
      </c>
    </row>
    <row r="664" spans="1:407" x14ac:dyDescent="0.25">
      <c r="A664" s="7">
        <v>0.21766408440828061</v>
      </c>
      <c r="B664"/>
      <c r="C664"/>
      <c r="D664"/>
      <c r="E664"/>
      <c r="F664" s="27" t="s">
        <v>7</v>
      </c>
      <c r="OQ664" s="27" t="s">
        <v>8</v>
      </c>
    </row>
    <row r="665" spans="1:407" x14ac:dyDescent="0.25">
      <c r="A665" s="7">
        <v>0.21339616118458882</v>
      </c>
      <c r="B665"/>
      <c r="C665"/>
      <c r="D665"/>
      <c r="E665"/>
      <c r="F665" s="27" t="s">
        <v>7</v>
      </c>
      <c r="OQ665" s="27" t="s">
        <v>8</v>
      </c>
    </row>
    <row r="666" spans="1:407" x14ac:dyDescent="0.25">
      <c r="A666" s="7">
        <v>0.20921192272998904</v>
      </c>
      <c r="B666"/>
      <c r="C666"/>
      <c r="D666"/>
      <c r="E666"/>
      <c r="F666" s="27" t="s">
        <v>7</v>
      </c>
      <c r="OQ666" s="27" t="s">
        <v>8</v>
      </c>
    </row>
    <row r="667" spans="1:407" x14ac:dyDescent="0.25">
      <c r="A667" s="7">
        <v>0.20510972816665593</v>
      </c>
      <c r="B667"/>
      <c r="C667"/>
      <c r="D667"/>
      <c r="E667"/>
      <c r="F667" s="27" t="s">
        <v>7</v>
      </c>
      <c r="OQ667" s="27" t="s">
        <v>8</v>
      </c>
    </row>
    <row r="668" spans="1:407" x14ac:dyDescent="0.25">
      <c r="A668" s="7">
        <v>0.20108796879083912</v>
      </c>
      <c r="B668"/>
      <c r="C668"/>
      <c r="D668"/>
      <c r="E668"/>
      <c r="F668" s="27" t="s">
        <v>7</v>
      </c>
      <c r="OQ668" s="27" t="s">
        <v>8</v>
      </c>
    </row>
    <row r="669" spans="1:407" x14ac:dyDescent="0.25">
      <c r="A669" s="7">
        <v>0.19714506744199917</v>
      </c>
      <c r="B669"/>
      <c r="C669"/>
      <c r="D669"/>
      <c r="E669"/>
      <c r="F669" s="27" t="s">
        <v>7</v>
      </c>
      <c r="OQ669" s="27" t="s">
        <v>8</v>
      </c>
    </row>
    <row r="670" spans="1:407" x14ac:dyDescent="0.25">
      <c r="A670" s="7">
        <v>0.19327947788431293</v>
      </c>
      <c r="B670"/>
      <c r="C670"/>
      <c r="D670"/>
      <c r="E670"/>
      <c r="F670" s="27" t="s">
        <v>7</v>
      </c>
      <c r="OQ670" s="27" t="s">
        <v>8</v>
      </c>
    </row>
    <row r="671" spans="1:407" x14ac:dyDescent="0.25">
      <c r="A671" s="7">
        <v>0.18948968420030682</v>
      </c>
      <c r="B671"/>
      <c r="C671"/>
      <c r="D671"/>
      <c r="E671"/>
      <c r="F671" s="27" t="s">
        <v>7</v>
      </c>
      <c r="OQ671" s="27" t="s">
        <v>8</v>
      </c>
    </row>
    <row r="672" spans="1:407" x14ac:dyDescent="0.25">
      <c r="A672" s="7">
        <v>0.18577420019637925</v>
      </c>
      <c r="B672"/>
      <c r="C672"/>
      <c r="D672"/>
      <c r="E672"/>
      <c r="F672" s="27" t="s">
        <v>7</v>
      </c>
      <c r="OQ672" s="27" t="s">
        <v>8</v>
      </c>
    </row>
    <row r="673" spans="1:407" x14ac:dyDescent="0.25">
      <c r="A673" s="7">
        <v>0.18213156881997963</v>
      </c>
      <c r="B673"/>
      <c r="C673"/>
      <c r="D673"/>
      <c r="E673"/>
      <c r="F673" s="27" t="s">
        <v>7</v>
      </c>
      <c r="OQ673" s="27" t="s">
        <v>8</v>
      </c>
    </row>
    <row r="674" spans="1:407" x14ac:dyDescent="0.25">
      <c r="A674" s="7">
        <v>0.17856036158821534</v>
      </c>
      <c r="B674"/>
      <c r="C674"/>
      <c r="D674"/>
      <c r="E674"/>
      <c r="F674" s="27" t="s">
        <v>7</v>
      </c>
      <c r="OQ674" s="27" t="s">
        <v>8</v>
      </c>
    </row>
    <row r="675" spans="1:407" x14ac:dyDescent="0.25">
      <c r="A675" s="7">
        <v>0.17505917802766208</v>
      </c>
      <c r="B675"/>
      <c r="C675"/>
      <c r="D675"/>
      <c r="E675"/>
      <c r="F675" s="27" t="s">
        <v>7</v>
      </c>
      <c r="OQ675" s="27" t="s">
        <v>8</v>
      </c>
    </row>
    <row r="676" spans="1:407" x14ac:dyDescent="0.25">
      <c r="A676" s="7">
        <v>0.17162664512515888</v>
      </c>
      <c r="B676"/>
      <c r="C676"/>
      <c r="D676"/>
      <c r="E676"/>
      <c r="F676" s="27" t="s">
        <v>7</v>
      </c>
      <c r="OQ676" s="27" t="s">
        <v>8</v>
      </c>
    </row>
    <row r="677" spans="1:407" x14ac:dyDescent="0.25">
      <c r="A677" s="7">
        <v>0.16826141678937145</v>
      </c>
      <c r="B677"/>
      <c r="C677"/>
      <c r="D677"/>
      <c r="E677"/>
      <c r="F677" s="27" t="s">
        <v>7</v>
      </c>
      <c r="OQ677" s="27" t="s">
        <v>8</v>
      </c>
    </row>
    <row r="678" spans="1:407" x14ac:dyDescent="0.25">
      <c r="A678" s="7">
        <v>0.16496217332291319</v>
      </c>
      <c r="B678"/>
      <c r="C678"/>
      <c r="D678"/>
      <c r="E678"/>
      <c r="F678" s="27" t="s">
        <v>7</v>
      </c>
      <c r="OQ678" s="27" t="s">
        <v>8</v>
      </c>
    </row>
    <row r="679" spans="1:407" x14ac:dyDescent="0.25">
      <c r="A679" s="7">
        <v>0.16172762090481685</v>
      </c>
      <c r="B679"/>
      <c r="C679"/>
      <c r="D679"/>
      <c r="E679"/>
      <c r="F679" s="27" t="s">
        <v>7</v>
      </c>
      <c r="OQ679" s="27" t="s">
        <v>8</v>
      </c>
    </row>
    <row r="680" spans="1:407" x14ac:dyDescent="0.25">
      <c r="A680" s="7">
        <v>0.15855649108315376</v>
      </c>
      <c r="B680"/>
      <c r="C680"/>
      <c r="D680"/>
      <c r="E680"/>
      <c r="F680" s="27" t="s">
        <v>7</v>
      </c>
      <c r="OQ680" s="27" t="s">
        <v>8</v>
      </c>
    </row>
    <row r="681" spans="1:407" x14ac:dyDescent="0.25">
      <c r="A681" s="7">
        <v>0.15544754027760171</v>
      </c>
      <c r="B681"/>
      <c r="C681"/>
      <c r="D681"/>
      <c r="E681"/>
      <c r="F681" s="27" t="s">
        <v>7</v>
      </c>
      <c r="OQ681" s="27" t="s">
        <v>8</v>
      </c>
    </row>
    <row r="682" spans="1:407" x14ac:dyDescent="0.25">
      <c r="A682" s="7">
        <v>0.15239954929176638</v>
      </c>
      <c r="B682"/>
      <c r="C682"/>
      <c r="D682"/>
      <c r="E682"/>
      <c r="F682" s="27" t="s">
        <v>7</v>
      </c>
      <c r="OQ682" s="27" t="s">
        <v>8</v>
      </c>
    </row>
    <row r="683" spans="1:407" x14ac:dyDescent="0.25">
      <c r="A683" s="7">
        <v>0.14941132283506509</v>
      </c>
      <c r="B683"/>
      <c r="C683"/>
      <c r="D683"/>
      <c r="E683"/>
      <c r="F683" s="27" t="s">
        <v>7</v>
      </c>
      <c r="OQ683" s="27" t="s">
        <v>8</v>
      </c>
    </row>
    <row r="684" spans="1:407" x14ac:dyDescent="0.25">
      <c r="A684" s="7">
        <v>0.14648168905398537</v>
      </c>
      <c r="B684"/>
      <c r="C684"/>
      <c r="D684"/>
      <c r="E684"/>
      <c r="F684" s="27" t="s">
        <v>7</v>
      </c>
      <c r="OQ684" s="27" t="s">
        <v>8</v>
      </c>
    </row>
    <row r="685" spans="1:407" x14ac:dyDescent="0.25">
      <c r="A685" s="7">
        <v>0.14360949907253467</v>
      </c>
      <c r="B685"/>
      <c r="C685"/>
      <c r="D685"/>
      <c r="E685"/>
      <c r="F685" s="27" t="s">
        <v>7</v>
      </c>
      <c r="OQ685" s="27" t="s">
        <v>8</v>
      </c>
    </row>
    <row r="686" spans="1:407" x14ac:dyDescent="0.25">
      <c r="A686" s="7">
        <v>0.14079362654170066</v>
      </c>
      <c r="B686"/>
      <c r="C686"/>
      <c r="D686"/>
      <c r="E686"/>
      <c r="F686" s="27" t="s">
        <v>7</v>
      </c>
      <c r="OQ686" s="27" t="s">
        <v>8</v>
      </c>
    </row>
    <row r="687" spans="1:407" x14ac:dyDescent="0.25">
      <c r="A687" s="7">
        <v>0.13803296719774574</v>
      </c>
      <c r="B687"/>
      <c r="C687"/>
      <c r="D687"/>
      <c r="E687"/>
      <c r="F687" s="27" t="s">
        <v>7</v>
      </c>
      <c r="OQ687" s="27" t="s">
        <v>8</v>
      </c>
    </row>
    <row r="688" spans="1:407" x14ac:dyDescent="0.25">
      <c r="A688" s="7">
        <v>0.1353264384291625</v>
      </c>
      <c r="B688"/>
      <c r="C688"/>
      <c r="D688"/>
      <c r="E688"/>
      <c r="F688" s="27" t="s">
        <v>7</v>
      </c>
      <c r="OQ688" s="27" t="s">
        <v>8</v>
      </c>
    </row>
    <row r="689" spans="1:407" x14ac:dyDescent="0.25">
      <c r="A689" s="7">
        <v>0.13267297885212009</v>
      </c>
      <c r="B689"/>
      <c r="C689"/>
      <c r="D689"/>
      <c r="E689"/>
      <c r="F689" s="27" t="s">
        <v>7</v>
      </c>
      <c r="OQ689" s="27" t="s">
        <v>8</v>
      </c>
    </row>
    <row r="690" spans="1:407" x14ac:dyDescent="0.25">
      <c r="A690" s="7">
        <v>0.13007154789423539</v>
      </c>
      <c r="B690"/>
      <c r="C690"/>
      <c r="D690"/>
      <c r="E690"/>
      <c r="F690" s="27" t="s">
        <v>7</v>
      </c>
      <c r="OQ690" s="27" t="s">
        <v>8</v>
      </c>
    </row>
    <row r="691" spans="1:407" x14ac:dyDescent="0.25">
      <c r="A691" s="7">
        <v>0.12752112538650529</v>
      </c>
      <c r="B691"/>
      <c r="C691"/>
      <c r="D691"/>
      <c r="E691"/>
      <c r="F691" s="27" t="s">
        <v>7</v>
      </c>
      <c r="OQ691" s="27" t="s">
        <v>8</v>
      </c>
    </row>
    <row r="692" spans="1:407" x14ac:dyDescent="0.25">
      <c r="A692" s="7">
        <v>0.12502071116324048</v>
      </c>
      <c r="B692"/>
      <c r="C692"/>
      <c r="D692"/>
      <c r="E692"/>
      <c r="F692" s="27" t="s">
        <v>7</v>
      </c>
      <c r="OQ692" s="27" t="s">
        <v>8</v>
      </c>
    </row>
    <row r="693" spans="1:407" x14ac:dyDescent="0.25">
      <c r="A693" s="7">
        <v>0.1225693246698436</v>
      </c>
      <c r="B693"/>
      <c r="C693"/>
      <c r="D693"/>
      <c r="E693"/>
      <c r="F693" s="27" t="s">
        <v>7</v>
      </c>
      <c r="OQ693" s="27" t="s">
        <v>8</v>
      </c>
    </row>
    <row r="694" spans="1:407" x14ac:dyDescent="0.25">
      <c r="A694" s="7">
        <v>0.12016600457827803</v>
      </c>
      <c r="B694"/>
      <c r="C694"/>
      <c r="D694"/>
      <c r="E694"/>
      <c r="F694" s="27" t="s">
        <v>7</v>
      </c>
      <c r="OQ694" s="27" t="s">
        <v>8</v>
      </c>
    </row>
    <row r="695" spans="1:407" x14ac:dyDescent="0.25">
      <c r="A695" s="7">
        <v>0.1178098084100765</v>
      </c>
      <c r="B695"/>
      <c r="C695"/>
      <c r="D695"/>
      <c r="E695"/>
      <c r="F695" s="27" t="s">
        <v>7</v>
      </c>
      <c r="OQ695" s="27" t="s">
        <v>8</v>
      </c>
    </row>
    <row r="696" spans="1:407" x14ac:dyDescent="0.25">
      <c r="A696" s="7">
        <v>0.11549981216674166</v>
      </c>
      <c r="B696"/>
      <c r="C696"/>
      <c r="D696"/>
      <c r="E696"/>
      <c r="F696" s="27" t="s">
        <v>7</v>
      </c>
      <c r="OQ696" s="27" t="s">
        <v>8</v>
      </c>
    </row>
    <row r="697" spans="1:407" x14ac:dyDescent="0.25">
      <c r="A697" s="7">
        <v>0.11323510996739378</v>
      </c>
      <c r="B697"/>
      <c r="C697"/>
      <c r="D697"/>
      <c r="E697"/>
      <c r="F697" s="27" t="s">
        <v>7</v>
      </c>
      <c r="OQ697" s="27" t="s">
        <v>8</v>
      </c>
    </row>
    <row r="698" spans="1:407" x14ac:dyDescent="0.25">
      <c r="A698" s="7">
        <v>0.11101481369352331</v>
      </c>
      <c r="B698"/>
      <c r="C698"/>
      <c r="D698"/>
      <c r="E698"/>
      <c r="F698" s="27" t="s">
        <v>7</v>
      </c>
      <c r="OQ698" s="27" t="s">
        <v>8</v>
      </c>
    </row>
    <row r="699" spans="1:407" x14ac:dyDescent="0.25">
      <c r="A699" s="7">
        <v>0.10883805264070913</v>
      </c>
      <c r="B699"/>
      <c r="C699"/>
      <c r="D699"/>
      <c r="E699"/>
      <c r="F699" s="27" t="s">
        <v>7</v>
      </c>
      <c r="OQ699" s="27" t="s">
        <v>8</v>
      </c>
    </row>
    <row r="700" spans="1:407" x14ac:dyDescent="0.25">
      <c r="A700" s="7">
        <v>0.10670397317716582</v>
      </c>
      <c r="B700"/>
      <c r="C700"/>
      <c r="D700"/>
      <c r="E700"/>
      <c r="F700" s="27" t="s">
        <v>7</v>
      </c>
      <c r="OQ700" s="27" t="s">
        <v>8</v>
      </c>
    </row>
    <row r="701" spans="1:407" x14ac:dyDescent="0.25">
      <c r="A701" s="7">
        <v>0.1046117384089861</v>
      </c>
      <c r="B701"/>
      <c r="C701"/>
      <c r="D701"/>
      <c r="E701"/>
      <c r="F701" s="27" t="s">
        <v>7</v>
      </c>
      <c r="OQ701" s="27" t="s">
        <v>8</v>
      </c>
    </row>
    <row r="702" spans="1:407" x14ac:dyDescent="0.25">
      <c r="A702" s="7">
        <v>0.10256052785194716</v>
      </c>
      <c r="B702"/>
      <c r="C702"/>
      <c r="D702"/>
      <c r="E702"/>
      <c r="F702" s="27" t="s">
        <v>7</v>
      </c>
      <c r="OQ702" s="27" t="s">
        <v>8</v>
      </c>
    </row>
    <row r="703" spans="1:407" x14ac:dyDescent="0.25">
      <c r="A703" s="7">
        <v>0.10054953710975212</v>
      </c>
      <c r="B703"/>
      <c r="C703"/>
      <c r="D703"/>
      <c r="E703"/>
      <c r="F703" s="27" t="s">
        <v>7</v>
      </c>
      <c r="OQ703" s="27" t="s">
        <v>8</v>
      </c>
    </row>
    <row r="704" spans="1:407" x14ac:dyDescent="0.25">
      <c r="A704" s="7">
        <v>9.8577977558580512E-2</v>
      </c>
      <c r="B704"/>
      <c r="C704"/>
      <c r="D704"/>
      <c r="E704"/>
      <c r="F704" s="27" t="s">
        <v>7</v>
      </c>
      <c r="OQ704" s="27" t="s">
        <v>8</v>
      </c>
    </row>
    <row r="705" spans="1:407" x14ac:dyDescent="0.25">
      <c r="A705" s="7">
        <v>9.6645076037824032E-2</v>
      </c>
      <c r="B705"/>
      <c r="C705"/>
      <c r="D705"/>
      <c r="E705"/>
      <c r="F705" s="27" t="s">
        <v>7</v>
      </c>
      <c r="OQ705" s="27" t="s">
        <v>8</v>
      </c>
    </row>
    <row r="706" spans="1:407" x14ac:dyDescent="0.25">
      <c r="A706" s="7">
        <v>9.4750074546886304E-2</v>
      </c>
      <c r="B706"/>
      <c r="C706"/>
      <c r="D706"/>
      <c r="E706"/>
      <c r="F706" s="27" t="s">
        <v>7</v>
      </c>
      <c r="OQ706" s="27" t="s">
        <v>8</v>
      </c>
    </row>
    <row r="707" spans="1:407" x14ac:dyDescent="0.25">
      <c r="A707" s="7">
        <v>9.2892229947927743E-2</v>
      </c>
      <c r="B707"/>
      <c r="C707"/>
      <c r="D707"/>
      <c r="E707"/>
      <c r="F707" s="27" t="s">
        <v>7</v>
      </c>
      <c r="OQ707" s="27" t="s">
        <v>8</v>
      </c>
    </row>
    <row r="708" spans="1:407" x14ac:dyDescent="0.25">
      <c r="A708" s="7">
        <v>9.1070813674438963E-2</v>
      </c>
      <c r="B708"/>
      <c r="C708"/>
      <c r="D708"/>
      <c r="E708"/>
      <c r="F708" s="27" t="s">
        <v>7</v>
      </c>
      <c r="OQ708" s="27" t="s">
        <v>8</v>
      </c>
    </row>
    <row r="709" spans="1:407" x14ac:dyDescent="0.25">
      <c r="A709" s="7">
        <v>8.9285111445528392E-2</v>
      </c>
      <c r="B709"/>
      <c r="C709"/>
      <c r="D709"/>
      <c r="E709"/>
      <c r="F709" s="27" t="s">
        <v>7</v>
      </c>
      <c r="OQ709" s="27" t="s">
        <v>8</v>
      </c>
    </row>
    <row r="710" spans="1:407" x14ac:dyDescent="0.25">
      <c r="A710" s="7">
        <v>8.7534422985812155E-2</v>
      </c>
      <c r="B710"/>
      <c r="C710"/>
      <c r="D710"/>
      <c r="E710"/>
      <c r="F710" s="27" t="s">
        <v>7</v>
      </c>
      <c r="OQ710" s="27" t="s">
        <v>8</v>
      </c>
    </row>
    <row r="711" spans="1:407" x14ac:dyDescent="0.25">
      <c r="A711" s="7">
        <v>8.5818061750796232E-2</v>
      </c>
      <c r="B711"/>
      <c r="C711"/>
      <c r="D711"/>
      <c r="E711"/>
      <c r="F711" s="27" t="s">
        <v>7</v>
      </c>
      <c r="OQ711" s="27" t="s">
        <v>8</v>
      </c>
    </row>
    <row r="712" spans="1:407" x14ac:dyDescent="0.25">
      <c r="A712" s="7">
        <v>8.4135354657643366E-2</v>
      </c>
      <c r="B712"/>
      <c r="C712"/>
      <c r="D712"/>
      <c r="E712"/>
      <c r="F712" s="27" t="s">
        <v>7</v>
      </c>
      <c r="OQ712" s="27" t="s">
        <v>8</v>
      </c>
    </row>
    <row r="713" spans="1:407" x14ac:dyDescent="0.25">
      <c r="A713" s="7">
        <v>8.248564182121898E-2</v>
      </c>
      <c r="B713"/>
      <c r="C713"/>
      <c r="D713"/>
      <c r="E713"/>
      <c r="F713" s="27" t="s">
        <v>7</v>
      </c>
      <c r="OQ713" s="27" t="s">
        <v>8</v>
      </c>
    </row>
    <row r="714" spans="1:407" x14ac:dyDescent="0.25">
      <c r="A714" s="7">
        <v>8.0868276295312735E-2</v>
      </c>
      <c r="B714"/>
      <c r="C714"/>
      <c r="D714"/>
      <c r="E714"/>
      <c r="F714" s="27" t="s">
        <v>7</v>
      </c>
      <c r="OQ714" s="27" t="s">
        <v>8</v>
      </c>
    </row>
    <row r="715" spans="1:407" x14ac:dyDescent="0.25">
      <c r="A715" s="7">
        <v>7.9282623818934056E-2</v>
      </c>
      <c r="B715"/>
      <c r="C715"/>
      <c r="D715"/>
      <c r="E715"/>
      <c r="F715" s="27" t="s">
        <v>7</v>
      </c>
      <c r="OQ715" s="27" t="s">
        <v>8</v>
      </c>
    </row>
    <row r="716" spans="1:407" x14ac:dyDescent="0.25">
      <c r="A716" s="7">
        <v>7.7728062567582412E-2</v>
      </c>
      <c r="B716"/>
      <c r="C716"/>
      <c r="D716"/>
      <c r="E716"/>
      <c r="F716" s="27" t="s">
        <v>7</v>
      </c>
      <c r="OQ716" s="27" t="s">
        <v>8</v>
      </c>
    </row>
    <row r="717" spans="1:407" x14ac:dyDescent="0.25">
      <c r="A717" s="7">
        <v>7.6203982909394521E-2</v>
      </c>
      <c r="B717"/>
      <c r="C717"/>
      <c r="D717"/>
      <c r="E717"/>
      <c r="F717" s="27" t="s">
        <v>7</v>
      </c>
      <c r="OQ717" s="27" t="s">
        <v>8</v>
      </c>
    </row>
    <row r="718" spans="1:407" x14ac:dyDescent="0.25">
      <c r="A718" s="7">
        <v>7.4709787166073058E-2</v>
      </c>
      <c r="B718"/>
      <c r="C718"/>
      <c r="D718"/>
      <c r="E718"/>
      <c r="F718" s="27" t="s">
        <v>7</v>
      </c>
      <c r="OQ718" s="27" t="s">
        <v>8</v>
      </c>
    </row>
    <row r="719" spans="1:407" x14ac:dyDescent="0.25">
      <c r="A719" s="7">
        <v>7.3244889378503E-2</v>
      </c>
      <c r="B719"/>
      <c r="C719"/>
      <c r="D719"/>
      <c r="E719"/>
      <c r="F719" s="27" t="s">
        <v>7</v>
      </c>
      <c r="OQ719" s="27" t="s">
        <v>8</v>
      </c>
    </row>
    <row r="720" spans="1:407" x14ac:dyDescent="0.25">
      <c r="A720" s="7">
        <v>7.1808715076963722E-2</v>
      </c>
      <c r="B720"/>
      <c r="C720"/>
      <c r="D720"/>
      <c r="E720"/>
      <c r="F720" s="27" t="s">
        <v>7</v>
      </c>
      <c r="OQ720" s="27" t="s">
        <v>8</v>
      </c>
    </row>
    <row r="721" spans="1:407" x14ac:dyDescent="0.25">
      <c r="A721" s="7">
        <v>7.0400701055846782E-2</v>
      </c>
      <c r="B721"/>
      <c r="C721"/>
      <c r="D721"/>
      <c r="E721"/>
      <c r="F721" s="27" t="s">
        <v>7</v>
      </c>
      <c r="OQ721" s="27" t="s">
        <v>8</v>
      </c>
    </row>
    <row r="722" spans="1:407" x14ac:dyDescent="0.25">
      <c r="A722" s="7">
        <v>6.9020295152790956E-2</v>
      </c>
      <c r="B722"/>
      <c r="C722"/>
      <c r="D722"/>
      <c r="E722"/>
      <c r="F722" s="27" t="s">
        <v>7</v>
      </c>
      <c r="OQ722" s="27" t="s">
        <v>8</v>
      </c>
    </row>
    <row r="723" spans="1:407" x14ac:dyDescent="0.25">
      <c r="A723" s="7">
        <v>6.7666956032147993E-2</v>
      </c>
      <c r="B723"/>
      <c r="C723"/>
      <c r="D723"/>
      <c r="E723"/>
      <c r="F723" s="27" t="s">
        <v>7</v>
      </c>
      <c r="OQ723" s="27" t="s">
        <v>8</v>
      </c>
    </row>
    <row r="724" spans="1:407" x14ac:dyDescent="0.25">
      <c r="A724" s="7">
        <v>6.6340152972694105E-2</v>
      </c>
      <c r="B724"/>
      <c r="C724"/>
      <c r="D724"/>
      <c r="E724"/>
      <c r="F724" s="27" t="s">
        <v>7</v>
      </c>
      <c r="OQ724" s="27" t="s">
        <v>8</v>
      </c>
    </row>
    <row r="725" spans="1:407" x14ac:dyDescent="0.25">
      <c r="A725" s="7">
        <v>6.5039365659504023E-2</v>
      </c>
      <c r="B725"/>
      <c r="C725"/>
      <c r="D725"/>
      <c r="E725"/>
      <c r="F725" s="27" t="s">
        <v>7</v>
      </c>
      <c r="OQ725" s="27" t="s">
        <v>8</v>
      </c>
    </row>
    <row r="726" spans="1:407" x14ac:dyDescent="0.25">
      <c r="A726" s="7">
        <v>6.3764083979905906E-2</v>
      </c>
      <c r="B726"/>
      <c r="C726"/>
      <c r="D726"/>
      <c r="E726"/>
      <c r="F726" s="27" t="s">
        <v>7</v>
      </c>
      <c r="OQ726" s="27" t="s">
        <v>8</v>
      </c>
    </row>
    <row r="727" spans="1:407" x14ac:dyDescent="0.25">
      <c r="A727" s="7">
        <v>6.251380782343717E-2</v>
      </c>
      <c r="B727"/>
      <c r="C727"/>
      <c r="D727"/>
      <c r="E727"/>
      <c r="F727" s="27" t="s">
        <v>7</v>
      </c>
      <c r="OQ727" s="27" t="s">
        <v>8</v>
      </c>
    </row>
    <row r="728" spans="1:407" x14ac:dyDescent="0.25">
      <c r="A728" s="7">
        <v>6.1288046885722716E-2</v>
      </c>
      <c r="B728"/>
      <c r="C728"/>
      <c r="D728"/>
      <c r="E728"/>
      <c r="F728" s="27" t="s">
        <v>7</v>
      </c>
      <c r="OQ728" s="27" t="s">
        <v>8</v>
      </c>
    </row>
    <row r="729" spans="1:407" x14ac:dyDescent="0.25">
      <c r="A729" s="7">
        <v>6.0086320476198739E-2</v>
      </c>
      <c r="B729"/>
      <c r="C729"/>
      <c r="D729"/>
      <c r="E729"/>
      <c r="F729" s="27" t="s">
        <v>7</v>
      </c>
      <c r="OQ729" s="27" t="s">
        <v>8</v>
      </c>
    </row>
    <row r="730" spans="1:407" x14ac:dyDescent="0.25">
      <c r="A730" s="7">
        <v>5.8908157329606609E-2</v>
      </c>
      <c r="B730"/>
      <c r="C730"/>
      <c r="D730"/>
      <c r="E730"/>
      <c r="F730" s="27" t="s">
        <v>7</v>
      </c>
      <c r="OQ730" s="27" t="s">
        <v>8</v>
      </c>
    </row>
    <row r="731" spans="1:407" x14ac:dyDescent="0.25">
      <c r="A731" s="7">
        <v>5.7753095421182947E-2</v>
      </c>
      <c r="B731"/>
      <c r="C731"/>
      <c r="D731"/>
      <c r="E731"/>
      <c r="F731" s="27" t="s">
        <v>7</v>
      </c>
      <c r="OQ731" s="27" t="s">
        <v>8</v>
      </c>
    </row>
    <row r="732" spans="1:407" x14ac:dyDescent="0.25">
      <c r="A732" s="7">
        <v>5.6620681785473484E-2</v>
      </c>
      <c r="B732"/>
      <c r="C732"/>
      <c r="D732"/>
      <c r="E732"/>
      <c r="F732" s="27" t="s">
        <v>7</v>
      </c>
      <c r="OQ732" s="27" t="s">
        <v>8</v>
      </c>
    </row>
    <row r="733" spans="1:407" x14ac:dyDescent="0.25">
      <c r="A733" s="7">
        <v>5.5510472338699497E-2</v>
      </c>
      <c r="B733"/>
      <c r="C733"/>
      <c r="D733"/>
      <c r="E733"/>
      <c r="F733" s="27" t="s">
        <v>7</v>
      </c>
      <c r="OQ733" s="27" t="s">
        <v>8</v>
      </c>
    </row>
    <row r="734" spans="1:407" x14ac:dyDescent="0.25">
      <c r="A734" s="7">
        <v>5.4422031704607354E-2</v>
      </c>
      <c r="B734"/>
      <c r="C734"/>
      <c r="D734"/>
      <c r="E734"/>
      <c r="F734" s="27" t="s">
        <v>7</v>
      </c>
      <c r="OQ734" s="27" t="s">
        <v>8</v>
      </c>
    </row>
    <row r="735" spans="1:407" x14ac:dyDescent="0.25">
      <c r="A735" s="7">
        <v>5.3354933043732705E-2</v>
      </c>
      <c r="B735"/>
      <c r="C735"/>
      <c r="D735"/>
      <c r="E735"/>
      <c r="F735" s="27" t="s">
        <v>7</v>
      </c>
      <c r="OQ735" s="27" t="s">
        <v>8</v>
      </c>
    </row>
    <row r="736" spans="1:407" x14ac:dyDescent="0.25">
      <c r="A736" s="7">
        <v>5.2308757886012455E-2</v>
      </c>
      <c r="B736"/>
      <c r="C736"/>
      <c r="D736"/>
      <c r="E736"/>
      <c r="F736" s="27" t="s">
        <v>7</v>
      </c>
      <c r="OQ736" s="27" t="s">
        <v>8</v>
      </c>
    </row>
    <row r="737" spans="1:407" x14ac:dyDescent="0.25">
      <c r="A737" s="7">
        <v>5.1283095966678877E-2</v>
      </c>
      <c r="B737"/>
      <c r="C737"/>
      <c r="D737"/>
      <c r="E737"/>
      <c r="F737" s="27" t="s">
        <v>7</v>
      </c>
      <c r="OQ737" s="27" t="s">
        <v>8</v>
      </c>
    </row>
    <row r="738" spans="1:407" x14ac:dyDescent="0.25">
      <c r="A738" s="7">
        <v>5.0277545065371444E-2</v>
      </c>
      <c r="B738"/>
      <c r="C738"/>
      <c r="D738"/>
      <c r="E738"/>
      <c r="F738" s="27" t="s">
        <v>7</v>
      </c>
      <c r="OQ738" s="27" t="s">
        <v>8</v>
      </c>
    </row>
    <row r="739" spans="1:407" x14ac:dyDescent="0.25">
      <c r="A739" s="7">
        <v>4.9291710848403378E-2</v>
      </c>
      <c r="B739"/>
      <c r="C739"/>
      <c r="D739"/>
      <c r="E739"/>
      <c r="F739" s="27" t="s">
        <v>7</v>
      </c>
      <c r="OQ739" s="27" t="s">
        <v>8</v>
      </c>
    </row>
    <row r="740" spans="1:407" x14ac:dyDescent="0.25">
      <c r="A740" s="7">
        <v>4.8325206714120959E-2</v>
      </c>
      <c r="B740"/>
      <c r="C740"/>
      <c r="D740"/>
      <c r="E740"/>
      <c r="F740" s="27" t="s">
        <v>7</v>
      </c>
      <c r="OQ740" s="27" t="s">
        <v>8</v>
      </c>
    </row>
    <row r="741" spans="1:407" x14ac:dyDescent="0.25">
      <c r="A741" s="7">
        <v>4.7377653641295057E-2</v>
      </c>
      <c r="B741"/>
      <c r="C741"/>
      <c r="D741"/>
      <c r="E741"/>
      <c r="F741" s="27" t="s">
        <v>7</v>
      </c>
      <c r="OQ741" s="27" t="s">
        <v>8</v>
      </c>
    </row>
    <row r="742" spans="1:407" x14ac:dyDescent="0.25">
      <c r="A742" s="7">
        <v>4.644868004048535E-2</v>
      </c>
      <c r="B742"/>
      <c r="C742"/>
      <c r="D742"/>
      <c r="E742"/>
      <c r="F742" s="27" t="s">
        <v>7</v>
      </c>
      <c r="OQ742" s="27" t="s">
        <v>8</v>
      </c>
    </row>
    <row r="743" spans="1:407" x14ac:dyDescent="0.25">
      <c r="A743" s="7">
        <v>4.5537921608318974E-2</v>
      </c>
      <c r="B743"/>
      <c r="C743"/>
      <c r="D743"/>
      <c r="E743"/>
      <c r="F743" s="27" t="s">
        <v>7</v>
      </c>
      <c r="OQ743" s="27" t="s">
        <v>8</v>
      </c>
    </row>
    <row r="744" spans="1:407" x14ac:dyDescent="0.25">
      <c r="A744" s="7">
        <v>4.4645021184626446E-2</v>
      </c>
      <c r="B744"/>
      <c r="C744"/>
      <c r="D744"/>
      <c r="E744"/>
      <c r="F744" s="27" t="s">
        <v>7</v>
      </c>
      <c r="OQ744" s="27" t="s">
        <v>8</v>
      </c>
    </row>
    <row r="745" spans="1:407" x14ac:dyDescent="0.25">
      <c r="A745" s="7">
        <v>4.3769628612378868E-2</v>
      </c>
      <c r="B745"/>
      <c r="C745"/>
      <c r="D745"/>
      <c r="E745"/>
      <c r="F745" s="27" t="s">
        <v>7</v>
      </c>
      <c r="OQ745" s="27" t="s">
        <v>8</v>
      </c>
    </row>
    <row r="746" spans="1:407" x14ac:dyDescent="0.25">
      <c r="A746" s="7">
        <v>4.2911400600371442E-2</v>
      </c>
      <c r="B746"/>
      <c r="C746"/>
      <c r="D746"/>
      <c r="E746"/>
      <c r="F746" s="27" t="s">
        <v>7</v>
      </c>
      <c r="OQ746" s="27" t="s">
        <v>8</v>
      </c>
    </row>
    <row r="747" spans="1:407" x14ac:dyDescent="0.25">
      <c r="A747" s="7">
        <v>4.2070000588599457E-2</v>
      </c>
      <c r="B747"/>
      <c r="C747"/>
      <c r="D747"/>
      <c r="E747"/>
      <c r="F747" s="27" t="s">
        <v>7</v>
      </c>
      <c r="OQ747" s="27" t="s">
        <v>8</v>
      </c>
    </row>
    <row r="748" spans="1:407" x14ac:dyDescent="0.25">
      <c r="A748" s="7">
        <v>4.1245098616273977E-2</v>
      </c>
      <c r="B748"/>
      <c r="C748"/>
      <c r="D748"/>
      <c r="E748"/>
      <c r="F748" s="27" t="s">
        <v>7</v>
      </c>
      <c r="OQ748" s="27" t="s">
        <v>8</v>
      </c>
    </row>
    <row r="749" spans="1:407" x14ac:dyDescent="0.25">
      <c r="A749" s="7">
        <v>4.043637119242547E-2</v>
      </c>
      <c r="B749"/>
      <c r="C749"/>
      <c r="D749"/>
      <c r="E749"/>
      <c r="F749" s="27" t="s">
        <v>7</v>
      </c>
      <c r="OQ749" s="27" t="s">
        <v>8</v>
      </c>
    </row>
    <row r="750" spans="1:407" x14ac:dyDescent="0.25">
      <c r="A750" s="7">
        <v>3.9643501169044582E-2</v>
      </c>
      <c r="B750"/>
      <c r="C750"/>
      <c r="D750"/>
      <c r="E750"/>
      <c r="F750" s="27" t="s">
        <v>7</v>
      </c>
      <c r="OQ750" s="27" t="s">
        <v>8</v>
      </c>
    </row>
    <row r="751" spans="1:407" x14ac:dyDescent="0.25">
      <c r="A751" s="7">
        <v>3.8866177616710372E-2</v>
      </c>
      <c r="B751"/>
      <c r="C751"/>
      <c r="D751"/>
      <c r="E751"/>
      <c r="F751" s="27" t="s">
        <v>7</v>
      </c>
      <c r="OQ751" s="27" t="s">
        <v>8</v>
      </c>
    </row>
    <row r="752" spans="1:407" x14ac:dyDescent="0.25">
      <c r="A752" s="7">
        <v>3.8104095702657229E-2</v>
      </c>
      <c r="B752"/>
      <c r="C752"/>
      <c r="D752"/>
      <c r="E752"/>
      <c r="F752" s="27" t="s">
        <v>7</v>
      </c>
      <c r="OQ752" s="27" t="s">
        <v>8</v>
      </c>
    </row>
    <row r="753" spans="1:407" x14ac:dyDescent="0.25">
      <c r="A753" s="7">
        <v>3.7356956571232579E-2</v>
      </c>
      <c r="B753"/>
      <c r="C753"/>
      <c r="D753"/>
      <c r="E753"/>
      <c r="F753" s="27" t="s">
        <v>7</v>
      </c>
      <c r="OQ753" s="27" t="s">
        <v>8</v>
      </c>
    </row>
    <row r="754" spans="1:407" x14ac:dyDescent="0.25">
      <c r="A754" s="7">
        <v>3.6624467226698605E-2</v>
      </c>
      <c r="B754"/>
      <c r="C754"/>
      <c r="D754"/>
      <c r="E754"/>
      <c r="F754" s="27" t="s">
        <v>7</v>
      </c>
      <c r="OQ754" s="27" t="s">
        <v>8</v>
      </c>
    </row>
    <row r="755" spans="1:407" x14ac:dyDescent="0.25">
      <c r="A755" s="7">
        <v>3.5906340418331961E-2</v>
      </c>
      <c r="B755"/>
      <c r="C755"/>
      <c r="D755"/>
      <c r="E755"/>
      <c r="F755" s="27" t="s">
        <v>7</v>
      </c>
      <c r="OQ755" s="27" t="s">
        <v>8</v>
      </c>
    </row>
    <row r="756" spans="1:407" x14ac:dyDescent="0.25">
      <c r="A756" s="7">
        <v>3.5202294527776436E-2</v>
      </c>
      <c r="B756"/>
      <c r="C756"/>
      <c r="D756"/>
      <c r="E756"/>
      <c r="F756" s="27" t="s">
        <v>7</v>
      </c>
      <c r="OQ756" s="27" t="s">
        <v>8</v>
      </c>
    </row>
    <row r="757" spans="1:407" x14ac:dyDescent="0.25">
      <c r="A757" s="7">
        <v>3.451205345860435E-2</v>
      </c>
      <c r="B757"/>
      <c r="C757"/>
      <c r="D757"/>
      <c r="E757"/>
      <c r="F757" s="27" t="s">
        <v>7</v>
      </c>
      <c r="OQ757" s="27" t="s">
        <v>8</v>
      </c>
    </row>
    <row r="758" spans="1:407" x14ac:dyDescent="0.25">
      <c r="A758" s="7">
        <v>3.3835346528043479E-2</v>
      </c>
      <c r="B758"/>
      <c r="C758"/>
      <c r="D758"/>
      <c r="E758"/>
      <c r="F758" s="27" t="s">
        <v>7</v>
      </c>
      <c r="OQ758" s="27" t="s">
        <v>8</v>
      </c>
    </row>
    <row r="759" spans="1:407" x14ac:dyDescent="0.25">
      <c r="A759" s="7">
        <v>3.3171908360826938E-2</v>
      </c>
      <c r="B759"/>
      <c r="C759"/>
      <c r="D759"/>
      <c r="E759"/>
      <c r="F759" s="27" t="s">
        <v>7</v>
      </c>
      <c r="OQ759" s="27" t="s">
        <v>8</v>
      </c>
    </row>
    <row r="760" spans="1:407" x14ac:dyDescent="0.25">
      <c r="A760" s="7">
        <v>3.2521478785124451E-2</v>
      </c>
      <c r="B760"/>
      <c r="C760"/>
      <c r="D760"/>
      <c r="E760"/>
      <c r="F760" s="27" t="s">
        <v>7</v>
      </c>
      <c r="OQ760" s="27" t="s">
        <v>8</v>
      </c>
    </row>
    <row r="761" spans="1:407" x14ac:dyDescent="0.25">
      <c r="A761" s="7">
        <v>3.1883802730514173E-2</v>
      </c>
      <c r="B761"/>
      <c r="C761"/>
      <c r="D761"/>
      <c r="E761"/>
      <c r="F761" s="27" t="s">
        <v>7</v>
      </c>
      <c r="OQ761" s="27" t="s">
        <v>8</v>
      </c>
    </row>
    <row r="762" spans="1:407" x14ac:dyDescent="0.25">
      <c r="A762" s="7">
        <v>3.1258630127955073E-2</v>
      </c>
      <c r="B762"/>
      <c r="C762"/>
      <c r="D762"/>
      <c r="E762"/>
      <c r="F762" s="27" t="s">
        <v>7</v>
      </c>
      <c r="OQ762" s="27" t="s">
        <v>8</v>
      </c>
    </row>
    <row r="763" spans="1:407" x14ac:dyDescent="0.25">
      <c r="A763" s="7">
        <v>3.064571581172066E-2</v>
      </c>
      <c r="B763"/>
      <c r="C763"/>
      <c r="D763"/>
      <c r="E763"/>
      <c r="F763" s="27" t="s">
        <v>7</v>
      </c>
      <c r="OQ763" s="27" t="s">
        <v>8</v>
      </c>
    </row>
    <row r="764" spans="1:407" x14ac:dyDescent="0.25">
      <c r="A764" s="7">
        <v>3.0044819423255549E-2</v>
      </c>
      <c r="B764"/>
      <c r="C764"/>
      <c r="D764"/>
      <c r="E764"/>
      <c r="F764" s="27" t="s">
        <v>7</v>
      </c>
      <c r="OQ764" s="27" t="s">
        <v>8</v>
      </c>
    </row>
    <row r="765" spans="1:407" x14ac:dyDescent="0.25">
      <c r="A765" s="7">
        <v>2.9455705316917203E-2</v>
      </c>
      <c r="B765"/>
      <c r="C765"/>
      <c r="D765"/>
      <c r="E765"/>
      <c r="F765" s="27" t="s">
        <v>7</v>
      </c>
      <c r="OQ765" s="27" t="s">
        <v>8</v>
      </c>
    </row>
    <row r="766" spans="1:407" x14ac:dyDescent="0.25">
      <c r="A766" s="7">
        <v>2.8878142467565884E-2</v>
      </c>
      <c r="B766"/>
      <c r="C766"/>
      <c r="D766"/>
      <c r="E766"/>
      <c r="F766" s="27" t="s">
        <v>7</v>
      </c>
      <c r="OQ766" s="27" t="s">
        <v>8</v>
      </c>
    </row>
    <row r="767" spans="1:407" x14ac:dyDescent="0.25">
      <c r="A767" s="7">
        <v>2.8311904379966554E-2</v>
      </c>
      <c r="B767"/>
      <c r="C767"/>
      <c r="D767"/>
      <c r="E767"/>
      <c r="F767" s="27" t="s">
        <v>7</v>
      </c>
      <c r="OQ767" s="27" t="s">
        <v>8</v>
      </c>
    </row>
    <row r="768" spans="1:407" x14ac:dyDescent="0.25">
      <c r="A768" s="7">
        <v>2.7756768999967207E-2</v>
      </c>
      <c r="B768"/>
      <c r="C768"/>
      <c r="D768"/>
      <c r="E768"/>
      <c r="F768" s="27" t="s">
        <v>7</v>
      </c>
      <c r="OQ768" s="27" t="s">
        <v>8</v>
      </c>
    </row>
    <row r="769" spans="1:407" x14ac:dyDescent="0.25">
      <c r="A769" s="7">
        <v>2.7212518627418834E-2</v>
      </c>
      <c r="B769"/>
      <c r="C769"/>
      <c r="D769"/>
      <c r="E769"/>
      <c r="F769" s="27" t="s">
        <v>7</v>
      </c>
      <c r="OQ769" s="27" t="s">
        <v>8</v>
      </c>
    </row>
    <row r="770" spans="1:407" x14ac:dyDescent="0.25">
      <c r="A770" s="7">
        <v>2.6678939830802779E-2</v>
      </c>
      <c r="B770"/>
      <c r="C770"/>
      <c r="D770"/>
      <c r="E770"/>
      <c r="F770" s="27" t="s">
        <v>7</v>
      </c>
      <c r="OQ770" s="27" t="s">
        <v>8</v>
      </c>
    </row>
    <row r="771" spans="1:407" x14ac:dyDescent="0.25">
      <c r="A771" s="7">
        <v>2.615582336353214E-2</v>
      </c>
      <c r="B771"/>
      <c r="C771"/>
      <c r="D771"/>
      <c r="E771"/>
      <c r="F771" s="27" t="s">
        <v>7</v>
      </c>
      <c r="OQ771" s="27" t="s">
        <v>8</v>
      </c>
    </row>
    <row r="772" spans="1:407" x14ac:dyDescent="0.25">
      <c r="A772" s="7">
        <v>2.5642964081894253E-2</v>
      </c>
      <c r="B772"/>
      <c r="C772"/>
      <c r="D772"/>
      <c r="E772"/>
      <c r="F772" s="27" t="s">
        <v>7</v>
      </c>
      <c r="OQ772" s="27" t="s">
        <v>8</v>
      </c>
    </row>
    <row r="773" spans="1:407" x14ac:dyDescent="0.25">
      <c r="A773" s="7">
        <v>2.5140160864602207E-2</v>
      </c>
      <c r="B773"/>
      <c r="C773"/>
      <c r="D773"/>
      <c r="E773"/>
      <c r="F773" s="27" t="s">
        <v>7</v>
      </c>
      <c r="OQ773" s="27" t="s">
        <v>8</v>
      </c>
    </row>
    <row r="774" spans="1:407" x14ac:dyDescent="0.25">
      <c r="A774" s="7">
        <v>2.4647216533923735E-2</v>
      </c>
      <c r="B774"/>
      <c r="C774"/>
      <c r="D774"/>
      <c r="E774"/>
      <c r="F774" s="27" t="s">
        <v>7</v>
      </c>
      <c r="OQ774" s="27" t="s">
        <v>8</v>
      </c>
    </row>
    <row r="775" spans="1:407" x14ac:dyDescent="0.25">
      <c r="A775" s="7">
        <v>2.4163937778356601E-2</v>
      </c>
      <c r="B775"/>
      <c r="C775"/>
      <c r="D775"/>
      <c r="E775"/>
      <c r="F775" s="27" t="s">
        <v>7</v>
      </c>
      <c r="OQ775" s="27" t="s">
        <v>8</v>
      </c>
    </row>
    <row r="776" spans="1:407" x14ac:dyDescent="0.25">
      <c r="A776" s="7">
        <v>2.3690135076820197E-2</v>
      </c>
      <c r="B776"/>
      <c r="C776"/>
      <c r="D776"/>
      <c r="E776"/>
      <c r="F776" s="27" t="s">
        <v>7</v>
      </c>
      <c r="OQ776" s="27" t="s">
        <v>8</v>
      </c>
    </row>
    <row r="777" spans="1:407" x14ac:dyDescent="0.25">
      <c r="A777" s="7">
        <v>2.3225622624333527E-2</v>
      </c>
      <c r="B777"/>
      <c r="C777"/>
      <c r="D777"/>
      <c r="E777"/>
      <c r="F777" s="27" t="s">
        <v>7</v>
      </c>
      <c r="OQ777" s="27" t="s">
        <v>8</v>
      </c>
    </row>
    <row r="778" spans="1:407" x14ac:dyDescent="0.25">
      <c r="A778" s="7">
        <v>2.2770218259150519E-2</v>
      </c>
      <c r="B778"/>
      <c r="C778"/>
      <c r="D778"/>
      <c r="E778"/>
      <c r="F778" s="27" t="s">
        <v>7</v>
      </c>
      <c r="OQ778" s="27" t="s">
        <v>8</v>
      </c>
    </row>
    <row r="779" spans="1:407" x14ac:dyDescent="0.25">
      <c r="A779" s="7">
        <v>2.2323743391324039E-2</v>
      </c>
      <c r="B779"/>
      <c r="C779"/>
      <c r="D779"/>
      <c r="E779"/>
      <c r="F779" s="27" t="s">
        <v>7</v>
      </c>
      <c r="OQ779" s="27" t="s">
        <v>8</v>
      </c>
    </row>
    <row r="780" spans="1:407" x14ac:dyDescent="0.25">
      <c r="A780" s="7">
        <v>2.188602293267063E-2</v>
      </c>
      <c r="B780"/>
      <c r="C780"/>
      <c r="D780"/>
      <c r="E780"/>
      <c r="F780" s="27" t="s">
        <v>7</v>
      </c>
      <c r="OQ780" s="27" t="s">
        <v>8</v>
      </c>
    </row>
    <row r="781" spans="1:407" x14ac:dyDescent="0.25">
      <c r="A781" s="7">
        <v>2.1456885228108461E-2</v>
      </c>
      <c r="B781"/>
      <c r="C781"/>
      <c r="D781"/>
      <c r="E781"/>
      <c r="F781" s="27" t="s">
        <v>7</v>
      </c>
      <c r="OQ781" s="27" t="s">
        <v>8</v>
      </c>
    </row>
    <row r="782" spans="1:407" x14ac:dyDescent="0.25">
      <c r="A782" s="7">
        <v>2.1036161988341632E-2</v>
      </c>
      <c r="B782"/>
      <c r="C782"/>
      <c r="D782"/>
      <c r="E782"/>
      <c r="F782" s="27" t="s">
        <v>7</v>
      </c>
      <c r="OQ782" s="27" t="s">
        <v>8</v>
      </c>
    </row>
    <row r="783" spans="1:407" x14ac:dyDescent="0.25">
      <c r="A783" s="7">
        <v>2.0623688223864345E-2</v>
      </c>
      <c r="B783"/>
      <c r="C783"/>
      <c r="D783"/>
      <c r="E783"/>
      <c r="F783" s="27" t="s">
        <v>7</v>
      </c>
      <c r="OQ783" s="27" t="s">
        <v>8</v>
      </c>
    </row>
    <row r="784" spans="1:407" x14ac:dyDescent="0.25">
      <c r="A784" s="7">
        <v>2.021930218025916E-2</v>
      </c>
      <c r="B784"/>
      <c r="C784"/>
      <c r="D784"/>
      <c r="E784"/>
      <c r="F784" s="27" t="s">
        <v>7</v>
      </c>
      <c r="OQ784" s="27" t="s">
        <v>8</v>
      </c>
    </row>
    <row r="785" spans="1:407" x14ac:dyDescent="0.25">
      <c r="A785" s="7">
        <v>1.9822845274763884E-2</v>
      </c>
      <c r="B785"/>
      <c r="C785"/>
      <c r="D785"/>
      <c r="E785"/>
      <c r="F785" s="27" t="s">
        <v>7</v>
      </c>
      <c r="OQ785" s="27" t="s">
        <v>8</v>
      </c>
    </row>
    <row r="786" spans="1:407" x14ac:dyDescent="0.25">
      <c r="A786" s="7">
        <v>1.9434162034082238E-2</v>
      </c>
      <c r="B786"/>
      <c r="C786"/>
      <c r="D786"/>
      <c r="E786"/>
      <c r="F786" s="27" t="s">
        <v>7</v>
      </c>
      <c r="OQ786" s="27" t="s">
        <v>8</v>
      </c>
    </row>
    <row r="787" spans="1:407" x14ac:dyDescent="0.25">
      <c r="A787" s="7">
        <v>1.9053100033413959E-2</v>
      </c>
      <c r="B787"/>
      <c r="C787"/>
      <c r="D787"/>
      <c r="E787"/>
      <c r="F787" s="27" t="s">
        <v>7</v>
      </c>
      <c r="OQ787" s="27" t="s">
        <v>8</v>
      </c>
    </row>
    <row r="788" spans="1:407" x14ac:dyDescent="0.25">
      <c r="A788" s="7">
        <v>1.867950983668035E-2</v>
      </c>
      <c r="B788"/>
      <c r="C788"/>
      <c r="D788"/>
      <c r="E788"/>
      <c r="F788" s="27" t="s">
        <v>7</v>
      </c>
      <c r="OQ788" s="27" t="s">
        <v>8</v>
      </c>
    </row>
    <row r="789" spans="1:407" x14ac:dyDescent="0.25">
      <c r="A789" s="7">
        <v>1.8313244937921913E-2</v>
      </c>
      <c r="B789"/>
      <c r="C789"/>
      <c r="D789"/>
      <c r="E789"/>
      <c r="F789" s="27" t="s">
        <v>7</v>
      </c>
      <c r="OQ789" s="27" t="s">
        <v>8</v>
      </c>
    </row>
    <row r="790" spans="1:407" x14ac:dyDescent="0.25">
      <c r="A790" s="7">
        <v>1.7954161703845013E-2</v>
      </c>
      <c r="B790"/>
      <c r="C790"/>
      <c r="D790"/>
      <c r="E790"/>
      <c r="F790" s="27" t="s">
        <v>7</v>
      </c>
      <c r="OQ790" s="27" t="s">
        <v>8</v>
      </c>
    </row>
    <row r="791" spans="1:407" x14ac:dyDescent="0.25">
      <c r="A791" s="7">
        <v>1.7602119317495109E-2</v>
      </c>
      <c r="B791"/>
      <c r="C791"/>
      <c r="D791"/>
      <c r="E791"/>
      <c r="F791" s="27" t="s">
        <v>7</v>
      </c>
      <c r="OQ791" s="27" t="s">
        <v>8</v>
      </c>
    </row>
    <row r="792" spans="1:407" x14ac:dyDescent="0.25">
      <c r="A792" s="7">
        <v>1.7256979723034419E-2</v>
      </c>
      <c r="B792"/>
      <c r="C792"/>
      <c r="D792"/>
      <c r="E792"/>
      <c r="F792" s="27" t="s">
        <v>7</v>
      </c>
      <c r="OQ792" s="27" t="s">
        <v>8</v>
      </c>
    </row>
    <row r="793" spans="1:407" x14ac:dyDescent="0.25">
      <c r="A793" s="7">
        <v>1.6918607571602372E-2</v>
      </c>
      <c r="B793"/>
      <c r="C793"/>
      <c r="D793"/>
      <c r="E793"/>
      <c r="F793" s="27" t="s">
        <v>7</v>
      </c>
      <c r="OQ793" s="27" t="s">
        <v>8</v>
      </c>
    </row>
    <row r="794" spans="1:407" x14ac:dyDescent="0.25">
      <c r="A794" s="7">
        <v>1.6586870168237622E-2</v>
      </c>
      <c r="B794"/>
      <c r="C794"/>
      <c r="D794"/>
      <c r="E794"/>
      <c r="F794" s="27" t="s">
        <v>7</v>
      </c>
      <c r="OQ794" s="27" t="s">
        <v>8</v>
      </c>
    </row>
    <row r="795" spans="1:407" x14ac:dyDescent="0.25">
      <c r="A795" s="7">
        <v>1.6261637419840807E-2</v>
      </c>
      <c r="B795"/>
      <c r="C795"/>
      <c r="D795"/>
      <c r="E795"/>
      <c r="F795" s="27" t="s">
        <v>7</v>
      </c>
      <c r="OQ795" s="27" t="s">
        <v>8</v>
      </c>
    </row>
    <row r="796" spans="1:407" x14ac:dyDescent="0.25">
      <c r="A796" s="7">
        <v>1.5942781784157655E-2</v>
      </c>
      <c r="B796"/>
      <c r="C796"/>
      <c r="D796"/>
      <c r="E796"/>
      <c r="F796" s="27" t="s">
        <v>7</v>
      </c>
      <c r="OQ796" s="27" t="s">
        <v>8</v>
      </c>
    </row>
    <row r="797" spans="1:407" x14ac:dyDescent="0.25">
      <c r="A797" s="7">
        <v>1.5630178219762408E-2</v>
      </c>
      <c r="B797"/>
      <c r="C797"/>
      <c r="D797"/>
      <c r="E797"/>
      <c r="F797" s="27" t="s">
        <v>7</v>
      </c>
      <c r="OQ797" s="27" t="s">
        <v>8</v>
      </c>
    </row>
    <row r="798" spans="1:407" x14ac:dyDescent="0.25">
      <c r="A798" s="7">
        <v>1.5323704137021967E-2</v>
      </c>
      <c r="B798"/>
      <c r="C798"/>
      <c r="D798"/>
      <c r="E798"/>
      <c r="F798" s="27" t="s">
        <v>7</v>
      </c>
      <c r="OQ798" s="27" t="s">
        <v>8</v>
      </c>
    </row>
    <row r="799" spans="1:407" x14ac:dyDescent="0.25">
      <c r="A799" s="7">
        <v>1.5023239350021535E-2</v>
      </c>
      <c r="B799"/>
      <c r="C799"/>
      <c r="D799"/>
      <c r="E799"/>
      <c r="F799" s="27" t="s">
        <v>7</v>
      </c>
      <c r="OQ799" s="27" t="s">
        <v>8</v>
      </c>
    </row>
    <row r="800" spans="1:407" x14ac:dyDescent="0.25">
      <c r="A800" s="7">
        <v>1.4728666029432878E-2</v>
      </c>
      <c r="B800"/>
      <c r="C800"/>
      <c r="D800"/>
      <c r="E800"/>
      <c r="F800" s="27" t="s">
        <v>7</v>
      </c>
      <c r="OQ800" s="27" t="s">
        <v>8</v>
      </c>
    </row>
    <row r="801" spans="1:407" x14ac:dyDescent="0.25">
      <c r="A801" s="7">
        <v>1.4439868656306743E-2</v>
      </c>
      <c r="B801"/>
      <c r="C801"/>
      <c r="D801"/>
      <c r="E801"/>
      <c r="F801" s="27" t="s">
        <v>7</v>
      </c>
      <c r="OQ801" s="27" t="s">
        <v>8</v>
      </c>
    </row>
    <row r="802" spans="1:407" x14ac:dyDescent="0.25">
      <c r="A802" s="7">
        <v>1.4156733976771318E-2</v>
      </c>
      <c r="B802"/>
      <c r="C802"/>
      <c r="D802"/>
      <c r="E802"/>
      <c r="F802" s="27" t="s">
        <v>7</v>
      </c>
      <c r="OQ802" s="27" t="s">
        <v>8</v>
      </c>
    </row>
    <row r="803" spans="1:407" x14ac:dyDescent="0.25">
      <c r="A803" s="7">
        <v>1.3879150957618939E-2</v>
      </c>
      <c r="B803"/>
      <c r="C803"/>
      <c r="D803"/>
      <c r="E803"/>
      <c r="F803" s="27" t="s">
        <v>7</v>
      </c>
      <c r="OQ803" s="27" t="s">
        <v>8</v>
      </c>
    </row>
    <row r="804" spans="1:407" x14ac:dyDescent="0.25">
      <c r="A804" s="7">
        <v>1.3607010742763666E-2</v>
      </c>
      <c r="B804"/>
      <c r="C804"/>
      <c r="D804"/>
      <c r="E804"/>
      <c r="F804" s="27" t="s">
        <v>7</v>
      </c>
      <c r="OQ804" s="27" t="s">
        <v>8</v>
      </c>
    </row>
    <row r="805" spans="1:407" x14ac:dyDescent="0.25">
      <c r="A805" s="7">
        <v>1.3340206610552614E-2</v>
      </c>
      <c r="B805"/>
      <c r="C805"/>
      <c r="D805"/>
      <c r="E805"/>
      <c r="F805" s="27" t="s">
        <v>7</v>
      </c>
      <c r="OQ805" s="27" t="s">
        <v>8</v>
      </c>
    </row>
    <row r="806" spans="1:407" x14ac:dyDescent="0.25">
      <c r="A806" s="7">
        <v>1.3078633931914328E-2</v>
      </c>
      <c r="B806"/>
      <c r="C806"/>
      <c r="D806"/>
      <c r="E806"/>
      <c r="F806" s="27" t="s">
        <v>7</v>
      </c>
      <c r="OQ806" s="27" t="s">
        <v>8</v>
      </c>
    </row>
    <row r="807" spans="1:407" x14ac:dyDescent="0.25">
      <c r="A807" s="7">
        <v>1.2822190129327771E-2</v>
      </c>
      <c r="B807"/>
      <c r="C807"/>
      <c r="D807"/>
      <c r="E807"/>
      <c r="F807" s="27" t="s">
        <v>7</v>
      </c>
      <c r="OQ807" s="27" t="s">
        <v>8</v>
      </c>
    </row>
    <row r="808" spans="1:407" x14ac:dyDescent="0.25">
      <c r="A808" s="7">
        <v>1.2570774636595854E-2</v>
      </c>
      <c r="B808"/>
      <c r="C808"/>
      <c r="D808"/>
      <c r="E808"/>
      <c r="F808" s="27" t="s">
        <v>7</v>
      </c>
      <c r="OQ808" s="27" t="s">
        <v>8</v>
      </c>
    </row>
    <row r="809" spans="1:407" x14ac:dyDescent="0.25">
      <c r="A809" s="7">
        <v>1.23242888594077E-2</v>
      </c>
      <c r="B809"/>
      <c r="C809"/>
      <c r="D809"/>
      <c r="E809"/>
      <c r="F809" s="27" t="s">
        <v>7</v>
      </c>
      <c r="OQ809" s="27" t="s">
        <v>8</v>
      </c>
    </row>
    <row r="810" spans="1:407" x14ac:dyDescent="0.25">
      <c r="A810" s="7">
        <v>1.2082636136674216E-2</v>
      </c>
      <c r="B810"/>
      <c r="C810"/>
      <c r="D810"/>
      <c r="E810"/>
      <c r="F810" s="27" t="s">
        <v>7</v>
      </c>
      <c r="OQ810" s="27" t="s">
        <v>8</v>
      </c>
    </row>
    <row r="811" spans="1:407" x14ac:dyDescent="0.25">
      <c r="A811" s="7">
        <v>1.184572170262178E-2</v>
      </c>
      <c r="B811"/>
      <c r="C811"/>
      <c r="D811"/>
      <c r="E811"/>
      <c r="F811" s="27" t="s">
        <v>7</v>
      </c>
      <c r="OQ811" s="27" t="s">
        <v>8</v>
      </c>
    </row>
    <row r="812" spans="1:407" x14ac:dyDescent="0.25">
      <c r="A812" s="7">
        <v>1.1613452649629196E-2</v>
      </c>
      <c r="B812"/>
      <c r="C812"/>
      <c r="D812"/>
      <c r="E812"/>
      <c r="F812" s="27" t="s">
        <v>7</v>
      </c>
      <c r="OQ812" s="27" t="s">
        <v>8</v>
      </c>
    </row>
    <row r="813" spans="1:407" x14ac:dyDescent="0.25">
      <c r="A813" s="7">
        <v>1.138573789179333E-2</v>
      </c>
      <c r="B813"/>
      <c r="C813"/>
      <c r="D813"/>
      <c r="E813"/>
      <c r="F813" s="27" t="s">
        <v>7</v>
      </c>
      <c r="OQ813" s="27" t="s">
        <v>8</v>
      </c>
    </row>
    <row r="814" spans="1:407" x14ac:dyDescent="0.25">
      <c r="A814" s="7">
        <v>1.1162488129209149E-2</v>
      </c>
      <c r="B814"/>
      <c r="C814"/>
      <c r="D814"/>
      <c r="E814"/>
      <c r="F814" s="27" t="s">
        <v>7</v>
      </c>
      <c r="OQ814" s="27" t="s">
        <v>8</v>
      </c>
    </row>
    <row r="815" spans="1:407" x14ac:dyDescent="0.25">
      <c r="A815" s="7">
        <v>1.0943615812950145E-2</v>
      </c>
      <c r="B815"/>
      <c r="C815"/>
      <c r="D815"/>
      <c r="E815"/>
      <c r="F815" s="27" t="s">
        <v>7</v>
      </c>
      <c r="OQ815" s="27" t="s">
        <v>8</v>
      </c>
    </row>
    <row r="816" spans="1:407" x14ac:dyDescent="0.25">
      <c r="A816" s="7">
        <v>1.0729035110735436E-2</v>
      </c>
      <c r="B816"/>
      <c r="C816"/>
      <c r="D816"/>
      <c r="E816"/>
      <c r="F816" s="27" t="s">
        <v>7</v>
      </c>
      <c r="OQ816" s="27" t="s">
        <v>8</v>
      </c>
    </row>
    <row r="817" spans="1:407" x14ac:dyDescent="0.25">
      <c r="A817" s="7">
        <v>1.0518661873270036E-2</v>
      </c>
      <c r="B817"/>
      <c r="C817"/>
      <c r="D817"/>
      <c r="E817"/>
      <c r="F817" s="27" t="s">
        <v>7</v>
      </c>
      <c r="OQ817" s="27" t="s">
        <v>8</v>
      </c>
    </row>
    <row r="818" spans="1:407" x14ac:dyDescent="0.25">
      <c r="A818" s="7">
        <v>1.0312413601245135E-2</v>
      </c>
      <c r="B818"/>
      <c r="C818"/>
      <c r="D818"/>
      <c r="E818"/>
      <c r="F818" s="27" t="s">
        <v>7</v>
      </c>
      <c r="OQ818" s="27" t="s">
        <v>8</v>
      </c>
    </row>
    <row r="819" spans="1:407" x14ac:dyDescent="0.25">
      <c r="A819" s="7">
        <v>1.0110209412985426E-2</v>
      </c>
      <c r="B819"/>
      <c r="C819"/>
      <c r="D819"/>
      <c r="E819"/>
      <c r="F819" s="27" t="s">
        <v>7</v>
      </c>
      <c r="OQ819" s="27" t="s">
        <v>8</v>
      </c>
    </row>
    <row r="820" spans="1:407" x14ac:dyDescent="0.25">
      <c r="A820" s="7">
        <v>9.9119700127308103E-3</v>
      </c>
      <c r="B820"/>
      <c r="C820"/>
      <c r="D820"/>
      <c r="E820"/>
      <c r="F820" s="27" t="s">
        <v>7</v>
      </c>
      <c r="OQ820" s="27" t="s">
        <v>8</v>
      </c>
    </row>
    <row r="821" spans="1:407" x14ac:dyDescent="0.25">
      <c r="A821" s="7">
        <v>9.717617659540009E-3</v>
      </c>
      <c r="B821"/>
      <c r="C821"/>
      <c r="D821"/>
      <c r="E821"/>
      <c r="F821" s="27" t="s">
        <v>7</v>
      </c>
      <c r="OQ821" s="27" t="s">
        <v>8</v>
      </c>
    </row>
    <row r="822" spans="1:407" x14ac:dyDescent="0.25">
      <c r="A822" s="7">
        <v>9.5270761368039299E-3</v>
      </c>
      <c r="B822"/>
      <c r="C822"/>
      <c r="D822"/>
      <c r="E822"/>
      <c r="F822" s="27" t="s">
        <v>7</v>
      </c>
      <c r="OQ822" s="27" t="s">
        <v>8</v>
      </c>
    </row>
    <row r="823" spans="1:407" x14ac:dyDescent="0.25">
      <c r="A823" s="7">
        <v>9.3402707223567936E-3</v>
      </c>
      <c r="B823"/>
      <c r="C823"/>
      <c r="D823"/>
      <c r="E823"/>
      <c r="F823" s="27" t="s">
        <v>7</v>
      </c>
      <c r="OQ823" s="27" t="s">
        <v>8</v>
      </c>
    </row>
    <row r="824" spans="1:407" x14ac:dyDescent="0.25">
      <c r="A824" s="7">
        <v>9.1571281591733261E-3</v>
      </c>
      <c r="B824"/>
      <c r="C824"/>
      <c r="D824"/>
      <c r="E824"/>
      <c r="F824" s="27" t="s">
        <v>7</v>
      </c>
      <c r="OQ824" s="27" t="s">
        <v>8</v>
      </c>
    </row>
    <row r="825" spans="1:407" x14ac:dyDescent="0.25">
      <c r="A825" s="7">
        <v>8.9775766266405148E-3</v>
      </c>
      <c r="B825"/>
      <c r="C825"/>
      <c r="D825"/>
      <c r="E825"/>
      <c r="F825" s="27" t="s">
        <v>7</v>
      </c>
      <c r="OQ825" s="27" t="s">
        <v>8</v>
      </c>
    </row>
    <row r="826" spans="1:407" x14ac:dyDescent="0.25">
      <c r="A826" s="7">
        <v>8.8015457123926614E-3</v>
      </c>
      <c r="B826"/>
      <c r="C826"/>
      <c r="D826"/>
      <c r="E826"/>
      <c r="F826" s="27" t="s">
        <v>7</v>
      </c>
      <c r="OQ826" s="27" t="s">
        <v>8</v>
      </c>
    </row>
    <row r="827" spans="1:407" x14ac:dyDescent="0.25">
      <c r="A827" s="7">
        <v>8.6289663846986879E-3</v>
      </c>
      <c r="B827"/>
      <c r="C827"/>
      <c r="D827"/>
      <c r="E827"/>
      <c r="F827" s="27" t="s">
        <v>7</v>
      </c>
      <c r="OQ827" s="27" t="s">
        <v>8</v>
      </c>
    </row>
    <row r="828" spans="1:407" x14ac:dyDescent="0.25">
      <c r="A828" s="7">
        <v>8.4597709653908715E-3</v>
      </c>
      <c r="B828"/>
      <c r="C828"/>
      <c r="D828"/>
      <c r="E828"/>
      <c r="F828" s="27" t="s">
        <v>7</v>
      </c>
      <c r="OQ828" s="27" t="s">
        <v>8</v>
      </c>
    </row>
    <row r="829" spans="1:407" x14ac:dyDescent="0.25">
      <c r="A829" s="7">
        <v>8.2938931033243839E-3</v>
      </c>
      <c r="B829"/>
      <c r="C829"/>
      <c r="D829"/>
      <c r="E829"/>
      <c r="F829" s="27" t="s">
        <v>7</v>
      </c>
      <c r="OQ829" s="27" t="s">
        <v>8</v>
      </c>
    </row>
    <row r="830" spans="1:407" x14ac:dyDescent="0.25">
      <c r="A830" s="7">
        <v>8.1312677483572383E-3</v>
      </c>
      <c r="B830"/>
      <c r="C830"/>
      <c r="D830"/>
      <c r="E830"/>
      <c r="F830" s="27" t="s">
        <v>7</v>
      </c>
      <c r="OQ830" s="27" t="s">
        <v>8</v>
      </c>
    </row>
    <row r="831" spans="1:407" x14ac:dyDescent="0.25">
      <c r="A831" s="7">
        <v>7.9718311258404305E-3</v>
      </c>
      <c r="B831"/>
      <c r="C831"/>
      <c r="D831"/>
      <c r="E831"/>
      <c r="F831" s="27" t="s">
        <v>7</v>
      </c>
      <c r="OQ831" s="27" t="s">
        <v>8</v>
      </c>
    </row>
    <row r="832" spans="1:407" x14ac:dyDescent="0.25">
      <c r="A832" s="7">
        <v>7.8155207116082648E-3</v>
      </c>
      <c r="B832"/>
      <c r="C832"/>
      <c r="D832"/>
      <c r="E832"/>
      <c r="F832" s="27" t="s">
        <v>7</v>
      </c>
      <c r="OQ832" s="27" t="s">
        <v>8</v>
      </c>
    </row>
    <row r="833" spans="1:407" x14ac:dyDescent="0.25">
      <c r="A833" s="7">
        <v>7.6622752074590825E-3</v>
      </c>
      <c r="B833"/>
      <c r="C833"/>
      <c r="D833"/>
      <c r="E833"/>
      <c r="F833" s="27" t="s">
        <v>7</v>
      </c>
      <c r="OQ833" s="27" t="s">
        <v>8</v>
      </c>
    </row>
    <row r="834" spans="1:407" x14ac:dyDescent="0.25">
      <c r="A834" s="7">
        <v>7.5120345171167469E-3</v>
      </c>
      <c r="B834"/>
      <c r="C834"/>
      <c r="D834"/>
      <c r="E834"/>
      <c r="F834" s="27" t="s">
        <v>7</v>
      </c>
      <c r="OQ834" s="27" t="s">
        <v>8</v>
      </c>
    </row>
    <row r="835" spans="1:407" x14ac:dyDescent="0.25">
      <c r="A835" s="7">
        <v>7.3647397226634772E-3</v>
      </c>
      <c r="B835"/>
      <c r="C835"/>
      <c r="D835"/>
      <c r="E835"/>
      <c r="F835" s="27" t="s">
        <v>7</v>
      </c>
      <c r="OQ835" s="27" t="s">
        <v>8</v>
      </c>
    </row>
    <row r="836" spans="1:407" x14ac:dyDescent="0.25">
      <c r="A836" s="7">
        <v>7.2203330614347815E-3</v>
      </c>
      <c r="B836"/>
      <c r="C836"/>
      <c r="D836"/>
      <c r="E836"/>
      <c r="F836" s="27" t="s">
        <v>7</v>
      </c>
      <c r="OQ836" s="27" t="s">
        <v>8</v>
      </c>
    </row>
    <row r="837" spans="1:407" x14ac:dyDescent="0.25">
      <c r="A837" s="7">
        <v>7.0787579033674327E-3</v>
      </c>
      <c r="B837"/>
      <c r="C837"/>
      <c r="D837"/>
      <c r="E837"/>
      <c r="F837" s="27" t="s">
        <v>7</v>
      </c>
      <c r="OQ837" s="27" t="s">
        <v>8</v>
      </c>
    </row>
    <row r="838" spans="1:407" x14ac:dyDescent="0.25">
      <c r="A838" s="7">
        <v>6.9399587287916013E-3</v>
      </c>
      <c r="B838"/>
      <c r="C838"/>
      <c r="D838"/>
      <c r="E838"/>
      <c r="F838" s="27" t="s">
        <v>7</v>
      </c>
      <c r="OQ838" s="27" t="s">
        <v>8</v>
      </c>
    </row>
    <row r="839" spans="1:407" x14ac:dyDescent="0.25">
      <c r="A839" s="7">
        <v>6.8038811066584333E-3</v>
      </c>
      <c r="B839"/>
      <c r="C839"/>
      <c r="D839"/>
      <c r="E839"/>
      <c r="F839" s="27" t="s">
        <v>7</v>
      </c>
      <c r="OQ839" s="27" t="s">
        <v>8</v>
      </c>
    </row>
    <row r="840" spans="1:407" x14ac:dyDescent="0.25">
      <c r="A840" s="7">
        <v>6.6704716731945425E-3</v>
      </c>
      <c r="B840"/>
      <c r="C840"/>
      <c r="D840"/>
      <c r="E840"/>
      <c r="F840" s="27" t="s">
        <v>7</v>
      </c>
      <c r="OQ840" s="27" t="s">
        <v>8</v>
      </c>
    </row>
    <row r="841" spans="1:407" x14ac:dyDescent="0.25">
      <c r="A841" s="7">
        <v>6.5396781109750427E-3</v>
      </c>
      <c r="B841"/>
      <c r="C841"/>
      <c r="D841"/>
      <c r="E841"/>
      <c r="F841" s="27" t="s">
        <v>7</v>
      </c>
      <c r="OQ841" s="27" t="s">
        <v>8</v>
      </c>
    </row>
    <row r="842" spans="1:407" x14ac:dyDescent="0.25">
      <c r="A842" s="7">
        <v>6.4114491284069045E-3</v>
      </c>
      <c r="B842"/>
      <c r="C842"/>
      <c r="D842"/>
      <c r="E842"/>
      <c r="F842" s="27" t="s">
        <v>7</v>
      </c>
      <c r="OQ842" s="27" t="s">
        <v>8</v>
      </c>
    </row>
    <row r="843" spans="1:407" x14ac:dyDescent="0.25">
      <c r="A843" s="7">
        <v>6.2857344396146115E-3</v>
      </c>
      <c r="B843"/>
      <c r="C843"/>
      <c r="D843"/>
      <c r="E843"/>
      <c r="F843" s="27" t="s">
        <v>7</v>
      </c>
      <c r="OQ843" s="27" t="s">
        <v>8</v>
      </c>
    </row>
    <row r="844" spans="1:407" x14ac:dyDescent="0.25">
      <c r="A844" s="7">
        <v>6.1624847447202076E-3</v>
      </c>
      <c r="B844"/>
      <c r="C844"/>
      <c r="D844"/>
      <c r="E844"/>
      <c r="F844" s="27" t="s">
        <v>7</v>
      </c>
      <c r="OQ844" s="27" t="s">
        <v>8</v>
      </c>
    </row>
    <row r="845" spans="1:407" x14ac:dyDescent="0.25">
      <c r="A845" s="7">
        <v>6.0416517105100079E-3</v>
      </c>
      <c r="B845"/>
      <c r="C845"/>
      <c r="D845"/>
      <c r="E845"/>
      <c r="F845" s="27" t="s">
        <v>7</v>
      </c>
      <c r="OQ845" s="27" t="s">
        <v>8</v>
      </c>
    </row>
    <row r="846" spans="1:407" x14ac:dyDescent="0.25">
      <c r="A846" s="7">
        <v>5.9231879514803996E-3</v>
      </c>
      <c r="B846"/>
      <c r="C846"/>
      <c r="D846"/>
      <c r="E846"/>
      <c r="F846" s="27" t="s">
        <v>7</v>
      </c>
      <c r="OQ846" s="27" t="s">
        <v>8</v>
      </c>
    </row>
    <row r="847" spans="1:407" x14ac:dyDescent="0.25">
      <c r="A847" s="7">
        <v>5.8070470112552936E-3</v>
      </c>
      <c r="B847"/>
      <c r="C847"/>
      <c r="D847"/>
      <c r="E847"/>
      <c r="F847" s="27" t="s">
        <v>7</v>
      </c>
      <c r="OQ847" s="27" t="s">
        <v>8</v>
      </c>
    </row>
    <row r="848" spans="1:407" x14ac:dyDescent="0.25">
      <c r="A848" s="7">
        <v>5.6931833443679353E-3</v>
      </c>
      <c r="B848"/>
      <c r="C848"/>
      <c r="D848"/>
      <c r="E848"/>
      <c r="F848" s="27" t="s">
        <v>7</v>
      </c>
      <c r="OQ848" s="27" t="s">
        <v>8</v>
      </c>
    </row>
    <row r="849" spans="1:407" x14ac:dyDescent="0.25">
      <c r="A849" s="7">
        <v>5.5815522983999367E-3</v>
      </c>
      <c r="B849"/>
      <c r="C849"/>
      <c r="D849"/>
      <c r="E849"/>
      <c r="F849" s="27" t="s">
        <v>7</v>
      </c>
      <c r="OQ849" s="27" t="s">
        <v>8</v>
      </c>
    </row>
    <row r="850" spans="1:407" x14ac:dyDescent="0.25">
      <c r="A850" s="7">
        <v>5.4721100964705257E-3</v>
      </c>
      <c r="B850"/>
      <c r="C850"/>
      <c r="D850"/>
      <c r="E850"/>
      <c r="F850" s="27" t="s">
        <v>7</v>
      </c>
      <c r="OQ850" s="27" t="s">
        <v>8</v>
      </c>
    </row>
    <row r="851" spans="1:407" x14ac:dyDescent="0.25">
      <c r="A851" s="7">
        <v>5.3648138200691423E-3</v>
      </c>
      <c r="B851"/>
      <c r="C851"/>
      <c r="D851"/>
      <c r="E851"/>
      <c r="F851" s="27" t="s">
        <v>7</v>
      </c>
      <c r="OQ851" s="27" t="s">
        <v>8</v>
      </c>
    </row>
    <row r="852" spans="1:407" x14ac:dyDescent="0.25">
      <c r="A852" s="7">
        <v>5.2596213922246494E-3</v>
      </c>
      <c r="B852"/>
      <c r="C852"/>
      <c r="D852"/>
      <c r="E852"/>
      <c r="F852" s="27" t="s">
        <v>7</v>
      </c>
      <c r="OQ852" s="27" t="s">
        <v>8</v>
      </c>
    </row>
    <row r="853" spans="1:407" x14ac:dyDescent="0.25">
      <c r="A853" s="7">
        <v>5.1564915610045588E-3</v>
      </c>
      <c r="B853"/>
      <c r="C853"/>
      <c r="D853"/>
      <c r="E853"/>
      <c r="F853" s="27" t="s">
        <v>7</v>
      </c>
      <c r="OQ853" s="27" t="s">
        <v>8</v>
      </c>
    </row>
    <row r="854" spans="1:407" x14ac:dyDescent="0.25">
      <c r="A854" s="7">
        <v>5.0553838833378023E-3</v>
      </c>
      <c r="B854"/>
      <c r="C854"/>
      <c r="D854"/>
      <c r="E854"/>
      <c r="F854" s="27" t="s">
        <v>7</v>
      </c>
      <c r="OQ854" s="27" t="s">
        <v>8</v>
      </c>
    </row>
    <row r="855" spans="1:407" x14ac:dyDescent="0.25">
      <c r="A855" s="7">
        <v>4.9562587091547079E-3</v>
      </c>
      <c r="B855"/>
      <c r="C855"/>
      <c r="D855"/>
      <c r="E855"/>
      <c r="F855" s="27" t="s">
        <v>7</v>
      </c>
      <c r="OQ855" s="27" t="s">
        <v>8</v>
      </c>
    </row>
    <row r="856" spans="1:407" x14ac:dyDescent="0.25">
      <c r="A856" s="7">
        <v>4.8590771658379491E-3</v>
      </c>
      <c r="B856"/>
      <c r="C856"/>
      <c r="D856"/>
      <c r="E856"/>
      <c r="F856" s="27" t="s">
        <v>7</v>
      </c>
      <c r="OQ856" s="27" t="s">
        <v>8</v>
      </c>
    </row>
    <row r="857" spans="1:407" x14ac:dyDescent="0.25">
      <c r="A857" s="7">
        <v>4.7638011429783815E-3</v>
      </c>
      <c r="B857"/>
      <c r="C857"/>
      <c r="D857"/>
      <c r="E857"/>
      <c r="F857" s="27" t="s">
        <v>7</v>
      </c>
      <c r="OQ857" s="27" t="s">
        <v>8</v>
      </c>
    </row>
    <row r="858" spans="1:407" x14ac:dyDescent="0.25">
      <c r="A858" s="7">
        <v>4.6703932774297859E-3</v>
      </c>
      <c r="B858"/>
      <c r="C858"/>
      <c r="D858"/>
      <c r="E858"/>
      <c r="F858" s="27" t="s">
        <v>7</v>
      </c>
      <c r="OQ858" s="27" t="s">
        <v>8</v>
      </c>
    </row>
    <row r="859" spans="1:407" x14ac:dyDescent="0.25">
      <c r="A859" s="7">
        <v>4.5788169386566527E-3</v>
      </c>
      <c r="B859"/>
      <c r="C859"/>
      <c r="D859"/>
      <c r="E859"/>
      <c r="F859" s="27" t="s">
        <v>7</v>
      </c>
      <c r="OQ859" s="27" t="s">
        <v>8</v>
      </c>
    </row>
    <row r="860" spans="1:407" x14ac:dyDescent="0.25">
      <c r="A860" s="7">
        <v>4.4890362143692672E-3</v>
      </c>
      <c r="B860"/>
      <c r="C860"/>
      <c r="D860"/>
      <c r="E860"/>
      <c r="F860" s="27" t="s">
        <v>7</v>
      </c>
      <c r="OQ860" s="27" t="s">
        <v>8</v>
      </c>
    </row>
    <row r="861" spans="1:407" x14ac:dyDescent="0.25">
      <c r="A861" s="7">
        <v>4.4010158964404578E-3</v>
      </c>
      <c r="B861"/>
      <c r="C861"/>
      <c r="D861"/>
      <c r="E861"/>
      <c r="F861" s="27" t="s">
        <v>7</v>
      </c>
      <c r="OQ861" s="27" t="s">
        <v>8</v>
      </c>
    </row>
    <row r="862" spans="1:407" x14ac:dyDescent="0.25">
      <c r="A862" s="7">
        <v>4.314721467098488E-3</v>
      </c>
      <c r="B862"/>
      <c r="C862"/>
      <c r="D862"/>
      <c r="E862"/>
      <c r="F862" s="27" t="s">
        <v>7</v>
      </c>
      <c r="OQ862" s="27" t="s">
        <v>8</v>
      </c>
    </row>
    <row r="863" spans="1:407" x14ac:dyDescent="0.25">
      <c r="A863" s="7">
        <v>4.2301190853906746E-3</v>
      </c>
      <c r="B863"/>
      <c r="C863"/>
      <c r="D863"/>
      <c r="E863"/>
      <c r="F863" s="27" t="s">
        <v>7</v>
      </c>
      <c r="OQ863" s="27" t="s">
        <v>8</v>
      </c>
    </row>
    <row r="864" spans="1:407" x14ac:dyDescent="0.25">
      <c r="A864" s="7">
        <v>4.1471755739124266E-3</v>
      </c>
      <c r="B864"/>
      <c r="C864"/>
      <c r="D864"/>
      <c r="E864"/>
      <c r="F864" s="27" t="s">
        <v>7</v>
      </c>
      <c r="OQ864" s="27" t="s">
        <v>8</v>
      </c>
    </row>
    <row r="865" spans="1:407" x14ac:dyDescent="0.25">
      <c r="A865" s="7">
        <v>4.0658584057964966E-3</v>
      </c>
      <c r="B865"/>
      <c r="C865"/>
      <c r="D865"/>
      <c r="E865"/>
      <c r="F865" s="27" t="s">
        <v>7</v>
      </c>
      <c r="OQ865" s="27" t="s">
        <v>8</v>
      </c>
    </row>
    <row r="866" spans="1:407" x14ac:dyDescent="0.25">
      <c r="A866" s="7">
        <v>3.9861356919573491E-3</v>
      </c>
      <c r="B866"/>
      <c r="C866"/>
      <c r="D866"/>
      <c r="E866"/>
      <c r="F866" s="27" t="s">
        <v>7</v>
      </c>
      <c r="OQ866" s="27" t="s">
        <v>8</v>
      </c>
    </row>
    <row r="867" spans="1:407" x14ac:dyDescent="0.25">
      <c r="A867" s="7">
        <v>3.9079761685856364E-3</v>
      </c>
      <c r="B867"/>
      <c r="C867"/>
      <c r="D867"/>
      <c r="E867"/>
      <c r="F867" s="27" t="s">
        <v>7</v>
      </c>
      <c r="OQ867" s="27" t="s">
        <v>8</v>
      </c>
    </row>
    <row r="868" spans="1:407" x14ac:dyDescent="0.25">
      <c r="A868" s="7">
        <v>3.8313491848878793E-3</v>
      </c>
      <c r="B868"/>
      <c r="C868"/>
      <c r="D868"/>
      <c r="E868"/>
      <c r="F868" s="27" t="s">
        <v>7</v>
      </c>
      <c r="OQ868" s="27" t="s">
        <v>8</v>
      </c>
    </row>
    <row r="869" spans="1:407" x14ac:dyDescent="0.25">
      <c r="A869" s="7">
        <v>3.7562246910665485E-3</v>
      </c>
      <c r="B869"/>
      <c r="C869"/>
      <c r="D869"/>
      <c r="E869"/>
      <c r="F869" s="27" t="s">
        <v>7</v>
      </c>
      <c r="OQ869" s="27" t="s">
        <v>8</v>
      </c>
    </row>
    <row r="870" spans="1:407" x14ac:dyDescent="0.25">
      <c r="A870" s="7">
        <v>3.6825732265358315E-3</v>
      </c>
      <c r="B870"/>
      <c r="C870"/>
      <c r="D870"/>
      <c r="E870"/>
      <c r="F870" s="27" t="s">
        <v>7</v>
      </c>
      <c r="OQ870" s="27" t="s">
        <v>8</v>
      </c>
    </row>
    <row r="871" spans="1:407" x14ac:dyDescent="0.25">
      <c r="A871" s="7">
        <v>3.6103659083684624E-3</v>
      </c>
      <c r="B871"/>
      <c r="C871"/>
      <c r="D871"/>
      <c r="E871"/>
      <c r="F871" s="27" t="s">
        <v>7</v>
      </c>
      <c r="OQ871" s="27" t="s">
        <v>8</v>
      </c>
    </row>
    <row r="872" spans="1:407" x14ac:dyDescent="0.25">
      <c r="A872" s="7">
        <v>3.539574419969081E-3</v>
      </c>
      <c r="B872"/>
      <c r="C872"/>
      <c r="D872"/>
      <c r="E872"/>
      <c r="F872" s="27" t="s">
        <v>7</v>
      </c>
      <c r="OQ872" s="27" t="s">
        <v>8</v>
      </c>
    </row>
    <row r="873" spans="1:407" x14ac:dyDescent="0.25">
      <c r="A873" s="7">
        <v>3.4701709999696872E-3</v>
      </c>
      <c r="B873"/>
      <c r="C873"/>
      <c r="D873"/>
      <c r="E873"/>
      <c r="F873" s="27" t="s">
        <v>7</v>
      </c>
      <c r="OQ873" s="27" t="s">
        <v>8</v>
      </c>
    </row>
    <row r="874" spans="1:407" x14ac:dyDescent="0.25">
      <c r="A874" s="7">
        <v>3.4021284313428307E-3</v>
      </c>
      <c r="B874"/>
      <c r="C874"/>
      <c r="D874"/>
      <c r="E874"/>
      <c r="F874" s="27" t="s">
        <v>7</v>
      </c>
      <c r="OQ874" s="27" t="s">
        <v>8</v>
      </c>
    </row>
    <row r="875" spans="1:407" x14ac:dyDescent="0.25">
      <c r="A875" s="7">
        <v>3.3354200307282654E-3</v>
      </c>
      <c r="B875"/>
      <c r="C875"/>
      <c r="D875"/>
      <c r="E875"/>
      <c r="F875" s="27" t="s">
        <v>7</v>
      </c>
      <c r="OQ875" s="27" t="s">
        <v>8</v>
      </c>
    </row>
    <row r="876" spans="1:407" x14ac:dyDescent="0.25">
      <c r="A876" s="7">
        <v>3.2700196379688881E-3</v>
      </c>
      <c r="B876"/>
      <c r="C876"/>
      <c r="D876"/>
      <c r="E876"/>
      <c r="F876" s="27" t="s">
        <v>7</v>
      </c>
      <c r="OQ876" s="27" t="s">
        <v>8</v>
      </c>
    </row>
    <row r="877" spans="1:407" x14ac:dyDescent="0.25">
      <c r="A877" s="7">
        <v>3.205901605851851E-3</v>
      </c>
      <c r="B877"/>
      <c r="C877"/>
      <c r="D877"/>
      <c r="E877"/>
      <c r="F877" s="27" t="s">
        <v>7</v>
      </c>
      <c r="OQ877" s="27" t="s">
        <v>8</v>
      </c>
    </row>
    <row r="878" spans="1:407" x14ac:dyDescent="0.25">
      <c r="A878" s="7">
        <v>3.1430407900508344E-3</v>
      </c>
      <c r="B878"/>
      <c r="C878"/>
      <c r="D878"/>
      <c r="E878"/>
      <c r="F878" s="27" t="s">
        <v>7</v>
      </c>
      <c r="Q878" s="27" t="s">
        <v>8</v>
      </c>
      <c r="OQ878" s="27" t="s">
        <v>8</v>
      </c>
    </row>
    <row r="879" spans="1:407" x14ac:dyDescent="0.25">
      <c r="A879" s="7">
        <v>3.0814125392655241E-3</v>
      </c>
      <c r="B879"/>
      <c r="C879"/>
      <c r="D879"/>
      <c r="E879"/>
      <c r="F879" s="27" t="s">
        <v>7</v>
      </c>
      <c r="Q879" s="27" t="s">
        <v>8</v>
      </c>
      <c r="R879" s="27" t="s">
        <v>7</v>
      </c>
      <c r="OQ879" s="27" t="s">
        <v>8</v>
      </c>
    </row>
    <row r="880" spans="1:407" x14ac:dyDescent="0.25">
      <c r="A880" s="7">
        <v>3.0209926855544354E-3</v>
      </c>
      <c r="B880"/>
      <c r="C880"/>
      <c r="D880"/>
      <c r="E880"/>
      <c r="F880" s="27" t="s">
        <v>7</v>
      </c>
      <c r="Q880" s="27" t="s">
        <v>8</v>
      </c>
      <c r="R880" s="27" t="s">
        <v>7</v>
      </c>
      <c r="NI880" s="27" t="s">
        <v>8</v>
      </c>
      <c r="OQ880" s="27" t="s">
        <v>8</v>
      </c>
    </row>
    <row r="881" spans="1:407" x14ac:dyDescent="0.25">
      <c r="A881" s="7">
        <v>2.9617575348572897E-3</v>
      </c>
      <c r="B881"/>
      <c r="C881"/>
      <c r="D881"/>
      <c r="E881"/>
      <c r="F881" s="27" t="s">
        <v>7</v>
      </c>
      <c r="Q881" s="27" t="s">
        <v>8</v>
      </c>
      <c r="R881" s="27" t="s">
        <v>7</v>
      </c>
      <c r="NI881" s="27" t="s">
        <v>8</v>
      </c>
      <c r="NJ881" s="27" t="s">
        <v>7</v>
      </c>
      <c r="OQ881" s="27" t="s">
        <v>8</v>
      </c>
    </row>
    <row r="882" spans="1:407" x14ac:dyDescent="0.25">
      <c r="A882" s="7">
        <v>2.9036838577032251E-3</v>
      </c>
      <c r="B882"/>
      <c r="C882"/>
      <c r="D882"/>
      <c r="E882"/>
      <c r="F882" s="27" t="s">
        <v>7</v>
      </c>
      <c r="Q882" s="27" t="s">
        <v>8</v>
      </c>
      <c r="R882" s="27" t="s">
        <v>7</v>
      </c>
      <c r="NI882" s="27" t="s">
        <v>8</v>
      </c>
      <c r="NJ882" s="27" t="s">
        <v>7</v>
      </c>
      <c r="NM882" s="27" t="s">
        <v>8</v>
      </c>
      <c r="OQ882" s="27" t="s">
        <v>8</v>
      </c>
    </row>
    <row r="883" spans="1:407" x14ac:dyDescent="0.25">
      <c r="A883" s="7">
        <v>2.8467488801012012E-3</v>
      </c>
      <c r="B883"/>
      <c r="C883"/>
      <c r="D883"/>
      <c r="E883"/>
      <c r="F883" s="27" t="s">
        <v>7</v>
      </c>
      <c r="Q883" s="27" t="s">
        <v>8</v>
      </c>
      <c r="R883" s="27" t="s">
        <v>7</v>
      </c>
      <c r="NI883" s="27" t="s">
        <v>8</v>
      </c>
      <c r="NJ883" s="27" t="s">
        <v>7</v>
      </c>
      <c r="NM883" s="27" t="s">
        <v>8</v>
      </c>
      <c r="NN883" s="27" t="s">
        <v>7</v>
      </c>
      <c r="OQ883" s="27" t="s">
        <v>8</v>
      </c>
    </row>
    <row r="884" spans="1:407" x14ac:dyDescent="0.25">
      <c r="A884" s="7">
        <v>2.7909302746090209E-3</v>
      </c>
      <c r="B884"/>
      <c r="C884"/>
      <c r="D884"/>
      <c r="E884"/>
      <c r="F884" s="27" t="s">
        <v>7</v>
      </c>
      <c r="Q884" s="27" t="s">
        <v>8</v>
      </c>
      <c r="R884" s="27" t="s">
        <v>7</v>
      </c>
      <c r="NI884" s="27" t="s">
        <v>8</v>
      </c>
      <c r="NJ884" s="27" t="s">
        <v>7</v>
      </c>
      <c r="NM884" s="27" t="s">
        <v>8</v>
      </c>
      <c r="NN884" s="27" t="s">
        <v>7</v>
      </c>
      <c r="OQ884" s="27" t="s">
        <v>8</v>
      </c>
    </row>
    <row r="885" spans="1:407" x14ac:dyDescent="0.25">
      <c r="A885" s="7">
        <v>2.7362061515774716E-3</v>
      </c>
      <c r="B885"/>
      <c r="C885"/>
      <c r="D885"/>
      <c r="E885"/>
      <c r="F885" s="27" t="s">
        <v>7</v>
      </c>
      <c r="Q885" s="27" t="s">
        <v>8</v>
      </c>
      <c r="R885" s="27" t="s">
        <v>7</v>
      </c>
      <c r="NI885" s="27" t="s">
        <v>8</v>
      </c>
      <c r="NJ885" s="27" t="s">
        <v>7</v>
      </c>
      <c r="NM885" s="27" t="s">
        <v>8</v>
      </c>
      <c r="NN885" s="27" t="s">
        <v>7</v>
      </c>
      <c r="OQ885" s="27" t="s">
        <v>8</v>
      </c>
    </row>
    <row r="886" spans="1:407" x14ac:dyDescent="0.25">
      <c r="A886" s="7">
        <v>2.6825550505661486E-3</v>
      </c>
      <c r="B886"/>
      <c r="C886"/>
      <c r="D886"/>
      <c r="E886"/>
      <c r="F886" s="27" t="s">
        <v>7</v>
      </c>
      <c r="Q886" s="27" t="s">
        <v>8</v>
      </c>
      <c r="R886" s="27" t="s">
        <v>7</v>
      </c>
      <c r="NI886" s="27" t="s">
        <v>8</v>
      </c>
      <c r="NJ886" s="27" t="s">
        <v>7</v>
      </c>
      <c r="NM886" s="27" t="s">
        <v>8</v>
      </c>
      <c r="NN886" s="27" t="s">
        <v>7</v>
      </c>
      <c r="OQ886" s="27" t="s">
        <v>8</v>
      </c>
    </row>
    <row r="887" spans="1:407" x14ac:dyDescent="0.25">
      <c r="A887" s="7">
        <v>2.6299559319275965E-3</v>
      </c>
      <c r="B887"/>
      <c r="C887"/>
      <c r="D887"/>
      <c r="E887"/>
      <c r="F887" s="27" t="s">
        <v>7</v>
      </c>
      <c r="Q887" s="27" t="s">
        <v>8</v>
      </c>
      <c r="R887" s="27" t="s">
        <v>7</v>
      </c>
      <c r="NI887" s="27" t="s">
        <v>8</v>
      </c>
      <c r="NJ887" s="27" t="s">
        <v>7</v>
      </c>
      <c r="NM887" s="27" t="s">
        <v>8</v>
      </c>
      <c r="NN887" s="27" t="s">
        <v>7</v>
      </c>
      <c r="OQ887" s="27" t="s">
        <v>8</v>
      </c>
    </row>
    <row r="888" spans="1:407" x14ac:dyDescent="0.25">
      <c r="A888" s="7">
        <v>2.578388168556467E-3</v>
      </c>
      <c r="B888"/>
      <c r="C888"/>
      <c r="D888"/>
      <c r="E888"/>
      <c r="F888" s="27" t="s">
        <v>7</v>
      </c>
      <c r="Q888" s="27" t="s">
        <v>8</v>
      </c>
      <c r="R888" s="27" t="s">
        <v>7</v>
      </c>
      <c r="NI888" s="27" t="s">
        <v>8</v>
      </c>
      <c r="NJ888" s="27" t="s">
        <v>7</v>
      </c>
      <c r="NM888" s="27" t="s">
        <v>8</v>
      </c>
      <c r="NN888" s="27" t="s">
        <v>7</v>
      </c>
      <c r="OC888" s="27" t="s">
        <v>8</v>
      </c>
      <c r="OQ888" s="27" t="s">
        <v>8</v>
      </c>
    </row>
    <row r="889" spans="1:407" x14ac:dyDescent="0.25">
      <c r="A889" s="7">
        <v>2.5278315378004577E-3</v>
      </c>
      <c r="B889"/>
      <c r="C889"/>
      <c r="D889"/>
      <c r="E889"/>
      <c r="F889" s="27" t="s">
        <v>7</v>
      </c>
      <c r="Q889" s="27" t="s">
        <v>8</v>
      </c>
      <c r="R889" s="27" t="s">
        <v>7</v>
      </c>
      <c r="NI889" s="27" t="s">
        <v>8</v>
      </c>
      <c r="NJ889" s="27" t="s">
        <v>7</v>
      </c>
      <c r="NM889" s="27" t="s">
        <v>8</v>
      </c>
      <c r="NN889" s="27" t="s">
        <v>7</v>
      </c>
      <c r="OC889" s="27" t="s">
        <v>8</v>
      </c>
      <c r="OD889" s="27" t="s">
        <v>7</v>
      </c>
      <c r="OQ889" s="27" t="s">
        <v>8</v>
      </c>
    </row>
    <row r="890" spans="1:407" x14ac:dyDescent="0.25">
      <c r="A890" s="7">
        <v>2.4782662135298603E-3</v>
      </c>
      <c r="B890"/>
      <c r="C890"/>
      <c r="D890"/>
      <c r="E890"/>
      <c r="F890" s="27" t="s">
        <v>7</v>
      </c>
      <c r="Q890" s="27" t="s">
        <v>8</v>
      </c>
      <c r="R890" s="27" t="s">
        <v>7</v>
      </c>
      <c r="NI890" s="27" t="s">
        <v>8</v>
      </c>
      <c r="NJ890" s="27" t="s">
        <v>7</v>
      </c>
      <c r="NM890" s="27" t="s">
        <v>8</v>
      </c>
      <c r="NN890" s="27" t="s">
        <v>7</v>
      </c>
      <c r="OC890" s="27" t="s">
        <v>8</v>
      </c>
      <c r="OD890" s="27" t="s">
        <v>7</v>
      </c>
      <c r="OQ890" s="27" t="s">
        <v>8</v>
      </c>
    </row>
    <row r="891" spans="1:407" x14ac:dyDescent="0.25">
      <c r="A891" s="7">
        <v>2.4296727583626083E-3</v>
      </c>
      <c r="B891"/>
      <c r="C891"/>
      <c r="D891"/>
      <c r="E891"/>
      <c r="F891" s="27" t="s">
        <v>7</v>
      </c>
      <c r="Q891" s="27" t="s">
        <v>8</v>
      </c>
      <c r="R891" s="27" t="s">
        <v>7</v>
      </c>
      <c r="NI891" s="27" t="s">
        <v>8</v>
      </c>
      <c r="NJ891" s="27" t="s">
        <v>7</v>
      </c>
      <c r="NM891" s="27" t="s">
        <v>8</v>
      </c>
      <c r="NN891" s="27" t="s">
        <v>7</v>
      </c>
      <c r="OC891" s="27" t="s">
        <v>8</v>
      </c>
      <c r="OD891" s="27" t="s">
        <v>7</v>
      </c>
      <c r="OQ891" s="27" t="s">
        <v>8</v>
      </c>
    </row>
    <row r="892" spans="1:407" x14ac:dyDescent="0.25">
      <c r="A892" s="7">
        <v>2.3820321160417726E-3</v>
      </c>
      <c r="B892"/>
      <c r="C892"/>
      <c r="D892"/>
      <c r="E892"/>
      <c r="F892" s="27" t="s">
        <v>7</v>
      </c>
      <c r="Q892" s="27" t="s">
        <v>8</v>
      </c>
      <c r="R892" s="27" t="s">
        <v>7</v>
      </c>
      <c r="NI892" s="27" t="s">
        <v>8</v>
      </c>
      <c r="NJ892" s="27" t="s">
        <v>7</v>
      </c>
      <c r="NM892" s="27" t="s">
        <v>8</v>
      </c>
      <c r="NN892" s="27" t="s">
        <v>7</v>
      </c>
      <c r="OC892" s="27" t="s">
        <v>8</v>
      </c>
      <c r="OD892" s="27" t="s">
        <v>7</v>
      </c>
      <c r="OQ892" s="27" t="s">
        <v>8</v>
      </c>
    </row>
    <row r="893" spans="1:407" x14ac:dyDescent="0.25">
      <c r="A893" s="7">
        <v>2.3353256039625224E-3</v>
      </c>
      <c r="B893"/>
      <c r="C893"/>
      <c r="D893"/>
      <c r="E893"/>
      <c r="F893" s="27" t="s">
        <v>7</v>
      </c>
      <c r="Q893" s="27" t="s">
        <v>8</v>
      </c>
      <c r="R893" s="27" t="s">
        <v>7</v>
      </c>
      <c r="NI893" s="27" t="s">
        <v>8</v>
      </c>
      <c r="NJ893" s="27" t="s">
        <v>7</v>
      </c>
      <c r="NM893" s="27" t="s">
        <v>8</v>
      </c>
      <c r="NN893" s="27" t="s">
        <v>7</v>
      </c>
      <c r="NO893" s="27" t="s">
        <v>8</v>
      </c>
      <c r="OC893" s="27" t="s">
        <v>8</v>
      </c>
      <c r="OD893" s="27" t="s">
        <v>7</v>
      </c>
      <c r="OQ893" s="27" t="s">
        <v>8</v>
      </c>
    </row>
    <row r="894" spans="1:407" x14ac:dyDescent="0.25">
      <c r="A894" s="7">
        <v>2.2895349058456101E-3</v>
      </c>
      <c r="B894"/>
      <c r="C894"/>
      <c r="D894"/>
      <c r="E894"/>
      <c r="F894" s="27" t="s">
        <v>7</v>
      </c>
      <c r="Q894" s="27" t="s">
        <v>8</v>
      </c>
      <c r="R894" s="27" t="s">
        <v>7</v>
      </c>
      <c r="NI894" s="27" t="s">
        <v>8</v>
      </c>
      <c r="NJ894" s="27" t="s">
        <v>7</v>
      </c>
      <c r="NM894" s="27" t="s">
        <v>8</v>
      </c>
      <c r="NN894" s="27" t="s">
        <v>7</v>
      </c>
      <c r="NO894" s="27" t="s">
        <v>8</v>
      </c>
      <c r="NP894" s="27" t="s">
        <v>7</v>
      </c>
      <c r="OC894" s="27" t="s">
        <v>8</v>
      </c>
      <c r="OD894" s="27" t="s">
        <v>7</v>
      </c>
      <c r="OQ894" s="27" t="s">
        <v>8</v>
      </c>
    </row>
    <row r="895" spans="1:407" x14ac:dyDescent="0.25">
      <c r="A895" s="7">
        <v>2.24464206455452E-3</v>
      </c>
      <c r="B895"/>
      <c r="C895"/>
      <c r="D895"/>
      <c r="E895"/>
      <c r="F895" s="27" t="s">
        <v>7</v>
      </c>
      <c r="Q895" s="27" t="s">
        <v>8</v>
      </c>
      <c r="R895" s="27" t="s">
        <v>7</v>
      </c>
      <c r="NI895" s="27" t="s">
        <v>8</v>
      </c>
      <c r="NJ895" s="27" t="s">
        <v>7</v>
      </c>
      <c r="NM895" s="27" t="s">
        <v>8</v>
      </c>
      <c r="NN895" s="27" t="s">
        <v>7</v>
      </c>
      <c r="NO895" s="27" t="s">
        <v>8</v>
      </c>
      <c r="NP895" s="27" t="s">
        <v>7</v>
      </c>
      <c r="OC895" s="27" t="s">
        <v>8</v>
      </c>
      <c r="OD895" s="27" t="s">
        <v>7</v>
      </c>
      <c r="OQ895" s="27" t="s">
        <v>8</v>
      </c>
    </row>
    <row r="896" spans="1:407" x14ac:dyDescent="0.25">
      <c r="A896" s="7">
        <v>2.200629475053451E-3</v>
      </c>
      <c r="B896"/>
      <c r="C896"/>
      <c r="D896"/>
      <c r="E896"/>
      <c r="F896" s="27" t="s">
        <v>7</v>
      </c>
      <c r="Q896" s="27" t="s">
        <v>8</v>
      </c>
      <c r="R896" s="27" t="s">
        <v>7</v>
      </c>
      <c r="NI896" s="27" t="s">
        <v>8</v>
      </c>
      <c r="NJ896" s="27" t="s">
        <v>7</v>
      </c>
      <c r="NM896" s="27" t="s">
        <v>8</v>
      </c>
      <c r="NN896" s="27" t="s">
        <v>7</v>
      </c>
      <c r="NO896" s="27" t="s">
        <v>8</v>
      </c>
      <c r="NP896" s="27" t="s">
        <v>7</v>
      </c>
      <c r="OC896" s="27" t="s">
        <v>8</v>
      </c>
      <c r="OD896" s="27" t="s">
        <v>7</v>
      </c>
      <c r="OQ896" s="27" t="s">
        <v>8</v>
      </c>
    </row>
    <row r="897" spans="1:407" x14ac:dyDescent="0.25">
      <c r="A897" s="7">
        <v>2.1574798775033832E-3</v>
      </c>
      <c r="B897"/>
      <c r="C897"/>
      <c r="D897"/>
      <c r="E897"/>
      <c r="F897" s="27" t="s">
        <v>7</v>
      </c>
      <c r="Q897" s="27" t="s">
        <v>8</v>
      </c>
      <c r="R897" s="27" t="s">
        <v>7</v>
      </c>
      <c r="NI897" s="27" t="s">
        <v>8</v>
      </c>
      <c r="NJ897" s="27" t="s">
        <v>7</v>
      </c>
      <c r="NM897" s="27" t="s">
        <v>8</v>
      </c>
      <c r="NN897" s="27" t="s">
        <v>7</v>
      </c>
      <c r="NO897" s="27" t="s">
        <v>8</v>
      </c>
      <c r="NP897" s="27" t="s">
        <v>7</v>
      </c>
      <c r="NQ897" s="27" t="s">
        <v>8</v>
      </c>
      <c r="OC897" s="27" t="s">
        <v>8</v>
      </c>
      <c r="OD897" s="27" t="s">
        <v>7</v>
      </c>
      <c r="OQ897" s="27" t="s">
        <v>8</v>
      </c>
    </row>
    <row r="898" spans="1:407" x14ac:dyDescent="0.25">
      <c r="A898" s="7">
        <v>2.115176350493513E-3</v>
      </c>
      <c r="B898"/>
      <c r="C898"/>
      <c r="D898"/>
      <c r="E898"/>
      <c r="F898" s="27" t="s">
        <v>7</v>
      </c>
      <c r="Q898" s="27" t="s">
        <v>8</v>
      </c>
      <c r="R898" s="27" t="s">
        <v>7</v>
      </c>
      <c r="NI898" s="27" t="s">
        <v>8</v>
      </c>
      <c r="NJ898" s="27" t="s">
        <v>7</v>
      </c>
      <c r="NM898" s="27" t="s">
        <v>8</v>
      </c>
      <c r="NN898" s="27" t="s">
        <v>7</v>
      </c>
      <c r="NP898" s="27" t="s">
        <v>7</v>
      </c>
      <c r="NQ898" s="27" t="s">
        <v>8</v>
      </c>
      <c r="NR898" s="27" t="s">
        <v>7</v>
      </c>
      <c r="OC898" s="27" t="s">
        <v>8</v>
      </c>
      <c r="OD898" s="27" t="s">
        <v>7</v>
      </c>
      <c r="OQ898" s="27" t="s">
        <v>8</v>
      </c>
    </row>
    <row r="899" spans="1:407" x14ac:dyDescent="0.25">
      <c r="A899" s="7">
        <v>2.0737023044054047E-3</v>
      </c>
      <c r="B899"/>
      <c r="C899"/>
      <c r="D899"/>
      <c r="E899"/>
      <c r="F899" s="27" t="s">
        <v>7</v>
      </c>
      <c r="Q899" s="27" t="s">
        <v>8</v>
      </c>
      <c r="R899" s="27" t="s">
        <v>7</v>
      </c>
      <c r="NI899" s="27" t="s">
        <v>8</v>
      </c>
      <c r="NJ899" s="27" t="s">
        <v>7</v>
      </c>
      <c r="NM899" s="27" t="s">
        <v>8</v>
      </c>
      <c r="NP899" s="27" t="s">
        <v>7</v>
      </c>
      <c r="NQ899" s="27" t="s">
        <v>8</v>
      </c>
      <c r="NR899" s="27" t="s">
        <v>7</v>
      </c>
      <c r="OC899" s="27" t="s">
        <v>8</v>
      </c>
      <c r="OD899" s="27" t="s">
        <v>7</v>
      </c>
      <c r="OQ899" s="27" t="s">
        <v>8</v>
      </c>
    </row>
    <row r="900" spans="1:407" x14ac:dyDescent="0.25">
      <c r="A900" s="7">
        <v>2.0330414749072595E-3</v>
      </c>
      <c r="B900"/>
      <c r="C900"/>
      <c r="D900"/>
      <c r="E900"/>
      <c r="F900" s="27" t="s">
        <v>7</v>
      </c>
      <c r="Q900" s="27" t="s">
        <v>8</v>
      </c>
      <c r="R900" s="27" t="s">
        <v>7</v>
      </c>
      <c r="NI900" s="27" t="s">
        <v>8</v>
      </c>
      <c r="NJ900" s="27" t="s">
        <v>7</v>
      </c>
      <c r="NM900" s="27" t="s">
        <v>8</v>
      </c>
      <c r="NP900" s="27" t="s">
        <v>7</v>
      </c>
      <c r="NQ900" s="27" t="s">
        <v>8</v>
      </c>
      <c r="NR900" s="27" t="s">
        <v>7</v>
      </c>
      <c r="NS900" s="27" t="s">
        <v>8</v>
      </c>
      <c r="OC900" s="27" t="s">
        <v>8</v>
      </c>
      <c r="OD900" s="27" t="s">
        <v>7</v>
      </c>
      <c r="OQ900" s="27" t="s">
        <v>8</v>
      </c>
    </row>
    <row r="901" spans="1:407" x14ac:dyDescent="0.25">
      <c r="A901" s="7">
        <v>1.9931779165757446E-3</v>
      </c>
      <c r="B901"/>
      <c r="C901"/>
      <c r="D901"/>
      <c r="E901"/>
      <c r="F901" s="27" t="s">
        <v>7</v>
      </c>
      <c r="Q901" s="27" t="s">
        <v>8</v>
      </c>
      <c r="R901" s="27" t="s">
        <v>7</v>
      </c>
      <c r="NA901" s="27" t="s">
        <v>8</v>
      </c>
      <c r="NI901" s="27" t="s">
        <v>8</v>
      </c>
      <c r="NJ901" s="27" t="s">
        <v>7</v>
      </c>
      <c r="NM901" s="27" t="s">
        <v>8</v>
      </c>
      <c r="NP901" s="27" t="s">
        <v>7</v>
      </c>
      <c r="NQ901" s="27" t="s">
        <v>8</v>
      </c>
      <c r="NR901" s="27" t="s">
        <v>7</v>
      </c>
      <c r="NS901" s="27" t="s">
        <v>8</v>
      </c>
      <c r="NT901" s="27" t="s">
        <v>7</v>
      </c>
      <c r="OC901" s="27" t="s">
        <v>8</v>
      </c>
      <c r="OD901" s="27" t="s">
        <v>7</v>
      </c>
      <c r="OQ901" s="27" t="s">
        <v>8</v>
      </c>
    </row>
    <row r="902" spans="1:407" x14ac:dyDescent="0.25">
      <c r="A902" s="7">
        <v>1.954095996642887E-3</v>
      </c>
      <c r="B902"/>
      <c r="C902"/>
      <c r="D902"/>
      <c r="E902"/>
      <c r="F902" s="27" t="s">
        <v>7</v>
      </c>
      <c r="Q902" s="27" t="s">
        <v>8</v>
      </c>
      <c r="R902" s="27" t="s">
        <v>7</v>
      </c>
      <c r="MY902" s="27" t="s">
        <v>8</v>
      </c>
      <c r="NA902" s="27" t="s">
        <v>8</v>
      </c>
      <c r="NB902" s="27" t="s">
        <v>7</v>
      </c>
      <c r="NI902" s="27" t="s">
        <v>8</v>
      </c>
      <c r="NJ902" s="27" t="s">
        <v>7</v>
      </c>
      <c r="NM902" s="27" t="s">
        <v>8</v>
      </c>
      <c r="NP902" s="27" t="s">
        <v>7</v>
      </c>
      <c r="NQ902" s="27" t="s">
        <v>8</v>
      </c>
      <c r="NR902" s="27" t="s">
        <v>7</v>
      </c>
      <c r="NS902" s="27" t="s">
        <v>8</v>
      </c>
      <c r="NT902" s="27" t="s">
        <v>7</v>
      </c>
      <c r="OC902" s="27" t="s">
        <v>8</v>
      </c>
      <c r="OD902" s="27" t="s">
        <v>7</v>
      </c>
      <c r="OQ902" s="27" t="s">
        <v>8</v>
      </c>
    </row>
    <row r="903" spans="1:407" x14ac:dyDescent="0.25">
      <c r="A903" s="7">
        <v>1.9157803888655755E-3</v>
      </c>
      <c r="B903"/>
      <c r="C903"/>
      <c r="D903"/>
      <c r="E903"/>
      <c r="F903" s="27" t="s">
        <v>7</v>
      </c>
      <c r="Q903" s="27" t="s">
        <v>8</v>
      </c>
      <c r="R903" s="27" t="s">
        <v>7</v>
      </c>
      <c r="MY903" s="27" t="s">
        <v>8</v>
      </c>
      <c r="MZ903" s="27" t="s">
        <v>7</v>
      </c>
      <c r="NA903" s="27" t="s">
        <v>8</v>
      </c>
      <c r="NB903" s="27" t="s">
        <v>7</v>
      </c>
      <c r="NE903" s="27" t="s">
        <v>8</v>
      </c>
      <c r="NI903" s="27" t="s">
        <v>8</v>
      </c>
      <c r="NJ903" s="27" t="s">
        <v>7</v>
      </c>
      <c r="NM903" s="27" t="s">
        <v>8</v>
      </c>
      <c r="NP903" s="27" t="s">
        <v>7</v>
      </c>
      <c r="NQ903" s="27" t="s">
        <v>8</v>
      </c>
      <c r="NR903" s="27" t="s">
        <v>7</v>
      </c>
      <c r="NT903" s="27" t="s">
        <v>7</v>
      </c>
      <c r="OC903" s="27" t="s">
        <v>8</v>
      </c>
      <c r="OD903" s="27" t="s">
        <v>7</v>
      </c>
      <c r="OQ903" s="27" t="s">
        <v>8</v>
      </c>
    </row>
    <row r="904" spans="1:407" x14ac:dyDescent="0.25">
      <c r="A904" s="7">
        <v>1.8782160675152703E-3</v>
      </c>
      <c r="B904"/>
      <c r="C904"/>
      <c r="D904"/>
      <c r="E904"/>
      <c r="F904" s="27" t="s">
        <v>7</v>
      </c>
      <c r="Q904" s="27" t="s">
        <v>8</v>
      </c>
      <c r="R904" s="27" t="s">
        <v>7</v>
      </c>
      <c r="MW904" s="27" t="s">
        <v>8</v>
      </c>
      <c r="MY904" s="27" t="s">
        <v>8</v>
      </c>
      <c r="MZ904" s="27" t="s">
        <v>7</v>
      </c>
      <c r="NA904" s="27" t="s">
        <v>8</v>
      </c>
      <c r="NB904" s="27" t="s">
        <v>7</v>
      </c>
      <c r="NE904" s="27" t="s">
        <v>8</v>
      </c>
      <c r="NF904" s="27" t="s">
        <v>7</v>
      </c>
      <c r="NI904" s="27" t="s">
        <v>8</v>
      </c>
      <c r="NJ904" s="27" t="s">
        <v>7</v>
      </c>
      <c r="NM904" s="27" t="s">
        <v>8</v>
      </c>
      <c r="NP904" s="27" t="s">
        <v>7</v>
      </c>
      <c r="NQ904" s="27" t="s">
        <v>8</v>
      </c>
      <c r="NT904" s="27" t="s">
        <v>7</v>
      </c>
      <c r="OC904" s="27" t="s">
        <v>8</v>
      </c>
      <c r="OD904" s="27" t="s">
        <v>7</v>
      </c>
      <c r="OQ904" s="27" t="s">
        <v>8</v>
      </c>
    </row>
    <row r="905" spans="1:407" x14ac:dyDescent="0.25">
      <c r="A905" s="7">
        <v>1.8413883014855592E-3</v>
      </c>
      <c r="B905"/>
      <c r="C905"/>
      <c r="D905"/>
      <c r="E905"/>
      <c r="F905" s="27" t="s">
        <v>7</v>
      </c>
      <c r="Q905" s="27" t="s">
        <v>8</v>
      </c>
      <c r="R905" s="27" t="s">
        <v>7</v>
      </c>
      <c r="MW905" s="27" t="s">
        <v>8</v>
      </c>
      <c r="MX905" s="27" t="s">
        <v>7</v>
      </c>
      <c r="MY905" s="27" t="s">
        <v>8</v>
      </c>
      <c r="MZ905" s="27" t="s">
        <v>7</v>
      </c>
      <c r="NA905" s="27" t="s">
        <v>8</v>
      </c>
      <c r="NB905" s="27" t="s">
        <v>7</v>
      </c>
      <c r="NE905" s="27" t="s">
        <v>8</v>
      </c>
      <c r="NF905" s="27" t="s">
        <v>7</v>
      </c>
      <c r="NI905" s="27" t="s">
        <v>8</v>
      </c>
      <c r="NJ905" s="27" t="s">
        <v>7</v>
      </c>
      <c r="NM905" s="27" t="s">
        <v>8</v>
      </c>
      <c r="NP905" s="27" t="s">
        <v>7</v>
      </c>
      <c r="NQ905" s="27" t="s">
        <v>8</v>
      </c>
      <c r="NT905" s="27" t="s">
        <v>7</v>
      </c>
      <c r="OC905" s="27" t="s">
        <v>8</v>
      </c>
      <c r="OD905" s="27" t="s">
        <v>7</v>
      </c>
      <c r="OQ905" s="27" t="s">
        <v>8</v>
      </c>
    </row>
    <row r="906" spans="1:407" x14ac:dyDescent="0.25">
      <c r="A906" s="7">
        <v>1.8052826485152542E-3</v>
      </c>
      <c r="B906"/>
      <c r="C906"/>
      <c r="D906"/>
      <c r="E906"/>
      <c r="F906" s="27" t="s">
        <v>7</v>
      </c>
      <c r="Q906" s="27" t="s">
        <v>8</v>
      </c>
      <c r="R906" s="27" t="s">
        <v>7</v>
      </c>
      <c r="MW906" s="27" t="s">
        <v>8</v>
      </c>
      <c r="MX906" s="27" t="s">
        <v>7</v>
      </c>
      <c r="MY906" s="27" t="s">
        <v>8</v>
      </c>
      <c r="MZ906" s="27" t="s">
        <v>7</v>
      </c>
      <c r="NA906" s="27" t="s">
        <v>8</v>
      </c>
      <c r="NB906" s="27" t="s">
        <v>7</v>
      </c>
      <c r="NE906" s="27" t="s">
        <v>8</v>
      </c>
      <c r="NF906" s="27" t="s">
        <v>7</v>
      </c>
      <c r="NI906" s="27" t="s">
        <v>8</v>
      </c>
      <c r="NJ906" s="27" t="s">
        <v>7</v>
      </c>
      <c r="NM906" s="27" t="s">
        <v>8</v>
      </c>
      <c r="NP906" s="27" t="s">
        <v>7</v>
      </c>
      <c r="NT906" s="27" t="s">
        <v>7</v>
      </c>
      <c r="OC906" s="27" t="s">
        <v>8</v>
      </c>
      <c r="OD906" s="27" t="s">
        <v>7</v>
      </c>
      <c r="OQ906" s="27" t="s">
        <v>8</v>
      </c>
    </row>
    <row r="907" spans="1:407" x14ac:dyDescent="0.25">
      <c r="A907" s="7">
        <v>1.7698849495247592E-3</v>
      </c>
      <c r="B907"/>
      <c r="C907"/>
      <c r="D907"/>
      <c r="E907"/>
      <c r="F907" s="27" t="s">
        <v>7</v>
      </c>
      <c r="Q907" s="27" t="s">
        <v>8</v>
      </c>
      <c r="R907" s="27" t="s">
        <v>7</v>
      </c>
      <c r="MW907" s="27" t="s">
        <v>8</v>
      </c>
      <c r="MX907" s="27" t="s">
        <v>7</v>
      </c>
      <c r="MY907" s="27" t="s">
        <v>8</v>
      </c>
      <c r="MZ907" s="27" t="s">
        <v>7</v>
      </c>
      <c r="NA907" s="27" t="s">
        <v>8</v>
      </c>
      <c r="NB907" s="27" t="s">
        <v>7</v>
      </c>
      <c r="NE907" s="27" t="s">
        <v>8</v>
      </c>
      <c r="NF907" s="27" t="s">
        <v>7</v>
      </c>
      <c r="NI907" s="27" t="s">
        <v>8</v>
      </c>
      <c r="NJ907" s="27" t="s">
        <v>7</v>
      </c>
      <c r="NK907" s="27" t="s">
        <v>8</v>
      </c>
      <c r="NM907" s="27" t="s">
        <v>8</v>
      </c>
      <c r="NT907" s="27" t="s">
        <v>7</v>
      </c>
      <c r="NU907" s="27" t="s">
        <v>8</v>
      </c>
      <c r="NY907" s="27" t="s">
        <v>8</v>
      </c>
      <c r="OA907" s="27" t="s">
        <v>8</v>
      </c>
      <c r="OC907" s="27" t="s">
        <v>8</v>
      </c>
      <c r="OD907" s="27" t="s">
        <v>7</v>
      </c>
      <c r="OQ907" s="27" t="s">
        <v>8</v>
      </c>
    </row>
    <row r="908" spans="1:407" x14ac:dyDescent="0.25">
      <c r="A908" s="7">
        <v>1.7351813230634893E-3</v>
      </c>
      <c r="B908"/>
      <c r="C908"/>
      <c r="D908"/>
      <c r="E908"/>
      <c r="F908" s="27" t="s">
        <v>7</v>
      </c>
      <c r="Q908" s="27" t="s">
        <v>8</v>
      </c>
      <c r="R908" s="27" t="s">
        <v>7</v>
      </c>
      <c r="MW908" s="27" t="s">
        <v>8</v>
      </c>
      <c r="MX908" s="27" t="s">
        <v>7</v>
      </c>
      <c r="MY908" s="27" t="s">
        <v>8</v>
      </c>
      <c r="MZ908" s="27" t="s">
        <v>7</v>
      </c>
      <c r="NA908" s="27" t="s">
        <v>8</v>
      </c>
      <c r="NB908" s="27" t="s">
        <v>7</v>
      </c>
      <c r="NC908" s="27" t="s">
        <v>8</v>
      </c>
      <c r="NE908" s="27" t="s">
        <v>8</v>
      </c>
      <c r="NF908" s="27" t="s">
        <v>7</v>
      </c>
      <c r="NI908" s="27" t="s">
        <v>8</v>
      </c>
      <c r="NJ908" s="27" t="s">
        <v>7</v>
      </c>
      <c r="NK908" s="27" t="s">
        <v>8</v>
      </c>
      <c r="NL908" s="27" t="s">
        <v>7</v>
      </c>
      <c r="NM908" s="27" t="s">
        <v>8</v>
      </c>
      <c r="NT908" s="27" t="s">
        <v>7</v>
      </c>
      <c r="NU908" s="27" t="s">
        <v>8</v>
      </c>
      <c r="NV908" s="27" t="s">
        <v>7</v>
      </c>
      <c r="NY908" s="27" t="s">
        <v>8</v>
      </c>
      <c r="NZ908" s="27" t="s">
        <v>7</v>
      </c>
      <c r="OA908" s="27" t="s">
        <v>8</v>
      </c>
      <c r="OB908" s="27" t="s">
        <v>7</v>
      </c>
      <c r="OC908" s="27" t="s">
        <v>8</v>
      </c>
      <c r="OD908" s="27" t="s">
        <v>7</v>
      </c>
      <c r="OQ908" s="27" t="s">
        <v>8</v>
      </c>
    </row>
    <row r="909" spans="1:407" x14ac:dyDescent="0.25">
      <c r="A909" s="7">
        <v>1.701158159866166E-3</v>
      </c>
      <c r="B909"/>
      <c r="C909"/>
      <c r="D909"/>
      <c r="E909"/>
      <c r="F909" s="27" t="s">
        <v>7</v>
      </c>
      <c r="Q909" s="27" t="s">
        <v>8</v>
      </c>
      <c r="R909" s="27" t="s">
        <v>7</v>
      </c>
      <c r="MW909" s="27" t="s">
        <v>8</v>
      </c>
      <c r="MX909" s="27" t="s">
        <v>7</v>
      </c>
      <c r="MY909" s="27" t="s">
        <v>8</v>
      </c>
      <c r="MZ909" s="27" t="s">
        <v>7</v>
      </c>
      <c r="NA909" s="27" t="s">
        <v>8</v>
      </c>
      <c r="NB909" s="27" t="s">
        <v>7</v>
      </c>
      <c r="NC909" s="27" t="s">
        <v>8</v>
      </c>
      <c r="ND909" s="27" t="s">
        <v>7</v>
      </c>
      <c r="NE909" s="27" t="s">
        <v>8</v>
      </c>
      <c r="NF909" s="27" t="s">
        <v>7</v>
      </c>
      <c r="NG909" s="27" t="s">
        <v>8</v>
      </c>
      <c r="NI909" s="27" t="s">
        <v>8</v>
      </c>
      <c r="NJ909" s="27" t="s">
        <v>7</v>
      </c>
      <c r="NK909" s="27" t="s">
        <v>8</v>
      </c>
      <c r="NL909" s="27" t="s">
        <v>7</v>
      </c>
      <c r="NM909" s="27" t="s">
        <v>8</v>
      </c>
      <c r="NT909" s="27" t="s">
        <v>7</v>
      </c>
      <c r="NU909" s="27" t="s">
        <v>8</v>
      </c>
      <c r="NV909" s="27" t="s">
        <v>7</v>
      </c>
      <c r="NW909" s="27" t="s">
        <v>8</v>
      </c>
      <c r="NY909" s="27" t="s">
        <v>8</v>
      </c>
      <c r="NZ909" s="27" t="s">
        <v>7</v>
      </c>
      <c r="OA909" s="27" t="s">
        <v>8</v>
      </c>
      <c r="OB909" s="27" t="s">
        <v>7</v>
      </c>
      <c r="OC909" s="27" t="s">
        <v>8</v>
      </c>
      <c r="OD909" s="27" t="s">
        <v>7</v>
      </c>
      <c r="OQ909" s="27" t="s">
        <v>8</v>
      </c>
    </row>
    <row r="910" spans="1:407" x14ac:dyDescent="0.25">
      <c r="A910" s="7">
        <v>1.6678021175158492E-3</v>
      </c>
      <c r="B910"/>
      <c r="C910"/>
      <c r="D910"/>
      <c r="E910"/>
      <c r="F910" s="27" t="s">
        <v>7</v>
      </c>
      <c r="Q910" s="27" t="s">
        <v>8</v>
      </c>
      <c r="R910" s="27" t="s">
        <v>7</v>
      </c>
      <c r="MW910" s="27" t="s">
        <v>8</v>
      </c>
      <c r="MX910" s="27" t="s">
        <v>7</v>
      </c>
      <c r="MY910" s="27" t="s">
        <v>8</v>
      </c>
      <c r="MZ910" s="27" t="s">
        <v>7</v>
      </c>
      <c r="NA910" s="27" t="s">
        <v>8</v>
      </c>
      <c r="NB910" s="27" t="s">
        <v>7</v>
      </c>
      <c r="NC910" s="27" t="s">
        <v>8</v>
      </c>
      <c r="ND910" s="27" t="s">
        <v>7</v>
      </c>
      <c r="NE910" s="27" t="s">
        <v>8</v>
      </c>
      <c r="NF910" s="27" t="s">
        <v>7</v>
      </c>
      <c r="NG910" s="27" t="s">
        <v>8</v>
      </c>
      <c r="NH910" s="27" t="s">
        <v>7</v>
      </c>
      <c r="NI910" s="27" t="s">
        <v>8</v>
      </c>
      <c r="NJ910" s="27" t="s">
        <v>7</v>
      </c>
      <c r="NK910" s="27" t="s">
        <v>8</v>
      </c>
      <c r="NL910" s="27" t="s">
        <v>7</v>
      </c>
      <c r="NM910" s="27" t="s">
        <v>8</v>
      </c>
      <c r="NT910" s="27" t="s">
        <v>7</v>
      </c>
      <c r="NU910" s="27" t="s">
        <v>8</v>
      </c>
      <c r="NV910" s="27" t="s">
        <v>7</v>
      </c>
      <c r="NW910" s="27" t="s">
        <v>8</v>
      </c>
      <c r="NX910" s="27" t="s">
        <v>7</v>
      </c>
      <c r="NY910" s="27" t="s">
        <v>8</v>
      </c>
      <c r="NZ910" s="27" t="s">
        <v>7</v>
      </c>
      <c r="OA910" s="27" t="s">
        <v>8</v>
      </c>
      <c r="OB910" s="27" t="s">
        <v>7</v>
      </c>
      <c r="OC910" s="27" t="s">
        <v>8</v>
      </c>
      <c r="OD910" s="27" t="s">
        <v>7</v>
      </c>
      <c r="OQ910" s="27" t="s">
        <v>8</v>
      </c>
    </row>
    <row r="911" spans="1:407" x14ac:dyDescent="0.25">
      <c r="A911" s="7">
        <v>1.6351001152116167E-3</v>
      </c>
      <c r="B911"/>
      <c r="C911"/>
      <c r="D911"/>
      <c r="E911"/>
      <c r="F911" s="27" t="s">
        <v>7</v>
      </c>
      <c r="Q911" s="27" t="s">
        <v>8</v>
      </c>
      <c r="R911" s="27" t="s">
        <v>7</v>
      </c>
      <c r="MW911" s="27" t="s">
        <v>8</v>
      </c>
      <c r="MX911" s="27" t="s">
        <v>7</v>
      </c>
      <c r="MY911" s="27" t="s">
        <v>8</v>
      </c>
      <c r="MZ911" s="27" t="s">
        <v>7</v>
      </c>
      <c r="NB911" s="27" t="s">
        <v>7</v>
      </c>
      <c r="ND911" s="27" t="s">
        <v>7</v>
      </c>
      <c r="NF911" s="27" t="s">
        <v>7</v>
      </c>
      <c r="NG911" s="27" t="s">
        <v>8</v>
      </c>
      <c r="NH911" s="27" t="s">
        <v>7</v>
      </c>
      <c r="NI911" s="27" t="s">
        <v>8</v>
      </c>
      <c r="NJ911" s="27" t="s">
        <v>7</v>
      </c>
      <c r="NK911" s="27" t="s">
        <v>8</v>
      </c>
      <c r="NL911" s="27" t="s">
        <v>7</v>
      </c>
      <c r="NM911" s="27" t="s">
        <v>8</v>
      </c>
      <c r="NT911" s="27" t="s">
        <v>7</v>
      </c>
      <c r="NU911" s="27" t="s">
        <v>8</v>
      </c>
      <c r="NV911" s="27" t="s">
        <v>7</v>
      </c>
      <c r="NW911" s="27" t="s">
        <v>8</v>
      </c>
      <c r="NX911" s="27" t="s">
        <v>7</v>
      </c>
      <c r="NY911" s="27" t="s">
        <v>8</v>
      </c>
      <c r="NZ911" s="27" t="s">
        <v>7</v>
      </c>
      <c r="OA911" s="27" t="s">
        <v>8</v>
      </c>
      <c r="OB911" s="27" t="s">
        <v>7</v>
      </c>
      <c r="OC911" s="27" t="s">
        <v>8</v>
      </c>
      <c r="OD911" s="27" t="s">
        <v>7</v>
      </c>
      <c r="OQ911" s="27" t="s">
        <v>8</v>
      </c>
    </row>
    <row r="912" spans="1:407" x14ac:dyDescent="0.25">
      <c r="A912" s="7">
        <v>1.60303932863884E-3</v>
      </c>
      <c r="B912"/>
      <c r="C912"/>
      <c r="D912"/>
      <c r="E912"/>
      <c r="F912" s="27" t="s">
        <v>7</v>
      </c>
      <c r="Q912" s="27" t="s">
        <v>8</v>
      </c>
      <c r="R912" s="27" t="s">
        <v>7</v>
      </c>
      <c r="MW912" s="27" t="s">
        <v>8</v>
      </c>
      <c r="MX912" s="27" t="s">
        <v>7</v>
      </c>
      <c r="MY912" s="27" t="s">
        <v>8</v>
      </c>
      <c r="NF912" s="27" t="s">
        <v>7</v>
      </c>
      <c r="NG912" s="27" t="s">
        <v>8</v>
      </c>
      <c r="NH912" s="27" t="s">
        <v>7</v>
      </c>
      <c r="NI912" s="27" t="s">
        <v>8</v>
      </c>
      <c r="NJ912" s="27" t="s">
        <v>7</v>
      </c>
      <c r="NK912" s="27" t="s">
        <v>8</v>
      </c>
      <c r="NL912" s="27" t="s">
        <v>7</v>
      </c>
      <c r="NT912" s="27" t="s">
        <v>7</v>
      </c>
      <c r="NU912" s="27" t="s">
        <v>8</v>
      </c>
      <c r="NV912" s="27" t="s">
        <v>7</v>
      </c>
      <c r="NW912" s="27" t="s">
        <v>8</v>
      </c>
      <c r="NX912" s="27" t="s">
        <v>7</v>
      </c>
      <c r="NZ912" s="27" t="s">
        <v>7</v>
      </c>
      <c r="OA912" s="27" t="s">
        <v>8</v>
      </c>
      <c r="OB912" s="27" t="s">
        <v>7</v>
      </c>
      <c r="OC912" s="27" t="s">
        <v>8</v>
      </c>
      <c r="OD912" s="27" t="s">
        <v>7</v>
      </c>
      <c r="OG912" s="27" t="s">
        <v>8</v>
      </c>
      <c r="OQ912" s="27" t="s">
        <v>8</v>
      </c>
    </row>
    <row r="913" spans="1:407" x14ac:dyDescent="0.25">
      <c r="A913" s="7">
        <v>1.5716071849400392E-3</v>
      </c>
      <c r="B913"/>
      <c r="C913"/>
      <c r="D913"/>
      <c r="E913"/>
      <c r="F913" s="27" t="s">
        <v>7</v>
      </c>
      <c r="Q913" s="27" t="s">
        <v>8</v>
      </c>
      <c r="R913" s="27" t="s">
        <v>7</v>
      </c>
      <c r="MW913" s="27" t="s">
        <v>8</v>
      </c>
      <c r="MX913" s="27" t="s">
        <v>7</v>
      </c>
      <c r="MY913" s="27" t="s">
        <v>8</v>
      </c>
      <c r="NF913" s="27" t="s">
        <v>7</v>
      </c>
      <c r="NG913" s="27" t="s">
        <v>8</v>
      </c>
      <c r="NH913" s="27" t="s">
        <v>7</v>
      </c>
      <c r="NI913" s="27" t="s">
        <v>8</v>
      </c>
      <c r="NJ913" s="27" t="s">
        <v>7</v>
      </c>
      <c r="NK913" s="27" t="s">
        <v>8</v>
      </c>
      <c r="NT913" s="27" t="s">
        <v>7</v>
      </c>
      <c r="NU913" s="27" t="s">
        <v>8</v>
      </c>
      <c r="NV913" s="27" t="s">
        <v>7</v>
      </c>
      <c r="NW913" s="27" t="s">
        <v>8</v>
      </c>
      <c r="NZ913" s="27" t="s">
        <v>7</v>
      </c>
      <c r="OA913" s="27" t="s">
        <v>8</v>
      </c>
      <c r="OB913" s="27" t="s">
        <v>7</v>
      </c>
      <c r="OC913" s="27" t="s">
        <v>8</v>
      </c>
      <c r="OD913" s="27" t="s">
        <v>7</v>
      </c>
      <c r="OE913" s="27" t="s">
        <v>8</v>
      </c>
      <c r="OG913" s="27" t="s">
        <v>8</v>
      </c>
      <c r="OH913" s="27" t="s">
        <v>7</v>
      </c>
      <c r="OQ913" s="27" t="s">
        <v>8</v>
      </c>
    </row>
    <row r="914" spans="1:407" x14ac:dyDescent="0.25">
      <c r="A914" s="7">
        <v>1.5407913577843522E-3</v>
      </c>
      <c r="B914"/>
      <c r="C914"/>
      <c r="D914"/>
      <c r="E914"/>
      <c r="F914" s="27" t="s">
        <v>7</v>
      </c>
      <c r="Q914" s="27" t="s">
        <v>8</v>
      </c>
      <c r="R914" s="27" t="s">
        <v>7</v>
      </c>
      <c r="S914" s="27" t="s">
        <v>8</v>
      </c>
      <c r="MW914" s="27" t="s">
        <v>8</v>
      </c>
      <c r="MX914" s="27" t="s">
        <v>7</v>
      </c>
      <c r="MY914" s="27" t="s">
        <v>8</v>
      </c>
      <c r="NF914" s="27" t="s">
        <v>7</v>
      </c>
      <c r="NG914" s="27" t="s">
        <v>8</v>
      </c>
      <c r="NH914" s="27" t="s">
        <v>7</v>
      </c>
      <c r="NI914" s="27" t="s">
        <v>8</v>
      </c>
      <c r="NJ914" s="27" t="s">
        <v>7</v>
      </c>
      <c r="NK914" s="27" t="s">
        <v>8</v>
      </c>
      <c r="NT914" s="27" t="s">
        <v>7</v>
      </c>
      <c r="NU914" s="27" t="s">
        <v>8</v>
      </c>
      <c r="NV914" s="27" t="s">
        <v>7</v>
      </c>
      <c r="NW914" s="27" t="s">
        <v>8</v>
      </c>
      <c r="NZ914" s="27" t="s">
        <v>7</v>
      </c>
      <c r="OB914" s="27" t="s">
        <v>7</v>
      </c>
      <c r="OC914" s="27" t="s">
        <v>8</v>
      </c>
      <c r="OD914" s="27" t="s">
        <v>7</v>
      </c>
      <c r="OE914" s="27" t="s">
        <v>8</v>
      </c>
      <c r="OF914" s="27" t="s">
        <v>7</v>
      </c>
      <c r="OG914" s="27" t="s">
        <v>8</v>
      </c>
      <c r="OH914" s="27" t="s">
        <v>7</v>
      </c>
      <c r="OQ914" s="27" t="s">
        <v>8</v>
      </c>
    </row>
    <row r="915" spans="1:407" x14ac:dyDescent="0.25">
      <c r="A915" s="7">
        <v>1.5105797625336785E-3</v>
      </c>
      <c r="B915"/>
      <c r="C915"/>
      <c r="D915"/>
      <c r="E915"/>
      <c r="F915" s="27" t="s">
        <v>7</v>
      </c>
      <c r="Q915" s="27" t="s">
        <v>8</v>
      </c>
      <c r="R915" s="27" t="s">
        <v>7</v>
      </c>
      <c r="S915" s="27" t="s">
        <v>8</v>
      </c>
      <c r="T915" s="27" t="s">
        <v>7</v>
      </c>
      <c r="AA915" s="27" t="s">
        <v>8</v>
      </c>
      <c r="MW915" s="27" t="s">
        <v>8</v>
      </c>
      <c r="MX915" s="27" t="s">
        <v>7</v>
      </c>
      <c r="MY915" s="27" t="s">
        <v>8</v>
      </c>
      <c r="NF915" s="27" t="s">
        <v>7</v>
      </c>
      <c r="NG915" s="27" t="s">
        <v>8</v>
      </c>
      <c r="NH915" s="27" t="s">
        <v>7</v>
      </c>
      <c r="NI915" s="27" t="s">
        <v>8</v>
      </c>
      <c r="NJ915" s="27" t="s">
        <v>7</v>
      </c>
      <c r="NK915" s="27" t="s">
        <v>8</v>
      </c>
      <c r="NT915" s="27" t="s">
        <v>7</v>
      </c>
      <c r="NU915" s="27" t="s">
        <v>8</v>
      </c>
      <c r="NV915" s="27" t="s">
        <v>7</v>
      </c>
      <c r="NW915" s="27" t="s">
        <v>8</v>
      </c>
      <c r="OB915" s="27" t="s">
        <v>7</v>
      </c>
      <c r="OC915" s="27" t="s">
        <v>8</v>
      </c>
      <c r="OD915" s="27" t="s">
        <v>7</v>
      </c>
      <c r="OE915" s="27" t="s">
        <v>8</v>
      </c>
      <c r="OF915" s="27" t="s">
        <v>7</v>
      </c>
      <c r="OG915" s="27" t="s">
        <v>8</v>
      </c>
      <c r="OH915" s="27" t="s">
        <v>7</v>
      </c>
      <c r="OM915" s="27" t="s">
        <v>8</v>
      </c>
      <c r="OO915" s="27" t="s">
        <v>8</v>
      </c>
      <c r="OQ915" s="27" t="s">
        <v>8</v>
      </c>
    </row>
    <row r="916" spans="1:407" x14ac:dyDescent="0.25">
      <c r="A916" s="7">
        <v>1.4809605515036064E-3</v>
      </c>
      <c r="B916"/>
      <c r="C916"/>
      <c r="D916"/>
      <c r="E916"/>
      <c r="F916" s="27" t="s">
        <v>7</v>
      </c>
      <c r="Q916" s="27" t="s">
        <v>8</v>
      </c>
      <c r="R916" s="27" t="s">
        <v>7</v>
      </c>
      <c r="S916" s="27" t="s">
        <v>8</v>
      </c>
      <c r="T916" s="27" t="s">
        <v>7</v>
      </c>
      <c r="W916" s="27" t="s">
        <v>8</v>
      </c>
      <c r="AA916" s="27" t="s">
        <v>8</v>
      </c>
      <c r="AB916" s="27" t="s">
        <v>7</v>
      </c>
      <c r="AQ916" s="27" t="s">
        <v>8</v>
      </c>
      <c r="MW916" s="27" t="s">
        <v>8</v>
      </c>
      <c r="MX916" s="27" t="s">
        <v>7</v>
      </c>
      <c r="MY916" s="27" t="s">
        <v>8</v>
      </c>
      <c r="NF916" s="27" t="s">
        <v>7</v>
      </c>
      <c r="NG916" s="27" t="s">
        <v>8</v>
      </c>
      <c r="NH916" s="27" t="s">
        <v>7</v>
      </c>
      <c r="NI916" s="27" t="s">
        <v>8</v>
      </c>
      <c r="NJ916" s="27" t="s">
        <v>7</v>
      </c>
      <c r="NT916" s="27" t="s">
        <v>7</v>
      </c>
      <c r="NU916" s="27" t="s">
        <v>8</v>
      </c>
      <c r="NV916" s="27" t="s">
        <v>7</v>
      </c>
      <c r="NW916" s="27" t="s">
        <v>8</v>
      </c>
      <c r="OB916" s="27" t="s">
        <v>7</v>
      </c>
      <c r="OC916" s="27" t="s">
        <v>8</v>
      </c>
      <c r="OD916" s="27" t="s">
        <v>7</v>
      </c>
      <c r="OE916" s="27" t="s">
        <v>8</v>
      </c>
      <c r="OF916" s="27" t="s">
        <v>7</v>
      </c>
      <c r="OG916" s="27" t="s">
        <v>8</v>
      </c>
      <c r="OH916" s="27" t="s">
        <v>7</v>
      </c>
      <c r="OM916" s="27" t="s">
        <v>8</v>
      </c>
      <c r="ON916" s="27" t="s">
        <v>7</v>
      </c>
      <c r="OO916" s="27" t="s">
        <v>8</v>
      </c>
      <c r="OP916" s="27" t="s">
        <v>7</v>
      </c>
      <c r="OQ916" s="27" t="s">
        <v>8</v>
      </c>
    </row>
    <row r="917" spans="1:407" x14ac:dyDescent="0.25">
      <c r="A917" s="7">
        <v>1.4519221093172612E-3</v>
      </c>
      <c r="B917"/>
      <c r="C917"/>
      <c r="D917"/>
      <c r="E917"/>
      <c r="F917" s="27" t="s">
        <v>7</v>
      </c>
      <c r="Q917" s="27" t="s">
        <v>8</v>
      </c>
      <c r="R917" s="27" t="s">
        <v>7</v>
      </c>
      <c r="S917" s="27" t="s">
        <v>8</v>
      </c>
      <c r="T917" s="27" t="s">
        <v>7</v>
      </c>
      <c r="W917" s="27" t="s">
        <v>8</v>
      </c>
      <c r="X917" s="27" t="s">
        <v>7</v>
      </c>
      <c r="AA917" s="27" t="s">
        <v>8</v>
      </c>
      <c r="AB917" s="27" t="s">
        <v>7</v>
      </c>
      <c r="AQ917" s="27" t="s">
        <v>8</v>
      </c>
      <c r="AR917" s="27" t="s">
        <v>7</v>
      </c>
      <c r="AS917" s="27" t="s">
        <v>8</v>
      </c>
      <c r="AU917" s="27" t="s">
        <v>8</v>
      </c>
      <c r="MW917" s="27" t="s">
        <v>8</v>
      </c>
      <c r="MX917" s="27" t="s">
        <v>7</v>
      </c>
      <c r="MY917" s="27" t="s">
        <v>8</v>
      </c>
      <c r="NF917" s="27" t="s">
        <v>7</v>
      </c>
      <c r="NG917" s="27" t="s">
        <v>8</v>
      </c>
      <c r="NH917" s="27" t="s">
        <v>7</v>
      </c>
      <c r="NI917" s="27" t="s">
        <v>8</v>
      </c>
      <c r="NT917" s="27" t="s">
        <v>7</v>
      </c>
      <c r="NU917" s="27" t="s">
        <v>8</v>
      </c>
      <c r="NV917" s="27" t="s">
        <v>7</v>
      </c>
      <c r="NW917" s="27" t="s">
        <v>8</v>
      </c>
      <c r="OB917" s="27" t="s">
        <v>7</v>
      </c>
      <c r="OD917" s="27" t="s">
        <v>7</v>
      </c>
      <c r="OF917" s="27" t="s">
        <v>7</v>
      </c>
      <c r="OG917" s="27" t="s">
        <v>8</v>
      </c>
      <c r="OH917" s="27" t="s">
        <v>7</v>
      </c>
      <c r="OM917" s="27" t="s">
        <v>8</v>
      </c>
      <c r="ON917" s="27" t="s">
        <v>7</v>
      </c>
      <c r="OO917" s="27" t="s">
        <v>8</v>
      </c>
      <c r="OP917" s="27" t="s">
        <v>7</v>
      </c>
      <c r="OQ917" s="27" t="s">
        <v>8</v>
      </c>
    </row>
    <row r="918" spans="1:407" x14ac:dyDescent="0.25">
      <c r="A918" s="7">
        <v>1.423453048350256E-3</v>
      </c>
      <c r="B918"/>
      <c r="C918"/>
      <c r="D918"/>
      <c r="E918"/>
      <c r="F918" s="27" t="s">
        <v>7</v>
      </c>
      <c r="Q918" s="27" t="s">
        <v>8</v>
      </c>
      <c r="R918" s="27" t="s">
        <v>7</v>
      </c>
      <c r="S918" s="27" t="s">
        <v>8</v>
      </c>
      <c r="T918" s="27" t="s">
        <v>7</v>
      </c>
      <c r="W918" s="27" t="s">
        <v>8</v>
      </c>
      <c r="X918" s="27" t="s">
        <v>7</v>
      </c>
      <c r="AA918" s="27" t="s">
        <v>8</v>
      </c>
      <c r="AB918" s="27" t="s">
        <v>7</v>
      </c>
      <c r="AQ918" s="27" t="s">
        <v>8</v>
      </c>
      <c r="AR918" s="27" t="s">
        <v>7</v>
      </c>
      <c r="AS918" s="27" t="s">
        <v>8</v>
      </c>
      <c r="AT918" s="27" t="s">
        <v>7</v>
      </c>
      <c r="AU918" s="27" t="s">
        <v>8</v>
      </c>
      <c r="AV918" s="27" t="s">
        <v>7</v>
      </c>
      <c r="CE918" s="27" t="s">
        <v>8</v>
      </c>
      <c r="MW918" s="27" t="s">
        <v>8</v>
      </c>
      <c r="MX918" s="27" t="s">
        <v>7</v>
      </c>
      <c r="MY918" s="27" t="s">
        <v>8</v>
      </c>
      <c r="NF918" s="27" t="s">
        <v>7</v>
      </c>
      <c r="NG918" s="27" t="s">
        <v>8</v>
      </c>
      <c r="NH918" s="27" t="s">
        <v>7</v>
      </c>
      <c r="NI918" s="27" t="s">
        <v>8</v>
      </c>
      <c r="NT918" s="27" t="s">
        <v>7</v>
      </c>
      <c r="NU918" s="27" t="s">
        <v>8</v>
      </c>
      <c r="NV918" s="27" t="s">
        <v>7</v>
      </c>
      <c r="NW918" s="27" t="s">
        <v>8</v>
      </c>
      <c r="OF918" s="27" t="s">
        <v>7</v>
      </c>
      <c r="OH918" s="27" t="s">
        <v>7</v>
      </c>
      <c r="OM918" s="27" t="s">
        <v>8</v>
      </c>
      <c r="ON918" s="27" t="s">
        <v>7</v>
      </c>
      <c r="OO918" s="27" t="s">
        <v>8</v>
      </c>
      <c r="OP918" s="27" t="s">
        <v>7</v>
      </c>
      <c r="OQ918" s="27" t="s">
        <v>8</v>
      </c>
    </row>
    <row r="919" spans="1:407" x14ac:dyDescent="0.25">
      <c r="A919" s="7">
        <v>1.3955422042649568E-3</v>
      </c>
      <c r="B919"/>
      <c r="C919"/>
      <c r="D919"/>
      <c r="E919"/>
      <c r="F919" s="27" t="s">
        <v>7</v>
      </c>
      <c r="Q919" s="27" t="s">
        <v>8</v>
      </c>
      <c r="R919" s="27" t="s">
        <v>7</v>
      </c>
      <c r="S919" s="27" t="s">
        <v>8</v>
      </c>
      <c r="T919" s="27" t="s">
        <v>7</v>
      </c>
      <c r="U919" s="27" t="s">
        <v>8</v>
      </c>
      <c r="W919" s="27" t="s">
        <v>8</v>
      </c>
      <c r="X919" s="27" t="s">
        <v>7</v>
      </c>
      <c r="AA919" s="27" t="s">
        <v>8</v>
      </c>
      <c r="AB919" s="27" t="s">
        <v>7</v>
      </c>
      <c r="AO919" s="27" t="s">
        <v>8</v>
      </c>
      <c r="AQ919" s="27" t="s">
        <v>8</v>
      </c>
      <c r="AR919" s="27" t="s">
        <v>7</v>
      </c>
      <c r="AS919" s="27" t="s">
        <v>8</v>
      </c>
      <c r="AT919" s="27" t="s">
        <v>7</v>
      </c>
      <c r="AU919" s="27" t="s">
        <v>8</v>
      </c>
      <c r="AV919" s="27" t="s">
        <v>7</v>
      </c>
      <c r="CE919" s="27" t="s">
        <v>8</v>
      </c>
      <c r="CF919" s="27" t="s">
        <v>7</v>
      </c>
      <c r="MW919" s="27" t="s">
        <v>8</v>
      </c>
      <c r="MX919" s="27" t="s">
        <v>7</v>
      </c>
      <c r="MY919" s="27" t="s">
        <v>8</v>
      </c>
      <c r="NF919" s="27" t="s">
        <v>7</v>
      </c>
      <c r="NG919" s="27" t="s">
        <v>8</v>
      </c>
      <c r="NH919" s="27" t="s">
        <v>7</v>
      </c>
      <c r="NT919" s="27" t="s">
        <v>7</v>
      </c>
      <c r="NU919" s="27" t="s">
        <v>8</v>
      </c>
      <c r="NV919" s="27" t="s">
        <v>7</v>
      </c>
      <c r="NW919" s="27" t="s">
        <v>8</v>
      </c>
      <c r="OH919" s="27" t="s">
        <v>7</v>
      </c>
      <c r="OM919" s="27" t="s">
        <v>8</v>
      </c>
      <c r="ON919" s="27" t="s">
        <v>7</v>
      </c>
      <c r="OO919" s="27" t="s">
        <v>8</v>
      </c>
      <c r="OP919" s="27" t="s">
        <v>7</v>
      </c>
      <c r="OQ919" s="27" t="s">
        <v>8</v>
      </c>
    </row>
    <row r="920" spans="1:407" x14ac:dyDescent="0.25">
      <c r="A920" s="7">
        <v>1.3681786316323105E-3</v>
      </c>
      <c r="B920"/>
      <c r="C920"/>
      <c r="D920"/>
      <c r="E920"/>
      <c r="F920" s="27" t="s">
        <v>7</v>
      </c>
      <c r="Q920" s="27" t="s">
        <v>8</v>
      </c>
      <c r="R920" s="27" t="s">
        <v>7</v>
      </c>
      <c r="S920" s="27" t="s">
        <v>8</v>
      </c>
      <c r="T920" s="27" t="s">
        <v>7</v>
      </c>
      <c r="U920" s="27" t="s">
        <v>8</v>
      </c>
      <c r="V920" s="27" t="s">
        <v>7</v>
      </c>
      <c r="W920" s="27" t="s">
        <v>8</v>
      </c>
      <c r="X920" s="27" t="s">
        <v>7</v>
      </c>
      <c r="AA920" s="27" t="s">
        <v>8</v>
      </c>
      <c r="AB920" s="27" t="s">
        <v>7</v>
      </c>
      <c r="AO920" s="27" t="s">
        <v>8</v>
      </c>
      <c r="AP920" s="27" t="s">
        <v>7</v>
      </c>
      <c r="AQ920" s="27" t="s">
        <v>8</v>
      </c>
      <c r="AR920" s="27" t="s">
        <v>7</v>
      </c>
      <c r="AS920" s="27" t="s">
        <v>8</v>
      </c>
      <c r="AT920" s="27" t="s">
        <v>7</v>
      </c>
      <c r="AU920" s="27" t="s">
        <v>8</v>
      </c>
      <c r="AV920" s="27" t="s">
        <v>7</v>
      </c>
      <c r="CE920" s="27" t="s">
        <v>8</v>
      </c>
      <c r="CF920" s="27" t="s">
        <v>7</v>
      </c>
      <c r="MW920" s="27" t="s">
        <v>8</v>
      </c>
      <c r="MX920" s="27" t="s">
        <v>7</v>
      </c>
      <c r="MY920" s="27" t="s">
        <v>8</v>
      </c>
      <c r="NF920" s="27" t="s">
        <v>7</v>
      </c>
      <c r="NT920" s="27" t="s">
        <v>7</v>
      </c>
      <c r="NU920" s="27" t="s">
        <v>8</v>
      </c>
      <c r="NV920" s="27" t="s">
        <v>7</v>
      </c>
      <c r="NW920" s="27" t="s">
        <v>8</v>
      </c>
      <c r="OH920" s="27" t="s">
        <v>7</v>
      </c>
      <c r="OM920" s="27" t="s">
        <v>8</v>
      </c>
      <c r="ON920" s="27" t="s">
        <v>7</v>
      </c>
      <c r="OO920" s="27" t="s">
        <v>8</v>
      </c>
      <c r="OP920" s="27" t="s">
        <v>7</v>
      </c>
      <c r="OQ920" s="27" t="s">
        <v>8</v>
      </c>
    </row>
    <row r="921" spans="1:407" x14ac:dyDescent="0.25">
      <c r="A921" s="7">
        <v>1.3413515996395203E-3</v>
      </c>
      <c r="B921"/>
      <c r="C921"/>
      <c r="D921"/>
      <c r="E921"/>
      <c r="F921" s="27" t="s">
        <v>7</v>
      </c>
      <c r="Q921" s="27" t="s">
        <v>8</v>
      </c>
      <c r="R921" s="27" t="s">
        <v>7</v>
      </c>
      <c r="S921" s="27" t="s">
        <v>8</v>
      </c>
      <c r="T921" s="27" t="s">
        <v>7</v>
      </c>
      <c r="U921" s="27" t="s">
        <v>8</v>
      </c>
      <c r="V921" s="27" t="s">
        <v>7</v>
      </c>
      <c r="W921" s="27" t="s">
        <v>8</v>
      </c>
      <c r="X921" s="27" t="s">
        <v>7</v>
      </c>
      <c r="AA921" s="27" t="s">
        <v>8</v>
      </c>
      <c r="AB921" s="27" t="s">
        <v>7</v>
      </c>
      <c r="AG921" s="27" t="s">
        <v>8</v>
      </c>
      <c r="AO921" s="27" t="s">
        <v>8</v>
      </c>
      <c r="AP921" s="27" t="s">
        <v>7</v>
      </c>
      <c r="AQ921" s="27" t="s">
        <v>8</v>
      </c>
      <c r="AR921" s="27" t="s">
        <v>7</v>
      </c>
      <c r="AT921" s="27" t="s">
        <v>7</v>
      </c>
      <c r="AV921" s="27" t="s">
        <v>7</v>
      </c>
      <c r="CE921" s="27" t="s">
        <v>8</v>
      </c>
      <c r="CF921" s="27" t="s">
        <v>7</v>
      </c>
      <c r="MW921" s="27" t="s">
        <v>8</v>
      </c>
      <c r="MX921" s="27" t="s">
        <v>7</v>
      </c>
      <c r="MY921" s="27" t="s">
        <v>8</v>
      </c>
      <c r="NT921" s="27" t="s">
        <v>7</v>
      </c>
      <c r="NV921" s="27" t="s">
        <v>7</v>
      </c>
      <c r="NW921" s="27" t="s">
        <v>8</v>
      </c>
      <c r="OH921" s="27" t="s">
        <v>7</v>
      </c>
      <c r="OI921" s="27" t="s">
        <v>8</v>
      </c>
      <c r="OM921" s="27" t="s">
        <v>8</v>
      </c>
      <c r="ON921" s="27" t="s">
        <v>7</v>
      </c>
      <c r="OP921" s="27" t="s">
        <v>7</v>
      </c>
      <c r="OQ921" s="27" t="s">
        <v>8</v>
      </c>
    </row>
    <row r="922" spans="1:407" x14ac:dyDescent="0.25">
      <c r="A922" s="7">
        <v>1.3150505878818826E-3</v>
      </c>
      <c r="B922"/>
      <c r="C922"/>
      <c r="D922"/>
      <c r="E922"/>
      <c r="F922" s="27" t="s">
        <v>7</v>
      </c>
      <c r="Q922" s="27" t="s">
        <v>8</v>
      </c>
      <c r="R922" s="27" t="s">
        <v>7</v>
      </c>
      <c r="T922" s="27" t="s">
        <v>7</v>
      </c>
      <c r="U922" s="27" t="s">
        <v>8</v>
      </c>
      <c r="V922" s="27" t="s">
        <v>7</v>
      </c>
      <c r="W922" s="27" t="s">
        <v>8</v>
      </c>
      <c r="X922" s="27" t="s">
        <v>7</v>
      </c>
      <c r="Y922" s="27" t="s">
        <v>8</v>
      </c>
      <c r="AA922" s="27" t="s">
        <v>8</v>
      </c>
      <c r="AB922" s="27" t="s">
        <v>7</v>
      </c>
      <c r="AG922" s="27" t="s">
        <v>8</v>
      </c>
      <c r="AH922" s="27" t="s">
        <v>7</v>
      </c>
      <c r="AO922" s="27" t="s">
        <v>8</v>
      </c>
      <c r="AP922" s="27" t="s">
        <v>7</v>
      </c>
      <c r="AQ922" s="27" t="s">
        <v>8</v>
      </c>
      <c r="AV922" s="27" t="s">
        <v>7</v>
      </c>
      <c r="CE922" s="27" t="s">
        <v>8</v>
      </c>
      <c r="CF922" s="27" t="s">
        <v>7</v>
      </c>
      <c r="MW922" s="27" t="s">
        <v>8</v>
      </c>
      <c r="MX922" s="27" t="s">
        <v>7</v>
      </c>
      <c r="MY922" s="27" t="s">
        <v>8</v>
      </c>
      <c r="NV922" s="27" t="s">
        <v>7</v>
      </c>
      <c r="OH922" s="27" t="s">
        <v>7</v>
      </c>
      <c r="OI922" s="27" t="s">
        <v>8</v>
      </c>
      <c r="OJ922" s="27" t="s">
        <v>7</v>
      </c>
      <c r="OM922" s="27" t="s">
        <v>8</v>
      </c>
      <c r="OP922" s="27" t="s">
        <v>7</v>
      </c>
      <c r="OQ922" s="27" t="s">
        <v>8</v>
      </c>
    </row>
    <row r="923" spans="1:407" x14ac:dyDescent="0.25">
      <c r="A923" s="7">
        <v>1.2892652822371396E-3</v>
      </c>
      <c r="B923"/>
      <c r="C923"/>
      <c r="D923"/>
      <c r="E923"/>
      <c r="F923" s="27" t="s">
        <v>7</v>
      </c>
      <c r="Q923" s="27" t="s">
        <v>8</v>
      </c>
      <c r="T923" s="27" t="s">
        <v>7</v>
      </c>
      <c r="U923" s="27" t="s">
        <v>8</v>
      </c>
      <c r="V923" s="27" t="s">
        <v>7</v>
      </c>
      <c r="W923" s="27" t="s">
        <v>8</v>
      </c>
      <c r="X923" s="27" t="s">
        <v>7</v>
      </c>
      <c r="Y923" s="27" t="s">
        <v>8</v>
      </c>
      <c r="Z923" s="27" t="s">
        <v>7</v>
      </c>
      <c r="AA923" s="27" t="s">
        <v>8</v>
      </c>
      <c r="AB923" s="27" t="s">
        <v>7</v>
      </c>
      <c r="AG923" s="27" t="s">
        <v>8</v>
      </c>
      <c r="AH923" s="27" t="s">
        <v>7</v>
      </c>
      <c r="AM923" s="27" t="s">
        <v>8</v>
      </c>
      <c r="AO923" s="27" t="s">
        <v>8</v>
      </c>
      <c r="AP923" s="27" t="s">
        <v>7</v>
      </c>
      <c r="AQ923" s="27" t="s">
        <v>8</v>
      </c>
      <c r="AV923" s="27" t="s">
        <v>7</v>
      </c>
      <c r="CE923" s="27" t="s">
        <v>8</v>
      </c>
      <c r="CF923" s="27" t="s">
        <v>7</v>
      </c>
      <c r="CG923" s="27" t="s">
        <v>8</v>
      </c>
      <c r="MW923" s="27" t="s">
        <v>8</v>
      </c>
      <c r="MX923" s="27" t="s">
        <v>7</v>
      </c>
      <c r="MY923" s="27" t="s">
        <v>8</v>
      </c>
      <c r="OH923" s="27" t="s">
        <v>7</v>
      </c>
      <c r="OI923" s="27" t="s">
        <v>8</v>
      </c>
      <c r="OJ923" s="27" t="s">
        <v>7</v>
      </c>
      <c r="OM923" s="27" t="s">
        <v>8</v>
      </c>
      <c r="OP923" s="27" t="s">
        <v>7</v>
      </c>
      <c r="OQ923" s="27" t="s">
        <v>8</v>
      </c>
    </row>
    <row r="924" spans="1:407" x14ac:dyDescent="0.25">
      <c r="A924" s="7">
        <v>1.2639855708207251E-3</v>
      </c>
      <c r="B924"/>
      <c r="C924"/>
      <c r="D924"/>
      <c r="E924"/>
      <c r="F924" s="27" t="s">
        <v>7</v>
      </c>
      <c r="Q924" s="27" t="s">
        <v>8</v>
      </c>
      <c r="T924" s="27" t="s">
        <v>7</v>
      </c>
      <c r="U924" s="27" t="s">
        <v>8</v>
      </c>
      <c r="V924" s="27" t="s">
        <v>7</v>
      </c>
      <c r="W924" s="27" t="s">
        <v>8</v>
      </c>
      <c r="X924" s="27" t="s">
        <v>7</v>
      </c>
      <c r="Y924" s="27" t="s">
        <v>8</v>
      </c>
      <c r="Z924" s="27" t="s">
        <v>7</v>
      </c>
      <c r="AA924" s="27" t="s">
        <v>8</v>
      </c>
      <c r="AB924" s="27" t="s">
        <v>7</v>
      </c>
      <c r="AG924" s="27" t="s">
        <v>8</v>
      </c>
      <c r="AH924" s="27" t="s">
        <v>7</v>
      </c>
      <c r="AM924" s="27" t="s">
        <v>8</v>
      </c>
      <c r="AN924" s="27" t="s">
        <v>7</v>
      </c>
      <c r="AO924" s="27" t="s">
        <v>8</v>
      </c>
      <c r="AP924" s="27" t="s">
        <v>7</v>
      </c>
      <c r="AV924" s="27" t="s">
        <v>7</v>
      </c>
      <c r="CE924" s="27" t="s">
        <v>8</v>
      </c>
      <c r="CF924" s="27" t="s">
        <v>7</v>
      </c>
      <c r="CG924" s="27" t="s">
        <v>8</v>
      </c>
      <c r="CH924" s="27" t="s">
        <v>7</v>
      </c>
      <c r="MW924" s="27" t="s">
        <v>8</v>
      </c>
      <c r="MX924" s="27" t="s">
        <v>7</v>
      </c>
      <c r="MY924" s="27" t="s">
        <v>8</v>
      </c>
      <c r="OH924" s="27" t="s">
        <v>7</v>
      </c>
      <c r="OI924" s="27" t="s">
        <v>8</v>
      </c>
      <c r="OJ924" s="27" t="s">
        <v>7</v>
      </c>
      <c r="OK924" s="27" t="s">
        <v>8</v>
      </c>
      <c r="OM924" s="27" t="s">
        <v>8</v>
      </c>
      <c r="OP924" s="27" t="s">
        <v>7</v>
      </c>
      <c r="OQ924" s="18" t="s">
        <v>8</v>
      </c>
    </row>
    <row r="925" spans="1:407" x14ac:dyDescent="0.25">
      <c r="A925" s="7">
        <v>1.2392015400203187E-3</v>
      </c>
      <c r="B925"/>
      <c r="C925"/>
      <c r="D925"/>
      <c r="E925"/>
      <c r="F925" s="27" t="s">
        <v>7</v>
      </c>
      <c r="Q925" s="27" t="s">
        <v>8</v>
      </c>
      <c r="T925" s="27" t="s">
        <v>7</v>
      </c>
      <c r="U925" s="27" t="s">
        <v>8</v>
      </c>
      <c r="V925" s="27" t="s">
        <v>7</v>
      </c>
      <c r="W925" s="27" t="s">
        <v>8</v>
      </c>
      <c r="X925" s="27" t="s">
        <v>7</v>
      </c>
      <c r="Y925" s="27" t="s">
        <v>8</v>
      </c>
      <c r="Z925" s="27" t="s">
        <v>7</v>
      </c>
      <c r="AA925" s="27" t="s">
        <v>8</v>
      </c>
      <c r="AB925" s="27" t="s">
        <v>7</v>
      </c>
      <c r="AG925" s="27" t="s">
        <v>8</v>
      </c>
      <c r="AH925" s="27" t="s">
        <v>7</v>
      </c>
      <c r="AI925" s="27" t="s">
        <v>8</v>
      </c>
      <c r="AK925" s="27" t="s">
        <v>8</v>
      </c>
      <c r="AM925" s="27" t="s">
        <v>8</v>
      </c>
      <c r="AN925" s="27" t="s">
        <v>7</v>
      </c>
      <c r="AO925" s="27" t="s">
        <v>8</v>
      </c>
      <c r="AV925" s="27" t="s">
        <v>7</v>
      </c>
      <c r="CE925" s="27" t="s">
        <v>8</v>
      </c>
      <c r="CF925" s="27" t="s">
        <v>7</v>
      </c>
      <c r="CG925" s="27" t="s">
        <v>8</v>
      </c>
      <c r="CH925" s="27" t="s">
        <v>7</v>
      </c>
      <c r="MW925" s="27" t="s">
        <v>8</v>
      </c>
      <c r="MX925" s="27" t="s">
        <v>7</v>
      </c>
      <c r="OH925" s="27" t="s">
        <v>7</v>
      </c>
      <c r="OI925" s="27" t="s">
        <v>8</v>
      </c>
      <c r="OJ925" s="27" t="s">
        <v>7</v>
      </c>
      <c r="OK925" s="27" t="s">
        <v>8</v>
      </c>
      <c r="OL925" s="27" t="s">
        <v>7</v>
      </c>
      <c r="OM925" s="27" t="s">
        <v>8</v>
      </c>
      <c r="OP925" s="27" t="s">
        <v>7</v>
      </c>
      <c r="OQ925" s="27" t="s">
        <v>8</v>
      </c>
    </row>
    <row r="926" spans="1:407" x14ac:dyDescent="0.25">
      <c r="A926" s="7">
        <v>1.2149034706081556E-3</v>
      </c>
      <c r="B926"/>
      <c r="C926"/>
      <c r="D926"/>
      <c r="E926"/>
      <c r="F926" s="27" t="s">
        <v>7</v>
      </c>
      <c r="Q926" s="27" t="s">
        <v>8</v>
      </c>
      <c r="T926" s="27" t="s">
        <v>7</v>
      </c>
      <c r="U926" s="27" t="s">
        <v>8</v>
      </c>
      <c r="V926" s="27" t="s">
        <v>7</v>
      </c>
      <c r="W926" s="27" t="s">
        <v>8</v>
      </c>
      <c r="X926" s="27" t="s">
        <v>7</v>
      </c>
      <c r="Y926" s="27" t="s">
        <v>8</v>
      </c>
      <c r="Z926" s="27" t="s">
        <v>7</v>
      </c>
      <c r="AA926" s="27" t="s">
        <v>8</v>
      </c>
      <c r="AB926" s="27" t="s">
        <v>7</v>
      </c>
      <c r="AG926" s="27" t="s">
        <v>8</v>
      </c>
      <c r="AH926" s="27" t="s">
        <v>7</v>
      </c>
      <c r="AI926" s="27" t="s">
        <v>8</v>
      </c>
      <c r="AJ926" s="27" t="s">
        <v>7</v>
      </c>
      <c r="AK926" s="27" t="s">
        <v>8</v>
      </c>
      <c r="AL926" s="27" t="s">
        <v>7</v>
      </c>
      <c r="AM926" s="27" t="s">
        <v>8</v>
      </c>
      <c r="AN926" s="27" t="s">
        <v>7</v>
      </c>
      <c r="AO926" s="27" t="s">
        <v>8</v>
      </c>
      <c r="AV926" s="27" t="s">
        <v>7</v>
      </c>
      <c r="CE926" s="27" t="s">
        <v>8</v>
      </c>
      <c r="CF926" s="27" t="s">
        <v>7</v>
      </c>
      <c r="CG926" s="27" t="s">
        <v>8</v>
      </c>
      <c r="CH926" s="27" t="s">
        <v>7</v>
      </c>
      <c r="MW926" s="27" t="s">
        <v>8</v>
      </c>
      <c r="OH926" s="27" t="s">
        <v>7</v>
      </c>
      <c r="OI926" s="27" t="s">
        <v>8</v>
      </c>
      <c r="OJ926" s="27" t="s">
        <v>7</v>
      </c>
      <c r="OK926" s="27" t="s">
        <v>8</v>
      </c>
      <c r="OL926" s="27" t="s">
        <v>7</v>
      </c>
      <c r="OM926" s="27" t="s">
        <v>8</v>
      </c>
      <c r="OP926" s="27" t="s">
        <v>7</v>
      </c>
      <c r="OQ926" s="27" t="s">
        <v>8</v>
      </c>
    </row>
    <row r="927" spans="1:407" x14ac:dyDescent="0.25">
      <c r="A927" s="7">
        <v>1.1910818339295644E-3</v>
      </c>
      <c r="B927"/>
      <c r="C927"/>
      <c r="D927"/>
      <c r="E927"/>
      <c r="F927" s="27" t="s">
        <v>7</v>
      </c>
      <c r="Q927" s="27" t="s">
        <v>8</v>
      </c>
      <c r="T927" s="27" t="s">
        <v>7</v>
      </c>
      <c r="U927" s="27" t="s">
        <v>8</v>
      </c>
      <c r="V927" s="27" t="s">
        <v>7</v>
      </c>
      <c r="W927" s="27" t="s">
        <v>8</v>
      </c>
      <c r="X927" s="27" t="s">
        <v>7</v>
      </c>
      <c r="Y927" s="27" t="s">
        <v>8</v>
      </c>
      <c r="Z927" s="27" t="s">
        <v>7</v>
      </c>
      <c r="AA927" s="27" t="s">
        <v>8</v>
      </c>
      <c r="AB927" s="27" t="s">
        <v>7</v>
      </c>
      <c r="AG927" s="27" t="s">
        <v>8</v>
      </c>
      <c r="AH927" s="27" t="s">
        <v>7</v>
      </c>
      <c r="AI927" s="27" t="s">
        <v>8</v>
      </c>
      <c r="AJ927" s="27" t="s">
        <v>7</v>
      </c>
      <c r="AK927" s="27" t="s">
        <v>8</v>
      </c>
      <c r="AL927" s="27" t="s">
        <v>7</v>
      </c>
      <c r="AM927" s="27" t="s">
        <v>8</v>
      </c>
      <c r="AN927" s="27" t="s">
        <v>7</v>
      </c>
      <c r="AO927" s="27" t="s">
        <v>8</v>
      </c>
      <c r="AV927" s="27" t="s">
        <v>7</v>
      </c>
      <c r="CE927" s="27" t="s">
        <v>8</v>
      </c>
      <c r="CF927" s="27" t="s">
        <v>7</v>
      </c>
      <c r="CG927" s="27" t="s">
        <v>8</v>
      </c>
      <c r="CH927" s="27" t="s">
        <v>7</v>
      </c>
      <c r="MW927" s="27" t="s">
        <v>8</v>
      </c>
      <c r="OH927" s="27" t="s">
        <v>7</v>
      </c>
      <c r="OI927" s="27" t="s">
        <v>8</v>
      </c>
      <c r="OJ927" s="27" t="s">
        <v>7</v>
      </c>
      <c r="OK927" s="27" t="s">
        <v>8</v>
      </c>
      <c r="OL927" s="27" t="s">
        <v>7</v>
      </c>
      <c r="OM927" s="27" t="s">
        <v>8</v>
      </c>
      <c r="OP927" s="27" t="s">
        <v>7</v>
      </c>
      <c r="OQ927" s="27" t="s">
        <v>8</v>
      </c>
    </row>
    <row r="928" spans="1:407" x14ac:dyDescent="0.25">
      <c r="A928" s="7">
        <v>1.1677272881662395E-3</v>
      </c>
      <c r="B928"/>
      <c r="C928"/>
      <c r="D928"/>
      <c r="E928"/>
      <c r="F928" s="27" t="s">
        <v>7</v>
      </c>
      <c r="Q928" s="27" t="s">
        <v>8</v>
      </c>
      <c r="T928" s="27" t="s">
        <v>7</v>
      </c>
      <c r="V928" s="27" t="s">
        <v>7</v>
      </c>
      <c r="W928" s="27" t="s">
        <v>8</v>
      </c>
      <c r="X928" s="27" t="s">
        <v>7</v>
      </c>
      <c r="Z928" s="27" t="s">
        <v>7</v>
      </c>
      <c r="AA928" s="27" t="s">
        <v>8</v>
      </c>
      <c r="AB928" s="27" t="s">
        <v>7</v>
      </c>
      <c r="AG928" s="27" t="s">
        <v>8</v>
      </c>
      <c r="AH928" s="27" t="s">
        <v>7</v>
      </c>
      <c r="AI928" s="27" t="s">
        <v>8</v>
      </c>
      <c r="AJ928" s="27" t="s">
        <v>7</v>
      </c>
      <c r="AK928" s="27" t="s">
        <v>8</v>
      </c>
      <c r="AL928" s="27" t="s">
        <v>7</v>
      </c>
      <c r="AM928" s="27" t="s">
        <v>8</v>
      </c>
      <c r="AN928" s="27" t="s">
        <v>7</v>
      </c>
      <c r="AO928" s="27" t="s">
        <v>8</v>
      </c>
      <c r="AV928" s="27" t="s">
        <v>7</v>
      </c>
      <c r="CE928" s="27" t="s">
        <v>8</v>
      </c>
      <c r="CF928" s="27" t="s">
        <v>7</v>
      </c>
      <c r="CG928" s="27" t="s">
        <v>8</v>
      </c>
      <c r="CH928" s="27" t="s">
        <v>7</v>
      </c>
      <c r="MW928" s="27" t="s">
        <v>8</v>
      </c>
      <c r="OH928" s="27" t="s">
        <v>7</v>
      </c>
      <c r="OI928" s="27" t="s">
        <v>8</v>
      </c>
      <c r="OJ928" s="27" t="s">
        <v>7</v>
      </c>
      <c r="OL928" s="27" t="s">
        <v>7</v>
      </c>
      <c r="OM928" s="27" t="s">
        <v>8</v>
      </c>
      <c r="OP928" s="27" t="s">
        <v>7</v>
      </c>
    </row>
    <row r="929" spans="1:402" x14ac:dyDescent="0.25">
      <c r="A929" s="7">
        <v>1.1448306746727837E-3</v>
      </c>
      <c r="B929"/>
      <c r="C929"/>
      <c r="D929"/>
      <c r="E929"/>
      <c r="F929" s="27" t="s">
        <v>7</v>
      </c>
      <c r="Q929" s="27" t="s">
        <v>8</v>
      </c>
      <c r="V929" s="27" t="s">
        <v>7</v>
      </c>
      <c r="W929" s="27" t="s">
        <v>8</v>
      </c>
      <c r="Z929" s="27" t="s">
        <v>7</v>
      </c>
      <c r="AB929" s="27" t="s">
        <v>7</v>
      </c>
      <c r="AC929" s="27" t="s">
        <v>8</v>
      </c>
      <c r="AG929" s="27" t="s">
        <v>8</v>
      </c>
      <c r="AH929" s="27" t="s">
        <v>7</v>
      </c>
      <c r="AI929" s="27" t="s">
        <v>8</v>
      </c>
      <c r="AJ929" s="27" t="s">
        <v>7</v>
      </c>
      <c r="AK929" s="27" t="s">
        <v>8</v>
      </c>
      <c r="AL929" s="27" t="s">
        <v>7</v>
      </c>
      <c r="AN929" s="27" t="s">
        <v>7</v>
      </c>
      <c r="AO929" s="27" t="s">
        <v>8</v>
      </c>
      <c r="AV929" s="27" t="s">
        <v>7</v>
      </c>
      <c r="CE929" s="27" t="s">
        <v>8</v>
      </c>
      <c r="CF929" s="27" t="s">
        <v>7</v>
      </c>
      <c r="CG929" s="27" t="s">
        <v>8</v>
      </c>
      <c r="CH929" s="27" t="s">
        <v>7</v>
      </c>
      <c r="MW929" s="27" t="s">
        <v>8</v>
      </c>
      <c r="OH929" s="27" t="s">
        <v>7</v>
      </c>
      <c r="OI929" s="27" t="s">
        <v>8</v>
      </c>
      <c r="OL929" s="27" t="s">
        <v>7</v>
      </c>
    </row>
    <row r="930" spans="1:402" x14ac:dyDescent="0.25">
      <c r="A930" s="7">
        <v>1.1223830143850821E-3</v>
      </c>
      <c r="B930"/>
      <c r="C930"/>
      <c r="D930"/>
      <c r="E930"/>
      <c r="F930" s="27" t="s">
        <v>7</v>
      </c>
      <c r="Q930" s="27" t="s">
        <v>8</v>
      </c>
      <c r="V930" s="27" t="s">
        <v>7</v>
      </c>
      <c r="W930" s="27" t="s">
        <v>8</v>
      </c>
      <c r="AB930" s="27" t="s">
        <v>7</v>
      </c>
      <c r="AC930" s="27" t="s">
        <v>8</v>
      </c>
      <c r="AD930" s="27" t="s">
        <v>7</v>
      </c>
      <c r="AG930" s="27" t="s">
        <v>8</v>
      </c>
      <c r="AH930" s="27" t="s">
        <v>7</v>
      </c>
      <c r="AI930" s="27" t="s">
        <v>8</v>
      </c>
      <c r="AJ930" s="27" t="s">
        <v>7</v>
      </c>
      <c r="AK930" s="27" t="s">
        <v>8</v>
      </c>
      <c r="AN930" s="27" t="s">
        <v>7</v>
      </c>
      <c r="AO930" s="27" t="s">
        <v>8</v>
      </c>
      <c r="AV930" s="27" t="s">
        <v>7</v>
      </c>
      <c r="CE930" s="27" t="s">
        <v>8</v>
      </c>
      <c r="CF930" s="27" t="s">
        <v>7</v>
      </c>
      <c r="CG930" s="27" t="s">
        <v>8</v>
      </c>
      <c r="CH930" s="27" t="s">
        <v>7</v>
      </c>
      <c r="MW930" s="27" t="s">
        <v>8</v>
      </c>
      <c r="OH930" s="27" t="s">
        <v>7</v>
      </c>
      <c r="OI930" s="27" t="s">
        <v>8</v>
      </c>
    </row>
    <row r="931" spans="1:402" x14ac:dyDescent="0.25">
      <c r="A931" s="7">
        <v>1.1003755042991001E-3</v>
      </c>
      <c r="B931"/>
      <c r="C931"/>
      <c r="D931"/>
      <c r="E931"/>
      <c r="F931" s="27" t="s">
        <v>7</v>
      </c>
      <c r="Q931" s="27" t="s">
        <v>8</v>
      </c>
      <c r="V931" s="27" t="s">
        <v>7</v>
      </c>
      <c r="AB931" s="27" t="s">
        <v>7</v>
      </c>
      <c r="AC931" s="27" t="s">
        <v>8</v>
      </c>
      <c r="AD931" s="27" t="s">
        <v>7</v>
      </c>
      <c r="AG931" s="27" t="s">
        <v>8</v>
      </c>
      <c r="AH931" s="27" t="s">
        <v>7</v>
      </c>
      <c r="AJ931" s="27" t="s">
        <v>7</v>
      </c>
      <c r="AK931" s="27" t="s">
        <v>8</v>
      </c>
      <c r="AN931" s="27" t="s">
        <v>7</v>
      </c>
      <c r="AO931" s="27" t="s">
        <v>8</v>
      </c>
      <c r="AV931" s="27" t="s">
        <v>7</v>
      </c>
      <c r="CE931" s="27" t="s">
        <v>8</v>
      </c>
      <c r="CF931" s="27" t="s">
        <v>7</v>
      </c>
      <c r="CG931" s="27" t="s">
        <v>8</v>
      </c>
      <c r="CH931" s="27" t="s">
        <v>7</v>
      </c>
      <c r="MW931" s="27" t="s">
        <v>8</v>
      </c>
      <c r="OH931" s="27" t="s">
        <v>7</v>
      </c>
      <c r="OI931" s="27" t="s">
        <v>8</v>
      </c>
    </row>
    <row r="932" spans="1:402" x14ac:dyDescent="0.25">
      <c r="A932" s="7">
        <v>1.0787995140187257E-3</v>
      </c>
      <c r="B932"/>
      <c r="C932"/>
      <c r="D932"/>
      <c r="E932"/>
      <c r="F932" s="27" t="s">
        <v>7</v>
      </c>
      <c r="Q932" s="27" t="s">
        <v>8</v>
      </c>
      <c r="AB932" s="27" t="s">
        <v>7</v>
      </c>
      <c r="AC932" s="27" t="s">
        <v>8</v>
      </c>
      <c r="AD932" s="27" t="s">
        <v>7</v>
      </c>
      <c r="AG932" s="27" t="s">
        <v>8</v>
      </c>
      <c r="AJ932" s="27" t="s">
        <v>7</v>
      </c>
      <c r="AK932" s="27" t="s">
        <v>8</v>
      </c>
      <c r="AN932" s="27" t="s">
        <v>7</v>
      </c>
      <c r="AV932" s="27" t="s">
        <v>7</v>
      </c>
      <c r="CE932" s="27" t="s">
        <v>8</v>
      </c>
      <c r="CF932" s="27" t="s">
        <v>7</v>
      </c>
      <c r="CG932" s="27" t="s">
        <v>8</v>
      </c>
      <c r="CH932" s="27" t="s">
        <v>7</v>
      </c>
      <c r="MW932" s="27" t="s">
        <v>8</v>
      </c>
      <c r="OH932" s="27" t="s">
        <v>7</v>
      </c>
      <c r="OI932" s="27" t="s">
        <v>8</v>
      </c>
    </row>
    <row r="933" spans="1:402" x14ac:dyDescent="0.25">
      <c r="A933" s="7">
        <v>1.0576465823712996E-3</v>
      </c>
      <c r="B933"/>
      <c r="C933"/>
      <c r="D933"/>
      <c r="E933"/>
      <c r="F933" s="27" t="s">
        <v>7</v>
      </c>
      <c r="Q933" s="27" t="s">
        <v>8</v>
      </c>
      <c r="AB933" s="27" t="s">
        <v>7</v>
      </c>
      <c r="AC933" s="27" t="s">
        <v>8</v>
      </c>
      <c r="AD933" s="27" t="s">
        <v>7</v>
      </c>
      <c r="AG933" s="27" t="s">
        <v>8</v>
      </c>
      <c r="AJ933" s="27" t="s">
        <v>7</v>
      </c>
      <c r="AK933" s="27" t="s">
        <v>8</v>
      </c>
      <c r="AV933" s="27" t="s">
        <v>7</v>
      </c>
      <c r="AW933" s="27" t="s">
        <v>8</v>
      </c>
      <c r="CE933" s="27" t="s">
        <v>8</v>
      </c>
      <c r="CF933" s="27" t="s">
        <v>7</v>
      </c>
      <c r="CH933" s="27" t="s">
        <v>7</v>
      </c>
      <c r="MW933" s="27" t="s">
        <v>8</v>
      </c>
      <c r="OH933" s="27" t="s">
        <v>7</v>
      </c>
      <c r="OI933" s="27" t="s">
        <v>8</v>
      </c>
    </row>
    <row r="934" spans="1:402" x14ac:dyDescent="0.25">
      <c r="A934" s="7">
        <v>1.0369084140895094E-3</v>
      </c>
      <c r="B934"/>
      <c r="C934"/>
      <c r="D934"/>
      <c r="E934"/>
      <c r="F934" s="27" t="s">
        <v>7</v>
      </c>
      <c r="Q934" s="27" t="s">
        <v>8</v>
      </c>
      <c r="AB934" s="27" t="s">
        <v>7</v>
      </c>
      <c r="AC934" s="27" t="s">
        <v>8</v>
      </c>
      <c r="AD934" s="27" t="s">
        <v>7</v>
      </c>
      <c r="AG934" s="27" t="s">
        <v>8</v>
      </c>
      <c r="AJ934" s="27" t="s">
        <v>7</v>
      </c>
      <c r="AK934" s="27" t="s">
        <v>8</v>
      </c>
      <c r="AV934" s="27" t="s">
        <v>7</v>
      </c>
      <c r="AW934" s="27" t="s">
        <v>8</v>
      </c>
      <c r="AX934" s="27" t="s">
        <v>7</v>
      </c>
      <c r="CE934" s="27" t="s">
        <v>8</v>
      </c>
      <c r="CH934" s="27" t="s">
        <v>7</v>
      </c>
      <c r="CQ934" s="27" t="s">
        <v>8</v>
      </c>
      <c r="MW934" s="27" t="s">
        <v>8</v>
      </c>
      <c r="OH934" s="27" t="s">
        <v>7</v>
      </c>
      <c r="OI934" s="27" t="s">
        <v>8</v>
      </c>
    </row>
    <row r="935" spans="1:402" x14ac:dyDescent="0.25">
      <c r="A935" s="7">
        <v>1.0165768765583426E-3</v>
      </c>
      <c r="B935"/>
      <c r="C935"/>
      <c r="D935"/>
      <c r="E935"/>
      <c r="F935" s="27" t="s">
        <v>7</v>
      </c>
      <c r="Q935" s="27" t="s">
        <v>8</v>
      </c>
      <c r="AB935" s="27" t="s">
        <v>7</v>
      </c>
      <c r="AC935" s="27" t="s">
        <v>8</v>
      </c>
      <c r="AD935" s="27" t="s">
        <v>7</v>
      </c>
      <c r="AG935" s="27" t="s">
        <v>8</v>
      </c>
      <c r="AJ935" s="27" t="s">
        <v>7</v>
      </c>
      <c r="AK935" s="27" t="s">
        <v>8</v>
      </c>
      <c r="AV935" s="27" t="s">
        <v>7</v>
      </c>
      <c r="AW935" s="27" t="s">
        <v>8</v>
      </c>
      <c r="AX935" s="27" t="s">
        <v>7</v>
      </c>
      <c r="BG935" s="27" t="s">
        <v>8</v>
      </c>
      <c r="CE935" s="27" t="s">
        <v>8</v>
      </c>
      <c r="CH935" s="27" t="s">
        <v>7</v>
      </c>
      <c r="CQ935" s="27" t="s">
        <v>8</v>
      </c>
      <c r="CR935" s="27" t="s">
        <v>7</v>
      </c>
      <c r="DY935" s="27" t="s">
        <v>8</v>
      </c>
      <c r="MW935" s="27" t="s">
        <v>8</v>
      </c>
      <c r="OH935" s="27" t="s">
        <v>7</v>
      </c>
      <c r="OI935" s="27" t="s">
        <v>8</v>
      </c>
    </row>
    <row r="936" spans="1:402" x14ac:dyDescent="0.25">
      <c r="A936" s="7">
        <v>9.966439966258261E-4</v>
      </c>
      <c r="B936"/>
      <c r="C936"/>
      <c r="D936"/>
      <c r="E936"/>
      <c r="F936" s="27" t="s">
        <v>7</v>
      </c>
      <c r="G936" s="27" t="s">
        <v>8</v>
      </c>
      <c r="I936" s="27" t="s">
        <v>8</v>
      </c>
      <c r="K936" s="27" t="s">
        <v>8</v>
      </c>
      <c r="M936" s="27" t="s">
        <v>8</v>
      </c>
      <c r="O936" s="27" t="s">
        <v>8</v>
      </c>
      <c r="Q936" s="27" t="s">
        <v>8</v>
      </c>
      <c r="AB936" s="27" t="s">
        <v>7</v>
      </c>
      <c r="AD936" s="27" t="s">
        <v>7</v>
      </c>
      <c r="AE936" s="27" t="s">
        <v>8</v>
      </c>
      <c r="AG936" s="27" t="s">
        <v>8</v>
      </c>
      <c r="AJ936" s="27" t="s">
        <v>7</v>
      </c>
      <c r="AK936" s="27" t="s">
        <v>8</v>
      </c>
      <c r="AV936" s="27" t="s">
        <v>7</v>
      </c>
      <c r="AX936" s="27" t="s">
        <v>7</v>
      </c>
      <c r="AY936" s="27" t="s">
        <v>8</v>
      </c>
      <c r="BA936" s="27" t="s">
        <v>8</v>
      </c>
      <c r="BC936" s="27" t="s">
        <v>8</v>
      </c>
      <c r="BE936" s="27" t="s">
        <v>8</v>
      </c>
      <c r="BG936" s="27" t="s">
        <v>8</v>
      </c>
      <c r="BH936" s="27" t="s">
        <v>7</v>
      </c>
      <c r="BI936" s="27" t="s">
        <v>8</v>
      </c>
      <c r="BK936" s="27" t="s">
        <v>8</v>
      </c>
      <c r="BM936" s="27" t="s">
        <v>8</v>
      </c>
      <c r="BO936" s="27" t="s">
        <v>8</v>
      </c>
      <c r="BQ936" s="27" t="s">
        <v>8</v>
      </c>
      <c r="BS936" s="27" t="s">
        <v>8</v>
      </c>
      <c r="BU936" s="27" t="s">
        <v>8</v>
      </c>
      <c r="BW936" s="27" t="s">
        <v>8</v>
      </c>
      <c r="BY936" s="27" t="s">
        <v>8</v>
      </c>
      <c r="CA936" s="27" t="s">
        <v>8</v>
      </c>
      <c r="CC936" s="27" t="s">
        <v>8</v>
      </c>
      <c r="CE936" s="27" t="s">
        <v>8</v>
      </c>
      <c r="CH936" s="27" t="s">
        <v>7</v>
      </c>
      <c r="CI936" s="27" t="s">
        <v>8</v>
      </c>
      <c r="CK936" s="27" t="s">
        <v>8</v>
      </c>
      <c r="CM936" s="27" t="s">
        <v>8</v>
      </c>
      <c r="CO936" s="27" t="s">
        <v>8</v>
      </c>
      <c r="CQ936" s="27" t="s">
        <v>8</v>
      </c>
      <c r="CR936" s="27" t="s">
        <v>7</v>
      </c>
      <c r="CS936" s="27" t="s">
        <v>8</v>
      </c>
      <c r="CU936" s="27" t="s">
        <v>8</v>
      </c>
      <c r="CW936" s="27" t="s">
        <v>8</v>
      </c>
      <c r="CY936" s="27" t="s">
        <v>8</v>
      </c>
      <c r="DA936" s="27" t="s">
        <v>8</v>
      </c>
      <c r="DC936" s="27" t="s">
        <v>8</v>
      </c>
      <c r="DE936" s="27" t="s">
        <v>8</v>
      </c>
      <c r="DG936" s="27" t="s">
        <v>8</v>
      </c>
      <c r="DI936" s="27" t="s">
        <v>8</v>
      </c>
      <c r="DK936" s="27" t="s">
        <v>8</v>
      </c>
      <c r="DM936" s="27" t="s">
        <v>8</v>
      </c>
      <c r="DO936" s="27" t="s">
        <v>8</v>
      </c>
      <c r="DQ936" s="27" t="s">
        <v>8</v>
      </c>
      <c r="DS936" s="27" t="s">
        <v>8</v>
      </c>
      <c r="DU936" s="27" t="s">
        <v>8</v>
      </c>
      <c r="DW936" s="27" t="s">
        <v>8</v>
      </c>
      <c r="DY936" s="27" t="s">
        <v>8</v>
      </c>
      <c r="DZ936" s="27" t="s">
        <v>7</v>
      </c>
      <c r="EA936" s="27" t="s">
        <v>8</v>
      </c>
      <c r="EC936" s="27" t="s">
        <v>8</v>
      </c>
      <c r="EE936" s="27" t="s">
        <v>8</v>
      </c>
      <c r="EG936" s="27" t="s">
        <v>8</v>
      </c>
      <c r="EI936" s="27" t="s">
        <v>8</v>
      </c>
      <c r="EK936" s="27" t="s">
        <v>8</v>
      </c>
      <c r="EM936" s="27" t="s">
        <v>8</v>
      </c>
      <c r="EO936" s="27" t="s">
        <v>8</v>
      </c>
      <c r="EQ936" s="27" t="s">
        <v>8</v>
      </c>
      <c r="ES936" s="27" t="s">
        <v>8</v>
      </c>
      <c r="EU936" s="27" t="s">
        <v>8</v>
      </c>
      <c r="EW936" s="27" t="s">
        <v>8</v>
      </c>
      <c r="EY936" s="27" t="s">
        <v>8</v>
      </c>
      <c r="FA936" s="27" t="s">
        <v>8</v>
      </c>
      <c r="FC936" s="27" t="s">
        <v>8</v>
      </c>
      <c r="FE936" s="27" t="s">
        <v>8</v>
      </c>
      <c r="FG936" s="27" t="s">
        <v>8</v>
      </c>
      <c r="FI936" s="27" t="s">
        <v>8</v>
      </c>
      <c r="FK936" s="27" t="s">
        <v>8</v>
      </c>
      <c r="FM936" s="27" t="s">
        <v>8</v>
      </c>
      <c r="FO936" s="27" t="s">
        <v>8</v>
      </c>
      <c r="FQ936" s="27" t="s">
        <v>8</v>
      </c>
      <c r="FS936" s="27" t="s">
        <v>8</v>
      </c>
      <c r="FU936" s="27" t="s">
        <v>8</v>
      </c>
      <c r="FW936" s="27" t="s">
        <v>8</v>
      </c>
      <c r="FY936" s="27" t="s">
        <v>8</v>
      </c>
      <c r="GA936" s="27" t="s">
        <v>8</v>
      </c>
      <c r="GC936" s="27" t="s">
        <v>8</v>
      </c>
      <c r="GE936" s="27" t="s">
        <v>8</v>
      </c>
      <c r="GG936" s="27" t="s">
        <v>8</v>
      </c>
      <c r="GI936" s="27" t="s">
        <v>8</v>
      </c>
      <c r="GK936" s="27" t="s">
        <v>8</v>
      </c>
      <c r="GM936" s="27" t="s">
        <v>8</v>
      </c>
      <c r="GO936" s="27" t="s">
        <v>8</v>
      </c>
      <c r="GQ936" s="27" t="s">
        <v>8</v>
      </c>
      <c r="GS936" s="27" t="s">
        <v>8</v>
      </c>
      <c r="GU936" s="27" t="s">
        <v>8</v>
      </c>
      <c r="GW936" s="27" t="s">
        <v>8</v>
      </c>
      <c r="GY936" s="27" t="s">
        <v>8</v>
      </c>
      <c r="HA936" s="27" t="s">
        <v>8</v>
      </c>
      <c r="HC936" s="27" t="s">
        <v>8</v>
      </c>
      <c r="HE936" s="27" t="s">
        <v>8</v>
      </c>
      <c r="HG936" s="27" t="s">
        <v>8</v>
      </c>
      <c r="HI936" s="27" t="s">
        <v>8</v>
      </c>
      <c r="HK936" s="27" t="s">
        <v>8</v>
      </c>
      <c r="HM936" s="27" t="s">
        <v>8</v>
      </c>
      <c r="HO936" s="27" t="s">
        <v>8</v>
      </c>
      <c r="HQ936" s="27" t="s">
        <v>8</v>
      </c>
      <c r="HS936" s="27" t="s">
        <v>8</v>
      </c>
      <c r="HU936" s="27" t="s">
        <v>8</v>
      </c>
      <c r="HW936" s="27" t="s">
        <v>8</v>
      </c>
      <c r="HY936" s="27" t="s">
        <v>8</v>
      </c>
      <c r="IA936" s="27" t="s">
        <v>8</v>
      </c>
      <c r="IC936" s="27" t="s">
        <v>8</v>
      </c>
      <c r="IE936" s="27" t="s">
        <v>8</v>
      </c>
      <c r="IG936" s="27" t="s">
        <v>8</v>
      </c>
      <c r="II936" s="27" t="s">
        <v>8</v>
      </c>
      <c r="IK936" s="27" t="s">
        <v>8</v>
      </c>
      <c r="IM936" s="27" t="s">
        <v>8</v>
      </c>
      <c r="IO936" s="27" t="s">
        <v>8</v>
      </c>
      <c r="IQ936" s="27" t="s">
        <v>8</v>
      </c>
      <c r="IS936" s="27" t="s">
        <v>8</v>
      </c>
      <c r="IU936" s="27" t="s">
        <v>8</v>
      </c>
      <c r="IW936" s="27" t="s">
        <v>8</v>
      </c>
      <c r="IY936" s="27" t="s">
        <v>8</v>
      </c>
      <c r="JA936" s="27" t="s">
        <v>8</v>
      </c>
      <c r="JC936" s="27" t="s">
        <v>8</v>
      </c>
      <c r="JE936" s="27" t="s">
        <v>8</v>
      </c>
      <c r="JG936" s="27" t="s">
        <v>8</v>
      </c>
      <c r="JI936" s="27" t="s">
        <v>8</v>
      </c>
      <c r="JK936" s="27" t="s">
        <v>8</v>
      </c>
      <c r="JM936" s="27" t="s">
        <v>8</v>
      </c>
      <c r="JO936" s="27" t="s">
        <v>8</v>
      </c>
      <c r="JQ936" s="27" t="s">
        <v>8</v>
      </c>
      <c r="JS936" s="27" t="s">
        <v>8</v>
      </c>
      <c r="JU936" s="27" t="s">
        <v>8</v>
      </c>
      <c r="JW936" s="27" t="s">
        <v>8</v>
      </c>
      <c r="JY936" s="27" t="s">
        <v>8</v>
      </c>
      <c r="KA936" s="27" t="s">
        <v>8</v>
      </c>
      <c r="KC936" s="27" t="s">
        <v>8</v>
      </c>
      <c r="KE936" s="27" t="s">
        <v>8</v>
      </c>
      <c r="KG936" s="27" t="s">
        <v>8</v>
      </c>
      <c r="KI936" s="27" t="s">
        <v>8</v>
      </c>
      <c r="KK936" s="27" t="s">
        <v>8</v>
      </c>
      <c r="KM936" s="27" t="s">
        <v>8</v>
      </c>
      <c r="KO936" s="27" t="s">
        <v>8</v>
      </c>
      <c r="KQ936" s="27" t="s">
        <v>8</v>
      </c>
      <c r="KS936" s="27" t="s">
        <v>8</v>
      </c>
      <c r="KU936" s="27" t="s">
        <v>8</v>
      </c>
      <c r="KW936" s="27" t="s">
        <v>8</v>
      </c>
      <c r="KY936" s="27" t="s">
        <v>8</v>
      </c>
      <c r="LA936" s="27" t="s">
        <v>8</v>
      </c>
      <c r="LC936" s="27" t="s">
        <v>8</v>
      </c>
      <c r="LE936" s="27" t="s">
        <v>8</v>
      </c>
      <c r="LG936" s="27" t="s">
        <v>8</v>
      </c>
      <c r="LI936" s="27" t="s">
        <v>8</v>
      </c>
      <c r="LK936" s="27" t="s">
        <v>8</v>
      </c>
      <c r="LM936" s="27" t="s">
        <v>8</v>
      </c>
      <c r="LO936" s="27" t="s">
        <v>8</v>
      </c>
      <c r="LQ936" s="27" t="s">
        <v>8</v>
      </c>
      <c r="LS936" s="27" t="s">
        <v>8</v>
      </c>
      <c r="LU936" s="27" t="s">
        <v>8</v>
      </c>
      <c r="LW936" s="27" t="s">
        <v>8</v>
      </c>
      <c r="LY936" s="27" t="s">
        <v>8</v>
      </c>
      <c r="MA936" s="27" t="s">
        <v>8</v>
      </c>
      <c r="MC936" s="27" t="s">
        <v>8</v>
      </c>
      <c r="ME936" s="27" t="s">
        <v>8</v>
      </c>
      <c r="MG936" s="27" t="s">
        <v>8</v>
      </c>
      <c r="MI936" s="27" t="s">
        <v>8</v>
      </c>
      <c r="MK936" s="27" t="s">
        <v>8</v>
      </c>
      <c r="MM936" s="27" t="s">
        <v>8</v>
      </c>
      <c r="MO936" s="27" t="s">
        <v>8</v>
      </c>
      <c r="MQ936" s="27" t="s">
        <v>8</v>
      </c>
      <c r="MS936" s="27" t="s">
        <v>8</v>
      </c>
      <c r="MU936" s="27" t="s">
        <v>8</v>
      </c>
      <c r="MW936" s="27" t="s">
        <v>8</v>
      </c>
      <c r="OH936" s="27" t="s">
        <v>7</v>
      </c>
      <c r="OI936" s="27" t="s">
        <v>8</v>
      </c>
    </row>
    <row r="937" spans="1:402" x14ac:dyDescent="0.25">
      <c r="F937" s="27" t="s">
        <v>7</v>
      </c>
      <c r="H937" s="27" t="s">
        <v>7</v>
      </c>
      <c r="J937" s="27" t="s">
        <v>7</v>
      </c>
      <c r="L937" s="27" t="s">
        <v>7</v>
      </c>
      <c r="N937" s="27" t="s">
        <v>7</v>
      </c>
      <c r="P937" s="27" t="s">
        <v>7</v>
      </c>
      <c r="AD937" s="27" t="s">
        <v>7</v>
      </c>
      <c r="AF937" s="27" t="s">
        <v>7</v>
      </c>
      <c r="AJ937" s="27" t="s">
        <v>7</v>
      </c>
      <c r="AX937" s="27" t="s">
        <v>7</v>
      </c>
      <c r="AZ937" s="27" t="s">
        <v>7</v>
      </c>
      <c r="BB937" s="27" t="s">
        <v>7</v>
      </c>
      <c r="BD937" s="27" t="s">
        <v>7</v>
      </c>
      <c r="BF937" s="27" t="s">
        <v>7</v>
      </c>
      <c r="BH937" s="27" t="s">
        <v>7</v>
      </c>
      <c r="BJ937" s="27" t="s">
        <v>7</v>
      </c>
      <c r="BL937" s="27" t="s">
        <v>7</v>
      </c>
      <c r="BN937" s="27" t="s">
        <v>7</v>
      </c>
      <c r="BP937" s="27" t="s">
        <v>7</v>
      </c>
      <c r="BR937" s="27" t="s">
        <v>7</v>
      </c>
      <c r="BT937" s="27" t="s">
        <v>7</v>
      </c>
      <c r="BV937" s="27" t="s">
        <v>7</v>
      </c>
      <c r="BX937" s="27" t="s">
        <v>7</v>
      </c>
      <c r="BZ937" s="27" t="s">
        <v>7</v>
      </c>
      <c r="CB937" s="27" t="s">
        <v>7</v>
      </c>
      <c r="CD937" s="27" t="s">
        <v>7</v>
      </c>
      <c r="CH937" s="27" t="s">
        <v>7</v>
      </c>
      <c r="CJ937" s="27" t="s">
        <v>7</v>
      </c>
      <c r="CL937" s="27" t="s">
        <v>7</v>
      </c>
      <c r="CN937" s="27" t="s">
        <v>7</v>
      </c>
      <c r="CP937" s="27" t="s">
        <v>7</v>
      </c>
      <c r="CR937" s="27" t="s">
        <v>7</v>
      </c>
      <c r="CT937" s="27" t="s">
        <v>7</v>
      </c>
      <c r="CV937" s="27" t="s">
        <v>7</v>
      </c>
      <c r="CX937" s="27" t="s">
        <v>7</v>
      </c>
      <c r="CZ937" s="27" t="s">
        <v>7</v>
      </c>
      <c r="DB937" s="27" t="s">
        <v>7</v>
      </c>
      <c r="DD937" s="27" t="s">
        <v>7</v>
      </c>
      <c r="DF937" s="27" t="s">
        <v>7</v>
      </c>
      <c r="DH937" s="27" t="s">
        <v>7</v>
      </c>
      <c r="DJ937" s="27" t="s">
        <v>7</v>
      </c>
      <c r="DL937" s="27" t="s">
        <v>7</v>
      </c>
      <c r="DN937" s="27" t="s">
        <v>7</v>
      </c>
      <c r="DP937" s="27" t="s">
        <v>7</v>
      </c>
      <c r="DR937" s="27" t="s">
        <v>7</v>
      </c>
      <c r="DT937" s="27" t="s">
        <v>7</v>
      </c>
      <c r="DV937" s="27" t="s">
        <v>7</v>
      </c>
      <c r="DX937" s="27" t="s">
        <v>7</v>
      </c>
      <c r="DZ937" s="27" t="s">
        <v>7</v>
      </c>
      <c r="EB937" s="27" t="s">
        <v>7</v>
      </c>
      <c r="ED937" s="27" t="s">
        <v>7</v>
      </c>
      <c r="EF937" s="27" t="s">
        <v>7</v>
      </c>
      <c r="EH937" s="27" t="s">
        <v>7</v>
      </c>
      <c r="EJ937" s="27" t="s">
        <v>7</v>
      </c>
      <c r="EL937" s="27" t="s">
        <v>7</v>
      </c>
      <c r="EN937" s="27" t="s">
        <v>7</v>
      </c>
      <c r="EP937" s="27" t="s">
        <v>7</v>
      </c>
      <c r="ER937" s="27" t="s">
        <v>7</v>
      </c>
      <c r="ET937" s="27" t="s">
        <v>7</v>
      </c>
      <c r="EV937" s="27" t="s">
        <v>7</v>
      </c>
      <c r="EX937" s="27" t="s">
        <v>7</v>
      </c>
      <c r="EZ937" s="27" t="s">
        <v>7</v>
      </c>
      <c r="FB937" s="27" t="s">
        <v>7</v>
      </c>
      <c r="FD937" s="27" t="s">
        <v>7</v>
      </c>
      <c r="FF937" s="27" t="s">
        <v>7</v>
      </c>
      <c r="FH937" s="27" t="s">
        <v>7</v>
      </c>
      <c r="FJ937" s="27" t="s">
        <v>7</v>
      </c>
      <c r="FL937" s="27" t="s">
        <v>7</v>
      </c>
      <c r="FN937" s="27" t="s">
        <v>7</v>
      </c>
      <c r="FP937" s="27" t="s">
        <v>7</v>
      </c>
      <c r="FR937" s="27" t="s">
        <v>7</v>
      </c>
      <c r="FT937" s="27" t="s">
        <v>7</v>
      </c>
      <c r="FV937" s="27" t="s">
        <v>7</v>
      </c>
      <c r="FX937" s="27" t="s">
        <v>7</v>
      </c>
      <c r="FZ937" s="27" t="s">
        <v>7</v>
      </c>
      <c r="GB937" s="27" t="s">
        <v>7</v>
      </c>
      <c r="GD937" s="27" t="s">
        <v>7</v>
      </c>
      <c r="GF937" s="27" t="s">
        <v>7</v>
      </c>
      <c r="GH937" s="27" t="s">
        <v>7</v>
      </c>
      <c r="GJ937" s="27" t="s">
        <v>7</v>
      </c>
      <c r="GL937" s="27" t="s">
        <v>7</v>
      </c>
      <c r="GN937" s="27" t="s">
        <v>7</v>
      </c>
      <c r="GP937" s="27" t="s">
        <v>7</v>
      </c>
      <c r="GR937" s="27" t="s">
        <v>7</v>
      </c>
      <c r="GT937" s="27" t="s">
        <v>7</v>
      </c>
      <c r="GV937" s="27" t="s">
        <v>7</v>
      </c>
      <c r="GX937" s="27" t="s">
        <v>7</v>
      </c>
      <c r="GZ937" s="27" t="s">
        <v>7</v>
      </c>
      <c r="HB937" s="27" t="s">
        <v>7</v>
      </c>
      <c r="HD937" s="27" t="s">
        <v>7</v>
      </c>
      <c r="HF937" s="27" t="s">
        <v>7</v>
      </c>
      <c r="HH937" s="27" t="s">
        <v>7</v>
      </c>
      <c r="HJ937" s="27" t="s">
        <v>7</v>
      </c>
      <c r="HL937" s="27" t="s">
        <v>7</v>
      </c>
      <c r="HN937" s="27" t="s">
        <v>7</v>
      </c>
      <c r="HP937" s="27" t="s">
        <v>7</v>
      </c>
      <c r="HR937" s="27" t="s">
        <v>7</v>
      </c>
      <c r="HT937" s="27" t="s">
        <v>7</v>
      </c>
      <c r="HV937" s="27" t="s">
        <v>7</v>
      </c>
      <c r="HX937" s="27" t="s">
        <v>7</v>
      </c>
      <c r="HZ937" s="27" t="s">
        <v>7</v>
      </c>
      <c r="IB937" s="27" t="s">
        <v>7</v>
      </c>
      <c r="ID937" s="27" t="s">
        <v>7</v>
      </c>
      <c r="IF937" s="27" t="s">
        <v>7</v>
      </c>
      <c r="IH937" s="27" t="s">
        <v>7</v>
      </c>
      <c r="IJ937" s="27" t="s">
        <v>7</v>
      </c>
      <c r="IL937" s="27" t="s">
        <v>7</v>
      </c>
      <c r="IN937" s="27" t="s">
        <v>7</v>
      </c>
      <c r="IP937" s="27" t="s">
        <v>7</v>
      </c>
      <c r="IR937" s="27" t="s">
        <v>7</v>
      </c>
      <c r="IT937" s="27" t="s">
        <v>7</v>
      </c>
      <c r="IV937" s="27" t="s">
        <v>7</v>
      </c>
      <c r="IX937" s="27" t="s">
        <v>7</v>
      </c>
      <c r="IZ937" s="27" t="s">
        <v>7</v>
      </c>
      <c r="JB937" s="27" t="s">
        <v>7</v>
      </c>
      <c r="JD937" s="27" t="s">
        <v>7</v>
      </c>
      <c r="JF937" s="27" t="s">
        <v>7</v>
      </c>
      <c r="JH937" s="27" t="s">
        <v>7</v>
      </c>
      <c r="JJ937" s="27" t="s">
        <v>7</v>
      </c>
      <c r="JL937" s="27" t="s">
        <v>7</v>
      </c>
      <c r="JN937" s="27" t="s">
        <v>7</v>
      </c>
      <c r="JP937" s="27" t="s">
        <v>7</v>
      </c>
      <c r="JR937" s="27" t="s">
        <v>7</v>
      </c>
      <c r="JT937" s="27" t="s">
        <v>7</v>
      </c>
      <c r="JV937" s="27" t="s">
        <v>7</v>
      </c>
      <c r="JX937" s="27" t="s">
        <v>7</v>
      </c>
      <c r="JZ937" s="27" t="s">
        <v>7</v>
      </c>
      <c r="KB937" s="27" t="s">
        <v>7</v>
      </c>
      <c r="KD937" s="27" t="s">
        <v>7</v>
      </c>
      <c r="KF937" s="27" t="s">
        <v>7</v>
      </c>
      <c r="KH937" s="27" t="s">
        <v>7</v>
      </c>
      <c r="KJ937" s="27" t="s">
        <v>7</v>
      </c>
      <c r="KL937" s="27" t="s">
        <v>7</v>
      </c>
      <c r="KN937" s="27" t="s">
        <v>7</v>
      </c>
      <c r="KP937" s="27" t="s">
        <v>7</v>
      </c>
      <c r="KR937" s="27" t="s">
        <v>7</v>
      </c>
      <c r="KT937" s="27" t="s">
        <v>7</v>
      </c>
      <c r="KV937" s="27" t="s">
        <v>7</v>
      </c>
      <c r="KX937" s="27" t="s">
        <v>7</v>
      </c>
      <c r="KZ937" s="27" t="s">
        <v>7</v>
      </c>
      <c r="LB937" s="27" t="s">
        <v>7</v>
      </c>
      <c r="LD937" s="27" t="s">
        <v>7</v>
      </c>
      <c r="LF937" s="27" t="s">
        <v>7</v>
      </c>
      <c r="LH937" s="27" t="s">
        <v>7</v>
      </c>
      <c r="LJ937" s="27" t="s">
        <v>7</v>
      </c>
      <c r="LL937" s="27" t="s">
        <v>7</v>
      </c>
      <c r="LN937" s="27" t="s">
        <v>7</v>
      </c>
      <c r="LP937" s="27" t="s">
        <v>7</v>
      </c>
      <c r="LR937" s="27" t="s">
        <v>7</v>
      </c>
      <c r="LT937" s="27" t="s">
        <v>7</v>
      </c>
      <c r="LV937" s="27" t="s">
        <v>7</v>
      </c>
      <c r="LX937" s="27" t="s">
        <v>7</v>
      </c>
      <c r="LZ937" s="27" t="s">
        <v>7</v>
      </c>
      <c r="MB937" s="27" t="s">
        <v>7</v>
      </c>
      <c r="MD937" s="27" t="s">
        <v>7</v>
      </c>
      <c r="MF937" s="27" t="s">
        <v>7</v>
      </c>
      <c r="MH937" s="27" t="s">
        <v>7</v>
      </c>
      <c r="MJ937" s="27" t="s">
        <v>7</v>
      </c>
      <c r="ML937" s="27" t="s">
        <v>7</v>
      </c>
      <c r="MN937" s="27" t="s">
        <v>7</v>
      </c>
      <c r="MP937" s="27" t="s">
        <v>7</v>
      </c>
      <c r="MR937" s="27" t="s">
        <v>7</v>
      </c>
      <c r="MT937" s="27" t="s">
        <v>7</v>
      </c>
      <c r="MV937" s="27" t="s">
        <v>7</v>
      </c>
      <c r="OH937" s="27" t="s">
        <v>7</v>
      </c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40" zoomScale="90" zoomScaleNormal="90" workbookViewId="0">
      <pane xSplit="4" topLeftCell="AN1" activePane="topRight" state="frozen"/>
      <selection activeCell="A109" sqref="A109"/>
      <selection pane="topRight" activeCell="CW169" sqref="CW16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$A$168</v>
      </c>
      <c r="D111" s="1" t="str">
        <f>ADDRESS(C121-1,D121,1,1)</f>
        <v>$CW$168</v>
      </c>
      <c r="E111"/>
    </row>
    <row r="112" spans="1:5" x14ac:dyDescent="0.25">
      <c r="A112" s="30">
        <v>515.50191262726139</v>
      </c>
      <c r="C112" s="1" t="str">
        <f>ADDRESS(C121,1,1,1)</f>
        <v>$A$169</v>
      </c>
      <c r="D112" s="1" t="str">
        <f>ADDRESS(C121,D121-1,1,1)</f>
        <v>$CV$169</v>
      </c>
      <c r="E112"/>
    </row>
    <row r="113" spans="1:5" x14ac:dyDescent="0.25">
      <c r="A113" s="30">
        <v>490.95420250215363</v>
      </c>
      <c r="C113" s="1" t="str">
        <f>ADDRESS(C121+1,1,1,1)</f>
        <v>$A$170</v>
      </c>
      <c r="D113" s="1" t="str">
        <f>ADDRESS(C121-1,D121+1,1,1)</f>
        <v>$CX$168</v>
      </c>
    </row>
    <row r="114" spans="1:5" x14ac:dyDescent="0.25">
      <c r="A114" s="30">
        <v>467.57543095443202</v>
      </c>
      <c r="C114" s="1" t="str">
        <f>ADDRESS(C121,D121,1,1)</f>
        <v>$CW$169</v>
      </c>
      <c r="D114" s="1" t="str">
        <f>ADDRESS(C121+1,D121+1,1,1)</f>
        <v>$CX$170</v>
      </c>
    </row>
    <row r="115" spans="1:5" x14ac:dyDescent="0.25">
      <c r="A115" s="30">
        <v>445.30993424231622</v>
      </c>
      <c r="C115" s="1" t="str">
        <f>ADDRESS(C121+1,D121,1,1)</f>
        <v>$CW$170</v>
      </c>
    </row>
    <row r="116" spans="1:5" x14ac:dyDescent="0.25">
      <c r="A116" s="30">
        <v>424.10469927839637</v>
      </c>
      <c r="C116" s="1">
        <f>C117-1</f>
        <v>168</v>
      </c>
    </row>
    <row r="117" spans="1:5" x14ac:dyDescent="0.25">
      <c r="A117" s="30">
        <v>403.9092374079965</v>
      </c>
      <c r="C117" s="1">
        <f>C121</f>
        <v>169</v>
      </c>
      <c r="D117" s="1">
        <f>D121</f>
        <v>101</v>
      </c>
    </row>
    <row r="118" spans="1:5" x14ac:dyDescent="0.25">
      <c r="A118" s="30">
        <v>384.6754641980919</v>
      </c>
      <c r="C118" s="1">
        <f>C117+1</f>
        <v>170</v>
      </c>
      <c r="D118" s="1">
        <f>D117+1</f>
        <v>102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169</v>
      </c>
      <c r="D121" s="19">
        <v>101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R169</v>
      </c>
      <c r="D123" s="1" t="str">
        <f>"C"&amp;D121</f>
        <v>C101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31.947746812289637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95" x14ac:dyDescent="0.25">
      <c r="A145" s="30">
        <v>103.03467644609493</v>
      </c>
      <c r="E145"/>
    </row>
    <row r="146" spans="1:95" x14ac:dyDescent="0.25">
      <c r="A146" s="30">
        <v>98.128263281995174</v>
      </c>
      <c r="E146"/>
    </row>
    <row r="147" spans="1:95" x14ac:dyDescent="0.25">
      <c r="A147" s="30">
        <v>93.455488839995397</v>
      </c>
      <c r="E147"/>
    </row>
    <row r="148" spans="1:95" x14ac:dyDescent="0.25">
      <c r="A148" s="30">
        <v>89.005227466662276</v>
      </c>
      <c r="E148"/>
      <c r="CE148" s="27" t="s">
        <v>8</v>
      </c>
    </row>
    <row r="149" spans="1:95" x14ac:dyDescent="0.25">
      <c r="A149" s="30">
        <v>84.766883301583121</v>
      </c>
      <c r="E149"/>
      <c r="CE149" s="27" t="s">
        <v>8</v>
      </c>
      <c r="CF149" s="27" t="s">
        <v>7</v>
      </c>
    </row>
    <row r="150" spans="1:95" x14ac:dyDescent="0.25">
      <c r="A150" s="30">
        <v>80.730365049126775</v>
      </c>
      <c r="E150"/>
      <c r="CE150" s="27" t="s">
        <v>8</v>
      </c>
      <c r="CF150" s="27" t="s">
        <v>7</v>
      </c>
    </row>
    <row r="151" spans="1:95" x14ac:dyDescent="0.25">
      <c r="A151" s="30">
        <v>76.886061951549308</v>
      </c>
      <c r="E151"/>
      <c r="CC151" s="27" t="s">
        <v>8</v>
      </c>
      <c r="CE151" s="27" t="s">
        <v>8</v>
      </c>
      <c r="CF151" s="27" t="s">
        <v>7</v>
      </c>
      <c r="CK151" s="27" t="s">
        <v>8</v>
      </c>
    </row>
    <row r="152" spans="1:95" x14ac:dyDescent="0.25">
      <c r="A152" s="30">
        <v>73.22482090623744</v>
      </c>
      <c r="E152"/>
      <c r="CC152" s="27" t="s">
        <v>8</v>
      </c>
      <c r="CD152" s="27" t="s">
        <v>7</v>
      </c>
      <c r="CE152" s="27" t="s">
        <v>8</v>
      </c>
      <c r="CF152" s="27" t="s">
        <v>7</v>
      </c>
      <c r="CK152" s="27" t="s">
        <v>8</v>
      </c>
      <c r="CL152" s="27" t="s">
        <v>7</v>
      </c>
      <c r="CM152" s="27" t="s">
        <v>8</v>
      </c>
    </row>
    <row r="153" spans="1:95" x14ac:dyDescent="0.25">
      <c r="A153" s="30">
        <v>69.737924672607079</v>
      </c>
      <c r="C153" s="7"/>
      <c r="D153"/>
      <c r="E153"/>
      <c r="CA153" s="27" t="s">
        <v>8</v>
      </c>
      <c r="CC153" s="27" t="s">
        <v>8</v>
      </c>
      <c r="CD153" s="27" t="s">
        <v>7</v>
      </c>
      <c r="CE153" s="27" t="s">
        <v>8</v>
      </c>
      <c r="CF153" s="27" t="s">
        <v>7</v>
      </c>
      <c r="CG153" s="27" t="s">
        <v>8</v>
      </c>
      <c r="CK153" s="27" t="s">
        <v>8</v>
      </c>
      <c r="CL153" s="27" t="s">
        <v>7</v>
      </c>
      <c r="CM153" s="27" t="s">
        <v>8</v>
      </c>
      <c r="CN153" s="27" t="s">
        <v>7</v>
      </c>
    </row>
    <row r="154" spans="1:95" x14ac:dyDescent="0.25">
      <c r="A154" s="30">
        <v>66.417071116768639</v>
      </c>
      <c r="E154"/>
      <c r="CA154" s="27" t="s">
        <v>8</v>
      </c>
      <c r="CB154" s="27" t="s">
        <v>7</v>
      </c>
      <c r="CC154" s="27" t="s">
        <v>8</v>
      </c>
      <c r="CD154" s="27" t="s">
        <v>7</v>
      </c>
      <c r="CE154" s="27" t="s">
        <v>8</v>
      </c>
      <c r="CF154" s="27" t="s">
        <v>7</v>
      </c>
      <c r="CG154" s="27" t="s">
        <v>8</v>
      </c>
      <c r="CH154" s="27" t="s">
        <v>7</v>
      </c>
      <c r="CK154" s="27" t="s">
        <v>8</v>
      </c>
      <c r="CL154" s="27" t="s">
        <v>7</v>
      </c>
      <c r="CM154" s="27" t="s">
        <v>8</v>
      </c>
      <c r="CN154" s="27" t="s">
        <v>7</v>
      </c>
    </row>
    <row r="155" spans="1:95" x14ac:dyDescent="0.25">
      <c r="A155" s="30">
        <v>63.254353444541557</v>
      </c>
      <c r="E155"/>
      <c r="CA155" s="27" t="s">
        <v>8</v>
      </c>
      <c r="CB155" s="27" t="s">
        <v>7</v>
      </c>
      <c r="CC155" s="27" t="s">
        <v>8</v>
      </c>
      <c r="CD155" s="27" t="s">
        <v>7</v>
      </c>
      <c r="CF155" s="27" t="s">
        <v>7</v>
      </c>
      <c r="CG155" s="27" t="s">
        <v>8</v>
      </c>
      <c r="CH155" s="27" t="s">
        <v>7</v>
      </c>
      <c r="CK155" s="27" t="s">
        <v>8</v>
      </c>
      <c r="CL155" s="27" t="s">
        <v>7</v>
      </c>
      <c r="CM155" s="27" t="s">
        <v>8</v>
      </c>
      <c r="CN155" s="27" t="s">
        <v>7</v>
      </c>
    </row>
    <row r="156" spans="1:95" x14ac:dyDescent="0.25">
      <c r="A156" s="30">
        <v>60.242241375753864</v>
      </c>
      <c r="C156"/>
      <c r="D156"/>
      <c r="E156"/>
      <c r="BY156" s="27" t="s">
        <v>8</v>
      </c>
      <c r="CA156" s="27" t="s">
        <v>8</v>
      </c>
      <c r="CB156" s="27" t="s">
        <v>7</v>
      </c>
      <c r="CF156" s="27" t="s">
        <v>7</v>
      </c>
      <c r="CH156" s="27" t="s">
        <v>7</v>
      </c>
      <c r="CK156" s="27" t="s">
        <v>8</v>
      </c>
      <c r="CL156" s="27" t="s">
        <v>7</v>
      </c>
      <c r="CN156" s="27" t="s">
        <v>7</v>
      </c>
    </row>
    <row r="157" spans="1:95" x14ac:dyDescent="0.25">
      <c r="A157" s="30">
        <v>57.373563215003678</v>
      </c>
      <c r="E157"/>
      <c r="BY157" s="27" t="s">
        <v>8</v>
      </c>
      <c r="BZ157" s="27" t="s">
        <v>7</v>
      </c>
      <c r="CA157" s="27" t="s">
        <v>8</v>
      </c>
      <c r="CH157" s="27" t="s">
        <v>7</v>
      </c>
      <c r="CI157" s="27" t="s">
        <v>8</v>
      </c>
      <c r="CK157" s="27" t="s">
        <v>8</v>
      </c>
      <c r="CN157" s="27" t="s">
        <v>7</v>
      </c>
    </row>
    <row r="158" spans="1:95" x14ac:dyDescent="0.25">
      <c r="A158" s="30">
        <v>54.641488776193974</v>
      </c>
      <c r="E158"/>
      <c r="BY158" s="27" t="s">
        <v>8</v>
      </c>
      <c r="BZ158" s="27" t="s">
        <v>7</v>
      </c>
      <c r="CA158" s="27" t="s">
        <v>8</v>
      </c>
      <c r="CH158" s="27" t="s">
        <v>7</v>
      </c>
      <c r="CI158" s="27" t="s">
        <v>8</v>
      </c>
      <c r="CJ158" s="27" t="s">
        <v>7</v>
      </c>
      <c r="CK158" s="27" t="s">
        <v>8</v>
      </c>
      <c r="CN158" s="27" t="s">
        <v>7</v>
      </c>
    </row>
    <row r="159" spans="1:95" x14ac:dyDescent="0.25">
      <c r="A159" s="30">
        <v>52.039513120184736</v>
      </c>
      <c r="E159"/>
      <c r="BY159" s="27" t="s">
        <v>8</v>
      </c>
      <c r="BZ159" s="27" t="s">
        <v>7</v>
      </c>
      <c r="CH159" s="27" t="s">
        <v>7</v>
      </c>
      <c r="CI159" s="27" t="s">
        <v>8</v>
      </c>
      <c r="CJ159" s="27" t="s">
        <v>7</v>
      </c>
      <c r="CK159" s="27" t="s">
        <v>8</v>
      </c>
      <c r="CN159" s="27" t="s">
        <v>7</v>
      </c>
    </row>
    <row r="160" spans="1:95" x14ac:dyDescent="0.25">
      <c r="A160" s="30">
        <v>49.561441066842605</v>
      </c>
      <c r="C160"/>
      <c r="E160"/>
      <c r="BY160" s="27" t="s">
        <v>8</v>
      </c>
      <c r="CH160" s="27" t="s">
        <v>7</v>
      </c>
      <c r="CJ160" s="27" t="s">
        <v>7</v>
      </c>
      <c r="CN160" s="27" t="s">
        <v>7</v>
      </c>
      <c r="CO160" s="27" t="s">
        <v>8</v>
      </c>
      <c r="CQ160" s="27" t="s">
        <v>8</v>
      </c>
    </row>
    <row r="161" spans="1:101" x14ac:dyDescent="0.25">
      <c r="A161" s="30">
        <v>47.201372444612005</v>
      </c>
      <c r="E161"/>
      <c r="BY161" s="27" t="s">
        <v>8</v>
      </c>
      <c r="CN161" s="27" t="s">
        <v>7</v>
      </c>
      <c r="CO161" s="27" t="s">
        <v>8</v>
      </c>
      <c r="CP161" s="27" t="s">
        <v>7</v>
      </c>
      <c r="CQ161" s="27" t="s">
        <v>8</v>
      </c>
      <c r="CR161" s="27" t="s">
        <v>7</v>
      </c>
      <c r="CS161" s="27" t="s">
        <v>8</v>
      </c>
    </row>
    <row r="162" spans="1:101" x14ac:dyDescent="0.25">
      <c r="A162" s="30">
        <v>44.95368804248762</v>
      </c>
      <c r="E162"/>
      <c r="BY162" s="27" t="s">
        <v>8</v>
      </c>
      <c r="CN162" s="27" t="s">
        <v>7</v>
      </c>
      <c r="CO162" s="27" t="s">
        <v>8</v>
      </c>
      <c r="CP162" s="27" t="s">
        <v>7</v>
      </c>
      <c r="CQ162" s="27" t="s">
        <v>8</v>
      </c>
      <c r="CR162" s="27" t="s">
        <v>7</v>
      </c>
      <c r="CS162" s="27" t="s">
        <v>8</v>
      </c>
      <c r="CT162" s="27" t="s">
        <v>7</v>
      </c>
    </row>
    <row r="163" spans="1:101" x14ac:dyDescent="0.25">
      <c r="A163" s="30">
        <v>42.81303623094059</v>
      </c>
      <c r="E163"/>
      <c r="BY163" s="27" t="s">
        <v>8</v>
      </c>
      <c r="CN163" s="27" t="s">
        <v>7</v>
      </c>
      <c r="CO163" s="27" t="s">
        <v>8</v>
      </c>
      <c r="CP163" s="27" t="s">
        <v>7</v>
      </c>
      <c r="CR163" s="27" t="s">
        <v>7</v>
      </c>
      <c r="CS163" s="27" t="s">
        <v>8</v>
      </c>
      <c r="CT163" s="27" t="s">
        <v>7</v>
      </c>
    </row>
    <row r="164" spans="1:101" x14ac:dyDescent="0.25">
      <c r="A164" s="30">
        <v>40.774320219943419</v>
      </c>
      <c r="E164"/>
      <c r="BY164" s="27" t="s">
        <v>8</v>
      </c>
      <c r="CN164" s="27" t="s">
        <v>7</v>
      </c>
      <c r="CO164" s="27" t="s">
        <v>8</v>
      </c>
      <c r="CR164" s="27" t="s">
        <v>7</v>
      </c>
      <c r="CT164" s="27" t="s">
        <v>7</v>
      </c>
    </row>
    <row r="165" spans="1:101" x14ac:dyDescent="0.25">
      <c r="A165" s="30">
        <v>38.832685923755633</v>
      </c>
      <c r="E165"/>
      <c r="BY165" s="27" t="s">
        <v>8</v>
      </c>
      <c r="CN165" s="27" t="s">
        <v>7</v>
      </c>
      <c r="CO165" s="27" t="s">
        <v>8</v>
      </c>
      <c r="CT165" s="27" t="s">
        <v>7</v>
      </c>
      <c r="CU165" s="27" t="s">
        <v>8</v>
      </c>
    </row>
    <row r="166" spans="1:101" x14ac:dyDescent="0.25">
      <c r="A166" s="30">
        <v>36.983510403576794</v>
      </c>
      <c r="E166"/>
      <c r="BY166" s="27" t="s">
        <v>8</v>
      </c>
      <c r="CN166" s="27" t="s">
        <v>7</v>
      </c>
      <c r="CO166" s="27" t="s">
        <v>8</v>
      </c>
      <c r="CT166" s="27" t="s">
        <v>7</v>
      </c>
      <c r="CU166" s="27" t="s">
        <v>8</v>
      </c>
      <c r="CV166" s="27" t="s">
        <v>7</v>
      </c>
    </row>
    <row r="167" spans="1:101" x14ac:dyDescent="0.25">
      <c r="A167" s="30">
        <v>35.222390860549325</v>
      </c>
      <c r="E167"/>
      <c r="BY167" s="27" t="s">
        <v>8</v>
      </c>
      <c r="CN167" s="27" t="s">
        <v>7</v>
      </c>
      <c r="CO167" s="27" t="s">
        <v>8</v>
      </c>
      <c r="CT167" s="27" t="s">
        <v>7</v>
      </c>
      <c r="CU167" s="27" t="s">
        <v>8</v>
      </c>
      <c r="CV167" s="27" t="s">
        <v>7</v>
      </c>
    </row>
    <row r="168" spans="1:101" x14ac:dyDescent="0.25">
      <c r="A168" s="30">
        <v>33.545134152904119</v>
      </c>
      <c r="E168"/>
      <c r="BY168" s="27" t="s">
        <v>8</v>
      </c>
      <c r="CN168" s="27" t="s">
        <v>7</v>
      </c>
      <c r="CT168" s="27" t="s">
        <v>7</v>
      </c>
      <c r="CV168" s="27" t="s">
        <v>7</v>
      </c>
    </row>
    <row r="169" spans="1:101" x14ac:dyDescent="0.25">
      <c r="A169" s="30">
        <v>31.947746812289637</v>
      </c>
      <c r="E169"/>
      <c r="BY169" s="27" t="s">
        <v>8</v>
      </c>
      <c r="CV169" s="27" t="s">
        <v>7</v>
      </c>
      <c r="CW169" s="27" t="s">
        <v>8</v>
      </c>
    </row>
    <row r="170" spans="1:101" x14ac:dyDescent="0.25">
      <c r="A170" s="30">
        <v>30.426425535513939</v>
      </c>
      <c r="E170"/>
      <c r="BY170" s="27" t="s">
        <v>8</v>
      </c>
      <c r="CV170" s="27" t="s">
        <v>7</v>
      </c>
      <c r="CW170" s="27" t="s">
        <v>8</v>
      </c>
    </row>
    <row r="171" spans="1:101" x14ac:dyDescent="0.25">
      <c r="A171" s="30">
        <v>28.977548129060892</v>
      </c>
      <c r="E171"/>
      <c r="BY171" s="27" t="s">
        <v>8</v>
      </c>
      <c r="CV171" s="27" t="s">
        <v>7</v>
      </c>
      <c r="CW171" s="27" t="s">
        <v>8</v>
      </c>
    </row>
    <row r="172" spans="1:101" x14ac:dyDescent="0.25">
      <c r="A172" s="30">
        <v>27.597664884819896</v>
      </c>
      <c r="E172"/>
      <c r="BY172" s="27" t="s">
        <v>8</v>
      </c>
      <c r="CV172" s="27" t="s">
        <v>7</v>
      </c>
      <c r="CW172" s="27" t="s">
        <v>8</v>
      </c>
    </row>
    <row r="173" spans="1:101" x14ac:dyDescent="0.25">
      <c r="A173" s="30">
        <v>26.283490366495137</v>
      </c>
      <c r="E173"/>
      <c r="BY173" s="27" t="s">
        <v>8</v>
      </c>
      <c r="CV173" s="27" t="s">
        <v>7</v>
      </c>
    </row>
    <row r="174" spans="1:101" x14ac:dyDescent="0.25">
      <c r="A174" s="30">
        <v>25.031895587138223</v>
      </c>
      <c r="E174"/>
      <c r="BY174" s="27" t="s">
        <v>8</v>
      </c>
    </row>
    <row r="175" spans="1:101" x14ac:dyDescent="0.25">
      <c r="A175" s="30">
        <v>23.839900559179259</v>
      </c>
      <c r="E175"/>
      <c r="BY175" s="27" t="s">
        <v>8</v>
      </c>
    </row>
    <row r="176" spans="1:101" x14ac:dyDescent="0.25">
      <c r="A176" s="30">
        <v>22.704667199218342</v>
      </c>
      <c r="E176"/>
      <c r="BY176" s="27" t="s">
        <v>8</v>
      </c>
    </row>
    <row r="177" spans="1:77" x14ac:dyDescent="0.25">
      <c r="A177" s="30">
        <v>21.623492570684135</v>
      </c>
      <c r="E177"/>
      <c r="BY177" s="27" t="s">
        <v>8</v>
      </c>
    </row>
    <row r="178" spans="1:77" x14ac:dyDescent="0.25">
      <c r="A178" s="30">
        <v>20.593802448270605</v>
      </c>
      <c r="C178" s="7"/>
      <c r="D178"/>
      <c r="E178"/>
      <c r="BY178" s="27" t="s">
        <v>8</v>
      </c>
    </row>
    <row r="179" spans="1:77" x14ac:dyDescent="0.25">
      <c r="A179" s="30">
        <v>19.613145188829147</v>
      </c>
      <c r="E179"/>
      <c r="BY179" s="27" t="s">
        <v>8</v>
      </c>
    </row>
    <row r="180" spans="1:77" x14ac:dyDescent="0.25">
      <c r="A180" s="30">
        <v>18.679185894122998</v>
      </c>
      <c r="E180"/>
      <c r="BY180" s="27" t="s">
        <v>8</v>
      </c>
    </row>
    <row r="181" spans="1:77" x14ac:dyDescent="0.25">
      <c r="A181" s="30">
        <v>17.78970085154571</v>
      </c>
      <c r="C181"/>
      <c r="D181"/>
      <c r="E181"/>
      <c r="BY181" s="27" t="s">
        <v>8</v>
      </c>
    </row>
    <row r="182" spans="1:77" x14ac:dyDescent="0.25">
      <c r="A182" s="30">
        <v>16.942572239567344</v>
      </c>
      <c r="E182"/>
      <c r="BY182" s="27" t="s">
        <v>8</v>
      </c>
    </row>
    <row r="183" spans="1:77" x14ac:dyDescent="0.25">
      <c r="A183" s="30">
        <v>16.135783085302233</v>
      </c>
      <c r="E183"/>
      <c r="BY183" s="27" t="s">
        <v>8</v>
      </c>
    </row>
    <row r="184" spans="1:77" x14ac:dyDescent="0.25">
      <c r="A184" s="30">
        <v>15.367412462192602</v>
      </c>
      <c r="E184"/>
      <c r="BY184" s="27" t="s">
        <v>8</v>
      </c>
    </row>
    <row r="185" spans="1:77" x14ac:dyDescent="0.25">
      <c r="A185" s="30">
        <v>14.635630916373906</v>
      </c>
      <c r="C185"/>
      <c r="E185"/>
      <c r="BY185" s="27" t="s">
        <v>8</v>
      </c>
    </row>
    <row r="186" spans="1:77" x14ac:dyDescent="0.25">
      <c r="A186" s="30">
        <v>13.938696110832291</v>
      </c>
      <c r="E186"/>
      <c r="BY186" s="27" t="s">
        <v>8</v>
      </c>
    </row>
    <row r="187" spans="1:77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BY187" s="27" t="s">
        <v>8</v>
      </c>
    </row>
    <row r="188" spans="1:77" x14ac:dyDescent="0.25">
      <c r="A188" s="30">
        <v>12.64280826379346</v>
      </c>
      <c r="E188"/>
      <c r="BY188" s="27" t="s">
        <v>8</v>
      </c>
    </row>
    <row r="189" spans="1:77" x14ac:dyDescent="0.25">
      <c r="A189" s="30">
        <v>12.04076977504139</v>
      </c>
      <c r="E189"/>
      <c r="BY189" s="27" t="s">
        <v>8</v>
      </c>
    </row>
    <row r="190" spans="1:77" x14ac:dyDescent="0.25">
      <c r="A190" s="30">
        <v>11.467399785753704</v>
      </c>
      <c r="E190"/>
      <c r="BY190" s="27" t="s">
        <v>8</v>
      </c>
    </row>
    <row r="191" spans="1:77" x14ac:dyDescent="0.25">
      <c r="A191" s="30">
        <v>10.921333129289241</v>
      </c>
      <c r="E191"/>
      <c r="BY191" s="27" t="s">
        <v>8</v>
      </c>
    </row>
    <row r="192" spans="1:77" x14ac:dyDescent="0.25">
      <c r="A192" s="30">
        <v>10.401269646942135</v>
      </c>
      <c r="E192"/>
      <c r="BY192" s="27" t="s">
        <v>8</v>
      </c>
    </row>
    <row r="193" spans="1:77" x14ac:dyDescent="0.25">
      <c r="A193" s="30">
        <v>9.9059710923258422</v>
      </c>
      <c r="E193"/>
      <c r="BY193" s="27" t="s">
        <v>8</v>
      </c>
    </row>
    <row r="194" spans="1:77" x14ac:dyDescent="0.25">
      <c r="A194" s="30">
        <v>9.4342581831674686</v>
      </c>
      <c r="E194"/>
      <c r="BY194" s="27" t="s">
        <v>8</v>
      </c>
    </row>
    <row r="195" spans="1:77" x14ac:dyDescent="0.25">
      <c r="A195" s="30">
        <v>8.9850077934928265</v>
      </c>
      <c r="E195"/>
      <c r="BY195" s="27" t="s">
        <v>8</v>
      </c>
    </row>
    <row r="196" spans="1:77" x14ac:dyDescent="0.25">
      <c r="A196" s="30">
        <v>8.5571502795169767</v>
      </c>
      <c r="E196"/>
      <c r="BY196" s="27" t="s">
        <v>8</v>
      </c>
    </row>
    <row r="197" spans="1:77" x14ac:dyDescent="0.25">
      <c r="A197" s="30">
        <v>8.1496669328733109</v>
      </c>
      <c r="E197"/>
      <c r="BY197" s="27" t="s">
        <v>8</v>
      </c>
    </row>
    <row r="198" spans="1:77" x14ac:dyDescent="0.25">
      <c r="A198" s="30">
        <v>7.7615875551174378</v>
      </c>
      <c r="E198"/>
      <c r="BY198" s="27" t="s">
        <v>8</v>
      </c>
    </row>
    <row r="199" spans="1:77" x14ac:dyDescent="0.25">
      <c r="A199" s="30">
        <v>7.3919881477308929</v>
      </c>
      <c r="E199"/>
      <c r="BY199" s="27" t="s">
        <v>8</v>
      </c>
    </row>
    <row r="200" spans="1:77" x14ac:dyDescent="0.25">
      <c r="A200" s="30">
        <v>7.0399887121246598</v>
      </c>
      <c r="E200"/>
      <c r="BY200" s="27" t="s">
        <v>8</v>
      </c>
    </row>
    <row r="201" spans="1:77" x14ac:dyDescent="0.25">
      <c r="A201" s="30">
        <v>6.7047511544044376</v>
      </c>
      <c r="E201"/>
      <c r="BY201" s="27" t="s">
        <v>8</v>
      </c>
    </row>
    <row r="202" spans="1:77" x14ac:dyDescent="0.25">
      <c r="A202" s="30">
        <v>6.3854772899089882</v>
      </c>
      <c r="E202"/>
      <c r="BY202" s="27" t="s">
        <v>8</v>
      </c>
    </row>
    <row r="203" spans="1:77" x14ac:dyDescent="0.25">
      <c r="A203" s="30">
        <v>6.0814069427704647</v>
      </c>
      <c r="C203" s="7"/>
      <c r="D203"/>
      <c r="E203"/>
      <c r="BY203" s="27" t="s">
        <v>8</v>
      </c>
    </row>
    <row r="204" spans="1:77" x14ac:dyDescent="0.25">
      <c r="A204" s="30">
        <v>5.7918161359718709</v>
      </c>
      <c r="E204"/>
      <c r="BY204" s="27" t="s">
        <v>8</v>
      </c>
    </row>
    <row r="205" spans="1:77" x14ac:dyDescent="0.25">
      <c r="A205" s="30">
        <v>5.5160153675922574</v>
      </c>
      <c r="E205"/>
      <c r="BY205" s="27" t="s">
        <v>8</v>
      </c>
    </row>
    <row r="206" spans="1:77" x14ac:dyDescent="0.25">
      <c r="A206" s="30">
        <v>5.2533479691354827</v>
      </c>
      <c r="C206"/>
      <c r="D206"/>
      <c r="E206"/>
      <c r="BY206" s="27" t="s">
        <v>8</v>
      </c>
    </row>
    <row r="207" spans="1:77" x14ac:dyDescent="0.25">
      <c r="A207" s="30">
        <v>5.0031885420337927</v>
      </c>
      <c r="E207"/>
      <c r="BY207" s="27" t="s">
        <v>8</v>
      </c>
    </row>
    <row r="208" spans="1:77" x14ac:dyDescent="0.25">
      <c r="A208" s="30">
        <v>4.7649414686036122</v>
      </c>
      <c r="E208"/>
      <c r="BY208" s="27" t="s">
        <v>8</v>
      </c>
    </row>
    <row r="209" spans="1:77" x14ac:dyDescent="0.25">
      <c r="A209" s="30">
        <v>4.5380394939082018</v>
      </c>
      <c r="E209"/>
      <c r="BY209" s="27" t="s">
        <v>8</v>
      </c>
    </row>
    <row r="210" spans="1:77" x14ac:dyDescent="0.25">
      <c r="A210" s="30">
        <v>4.3219423751506678</v>
      </c>
      <c r="C210"/>
      <c r="E210"/>
      <c r="BY210" s="27" t="s">
        <v>8</v>
      </c>
    </row>
    <row r="211" spans="1:77" x14ac:dyDescent="0.25">
      <c r="A211" s="30">
        <v>4.1161355953815884</v>
      </c>
      <c r="E211"/>
      <c r="BY211" s="27" t="s">
        <v>8</v>
      </c>
    </row>
    <row r="212" spans="1:77" x14ac:dyDescent="0.25">
      <c r="A212" s="30">
        <v>3.9201291384586554</v>
      </c>
      <c r="E212"/>
      <c r="BY212" s="27" t="s">
        <v>8</v>
      </c>
    </row>
    <row r="213" spans="1:77" x14ac:dyDescent="0.25">
      <c r="A213" s="30">
        <v>3.7334563223415764</v>
      </c>
      <c r="E213"/>
      <c r="BY213" s="27" t="s">
        <v>8</v>
      </c>
    </row>
    <row r="214" spans="1:77" x14ac:dyDescent="0.25">
      <c r="A214" s="30">
        <v>3.5556726879443583</v>
      </c>
      <c r="E214"/>
      <c r="BY214" s="27" t="s">
        <v>8</v>
      </c>
    </row>
    <row r="215" spans="1:77" x14ac:dyDescent="0.25">
      <c r="A215" s="30">
        <v>3.3863549408993889</v>
      </c>
      <c r="E215"/>
      <c r="BY215" s="27" t="s">
        <v>8</v>
      </c>
    </row>
    <row r="216" spans="1:77" x14ac:dyDescent="0.25">
      <c r="A216" s="30">
        <v>3.2250999437137038</v>
      </c>
      <c r="E216"/>
      <c r="BY216" s="27" t="s">
        <v>8</v>
      </c>
    </row>
    <row r="217" spans="1:77" x14ac:dyDescent="0.25">
      <c r="A217" s="30">
        <v>3.0715237559178128</v>
      </c>
      <c r="E217"/>
      <c r="BY217" s="27" t="s">
        <v>8</v>
      </c>
    </row>
    <row r="218" spans="1:77" x14ac:dyDescent="0.25">
      <c r="A218" s="30">
        <v>2.9252607199217264</v>
      </c>
      <c r="E218"/>
      <c r="BY218" s="27" t="s">
        <v>8</v>
      </c>
    </row>
    <row r="219" spans="1:77" x14ac:dyDescent="0.25">
      <c r="A219" s="30">
        <v>2.7859625904016441</v>
      </c>
      <c r="E219"/>
      <c r="BY219" s="27" t="s">
        <v>8</v>
      </c>
    </row>
    <row r="220" spans="1:77" x14ac:dyDescent="0.25">
      <c r="A220" s="30">
        <v>2.6532977051444226</v>
      </c>
      <c r="E220"/>
      <c r="BY220" s="27" t="s">
        <v>8</v>
      </c>
    </row>
    <row r="221" spans="1:77" x14ac:dyDescent="0.25">
      <c r="A221" s="30">
        <v>2.5269501953756404</v>
      </c>
      <c r="E221"/>
      <c r="BY221" s="27" t="s">
        <v>8</v>
      </c>
    </row>
    <row r="222" spans="1:77" x14ac:dyDescent="0.25">
      <c r="A222" s="30">
        <v>2.4066192336910861</v>
      </c>
      <c r="E222"/>
      <c r="BY222" s="27" t="s">
        <v>8</v>
      </c>
    </row>
    <row r="223" spans="1:77" x14ac:dyDescent="0.25">
      <c r="A223" s="30">
        <v>2.2920183178010345</v>
      </c>
      <c r="E223"/>
      <c r="BY223" s="27" t="s">
        <v>8</v>
      </c>
    </row>
    <row r="224" spans="1:77" x14ac:dyDescent="0.25">
      <c r="A224" s="30">
        <v>2.1828745883819374</v>
      </c>
      <c r="E224"/>
      <c r="BY224" s="27" t="s">
        <v>8</v>
      </c>
    </row>
    <row r="225" spans="1:77" x14ac:dyDescent="0.25">
      <c r="A225" s="30">
        <v>2.0789281794113688</v>
      </c>
      <c r="E225"/>
      <c r="BY225" s="27" t="s">
        <v>8</v>
      </c>
    </row>
    <row r="226" spans="1:77" x14ac:dyDescent="0.25">
      <c r="A226" s="30">
        <v>1.9799315994393987</v>
      </c>
      <c r="E226"/>
      <c r="BY226" s="27" t="s">
        <v>8</v>
      </c>
    </row>
    <row r="227" spans="1:77" x14ac:dyDescent="0.25">
      <c r="A227" s="30">
        <v>1.8856491423232367</v>
      </c>
      <c r="E227"/>
      <c r="BY227" s="27" t="s">
        <v>8</v>
      </c>
    </row>
    <row r="228" spans="1:77" x14ac:dyDescent="0.25">
      <c r="A228" s="30">
        <v>1.7958563260221301</v>
      </c>
      <c r="C228" s="7"/>
      <c r="D228"/>
      <c r="E228"/>
      <c r="BY228" s="27" t="s">
        <v>8</v>
      </c>
    </row>
    <row r="229" spans="1:77" x14ac:dyDescent="0.25">
      <c r="A229" s="30">
        <v>1.7103393581163142</v>
      </c>
      <c r="E229"/>
      <c r="BY229" s="27" t="s">
        <v>8</v>
      </c>
    </row>
    <row r="230" spans="1:77" x14ac:dyDescent="0.25">
      <c r="A230" s="30">
        <v>1.628894626777442</v>
      </c>
      <c r="E230"/>
      <c r="BY230" s="27" t="s">
        <v>8</v>
      </c>
    </row>
    <row r="231" spans="1:77" x14ac:dyDescent="0.25">
      <c r="A231" s="30">
        <v>1.5513282159785162</v>
      </c>
      <c r="C231"/>
      <c r="D231"/>
      <c r="E231"/>
      <c r="BY231" s="27" t="s">
        <v>8</v>
      </c>
    </row>
    <row r="232" spans="1:77" x14ac:dyDescent="0.25">
      <c r="A232" s="30">
        <v>1.477455443789063</v>
      </c>
      <c r="E232"/>
      <c r="BY232" s="27" t="s">
        <v>8</v>
      </c>
    </row>
    <row r="233" spans="1:77" x14ac:dyDescent="0.25">
      <c r="A233" s="30">
        <v>1.4071004226562505</v>
      </c>
      <c r="E233"/>
      <c r="BY233" s="27" t="s">
        <v>8</v>
      </c>
    </row>
    <row r="234" spans="1:77" x14ac:dyDescent="0.25">
      <c r="A234" s="30">
        <v>1.3400956406250004</v>
      </c>
      <c r="E234"/>
      <c r="BY234" s="27" t="s">
        <v>8</v>
      </c>
    </row>
    <row r="235" spans="1:77" x14ac:dyDescent="0.25">
      <c r="A235" s="30">
        <v>1.2762815625000004</v>
      </c>
      <c r="C235"/>
      <c r="E235"/>
      <c r="BY235" s="27" t="s">
        <v>8</v>
      </c>
    </row>
    <row r="236" spans="1:77" x14ac:dyDescent="0.25">
      <c r="A236" s="30">
        <v>1.2155062500000002</v>
      </c>
      <c r="E236"/>
      <c r="BY236" s="27" t="s">
        <v>8</v>
      </c>
    </row>
    <row r="237" spans="1:77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Y237" s="27" t="s">
        <v>8</v>
      </c>
    </row>
    <row r="238" spans="1:77" x14ac:dyDescent="0.25">
      <c r="A238" s="30">
        <v>1.1025</v>
      </c>
      <c r="E238"/>
      <c r="BY238" s="27" t="s">
        <v>8</v>
      </c>
    </row>
    <row r="239" spans="1:77" x14ac:dyDescent="0.25">
      <c r="A239" s="30">
        <v>1.05</v>
      </c>
      <c r="E239"/>
      <c r="BY239" s="27" t="s">
        <v>8</v>
      </c>
    </row>
    <row r="240" spans="1:77" x14ac:dyDescent="0.25">
      <c r="A240" s="30">
        <v>1</v>
      </c>
      <c r="E240" s="29" t="s">
        <v>8</v>
      </c>
      <c r="BY240" s="27" t="s">
        <v>8</v>
      </c>
    </row>
    <row r="241" spans="1:77" x14ac:dyDescent="0.25">
      <c r="A241" s="30">
        <v>0.952380952380952</v>
      </c>
      <c r="B241"/>
      <c r="C241"/>
      <c r="D241"/>
      <c r="E241"/>
      <c r="F241" s="27" t="s">
        <v>7</v>
      </c>
      <c r="BY241" s="27" t="s">
        <v>8</v>
      </c>
    </row>
    <row r="242" spans="1:77" x14ac:dyDescent="0.25">
      <c r="A242" s="30">
        <v>0.90702947845804915</v>
      </c>
      <c r="B242"/>
      <c r="C242"/>
      <c r="D242"/>
      <c r="E242"/>
      <c r="F242" s="27" t="s">
        <v>7</v>
      </c>
      <c r="BY242" s="27" t="s">
        <v>8</v>
      </c>
    </row>
    <row r="243" spans="1:77" x14ac:dyDescent="0.25">
      <c r="A243" s="30">
        <v>0.86383759853147501</v>
      </c>
      <c r="B243"/>
      <c r="C243"/>
      <c r="D243"/>
      <c r="E243"/>
      <c r="F243" s="27" t="s">
        <v>7</v>
      </c>
      <c r="BY243" s="27" t="s">
        <v>8</v>
      </c>
    </row>
    <row r="244" spans="1:77" x14ac:dyDescent="0.25">
      <c r="A244" s="30">
        <v>0.82270247479188063</v>
      </c>
      <c r="B244"/>
      <c r="C244"/>
      <c r="D244"/>
      <c r="E244"/>
      <c r="F244" s="27" t="s">
        <v>7</v>
      </c>
      <c r="BY244" s="27" t="s">
        <v>8</v>
      </c>
    </row>
    <row r="245" spans="1:77" x14ac:dyDescent="0.25">
      <c r="A245" s="30">
        <v>0.78352616646845741</v>
      </c>
      <c r="B245"/>
      <c r="C245"/>
      <c r="D245"/>
      <c r="E245"/>
      <c r="F245" s="27" t="s">
        <v>7</v>
      </c>
      <c r="BY245" s="27" t="s">
        <v>8</v>
      </c>
    </row>
    <row r="246" spans="1:77" x14ac:dyDescent="0.25">
      <c r="A246" s="30">
        <v>0.74621539663662584</v>
      </c>
      <c r="B246"/>
      <c r="C246"/>
      <c r="D246"/>
      <c r="E246"/>
      <c r="F246" s="27" t="s">
        <v>7</v>
      </c>
      <c r="BY246" s="27" t="s">
        <v>8</v>
      </c>
    </row>
    <row r="247" spans="1:77" x14ac:dyDescent="0.25">
      <c r="A247" s="30">
        <v>0.71068133013011958</v>
      </c>
      <c r="B247"/>
      <c r="C247"/>
      <c r="D247"/>
      <c r="E247"/>
      <c r="F247" s="27" t="s">
        <v>7</v>
      </c>
      <c r="BY247" s="27" t="s">
        <v>8</v>
      </c>
    </row>
    <row r="248" spans="1:77" x14ac:dyDescent="0.25">
      <c r="A248" s="30">
        <v>0.676839362028685</v>
      </c>
      <c r="B248"/>
      <c r="C248"/>
      <c r="D248"/>
      <c r="E248"/>
      <c r="F248" s="27" t="s">
        <v>7</v>
      </c>
      <c r="BY248" s="27" t="s">
        <v>8</v>
      </c>
    </row>
    <row r="249" spans="1:77" x14ac:dyDescent="0.25">
      <c r="A249" s="30">
        <v>0.64460891621779492</v>
      </c>
      <c r="B249"/>
      <c r="C249"/>
      <c r="D249"/>
      <c r="E249"/>
      <c r="F249" s="27" t="s">
        <v>7</v>
      </c>
      <c r="BY249" s="27" t="s">
        <v>8</v>
      </c>
    </row>
    <row r="250" spans="1:77" x14ac:dyDescent="0.25">
      <c r="A250" s="30">
        <v>0.61391325354075688</v>
      </c>
      <c r="B250"/>
      <c r="C250"/>
      <c r="D250"/>
      <c r="E250"/>
      <c r="F250" s="27" t="s">
        <v>7</v>
      </c>
      <c r="BY250" s="27" t="s">
        <v>8</v>
      </c>
    </row>
    <row r="251" spans="1:77" x14ac:dyDescent="0.25">
      <c r="A251" s="30">
        <v>0.58467928908643485</v>
      </c>
      <c r="B251"/>
      <c r="C251"/>
      <c r="D251"/>
      <c r="E251"/>
      <c r="F251" s="27" t="s">
        <v>7</v>
      </c>
      <c r="BY251" s="27" t="s">
        <v>8</v>
      </c>
    </row>
    <row r="252" spans="1:77" x14ac:dyDescent="0.25">
      <c r="A252" s="30">
        <v>0.55683741817755672</v>
      </c>
      <c r="B252"/>
      <c r="C252"/>
      <c r="D252"/>
      <c r="E252"/>
      <c r="F252" s="27" t="s">
        <v>7</v>
      </c>
      <c r="BY252" s="27" t="s">
        <v>8</v>
      </c>
    </row>
    <row r="253" spans="1:77" x14ac:dyDescent="0.25">
      <c r="A253" s="30">
        <v>0.53032135064529184</v>
      </c>
      <c r="B253"/>
      <c r="C253"/>
      <c r="D253"/>
      <c r="E253"/>
      <c r="F253" s="27" t="s">
        <v>7</v>
      </c>
      <c r="BY253" s="27" t="s">
        <v>8</v>
      </c>
    </row>
    <row r="254" spans="1:77" x14ac:dyDescent="0.25">
      <c r="A254" s="30">
        <v>0.50506795299551588</v>
      </c>
      <c r="B254"/>
      <c r="C254"/>
      <c r="D254"/>
      <c r="E254"/>
      <c r="F254" s="27" t="s">
        <v>7</v>
      </c>
      <c r="BY254" s="27" t="s">
        <v>8</v>
      </c>
    </row>
    <row r="255" spans="1:77" x14ac:dyDescent="0.25">
      <c r="A255" s="30">
        <v>0.48101709809096732</v>
      </c>
      <c r="E255"/>
      <c r="F255" s="27" t="s">
        <v>7</v>
      </c>
      <c r="BY255" s="27" t="s">
        <v>8</v>
      </c>
    </row>
    <row r="256" spans="1:77" x14ac:dyDescent="0.25">
      <c r="A256" s="30">
        <v>0.45811152199139726</v>
      </c>
      <c r="E256"/>
      <c r="F256" s="27" t="s">
        <v>7</v>
      </c>
      <c r="BY256" s="27" t="s">
        <v>8</v>
      </c>
    </row>
    <row r="257" spans="1:77" x14ac:dyDescent="0.25">
      <c r="A257" s="30">
        <v>0.43629668761085438</v>
      </c>
      <c r="B257"/>
      <c r="C257"/>
      <c r="D257"/>
      <c r="E257"/>
      <c r="F257" s="27" t="s">
        <v>7</v>
      </c>
      <c r="BY257" s="27" t="s">
        <v>8</v>
      </c>
    </row>
    <row r="258" spans="1:77" x14ac:dyDescent="0.25">
      <c r="A258" s="30">
        <v>0.41552065486748019</v>
      </c>
      <c r="B258"/>
      <c r="C258"/>
      <c r="D258"/>
      <c r="E258"/>
      <c r="F258" s="27" t="s">
        <v>7</v>
      </c>
      <c r="BY258" s="27" t="s">
        <v>8</v>
      </c>
    </row>
    <row r="259" spans="1:77" x14ac:dyDescent="0.25">
      <c r="A259" s="30">
        <v>0.39573395701664765</v>
      </c>
      <c r="B259"/>
      <c r="C259"/>
      <c r="D259"/>
      <c r="E259"/>
      <c r="F259" s="27" t="s">
        <v>7</v>
      </c>
      <c r="BY259" s="27" t="s">
        <v>8</v>
      </c>
    </row>
    <row r="260" spans="1:77" x14ac:dyDescent="0.25">
      <c r="A260" s="30">
        <v>0.37688948287299762</v>
      </c>
      <c r="B260"/>
      <c r="C260"/>
      <c r="D260"/>
      <c r="E260"/>
      <c r="F260" s="27" t="s">
        <v>7</v>
      </c>
      <c r="BY260" s="27" t="s">
        <v>8</v>
      </c>
    </row>
    <row r="261" spans="1:77" x14ac:dyDescent="0.25">
      <c r="A261" s="30">
        <v>0.35894236464094997</v>
      </c>
      <c r="B261"/>
      <c r="C261"/>
      <c r="D261"/>
      <c r="E261"/>
      <c r="F261" s="27" t="s">
        <v>7</v>
      </c>
      <c r="BY261" s="27" t="s">
        <v>8</v>
      </c>
    </row>
    <row r="262" spans="1:77" x14ac:dyDescent="0.25">
      <c r="A262" s="30">
        <v>0.34184987108661891</v>
      </c>
      <c r="B262"/>
      <c r="C262"/>
      <c r="D262"/>
      <c r="E262"/>
      <c r="F262" s="27" t="s">
        <v>7</v>
      </c>
      <c r="BY262" s="27" t="s">
        <v>8</v>
      </c>
    </row>
    <row r="263" spans="1:77" x14ac:dyDescent="0.25">
      <c r="A263" s="30">
        <v>0.32557130579677979</v>
      </c>
      <c r="B263"/>
      <c r="C263"/>
      <c r="D263"/>
      <c r="E263"/>
      <c r="F263" s="27" t="s">
        <v>7</v>
      </c>
      <c r="BY263" s="27" t="s">
        <v>8</v>
      </c>
    </row>
    <row r="264" spans="1:77" x14ac:dyDescent="0.25">
      <c r="A264" s="30">
        <v>0.3100679102826473</v>
      </c>
      <c r="B264"/>
      <c r="C264"/>
      <c r="D264"/>
      <c r="E264"/>
      <c r="F264" s="27" t="s">
        <v>7</v>
      </c>
      <c r="BY264" s="27" t="s">
        <v>8</v>
      </c>
    </row>
    <row r="265" spans="1:77" x14ac:dyDescent="0.25">
      <c r="A265" s="30">
        <v>0.2953027716977592</v>
      </c>
      <c r="B265"/>
      <c r="C265"/>
      <c r="D265"/>
      <c r="E265"/>
      <c r="F265" s="27" t="s">
        <v>7</v>
      </c>
      <c r="BY265" s="27" t="s">
        <v>8</v>
      </c>
    </row>
    <row r="266" spans="1:77" x14ac:dyDescent="0.25">
      <c r="A266" s="30">
        <v>0.28124073495024676</v>
      </c>
      <c r="B266"/>
      <c r="C266"/>
      <c r="D266"/>
      <c r="E266"/>
      <c r="F266" s="27" t="s">
        <v>7</v>
      </c>
      <c r="BY266" s="27" t="s">
        <v>8</v>
      </c>
    </row>
    <row r="267" spans="1:77" x14ac:dyDescent="0.25">
      <c r="A267" s="30">
        <v>0.26784831900023492</v>
      </c>
      <c r="B267"/>
      <c r="C267"/>
      <c r="D267"/>
      <c r="E267"/>
      <c r="F267" s="27" t="s">
        <v>7</v>
      </c>
      <c r="BY267" s="27" t="s">
        <v>8</v>
      </c>
    </row>
    <row r="268" spans="1:77" x14ac:dyDescent="0.25">
      <c r="A268" s="30">
        <v>0.25509363714308075</v>
      </c>
      <c r="B268"/>
      <c r="C268"/>
      <c r="D268"/>
      <c r="E268"/>
      <c r="F268" s="27" t="s">
        <v>7</v>
      </c>
      <c r="BY268" s="27" t="s">
        <v>8</v>
      </c>
    </row>
    <row r="269" spans="1:77" x14ac:dyDescent="0.25">
      <c r="A269" s="30">
        <v>0.24294632108864825</v>
      </c>
      <c r="B269"/>
      <c r="C269"/>
      <c r="D269"/>
      <c r="E269"/>
      <c r="F269" s="27" t="s">
        <v>7</v>
      </c>
      <c r="BY269" s="27" t="s">
        <v>8</v>
      </c>
    </row>
    <row r="270" spans="1:77" x14ac:dyDescent="0.25">
      <c r="A270" s="30">
        <v>0.23137744865585538</v>
      </c>
      <c r="B270"/>
      <c r="C270"/>
      <c r="D270"/>
      <c r="E270"/>
      <c r="F270" s="27" t="s">
        <v>7</v>
      </c>
      <c r="BY270" s="27" t="s">
        <v>8</v>
      </c>
    </row>
    <row r="271" spans="1:77" x14ac:dyDescent="0.25">
      <c r="A271" s="30">
        <v>0.22035947491033836</v>
      </c>
      <c r="B271"/>
      <c r="C271"/>
      <c r="D271"/>
      <c r="E271"/>
      <c r="F271" s="27" t="s">
        <v>7</v>
      </c>
      <c r="BY271" s="27" t="s">
        <v>8</v>
      </c>
    </row>
    <row r="272" spans="1:77" x14ac:dyDescent="0.25">
      <c r="A272" s="30">
        <v>0.20986616658127455</v>
      </c>
      <c r="B272"/>
      <c r="C272"/>
      <c r="D272"/>
      <c r="E272"/>
      <c r="F272" s="27" t="s">
        <v>7</v>
      </c>
      <c r="BY272" s="27" t="s">
        <v>8</v>
      </c>
    </row>
    <row r="273" spans="1:77" x14ac:dyDescent="0.25">
      <c r="A273" s="30">
        <v>0.19987253960121379</v>
      </c>
      <c r="B273"/>
      <c r="C273"/>
      <c r="D273"/>
      <c r="E273"/>
      <c r="F273" s="27" t="s">
        <v>7</v>
      </c>
      <c r="BY273" s="27" t="s">
        <v>8</v>
      </c>
    </row>
    <row r="274" spans="1:77" x14ac:dyDescent="0.25">
      <c r="A274" s="30">
        <v>0.19035479962020352</v>
      </c>
      <c r="B274"/>
      <c r="C274"/>
      <c r="D274"/>
      <c r="E274"/>
      <c r="F274" s="27" t="s">
        <v>7</v>
      </c>
      <c r="BY274" s="27" t="s">
        <v>8</v>
      </c>
    </row>
    <row r="275" spans="1:77" x14ac:dyDescent="0.25">
      <c r="A275" s="30">
        <v>0.18129028535257471</v>
      </c>
      <c r="B275"/>
      <c r="C275"/>
      <c r="D275"/>
      <c r="E275"/>
      <c r="F275" s="27" t="s">
        <v>7</v>
      </c>
      <c r="BY275" s="27" t="s">
        <v>8</v>
      </c>
    </row>
    <row r="276" spans="1:77" x14ac:dyDescent="0.25">
      <c r="A276" s="30">
        <v>0.17265741462149967</v>
      </c>
      <c r="B276"/>
      <c r="C276"/>
      <c r="D276"/>
      <c r="E276"/>
      <c r="F276" s="27" t="s">
        <v>7</v>
      </c>
      <c r="BY276" s="27" t="s">
        <v>8</v>
      </c>
    </row>
    <row r="277" spans="1:77" x14ac:dyDescent="0.25">
      <c r="A277" s="30">
        <v>0.16443563297285677</v>
      </c>
      <c r="B277"/>
      <c r="C277"/>
      <c r="D277"/>
      <c r="E277"/>
      <c r="F277" s="27" t="s">
        <v>7</v>
      </c>
      <c r="BY277" s="27" t="s">
        <v>8</v>
      </c>
    </row>
    <row r="278" spans="1:77" x14ac:dyDescent="0.25">
      <c r="A278" s="30">
        <v>0.15660536473605399</v>
      </c>
      <c r="B278"/>
      <c r="C278"/>
      <c r="D278"/>
      <c r="E278"/>
      <c r="F278" s="27" t="s">
        <v>7</v>
      </c>
      <c r="BY278" s="27" t="s">
        <v>8</v>
      </c>
    </row>
    <row r="279" spans="1:77" x14ac:dyDescent="0.25">
      <c r="A279" s="30">
        <v>0.14914796641528946</v>
      </c>
      <c r="B279"/>
      <c r="C279"/>
      <c r="D279"/>
      <c r="E279"/>
      <c r="F279" s="27" t="s">
        <v>7</v>
      </c>
      <c r="BY279" s="27" t="s">
        <v>8</v>
      </c>
    </row>
    <row r="280" spans="1:77" x14ac:dyDescent="0.25">
      <c r="A280" s="30">
        <v>0.14204568230027562</v>
      </c>
      <c r="B280"/>
      <c r="C280"/>
      <c r="D280"/>
      <c r="E280"/>
      <c r="F280" s="27" t="s">
        <v>7</v>
      </c>
      <c r="BY280" s="27" t="s">
        <v>8</v>
      </c>
    </row>
    <row r="281" spans="1:77" x14ac:dyDescent="0.25">
      <c r="A281" s="30">
        <v>0.13528160219073862</v>
      </c>
      <c r="B281"/>
      <c r="C281"/>
      <c r="D281"/>
      <c r="E281"/>
      <c r="F281" s="27" t="s">
        <v>7</v>
      </c>
      <c r="BY281" s="27" t="s">
        <v>8</v>
      </c>
    </row>
    <row r="282" spans="1:77" x14ac:dyDescent="0.25">
      <c r="A282" s="30">
        <v>0.12883962113403674</v>
      </c>
      <c r="B282"/>
      <c r="C282"/>
      <c r="D282"/>
      <c r="E282"/>
      <c r="F282" s="27" t="s">
        <v>7</v>
      </c>
      <c r="BY282" s="27" t="s">
        <v>8</v>
      </c>
    </row>
    <row r="283" spans="1:77" x14ac:dyDescent="0.25">
      <c r="A283" s="30">
        <v>0.12270440108003494</v>
      </c>
      <c r="B283"/>
      <c r="C283"/>
      <c r="D283"/>
      <c r="E283"/>
      <c r="F283" s="27" t="s">
        <v>7</v>
      </c>
      <c r="BY283" s="27" t="s">
        <v>8</v>
      </c>
    </row>
    <row r="284" spans="1:77" x14ac:dyDescent="0.25">
      <c r="A284" s="30">
        <v>0.11686133436193799</v>
      </c>
      <c r="B284"/>
      <c r="C284"/>
      <c r="D284"/>
      <c r="E284"/>
      <c r="F284" s="27" t="s">
        <v>7</v>
      </c>
      <c r="BY284" s="27" t="s">
        <v>8</v>
      </c>
    </row>
    <row r="285" spans="1:77" x14ac:dyDescent="0.25">
      <c r="A285" s="30">
        <v>0.11129650891613138</v>
      </c>
      <c r="B285"/>
      <c r="C285"/>
      <c r="D285"/>
      <c r="E285"/>
      <c r="F285" s="27" t="s">
        <v>7</v>
      </c>
      <c r="BY285" s="27" t="s">
        <v>8</v>
      </c>
    </row>
    <row r="286" spans="1:77" x14ac:dyDescent="0.25">
      <c r="A286" s="30">
        <v>0.10599667515822032</v>
      </c>
      <c r="B286"/>
      <c r="C286"/>
      <c r="D286"/>
      <c r="E286"/>
      <c r="F286" s="27" t="s">
        <v>7</v>
      </c>
      <c r="BY286" s="27" t="s">
        <v>8</v>
      </c>
    </row>
    <row r="287" spans="1:77" x14ac:dyDescent="0.25">
      <c r="A287" s="30">
        <v>0.10094921443640027</v>
      </c>
      <c r="B287"/>
      <c r="C287"/>
      <c r="D287"/>
      <c r="E287"/>
      <c r="F287" s="27" t="s">
        <v>7</v>
      </c>
      <c r="BY287" s="27" t="s">
        <v>8</v>
      </c>
    </row>
    <row r="288" spans="1:77" x14ac:dyDescent="0.25">
      <c r="A288" s="30">
        <v>9.6142108987047836E-2</v>
      </c>
      <c r="B288"/>
      <c r="C288"/>
      <c r="D288"/>
      <c r="E288"/>
      <c r="F288" s="27" t="s">
        <v>7</v>
      </c>
      <c r="BY288" s="27" t="s">
        <v>8</v>
      </c>
    </row>
    <row r="289" spans="1:77" x14ac:dyDescent="0.25">
      <c r="A289" s="30">
        <v>9.1563913320997906E-2</v>
      </c>
      <c r="B289"/>
      <c r="C289"/>
      <c r="D289"/>
      <c r="E289"/>
      <c r="F289" s="27" t="s">
        <v>7</v>
      </c>
      <c r="BY289" s="27" t="s">
        <v>8</v>
      </c>
    </row>
    <row r="290" spans="1:77" x14ac:dyDescent="0.25">
      <c r="A290" s="30">
        <v>8.7203726972378923E-2</v>
      </c>
      <c r="B290"/>
      <c r="C290"/>
      <c r="D290"/>
      <c r="E290"/>
      <c r="F290" s="27" t="s">
        <v>7</v>
      </c>
      <c r="BY290" s="27" t="s">
        <v>8</v>
      </c>
    </row>
    <row r="291" spans="1:77" x14ac:dyDescent="0.25">
      <c r="A291" s="30">
        <v>8.3051168545122747E-2</v>
      </c>
      <c r="B291"/>
      <c r="C291"/>
      <c r="D291"/>
      <c r="E291"/>
      <c r="F291" s="27" t="s">
        <v>7</v>
      </c>
      <c r="BY291" s="27" t="s">
        <v>8</v>
      </c>
    </row>
    <row r="292" spans="1:77" x14ac:dyDescent="0.25">
      <c r="A292" s="30">
        <v>7.9096350995354961E-2</v>
      </c>
      <c r="B292"/>
      <c r="C292"/>
      <c r="D292"/>
      <c r="E292"/>
      <c r="F292" s="27" t="s">
        <v>7</v>
      </c>
      <c r="BY292" s="27" t="s">
        <v>8</v>
      </c>
    </row>
    <row r="293" spans="1:77" x14ac:dyDescent="0.25">
      <c r="A293" s="30">
        <v>7.5329858090814217E-2</v>
      </c>
      <c r="B293"/>
      <c r="C293"/>
      <c r="D293"/>
      <c r="E293"/>
      <c r="F293" s="27" t="s">
        <v>7</v>
      </c>
      <c r="BY293" s="27" t="s">
        <v>8</v>
      </c>
    </row>
    <row r="294" spans="1:77" x14ac:dyDescent="0.25">
      <c r="A294" s="30">
        <v>7.1742721991251604E-2</v>
      </c>
      <c r="B294"/>
      <c r="C294"/>
      <c r="D294"/>
      <c r="E294"/>
      <c r="F294" s="27" t="s">
        <v>7</v>
      </c>
      <c r="BY294" s="27" t="s">
        <v>8</v>
      </c>
    </row>
    <row r="295" spans="1:77" x14ac:dyDescent="0.25">
      <c r="A295" s="30">
        <v>6.8326401896430078E-2</v>
      </c>
      <c r="B295"/>
      <c r="C295"/>
      <c r="D295"/>
      <c r="E295"/>
      <c r="F295" s="27" t="s">
        <v>7</v>
      </c>
      <c r="BY295" s="27" t="s">
        <v>8</v>
      </c>
    </row>
    <row r="296" spans="1:77" x14ac:dyDescent="0.25">
      <c r="A296" s="30">
        <v>6.5072763710885759E-2</v>
      </c>
      <c r="B296"/>
      <c r="C296"/>
      <c r="D296"/>
      <c r="E296"/>
      <c r="F296" s="27" t="s">
        <v>7</v>
      </c>
      <c r="BY296" s="27" t="s">
        <v>8</v>
      </c>
    </row>
    <row r="297" spans="1:77" x14ac:dyDescent="0.25">
      <c r="A297" s="30">
        <v>6.197406067703403E-2</v>
      </c>
      <c r="B297"/>
      <c r="C297"/>
      <c r="D297"/>
      <c r="E297"/>
      <c r="F297" s="27" t="s">
        <v>7</v>
      </c>
      <c r="BY297" s="27" t="s">
        <v>8</v>
      </c>
    </row>
    <row r="298" spans="1:77" x14ac:dyDescent="0.25">
      <c r="A298" s="30">
        <v>5.9022914930508576E-2</v>
      </c>
      <c r="B298"/>
      <c r="C298"/>
      <c r="D298"/>
      <c r="E298"/>
      <c r="F298" s="27" t="s">
        <v>7</v>
      </c>
      <c r="BY298" s="27" t="s">
        <v>8</v>
      </c>
    </row>
    <row r="299" spans="1:77" x14ac:dyDescent="0.25">
      <c r="A299" s="30">
        <v>5.6212299933817669E-2</v>
      </c>
      <c r="B299"/>
      <c r="C299"/>
      <c r="D299"/>
      <c r="E299"/>
      <c r="F299" s="27" t="s">
        <v>7</v>
      </c>
      <c r="BY299" s="27" t="s">
        <v>8</v>
      </c>
    </row>
    <row r="300" spans="1:77" x14ac:dyDescent="0.25">
      <c r="A300" s="30">
        <v>5.3535523746492994E-2</v>
      </c>
      <c r="B300"/>
      <c r="C300"/>
      <c r="D300"/>
      <c r="E300"/>
      <c r="F300" s="27" t="s">
        <v>7</v>
      </c>
      <c r="BY300" s="27" t="s">
        <v>8</v>
      </c>
    </row>
    <row r="301" spans="1:77" x14ac:dyDescent="0.25">
      <c r="A301" s="30">
        <v>5.0986213091898068E-2</v>
      </c>
      <c r="B301"/>
      <c r="C301"/>
      <c r="D301"/>
      <c r="E301"/>
      <c r="F301" s="27" t="s">
        <v>7</v>
      </c>
      <c r="BY301" s="27" t="s">
        <v>8</v>
      </c>
    </row>
    <row r="302" spans="1:77" x14ac:dyDescent="0.25">
      <c r="A302" s="30">
        <v>4.8558298182760043E-2</v>
      </c>
      <c r="B302"/>
      <c r="C302"/>
      <c r="D302"/>
      <c r="E302"/>
      <c r="F302" s="27" t="s">
        <v>7</v>
      </c>
      <c r="BY302" s="27" t="s">
        <v>8</v>
      </c>
    </row>
    <row r="303" spans="1:77" x14ac:dyDescent="0.25">
      <c r="A303" s="30">
        <v>4.6245998269295263E-2</v>
      </c>
      <c r="B303"/>
      <c r="C303"/>
      <c r="D303"/>
      <c r="E303"/>
      <c r="F303" s="27" t="s">
        <v>7</v>
      </c>
      <c r="BY303" s="27" t="s">
        <v>8</v>
      </c>
    </row>
    <row r="304" spans="1:77" x14ac:dyDescent="0.25">
      <c r="A304" s="30">
        <v>4.4043807875519279E-2</v>
      </c>
      <c r="B304"/>
      <c r="C304"/>
      <c r="D304"/>
      <c r="E304"/>
      <c r="F304" s="27" t="s">
        <v>7</v>
      </c>
      <c r="BY304" s="27" t="s">
        <v>8</v>
      </c>
    </row>
    <row r="305" spans="1:77" x14ac:dyDescent="0.25">
      <c r="A305" s="30">
        <v>4.1946483690970725E-2</v>
      </c>
      <c r="B305"/>
      <c r="C305"/>
      <c r="D305"/>
      <c r="E305"/>
      <c r="F305" s="27" t="s">
        <v>7</v>
      </c>
      <c r="BY305" s="27" t="s">
        <v>8</v>
      </c>
    </row>
    <row r="306" spans="1:77" x14ac:dyDescent="0.25">
      <c r="A306" s="30">
        <v>3.9949032086638768E-2</v>
      </c>
      <c r="B306"/>
      <c r="C306"/>
      <c r="D306"/>
      <c r="E306"/>
      <c r="F306" s="27" t="s">
        <v>7</v>
      </c>
      <c r="BY306" s="27" t="s">
        <v>8</v>
      </c>
    </row>
    <row r="307" spans="1:77" x14ac:dyDescent="0.25">
      <c r="A307" s="30">
        <v>3.8046697225370241E-2</v>
      </c>
      <c r="B307"/>
      <c r="C307"/>
      <c r="D307"/>
      <c r="E307"/>
      <c r="F307" s="27" t="s">
        <v>7</v>
      </c>
      <c r="BY307" s="27" t="s">
        <v>8</v>
      </c>
    </row>
    <row r="308" spans="1:77" x14ac:dyDescent="0.25">
      <c r="A308" s="30">
        <v>3.6234949738447833E-2</v>
      </c>
      <c r="B308"/>
      <c r="C308"/>
      <c r="D308"/>
      <c r="E308"/>
      <c r="F308" s="27" t="s">
        <v>7</v>
      </c>
      <c r="BY308" s="27" t="s">
        <v>8</v>
      </c>
    </row>
    <row r="309" spans="1:77" x14ac:dyDescent="0.25">
      <c r="A309" s="30">
        <v>3.4509475941378875E-2</v>
      </c>
      <c r="B309"/>
      <c r="C309"/>
      <c r="D309"/>
      <c r="E309"/>
      <c r="F309" s="27" t="s">
        <v>7</v>
      </c>
      <c r="BY309" s="27" t="s">
        <v>8</v>
      </c>
    </row>
    <row r="310" spans="1:77" x14ac:dyDescent="0.25">
      <c r="A310" s="30">
        <v>3.286616756321796E-2</v>
      </c>
      <c r="B310"/>
      <c r="C310"/>
      <c r="D310"/>
      <c r="E310"/>
      <c r="F310" s="27" t="s">
        <v>7</v>
      </c>
      <c r="BY310" s="27" t="s">
        <v>8</v>
      </c>
    </row>
    <row r="311" spans="1:77" x14ac:dyDescent="0.25">
      <c r="A311" s="30">
        <v>3.1301111964969472E-2</v>
      </c>
      <c r="B311"/>
      <c r="C311"/>
      <c r="D311"/>
      <c r="E311"/>
      <c r="F311" s="27" t="s">
        <v>7</v>
      </c>
      <c r="BY311" s="27" t="s">
        <v>8</v>
      </c>
    </row>
    <row r="312" spans="1:77" x14ac:dyDescent="0.25">
      <c r="A312" s="30">
        <v>2.9810582823780438E-2</v>
      </c>
      <c r="B312"/>
      <c r="C312"/>
      <c r="D312"/>
      <c r="E312"/>
      <c r="F312" s="27" t="s">
        <v>7</v>
      </c>
      <c r="BY312" s="27" t="s">
        <v>8</v>
      </c>
    </row>
    <row r="313" spans="1:77" x14ac:dyDescent="0.25">
      <c r="A313" s="30">
        <v>2.8391031260743264E-2</v>
      </c>
      <c r="B313"/>
      <c r="C313"/>
      <c r="D313"/>
      <c r="E313"/>
      <c r="F313" s="27" t="s">
        <v>7</v>
      </c>
      <c r="BY313" s="27" t="s">
        <v>8</v>
      </c>
    </row>
    <row r="314" spans="1:77" x14ac:dyDescent="0.25">
      <c r="A314" s="30">
        <v>2.7039077391184052E-2</v>
      </c>
      <c r="B314"/>
      <c r="C314"/>
      <c r="D314"/>
      <c r="E314"/>
      <c r="F314" s="27" t="s">
        <v>7</v>
      </c>
      <c r="BY314" s="27" t="s">
        <v>8</v>
      </c>
    </row>
    <row r="315" spans="1:77" x14ac:dyDescent="0.25">
      <c r="A315" s="30">
        <v>2.5751502277318133E-2</v>
      </c>
      <c r="B315"/>
      <c r="C315"/>
      <c r="D315"/>
      <c r="E315"/>
      <c r="F315" s="27" t="s">
        <v>7</v>
      </c>
      <c r="BY315" s="27" t="s">
        <v>8</v>
      </c>
    </row>
    <row r="316" spans="1:77" x14ac:dyDescent="0.25">
      <c r="A316" s="30">
        <v>2.4525240264112496E-2</v>
      </c>
      <c r="B316"/>
      <c r="C316"/>
      <c r="D316"/>
      <c r="E316"/>
      <c r="F316" s="27" t="s">
        <v>7</v>
      </c>
      <c r="BY316" s="27" t="s">
        <v>8</v>
      </c>
    </row>
    <row r="317" spans="1:77" x14ac:dyDescent="0.25">
      <c r="A317" s="30">
        <v>2.3357371680107129E-2</v>
      </c>
      <c r="B317"/>
      <c r="C317"/>
      <c r="D317"/>
      <c r="E317"/>
      <c r="F317" s="27" t="s">
        <v>7</v>
      </c>
      <c r="BY317" s="27" t="s">
        <v>8</v>
      </c>
    </row>
    <row r="318" spans="1:77" x14ac:dyDescent="0.25">
      <c r="A318" s="30">
        <v>2.2245115885816305E-2</v>
      </c>
      <c r="B318"/>
      <c r="C318"/>
      <c r="D318"/>
      <c r="E318"/>
      <c r="F318" s="27" t="s">
        <v>7</v>
      </c>
      <c r="BY318" s="27" t="s">
        <v>8</v>
      </c>
    </row>
    <row r="319" spans="1:77" x14ac:dyDescent="0.25">
      <c r="A319" s="30">
        <v>2.1185824653158377E-2</v>
      </c>
      <c r="B319"/>
      <c r="C319"/>
      <c r="D319"/>
      <c r="E319"/>
      <c r="F319" s="27" t="s">
        <v>7</v>
      </c>
      <c r="BY319" s="27" t="s">
        <v>8</v>
      </c>
    </row>
    <row r="320" spans="1:77" x14ac:dyDescent="0.25">
      <c r="A320" s="30">
        <v>2.0176975860150829E-2</v>
      </c>
      <c r="B320"/>
      <c r="C320"/>
      <c r="D320"/>
      <c r="E320"/>
      <c r="F320" s="27" t="s">
        <v>7</v>
      </c>
      <c r="BY320" s="27" t="s">
        <v>8</v>
      </c>
    </row>
    <row r="321" spans="1:77" x14ac:dyDescent="0.25">
      <c r="A321" s="30">
        <v>1.9216167485857926E-2</v>
      </c>
      <c r="B321"/>
      <c r="C321"/>
      <c r="D321"/>
      <c r="E321"/>
      <c r="F321" s="27" t="s">
        <v>7</v>
      </c>
      <c r="BY321" s="27" t="s">
        <v>8</v>
      </c>
    </row>
    <row r="322" spans="1:77" x14ac:dyDescent="0.25">
      <c r="A322" s="30">
        <v>1.8301111891293256E-2</v>
      </c>
      <c r="B322"/>
      <c r="C322"/>
      <c r="D322"/>
      <c r="E322"/>
      <c r="F322" s="27" t="s">
        <v>7</v>
      </c>
      <c r="BY322" s="27" t="s">
        <v>8</v>
      </c>
    </row>
    <row r="323" spans="1:77" x14ac:dyDescent="0.25">
      <c r="A323" s="30">
        <v>1.7429630372660238E-2</v>
      </c>
      <c r="B323"/>
      <c r="C323"/>
      <c r="D323"/>
      <c r="E323"/>
      <c r="F323" s="27" t="s">
        <v>7</v>
      </c>
      <c r="BY323" s="27" t="s">
        <v>8</v>
      </c>
    </row>
    <row r="324" spans="1:77" x14ac:dyDescent="0.25">
      <c r="A324" s="30">
        <v>1.6599647973962125E-2</v>
      </c>
      <c r="B324"/>
      <c r="C324"/>
      <c r="D324"/>
      <c r="E324"/>
      <c r="F324" s="27" t="s">
        <v>7</v>
      </c>
      <c r="BY324" s="27" t="s">
        <v>8</v>
      </c>
    </row>
    <row r="325" spans="1:77" x14ac:dyDescent="0.25">
      <c r="A325" s="30">
        <v>1.580918854663059E-2</v>
      </c>
      <c r="B325"/>
      <c r="C325"/>
      <c r="D325"/>
      <c r="E325"/>
      <c r="F325" s="27" t="s">
        <v>7</v>
      </c>
      <c r="BY325" s="27" t="s">
        <v>8</v>
      </c>
    </row>
    <row r="326" spans="1:77" x14ac:dyDescent="0.25">
      <c r="A326" s="30">
        <v>1.5056370044410079E-2</v>
      </c>
      <c r="B326"/>
      <c r="C326"/>
      <c r="D326"/>
      <c r="E326"/>
      <c r="F326" s="27" t="s">
        <v>7</v>
      </c>
      <c r="BY326" s="27" t="s">
        <v>8</v>
      </c>
    </row>
    <row r="327" spans="1:77" x14ac:dyDescent="0.25">
      <c r="A327" s="30">
        <v>1.4339400042295308E-2</v>
      </c>
      <c r="B327"/>
      <c r="C327"/>
      <c r="D327"/>
      <c r="E327"/>
      <c r="F327" s="27" t="s">
        <v>7</v>
      </c>
      <c r="BY327" s="27" t="s">
        <v>8</v>
      </c>
    </row>
    <row r="328" spans="1:77" x14ac:dyDescent="0.25">
      <c r="A328" s="30">
        <v>1.365657146885267E-2</v>
      </c>
      <c r="B328"/>
      <c r="C328"/>
      <c r="D328"/>
      <c r="E328"/>
      <c r="F328" s="27" t="s">
        <v>7</v>
      </c>
      <c r="BY328" s="27" t="s">
        <v>8</v>
      </c>
    </row>
    <row r="329" spans="1:77" x14ac:dyDescent="0.25">
      <c r="A329" s="30">
        <v>1.3006258541764442E-2</v>
      </c>
      <c r="B329"/>
      <c r="C329"/>
      <c r="D329"/>
      <c r="E329"/>
      <c r="F329" s="27" t="s">
        <v>7</v>
      </c>
      <c r="BY329" s="27" t="s">
        <v>8</v>
      </c>
    </row>
    <row r="330" spans="1:77" x14ac:dyDescent="0.25">
      <c r="A330" s="30">
        <v>1.2386912896918512E-2</v>
      </c>
      <c r="B330"/>
      <c r="C330"/>
      <c r="D330"/>
      <c r="E330"/>
      <c r="F330" s="27" t="s">
        <v>7</v>
      </c>
      <c r="BY330" s="27" t="s">
        <v>8</v>
      </c>
    </row>
    <row r="331" spans="1:77" x14ac:dyDescent="0.25">
      <c r="A331" s="30">
        <v>1.179705990182715E-2</v>
      </c>
      <c r="B331"/>
      <c r="C331"/>
      <c r="D331"/>
      <c r="E331"/>
      <c r="F331" s="27" t="s">
        <v>7</v>
      </c>
      <c r="BY331" s="27" t="s">
        <v>8</v>
      </c>
    </row>
    <row r="332" spans="1:77" x14ac:dyDescent="0.25">
      <c r="A332" s="30">
        <v>1.1235295144597281E-2</v>
      </c>
      <c r="B332"/>
      <c r="C332"/>
      <c r="D332"/>
      <c r="E332"/>
      <c r="F332" s="27" t="s">
        <v>7</v>
      </c>
      <c r="BY332" s="27" t="s">
        <v>8</v>
      </c>
    </row>
    <row r="333" spans="1:77" x14ac:dyDescent="0.25">
      <c r="A333" s="30">
        <v>1.0700281090092644E-2</v>
      </c>
      <c r="B333"/>
      <c r="C333"/>
      <c r="D333"/>
      <c r="E333"/>
      <c r="F333" s="27" t="s">
        <v>7</v>
      </c>
      <c r="BY333" s="27" t="s">
        <v>8</v>
      </c>
    </row>
    <row r="334" spans="1:77" x14ac:dyDescent="0.25">
      <c r="A334" s="30">
        <v>1.0190743895326324E-2</v>
      </c>
      <c r="B334"/>
      <c r="C334"/>
      <c r="D334"/>
      <c r="E334"/>
      <c r="F334" s="27" t="s">
        <v>7</v>
      </c>
      <c r="BY334" s="27" t="s">
        <v>8</v>
      </c>
    </row>
    <row r="335" spans="1:77" x14ac:dyDescent="0.25">
      <c r="A335" s="30">
        <v>9.7054703765012563E-3</v>
      </c>
      <c r="B335"/>
      <c r="C335"/>
      <c r="D335"/>
      <c r="E335"/>
      <c r="F335" s="27" t="s">
        <v>7</v>
      </c>
      <c r="BY335" s="27" t="s">
        <v>8</v>
      </c>
    </row>
    <row r="336" spans="1:77" x14ac:dyDescent="0.25">
      <c r="A336" s="30">
        <v>9.2433051204773835E-3</v>
      </c>
      <c r="B336"/>
      <c r="C336"/>
      <c r="D336"/>
      <c r="E336"/>
      <c r="F336" s="27" t="s">
        <v>7</v>
      </c>
      <c r="BY336" s="27" t="s">
        <v>8</v>
      </c>
    </row>
    <row r="337" spans="1:77" x14ac:dyDescent="0.25">
      <c r="A337" s="30">
        <v>8.8031477337879808E-3</v>
      </c>
      <c r="B337"/>
      <c r="C337"/>
      <c r="D337"/>
      <c r="E337"/>
      <c r="F337" s="27" t="s">
        <v>7</v>
      </c>
      <c r="BY337" s="27" t="s">
        <v>8</v>
      </c>
    </row>
    <row r="338" spans="1:77" x14ac:dyDescent="0.25">
      <c r="A338" s="30">
        <v>8.3839502226552166E-3</v>
      </c>
      <c r="B338"/>
      <c r="C338"/>
      <c r="D338"/>
      <c r="E338"/>
      <c r="F338" s="27" t="s">
        <v>7</v>
      </c>
      <c r="BY338" s="27" t="s">
        <v>8</v>
      </c>
    </row>
    <row r="339" spans="1:77" x14ac:dyDescent="0.25">
      <c r="A339" s="30">
        <v>7.9847144977668698E-3</v>
      </c>
      <c r="B339"/>
      <c r="C339"/>
      <c r="D339"/>
      <c r="E339"/>
      <c r="F339" s="27" t="s">
        <v>7</v>
      </c>
      <c r="BY339" s="27" t="s">
        <v>8</v>
      </c>
    </row>
    <row r="340" spans="1:77" x14ac:dyDescent="0.25">
      <c r="A340" s="30">
        <v>7.6044899978732058E-3</v>
      </c>
      <c r="B340"/>
      <c r="C340"/>
      <c r="D340"/>
      <c r="E340"/>
      <c r="F340" s="27" t="s">
        <v>7</v>
      </c>
      <c r="BY340" s="27" t="s">
        <v>8</v>
      </c>
    </row>
    <row r="341" spans="1:77" x14ac:dyDescent="0.25">
      <c r="A341" s="30">
        <v>7.2423714265459072E-3</v>
      </c>
      <c r="B341"/>
      <c r="C341"/>
      <c r="D341"/>
      <c r="E341"/>
      <c r="F341" s="27" t="s">
        <v>7</v>
      </c>
      <c r="BY341" s="27" t="s">
        <v>8</v>
      </c>
    </row>
    <row r="342" spans="1:77" x14ac:dyDescent="0.25">
      <c r="A342" s="30">
        <v>6.8974965967103846E-3</v>
      </c>
      <c r="B342"/>
      <c r="C342"/>
      <c r="D342"/>
      <c r="E342"/>
      <c r="F342" s="27" t="s">
        <v>7</v>
      </c>
      <c r="BY342" s="27" t="s">
        <v>8</v>
      </c>
    </row>
    <row r="343" spans="1:77" x14ac:dyDescent="0.25">
      <c r="A343" s="30">
        <v>6.5690443778194116E-3</v>
      </c>
      <c r="B343"/>
      <c r="C343"/>
      <c r="D343"/>
      <c r="E343"/>
      <c r="F343" s="27" t="s">
        <v>7</v>
      </c>
      <c r="BY343" s="27" t="s">
        <v>8</v>
      </c>
    </row>
    <row r="344" spans="1:77" x14ac:dyDescent="0.25">
      <c r="A344" s="30">
        <v>6.2562327407803897E-3</v>
      </c>
      <c r="B344"/>
      <c r="C344"/>
      <c r="D344"/>
      <c r="E344"/>
      <c r="F344" s="27" t="s">
        <v>7</v>
      </c>
      <c r="BY344" s="27" t="s">
        <v>8</v>
      </c>
    </row>
    <row r="345" spans="1:77" x14ac:dyDescent="0.25">
      <c r="A345" s="30">
        <v>5.9583168959813212E-3</v>
      </c>
      <c r="B345"/>
      <c r="C345"/>
      <c r="D345"/>
      <c r="E345"/>
      <c r="F345" s="27" t="s">
        <v>7</v>
      </c>
      <c r="BY345" s="27" t="s">
        <v>8</v>
      </c>
    </row>
    <row r="346" spans="1:77" x14ac:dyDescent="0.25">
      <c r="A346" s="30">
        <v>5.6745875199822084E-3</v>
      </c>
      <c r="B346"/>
      <c r="C346"/>
      <c r="D346"/>
      <c r="E346"/>
      <c r="F346" s="27" t="s">
        <v>7</v>
      </c>
      <c r="BY346" s="27" t="s">
        <v>8</v>
      </c>
    </row>
    <row r="347" spans="1:77" x14ac:dyDescent="0.25">
      <c r="A347" s="30">
        <v>5.4043690666497205E-3</v>
      </c>
      <c r="B347"/>
      <c r="C347"/>
      <c r="D347"/>
      <c r="E347"/>
      <c r="F347" s="27" t="s">
        <v>7</v>
      </c>
      <c r="BY347" s="27" t="s">
        <v>8</v>
      </c>
    </row>
    <row r="348" spans="1:77" x14ac:dyDescent="0.25">
      <c r="A348" s="30">
        <v>5.1470181587140174E-3</v>
      </c>
      <c r="B348"/>
      <c r="C348"/>
      <c r="D348"/>
      <c r="E348"/>
      <c r="F348" s="27" t="s">
        <v>7</v>
      </c>
      <c r="BY348" s="27" t="s">
        <v>8</v>
      </c>
    </row>
    <row r="349" spans="1:77" x14ac:dyDescent="0.25">
      <c r="A349" s="30">
        <v>4.9019220559181099E-3</v>
      </c>
      <c r="B349"/>
      <c r="C349"/>
      <c r="D349"/>
      <c r="E349"/>
      <c r="F349" s="27" t="s">
        <v>7</v>
      </c>
      <c r="BY349" s="27" t="s">
        <v>8</v>
      </c>
    </row>
    <row r="350" spans="1:77" x14ac:dyDescent="0.25">
      <c r="A350" s="30">
        <v>4.6684971961124836E-3</v>
      </c>
      <c r="B350"/>
      <c r="C350"/>
      <c r="D350"/>
      <c r="E350"/>
      <c r="F350" s="27" t="s">
        <v>7</v>
      </c>
      <c r="BY350" s="27" t="s">
        <v>8</v>
      </c>
    </row>
    <row r="351" spans="1:77" x14ac:dyDescent="0.25">
      <c r="A351" s="30">
        <v>4.4461878058214112E-3</v>
      </c>
      <c r="B351"/>
      <c r="C351"/>
      <c r="D351"/>
      <c r="E351"/>
      <c r="F351" s="27" t="s">
        <v>7</v>
      </c>
      <c r="BY351" s="27" t="s">
        <v>8</v>
      </c>
    </row>
    <row r="352" spans="1:77" x14ac:dyDescent="0.25">
      <c r="A352" s="30">
        <v>4.2344645769727711E-3</v>
      </c>
      <c r="B352"/>
      <c r="C352"/>
      <c r="D352"/>
      <c r="E352"/>
      <c r="F352" s="27" t="s">
        <v>7</v>
      </c>
      <c r="BY352" s="27" t="s">
        <v>8</v>
      </c>
    </row>
    <row r="353" spans="1:77" x14ac:dyDescent="0.25">
      <c r="A353" s="30">
        <v>4.0328234066407329E-3</v>
      </c>
      <c r="B353"/>
      <c r="C353"/>
      <c r="D353"/>
      <c r="E353"/>
      <c r="F353" s="27" t="s">
        <v>7</v>
      </c>
      <c r="BY353" s="27" t="s">
        <v>8</v>
      </c>
    </row>
    <row r="354" spans="1:77" x14ac:dyDescent="0.25">
      <c r="A354" s="30">
        <v>3.8407841968006963E-3</v>
      </c>
      <c r="B354"/>
      <c r="C354"/>
      <c r="D354"/>
      <c r="E354"/>
      <c r="F354" s="27" t="s">
        <v>7</v>
      </c>
      <c r="BY354" s="27" t="s">
        <v>8</v>
      </c>
    </row>
    <row r="355" spans="1:77" x14ac:dyDescent="0.25">
      <c r="A355" s="30">
        <v>3.6578897112387568E-3</v>
      </c>
      <c r="B355"/>
      <c r="C355"/>
      <c r="D355"/>
      <c r="E355"/>
      <c r="F355" s="27" t="s">
        <v>7</v>
      </c>
      <c r="BY355" s="27" t="s">
        <v>8</v>
      </c>
    </row>
    <row r="356" spans="1:77" x14ac:dyDescent="0.25">
      <c r="A356" s="30">
        <v>3.4837044868940526E-3</v>
      </c>
      <c r="B356"/>
      <c r="C356"/>
      <c r="D356"/>
      <c r="E356"/>
      <c r="F356" s="27" t="s">
        <v>7</v>
      </c>
      <c r="BY356" s="27" t="s">
        <v>8</v>
      </c>
    </row>
    <row r="357" spans="1:77" x14ac:dyDescent="0.25">
      <c r="A357" s="30">
        <v>3.3178137970419535E-3</v>
      </c>
      <c r="B357"/>
      <c r="C357"/>
      <c r="D357"/>
      <c r="E357"/>
      <c r="F357" s="27" t="s">
        <v>7</v>
      </c>
      <c r="BY357" s="27" t="s">
        <v>8</v>
      </c>
    </row>
    <row r="358" spans="1:77" x14ac:dyDescent="0.25">
      <c r="A358" s="30">
        <v>3.1598226638494781E-3</v>
      </c>
      <c r="B358"/>
      <c r="C358"/>
      <c r="D358"/>
      <c r="E358"/>
      <c r="F358" s="27" t="s">
        <v>7</v>
      </c>
      <c r="BY358" s="27" t="s">
        <v>8</v>
      </c>
    </row>
    <row r="359" spans="1:77" x14ac:dyDescent="0.25">
      <c r="A359" s="30">
        <v>3.0093549179518826E-3</v>
      </c>
      <c r="B359"/>
      <c r="C359"/>
      <c r="D359"/>
      <c r="E359"/>
      <c r="F359" s="27" t="s">
        <v>7</v>
      </c>
      <c r="I359" s="27" t="s">
        <v>8</v>
      </c>
      <c r="BK359" s="27" t="s">
        <v>8</v>
      </c>
      <c r="BY359" s="27" t="s">
        <v>8</v>
      </c>
    </row>
    <row r="360" spans="1:77" x14ac:dyDescent="0.25">
      <c r="A360" s="30">
        <v>2.8660523028113155E-3</v>
      </c>
      <c r="B360"/>
      <c r="C360"/>
      <c r="D360"/>
      <c r="E360"/>
      <c r="F360" s="27" t="s">
        <v>7</v>
      </c>
      <c r="I360" s="27" t="s">
        <v>8</v>
      </c>
      <c r="J360" s="27" t="s">
        <v>7</v>
      </c>
      <c r="BK360" s="27" t="s">
        <v>8</v>
      </c>
      <c r="BL360" s="27" t="s">
        <v>7</v>
      </c>
      <c r="BM360" s="27" t="s">
        <v>8</v>
      </c>
      <c r="BY360" s="27" t="s">
        <v>8</v>
      </c>
    </row>
    <row r="361" spans="1:77" x14ac:dyDescent="0.25">
      <c r="A361" s="30">
        <v>2.7295736217250611E-3</v>
      </c>
      <c r="B361"/>
      <c r="C361"/>
      <c r="D361"/>
      <c r="E361"/>
      <c r="F361" s="27" t="s">
        <v>7</v>
      </c>
      <c r="I361" s="27" t="s">
        <v>8</v>
      </c>
      <c r="J361" s="27" t="s">
        <v>7</v>
      </c>
      <c r="BK361" s="27" t="s">
        <v>8</v>
      </c>
      <c r="BL361" s="27" t="s">
        <v>7</v>
      </c>
      <c r="BM361" s="27" t="s">
        <v>8</v>
      </c>
      <c r="BN361" s="27" t="s">
        <v>7</v>
      </c>
      <c r="BY361" s="27" t="s">
        <v>8</v>
      </c>
    </row>
    <row r="362" spans="1:77" x14ac:dyDescent="0.25">
      <c r="A362" s="30">
        <v>2.5995939254524381E-3</v>
      </c>
      <c r="B362"/>
      <c r="C362"/>
      <c r="D362"/>
      <c r="E362"/>
      <c r="F362" s="27" t="s">
        <v>7</v>
      </c>
      <c r="I362" s="27" t="s">
        <v>8</v>
      </c>
      <c r="J362" s="27" t="s">
        <v>7</v>
      </c>
      <c r="BK362" s="27" t="s">
        <v>8</v>
      </c>
      <c r="BL362" s="27" t="s">
        <v>7</v>
      </c>
      <c r="BM362" s="27" t="s">
        <v>8</v>
      </c>
      <c r="BN362" s="27" t="s">
        <v>7</v>
      </c>
      <c r="BU362" s="27" t="s">
        <v>8</v>
      </c>
      <c r="BY362" s="27" t="s">
        <v>8</v>
      </c>
    </row>
    <row r="363" spans="1:77" x14ac:dyDescent="0.25">
      <c r="A363" s="30">
        <v>2.4758037385261304E-3</v>
      </c>
      <c r="B363"/>
      <c r="C363"/>
      <c r="D363"/>
      <c r="E363"/>
      <c r="F363" s="27" t="s">
        <v>7</v>
      </c>
      <c r="I363" s="27" t="s">
        <v>8</v>
      </c>
      <c r="J363" s="27" t="s">
        <v>7</v>
      </c>
      <c r="BK363" s="27" t="s">
        <v>8</v>
      </c>
      <c r="BL363" s="27" t="s">
        <v>7</v>
      </c>
      <c r="BM363" s="27" t="s">
        <v>8</v>
      </c>
      <c r="BN363" s="27" t="s">
        <v>7</v>
      </c>
      <c r="BU363" s="27" t="s">
        <v>8</v>
      </c>
      <c r="BV363" s="27" t="s">
        <v>7</v>
      </c>
      <c r="BY363" s="27" t="s">
        <v>8</v>
      </c>
    </row>
    <row r="364" spans="1:77" x14ac:dyDescent="0.25">
      <c r="A364" s="30">
        <v>2.3579083224058374E-3</v>
      </c>
      <c r="B364"/>
      <c r="C364"/>
      <c r="D364"/>
      <c r="E364"/>
      <c r="F364" s="27" t="s">
        <v>7</v>
      </c>
      <c r="I364" s="27" t="s">
        <v>8</v>
      </c>
      <c r="J364" s="27" t="s">
        <v>7</v>
      </c>
      <c r="BK364" s="27" t="s">
        <v>8</v>
      </c>
      <c r="BL364" s="27" t="s">
        <v>7</v>
      </c>
      <c r="BM364" s="27" t="s">
        <v>8</v>
      </c>
      <c r="BN364" s="27" t="s">
        <v>7</v>
      </c>
      <c r="BU364" s="27" t="s">
        <v>8</v>
      </c>
      <c r="BV364" s="27" t="s">
        <v>7</v>
      </c>
      <c r="BY364" s="27" t="s">
        <v>8</v>
      </c>
    </row>
    <row r="365" spans="1:77" x14ac:dyDescent="0.25">
      <c r="A365" s="30">
        <v>2.245626973719844E-3</v>
      </c>
      <c r="B365"/>
      <c r="C365"/>
      <c r="D365"/>
      <c r="E365"/>
      <c r="F365" s="27" t="s">
        <v>7</v>
      </c>
      <c r="I365" s="27" t="s">
        <v>8</v>
      </c>
      <c r="J365" s="27" t="s">
        <v>7</v>
      </c>
      <c r="BK365" s="27" t="s">
        <v>8</v>
      </c>
      <c r="BL365" s="27" t="s">
        <v>7</v>
      </c>
      <c r="BM365" s="27" t="s">
        <v>8</v>
      </c>
      <c r="BN365" s="27" t="s">
        <v>7</v>
      </c>
      <c r="BU365" s="27" t="s">
        <v>8</v>
      </c>
      <c r="BV365" s="27" t="s">
        <v>7</v>
      </c>
      <c r="BY365" s="27" t="s">
        <v>8</v>
      </c>
    </row>
    <row r="366" spans="1:77" x14ac:dyDescent="0.25">
      <c r="A366" s="30">
        <v>2.1386923559236601E-3</v>
      </c>
      <c r="B366"/>
      <c r="C366"/>
      <c r="D366"/>
      <c r="E366"/>
      <c r="F366" s="27" t="s">
        <v>7</v>
      </c>
      <c r="I366" s="27" t="s">
        <v>8</v>
      </c>
      <c r="J366" s="27" t="s">
        <v>7</v>
      </c>
      <c r="BK366" s="27" t="s">
        <v>8</v>
      </c>
      <c r="BL366" s="27" t="s">
        <v>7</v>
      </c>
      <c r="BM366" s="27" t="s">
        <v>8</v>
      </c>
      <c r="BN366" s="27" t="s">
        <v>7</v>
      </c>
      <c r="BO366" s="27" t="s">
        <v>8</v>
      </c>
      <c r="BU366" s="27" t="s">
        <v>8</v>
      </c>
      <c r="BV366" s="27" t="s">
        <v>7</v>
      </c>
      <c r="BY366" s="27" t="s">
        <v>8</v>
      </c>
    </row>
    <row r="367" spans="1:77" x14ac:dyDescent="0.25">
      <c r="A367" s="30">
        <v>2.0368498627844375E-3</v>
      </c>
      <c r="B367"/>
      <c r="C367"/>
      <c r="D367"/>
      <c r="E367"/>
      <c r="F367" s="27" t="s">
        <v>7</v>
      </c>
      <c r="I367" s="27" t="s">
        <v>8</v>
      </c>
      <c r="J367" s="27" t="s">
        <v>7</v>
      </c>
      <c r="BK367" s="27" t="s">
        <v>8</v>
      </c>
      <c r="BL367" s="27" t="s">
        <v>7</v>
      </c>
      <c r="BM367" s="27" t="s">
        <v>8</v>
      </c>
      <c r="BN367" s="27" t="s">
        <v>7</v>
      </c>
      <c r="BO367" s="27" t="s">
        <v>8</v>
      </c>
      <c r="BP367" s="27" t="s">
        <v>7</v>
      </c>
      <c r="BU367" s="27" t="s">
        <v>8</v>
      </c>
      <c r="BV367" s="27" t="s">
        <v>7</v>
      </c>
      <c r="BY367" s="27" t="s">
        <v>8</v>
      </c>
    </row>
    <row r="368" spans="1:77" x14ac:dyDescent="0.25">
      <c r="A368" s="30">
        <v>1.9398570121756541E-3</v>
      </c>
      <c r="B368"/>
      <c r="C368"/>
      <c r="D368"/>
      <c r="E368"/>
      <c r="F368" s="27" t="s">
        <v>7</v>
      </c>
      <c r="I368" s="27" t="s">
        <v>8</v>
      </c>
      <c r="J368" s="27" t="s">
        <v>7</v>
      </c>
      <c r="BE368" s="27" t="s">
        <v>8</v>
      </c>
      <c r="BG368" s="27" t="s">
        <v>8</v>
      </c>
      <c r="BK368" s="27" t="s">
        <v>8</v>
      </c>
      <c r="BL368" s="27" t="s">
        <v>7</v>
      </c>
      <c r="BM368" s="27" t="s">
        <v>8</v>
      </c>
      <c r="BN368" s="27" t="s">
        <v>7</v>
      </c>
      <c r="BO368" s="27" t="s">
        <v>8</v>
      </c>
      <c r="BP368" s="27" t="s">
        <v>7</v>
      </c>
      <c r="BU368" s="27" t="s">
        <v>8</v>
      </c>
      <c r="BV368" s="27" t="s">
        <v>7</v>
      </c>
      <c r="BY368" s="27" t="s">
        <v>8</v>
      </c>
    </row>
    <row r="369" spans="1:77" x14ac:dyDescent="0.25">
      <c r="A369" s="30">
        <v>1.8474828687387174E-3</v>
      </c>
      <c r="B369"/>
      <c r="C369"/>
      <c r="D369"/>
      <c r="E369"/>
      <c r="F369" s="27" t="s">
        <v>7</v>
      </c>
      <c r="I369" s="27" t="s">
        <v>8</v>
      </c>
      <c r="J369" s="27" t="s">
        <v>7</v>
      </c>
      <c r="BC369" s="27" t="s">
        <v>8</v>
      </c>
      <c r="BE369" s="27" t="s">
        <v>8</v>
      </c>
      <c r="BF369" s="27" t="s">
        <v>7</v>
      </c>
      <c r="BG369" s="27" t="s">
        <v>8</v>
      </c>
      <c r="BH369" s="27" t="s">
        <v>7</v>
      </c>
      <c r="BK369" s="27" t="s">
        <v>8</v>
      </c>
      <c r="BL369" s="27" t="s">
        <v>7</v>
      </c>
      <c r="BM369" s="27" t="s">
        <v>8</v>
      </c>
      <c r="BN369" s="27" t="s">
        <v>7</v>
      </c>
      <c r="BP369" s="27" t="s">
        <v>7</v>
      </c>
      <c r="BU369" s="27" t="s">
        <v>8</v>
      </c>
      <c r="BV369" s="27" t="s">
        <v>7</v>
      </c>
      <c r="BY369" s="27" t="s">
        <v>8</v>
      </c>
    </row>
    <row r="370" spans="1:77" x14ac:dyDescent="0.25">
      <c r="A370" s="30">
        <v>1.759507494036873E-3</v>
      </c>
      <c r="B370"/>
      <c r="C370"/>
      <c r="D370"/>
      <c r="E370"/>
      <c r="F370" s="27" t="s">
        <v>7</v>
      </c>
      <c r="I370" s="27" t="s">
        <v>8</v>
      </c>
      <c r="J370" s="27" t="s">
        <v>7</v>
      </c>
      <c r="BC370" s="27" t="s">
        <v>8</v>
      </c>
      <c r="BD370" s="27" t="s">
        <v>7</v>
      </c>
      <c r="BE370" s="27" t="s">
        <v>8</v>
      </c>
      <c r="BF370" s="27" t="s">
        <v>7</v>
      </c>
      <c r="BG370" s="27" t="s">
        <v>8</v>
      </c>
      <c r="BH370" s="27" t="s">
        <v>7</v>
      </c>
      <c r="BK370" s="27" t="s">
        <v>8</v>
      </c>
      <c r="BL370" s="27" t="s">
        <v>7</v>
      </c>
      <c r="BM370" s="27" t="s">
        <v>8</v>
      </c>
      <c r="BP370" s="27" t="s">
        <v>7</v>
      </c>
      <c r="BQ370" s="27" t="s">
        <v>8</v>
      </c>
      <c r="BS370" s="27" t="s">
        <v>8</v>
      </c>
      <c r="BU370" s="27" t="s">
        <v>8</v>
      </c>
      <c r="BV370" s="27" t="s">
        <v>7</v>
      </c>
      <c r="BY370" s="27" t="s">
        <v>8</v>
      </c>
    </row>
    <row r="371" spans="1:77" x14ac:dyDescent="0.25">
      <c r="A371" s="30">
        <v>1.6757214228922594E-3</v>
      </c>
      <c r="B371"/>
      <c r="C371"/>
      <c r="D371"/>
      <c r="E371"/>
      <c r="F371" s="27" t="s">
        <v>7</v>
      </c>
      <c r="I371" s="27" t="s">
        <v>8</v>
      </c>
      <c r="J371" s="27" t="s">
        <v>7</v>
      </c>
      <c r="BC371" s="27" t="s">
        <v>8</v>
      </c>
      <c r="BD371" s="27" t="s">
        <v>7</v>
      </c>
      <c r="BE371" s="27" t="s">
        <v>8</v>
      </c>
      <c r="BF371" s="27" t="s">
        <v>7</v>
      </c>
      <c r="BH371" s="27" t="s">
        <v>7</v>
      </c>
      <c r="BI371" s="27" t="s">
        <v>8</v>
      </c>
      <c r="BK371" s="27" t="s">
        <v>8</v>
      </c>
      <c r="BL371" s="27" t="s">
        <v>7</v>
      </c>
      <c r="BM371" s="27" t="s">
        <v>8</v>
      </c>
      <c r="BP371" s="27" t="s">
        <v>7</v>
      </c>
      <c r="BQ371" s="27" t="s">
        <v>8</v>
      </c>
      <c r="BR371" s="27" t="s">
        <v>7</v>
      </c>
      <c r="BS371" s="27" t="s">
        <v>8</v>
      </c>
      <c r="BT371" s="27" t="s">
        <v>7</v>
      </c>
      <c r="BU371" s="27" t="s">
        <v>8</v>
      </c>
      <c r="BV371" s="27" t="s">
        <v>7</v>
      </c>
      <c r="BY371" s="27" t="s">
        <v>8</v>
      </c>
    </row>
    <row r="372" spans="1:77" x14ac:dyDescent="0.25">
      <c r="A372" s="30">
        <v>1.595925164659294E-3</v>
      </c>
      <c r="B372"/>
      <c r="C372"/>
      <c r="D372"/>
      <c r="E372"/>
      <c r="F372" s="27" t="s">
        <v>7</v>
      </c>
      <c r="I372" s="27" t="s">
        <v>8</v>
      </c>
      <c r="J372" s="27" t="s">
        <v>7</v>
      </c>
      <c r="BC372" s="27" t="s">
        <v>8</v>
      </c>
      <c r="BD372" s="27" t="s">
        <v>7</v>
      </c>
      <c r="BE372" s="27" t="s">
        <v>8</v>
      </c>
      <c r="BH372" s="27" t="s">
        <v>7</v>
      </c>
      <c r="BI372" s="27" t="s">
        <v>8</v>
      </c>
      <c r="BJ372" s="27" t="s">
        <v>7</v>
      </c>
      <c r="BK372" s="27" t="s">
        <v>8</v>
      </c>
      <c r="BL372" s="27" t="s">
        <v>7</v>
      </c>
      <c r="BM372" s="27" t="s">
        <v>8</v>
      </c>
      <c r="BP372" s="27" t="s">
        <v>7</v>
      </c>
      <c r="BQ372" s="27" t="s">
        <v>8</v>
      </c>
      <c r="BR372" s="27" t="s">
        <v>7</v>
      </c>
      <c r="BS372" s="27" t="s">
        <v>8</v>
      </c>
      <c r="BT372" s="27" t="s">
        <v>7</v>
      </c>
      <c r="BU372" s="27" t="s">
        <v>8</v>
      </c>
      <c r="BV372" s="27" t="s">
        <v>7</v>
      </c>
      <c r="BY372" s="27" t="s">
        <v>8</v>
      </c>
    </row>
    <row r="373" spans="1:77" x14ac:dyDescent="0.25">
      <c r="A373" s="30">
        <v>1.5199287282469461E-3</v>
      </c>
      <c r="B373"/>
      <c r="C373"/>
      <c r="D373"/>
      <c r="E373"/>
      <c r="F373" s="27" t="s">
        <v>7</v>
      </c>
      <c r="I373" s="27" t="s">
        <v>8</v>
      </c>
      <c r="J373" s="27" t="s">
        <v>7</v>
      </c>
      <c r="K373" s="27" t="s">
        <v>8</v>
      </c>
      <c r="S373" s="27" t="s">
        <v>8</v>
      </c>
      <c r="BC373" s="27" t="s">
        <v>8</v>
      </c>
      <c r="BD373" s="27" t="s">
        <v>7</v>
      </c>
      <c r="BE373" s="27" t="s">
        <v>8</v>
      </c>
      <c r="BH373" s="27" t="s">
        <v>7</v>
      </c>
      <c r="BI373" s="27" t="s">
        <v>8</v>
      </c>
      <c r="BJ373" s="27" t="s">
        <v>7</v>
      </c>
      <c r="BK373" s="27" t="s">
        <v>8</v>
      </c>
      <c r="BL373" s="27" t="s">
        <v>7</v>
      </c>
      <c r="BP373" s="27" t="s">
        <v>7</v>
      </c>
      <c r="BQ373" s="27" t="s">
        <v>8</v>
      </c>
      <c r="BR373" s="27" t="s">
        <v>7</v>
      </c>
      <c r="BS373" s="27" t="s">
        <v>8</v>
      </c>
      <c r="BT373" s="27" t="s">
        <v>7</v>
      </c>
      <c r="BU373" s="27" t="s">
        <v>8</v>
      </c>
      <c r="BV373" s="27" t="s">
        <v>7</v>
      </c>
      <c r="BW373" s="27" t="s">
        <v>8</v>
      </c>
      <c r="BY373" s="27" t="s">
        <v>8</v>
      </c>
    </row>
    <row r="374" spans="1:77" x14ac:dyDescent="0.25">
      <c r="A374" s="30">
        <v>1.4475511697589958E-3</v>
      </c>
      <c r="B374"/>
      <c r="C374"/>
      <c r="D374"/>
      <c r="E374"/>
      <c r="F374" s="27" t="s">
        <v>7</v>
      </c>
      <c r="I374" s="27" t="s">
        <v>8</v>
      </c>
      <c r="J374" s="27" t="s">
        <v>7</v>
      </c>
      <c r="K374" s="27" t="s">
        <v>8</v>
      </c>
      <c r="L374" s="27" t="s">
        <v>7</v>
      </c>
      <c r="O374" s="27" t="s">
        <v>8</v>
      </c>
      <c r="Q374" s="27" t="s">
        <v>8</v>
      </c>
      <c r="S374" s="27" t="s">
        <v>8</v>
      </c>
      <c r="T374" s="27" t="s">
        <v>7</v>
      </c>
      <c r="Y374" s="27" t="s">
        <v>8</v>
      </c>
      <c r="BC374" s="27" t="s">
        <v>8</v>
      </c>
      <c r="BD374" s="27" t="s">
        <v>7</v>
      </c>
      <c r="BE374" s="27" t="s">
        <v>8</v>
      </c>
      <c r="BH374" s="27" t="s">
        <v>7</v>
      </c>
      <c r="BI374" s="27" t="s">
        <v>8</v>
      </c>
      <c r="BJ374" s="27" t="s">
        <v>7</v>
      </c>
      <c r="BP374" s="27" t="s">
        <v>7</v>
      </c>
      <c r="BQ374" s="27" t="s">
        <v>8</v>
      </c>
      <c r="BR374" s="27" t="s">
        <v>7</v>
      </c>
      <c r="BS374" s="27" t="s">
        <v>8</v>
      </c>
      <c r="BT374" s="27" t="s">
        <v>7</v>
      </c>
      <c r="BV374" s="27" t="s">
        <v>7</v>
      </c>
      <c r="BW374" s="27" t="s">
        <v>8</v>
      </c>
      <c r="BX374" s="27" t="s">
        <v>7</v>
      </c>
      <c r="BY374" s="27" t="s">
        <v>8</v>
      </c>
    </row>
    <row r="375" spans="1:77" x14ac:dyDescent="0.25">
      <c r="A375" s="30">
        <v>1.3786201616752334E-3</v>
      </c>
      <c r="B375"/>
      <c r="C375"/>
      <c r="D375"/>
      <c r="E375"/>
      <c r="F375" s="27" t="s">
        <v>7</v>
      </c>
      <c r="I375" s="27" t="s">
        <v>8</v>
      </c>
      <c r="J375" s="27" t="s">
        <v>7</v>
      </c>
      <c r="K375" s="27" t="s">
        <v>8</v>
      </c>
      <c r="L375" s="27" t="s">
        <v>7</v>
      </c>
      <c r="M375" s="27" t="s">
        <v>8</v>
      </c>
      <c r="O375" s="27" t="s">
        <v>8</v>
      </c>
      <c r="P375" s="27" t="s">
        <v>7</v>
      </c>
      <c r="Q375" s="27" t="s">
        <v>8</v>
      </c>
      <c r="R375" s="27" t="s">
        <v>7</v>
      </c>
      <c r="S375" s="27" t="s">
        <v>8</v>
      </c>
      <c r="T375" s="27" t="s">
        <v>7</v>
      </c>
      <c r="Y375" s="27" t="s">
        <v>8</v>
      </c>
      <c r="Z375" s="27" t="s">
        <v>7</v>
      </c>
      <c r="AA375" s="27" t="s">
        <v>8</v>
      </c>
      <c r="BC375" s="27" t="s">
        <v>8</v>
      </c>
      <c r="BD375" s="27" t="s">
        <v>7</v>
      </c>
      <c r="BE375" s="27" t="s">
        <v>8</v>
      </c>
      <c r="BH375" s="27" t="s">
        <v>7</v>
      </c>
      <c r="BP375" s="27" t="s">
        <v>7</v>
      </c>
      <c r="BR375" s="27" t="s">
        <v>7</v>
      </c>
      <c r="BS375" s="27" t="s">
        <v>8</v>
      </c>
      <c r="BV375" s="27" t="s">
        <v>7</v>
      </c>
      <c r="BW375" s="27" t="s">
        <v>8</v>
      </c>
      <c r="BX375" s="27" t="s">
        <v>7</v>
      </c>
      <c r="BY375" s="27" t="s">
        <v>8</v>
      </c>
    </row>
    <row r="376" spans="1:77" x14ac:dyDescent="0.25">
      <c r="A376" s="30">
        <v>1.3129715825478407E-3</v>
      </c>
      <c r="B376"/>
      <c r="C376"/>
      <c r="D376"/>
      <c r="E376"/>
      <c r="F376" s="27" t="s">
        <v>7</v>
      </c>
      <c r="I376" s="27" t="s">
        <v>8</v>
      </c>
      <c r="J376" s="27" t="s">
        <v>7</v>
      </c>
      <c r="L376" s="27" t="s">
        <v>7</v>
      </c>
      <c r="M376" s="27" t="s">
        <v>8</v>
      </c>
      <c r="N376" s="27" t="s">
        <v>7</v>
      </c>
      <c r="O376" s="27" t="s">
        <v>8</v>
      </c>
      <c r="P376" s="27" t="s">
        <v>7</v>
      </c>
      <c r="Q376" s="27" t="s">
        <v>8</v>
      </c>
      <c r="R376" s="27" t="s">
        <v>7</v>
      </c>
      <c r="S376" s="27" t="s">
        <v>8</v>
      </c>
      <c r="T376" s="27" t="s">
        <v>7</v>
      </c>
      <c r="U376" s="27" t="s">
        <v>8</v>
      </c>
      <c r="W376" s="27" t="s">
        <v>8</v>
      </c>
      <c r="Y376" s="27" t="s">
        <v>8</v>
      </c>
      <c r="Z376" s="27" t="s">
        <v>7</v>
      </c>
      <c r="AA376" s="27" t="s">
        <v>8</v>
      </c>
      <c r="AB376" s="27" t="s">
        <v>7</v>
      </c>
      <c r="BC376" s="27" t="s">
        <v>8</v>
      </c>
      <c r="BD376" s="27" t="s">
        <v>7</v>
      </c>
      <c r="BE376" s="27" t="s">
        <v>8</v>
      </c>
      <c r="BR376" s="27" t="s">
        <v>7</v>
      </c>
      <c r="BV376" s="27" t="s">
        <v>7</v>
      </c>
      <c r="BW376" s="27" t="s">
        <v>8</v>
      </c>
      <c r="BX376" s="27" t="s">
        <v>7</v>
      </c>
      <c r="BY376" s="27" t="s">
        <v>8</v>
      </c>
    </row>
    <row r="377" spans="1:77" x14ac:dyDescent="0.25">
      <c r="A377" s="30">
        <v>1.2504491262360382E-3</v>
      </c>
      <c r="B377"/>
      <c r="C377"/>
      <c r="D377"/>
      <c r="E377"/>
      <c r="F377" s="27" t="s">
        <v>7</v>
      </c>
      <c r="I377" s="27" t="s">
        <v>8</v>
      </c>
      <c r="L377" s="27" t="s">
        <v>7</v>
      </c>
      <c r="M377" s="27" t="s">
        <v>8</v>
      </c>
      <c r="N377" s="27" t="s">
        <v>7</v>
      </c>
      <c r="O377" s="27" t="s">
        <v>8</v>
      </c>
      <c r="P377" s="27" t="s">
        <v>7</v>
      </c>
      <c r="Q377" s="27" t="s">
        <v>8</v>
      </c>
      <c r="R377" s="27" t="s">
        <v>7</v>
      </c>
      <c r="T377" s="27" t="s">
        <v>7</v>
      </c>
      <c r="U377" s="27" t="s">
        <v>8</v>
      </c>
      <c r="V377" s="27" t="s">
        <v>7</v>
      </c>
      <c r="W377" s="27" t="s">
        <v>8</v>
      </c>
      <c r="X377" s="27" t="s">
        <v>7</v>
      </c>
      <c r="Y377" s="27" t="s">
        <v>8</v>
      </c>
      <c r="Z377" s="27" t="s">
        <v>7</v>
      </c>
      <c r="AA377" s="27" t="s">
        <v>8</v>
      </c>
      <c r="AB377" s="27" t="s">
        <v>7</v>
      </c>
      <c r="AC377" s="27" t="s">
        <v>8</v>
      </c>
      <c r="BC377" s="27" t="s">
        <v>8</v>
      </c>
      <c r="BD377" s="27" t="s">
        <v>7</v>
      </c>
      <c r="BV377" s="27" t="s">
        <v>7</v>
      </c>
      <c r="BW377" s="27" t="s">
        <v>8</v>
      </c>
      <c r="BX377" s="27" t="s">
        <v>7</v>
      </c>
      <c r="BY377" s="27" t="s">
        <v>8</v>
      </c>
    </row>
    <row r="378" spans="1:77" x14ac:dyDescent="0.25">
      <c r="A378" s="30">
        <v>1.1909039297486072E-3</v>
      </c>
      <c r="B378"/>
      <c r="C378"/>
      <c r="D378"/>
      <c r="E378"/>
      <c r="F378" s="27" t="s">
        <v>7</v>
      </c>
      <c r="I378" s="27" t="s">
        <v>8</v>
      </c>
      <c r="L378" s="27" t="s">
        <v>7</v>
      </c>
      <c r="N378" s="27" t="s">
        <v>7</v>
      </c>
      <c r="O378" s="27" t="s">
        <v>8</v>
      </c>
      <c r="P378" s="27" t="s">
        <v>7</v>
      </c>
      <c r="T378" s="27" t="s">
        <v>7</v>
      </c>
      <c r="U378" s="27" t="s">
        <v>8</v>
      </c>
      <c r="V378" s="27" t="s">
        <v>7</v>
      </c>
      <c r="W378" s="27" t="s">
        <v>8</v>
      </c>
      <c r="X378" s="27" t="s">
        <v>7</v>
      </c>
      <c r="Y378" s="27" t="s">
        <v>8</v>
      </c>
      <c r="Z378" s="27" t="s">
        <v>7</v>
      </c>
      <c r="AA378" s="27" t="s">
        <v>8</v>
      </c>
      <c r="AB378" s="27" t="s">
        <v>7</v>
      </c>
      <c r="AC378" s="27" t="s">
        <v>8</v>
      </c>
      <c r="AD378" s="27" t="s">
        <v>7</v>
      </c>
      <c r="BC378" s="27" t="s">
        <v>8</v>
      </c>
      <c r="BV378" s="31" t="s">
        <v>7</v>
      </c>
      <c r="BW378" s="27" t="s">
        <v>8</v>
      </c>
      <c r="BX378" s="18" t="s">
        <v>7</v>
      </c>
    </row>
    <row r="379" spans="1:77" x14ac:dyDescent="0.25">
      <c r="A379" s="30">
        <v>1.1341942188081969E-3</v>
      </c>
      <c r="B379"/>
      <c r="C379"/>
      <c r="D379"/>
      <c r="E379"/>
      <c r="F379" s="27" t="s">
        <v>7</v>
      </c>
      <c r="I379" s="27" t="s">
        <v>8</v>
      </c>
      <c r="N379" s="27" t="s">
        <v>7</v>
      </c>
      <c r="T379" s="27" t="s">
        <v>7</v>
      </c>
      <c r="U379" s="27" t="s">
        <v>8</v>
      </c>
      <c r="V379" s="27" t="s">
        <v>7</v>
      </c>
      <c r="W379" s="27" t="s">
        <v>8</v>
      </c>
      <c r="X379" s="27" t="s">
        <v>7</v>
      </c>
      <c r="Y379" s="27" t="s">
        <v>8</v>
      </c>
      <c r="Z379" s="27" t="s">
        <v>7</v>
      </c>
      <c r="AA379" s="27" t="s">
        <v>8</v>
      </c>
      <c r="AB379" s="27" t="s">
        <v>7</v>
      </c>
      <c r="AC379" s="27" t="s">
        <v>8</v>
      </c>
      <c r="AD379" s="27" t="s">
        <v>7</v>
      </c>
      <c r="BC379" s="27" t="s">
        <v>8</v>
      </c>
      <c r="BU379" s="31"/>
      <c r="BV379" s="27" t="s">
        <v>7</v>
      </c>
      <c r="BW379" s="27" t="s">
        <v>8</v>
      </c>
    </row>
    <row r="380" spans="1:77" x14ac:dyDescent="0.25">
      <c r="A380" s="30">
        <v>1.0801849702935203E-3</v>
      </c>
      <c r="B380"/>
      <c r="C380"/>
      <c r="D380"/>
      <c r="E380"/>
      <c r="F380" s="27" t="s">
        <v>7</v>
      </c>
      <c r="I380" s="27" t="s">
        <v>8</v>
      </c>
      <c r="T380" s="27" t="s">
        <v>7</v>
      </c>
      <c r="U380" s="27" t="s">
        <v>8</v>
      </c>
      <c r="V380" s="27" t="s">
        <v>7</v>
      </c>
      <c r="W380" s="27" t="s">
        <v>8</v>
      </c>
      <c r="X380" s="27" t="s">
        <v>7</v>
      </c>
      <c r="Z380" s="27" t="s">
        <v>7</v>
      </c>
      <c r="AA380" s="27" t="s">
        <v>8</v>
      </c>
      <c r="AB380" s="27" t="s">
        <v>7</v>
      </c>
      <c r="AD380" s="27" t="s">
        <v>7</v>
      </c>
      <c r="BC380" s="27" t="s">
        <v>8</v>
      </c>
      <c r="BT380" s="31"/>
      <c r="BV380" s="27" t="s">
        <v>7</v>
      </c>
      <c r="BW380" s="27" t="s">
        <v>8</v>
      </c>
    </row>
    <row r="381" spans="1:77" x14ac:dyDescent="0.25">
      <c r="A381" s="30">
        <v>1.0287475907557332E-3</v>
      </c>
      <c r="B381"/>
      <c r="C381"/>
      <c r="D381"/>
      <c r="E381"/>
      <c r="F381" s="27" t="s">
        <v>7</v>
      </c>
      <c r="I381" s="27" t="s">
        <v>8</v>
      </c>
      <c r="T381" s="27" t="s">
        <v>7</v>
      </c>
      <c r="U381" s="27" t="s">
        <v>8</v>
      </c>
      <c r="V381" s="27" t="s">
        <v>7</v>
      </c>
      <c r="W381" s="27" t="s">
        <v>8</v>
      </c>
      <c r="Z381" s="27" t="s">
        <v>7</v>
      </c>
      <c r="AA381" s="27" t="s">
        <v>8</v>
      </c>
      <c r="AD381" s="27" t="s">
        <v>7</v>
      </c>
      <c r="AG381" s="27" t="s">
        <v>8</v>
      </c>
      <c r="BC381" s="27" t="s">
        <v>8</v>
      </c>
      <c r="BS381" s="31"/>
      <c r="BV381" s="27" t="s">
        <v>7</v>
      </c>
      <c r="BW381" s="27" t="s">
        <v>8</v>
      </c>
    </row>
    <row r="382" spans="1:77" x14ac:dyDescent="0.25">
      <c r="A382" s="30">
        <v>9.7731021121794646E-4</v>
      </c>
      <c r="F382" s="27" t="s">
        <v>7</v>
      </c>
      <c r="I382" s="27" t="s">
        <v>8</v>
      </c>
      <c r="T382" s="27" t="s">
        <v>7</v>
      </c>
      <c r="U382" s="27" t="s">
        <v>8</v>
      </c>
      <c r="V382" s="27" t="s">
        <v>7</v>
      </c>
      <c r="Z382" s="27" t="s">
        <v>7</v>
      </c>
      <c r="AA382" s="27" t="s">
        <v>8</v>
      </c>
      <c r="AD382" s="27" t="s">
        <v>7</v>
      </c>
      <c r="AG382" s="27" t="s">
        <v>8</v>
      </c>
      <c r="AH382" s="27" t="s">
        <v>7</v>
      </c>
      <c r="BC382" s="27" t="s">
        <v>8</v>
      </c>
      <c r="BR382" s="31"/>
      <c r="BV382" s="27" t="s">
        <v>7</v>
      </c>
    </row>
    <row r="383" spans="1:77" x14ac:dyDescent="0.25">
      <c r="A383" s="30">
        <v>9.2844470065704904E-4</v>
      </c>
      <c r="F383" s="27" t="s">
        <v>7</v>
      </c>
      <c r="I383" s="27" t="s">
        <v>8</v>
      </c>
      <c r="T383" s="27" t="s">
        <v>7</v>
      </c>
      <c r="U383" s="27" t="s">
        <v>8</v>
      </c>
      <c r="Z383" s="27" t="s">
        <v>7</v>
      </c>
      <c r="AA383" s="27" t="s">
        <v>8</v>
      </c>
      <c r="AD383" s="27" t="s">
        <v>7</v>
      </c>
      <c r="AE383" s="27" t="s">
        <v>8</v>
      </c>
      <c r="AG383" s="27" t="s">
        <v>8</v>
      </c>
      <c r="AH383" s="27" t="s">
        <v>7</v>
      </c>
      <c r="BC383" s="27" t="s">
        <v>8</v>
      </c>
      <c r="BQ383" s="31"/>
    </row>
    <row r="384" spans="1:77" x14ac:dyDescent="0.25">
      <c r="A384" s="30">
        <v>8.8202246562419653E-4</v>
      </c>
      <c r="F384" s="27" t="s">
        <v>7</v>
      </c>
      <c r="I384" s="27" t="s">
        <v>8</v>
      </c>
      <c r="T384" s="27" t="s">
        <v>7</v>
      </c>
      <c r="Z384" s="27" t="s">
        <v>7</v>
      </c>
      <c r="AD384" s="27" t="s">
        <v>7</v>
      </c>
      <c r="AE384" s="27" t="s">
        <v>8</v>
      </c>
      <c r="AF384" s="27" t="s">
        <v>7</v>
      </c>
      <c r="AG384" s="27" t="s">
        <v>8</v>
      </c>
      <c r="AH384" s="27" t="s">
        <v>7</v>
      </c>
      <c r="BC384" s="27" t="s">
        <v>8</v>
      </c>
      <c r="BP384" s="31"/>
    </row>
    <row r="385" spans="1:67" x14ac:dyDescent="0.25">
      <c r="A385" s="30">
        <v>8.3792134234298668E-4</v>
      </c>
      <c r="F385" s="27" t="s">
        <v>7</v>
      </c>
      <c r="G385" s="27" t="s">
        <v>8</v>
      </c>
      <c r="I385" s="27" t="s">
        <v>8</v>
      </c>
      <c r="AD385" s="27" t="s">
        <v>7</v>
      </c>
      <c r="AE385" s="27" t="s">
        <v>8</v>
      </c>
      <c r="AF385" s="27" t="s">
        <v>7</v>
      </c>
      <c r="AG385" s="27" t="s">
        <v>8</v>
      </c>
      <c r="AH385" s="27" t="s">
        <v>7</v>
      </c>
      <c r="BC385" s="27" t="s">
        <v>8</v>
      </c>
      <c r="BO385" s="31"/>
    </row>
    <row r="386" spans="1:67" x14ac:dyDescent="0.25">
      <c r="A386" s="30">
        <v>7.9602527522583736E-4</v>
      </c>
      <c r="F386" s="27" t="s">
        <v>7</v>
      </c>
      <c r="G386" s="27" t="s">
        <v>8</v>
      </c>
      <c r="H386" s="27" t="s">
        <v>7</v>
      </c>
      <c r="I386" s="27" t="s">
        <v>8</v>
      </c>
      <c r="AD386" s="27" t="s">
        <v>7</v>
      </c>
      <c r="AF386" s="27" t="s">
        <v>7</v>
      </c>
      <c r="AG386" s="27" t="s">
        <v>8</v>
      </c>
      <c r="AH386" s="27" t="s">
        <v>7</v>
      </c>
      <c r="BA386" s="27" t="s">
        <v>8</v>
      </c>
      <c r="BC386" s="27" t="s">
        <v>8</v>
      </c>
      <c r="BN386" s="31"/>
    </row>
    <row r="387" spans="1:67" x14ac:dyDescent="0.25">
      <c r="A387" s="30">
        <v>7.5622401146454546E-4</v>
      </c>
      <c r="F387" s="27" t="s">
        <v>7</v>
      </c>
      <c r="G387" s="27" t="s">
        <v>8</v>
      </c>
      <c r="H387" s="27" t="s">
        <v>7</v>
      </c>
      <c r="I387" s="27" t="s">
        <v>8</v>
      </c>
      <c r="AF387" s="27" t="s">
        <v>7</v>
      </c>
      <c r="AG387" s="27" t="s">
        <v>8</v>
      </c>
      <c r="AH387" s="27" t="s">
        <v>7</v>
      </c>
      <c r="BA387" s="27" t="s">
        <v>8</v>
      </c>
      <c r="BB387" s="27" t="s">
        <v>7</v>
      </c>
      <c r="BC387" s="27" t="s">
        <v>8</v>
      </c>
      <c r="BM387" s="31"/>
    </row>
    <row r="388" spans="1:67" x14ac:dyDescent="0.25">
      <c r="A388" s="30">
        <v>7.1841281089131816E-4</v>
      </c>
      <c r="F388" s="27" t="s">
        <v>7</v>
      </c>
      <c r="H388" s="27" t="s">
        <v>7</v>
      </c>
      <c r="AF388" s="27" t="s">
        <v>7</v>
      </c>
      <c r="AH388" s="27" t="s">
        <v>7</v>
      </c>
      <c r="BA388" s="27" t="s">
        <v>8</v>
      </c>
      <c r="BB388" s="27" t="s">
        <v>7</v>
      </c>
      <c r="BC388" s="27" t="s">
        <v>8</v>
      </c>
      <c r="BL388" s="31"/>
    </row>
    <row r="389" spans="1:67" x14ac:dyDescent="0.25">
      <c r="A389" s="30">
        <v>6.8249217034675226E-4</v>
      </c>
      <c r="AH389" s="27" t="s">
        <v>7</v>
      </c>
      <c r="BA389" s="27" t="s">
        <v>8</v>
      </c>
      <c r="BB389" s="27" t="s">
        <v>7</v>
      </c>
      <c r="BC389" s="27" t="s">
        <v>8</v>
      </c>
      <c r="BK389" s="31"/>
    </row>
    <row r="390" spans="1:67" x14ac:dyDescent="0.25">
      <c r="A390" s="30">
        <v>6.4836756182941465E-4</v>
      </c>
      <c r="AH390" s="27" t="s">
        <v>7</v>
      </c>
      <c r="AU390" s="27" t="s">
        <v>8</v>
      </c>
      <c r="AW390" s="27" t="s">
        <v>8</v>
      </c>
      <c r="BA390" s="27" t="s">
        <v>8</v>
      </c>
      <c r="BB390" s="27" t="s">
        <v>7</v>
      </c>
      <c r="BC390" s="27" t="s">
        <v>8</v>
      </c>
      <c r="BJ390" s="31"/>
    </row>
    <row r="391" spans="1:67" x14ac:dyDescent="0.25">
      <c r="A391" s="30">
        <v>6.1594918373794388E-4</v>
      </c>
      <c r="AH391" s="27" t="s">
        <v>7</v>
      </c>
      <c r="AU391" s="27" t="s">
        <v>8</v>
      </c>
      <c r="AV391" s="27" t="s">
        <v>7</v>
      </c>
      <c r="AW391" s="27" t="s">
        <v>8</v>
      </c>
      <c r="AX391" s="27" t="s">
        <v>7</v>
      </c>
      <c r="AY391" s="27" t="s">
        <v>8</v>
      </c>
      <c r="BA391" s="27" t="s">
        <v>8</v>
      </c>
      <c r="BB391" s="27" t="s">
        <v>7</v>
      </c>
      <c r="BC391" s="27" t="s">
        <v>8</v>
      </c>
      <c r="BI391" s="31"/>
    </row>
    <row r="392" spans="1:67" x14ac:dyDescent="0.25">
      <c r="A392" s="30">
        <v>5.8515172455104666E-4</v>
      </c>
      <c r="AH392" s="27" t="s">
        <v>7</v>
      </c>
      <c r="AU392" s="27" t="s">
        <v>8</v>
      </c>
      <c r="AV392" s="27" t="s">
        <v>7</v>
      </c>
      <c r="AW392" s="27" t="s">
        <v>8</v>
      </c>
      <c r="AX392" s="27" t="s">
        <v>7</v>
      </c>
      <c r="AY392" s="27" t="s">
        <v>8</v>
      </c>
      <c r="AZ392" s="27" t="s">
        <v>7</v>
      </c>
      <c r="BA392" s="27" t="s">
        <v>8</v>
      </c>
      <c r="BB392" s="27" t="s">
        <v>7</v>
      </c>
      <c r="BH392" s="31"/>
    </row>
    <row r="393" spans="1:67" x14ac:dyDescent="0.25">
      <c r="A393" s="30">
        <v>5.5589413832349429E-4</v>
      </c>
      <c r="AH393" s="27" t="s">
        <v>7</v>
      </c>
      <c r="AI393" s="27" t="s">
        <v>8</v>
      </c>
      <c r="AK393" s="27" t="s">
        <v>8</v>
      </c>
      <c r="AM393" s="27" t="s">
        <v>8</v>
      </c>
      <c r="AU393" s="27" t="s">
        <v>8</v>
      </c>
      <c r="AV393" s="27" t="s">
        <v>7</v>
      </c>
      <c r="AW393" s="27" t="s">
        <v>8</v>
      </c>
      <c r="AX393" s="27" t="s">
        <v>7</v>
      </c>
      <c r="AY393" s="27" t="s">
        <v>8</v>
      </c>
      <c r="AZ393" s="27" t="s">
        <v>7</v>
      </c>
      <c r="BA393" s="27" t="s">
        <v>8</v>
      </c>
      <c r="BG393" s="31"/>
    </row>
    <row r="394" spans="1:67" x14ac:dyDescent="0.25">
      <c r="A394" s="30">
        <v>5.2809943140731956E-4</v>
      </c>
      <c r="AH394" s="27" t="s">
        <v>7</v>
      </c>
      <c r="AI394" s="27" t="s">
        <v>8</v>
      </c>
      <c r="AJ394" s="27" t="s">
        <v>7</v>
      </c>
      <c r="AK394" s="27" t="s">
        <v>8</v>
      </c>
      <c r="AL394" s="27" t="s">
        <v>7</v>
      </c>
      <c r="AM394" s="27" t="s">
        <v>8</v>
      </c>
      <c r="AN394" s="27" t="s">
        <v>7</v>
      </c>
      <c r="AU394" s="27" t="s">
        <v>8</v>
      </c>
      <c r="AV394" s="27" t="s">
        <v>7</v>
      </c>
      <c r="AW394" s="27" t="s">
        <v>8</v>
      </c>
      <c r="AX394" s="27" t="s">
        <v>7</v>
      </c>
      <c r="AY394" s="27" t="s">
        <v>8</v>
      </c>
      <c r="AZ394" s="27" t="s">
        <v>7</v>
      </c>
      <c r="BA394" s="27" t="s">
        <v>8</v>
      </c>
      <c r="BF394" s="31"/>
    </row>
    <row r="395" spans="1:67" x14ac:dyDescent="0.25">
      <c r="A395" s="30">
        <v>5.0169445983695357E-4</v>
      </c>
      <c r="AH395" s="27" t="s">
        <v>7</v>
      </c>
      <c r="AI395" s="27" t="s">
        <v>8</v>
      </c>
      <c r="AJ395" s="27" t="s">
        <v>7</v>
      </c>
      <c r="AK395" s="27" t="s">
        <v>8</v>
      </c>
      <c r="AL395" s="27" t="s">
        <v>7</v>
      </c>
      <c r="AM395" s="27" t="s">
        <v>8</v>
      </c>
      <c r="AN395" s="27" t="s">
        <v>7</v>
      </c>
      <c r="AU395" s="27" t="s">
        <v>8</v>
      </c>
      <c r="AV395" s="27" t="s">
        <v>7</v>
      </c>
      <c r="AW395" s="27" t="s">
        <v>8</v>
      </c>
      <c r="AX395" s="27" t="s">
        <v>7</v>
      </c>
      <c r="AY395" s="27" t="s">
        <v>8</v>
      </c>
      <c r="AZ395" s="27" t="s">
        <v>7</v>
      </c>
      <c r="BE395" s="31"/>
    </row>
    <row r="396" spans="1:67" x14ac:dyDescent="0.25">
      <c r="A396" s="30">
        <v>4.7660973684510589E-4</v>
      </c>
      <c r="AH396" s="27" t="s">
        <v>7</v>
      </c>
      <c r="AI396" s="27" t="s">
        <v>8</v>
      </c>
      <c r="AJ396" s="27" t="s">
        <v>7</v>
      </c>
      <c r="AL396" s="27" t="s">
        <v>7</v>
      </c>
      <c r="AN396" s="27" t="s">
        <v>7</v>
      </c>
      <c r="AU396" s="27" t="s">
        <v>8</v>
      </c>
      <c r="AV396" s="27" t="s">
        <v>7</v>
      </c>
      <c r="AW396" s="27" t="s">
        <v>8</v>
      </c>
      <c r="AX396" s="27" t="s">
        <v>7</v>
      </c>
      <c r="BD396" s="31"/>
    </row>
    <row r="397" spans="1:67" x14ac:dyDescent="0.25">
      <c r="A397" s="30">
        <v>4.5277925000285056E-4</v>
      </c>
      <c r="AH397" s="27" t="s">
        <v>7</v>
      </c>
      <c r="AN397" s="27" t="s">
        <v>7</v>
      </c>
      <c r="AU397" s="27" t="s">
        <v>8</v>
      </c>
      <c r="AV397" s="27" t="s">
        <v>7</v>
      </c>
      <c r="BC397" s="31"/>
    </row>
    <row r="398" spans="1:67" x14ac:dyDescent="0.25">
      <c r="A398" s="30">
        <v>4.3014028750270803E-4</v>
      </c>
      <c r="AN398" s="27" t="s">
        <v>7</v>
      </c>
      <c r="AQ398" s="27" t="s">
        <v>8</v>
      </c>
      <c r="AU398" s="27" t="s">
        <v>8</v>
      </c>
      <c r="BB398" s="31"/>
    </row>
    <row r="399" spans="1:67" x14ac:dyDescent="0.25">
      <c r="A399" s="30">
        <v>4.0863327312757263E-4</v>
      </c>
      <c r="AN399" s="27" t="s">
        <v>7</v>
      </c>
      <c r="AQ399" s="27" t="s">
        <v>8</v>
      </c>
      <c r="AR399" s="27" t="s">
        <v>7</v>
      </c>
      <c r="AU399" s="27" t="s">
        <v>8</v>
      </c>
      <c r="BA399" s="31"/>
    </row>
    <row r="400" spans="1:67" x14ac:dyDescent="0.25">
      <c r="A400" s="30">
        <v>3.8820160947119396E-4</v>
      </c>
      <c r="AN400" s="27" t="s">
        <v>7</v>
      </c>
      <c r="AQ400" s="27" t="s">
        <v>8</v>
      </c>
      <c r="AR400" s="27" t="s">
        <v>7</v>
      </c>
      <c r="AS400" s="27" t="s">
        <v>8</v>
      </c>
      <c r="AU400" s="27" t="s">
        <v>8</v>
      </c>
      <c r="AZ400" s="31"/>
    </row>
    <row r="401" spans="1:51" x14ac:dyDescent="0.25">
      <c r="A401" s="30">
        <v>3.6879152899763426E-4</v>
      </c>
      <c r="AN401" s="27" t="s">
        <v>7</v>
      </c>
      <c r="AO401" s="27" t="s">
        <v>8</v>
      </c>
      <c r="AQ401" s="27" t="s">
        <v>8</v>
      </c>
      <c r="AR401" s="27" t="s">
        <v>7</v>
      </c>
      <c r="AS401" s="27" t="s">
        <v>8</v>
      </c>
      <c r="AT401" s="27" t="s">
        <v>7</v>
      </c>
      <c r="AU401" s="27" t="s">
        <v>8</v>
      </c>
      <c r="AY401" s="31"/>
    </row>
    <row r="402" spans="1:51" x14ac:dyDescent="0.25">
      <c r="A402" s="30">
        <v>3.5035195254775253E-4</v>
      </c>
      <c r="AN402" s="27" t="s">
        <v>7</v>
      </c>
      <c r="AO402" s="27" t="s">
        <v>8</v>
      </c>
      <c r="AP402" s="27" t="s">
        <v>7</v>
      </c>
      <c r="AQ402" s="27" t="s">
        <v>8</v>
      </c>
      <c r="AR402" s="27" t="s">
        <v>7</v>
      </c>
      <c r="AS402" s="27" t="s">
        <v>8</v>
      </c>
      <c r="AT402" s="27" t="s">
        <v>7</v>
      </c>
      <c r="AU402" s="27" t="s">
        <v>8</v>
      </c>
      <c r="AX402" s="31"/>
    </row>
    <row r="403" spans="1:51" x14ac:dyDescent="0.25">
      <c r="A403" s="30">
        <v>3.3283435492036491E-4</v>
      </c>
      <c r="AN403" s="27" t="s">
        <v>7</v>
      </c>
      <c r="AO403" s="27" t="s">
        <v>8</v>
      </c>
      <c r="AP403" s="27" t="s">
        <v>7</v>
      </c>
      <c r="AQ403" s="27" t="s">
        <v>8</v>
      </c>
      <c r="AR403" s="27" t="s">
        <v>7</v>
      </c>
      <c r="AS403" s="27" t="s">
        <v>8</v>
      </c>
      <c r="AT403" s="27" t="s">
        <v>7</v>
      </c>
      <c r="AU403" s="27" t="s">
        <v>8</v>
      </c>
      <c r="AW403" s="31"/>
    </row>
    <row r="404" spans="1:51" x14ac:dyDescent="0.25">
      <c r="A404" s="30">
        <v>3.1619263717434668E-4</v>
      </c>
      <c r="AN404" s="27" t="s">
        <v>7</v>
      </c>
      <c r="AP404" s="27" t="s">
        <v>7</v>
      </c>
      <c r="AQ404" s="27" t="s">
        <v>8</v>
      </c>
      <c r="AR404" s="27" t="s">
        <v>7</v>
      </c>
      <c r="AT404" s="27" t="s">
        <v>7</v>
      </c>
      <c r="AU404" s="27" t="s">
        <v>8</v>
      </c>
      <c r="AV404" s="31"/>
    </row>
    <row r="405" spans="1:51" x14ac:dyDescent="0.25">
      <c r="A405" s="30">
        <v>3.0038300531562933E-4</v>
      </c>
      <c r="AP405" s="27" t="s">
        <v>7</v>
      </c>
      <c r="AQ405" s="27" t="s">
        <v>8</v>
      </c>
      <c r="AT405" s="27" t="s">
        <v>7</v>
      </c>
      <c r="AU405" s="31" t="s">
        <v>8</v>
      </c>
    </row>
    <row r="406" spans="1:51" x14ac:dyDescent="0.25">
      <c r="A406" s="30">
        <v>2.8536385504984783E-4</v>
      </c>
      <c r="AP406" s="27" t="s">
        <v>7</v>
      </c>
      <c r="AQ406" s="27" t="s">
        <v>8</v>
      </c>
      <c r="AT406" s="31" t="s">
        <v>7</v>
      </c>
    </row>
    <row r="407" spans="1:51" x14ac:dyDescent="0.25">
      <c r="A407" s="30">
        <v>2.7109566229735542E-4</v>
      </c>
      <c r="AP407" s="27" t="s">
        <v>7</v>
      </c>
      <c r="AQ407" s="27" t="s">
        <v>8</v>
      </c>
    </row>
    <row r="408" spans="1:51" x14ac:dyDescent="0.25">
      <c r="A408" s="30">
        <v>2.5754087918248761E-4</v>
      </c>
      <c r="AP408" s="27" t="s">
        <v>7</v>
      </c>
      <c r="AQ408" s="27" t="s">
        <v>8</v>
      </c>
    </row>
    <row r="409" spans="1:51" x14ac:dyDescent="0.25">
      <c r="A409" s="30">
        <v>2.4466383522336323E-4</v>
      </c>
      <c r="AP409" s="27" t="s">
        <v>7</v>
      </c>
    </row>
    <row r="410" spans="1:51" x14ac:dyDescent="0.25">
      <c r="A410" s="30">
        <v>2.3243064346219506E-4</v>
      </c>
    </row>
    <row r="411" spans="1:51" x14ac:dyDescent="0.25">
      <c r="A411" s="30">
        <v>2.2080911128908529E-4</v>
      </c>
    </row>
    <row r="412" spans="1:51" x14ac:dyDescent="0.25">
      <c r="A412" s="30">
        <v>2.0976865572463102E-4</v>
      </c>
    </row>
    <row r="413" spans="1:51" x14ac:dyDescent="0.25">
      <c r="A413" s="30">
        <v>1.9928022293839946E-4</v>
      </c>
    </row>
    <row r="414" spans="1:51" x14ac:dyDescent="0.25">
      <c r="A414" s="30">
        <v>1.8931621179147948E-4</v>
      </c>
    </row>
    <row r="415" spans="1:51" x14ac:dyDescent="0.25">
      <c r="A415" s="30">
        <v>1.798504012019055E-4</v>
      </c>
    </row>
    <row r="416" spans="1:5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J86" sqref="AJ8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35" x14ac:dyDescent="0.25">
      <c r="A65" s="30">
        <v>207.96505671840671</v>
      </c>
      <c r="E65"/>
    </row>
    <row r="66" spans="1:35" x14ac:dyDescent="0.25">
      <c r="A66" s="30">
        <v>189.05914247127882</v>
      </c>
      <c r="E66"/>
    </row>
    <row r="67" spans="1:35" x14ac:dyDescent="0.25">
      <c r="A67" s="30">
        <v>171.87194770116255</v>
      </c>
      <c r="C67" s="1" t="s">
        <v>15</v>
      </c>
      <c r="E67"/>
    </row>
    <row r="68" spans="1:35" x14ac:dyDescent="0.25">
      <c r="A68" s="30">
        <v>156.24722518287504</v>
      </c>
      <c r="C68" s="7">
        <v>0.11167815779424731</v>
      </c>
      <c r="D68"/>
      <c r="E68"/>
    </row>
    <row r="69" spans="1:35" x14ac:dyDescent="0.25">
      <c r="A69" s="30">
        <v>142.04293198443185</v>
      </c>
      <c r="E69"/>
    </row>
    <row r="70" spans="1:35" x14ac:dyDescent="0.25">
      <c r="A70" s="30">
        <v>129.1299381676653</v>
      </c>
      <c r="C70" s="1" t="s">
        <v>11</v>
      </c>
      <c r="D70" s="1" t="s">
        <v>12</v>
      </c>
      <c r="E70"/>
    </row>
    <row r="71" spans="1:35" x14ac:dyDescent="0.25">
      <c r="A71" s="30">
        <v>117.39085287969573</v>
      </c>
      <c r="C71"/>
      <c r="D71"/>
      <c r="E71"/>
    </row>
    <row r="72" spans="1:35" x14ac:dyDescent="0.25">
      <c r="A72" s="30">
        <v>106.71895716335975</v>
      </c>
      <c r="E72"/>
    </row>
    <row r="73" spans="1:35" x14ac:dyDescent="0.25">
      <c r="A73" s="30">
        <v>97.017233784872488</v>
      </c>
      <c r="C73" s="1" t="s">
        <v>13</v>
      </c>
      <c r="E73"/>
    </row>
    <row r="74" spans="1:35" x14ac:dyDescent="0.25">
      <c r="A74" s="30">
        <v>88.197485258974979</v>
      </c>
      <c r="C74" s="1">
        <f>C63</f>
        <v>0</v>
      </c>
      <c r="E74"/>
      <c r="AE74" s="27" t="s">
        <v>8</v>
      </c>
    </row>
    <row r="75" spans="1:35" x14ac:dyDescent="0.25">
      <c r="A75" s="30">
        <v>80.179532053613613</v>
      </c>
      <c r="C75"/>
      <c r="D75"/>
      <c r="E75"/>
      <c r="AE75" s="27" t="s">
        <v>8</v>
      </c>
      <c r="AF75" s="27" t="s">
        <v>7</v>
      </c>
    </row>
    <row r="76" spans="1:35" x14ac:dyDescent="0.25">
      <c r="A76" s="30">
        <v>72.890483685103277</v>
      </c>
      <c r="C76" s="1" t="s">
        <v>14</v>
      </c>
      <c r="E76"/>
      <c r="AE76" s="27" t="s">
        <v>8</v>
      </c>
      <c r="AF76" s="27" t="s">
        <v>7</v>
      </c>
      <c r="AG76" s="27" t="s">
        <v>8</v>
      </c>
    </row>
    <row r="77" spans="1:3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AE77" s="27" t="s">
        <v>8</v>
      </c>
      <c r="AF77" s="27" t="s">
        <v>7</v>
      </c>
      <c r="AG77" s="27" t="s">
        <v>8</v>
      </c>
      <c r="AH77" s="27" t="s">
        <v>7</v>
      </c>
    </row>
    <row r="78" spans="1:35" x14ac:dyDescent="0.25">
      <c r="A78" s="30">
        <v>60.240069161242367</v>
      </c>
      <c r="E78"/>
      <c r="AE78" s="27" t="s">
        <v>8</v>
      </c>
      <c r="AF78" s="27" t="s">
        <v>7</v>
      </c>
      <c r="AG78" s="27" t="s">
        <v>8</v>
      </c>
      <c r="AH78" s="27" t="s">
        <v>7</v>
      </c>
    </row>
    <row r="79" spans="1:35" x14ac:dyDescent="0.25">
      <c r="A79" s="30">
        <v>54.763699237493057</v>
      </c>
      <c r="E79"/>
      <c r="AE79" s="27" t="s">
        <v>8</v>
      </c>
      <c r="AF79" s="27" t="s">
        <v>7</v>
      </c>
      <c r="AG79" s="27" t="s">
        <v>8</v>
      </c>
      <c r="AH79" s="27" t="s">
        <v>7</v>
      </c>
    </row>
    <row r="80" spans="1:35" x14ac:dyDescent="0.25">
      <c r="A80" s="30">
        <v>49.785181124993684</v>
      </c>
      <c r="E80"/>
      <c r="AE80" s="27" t="s">
        <v>8</v>
      </c>
      <c r="AF80" s="27" t="s">
        <v>7</v>
      </c>
      <c r="AH80" s="27" t="s">
        <v>7</v>
      </c>
      <c r="AI80" s="27" t="s">
        <v>8</v>
      </c>
    </row>
    <row r="81" spans="1:36" x14ac:dyDescent="0.25">
      <c r="A81" s="30">
        <v>45.259255568176073</v>
      </c>
      <c r="E81"/>
      <c r="AE81" s="27" t="s">
        <v>8</v>
      </c>
      <c r="AH81" s="27" t="s">
        <v>7</v>
      </c>
      <c r="AI81" s="27" t="s">
        <v>8</v>
      </c>
      <c r="AJ81" s="27" t="s">
        <v>7</v>
      </c>
    </row>
    <row r="82" spans="1:36" x14ac:dyDescent="0.25">
      <c r="A82" s="30">
        <v>41.144777789250973</v>
      </c>
      <c r="E82"/>
      <c r="AE82" s="27" t="s">
        <v>8</v>
      </c>
      <c r="AH82" s="27" t="s">
        <v>7</v>
      </c>
      <c r="AI82" s="27" t="s">
        <v>8</v>
      </c>
      <c r="AJ82" s="27" t="s">
        <v>7</v>
      </c>
    </row>
    <row r="83" spans="1:36" x14ac:dyDescent="0.25">
      <c r="A83" s="30">
        <v>37.404343444773609</v>
      </c>
      <c r="E83"/>
      <c r="AE83" s="27" t="s">
        <v>8</v>
      </c>
      <c r="AH83" s="27" t="s">
        <v>7</v>
      </c>
      <c r="AI83" s="27" t="s">
        <v>8</v>
      </c>
      <c r="AJ83" s="27" t="s">
        <v>7</v>
      </c>
    </row>
    <row r="84" spans="1:36" x14ac:dyDescent="0.25">
      <c r="A84" s="30">
        <v>34.003948586157826</v>
      </c>
      <c r="E84"/>
      <c r="AE84" s="27" t="s">
        <v>8</v>
      </c>
      <c r="AH84" s="27" t="s">
        <v>7</v>
      </c>
      <c r="AJ84" s="27" t="s">
        <v>7</v>
      </c>
    </row>
    <row r="85" spans="1:36" x14ac:dyDescent="0.25">
      <c r="A85" s="30">
        <v>30.912680532870748</v>
      </c>
      <c r="E85"/>
      <c r="AE85" s="27" t="s">
        <v>8</v>
      </c>
      <c r="AJ85" s="27" t="s">
        <v>7</v>
      </c>
    </row>
    <row r="86" spans="1:36" x14ac:dyDescent="0.25">
      <c r="A86" s="30">
        <v>28.102436848064315</v>
      </c>
      <c r="E86"/>
      <c r="AE86" s="27" t="s">
        <v>8</v>
      </c>
      <c r="AJ86" s="27" t="s">
        <v>7</v>
      </c>
    </row>
    <row r="87" spans="1:36" x14ac:dyDescent="0.25">
      <c r="A87" s="30">
        <v>25.547669861876649</v>
      </c>
      <c r="E87"/>
      <c r="AE87" s="27" t="s">
        <v>8</v>
      </c>
    </row>
    <row r="88" spans="1:36" x14ac:dyDescent="0.25">
      <c r="A88" s="30">
        <v>23.225154419887861</v>
      </c>
      <c r="E88"/>
      <c r="AE88" s="27" t="s">
        <v>8</v>
      </c>
    </row>
    <row r="89" spans="1:36" x14ac:dyDescent="0.25">
      <c r="A89" s="30">
        <v>21.113776745352599</v>
      </c>
      <c r="E89"/>
      <c r="AE89" s="27" t="s">
        <v>8</v>
      </c>
    </row>
    <row r="90" spans="1:36" x14ac:dyDescent="0.25">
      <c r="A90" s="30">
        <v>19.194342495775089</v>
      </c>
      <c r="E90"/>
      <c r="AE90" s="27" t="s">
        <v>8</v>
      </c>
    </row>
    <row r="91" spans="1:36" x14ac:dyDescent="0.25">
      <c r="A91" s="30">
        <v>17.449402268886445</v>
      </c>
      <c r="E91"/>
      <c r="AE91" s="27" t="s">
        <v>8</v>
      </c>
    </row>
    <row r="92" spans="1:36" x14ac:dyDescent="0.25">
      <c r="A92" s="30">
        <v>15.863092971714948</v>
      </c>
      <c r="C92" s="1" t="s">
        <v>15</v>
      </c>
      <c r="E92"/>
      <c r="AE92" s="27" t="s">
        <v>8</v>
      </c>
    </row>
    <row r="93" spans="1:36" x14ac:dyDescent="0.25">
      <c r="A93" s="30">
        <v>14.420993610649951</v>
      </c>
      <c r="C93" s="7">
        <v>0.11167815779424731</v>
      </c>
      <c r="D93"/>
      <c r="E93"/>
      <c r="AE93" s="27" t="s">
        <v>8</v>
      </c>
    </row>
    <row r="94" spans="1:36" x14ac:dyDescent="0.25">
      <c r="A94" s="30">
        <v>13.109994191499954</v>
      </c>
      <c r="E94"/>
      <c r="AE94" s="27" t="s">
        <v>8</v>
      </c>
    </row>
    <row r="95" spans="1:36" x14ac:dyDescent="0.25">
      <c r="A95" s="30">
        <v>11.918176537727231</v>
      </c>
      <c r="C95" s="1" t="s">
        <v>11</v>
      </c>
      <c r="D95" s="1" t="s">
        <v>12</v>
      </c>
      <c r="E95"/>
      <c r="AE95" s="27" t="s">
        <v>8</v>
      </c>
    </row>
    <row r="96" spans="1:36" x14ac:dyDescent="0.25">
      <c r="A96" s="30">
        <v>10.834705943388391</v>
      </c>
      <c r="C96"/>
      <c r="D96"/>
      <c r="E96"/>
      <c r="AE96" s="27" t="s">
        <v>8</v>
      </c>
    </row>
    <row r="97" spans="1:31" x14ac:dyDescent="0.25">
      <c r="A97" s="30">
        <v>9.849732675807628</v>
      </c>
      <c r="E97"/>
      <c r="AE97" s="27" t="s">
        <v>8</v>
      </c>
    </row>
    <row r="98" spans="1:31" x14ac:dyDescent="0.25">
      <c r="A98" s="30">
        <v>8.9543024325523888</v>
      </c>
      <c r="C98" s="1" t="s">
        <v>13</v>
      </c>
      <c r="E98"/>
      <c r="AE98" s="27" t="s">
        <v>8</v>
      </c>
    </row>
    <row r="99" spans="1:31" x14ac:dyDescent="0.25">
      <c r="A99" s="30">
        <v>8.140274938683989</v>
      </c>
      <c r="C99" s="1">
        <f>C88</f>
        <v>0</v>
      </c>
      <c r="E99"/>
      <c r="AE99" s="27" t="s">
        <v>8</v>
      </c>
    </row>
    <row r="100" spans="1:31" x14ac:dyDescent="0.25">
      <c r="A100" s="30">
        <v>7.4002499442581717</v>
      </c>
      <c r="C100"/>
      <c r="D100"/>
      <c r="E100"/>
      <c r="AE100" s="27" t="s">
        <v>8</v>
      </c>
    </row>
    <row r="101" spans="1:31" x14ac:dyDescent="0.25">
      <c r="A101" s="30">
        <v>6.72749994932561</v>
      </c>
      <c r="C101" s="1" t="s">
        <v>14</v>
      </c>
      <c r="E101"/>
      <c r="AE101" s="27" t="s">
        <v>8</v>
      </c>
    </row>
    <row r="102" spans="1:31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AE102" s="27" t="s">
        <v>8</v>
      </c>
    </row>
    <row r="103" spans="1:31" x14ac:dyDescent="0.25">
      <c r="A103" s="30">
        <v>5.5599173134922388</v>
      </c>
      <c r="E103"/>
      <c r="AE103" s="27" t="s">
        <v>8</v>
      </c>
    </row>
    <row r="104" spans="1:31" x14ac:dyDescent="0.25">
      <c r="A104" s="30">
        <v>5.0544702849929442</v>
      </c>
      <c r="E104"/>
      <c r="AE104" s="27" t="s">
        <v>8</v>
      </c>
    </row>
    <row r="105" spans="1:31" x14ac:dyDescent="0.25">
      <c r="A105" s="30">
        <v>4.594972986357222</v>
      </c>
      <c r="E105"/>
      <c r="AE105" s="27" t="s">
        <v>8</v>
      </c>
    </row>
    <row r="106" spans="1:31" x14ac:dyDescent="0.25">
      <c r="A106" s="30">
        <v>4.1772481694156562</v>
      </c>
      <c r="E106"/>
      <c r="AE106" s="27" t="s">
        <v>8</v>
      </c>
    </row>
    <row r="107" spans="1:31" x14ac:dyDescent="0.25">
      <c r="A107" s="30">
        <v>3.7974983358324148</v>
      </c>
      <c r="E107"/>
      <c r="AE107" s="27" t="s">
        <v>8</v>
      </c>
    </row>
    <row r="108" spans="1:31" x14ac:dyDescent="0.25">
      <c r="A108" s="30">
        <v>3.4522712143931042</v>
      </c>
      <c r="E108"/>
      <c r="AE108" s="27" t="s">
        <v>8</v>
      </c>
    </row>
    <row r="109" spans="1:31" x14ac:dyDescent="0.25">
      <c r="A109" s="30">
        <v>3.1384283767210035</v>
      </c>
      <c r="E109"/>
      <c r="AE109" s="27" t="s">
        <v>8</v>
      </c>
    </row>
    <row r="110" spans="1:31" x14ac:dyDescent="0.25">
      <c r="A110" s="30">
        <v>2.8531167061100029</v>
      </c>
      <c r="E110"/>
      <c r="AE110" s="27" t="s">
        <v>8</v>
      </c>
    </row>
    <row r="111" spans="1:31" x14ac:dyDescent="0.25">
      <c r="A111" s="30">
        <v>2.5937424601000023</v>
      </c>
      <c r="C111" s="1" t="str">
        <f>ADDRESS(C121-1,1,1,1)</f>
        <v>$A$85</v>
      </c>
      <c r="D111" s="1" t="str">
        <f>ADDRESS(C121-1,D121,1,1)</f>
        <v>$AJ$85</v>
      </c>
      <c r="E111"/>
      <c r="AE111" s="27" t="s">
        <v>8</v>
      </c>
    </row>
    <row r="112" spans="1:31" x14ac:dyDescent="0.25">
      <c r="A112" s="30">
        <v>2.3579476910000019</v>
      </c>
      <c r="C112" s="1" t="str">
        <f>ADDRESS(C121,1,1,1)</f>
        <v>$A$86</v>
      </c>
      <c r="D112" s="1" t="str">
        <f>ADDRESS(C121,D121-1,1,1)</f>
        <v>$AI$86</v>
      </c>
      <c r="E112"/>
      <c r="AE112" s="27" t="s">
        <v>8</v>
      </c>
    </row>
    <row r="113" spans="1:31" x14ac:dyDescent="0.25">
      <c r="A113" s="30">
        <v>2.1435888100000016</v>
      </c>
      <c r="C113" s="1" t="str">
        <f>ADDRESS(C121+1,1,1,1)</f>
        <v>$A$87</v>
      </c>
      <c r="D113" s="1" t="str">
        <f>ADDRESS(C121-1,D121+1,1,1)</f>
        <v>$AK$85</v>
      </c>
      <c r="AE113" s="27" t="s">
        <v>8</v>
      </c>
    </row>
    <row r="114" spans="1:31" x14ac:dyDescent="0.25">
      <c r="A114" s="30">
        <v>1.9487171000000014</v>
      </c>
      <c r="C114" s="1" t="str">
        <f>ADDRESS(C121,D121,1,1)</f>
        <v>$AJ$86</v>
      </c>
      <c r="D114" s="1" t="str">
        <f>ADDRESS(C121+1,D121+1,1,1)</f>
        <v>$AK$87</v>
      </c>
      <c r="AE114" s="27" t="s">
        <v>8</v>
      </c>
    </row>
    <row r="115" spans="1:31" x14ac:dyDescent="0.25">
      <c r="A115" s="30">
        <v>1.7715610000000011</v>
      </c>
      <c r="C115" s="1" t="str">
        <f>ADDRESS(C121+1,D121,1,1)</f>
        <v>$AJ$87</v>
      </c>
      <c r="AE115" s="27" t="s">
        <v>8</v>
      </c>
    </row>
    <row r="116" spans="1:31" x14ac:dyDescent="0.25">
      <c r="A116" s="30">
        <v>1.6105100000000008</v>
      </c>
      <c r="C116" s="1">
        <f>C117-1</f>
        <v>85</v>
      </c>
      <c r="AE116" s="27" t="s">
        <v>8</v>
      </c>
    </row>
    <row r="117" spans="1:31" x14ac:dyDescent="0.25">
      <c r="A117" s="30">
        <v>1.4641000000000006</v>
      </c>
      <c r="C117" s="1">
        <f>C121</f>
        <v>86</v>
      </c>
      <c r="D117" s="1">
        <f>D121</f>
        <v>36</v>
      </c>
      <c r="AE117" s="27" t="s">
        <v>8</v>
      </c>
    </row>
    <row r="118" spans="1:31" x14ac:dyDescent="0.25">
      <c r="A118" s="30">
        <v>1.3310000000000004</v>
      </c>
      <c r="C118" s="1">
        <f>C117+1</f>
        <v>87</v>
      </c>
      <c r="D118" s="1">
        <f>D117+1</f>
        <v>37</v>
      </c>
      <c r="AE118" s="27" t="s">
        <v>8</v>
      </c>
    </row>
    <row r="119" spans="1:31" x14ac:dyDescent="0.25">
      <c r="A119" s="30">
        <v>1.2100000000000002</v>
      </c>
      <c r="AE119" s="27" t="s">
        <v>8</v>
      </c>
    </row>
    <row r="120" spans="1:31" x14ac:dyDescent="0.25">
      <c r="A120" s="30">
        <v>1.1000000000000001</v>
      </c>
      <c r="C120" s="1" t="s">
        <v>9</v>
      </c>
      <c r="AE120" s="27" t="s">
        <v>8</v>
      </c>
    </row>
    <row r="121" spans="1:31" x14ac:dyDescent="0.25">
      <c r="A121" s="30">
        <v>1</v>
      </c>
      <c r="C121" s="18">
        <v>86</v>
      </c>
      <c r="D121" s="19">
        <v>36</v>
      </c>
      <c r="E121" s="18" t="s">
        <v>8</v>
      </c>
      <c r="AE121" s="27" t="s">
        <v>8</v>
      </c>
    </row>
    <row r="122" spans="1:31" x14ac:dyDescent="0.25">
      <c r="A122" s="30">
        <v>0.90909090909090895</v>
      </c>
      <c r="C122" s="1" t="str">
        <f>INDEX(1:1048576,C117,D117)</f>
        <v>O</v>
      </c>
      <c r="F122" s="27" t="s">
        <v>7</v>
      </c>
      <c r="AE122" s="27" t="s">
        <v>8</v>
      </c>
    </row>
    <row r="123" spans="1:31" x14ac:dyDescent="0.25">
      <c r="A123" s="30">
        <v>0.82644628099173523</v>
      </c>
      <c r="C123" s="1" t="str">
        <f>"R"&amp;C121</f>
        <v>R86</v>
      </c>
      <c r="D123" s="1" t="str">
        <f>"C"&amp;D121</f>
        <v>C36</v>
      </c>
      <c r="F123" s="27" t="s">
        <v>7</v>
      </c>
      <c r="AE123" s="27" t="s">
        <v>8</v>
      </c>
    </row>
    <row r="124" spans="1:31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E124" s="27" t="s">
        <v>8</v>
      </c>
    </row>
    <row r="125" spans="1:31" x14ac:dyDescent="0.25">
      <c r="A125" s="30">
        <v>0.68301345536507019</v>
      </c>
      <c r="F125" s="27" t="s">
        <v>7</v>
      </c>
      <c r="AE125" s="27" t="s">
        <v>8</v>
      </c>
    </row>
    <row r="126" spans="1:31" x14ac:dyDescent="0.25">
      <c r="A126" s="30">
        <v>0.6209213230591546</v>
      </c>
      <c r="C126" s="1" t="s">
        <v>10</v>
      </c>
      <c r="F126" s="27" t="s">
        <v>7</v>
      </c>
      <c r="AE126" s="27" t="s">
        <v>8</v>
      </c>
    </row>
    <row r="127" spans="1:31" x14ac:dyDescent="0.25">
      <c r="A127" s="30">
        <v>0.56447393005377677</v>
      </c>
      <c r="C127" s="30">
        <v>28.102436848064315</v>
      </c>
      <c r="D127"/>
      <c r="F127" s="27" t="s">
        <v>7</v>
      </c>
      <c r="AE127" s="27" t="s">
        <v>8</v>
      </c>
    </row>
    <row r="128" spans="1:31" x14ac:dyDescent="0.25">
      <c r="A128" s="30">
        <v>0.51315811823070612</v>
      </c>
      <c r="F128" s="27" t="s">
        <v>7</v>
      </c>
      <c r="AE128" s="27" t="s">
        <v>8</v>
      </c>
    </row>
    <row r="129" spans="1:31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E129" s="27" t="s">
        <v>8</v>
      </c>
    </row>
    <row r="130" spans="1:31" x14ac:dyDescent="0.25">
      <c r="A130" s="30">
        <v>0.42409761837248428</v>
      </c>
      <c r="C130" s="6"/>
      <c r="D130" s="6"/>
      <c r="E130"/>
      <c r="F130" s="27" t="s">
        <v>7</v>
      </c>
      <c r="AE130" s="27" t="s">
        <v>8</v>
      </c>
    </row>
    <row r="131" spans="1:31" x14ac:dyDescent="0.25">
      <c r="A131" s="30">
        <v>0.38554328942953109</v>
      </c>
      <c r="E131"/>
      <c r="F131" s="27" t="s">
        <v>7</v>
      </c>
      <c r="AE131" s="27" t="s">
        <v>8</v>
      </c>
    </row>
    <row r="132" spans="1:31" x14ac:dyDescent="0.25">
      <c r="A132" s="30">
        <v>0.35049389948139187</v>
      </c>
      <c r="C132" s="1" t="s">
        <v>13</v>
      </c>
      <c r="E132"/>
      <c r="F132" s="27" t="s">
        <v>7</v>
      </c>
      <c r="AE132" s="27" t="s">
        <v>8</v>
      </c>
    </row>
    <row r="133" spans="1:31" x14ac:dyDescent="0.25">
      <c r="A133" s="30">
        <v>0.31863081771035617</v>
      </c>
      <c r="C133" s="1" t="str">
        <f>C122</f>
        <v>O</v>
      </c>
      <c r="E133"/>
      <c r="F133" s="27" t="s">
        <v>7</v>
      </c>
      <c r="AE133" s="27" t="s">
        <v>8</v>
      </c>
    </row>
    <row r="134" spans="1:31" x14ac:dyDescent="0.25">
      <c r="A134" s="30">
        <v>0.28966437973668741</v>
      </c>
      <c r="C134"/>
      <c r="D134"/>
      <c r="E134"/>
      <c r="F134" s="27" t="s">
        <v>7</v>
      </c>
      <c r="AE134" s="27" t="s">
        <v>8</v>
      </c>
    </row>
    <row r="135" spans="1:31" x14ac:dyDescent="0.25">
      <c r="A135" s="30">
        <v>0.2633312543060794</v>
      </c>
      <c r="C135" s="1" t="s">
        <v>14</v>
      </c>
      <c r="E135"/>
      <c r="F135" s="27" t="s">
        <v>7</v>
      </c>
      <c r="AE135" s="27" t="s">
        <v>8</v>
      </c>
    </row>
    <row r="136" spans="1:31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E136" s="27" t="s">
        <v>8</v>
      </c>
    </row>
    <row r="137" spans="1:31" x14ac:dyDescent="0.25">
      <c r="A137" s="30">
        <v>0.2176291357901482</v>
      </c>
      <c r="E137"/>
      <c r="F137" s="27" t="s">
        <v>7</v>
      </c>
      <c r="AE137" s="27" t="s">
        <v>8</v>
      </c>
    </row>
    <row r="138" spans="1:31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E138" s="27" t="s">
        <v>8</v>
      </c>
    </row>
    <row r="139" spans="1:31" x14ac:dyDescent="0.25">
      <c r="A139" s="30">
        <v>0.17985878990921333</v>
      </c>
      <c r="E139"/>
      <c r="F139" s="27" t="s">
        <v>7</v>
      </c>
      <c r="AE139" s="27" t="s">
        <v>8</v>
      </c>
    </row>
    <row r="140" spans="1:31" x14ac:dyDescent="0.25">
      <c r="A140" s="30">
        <v>0.16350799082655756</v>
      </c>
      <c r="C140" s="1">
        <v>0</v>
      </c>
      <c r="E140"/>
      <c r="F140" s="27" t="s">
        <v>7</v>
      </c>
      <c r="AE140" s="27" t="s">
        <v>8</v>
      </c>
    </row>
    <row r="141" spans="1:31" x14ac:dyDescent="0.25">
      <c r="A141" s="30">
        <v>0.14864362802414322</v>
      </c>
      <c r="C141" s="1">
        <v>1</v>
      </c>
      <c r="E141"/>
      <c r="F141" s="27" t="s">
        <v>7</v>
      </c>
      <c r="AE141" s="27" t="s">
        <v>8</v>
      </c>
    </row>
    <row r="142" spans="1:31" x14ac:dyDescent="0.25">
      <c r="A142" s="30">
        <v>0.13513057093103928</v>
      </c>
      <c r="C142" s="1">
        <v>2</v>
      </c>
      <c r="E142"/>
      <c r="F142" s="27" t="s">
        <v>7</v>
      </c>
      <c r="AE142" s="27" t="s">
        <v>8</v>
      </c>
    </row>
    <row r="143" spans="1:31" x14ac:dyDescent="0.25">
      <c r="A143" s="30">
        <v>0.12284597357367205</v>
      </c>
      <c r="C143" s="1">
        <v>3</v>
      </c>
      <c r="E143"/>
      <c r="F143" s="27" t="s">
        <v>7</v>
      </c>
      <c r="AE143" s="27" t="s">
        <v>8</v>
      </c>
    </row>
    <row r="144" spans="1:31" x14ac:dyDescent="0.25">
      <c r="A144" s="30">
        <v>0.11167815779424731</v>
      </c>
      <c r="C144" s="1">
        <v>4</v>
      </c>
      <c r="E144"/>
      <c r="F144" s="27" t="s">
        <v>7</v>
      </c>
      <c r="AE144" s="27" t="s">
        <v>8</v>
      </c>
    </row>
    <row r="145" spans="1:31" x14ac:dyDescent="0.25">
      <c r="A145" s="30">
        <v>0.10152559799477026</v>
      </c>
      <c r="B145"/>
      <c r="C145"/>
      <c r="D145"/>
      <c r="E145"/>
      <c r="F145" s="27" t="s">
        <v>7</v>
      </c>
      <c r="AE145" s="27" t="s">
        <v>8</v>
      </c>
    </row>
    <row r="146" spans="1:31" x14ac:dyDescent="0.25">
      <c r="A146" s="30">
        <v>9.2295998177063854E-2</v>
      </c>
      <c r="B146"/>
      <c r="C146"/>
      <c r="D146"/>
      <c r="E146"/>
      <c r="F146" s="27" t="s">
        <v>7</v>
      </c>
      <c r="AE146" s="27" t="s">
        <v>8</v>
      </c>
    </row>
    <row r="147" spans="1:31" x14ac:dyDescent="0.25">
      <c r="A147" s="30">
        <v>8.3905452888239848E-2</v>
      </c>
      <c r="B147"/>
      <c r="C147"/>
      <c r="D147"/>
      <c r="E147"/>
      <c r="F147" s="27" t="s">
        <v>7</v>
      </c>
      <c r="AE147" s="27" t="s">
        <v>8</v>
      </c>
    </row>
    <row r="148" spans="1:31" x14ac:dyDescent="0.25">
      <c r="A148" s="30">
        <v>7.6277684443854396E-2</v>
      </c>
      <c r="B148"/>
      <c r="C148"/>
      <c r="D148"/>
      <c r="E148"/>
      <c r="F148" s="27" t="s">
        <v>7</v>
      </c>
      <c r="AE148" s="27" t="s">
        <v>8</v>
      </c>
    </row>
    <row r="149" spans="1:31" x14ac:dyDescent="0.25">
      <c r="A149" s="30">
        <v>6.9343349494413078E-2</v>
      </c>
      <c r="B149"/>
      <c r="C149"/>
      <c r="D149"/>
      <c r="E149"/>
      <c r="F149" s="27" t="s">
        <v>7</v>
      </c>
      <c r="AE149" s="27" t="s">
        <v>8</v>
      </c>
    </row>
    <row r="150" spans="1:31" x14ac:dyDescent="0.25">
      <c r="A150" s="30">
        <v>6.3039408631284613E-2</v>
      </c>
      <c r="B150"/>
      <c r="C150"/>
      <c r="D150"/>
      <c r="E150"/>
      <c r="F150" s="27" t="s">
        <v>7</v>
      </c>
      <c r="AE150" s="27" t="s">
        <v>8</v>
      </c>
    </row>
    <row r="151" spans="1:31" x14ac:dyDescent="0.25">
      <c r="A151" s="30">
        <v>5.7308553301167818E-2</v>
      </c>
      <c r="B151"/>
      <c r="C151"/>
      <c r="D151"/>
      <c r="E151"/>
      <c r="F151" s="27" t="s">
        <v>7</v>
      </c>
      <c r="AE151" s="27" t="s">
        <v>8</v>
      </c>
    </row>
    <row r="152" spans="1:31" x14ac:dyDescent="0.25">
      <c r="A152" s="30">
        <v>5.2098684819243464E-2</v>
      </c>
      <c r="B152"/>
      <c r="C152"/>
      <c r="D152"/>
      <c r="E152"/>
      <c r="F152" s="27" t="s">
        <v>7</v>
      </c>
      <c r="AE152" s="27" t="s">
        <v>8</v>
      </c>
    </row>
    <row r="153" spans="1:31" x14ac:dyDescent="0.25">
      <c r="A153" s="30">
        <v>4.7362440744766775E-2</v>
      </c>
      <c r="B153"/>
      <c r="C153"/>
      <c r="D153"/>
      <c r="E153"/>
      <c r="F153" s="27" t="s">
        <v>7</v>
      </c>
      <c r="AE153" s="27" t="s">
        <v>8</v>
      </c>
    </row>
    <row r="154" spans="1:31" x14ac:dyDescent="0.25">
      <c r="A154" s="30">
        <v>4.3056764313424332E-2</v>
      </c>
      <c r="B154"/>
      <c r="C154"/>
      <c r="D154"/>
      <c r="E154"/>
      <c r="F154" s="27" t="s">
        <v>7</v>
      </c>
      <c r="AE154" s="27" t="s">
        <v>8</v>
      </c>
    </row>
    <row r="155" spans="1:31" x14ac:dyDescent="0.25">
      <c r="A155" s="30">
        <v>3.9142513012203929E-2</v>
      </c>
      <c r="B155"/>
      <c r="C155"/>
      <c r="D155"/>
      <c r="E155"/>
      <c r="F155" s="27" t="s">
        <v>7</v>
      </c>
      <c r="AE155" s="27" t="s">
        <v>8</v>
      </c>
    </row>
    <row r="156" spans="1:31" x14ac:dyDescent="0.25">
      <c r="A156" s="30">
        <v>3.55841027383672E-2</v>
      </c>
      <c r="B156"/>
      <c r="C156"/>
      <c r="D156"/>
      <c r="E156"/>
      <c r="F156" s="27" t="s">
        <v>7</v>
      </c>
      <c r="AE156" s="27" t="s">
        <v>8</v>
      </c>
    </row>
    <row r="157" spans="1:31" x14ac:dyDescent="0.25">
      <c r="A157" s="30">
        <v>3.2349184307606541E-2</v>
      </c>
      <c r="B157"/>
      <c r="C157"/>
      <c r="D157"/>
      <c r="E157"/>
      <c r="F157" s="27" t="s">
        <v>7</v>
      </c>
      <c r="AE157" s="27" t="s">
        <v>8</v>
      </c>
    </row>
    <row r="158" spans="1:31" x14ac:dyDescent="0.25">
      <c r="A158" s="30">
        <v>2.9408349370551395E-2</v>
      </c>
      <c r="B158"/>
      <c r="C158"/>
      <c r="D158"/>
      <c r="E158"/>
      <c r="F158" s="27" t="s">
        <v>7</v>
      </c>
      <c r="AE158" s="27" t="s">
        <v>8</v>
      </c>
    </row>
    <row r="159" spans="1:31" x14ac:dyDescent="0.25">
      <c r="A159" s="30">
        <v>2.6734863064137627E-2</v>
      </c>
      <c r="B159"/>
      <c r="C159"/>
      <c r="D159"/>
      <c r="E159"/>
      <c r="F159" s="27" t="s">
        <v>7</v>
      </c>
      <c r="AE159" s="27" t="s">
        <v>8</v>
      </c>
    </row>
    <row r="160" spans="1:31" x14ac:dyDescent="0.25">
      <c r="A160" s="30">
        <v>2.4304420967397839E-2</v>
      </c>
      <c r="B160"/>
      <c r="C160"/>
      <c r="D160"/>
      <c r="E160"/>
      <c r="F160" s="27" t="s">
        <v>7</v>
      </c>
      <c r="AE160" s="27" t="s">
        <v>8</v>
      </c>
    </row>
    <row r="161" spans="1:31" x14ac:dyDescent="0.25">
      <c r="A161" s="30">
        <v>2.2094928152179852E-2</v>
      </c>
      <c r="B161"/>
      <c r="C161"/>
      <c r="D161"/>
      <c r="E161"/>
      <c r="F161" s="27" t="s">
        <v>7</v>
      </c>
      <c r="AE161" s="27" t="s">
        <v>8</v>
      </c>
    </row>
    <row r="162" spans="1:31" x14ac:dyDescent="0.25">
      <c r="A162" s="30">
        <v>2.0086298320163499E-2</v>
      </c>
      <c r="B162"/>
      <c r="C162"/>
      <c r="D162"/>
      <c r="E162"/>
      <c r="F162" s="27" t="s">
        <v>7</v>
      </c>
      <c r="AE162" s="27" t="s">
        <v>8</v>
      </c>
    </row>
    <row r="163" spans="1:31" x14ac:dyDescent="0.25">
      <c r="A163" s="30">
        <v>1.8260271200148632E-2</v>
      </c>
      <c r="B163"/>
      <c r="C163"/>
      <c r="D163"/>
      <c r="E163"/>
      <c r="F163" s="27" t="s">
        <v>7</v>
      </c>
      <c r="AE163" s="27" t="s">
        <v>8</v>
      </c>
    </row>
    <row r="164" spans="1:31" x14ac:dyDescent="0.25">
      <c r="A164" s="30">
        <v>1.6600246545589663E-2</v>
      </c>
      <c r="B164"/>
      <c r="C164"/>
      <c r="D164"/>
      <c r="E164"/>
      <c r="F164" s="27" t="s">
        <v>7</v>
      </c>
      <c r="AE164" s="27" t="s">
        <v>8</v>
      </c>
    </row>
    <row r="165" spans="1:31" x14ac:dyDescent="0.25">
      <c r="A165" s="30">
        <v>1.5091133223263328E-2</v>
      </c>
      <c r="B165"/>
      <c r="C165"/>
      <c r="D165"/>
      <c r="E165"/>
      <c r="F165" s="27" t="s">
        <v>7</v>
      </c>
      <c r="AE165" s="27" t="s">
        <v>8</v>
      </c>
    </row>
    <row r="166" spans="1:31" x14ac:dyDescent="0.25">
      <c r="A166" s="30">
        <v>1.3719212021148477E-2</v>
      </c>
      <c r="B166"/>
      <c r="C166"/>
      <c r="D166"/>
      <c r="E166"/>
      <c r="F166" s="27" t="s">
        <v>7</v>
      </c>
      <c r="AE166" s="27" t="s">
        <v>8</v>
      </c>
    </row>
    <row r="167" spans="1:31" x14ac:dyDescent="0.25">
      <c r="A167" s="30">
        <v>1.2472010928316795E-2</v>
      </c>
      <c r="B167"/>
      <c r="C167"/>
      <c r="D167"/>
      <c r="E167"/>
      <c r="F167" s="27" t="s">
        <v>7</v>
      </c>
      <c r="AE167" s="27" t="s">
        <v>8</v>
      </c>
    </row>
    <row r="168" spans="1:31" x14ac:dyDescent="0.25">
      <c r="A168" s="30">
        <v>1.1338191753015267E-2</v>
      </c>
      <c r="B168"/>
      <c r="C168"/>
      <c r="D168"/>
      <c r="E168"/>
      <c r="F168" s="27" t="s">
        <v>7</v>
      </c>
      <c r="AE168" s="27" t="s">
        <v>8</v>
      </c>
    </row>
    <row r="169" spans="1:31" x14ac:dyDescent="0.25">
      <c r="A169" s="30">
        <v>1.0307447048195697E-2</v>
      </c>
      <c r="B169"/>
      <c r="C169"/>
      <c r="D169"/>
      <c r="E169"/>
      <c r="F169" s="27" t="s">
        <v>7</v>
      </c>
      <c r="AE169" s="27" t="s">
        <v>8</v>
      </c>
    </row>
    <row r="170" spans="1:31" x14ac:dyDescent="0.25">
      <c r="A170" s="30">
        <v>9.3704064074506318E-3</v>
      </c>
      <c r="B170"/>
      <c r="C170"/>
      <c r="D170"/>
      <c r="E170"/>
      <c r="F170" s="27" t="s">
        <v>7</v>
      </c>
      <c r="AE170" s="27" t="s">
        <v>8</v>
      </c>
    </row>
    <row r="171" spans="1:31" x14ac:dyDescent="0.25">
      <c r="A171" s="30">
        <v>8.5185512795005747E-3</v>
      </c>
      <c r="F171" s="27" t="s">
        <v>7</v>
      </c>
      <c r="AE171" s="27" t="s">
        <v>8</v>
      </c>
    </row>
    <row r="172" spans="1:31" x14ac:dyDescent="0.25">
      <c r="A172" s="30">
        <v>7.744137526818704E-3</v>
      </c>
      <c r="F172" s="27" t="s">
        <v>7</v>
      </c>
      <c r="AE172" s="27" t="s">
        <v>8</v>
      </c>
    </row>
    <row r="173" spans="1:31" x14ac:dyDescent="0.25">
      <c r="A173" s="30">
        <v>7.0401250243806394E-3</v>
      </c>
      <c r="F173" s="27" t="s">
        <v>7</v>
      </c>
      <c r="AE173" s="27" t="s">
        <v>8</v>
      </c>
    </row>
    <row r="174" spans="1:31" x14ac:dyDescent="0.25">
      <c r="A174" s="30">
        <v>6.4001136585278536E-3</v>
      </c>
      <c r="F174" s="27" t="s">
        <v>7</v>
      </c>
      <c r="AE174" s="27" t="s">
        <v>8</v>
      </c>
    </row>
    <row r="175" spans="1:31" x14ac:dyDescent="0.25">
      <c r="A175" s="30">
        <v>5.8182851441162305E-3</v>
      </c>
      <c r="F175" s="27" t="s">
        <v>7</v>
      </c>
      <c r="AE175" s="27" t="s">
        <v>8</v>
      </c>
    </row>
    <row r="176" spans="1:31" x14ac:dyDescent="0.25">
      <c r="A176" s="30">
        <v>5.2893501310147546E-3</v>
      </c>
      <c r="F176" s="27" t="s">
        <v>7</v>
      </c>
      <c r="AE176" s="27" t="s">
        <v>8</v>
      </c>
    </row>
    <row r="177" spans="1:31" x14ac:dyDescent="0.25">
      <c r="A177" s="30">
        <v>4.8085001191043222E-3</v>
      </c>
      <c r="F177" s="27" t="s">
        <v>7</v>
      </c>
      <c r="AE177" s="27" t="s">
        <v>8</v>
      </c>
    </row>
    <row r="178" spans="1:31" x14ac:dyDescent="0.25">
      <c r="A178" s="30">
        <v>4.3713637446402926E-3</v>
      </c>
      <c r="F178" s="27" t="s">
        <v>7</v>
      </c>
      <c r="AE178" s="27" t="s">
        <v>8</v>
      </c>
    </row>
    <row r="179" spans="1:31" x14ac:dyDescent="0.25">
      <c r="A179" s="30">
        <v>3.9739670405820838E-3</v>
      </c>
      <c r="F179" s="27" t="s">
        <v>7</v>
      </c>
      <c r="AE179" s="27" t="s">
        <v>8</v>
      </c>
    </row>
    <row r="180" spans="1:31" x14ac:dyDescent="0.25">
      <c r="A180" s="30">
        <v>3.6126973096200759E-3</v>
      </c>
      <c r="F180" s="27" t="s">
        <v>7</v>
      </c>
      <c r="AE180" s="27" t="s">
        <v>8</v>
      </c>
    </row>
    <row r="181" spans="1:31" x14ac:dyDescent="0.25">
      <c r="A181" s="30">
        <v>3.2842702814727962E-3</v>
      </c>
      <c r="F181" s="27" t="s">
        <v>7</v>
      </c>
      <c r="AE181" s="27" t="s">
        <v>8</v>
      </c>
    </row>
    <row r="182" spans="1:31" x14ac:dyDescent="0.25">
      <c r="A182" s="30">
        <v>2.9857002558843601E-3</v>
      </c>
      <c r="F182" s="27" t="s">
        <v>7</v>
      </c>
      <c r="G182" s="27" t="s">
        <v>8</v>
      </c>
      <c r="Y182" s="27" t="s">
        <v>8</v>
      </c>
      <c r="AE182" s="27" t="s">
        <v>8</v>
      </c>
    </row>
    <row r="183" spans="1:31" x14ac:dyDescent="0.25">
      <c r="A183" s="30">
        <v>2.7142729598948726E-3</v>
      </c>
      <c r="F183" s="27" t="s">
        <v>7</v>
      </c>
      <c r="G183" s="27" t="s">
        <v>8</v>
      </c>
      <c r="H183" s="27" t="s">
        <v>7</v>
      </c>
      <c r="Y183" s="27" t="s">
        <v>8</v>
      </c>
      <c r="Z183" s="27" t="s">
        <v>7</v>
      </c>
      <c r="AA183" s="27" t="s">
        <v>8</v>
      </c>
      <c r="AE183" s="27" t="s">
        <v>8</v>
      </c>
    </row>
    <row r="184" spans="1:31" x14ac:dyDescent="0.25">
      <c r="A184" s="30">
        <v>2.4675208726317021E-3</v>
      </c>
      <c r="F184" s="27" t="s">
        <v>7</v>
      </c>
      <c r="G184" s="27" t="s">
        <v>8</v>
      </c>
      <c r="H184" s="27" t="s">
        <v>7</v>
      </c>
      <c r="Y184" s="27" t="s">
        <v>8</v>
      </c>
      <c r="Z184" s="27" t="s">
        <v>7</v>
      </c>
      <c r="AA184" s="27" t="s">
        <v>8</v>
      </c>
      <c r="AB184" s="27" t="s">
        <v>7</v>
      </c>
      <c r="AC184" s="27" t="s">
        <v>8</v>
      </c>
      <c r="AE184" s="27" t="s">
        <v>8</v>
      </c>
    </row>
    <row r="185" spans="1:31" x14ac:dyDescent="0.25">
      <c r="A185" s="30">
        <v>2.2432007933015472E-3</v>
      </c>
      <c r="F185" s="27" t="s">
        <v>7</v>
      </c>
      <c r="G185" s="27" t="s">
        <v>8</v>
      </c>
      <c r="H185" s="27" t="s">
        <v>7</v>
      </c>
      <c r="Y185" s="27" t="s">
        <v>8</v>
      </c>
      <c r="Z185" s="27" t="s">
        <v>7</v>
      </c>
      <c r="AA185" s="27" t="s">
        <v>8</v>
      </c>
      <c r="AB185" s="27" t="s">
        <v>7</v>
      </c>
      <c r="AC185" s="27" t="s">
        <v>8</v>
      </c>
      <c r="AD185" s="27" t="s">
        <v>7</v>
      </c>
      <c r="AE185" s="27" t="s">
        <v>8</v>
      </c>
    </row>
    <row r="186" spans="1:31" x14ac:dyDescent="0.25">
      <c r="A186" s="30">
        <v>2.0392734484559519E-3</v>
      </c>
      <c r="F186" s="27" t="s">
        <v>7</v>
      </c>
      <c r="G186" s="27" t="s">
        <v>8</v>
      </c>
      <c r="H186" s="27" t="s">
        <v>7</v>
      </c>
      <c r="Y186" s="27" t="s">
        <v>8</v>
      </c>
      <c r="Z186" s="27" t="s">
        <v>7</v>
      </c>
      <c r="AA186" s="27" t="s">
        <v>8</v>
      </c>
      <c r="AB186" s="27" t="s">
        <v>7</v>
      </c>
      <c r="AC186" s="27" t="s">
        <v>8</v>
      </c>
      <c r="AD186" s="27" t="s">
        <v>7</v>
      </c>
      <c r="AE186" s="27" t="s">
        <v>8</v>
      </c>
    </row>
    <row r="187" spans="1:31" x14ac:dyDescent="0.25">
      <c r="A187" s="30">
        <v>1.8538849531417744E-3</v>
      </c>
      <c r="F187" s="27" t="s">
        <v>7</v>
      </c>
      <c r="G187" s="27" t="s">
        <v>8</v>
      </c>
      <c r="H187" s="27" t="s">
        <v>7</v>
      </c>
      <c r="U187" s="27" t="s">
        <v>8</v>
      </c>
      <c r="W187" s="27" t="s">
        <v>8</v>
      </c>
      <c r="Y187" s="27" t="s">
        <v>8</v>
      </c>
      <c r="Z187" s="27" t="s">
        <v>7</v>
      </c>
      <c r="AA187" s="27" t="s">
        <v>8</v>
      </c>
      <c r="AB187" s="27" t="s">
        <v>7</v>
      </c>
      <c r="AC187" s="27" t="s">
        <v>8</v>
      </c>
      <c r="AD187" s="27" t="s">
        <v>7</v>
      </c>
      <c r="AE187" s="27" t="s">
        <v>8</v>
      </c>
    </row>
    <row r="188" spans="1:31" x14ac:dyDescent="0.25">
      <c r="A188" s="30">
        <v>1.6853499574016129E-3</v>
      </c>
      <c r="F188" s="27" t="s">
        <v>7</v>
      </c>
      <c r="G188" s="27" t="s">
        <v>8</v>
      </c>
      <c r="H188" s="27" t="s">
        <v>7</v>
      </c>
      <c r="U188" s="27" t="s">
        <v>8</v>
      </c>
      <c r="V188" s="27" t="s">
        <v>7</v>
      </c>
      <c r="W188" s="27" t="s">
        <v>8</v>
      </c>
      <c r="X188" s="27" t="s">
        <v>7</v>
      </c>
      <c r="Y188" s="27" t="s">
        <v>8</v>
      </c>
      <c r="Z188" s="27" t="s">
        <v>7</v>
      </c>
      <c r="AA188" s="27" t="s">
        <v>8</v>
      </c>
      <c r="AB188" s="27" t="s">
        <v>7</v>
      </c>
      <c r="AC188" s="27" t="s">
        <v>8</v>
      </c>
      <c r="AD188" s="27" t="s">
        <v>7</v>
      </c>
      <c r="AE188" s="27" t="s">
        <v>8</v>
      </c>
    </row>
    <row r="189" spans="1:31" x14ac:dyDescent="0.25">
      <c r="A189" s="30">
        <v>1.5321363249105571E-3</v>
      </c>
      <c r="F189" s="27" t="s">
        <v>7</v>
      </c>
      <c r="G189" s="27" t="s">
        <v>8</v>
      </c>
      <c r="H189" s="27" t="s">
        <v>7</v>
      </c>
      <c r="U189" s="27" t="s">
        <v>8</v>
      </c>
      <c r="V189" s="27" t="s">
        <v>7</v>
      </c>
      <c r="W189" s="27" t="s">
        <v>8</v>
      </c>
      <c r="X189" s="27" t="s">
        <v>7</v>
      </c>
      <c r="Y189" s="27" t="s">
        <v>8</v>
      </c>
      <c r="Z189" s="27" t="s">
        <v>7</v>
      </c>
      <c r="AB189" s="27" t="s">
        <v>7</v>
      </c>
      <c r="AC189" s="27" t="s">
        <v>8</v>
      </c>
      <c r="AD189" s="27" t="s">
        <v>7</v>
      </c>
      <c r="AE189" s="27" t="s">
        <v>8</v>
      </c>
    </row>
    <row r="190" spans="1:31" x14ac:dyDescent="0.25">
      <c r="A190" s="30">
        <v>1.3928512044641427E-3</v>
      </c>
      <c r="F190" s="27" t="s">
        <v>7</v>
      </c>
      <c r="G190" s="27" t="s">
        <v>8</v>
      </c>
      <c r="H190" s="27" t="s">
        <v>7</v>
      </c>
      <c r="I190" s="27" t="s">
        <v>8</v>
      </c>
      <c r="K190" s="27" t="s">
        <v>8</v>
      </c>
      <c r="U190" s="27" t="s">
        <v>8</v>
      </c>
      <c r="V190" s="27" t="s">
        <v>7</v>
      </c>
      <c r="W190" s="27" t="s">
        <v>8</v>
      </c>
      <c r="X190" s="27" t="s">
        <v>7</v>
      </c>
      <c r="AB190" s="27" t="s">
        <v>7</v>
      </c>
      <c r="AD190" s="27" t="s">
        <v>7</v>
      </c>
      <c r="AE190" s="18" t="s">
        <v>8</v>
      </c>
    </row>
    <row r="191" spans="1:31" x14ac:dyDescent="0.25">
      <c r="A191" s="30">
        <v>1.2662283676946752E-3</v>
      </c>
      <c r="F191" s="27" t="s">
        <v>7</v>
      </c>
      <c r="G191" s="27" t="s">
        <v>8</v>
      </c>
      <c r="H191" s="27" t="s">
        <v>7</v>
      </c>
      <c r="I191" s="27" t="s">
        <v>8</v>
      </c>
      <c r="J191" s="27" t="s">
        <v>7</v>
      </c>
      <c r="K191" s="27" t="s">
        <v>8</v>
      </c>
      <c r="L191" s="27" t="s">
        <v>7</v>
      </c>
      <c r="U191" s="27" t="s">
        <v>8</v>
      </c>
      <c r="V191" s="27" t="s">
        <v>7</v>
      </c>
      <c r="AD191" s="27" t="s">
        <v>7</v>
      </c>
      <c r="AE191" s="27" t="s">
        <v>8</v>
      </c>
    </row>
    <row r="192" spans="1:31" x14ac:dyDescent="0.25">
      <c r="A192" s="30">
        <v>1.15111669790425E-3</v>
      </c>
      <c r="F192" s="27" t="s">
        <v>7</v>
      </c>
      <c r="G192" s="27" t="s">
        <v>8</v>
      </c>
      <c r="H192" s="27" t="s">
        <v>7</v>
      </c>
      <c r="I192" s="27" t="s">
        <v>8</v>
      </c>
      <c r="J192" s="27" t="s">
        <v>7</v>
      </c>
      <c r="K192" s="27" t="s">
        <v>8</v>
      </c>
      <c r="L192" s="27" t="s">
        <v>7</v>
      </c>
      <c r="U192" s="27" t="s">
        <v>8</v>
      </c>
      <c r="AD192" s="27" t="s">
        <v>7</v>
      </c>
      <c r="AE192" s="27" t="s">
        <v>8</v>
      </c>
    </row>
    <row r="193" spans="1:31" x14ac:dyDescent="0.25">
      <c r="A193" s="30">
        <v>1.0464697253675E-3</v>
      </c>
      <c r="F193" s="27" t="s">
        <v>7</v>
      </c>
      <c r="G193" s="27" t="s">
        <v>8</v>
      </c>
      <c r="H193" s="27" t="s">
        <v>7</v>
      </c>
      <c r="I193" s="27" t="s">
        <v>8</v>
      </c>
      <c r="J193" s="27" t="s">
        <v>7</v>
      </c>
      <c r="K193" s="27" t="s">
        <v>8</v>
      </c>
      <c r="L193" s="27" t="s">
        <v>7</v>
      </c>
      <c r="U193" s="27" t="s">
        <v>8</v>
      </c>
      <c r="AD193" s="27" t="s">
        <v>7</v>
      </c>
      <c r="AE193" s="27" t="s">
        <v>8</v>
      </c>
    </row>
    <row r="194" spans="1:31" x14ac:dyDescent="0.25">
      <c r="A194" s="30">
        <v>9.5133611397045449E-4</v>
      </c>
      <c r="F194" s="27" t="s">
        <v>7</v>
      </c>
      <c r="G194" s="27" t="s">
        <v>8</v>
      </c>
      <c r="H194" s="27" t="s">
        <v>7</v>
      </c>
      <c r="J194" s="27" t="s">
        <v>7</v>
      </c>
      <c r="L194" s="27" t="s">
        <v>7</v>
      </c>
      <c r="U194" s="27" t="s">
        <v>8</v>
      </c>
      <c r="AD194" s="27" t="s">
        <v>7</v>
      </c>
    </row>
    <row r="195" spans="1:31" x14ac:dyDescent="0.25">
      <c r="A195" s="30">
        <v>8.6485101270041313E-4</v>
      </c>
      <c r="F195" s="27" t="s">
        <v>7</v>
      </c>
      <c r="G195" s="27" t="s">
        <v>8</v>
      </c>
      <c r="L195" s="27" t="s">
        <v>7</v>
      </c>
      <c r="U195" s="27" t="s">
        <v>8</v>
      </c>
    </row>
    <row r="196" spans="1:31" x14ac:dyDescent="0.25">
      <c r="A196" s="30">
        <v>7.862281933640119E-4</v>
      </c>
      <c r="F196" s="27" t="s">
        <v>7</v>
      </c>
      <c r="G196" s="27" t="s">
        <v>8</v>
      </c>
      <c r="L196" s="27" t="s">
        <v>7</v>
      </c>
      <c r="S196" s="27" t="s">
        <v>8</v>
      </c>
      <c r="U196" s="27" t="s">
        <v>8</v>
      </c>
    </row>
    <row r="197" spans="1:31" x14ac:dyDescent="0.25">
      <c r="A197" s="30">
        <v>7.0760537402761068E-4</v>
      </c>
      <c r="F197" s="27" t="s">
        <v>7</v>
      </c>
      <c r="L197" s="27" t="s">
        <v>7</v>
      </c>
      <c r="S197" s="27" t="s">
        <v>8</v>
      </c>
      <c r="T197" s="27" t="s">
        <v>7</v>
      </c>
      <c r="U197" s="27" t="s">
        <v>8</v>
      </c>
    </row>
    <row r="198" spans="1:31" x14ac:dyDescent="0.25">
      <c r="A198" s="30">
        <v>6.368448366248496E-4</v>
      </c>
      <c r="L198" s="27" t="s">
        <v>7</v>
      </c>
      <c r="O198" s="27" t="s">
        <v>8</v>
      </c>
      <c r="Q198" s="27" t="s">
        <v>8</v>
      </c>
      <c r="S198" s="27" t="s">
        <v>8</v>
      </c>
      <c r="T198" s="27" t="s">
        <v>7</v>
      </c>
      <c r="U198" s="27" t="s">
        <v>8</v>
      </c>
    </row>
    <row r="199" spans="1:31" x14ac:dyDescent="0.25">
      <c r="A199" s="30">
        <v>5.7316035296236471E-4</v>
      </c>
      <c r="L199" s="27" t="s">
        <v>7</v>
      </c>
      <c r="O199" s="27" t="s">
        <v>8</v>
      </c>
      <c r="P199" s="27" t="s">
        <v>7</v>
      </c>
      <c r="Q199" s="27" t="s">
        <v>8</v>
      </c>
      <c r="R199" s="27" t="s">
        <v>7</v>
      </c>
      <c r="S199" s="27" t="s">
        <v>8</v>
      </c>
      <c r="T199" s="27" t="s">
        <v>7</v>
      </c>
    </row>
    <row r="200" spans="1:31" x14ac:dyDescent="0.25">
      <c r="A200" s="30">
        <v>5.1584431766612821E-4</v>
      </c>
      <c r="L200" s="27" t="s">
        <v>7</v>
      </c>
      <c r="O200" s="27" t="s">
        <v>8</v>
      </c>
      <c r="P200" s="27" t="s">
        <v>7</v>
      </c>
      <c r="Q200" s="27" t="s">
        <v>8</v>
      </c>
      <c r="R200" s="27" t="s">
        <v>7</v>
      </c>
      <c r="S200" s="27" t="s">
        <v>8</v>
      </c>
    </row>
    <row r="201" spans="1:31" x14ac:dyDescent="0.25">
      <c r="A201" s="30">
        <v>4.6425988589951538E-4</v>
      </c>
      <c r="L201" s="27" t="s">
        <v>7</v>
      </c>
      <c r="O201" s="27" t="s">
        <v>8</v>
      </c>
      <c r="P201" s="27" t="s">
        <v>7</v>
      </c>
      <c r="R201" s="27" t="s">
        <v>7</v>
      </c>
    </row>
    <row r="202" spans="1:31" x14ac:dyDescent="0.25">
      <c r="A202" s="30">
        <v>4.1783389730956383E-4</v>
      </c>
      <c r="L202" s="27" t="s">
        <v>7</v>
      </c>
      <c r="M202" s="27" t="s">
        <v>8</v>
      </c>
      <c r="O202" s="27" t="s">
        <v>8</v>
      </c>
    </row>
    <row r="203" spans="1:31" x14ac:dyDescent="0.25">
      <c r="A203" s="30">
        <v>3.7605050757860746E-4</v>
      </c>
      <c r="L203" s="27" t="s">
        <v>7</v>
      </c>
      <c r="M203" s="27" t="s">
        <v>8</v>
      </c>
      <c r="N203" s="27" t="s">
        <v>7</v>
      </c>
      <c r="O203" s="27" t="s">
        <v>8</v>
      </c>
    </row>
    <row r="204" spans="1:31" x14ac:dyDescent="0.25">
      <c r="A204" s="30">
        <v>3.3844545682074675E-4</v>
      </c>
      <c r="L204" s="27" t="s">
        <v>7</v>
      </c>
      <c r="M204" s="27" t="s">
        <v>8</v>
      </c>
      <c r="N204" s="27" t="s">
        <v>7</v>
      </c>
      <c r="O204" s="27" t="s">
        <v>8</v>
      </c>
    </row>
    <row r="205" spans="1:31" x14ac:dyDescent="0.25">
      <c r="A205" s="30">
        <v>3.0460091113867208E-4</v>
      </c>
      <c r="L205" s="27" t="s">
        <v>7</v>
      </c>
      <c r="M205" s="27" t="s">
        <v>8</v>
      </c>
      <c r="N205" s="27" t="s">
        <v>7</v>
      </c>
    </row>
    <row r="206" spans="1:31" x14ac:dyDescent="0.25">
      <c r="A206" s="30">
        <v>2.7414082002480487E-4</v>
      </c>
      <c r="L206" s="27" t="s">
        <v>7</v>
      </c>
      <c r="M206" s="27" t="s">
        <v>8</v>
      </c>
    </row>
    <row r="207" spans="1:31" x14ac:dyDescent="0.25">
      <c r="A207" s="30">
        <v>2.4672673802232442E-4</v>
      </c>
      <c r="L207" s="27" t="s">
        <v>7</v>
      </c>
    </row>
    <row r="208" spans="1:3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2022-01-28T01:14:40Z</dcterms:modified>
</cp:coreProperties>
</file>