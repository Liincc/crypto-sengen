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EE066BD5-9CF9-44E1-A528-284E8A047D90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H4" i="6"/>
  <c r="M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122" i="5"/>
  <c r="C133" i="5" s="1"/>
  <c r="C116" i="5"/>
  <c r="C2" i="1" l="1"/>
  <c r="D2" i="1"/>
  <c r="R765" i="1"/>
  <c r="S765" i="1" s="1"/>
  <c r="T765" i="1" s="1"/>
  <c r="C122" i="4"/>
  <c r="C133" i="4" s="1"/>
  <c r="D136" i="4" s="1"/>
  <c r="C116" i="4"/>
  <c r="C136" i="5"/>
  <c r="D136" i="5"/>
  <c r="C118" i="3"/>
  <c r="C122" i="3"/>
  <c r="C133" i="3" s="1"/>
  <c r="C136" i="3" s="1"/>
  <c r="R764" i="1" l="1"/>
  <c r="R763" i="1" s="1"/>
  <c r="C138" i="5"/>
  <c r="C136" i="4"/>
  <c r="C138" i="4" s="1"/>
  <c r="D136" i="3"/>
  <c r="C138" i="3" s="1"/>
  <c r="S764" i="1" l="1"/>
  <c r="T764" i="1" s="1"/>
  <c r="R762" i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S184" i="1" l="1"/>
  <c r="T184" i="1" s="1"/>
  <c r="R183" i="1"/>
  <c r="R182" i="1" l="1"/>
  <c r="S183" i="1"/>
  <c r="T183" i="1" s="1"/>
  <c r="R181" i="1" l="1"/>
  <c r="S182" i="1"/>
  <c r="T182" i="1" s="1"/>
  <c r="S181" i="1" l="1"/>
  <c r="T181" i="1" s="1"/>
  <c r="R180" i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S173" i="1" l="1"/>
  <c r="T173" i="1" s="1"/>
  <c r="R172" i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S168" i="1" l="1"/>
  <c r="T168" i="1" s="1"/>
  <c r="R167" i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S160" i="1" l="1"/>
  <c r="T160" i="1" s="1"/>
  <c r="R159" i="1"/>
  <c r="R158" i="1" l="1"/>
  <c r="S159" i="1"/>
  <c r="T159" i="1" s="1"/>
  <c r="R157" i="1" l="1"/>
  <c r="S158" i="1"/>
  <c r="T158" i="1" s="1"/>
  <c r="S157" i="1" l="1"/>
  <c r="T157" i="1" s="1"/>
  <c r="R156" i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S149" i="1" l="1"/>
  <c r="T149" i="1" s="1"/>
  <c r="R148" i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S144" i="1" l="1"/>
  <c r="T144" i="1" s="1"/>
  <c r="R143" i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S136" i="1" l="1"/>
  <c r="T136" i="1" s="1"/>
  <c r="R135" i="1"/>
  <c r="R134" i="1" l="1"/>
  <c r="S135" i="1"/>
  <c r="T135" i="1" s="1"/>
  <c r="R133" i="1" l="1"/>
  <c r="S134" i="1"/>
  <c r="T134" i="1" s="1"/>
  <c r="S133" i="1" l="1"/>
  <c r="T133" i="1" s="1"/>
  <c r="R132" i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S125" i="1" l="1"/>
  <c r="T125" i="1" s="1"/>
  <c r="R124" i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S120" i="1" l="1"/>
  <c r="T120" i="1" s="1"/>
  <c r="R119" i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S112" i="1" l="1"/>
  <c r="T112" i="1" s="1"/>
  <c r="R111" i="1"/>
  <c r="R110" i="1" l="1"/>
  <c r="S111" i="1"/>
  <c r="T111" i="1" s="1"/>
  <c r="R109" i="1" l="1"/>
  <c r="S110" i="1"/>
  <c r="T110" i="1" s="1"/>
  <c r="S109" i="1" l="1"/>
  <c r="T109" i="1" s="1"/>
  <c r="R108" i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S96" i="1" l="1"/>
  <c r="T96" i="1" s="1"/>
  <c r="R95" i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S88" i="1" l="1"/>
  <c r="T88" i="1" s="1"/>
  <c r="R87" i="1"/>
  <c r="R86" i="1" l="1"/>
  <c r="S87" i="1"/>
  <c r="T87" i="1" s="1"/>
  <c r="R85" i="1" l="1"/>
  <c r="S86" i="1"/>
  <c r="T86" i="1" s="1"/>
  <c r="S85" i="1" l="1"/>
  <c r="T85" i="1" s="1"/>
  <c r="R84" i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S64" i="1" l="1"/>
  <c r="T64" i="1" s="1"/>
  <c r="R63" i="1"/>
  <c r="R62" i="1" l="1"/>
  <c r="S63" i="1"/>
  <c r="T63" i="1" s="1"/>
  <c r="R61" i="1" l="1"/>
  <c r="S62" i="1"/>
  <c r="T62" i="1" s="1"/>
  <c r="S61" i="1" l="1"/>
  <c r="T61" i="1" s="1"/>
  <c r="R60" i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<sst xmlns="http://schemas.openxmlformats.org/spreadsheetml/2006/main" count="4200" uniqueCount="34">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</sst>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0.1046</c:v>
                </c:pt>
                <c:pt idx="1">
                  <c:v>0.1077</c:v>
                </c:pt>
                <c:pt idx="2">
                  <c:v>0.1037</c:v>
                </c:pt>
                <c:pt idx="3">
                  <c:v>0.1023</c:v>
                </c:pt>
                <c:pt idx="4">
                  <c:v>0.1081</c:v>
                </c:pt>
                <c:pt idx="5">
                  <c:v>0.10630000000000001</c:v>
                </c:pt>
                <c:pt idx="6">
                  <c:v>0.1226</c:v>
                </c:pt>
                <c:pt idx="7">
                  <c:v>0.15140000000000001</c:v>
                </c:pt>
                <c:pt idx="8">
                  <c:v>0.15679999999999999</c:v>
                </c:pt>
                <c:pt idx="9">
                  <c:v>0.16250000000000001</c:v>
                </c:pt>
                <c:pt idx="10">
                  <c:v>0.16880000000000001</c:v>
                </c:pt>
                <c:pt idx="11">
                  <c:v>0.18060000000000001</c:v>
                </c:pt>
                <c:pt idx="12">
                  <c:v>0.18440000000000001</c:v>
                </c:pt>
                <c:pt idx="13">
                  <c:v>0.17150000000000001</c:v>
                </c:pt>
                <c:pt idx="14">
                  <c:v>0.1678</c:v>
                </c:pt>
                <c:pt idx="15">
                  <c:v>0.1827</c:v>
                </c:pt>
                <c:pt idx="16">
                  <c:v>0.1709</c:v>
                </c:pt>
                <c:pt idx="17">
                  <c:v>0.1603</c:v>
                </c:pt>
                <c:pt idx="18">
                  <c:v>0.1691</c:v>
                </c:pt>
                <c:pt idx="19">
                  <c:v>0.16520000000000001</c:v>
                </c:pt>
                <c:pt idx="20">
                  <c:v>0.17760000000000001</c:v>
                </c:pt>
                <c:pt idx="21">
                  <c:v>0.19239999999999999</c:v>
                </c:pt>
                <c:pt idx="22">
                  <c:v>0.1905</c:v>
                </c:pt>
                <c:pt idx="23">
                  <c:v>0.21360000000000001</c:v>
                </c:pt>
                <c:pt idx="24">
                  <c:v>0.21390000000000001</c:v>
                </c:pt>
                <c:pt idx="25">
                  <c:v>0.219</c:v>
                </c:pt>
                <c:pt idx="26">
                  <c:v>0.22559999999999999</c:v>
                </c:pt>
                <c:pt idx="27">
                  <c:v>0.21260000000000001</c:v>
                </c:pt>
                <c:pt idx="28">
                  <c:v>0.21049999999999999</c:v>
                </c:pt>
                <c:pt idx="29">
                  <c:v>0.214</c:v>
                </c:pt>
                <c:pt idx="30">
                  <c:v>0.2177</c:v>
                </c:pt>
                <c:pt idx="31">
                  <c:v>0.24640000000000001</c:v>
                </c:pt>
                <c:pt idx="32">
                  <c:v>0.25019999999999998</c:v>
                </c:pt>
                <c:pt idx="33">
                  <c:v>0.2387</c:v>
                </c:pt>
                <c:pt idx="34">
                  <c:v>0.2288</c:v>
                </c:pt>
                <c:pt idx="35">
                  <c:v>0.24049999999999999</c:v>
                </c:pt>
                <c:pt idx="36">
                  <c:v>0.215</c:v>
                </c:pt>
                <c:pt idx="37">
                  <c:v>0.21329999999999999</c:v>
                </c:pt>
                <c:pt idx="38">
                  <c:v>0.19900000000000001</c:v>
                </c:pt>
                <c:pt idx="39">
                  <c:v>0.20580000000000001</c:v>
                </c:pt>
                <c:pt idx="40">
                  <c:v>0.21360000000000001</c:v>
                </c:pt>
                <c:pt idx="41">
                  <c:v>0.20730000000000001</c:v>
                </c:pt>
                <c:pt idx="42">
                  <c:v>0.21379999999999999</c:v>
                </c:pt>
                <c:pt idx="43">
                  <c:v>0.22270000000000001</c:v>
                </c:pt>
                <c:pt idx="44">
                  <c:v>0.21440000000000001</c:v>
                </c:pt>
                <c:pt idx="45">
                  <c:v>0.21240000000000001</c:v>
                </c:pt>
                <c:pt idx="46">
                  <c:v>0.24349999999999999</c:v>
                </c:pt>
                <c:pt idx="47">
                  <c:v>0.23119999999999999</c:v>
                </c:pt>
                <c:pt idx="48">
                  <c:v>0.22989999999999999</c:v>
                </c:pt>
                <c:pt idx="49">
                  <c:v>0.2429</c:v>
                </c:pt>
                <c:pt idx="50">
                  <c:v>0.26269999999999999</c:v>
                </c:pt>
                <c:pt idx="51">
                  <c:v>0.253</c:v>
                </c:pt>
                <c:pt idx="52">
                  <c:v>0.26440000000000002</c:v>
                </c:pt>
                <c:pt idx="53">
                  <c:v>0.26329999999999998</c:v>
                </c:pt>
                <c:pt idx="54">
                  <c:v>0.30080000000000001</c:v>
                </c:pt>
                <c:pt idx="55">
                  <c:v>0.3543</c:v>
                </c:pt>
                <c:pt idx="56">
                  <c:v>0.3841</c:v>
                </c:pt>
                <c:pt idx="57">
                  <c:v>0.41649999999999998</c:v>
                </c:pt>
                <c:pt idx="58">
                  <c:v>0.4249</c:v>
                </c:pt>
                <c:pt idx="59">
                  <c:v>0.3795</c:v>
                </c:pt>
                <c:pt idx="60">
                  <c:v>0.41310000000000002</c:v>
                </c:pt>
                <c:pt idx="61">
                  <c:v>0.37259999999999999</c:v>
                </c:pt>
                <c:pt idx="62">
                  <c:v>0.39889999999999998</c:v>
                </c:pt>
                <c:pt idx="63">
                  <c:v>0.4844</c:v>
                </c:pt>
                <c:pt idx="64">
                  <c:v>0.42980000000000002</c:v>
                </c:pt>
                <c:pt idx="65">
                  <c:v>0.38600000000000001</c:v>
                </c:pt>
                <c:pt idx="66">
                  <c:v>0.35899999999999999</c:v>
                </c:pt>
                <c:pt idx="67">
                  <c:v>0.33989999999999998</c:v>
                </c:pt>
                <c:pt idx="68">
                  <c:v>0.34649999999999997</c:v>
                </c:pt>
                <c:pt idx="69">
                  <c:v>0.27800000000000002</c:v>
                </c:pt>
                <c:pt idx="70">
                  <c:v>0.27500000000000002</c:v>
                </c:pt>
                <c:pt idx="71">
                  <c:v>0.2452</c:v>
                </c:pt>
                <c:pt idx="72">
                  <c:v>0.22420000000000001</c:v>
                </c:pt>
                <c:pt idx="73">
                  <c:v>0.2535</c:v>
                </c:pt>
                <c:pt idx="74">
                  <c:v>0.25750000000000001</c:v>
                </c:pt>
                <c:pt idx="75">
                  <c:v>0.26079999999999998</c:v>
                </c:pt>
                <c:pt idx="76">
                  <c:v>0.25979999999999998</c:v>
                </c:pt>
                <c:pt idx="77">
                  <c:v>0.25650000000000001</c:v>
                </c:pt>
                <c:pt idx="78">
                  <c:v>0.248</c:v>
                </c:pt>
                <c:pt idx="79">
                  <c:v>0.27510000000000001</c:v>
                </c:pt>
                <c:pt idx="80">
                  <c:v>0.29520000000000002</c:v>
                </c:pt>
                <c:pt idx="81">
                  <c:v>0.29289999999999999</c:v>
                </c:pt>
                <c:pt idx="82">
                  <c:v>0.27679999999999999</c:v>
                </c:pt>
                <c:pt idx="83">
                  <c:v>0.28189999999999998</c:v>
                </c:pt>
                <c:pt idx="84">
                  <c:v>0.28660000000000002</c:v>
                </c:pt>
                <c:pt idx="85">
                  <c:v>0.26390000000000002</c:v>
                </c:pt>
                <c:pt idx="86">
                  <c:v>0.27100000000000002</c:v>
                </c:pt>
                <c:pt idx="87">
                  <c:v>0.25280000000000002</c:v>
                </c:pt>
                <c:pt idx="88">
                  <c:v>0.24199999999999999</c:v>
                </c:pt>
                <c:pt idx="89">
                  <c:v>0.28560000000000002</c:v>
                </c:pt>
                <c:pt idx="90">
                  <c:v>0.21490000000000001</c:v>
                </c:pt>
                <c:pt idx="91">
                  <c:v>0.1837</c:v>
                </c:pt>
                <c:pt idx="92">
                  <c:v>0.1739</c:v>
                </c:pt>
                <c:pt idx="93">
                  <c:v>0.20619999999999999</c:v>
                </c:pt>
                <c:pt idx="94">
                  <c:v>0.1918</c:v>
                </c:pt>
                <c:pt idx="95">
                  <c:v>0.18440000000000001</c:v>
                </c:pt>
                <c:pt idx="96">
                  <c:v>0.19220000000000001</c:v>
                </c:pt>
                <c:pt idx="97">
                  <c:v>0.1925</c:v>
                </c:pt>
                <c:pt idx="98">
                  <c:v>0.19059999999999999</c:v>
                </c:pt>
                <c:pt idx="99">
                  <c:v>0.19639999999999999</c:v>
                </c:pt>
                <c:pt idx="100">
                  <c:v>0.18709999999999999</c:v>
                </c:pt>
                <c:pt idx="101">
                  <c:v>0.18809999999999999</c:v>
                </c:pt>
                <c:pt idx="102">
                  <c:v>0.19</c:v>
                </c:pt>
                <c:pt idx="103">
                  <c:v>0.19750000000000001</c:v>
                </c:pt>
                <c:pt idx="104">
                  <c:v>0.1983</c:v>
                </c:pt>
                <c:pt idx="105">
                  <c:v>0.19969999999999999</c:v>
                </c:pt>
                <c:pt idx="106">
                  <c:v>0.19189999999999999</c:v>
                </c:pt>
                <c:pt idx="107">
                  <c:v>0.1961</c:v>
                </c:pt>
                <c:pt idx="108">
                  <c:v>0.19089999999999999</c:v>
                </c:pt>
                <c:pt idx="109">
                  <c:v>0.19350000000000001</c:v>
                </c:pt>
                <c:pt idx="110">
                  <c:v>0.21190000000000001</c:v>
                </c:pt>
                <c:pt idx="111">
                  <c:v>0.2084</c:v>
                </c:pt>
                <c:pt idx="112">
                  <c:v>0.2218</c:v>
                </c:pt>
                <c:pt idx="113">
                  <c:v>0.1961</c:v>
                </c:pt>
                <c:pt idx="114">
                  <c:v>0.2072</c:v>
                </c:pt>
                <c:pt idx="115">
                  <c:v>0.2054</c:v>
                </c:pt>
                <c:pt idx="116">
                  <c:v>0.20069999999999999</c:v>
                </c:pt>
                <c:pt idx="117">
                  <c:v>0.1971</c:v>
                </c:pt>
                <c:pt idx="118">
                  <c:v>0.20319999999999999</c:v>
                </c:pt>
                <c:pt idx="119">
                  <c:v>0.17030000000000001</c:v>
                </c:pt>
                <c:pt idx="120">
                  <c:v>0.15590000000000001</c:v>
                </c:pt>
                <c:pt idx="121">
                  <c:v>0.1527</c:v>
                </c:pt>
                <c:pt idx="122">
                  <c:v>0.155</c:v>
                </c:pt>
                <c:pt idx="123">
                  <c:v>0.1618</c:v>
                </c:pt>
                <c:pt idx="124">
                  <c:v>0.1633</c:v>
                </c:pt>
                <c:pt idx="125">
                  <c:v>0.16830000000000001</c:v>
                </c:pt>
                <c:pt idx="126">
                  <c:v>0.18640000000000001</c:v>
                </c:pt>
                <c:pt idx="127">
                  <c:v>0.18190000000000001</c:v>
                </c:pt>
                <c:pt idx="128">
                  <c:v>0.15509999999999999</c:v>
                </c:pt>
                <c:pt idx="129">
                  <c:v>0.18990000000000001</c:v>
                </c:pt>
                <c:pt idx="130">
                  <c:v>0.21299999999999999</c:v>
                </c:pt>
                <c:pt idx="131">
                  <c:v>0.23699999999999999</c:v>
                </c:pt>
                <c:pt idx="132">
                  <c:v>0.2087</c:v>
                </c:pt>
                <c:pt idx="133">
                  <c:v>0.216</c:v>
                </c:pt>
                <c:pt idx="134">
                  <c:v>0.22520000000000001</c:v>
                </c:pt>
                <c:pt idx="135">
                  <c:v>0.2056</c:v>
                </c:pt>
                <c:pt idx="136">
                  <c:v>0.19980000000000001</c:v>
                </c:pt>
                <c:pt idx="137">
                  <c:v>0.2213</c:v>
                </c:pt>
                <c:pt idx="138">
                  <c:v>0.20899999999999999</c:v>
                </c:pt>
                <c:pt idx="139">
                  <c:v>0.20660000000000001</c:v>
                </c:pt>
                <c:pt idx="140">
                  <c:v>0.22270000000000001</c:v>
                </c:pt>
                <c:pt idx="141">
                  <c:v>0.22339999999999999</c:v>
                </c:pt>
                <c:pt idx="142">
                  <c:v>0.23380000000000001</c:v>
                </c:pt>
                <c:pt idx="143">
                  <c:v>0.3286</c:v>
                </c:pt>
                <c:pt idx="144">
                  <c:v>0.33539999999999998</c:v>
                </c:pt>
                <c:pt idx="145">
                  <c:v>0.32650000000000001</c:v>
                </c:pt>
                <c:pt idx="146">
                  <c:v>0.31719999999999998</c:v>
                </c:pt>
                <c:pt idx="147">
                  <c:v>0.32779999999999998</c:v>
                </c:pt>
                <c:pt idx="148">
                  <c:v>0.32919999999999999</c:v>
                </c:pt>
                <c:pt idx="149">
                  <c:v>0.33119999999999999</c:v>
                </c:pt>
                <c:pt idx="150">
                  <c:v>0.34310000000000002</c:v>
                </c:pt>
                <c:pt idx="151">
                  <c:v>0.36880000000000002</c:v>
                </c:pt>
                <c:pt idx="152">
                  <c:v>0.35299999999999998</c:v>
                </c:pt>
                <c:pt idx="153">
                  <c:v>0.31809999999999999</c:v>
                </c:pt>
                <c:pt idx="154">
                  <c:v>0.30330000000000001</c:v>
                </c:pt>
                <c:pt idx="155">
                  <c:v>0.34760000000000002</c:v>
                </c:pt>
                <c:pt idx="156">
                  <c:v>0.27010000000000001</c:v>
                </c:pt>
                <c:pt idx="157">
                  <c:v>0.30159999999999998</c:v>
                </c:pt>
                <c:pt idx="158">
                  <c:v>0.29170000000000001</c:v>
                </c:pt>
                <c:pt idx="159">
                  <c:v>0.29070000000000001</c:v>
                </c:pt>
                <c:pt idx="160">
                  <c:v>0.27789999999999998</c:v>
                </c:pt>
                <c:pt idx="161">
                  <c:v>0.27389999999999998</c:v>
                </c:pt>
                <c:pt idx="162">
                  <c:v>0.25979999999999998</c:v>
                </c:pt>
                <c:pt idx="163">
                  <c:v>0.27710000000000001</c:v>
                </c:pt>
                <c:pt idx="164">
                  <c:v>0.2964</c:v>
                </c:pt>
                <c:pt idx="165">
                  <c:v>0.32019999999999998</c:v>
                </c:pt>
                <c:pt idx="166">
                  <c:v>0.28899999999999998</c:v>
                </c:pt>
                <c:pt idx="167">
                  <c:v>0.29260000000000003</c:v>
                </c:pt>
                <c:pt idx="168">
                  <c:v>0.27100000000000002</c:v>
                </c:pt>
                <c:pt idx="169">
                  <c:v>0.28770000000000001</c:v>
                </c:pt>
                <c:pt idx="170">
                  <c:v>0.31040000000000001</c:v>
                </c:pt>
                <c:pt idx="171">
                  <c:v>0.28060000000000002</c:v>
                </c:pt>
                <c:pt idx="172">
                  <c:v>0.26869999999999999</c:v>
                </c:pt>
                <c:pt idx="173">
                  <c:v>0.28120000000000001</c:v>
                </c:pt>
                <c:pt idx="174">
                  <c:v>0.28939999999999999</c:v>
                </c:pt>
                <c:pt idx="175">
                  <c:v>0.27760000000000001</c:v>
                </c:pt>
                <c:pt idx="176">
                  <c:v>0.2767</c:v>
                </c:pt>
                <c:pt idx="177">
                  <c:v>0.26269999999999999</c:v>
                </c:pt>
                <c:pt idx="178">
                  <c:v>0.28060000000000002</c:v>
                </c:pt>
                <c:pt idx="179">
                  <c:v>0.28370000000000001</c:v>
                </c:pt>
                <c:pt idx="180">
                  <c:v>0.30530000000000002</c:v>
                </c:pt>
                <c:pt idx="181">
                  <c:v>0.2873</c:v>
                </c:pt>
                <c:pt idx="182">
                  <c:v>0.29289999999999999</c:v>
                </c:pt>
                <c:pt idx="183">
                  <c:v>0.29430000000000001</c:v>
                </c:pt>
                <c:pt idx="184">
                  <c:v>0.32340000000000002</c:v>
                </c:pt>
                <c:pt idx="185">
                  <c:v>0.27410000000000001</c:v>
                </c:pt>
                <c:pt idx="186">
                  <c:v>0.36830000000000002</c:v>
                </c:pt>
                <c:pt idx="187">
                  <c:v>0.2848</c:v>
                </c:pt>
                <c:pt idx="188">
                  <c:v>0.24399999999999999</c:v>
                </c:pt>
                <c:pt idx="189">
                  <c:v>0.17199999999999999</c:v>
                </c:pt>
                <c:pt idx="190">
                  <c:v>0.17680000000000001</c:v>
                </c:pt>
                <c:pt idx="191">
                  <c:v>0.1358</c:v>
                </c:pt>
                <c:pt idx="192">
                  <c:v>0.1605</c:v>
                </c:pt>
                <c:pt idx="193">
                  <c:v>0.19769999999999999</c:v>
                </c:pt>
                <c:pt idx="194">
                  <c:v>0.17030000000000001</c:v>
                </c:pt>
                <c:pt idx="195">
                  <c:v>0.1797</c:v>
                </c:pt>
                <c:pt idx="196">
                  <c:v>0.2424</c:v>
                </c:pt>
                <c:pt idx="197">
                  <c:v>0.2283</c:v>
                </c:pt>
                <c:pt idx="198">
                  <c:v>0.15459999999999999</c:v>
                </c:pt>
                <c:pt idx="199">
                  <c:v>0.1212</c:v>
                </c:pt>
                <c:pt idx="200">
                  <c:v>0.13020000000000001</c:v>
                </c:pt>
                <c:pt idx="201">
                  <c:v>0.1004</c:v>
                </c:pt>
                <c:pt idx="202">
                  <c:v>9.4600000000000004E-2</c:v>
                </c:pt>
                <c:pt idx="203">
                  <c:v>9.0200000000000002E-2</c:v>
                </c:pt>
                <c:pt idx="204">
                  <c:v>0.1023</c:v>
                </c:pt>
                <c:pt idx="205">
                  <c:v>9.2600000000000002E-2</c:v>
                </c:pt>
                <c:pt idx="206">
                  <c:v>8.1900000000000001E-2</c:v>
                </c:pt>
                <c:pt idx="207">
                  <c:v>8.8800000000000004E-2</c:v>
                </c:pt>
                <c:pt idx="208">
                  <c:v>7.85E-2</c:v>
                </c:pt>
                <c:pt idx="209">
                  <c:v>7.3800000000000004E-2</c:v>
                </c:pt>
                <c:pt idx="210">
                  <c:v>7.2099999999999997E-2</c:v>
                </c:pt>
                <c:pt idx="211">
                  <c:v>7.8399999999999997E-2</c:v>
                </c:pt>
                <c:pt idx="212">
                  <c:v>7.9100000000000004E-2</c:v>
                </c:pt>
                <c:pt idx="213">
                  <c:v>8.0600000000000005E-2</c:v>
                </c:pt>
                <c:pt idx="214">
                  <c:v>7.5499999999999998E-2</c:v>
                </c:pt>
                <c:pt idx="215">
                  <c:v>7.1400000000000005E-2</c:v>
                </c:pt>
                <c:pt idx="216">
                  <c:v>7.3300000000000004E-2</c:v>
                </c:pt>
                <c:pt idx="217">
                  <c:v>8.5599999999999996E-2</c:v>
                </c:pt>
                <c:pt idx="218">
                  <c:v>8.6400000000000005E-2</c:v>
                </c:pt>
                <c:pt idx="219">
                  <c:v>8.1299999999999997E-2</c:v>
                </c:pt>
                <c:pt idx="220">
                  <c:v>9.0899999999999995E-2</c:v>
                </c:pt>
                <c:pt idx="221">
                  <c:v>0.1215</c:v>
                </c:pt>
                <c:pt idx="222">
                  <c:v>0.1183</c:v>
                </c:pt>
                <c:pt idx="223">
                  <c:v>0.12470000000000001</c:v>
                </c:pt>
                <c:pt idx="224">
                  <c:v>0.13650000000000001</c:v>
                </c:pt>
                <c:pt idx="225">
                  <c:v>0.13969999999999999</c:v>
                </c:pt>
                <c:pt idx="226">
                  <c:v>0.1489</c:v>
                </c:pt>
                <c:pt idx="227">
                  <c:v>0.14799999999999999</c:v>
                </c:pt>
                <c:pt idx="228">
                  <c:v>0.14749999999999999</c:v>
                </c:pt>
                <c:pt idx="229">
                  <c:v>0.14030000000000001</c:v>
                </c:pt>
                <c:pt idx="230">
                  <c:v>0.15740000000000001</c:v>
                </c:pt>
                <c:pt idx="231">
                  <c:v>0.1394</c:v>
                </c:pt>
                <c:pt idx="232">
                  <c:v>0.15290000000000001</c:v>
                </c:pt>
                <c:pt idx="233">
                  <c:v>0.1434</c:v>
                </c:pt>
                <c:pt idx="234">
                  <c:v>0.15160000000000001</c:v>
                </c:pt>
                <c:pt idx="235">
                  <c:v>0.17510000000000001</c:v>
                </c:pt>
                <c:pt idx="236">
                  <c:v>0.17180000000000001</c:v>
                </c:pt>
                <c:pt idx="237">
                  <c:v>0.18090000000000001</c:v>
                </c:pt>
                <c:pt idx="238">
                  <c:v>0.21110000000000001</c:v>
                </c:pt>
                <c:pt idx="239">
                  <c:v>0.19739999999999999</c:v>
                </c:pt>
                <c:pt idx="240">
                  <c:v>0.19259999999999999</c:v>
                </c:pt>
                <c:pt idx="241">
                  <c:v>0.20660000000000001</c:v>
                </c:pt>
                <c:pt idx="242">
                  <c:v>0.18959999999999999</c:v>
                </c:pt>
                <c:pt idx="243">
                  <c:v>0.1835</c:v>
                </c:pt>
                <c:pt idx="244">
                  <c:v>0.2051</c:v>
                </c:pt>
                <c:pt idx="245">
                  <c:v>0.23619999999999999</c:v>
                </c:pt>
                <c:pt idx="246">
                  <c:v>0.25409999999999999</c:v>
                </c:pt>
                <c:pt idx="247">
                  <c:v>0.1782</c:v>
                </c:pt>
                <c:pt idx="248">
                  <c:v>0.1724</c:v>
                </c:pt>
                <c:pt idx="249">
                  <c:v>0.13819999999999999</c:v>
                </c:pt>
                <c:pt idx="250">
                  <c:v>0.18290000000000001</c:v>
                </c:pt>
                <c:pt idx="251">
                  <c:v>0.2021</c:v>
                </c:pt>
                <c:pt idx="252">
                  <c:v>0.2442</c:v>
                </c:pt>
                <c:pt idx="253">
                  <c:v>0.21249999999999999</c:v>
                </c:pt>
                <c:pt idx="254">
                  <c:v>0.34470000000000001</c:v>
                </c:pt>
                <c:pt idx="255">
                  <c:v>0.35389999999999999</c:v>
                </c:pt>
                <c:pt idx="256">
                  <c:v>0.36430000000000001</c:v>
                </c:pt>
                <c:pt idx="257">
                  <c:v>0.3508</c:v>
                </c:pt>
                <c:pt idx="258">
                  <c:v>0.40560000000000002</c:v>
                </c:pt>
                <c:pt idx="259">
                  <c:v>0.37459999999999999</c:v>
                </c:pt>
                <c:pt idx="260">
                  <c:v>0.38279999999999997</c:v>
                </c:pt>
                <c:pt idx="261">
                  <c:v>0.51949999999999996</c:v>
                </c:pt>
                <c:pt idx="262">
                  <c:v>0.50039999999999996</c:v>
                </c:pt>
                <c:pt idx="263">
                  <c:v>0.62380000000000002</c:v>
                </c:pt>
                <c:pt idx="264">
                  <c:v>0.51719999999999999</c:v>
                </c:pt>
                <c:pt idx="265">
                  <c:v>0.5272</c:v>
                </c:pt>
                <c:pt idx="266">
                  <c:v>0.60499999999999998</c:v>
                </c:pt>
                <c:pt idx="267">
                  <c:v>0.61970000000000003</c:v>
                </c:pt>
                <c:pt idx="268">
                  <c:v>0.58960000000000001</c:v>
                </c:pt>
                <c:pt idx="269">
                  <c:v>0.7</c:v>
                </c:pt>
                <c:pt idx="270">
                  <c:v>0.75490000000000002</c:v>
                </c:pt>
                <c:pt idx="271">
                  <c:v>0.47470000000000001</c:v>
                </c:pt>
                <c:pt idx="272">
                  <c:v>0.42759999999999998</c:v>
                </c:pt>
                <c:pt idx="273">
                  <c:v>0.43819999999999998</c:v>
                </c:pt>
                <c:pt idx="274">
                  <c:v>0.35370000000000001</c:v>
                </c:pt>
                <c:pt idx="275">
                  <c:v>0.33850000000000002</c:v>
                </c:pt>
                <c:pt idx="276">
                  <c:v>0.26950000000000002</c:v>
                </c:pt>
                <c:pt idx="277">
                  <c:v>0.24390000000000001</c:v>
                </c:pt>
                <c:pt idx="278">
                  <c:v>0.26340000000000002</c:v>
                </c:pt>
                <c:pt idx="279">
                  <c:v>0.2253</c:v>
                </c:pt>
                <c:pt idx="280">
                  <c:v>0.25419999999999998</c:v>
                </c:pt>
                <c:pt idx="281">
                  <c:v>0.28179999999999999</c:v>
                </c:pt>
                <c:pt idx="282">
                  <c:v>0.30230000000000001</c:v>
                </c:pt>
                <c:pt idx="283">
                  <c:v>0.3211</c:v>
                </c:pt>
                <c:pt idx="284">
                  <c:v>0.35970000000000002</c:v>
                </c:pt>
                <c:pt idx="285">
                  <c:v>0.39989999999999998</c:v>
                </c:pt>
                <c:pt idx="286">
                  <c:v>0.38290000000000002</c:v>
                </c:pt>
                <c:pt idx="287">
                  <c:v>0.47989999999999999</c:v>
                </c:pt>
                <c:pt idx="288">
                  <c:v>0.58299999999999996</c:v>
                </c:pt>
                <c:pt idx="289">
                  <c:v>0.72689999999999999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B5-47A7-8866-17C9CA3F6E3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-68.586450501023378</c:v>
                </c:pt>
                <c:pt idx="1">
                  <c:v>-68.432523249444415</c:v>
                </c:pt>
                <c:pt idx="2">
                  <c:v>-67.542322394217166</c:v>
                </c:pt>
                <c:pt idx="3">
                  <c:v>-68.011249378264779</c:v>
                </c:pt>
                <c:pt idx="4">
                  <c:v>-69.012308486132</c:v>
                </c:pt>
                <c:pt idx="5">
                  <c:v>-69.012308486132</c:v>
                </c:pt>
                <c:pt idx="6">
                  <c:v>-67.920924149448723</c:v>
                </c:pt>
                <c:pt idx="7">
                  <c:v>-65.874716991568491</c:v>
                </c:pt>
                <c:pt idx="8">
                  <c:v>-64.91076762571484</c:v>
                </c:pt>
                <c:pt idx="9">
                  <c:v>-64.578476107462407</c:v>
                </c:pt>
                <c:pt idx="10">
                  <c:v>-64.289984873251882</c:v>
                </c:pt>
                <c:pt idx="11">
                  <c:v>-63.708051435415634</c:v>
                </c:pt>
                <c:pt idx="12">
                  <c:v>-63.665877284748966</c:v>
                </c:pt>
                <c:pt idx="13">
                  <c:v>-64.361491685275283</c:v>
                </c:pt>
                <c:pt idx="14">
                  <c:v>-64.901638890453853</c:v>
                </c:pt>
                <c:pt idx="15">
                  <c:v>-64.017395738231627</c:v>
                </c:pt>
                <c:pt idx="16">
                  <c:v>-64.911837800231638</c:v>
                </c:pt>
                <c:pt idx="17">
                  <c:v>-65.676280804216603</c:v>
                </c:pt>
                <c:pt idx="18">
                  <c:v>-65.409666242492463</c:v>
                </c:pt>
                <c:pt idx="19">
                  <c:v>-65.470566504456741</c:v>
                </c:pt>
                <c:pt idx="20">
                  <c:v>-64.787898024456737</c:v>
                </c:pt>
                <c:pt idx="21">
                  <c:v>-63.779283416162897</c:v>
                </c:pt>
                <c:pt idx="22">
                  <c:v>-64.730649814562895</c:v>
                </c:pt>
                <c:pt idx="23">
                  <c:v>-64.134832645321822</c:v>
                </c:pt>
                <c:pt idx="24">
                  <c:v>-63.753878423858403</c:v>
                </c:pt>
                <c:pt idx="25">
                  <c:v>-63.91591590012959</c:v>
                </c:pt>
                <c:pt idx="26">
                  <c:v>-63.410032749694814</c:v>
                </c:pt>
                <c:pt idx="27">
                  <c:v>-64.162490388256899</c:v>
                </c:pt>
                <c:pt idx="28">
                  <c:v>-64.249429430564589</c:v>
                </c:pt>
                <c:pt idx="29">
                  <c:v>-63.546320666564597</c:v>
                </c:pt>
                <c:pt idx="30">
                  <c:v>-63.195256205926306</c:v>
                </c:pt>
                <c:pt idx="31">
                  <c:v>-61.467820482614201</c:v>
                </c:pt>
                <c:pt idx="32">
                  <c:v>-60.394170856836425</c:v>
                </c:pt>
                <c:pt idx="33">
                  <c:v>-61.467241940009849</c:v>
                </c:pt>
                <c:pt idx="34">
                  <c:v>-61.982810096595216</c:v>
                </c:pt>
                <c:pt idx="35">
                  <c:v>-61.135774063199875</c:v>
                </c:pt>
                <c:pt idx="36">
                  <c:v>-62.696433463755426</c:v>
                </c:pt>
                <c:pt idx="37">
                  <c:v>-62.176022648316831</c:v>
                </c:pt>
                <c:pt idx="38">
                  <c:v>-62.884468158869588</c:v>
                </c:pt>
                <c:pt idx="39">
                  <c:v>-63.118981340696998</c:v>
                </c:pt>
                <c:pt idx="40">
                  <c:v>-62.520373526163674</c:v>
                </c:pt>
                <c:pt idx="41">
                  <c:v>-62.904545409363671</c:v>
                </c:pt>
                <c:pt idx="42">
                  <c:v>-62.489252755649389</c:v>
                </c:pt>
                <c:pt idx="43">
                  <c:v>-61.354322907818059</c:v>
                </c:pt>
                <c:pt idx="44">
                  <c:v>-62.270819984322927</c:v>
                </c:pt>
                <c:pt idx="45">
                  <c:v>-62.86957749129661</c:v>
                </c:pt>
                <c:pt idx="46">
                  <c:v>-61.403733739546006</c:v>
                </c:pt>
                <c:pt idx="47">
                  <c:v>-60.940293236863077</c:v>
                </c:pt>
                <c:pt idx="48">
                  <c:v>-61.009379279981353</c:v>
                </c:pt>
                <c:pt idx="49">
                  <c:v>-58.637190018918858</c:v>
                </c:pt>
                <c:pt idx="50">
                  <c:v>-55.975847956488479</c:v>
                </c:pt>
                <c:pt idx="51">
                  <c:v>-57.19473731642158</c:v>
                </c:pt>
                <c:pt idx="52">
                  <c:v>-55.614418316421585</c:v>
                </c:pt>
                <c:pt idx="53">
                  <c:v>-57.920326216129617</c:v>
                </c:pt>
                <c:pt idx="54">
                  <c:v>-56.144438509290239</c:v>
                </c:pt>
                <c:pt idx="55">
                  <c:v>-58.058538114096727</c:v>
                </c:pt>
                <c:pt idx="56">
                  <c:v>-57.442944156975514</c:v>
                </c:pt>
                <c:pt idx="57">
                  <c:v>-54.764836616181299</c:v>
                </c:pt>
                <c:pt idx="58">
                  <c:v>-50.20777688514297</c:v>
                </c:pt>
                <c:pt idx="59">
                  <c:v>-54.27668354307454</c:v>
                </c:pt>
                <c:pt idx="60">
                  <c:v>-50.356393627652459</c:v>
                </c:pt>
                <c:pt idx="61">
                  <c:v>-54.696371004261465</c:v>
                </c:pt>
                <c:pt idx="62">
                  <c:v>-52.348456577875496</c:v>
                </c:pt>
                <c:pt idx="63">
                  <c:v>-46.885185391222585</c:v>
                </c:pt>
                <c:pt idx="64">
                  <c:v>-44.545603756585066</c:v>
                </c:pt>
                <c:pt idx="65">
                  <c:v>-46.52029883536909</c:v>
                </c:pt>
                <c:pt idx="66">
                  <c:v>-47.614340518157398</c:v>
                </c:pt>
                <c:pt idx="67">
                  <c:v>-49.18620039021868</c:v>
                </c:pt>
                <c:pt idx="68">
                  <c:v>-34.966305444388802</c:v>
                </c:pt>
                <c:pt idx="69">
                  <c:v>-41.392355229572978</c:v>
                </c:pt>
                <c:pt idx="70">
                  <c:v>-43.034964581857238</c:v>
                </c:pt>
                <c:pt idx="71">
                  <c:v>-47.847070641265532</c:v>
                </c:pt>
                <c:pt idx="72">
                  <c:v>-49.148892607905104</c:v>
                </c:pt>
                <c:pt idx="73">
                  <c:v>-48.359252804896251</c:v>
                </c:pt>
                <c:pt idx="74">
                  <c:v>-47.358765276347022</c:v>
                </c:pt>
                <c:pt idx="75">
                  <c:v>-47.489831621510426</c:v>
                </c:pt>
                <c:pt idx="76">
                  <c:v>-46.099766219971961</c:v>
                </c:pt>
                <c:pt idx="77">
                  <c:v>-46.756389803305289</c:v>
                </c:pt>
                <c:pt idx="78">
                  <c:v>-47.179214893915621</c:v>
                </c:pt>
                <c:pt idx="79">
                  <c:v>-46.80999727285397</c:v>
                </c:pt>
                <c:pt idx="80">
                  <c:v>-45.531736676053974</c:v>
                </c:pt>
                <c:pt idx="81">
                  <c:v>-46.782862222500256</c:v>
                </c:pt>
                <c:pt idx="82">
                  <c:v>-47.468024536832502</c:v>
                </c:pt>
                <c:pt idx="83">
                  <c:v>-47.861430144832497</c:v>
                </c:pt>
                <c:pt idx="84">
                  <c:v>-44.111345899100783</c:v>
                </c:pt>
                <c:pt idx="85">
                  <c:v>-44.247157161745548</c:v>
                </c:pt>
                <c:pt idx="86">
                  <c:v>-44.551142596639167</c:v>
                </c:pt>
                <c:pt idx="87">
                  <c:v>-43.242229382100703</c:v>
                </c:pt>
                <c:pt idx="88">
                  <c:v>-43.711382709553732</c:v>
                </c:pt>
                <c:pt idx="89">
                  <c:v>-38.622191664639452</c:v>
                </c:pt>
                <c:pt idx="90">
                  <c:v>-41.641997231166307</c:v>
                </c:pt>
                <c:pt idx="91">
                  <c:v>-43.215921250838441</c:v>
                </c:pt>
                <c:pt idx="92">
                  <c:v>-44.71487559534549</c:v>
                </c:pt>
                <c:pt idx="93">
                  <c:v>-43.285203812729598</c:v>
                </c:pt>
                <c:pt idx="94">
                  <c:v>-43.793181094547776</c:v>
                </c:pt>
                <c:pt idx="95">
                  <c:v>-44.397550221143526</c:v>
                </c:pt>
                <c:pt idx="96">
                  <c:v>-44.064919586183521</c:v>
                </c:pt>
                <c:pt idx="97">
                  <c:v>-44.464710522254954</c:v>
                </c:pt>
                <c:pt idx="98">
                  <c:v>-44.42625278565118</c:v>
                </c:pt>
                <c:pt idx="99">
                  <c:v>-43.737963881283356</c:v>
                </c:pt>
                <c:pt idx="100">
                  <c:v>-44.316228232116693</c:v>
                </c:pt>
                <c:pt idx="101">
                  <c:v>-44.137536472116693</c:v>
                </c:pt>
                <c:pt idx="102">
                  <c:v>-44.195721753151169</c:v>
                </c:pt>
                <c:pt idx="103">
                  <c:v>-43.916513210408318</c:v>
                </c:pt>
                <c:pt idx="104">
                  <c:v>-43.043322163741657</c:v>
                </c:pt>
                <c:pt idx="105">
                  <c:v>-43.636051244101374</c:v>
                </c:pt>
                <c:pt idx="106">
                  <c:v>-43.81524343035943</c:v>
                </c:pt>
                <c:pt idx="107">
                  <c:v>-43.643804666609434</c:v>
                </c:pt>
                <c:pt idx="108">
                  <c:v>-44.85869989532312</c:v>
                </c:pt>
                <c:pt idx="109">
                  <c:v>-44.433058528521094</c:v>
                </c:pt>
                <c:pt idx="110">
                  <c:v>-43.347145573210085</c:v>
                </c:pt>
                <c:pt idx="111">
                  <c:v>-44.142075860593266</c:v>
                </c:pt>
                <c:pt idx="112">
                  <c:v>-42.847431273893754</c:v>
                </c:pt>
                <c:pt idx="113">
                  <c:v>-44.735268942506188</c:v>
                </c:pt>
                <c:pt idx="114">
                  <c:v>-44.637511266281024</c:v>
                </c:pt>
                <c:pt idx="115">
                  <c:v>-45.16086842269128</c:v>
                </c:pt>
                <c:pt idx="116">
                  <c:v>-45.542549874073387</c:v>
                </c:pt>
                <c:pt idx="117">
                  <c:v>-46.183850613060734</c:v>
                </c:pt>
                <c:pt idx="118">
                  <c:v>-44.415663704478632</c:v>
                </c:pt>
                <c:pt idx="119">
                  <c:v>-47.090657085755737</c:v>
                </c:pt>
                <c:pt idx="120">
                  <c:v>-48.455907331878187</c:v>
                </c:pt>
                <c:pt idx="121">
                  <c:v>-47.590708197433749</c:v>
                </c:pt>
                <c:pt idx="122">
                  <c:v>-46.776894058141714</c:v>
                </c:pt>
                <c:pt idx="123">
                  <c:v>-45.084877121845423</c:v>
                </c:pt>
                <c:pt idx="124">
                  <c:v>-46.163863941502896</c:v>
                </c:pt>
                <c:pt idx="125">
                  <c:v>-45.924579674293589</c:v>
                </c:pt>
                <c:pt idx="126">
                  <c:v>-44.806550837195154</c:v>
                </c:pt>
                <c:pt idx="127">
                  <c:v>-45.633678188224565</c:v>
                </c:pt>
                <c:pt idx="128">
                  <c:v>-47.429195729644675</c:v>
                </c:pt>
                <c:pt idx="129">
                  <c:v>-45.399137045097056</c:v>
                </c:pt>
                <c:pt idx="130">
                  <c:v>-44.547273405619933</c:v>
                </c:pt>
                <c:pt idx="131">
                  <c:v>-43.038566992805563</c:v>
                </c:pt>
                <c:pt idx="132">
                  <c:v>-45.101832250583342</c:v>
                </c:pt>
                <c:pt idx="133">
                  <c:v>-43.92960933353789</c:v>
                </c:pt>
                <c:pt idx="134">
                  <c:v>-43.416779662009503</c:v>
                </c:pt>
                <c:pt idx="135">
                  <c:v>-45.07215099941692</c:v>
                </c:pt>
                <c:pt idx="136">
                  <c:v>-45.760754191321681</c:v>
                </c:pt>
                <c:pt idx="137">
                  <c:v>-45.363490946078954</c:v>
                </c:pt>
                <c:pt idx="138">
                  <c:v>-46.005994007866029</c:v>
                </c:pt>
                <c:pt idx="139">
                  <c:v>-45.673550962284629</c:v>
                </c:pt>
                <c:pt idx="140">
                  <c:v>-44.311491114619962</c:v>
                </c:pt>
                <c:pt idx="141">
                  <c:v>-43.074986912553854</c:v>
                </c:pt>
                <c:pt idx="142">
                  <c:v>-43.949926171193162</c:v>
                </c:pt>
                <c:pt idx="143">
                  <c:v>-41.441776096651132</c:v>
                </c:pt>
                <c:pt idx="144">
                  <c:v>-40.443747227165673</c:v>
                </c:pt>
                <c:pt idx="145">
                  <c:v>-40.788683577648769</c:v>
                </c:pt>
                <c:pt idx="146">
                  <c:v>-39.909323436419726</c:v>
                </c:pt>
                <c:pt idx="147">
                  <c:v>-39.333735271419727</c:v>
                </c:pt>
                <c:pt idx="148">
                  <c:v>-37.133652144919715</c:v>
                </c:pt>
                <c:pt idx="149">
                  <c:v>-37.269633690904847</c:v>
                </c:pt>
                <c:pt idx="150">
                  <c:v>-34.769745438562836</c:v>
                </c:pt>
                <c:pt idx="151">
                  <c:v>-29.075567310380222</c:v>
                </c:pt>
                <c:pt idx="152">
                  <c:v>-31.491691669284879</c:v>
                </c:pt>
                <c:pt idx="153">
                  <c:v>-34.598593102611332</c:v>
                </c:pt>
                <c:pt idx="154">
                  <c:v>-37.68462609128752</c:v>
                </c:pt>
                <c:pt idx="155">
                  <c:v>-29.034914035891752</c:v>
                </c:pt>
                <c:pt idx="156">
                  <c:v>-35.944774412709698</c:v>
                </c:pt>
                <c:pt idx="157">
                  <c:v>-33.688336198596254</c:v>
                </c:pt>
                <c:pt idx="158">
                  <c:v>-34.863826712593045</c:v>
                </c:pt>
                <c:pt idx="159">
                  <c:v>-34.734562610641966</c:v>
                </c:pt>
                <c:pt idx="160">
                  <c:v>-34.910035661015954</c:v>
                </c:pt>
                <c:pt idx="161">
                  <c:v>-35.76568577324025</c:v>
                </c:pt>
                <c:pt idx="162">
                  <c:v>-38.746631115515328</c:v>
                </c:pt>
                <c:pt idx="163">
                  <c:v>-38.612071704966439</c:v>
                </c:pt>
                <c:pt idx="164">
                  <c:v>-35.612377437267313</c:v>
                </c:pt>
                <c:pt idx="165">
                  <c:v>-31.876960553268681</c:v>
                </c:pt>
                <c:pt idx="166">
                  <c:v>-33.2517869305739</c:v>
                </c:pt>
                <c:pt idx="167">
                  <c:v>-32.424783402685726</c:v>
                </c:pt>
                <c:pt idx="168">
                  <c:v>-33.829609519282997</c:v>
                </c:pt>
                <c:pt idx="169">
                  <c:v>-31.32429016577219</c:v>
                </c:pt>
                <c:pt idx="170">
                  <c:v>-27.390282264453887</c:v>
                </c:pt>
                <c:pt idx="171">
                  <c:v>-30.570272995099192</c:v>
                </c:pt>
                <c:pt idx="172">
                  <c:v>-32.214409832791731</c:v>
                </c:pt>
                <c:pt idx="173">
                  <c:v>-30.537527310505151</c:v>
                </c:pt>
                <c:pt idx="174">
                  <c:v>-28.974627403506684</c:v>
                </c:pt>
                <c:pt idx="175">
                  <c:v>-29.062562003310489</c:v>
                </c:pt>
                <c:pt idx="176">
                  <c:v>-29.922065661344099</c:v>
                </c:pt>
                <c:pt idx="177">
                  <c:v>-30.97773744237448</c:v>
                </c:pt>
                <c:pt idx="178">
                  <c:v>-29.938183112578812</c:v>
                </c:pt>
                <c:pt idx="179">
                  <c:v>-27.413390125752969</c:v>
                </c:pt>
                <c:pt idx="180">
                  <c:v>-25.283818574561725</c:v>
                </c:pt>
                <c:pt idx="181">
                  <c:v>-25.351871140583111</c:v>
                </c:pt>
                <c:pt idx="182">
                  <c:v>-24.878388369109427</c:v>
                </c:pt>
                <c:pt idx="183">
                  <c:v>-22.612333432010882</c:v>
                </c:pt>
                <c:pt idx="184">
                  <c:v>-17.3842731350733</c:v>
                </c:pt>
                <c:pt idx="185">
                  <c:v>-24.308504701900187</c:v>
                </c:pt>
                <c:pt idx="186">
                  <c:v>-13.107241260280846</c:v>
                </c:pt>
                <c:pt idx="187">
                  <c:v>-33.733187927656211</c:v>
                </c:pt>
                <c:pt idx="188">
                  <c:v>-41.458846045666299</c:v>
                </c:pt>
                <c:pt idx="189">
                  <c:v>-50.115867236663377</c:v>
                </c:pt>
                <c:pt idx="190">
                  <c:v>-39.690043077866022</c:v>
                </c:pt>
                <c:pt idx="191">
                  <c:v>-48.741874150859701</c:v>
                </c:pt>
                <c:pt idx="192">
                  <c:v>-44.749606636034997</c:v>
                </c:pt>
                <c:pt idx="193">
                  <c:v>-39.355565790169479</c:v>
                </c:pt>
                <c:pt idx="194">
                  <c:v>-41.408903220692793</c:v>
                </c:pt>
                <c:pt idx="195">
                  <c:v>-38.188952661019968</c:v>
                </c:pt>
                <c:pt idx="196">
                  <c:v>-27.640949354415053</c:v>
                </c:pt>
                <c:pt idx="197">
                  <c:v>-17.742496415636353</c:v>
                </c:pt>
                <c:pt idx="198">
                  <c:v>-27.070136132057367</c:v>
                </c:pt>
                <c:pt idx="199">
                  <c:v>-32.669821528063913</c:v>
                </c:pt>
                <c:pt idx="200">
                  <c:v>-32.29963201469058</c:v>
                </c:pt>
                <c:pt idx="201">
                  <c:v>-36.32285459427932</c:v>
                </c:pt>
                <c:pt idx="202">
                  <c:v>-35.755362075850563</c:v>
                </c:pt>
                <c:pt idx="203">
                  <c:v>-36.857474946112468</c:v>
                </c:pt>
                <c:pt idx="204">
                  <c:v>-33.917811185290397</c:v>
                </c:pt>
                <c:pt idx="205">
                  <c:v>-33.50930158551575</c:v>
                </c:pt>
                <c:pt idx="206">
                  <c:v>-34.67963109107901</c:v>
                </c:pt>
                <c:pt idx="207">
                  <c:v>-34.011645187192137</c:v>
                </c:pt>
                <c:pt idx="208">
                  <c:v>-34.567541825452146</c:v>
                </c:pt>
                <c:pt idx="209">
                  <c:v>-35.042937426449548</c:v>
                </c:pt>
                <c:pt idx="210">
                  <c:v>-35.192108552849554</c:v>
                </c:pt>
                <c:pt idx="211">
                  <c:v>-34.752199191738434</c:v>
                </c:pt>
                <c:pt idx="212">
                  <c:v>-35.276591915926673</c:v>
                </c:pt>
                <c:pt idx="213">
                  <c:v>-34.415080831625133</c:v>
                </c:pt>
                <c:pt idx="214">
                  <c:v>-34.954578164196569</c:v>
                </c:pt>
                <c:pt idx="215">
                  <c:v>-35.663357851838235</c:v>
                </c:pt>
                <c:pt idx="216">
                  <c:v>-35.937747376716551</c:v>
                </c:pt>
                <c:pt idx="217">
                  <c:v>-35.101451089250268</c:v>
                </c:pt>
                <c:pt idx="218">
                  <c:v>-35.33427325493026</c:v>
                </c:pt>
                <c:pt idx="219">
                  <c:v>-35.244045003151321</c:v>
                </c:pt>
                <c:pt idx="220">
                  <c:v>-34.875402010609569</c:v>
                </c:pt>
                <c:pt idx="221">
                  <c:v>-33.552156370495943</c:v>
                </c:pt>
                <c:pt idx="222">
                  <c:v>-33.889925224126856</c:v>
                </c:pt>
                <c:pt idx="223">
                  <c:v>-32.909175428893867</c:v>
                </c:pt>
                <c:pt idx="224">
                  <c:v>-32.544638910986514</c:v>
                </c:pt>
                <c:pt idx="225">
                  <c:v>-32.24028050044123</c:v>
                </c:pt>
                <c:pt idx="226">
                  <c:v>-31.88977507932648</c:v>
                </c:pt>
                <c:pt idx="227">
                  <c:v>-31.941391343947974</c:v>
                </c:pt>
                <c:pt idx="228">
                  <c:v>-31.542245303905116</c:v>
                </c:pt>
                <c:pt idx="229">
                  <c:v>-31.89860368740981</c:v>
                </c:pt>
                <c:pt idx="230">
                  <c:v>-31.39319308681522</c:v>
                </c:pt>
                <c:pt idx="231">
                  <c:v>-31.963098444525219</c:v>
                </c:pt>
                <c:pt idx="232">
                  <c:v>-31.463079475334204</c:v>
                </c:pt>
                <c:pt idx="233">
                  <c:v>-31.970942161583384</c:v>
                </c:pt>
                <c:pt idx="234">
                  <c:v>-32.00391103093105</c:v>
                </c:pt>
                <c:pt idx="235">
                  <c:v>-31.129358185111357</c:v>
                </c:pt>
                <c:pt idx="236">
                  <c:v>-31.251656394732411</c:v>
                </c:pt>
                <c:pt idx="237">
                  <c:v>-30.699593696633816</c:v>
                </c:pt>
                <c:pt idx="238">
                  <c:v>-30.042025687042553</c:v>
                </c:pt>
                <c:pt idx="239">
                  <c:v>-30.616516691233034</c:v>
                </c:pt>
                <c:pt idx="240">
                  <c:v>-30.603158201645702</c:v>
                </c:pt>
                <c:pt idx="241">
                  <c:v>-30.056801012652063</c:v>
                </c:pt>
                <c:pt idx="242">
                  <c:v>-31.049273714079224</c:v>
                </c:pt>
                <c:pt idx="243">
                  <c:v>-31.231890697384564</c:v>
                </c:pt>
                <c:pt idx="244">
                  <c:v>-30.59074308795438</c:v>
                </c:pt>
                <c:pt idx="245">
                  <c:v>-29.741186685008664</c:v>
                </c:pt>
                <c:pt idx="246">
                  <c:v>-29.471243743653421</c:v>
                </c:pt>
                <c:pt idx="247">
                  <c:v>-31.578758581060828</c:v>
                </c:pt>
                <c:pt idx="248">
                  <c:v>-32.756939042062889</c:v>
                </c:pt>
                <c:pt idx="249">
                  <c:v>-33.936559479645645</c:v>
                </c:pt>
                <c:pt idx="250">
                  <c:v>-33.453896693137096</c:v>
                </c:pt>
                <c:pt idx="251">
                  <c:v>-33.011478410414796</c:v>
                </c:pt>
                <c:pt idx="252">
                  <c:v>-32.539289665532607</c:v>
                </c:pt>
                <c:pt idx="253">
                  <c:v>-32.946302787195499</c:v>
                </c:pt>
                <c:pt idx="254">
                  <c:v>-31.442469387993555</c:v>
                </c:pt>
                <c:pt idx="255">
                  <c:v>-30.59322899106423</c:v>
                </c:pt>
                <c:pt idx="256">
                  <c:v>-30.228383573339698</c:v>
                </c:pt>
                <c:pt idx="257">
                  <c:v>-30.115096103666122</c:v>
                </c:pt>
                <c:pt idx="258">
                  <c:v>-29.22125610936925</c:v>
                </c:pt>
                <c:pt idx="259">
                  <c:v>-29.395072118779233</c:v>
                </c:pt>
                <c:pt idx="260">
                  <c:v>-28.870961500967574</c:v>
                </c:pt>
                <c:pt idx="261">
                  <c:v>-26.847278325688233</c:v>
                </c:pt>
                <c:pt idx="262">
                  <c:v>-27.413816414111903</c:v>
                </c:pt>
                <c:pt idx="263">
                  <c:v>-24.63868222586834</c:v>
                </c:pt>
                <c:pt idx="264">
                  <c:v>-27.850084495019825</c:v>
                </c:pt>
                <c:pt idx="265">
                  <c:v>-26.971841049089981</c:v>
                </c:pt>
                <c:pt idx="266">
                  <c:v>-25.740227185910257</c:v>
                </c:pt>
                <c:pt idx="267">
                  <c:v>-24.221754431604857</c:v>
                </c:pt>
                <c:pt idx="268">
                  <c:v>-22.696171175410548</c:v>
                </c:pt>
                <c:pt idx="269">
                  <c:v>-19.807360611853326</c:v>
                </c:pt>
                <c:pt idx="270">
                  <c:v>-15.702368125175909</c:v>
                </c:pt>
                <c:pt idx="271">
                  <c:v>-20.232985598190883</c:v>
                </c:pt>
                <c:pt idx="272">
                  <c:v>-20.583264421029316</c:v>
                </c:pt>
                <c:pt idx="273">
                  <c:v>-19.761009709593662</c:v>
                </c:pt>
                <c:pt idx="274">
                  <c:v>-20.491299057649243</c:v>
                </c:pt>
                <c:pt idx="275">
                  <c:v>-19.097763360333104</c:v>
                </c:pt>
                <c:pt idx="276">
                  <c:v>-19.962502046394498</c:v>
                </c:pt>
                <c:pt idx="277">
                  <c:v>-20.549216091054607</c:v>
                </c:pt>
                <c:pt idx="278">
                  <c:v>-19.216308248757468</c:v>
                </c:pt>
                <c:pt idx="279">
                  <c:v>-19.617835384073533</c:v>
                </c:pt>
                <c:pt idx="280">
                  <c:v>-19.587766796553534</c:v>
                </c:pt>
                <c:pt idx="281">
                  <c:v>-19.049289717303534</c:v>
                </c:pt>
                <c:pt idx="282">
                  <c:v>-18.436484369064463</c:v>
                </c:pt>
                <c:pt idx="283">
                  <c:v>-18.097052945204197</c:v>
                </c:pt>
                <c:pt idx="284">
                  <c:v>-16.831121898110727</c:v>
                </c:pt>
                <c:pt idx="285">
                  <c:v>-16.895765812318391</c:v>
                </c:pt>
                <c:pt idx="286">
                  <c:v>-16.395538963185984</c:v>
                </c:pt>
                <c:pt idx="287">
                  <c:v>-14.815197204695417</c:v>
                </c:pt>
                <c:pt idx="288">
                  <c:v>-13.249900377480579</c:v>
                </c:pt>
                <c:pt idx="289">
                  <c:v>-7.3401904854473639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B5-47A7-8866-17C9CA3F6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7103088"/>
        <c:axId val="537101424"/>
      </c:lineChart>
      <c:dateAx>
        <c:axId val="537103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101424"/>
        <c:crosses val="autoZero"/>
        <c:auto val="1"/>
        <c:lblOffset val="100"/>
        <c:baseTimeUnit val="days"/>
      </c:dateAx>
      <c:valAx>
        <c:axId val="53710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10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44537AD-6058-433D-9EB0-F00B2D5C8BBE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6DBAE1-C35B-4430-8CB5-832F16DA6D5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5.95</v>
      </c>
      <c r="D2" s="4">
        <f>MIN(D3:D1912)</f>
        <v>6.6299999999999998E-2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0.1077</v>
      </c>
      <c r="C5">
        <v>0.11</v>
      </c>
      <c r="D5">
        <v>0.1043</v>
      </c>
      <c r="E5">
        <v>0.1046</v>
      </c>
      <c r="F5">
        <v>17203634</v>
      </c>
      <c r="G5">
        <v>0.1046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-0.89473684210526494</v>
      </c>
      <c r="Q5">
        <f t="shared" ref="Q5" si="1">F5*P5</f>
        <v>-15392725.157894768</v>
      </c>
      <c r="R5">
        <f t="shared" ref="R5" si="2">R6+Q5</f>
        <v>-6858645050.1023378</v>
      </c>
      <c r="S5">
        <f t="shared" ref="S5" si="3">R5/100000</f>
        <v>-68586.450501023384</v>
      </c>
      <c r="T5">
        <f t="shared" ref="T5" si="4">S5/1000</f>
        <v>-68.586450501023378</v>
      </c>
    </row>
    <row r="6" spans="1:20" x14ac:dyDescent="0.25">
      <c r="A6" s="5">
        <v>44587</v>
      </c>
      <c r="B6">
        <v>0.1037</v>
      </c>
      <c r="C6">
        <v>0.1203</v>
      </c>
      <c r="D6">
        <v>0.1027</v>
      </c>
      <c r="E6">
        <v>0.1077</v>
      </c>
      <c r="F6">
        <v>206151777</v>
      </c>
      <c r="G6">
        <v>0.1077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-0.43181818181818143</v>
      </c>
      <c r="Q6">
        <f t="shared" ref="Q6" si="6">F6*P6</f>
        <v>-89020085.522727191</v>
      </c>
      <c r="R6">
        <f t="shared" ref="R6" si="7">R7+Q6</f>
        <v>-6843252324.9444427</v>
      </c>
      <c r="S6">
        <f t="shared" ref="S6" si="8">R6/100000</f>
        <v>-68432.523249444421</v>
      </c>
      <c r="T6">
        <f t="shared" ref="T6" si="9">S6/1000</f>
        <v>-68.432523249444415</v>
      </c>
    </row>
    <row r="7" spans="1:20" x14ac:dyDescent="0.25">
      <c r="A7" s="5">
        <v>44586</v>
      </c>
      <c r="B7">
        <v>0.1022</v>
      </c>
      <c r="C7">
        <v>0.1062</v>
      </c>
      <c r="D7">
        <v>9.7799999999999998E-2</v>
      </c>
      <c r="E7">
        <v>0.1037</v>
      </c>
      <c r="F7">
        <v>115852549</v>
      </c>
      <c r="G7">
        <v>0.1037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0.40476190476190455</v>
      </c>
      <c r="Q7">
        <f t="shared" ref="Q7" si="11">F7*P7</f>
        <v>46892698.404761881</v>
      </c>
      <c r="R7">
        <f t="shared" ref="R7" si="12">R8+Q7</f>
        <v>-6754232239.4217157</v>
      </c>
      <c r="S7">
        <f t="shared" ref="S7" si="13">R7/100000</f>
        <v>-67542.322394217161</v>
      </c>
      <c r="T7">
        <f t="shared" ref="T7" si="14">S7/1000</f>
        <v>-67.542322394217166</v>
      </c>
    </row>
    <row r="8" spans="1:20" x14ac:dyDescent="0.25">
      <c r="A8" s="5">
        <v>44585</v>
      </c>
      <c r="B8">
        <v>0.108</v>
      </c>
      <c r="C8">
        <v>0.108</v>
      </c>
      <c r="D8">
        <v>8.9700000000000002E-2</v>
      </c>
      <c r="E8">
        <v>0.1023</v>
      </c>
      <c r="F8">
        <v>265498285.13</v>
      </c>
      <c r="G8">
        <v>0.1023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0.3770491803278691</v>
      </c>
      <c r="Q8">
        <f t="shared" ref="Q8" si="16">F8*P8</f>
        <v>100105910.78672138</v>
      </c>
      <c r="R8">
        <f t="shared" ref="R8" si="17">R9+Q8</f>
        <v>-6801124937.826478</v>
      </c>
      <c r="S8">
        <f t="shared" ref="S8" si="18">R8/100000</f>
        <v>-68011.24937826478</v>
      </c>
      <c r="T8">
        <f t="shared" ref="T8" si="19">S8/1000</f>
        <v>-68.011249378264779</v>
      </c>
    </row>
    <row r="9" spans="1:20" x14ac:dyDescent="0.25">
      <c r="A9" s="5">
        <v>44584</v>
      </c>
      <c r="B9">
        <v>0.10630000000000001</v>
      </c>
      <c r="C9">
        <v>0.1144</v>
      </c>
      <c r="D9">
        <v>0.1018</v>
      </c>
      <c r="E9">
        <v>0.1081</v>
      </c>
      <c r="F9">
        <v>160653802</v>
      </c>
      <c r="G9">
        <v>0.1081</v>
      </c>
      <c r="L9" t="s">
        <v>8</v>
      </c>
      <c r="M9" t="s">
        <v>7</v>
      </c>
      <c r="N9" t="s">
        <v>7</v>
      </c>
      <c r="P9">
        <f t="shared" ref="P9" si="20">IF(C9=D9,0,((E9-D9)-(C9-E9))/(C9-D9))</f>
        <v>0</v>
      </c>
      <c r="Q9">
        <f t="shared" ref="Q9" si="21">F9*P9</f>
        <v>0</v>
      </c>
      <c r="R9">
        <f t="shared" ref="R9" si="22">R10+Q9</f>
        <v>-6901230848.6131992</v>
      </c>
      <c r="S9">
        <f t="shared" ref="S9" si="23">R9/100000</f>
        <v>-69012.308486131995</v>
      </c>
      <c r="T9">
        <f t="shared" ref="T9" si="24">S9/1000</f>
        <v>-69.012308486132</v>
      </c>
    </row>
    <row r="10" spans="1:20" x14ac:dyDescent="0.25">
      <c r="A10" s="5">
        <v>44583</v>
      </c>
      <c r="B10">
        <v>0.1225</v>
      </c>
      <c r="C10">
        <v>0.125</v>
      </c>
      <c r="D10">
        <v>9.6299999999999997E-2</v>
      </c>
      <c r="E10">
        <v>0.10630000000000001</v>
      </c>
      <c r="F10">
        <v>360031384.63</v>
      </c>
      <c r="G10">
        <v>0.10630000000000001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-0.30313588850174161</v>
      </c>
      <c r="Q10">
        <f t="shared" ref="Q10" si="26">F10*P10</f>
        <v>-109138433.66832733</v>
      </c>
      <c r="R10">
        <f t="shared" ref="R10" si="27">R11+Q10</f>
        <v>-6901230848.6131992</v>
      </c>
      <c r="S10">
        <f t="shared" ref="S10" si="28">R10/100000</f>
        <v>-69012.308486131995</v>
      </c>
      <c r="T10">
        <f t="shared" ref="T10" si="29">S10/1000</f>
        <v>-69.012308486132</v>
      </c>
    </row>
    <row r="11" spans="1:20" x14ac:dyDescent="0.25">
      <c r="A11" s="5">
        <v>44582</v>
      </c>
      <c r="B11">
        <v>0.1515</v>
      </c>
      <c r="C11">
        <v>0.15240000000000001</v>
      </c>
      <c r="D11">
        <v>0.11799999999999999</v>
      </c>
      <c r="E11">
        <v>0.1226</v>
      </c>
      <c r="F11">
        <v>279323516.79000002</v>
      </c>
      <c r="G11">
        <v>0.1226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-0.73255813953488347</v>
      </c>
      <c r="Q11">
        <f t="shared" ref="Q11" si="31">F11*P11</f>
        <v>-204620715.7880232</v>
      </c>
      <c r="R11">
        <f t="shared" ref="R11" si="32">R12+Q11</f>
        <v>-6792092414.9448719</v>
      </c>
      <c r="S11">
        <f t="shared" ref="S11" si="33">R11/100000</f>
        <v>-67920.924149448721</v>
      </c>
      <c r="T11">
        <f t="shared" ref="T11" si="34">S11/1000</f>
        <v>-67.920924149448723</v>
      </c>
    </row>
    <row r="12" spans="1:20" x14ac:dyDescent="0.25">
      <c r="A12" s="5">
        <v>44581</v>
      </c>
      <c r="B12">
        <v>0.157</v>
      </c>
      <c r="C12">
        <v>0.16950000000000001</v>
      </c>
      <c r="D12">
        <v>0.14899999999999999</v>
      </c>
      <c r="E12">
        <v>0.15140000000000001</v>
      </c>
      <c r="F12">
        <v>125866000</v>
      </c>
      <c r="G12">
        <v>0.15140000000000001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-0.76585365853658427</v>
      </c>
      <c r="Q12">
        <f t="shared" ref="Q12" si="36">F12*P12</f>
        <v>-96394936.585365713</v>
      </c>
      <c r="R12">
        <f t="shared" ref="R12" si="37">R13+Q12</f>
        <v>-6587471699.1568489</v>
      </c>
      <c r="S12">
        <f t="shared" ref="S12" si="38">R12/100000</f>
        <v>-65874.716991568494</v>
      </c>
      <c r="T12">
        <f t="shared" ref="T12" si="39">S12/1000</f>
        <v>-65.874716991568491</v>
      </c>
    </row>
    <row r="13" spans="1:20" x14ac:dyDescent="0.25">
      <c r="A13" s="5">
        <v>44580</v>
      </c>
      <c r="B13">
        <v>0.16250000000000001</v>
      </c>
      <c r="C13">
        <v>0.1638</v>
      </c>
      <c r="D13">
        <v>0.1535</v>
      </c>
      <c r="E13">
        <v>0.15679999999999999</v>
      </c>
      <c r="F13">
        <v>92502774</v>
      </c>
      <c r="G13">
        <v>0.15679999999999999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-0.35922330097087452</v>
      </c>
      <c r="Q13">
        <f t="shared" ref="Q13" si="41">F13*P13</f>
        <v>-33229151.825242788</v>
      </c>
      <c r="R13">
        <f t="shared" ref="R13" si="42">R14+Q13</f>
        <v>-6491076762.5714836</v>
      </c>
      <c r="S13">
        <f t="shared" ref="S13" si="43">R13/100000</f>
        <v>-64910.767625714834</v>
      </c>
      <c r="T13">
        <f t="shared" ref="T13" si="44">S13/1000</f>
        <v>-64.91076762571484</v>
      </c>
    </row>
    <row r="14" spans="1:20" x14ac:dyDescent="0.25">
      <c r="A14" s="5">
        <v>44579</v>
      </c>
      <c r="B14">
        <v>0.16889999999999999</v>
      </c>
      <c r="C14">
        <v>0.1709</v>
      </c>
      <c r="D14">
        <v>0.15759999999999999</v>
      </c>
      <c r="E14">
        <v>0.16250000000000001</v>
      </c>
      <c r="F14">
        <v>109626669</v>
      </c>
      <c r="G14">
        <v>0.16250000000000001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-0.26315789473684015</v>
      </c>
      <c r="Q14">
        <f t="shared" ref="Q14" si="46">F14*P14</f>
        <v>-28849123.421052419</v>
      </c>
      <c r="R14">
        <f t="shared" ref="R14" si="47">R15+Q14</f>
        <v>-6457847610.7462406</v>
      </c>
      <c r="S14">
        <f t="shared" ref="S14" si="48">R14/100000</f>
        <v>-64578.476107462404</v>
      </c>
      <c r="T14">
        <f t="shared" ref="T14" si="49">S14/1000</f>
        <v>-64.578476107462407</v>
      </c>
    </row>
    <row r="15" spans="1:20" x14ac:dyDescent="0.25">
      <c r="A15" s="5">
        <v>44578</v>
      </c>
      <c r="B15">
        <v>0.1804</v>
      </c>
      <c r="C15">
        <v>0.18179999999999999</v>
      </c>
      <c r="D15">
        <v>0.16470000000000001</v>
      </c>
      <c r="E15">
        <v>0.16880000000000001</v>
      </c>
      <c r="F15">
        <v>111809683</v>
      </c>
      <c r="G15">
        <v>0.16880000000000001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-0.52046783625731019</v>
      </c>
      <c r="Q15">
        <f t="shared" ref="Q15" si="51">F15*P15</f>
        <v>-58193343.783625759</v>
      </c>
      <c r="R15">
        <f t="shared" ref="R15" si="52">R16+Q15</f>
        <v>-6428998487.3251886</v>
      </c>
      <c r="S15">
        <f t="shared" ref="S15" si="53">R15/100000</f>
        <v>-64289.984873251888</v>
      </c>
      <c r="T15">
        <f t="shared" ref="T15" si="54">S15/1000</f>
        <v>-64.289984873251882</v>
      </c>
    </row>
    <row r="16" spans="1:20" x14ac:dyDescent="0.25">
      <c r="A16" s="5">
        <v>44577</v>
      </c>
      <c r="B16">
        <v>0.1845</v>
      </c>
      <c r="C16">
        <v>0.18529999999999999</v>
      </c>
      <c r="D16">
        <v>0.17630000000000001</v>
      </c>
      <c r="E16">
        <v>0.18060000000000001</v>
      </c>
      <c r="F16">
        <v>94891839</v>
      </c>
      <c r="G16">
        <v>0.18060000000000001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-4.4444444444442732E-2</v>
      </c>
      <c r="Q16">
        <f t="shared" ref="Q16" si="56">F16*P16</f>
        <v>-4217415.0666665044</v>
      </c>
      <c r="R16">
        <f t="shared" ref="R16" si="57">R17+Q16</f>
        <v>-6370805143.541563</v>
      </c>
      <c r="S16">
        <f t="shared" ref="S16" si="58">R16/100000</f>
        <v>-63708.051435415633</v>
      </c>
      <c r="T16">
        <f t="shared" ref="T16" si="59">S16/1000</f>
        <v>-63.708051435415634</v>
      </c>
    </row>
    <row r="17" spans="1:20" x14ac:dyDescent="0.25">
      <c r="A17" s="5">
        <v>44576</v>
      </c>
      <c r="B17">
        <v>0.17150000000000001</v>
      </c>
      <c r="C17">
        <v>0.191</v>
      </c>
      <c r="D17">
        <v>0.1701</v>
      </c>
      <c r="E17">
        <v>0.18440000000000001</v>
      </c>
      <c r="F17">
        <v>188809623</v>
      </c>
      <c r="G17">
        <v>0.18440000000000001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0.36842105263157948</v>
      </c>
      <c r="Q17">
        <f t="shared" ref="Q17" si="61">F17*P17</f>
        <v>69561440.052631676</v>
      </c>
      <c r="R17">
        <f t="shared" ref="R17" si="62">R18+Q17</f>
        <v>-6366587728.4748964</v>
      </c>
      <c r="S17">
        <f t="shared" ref="S17" si="63">R17/100000</f>
        <v>-63665.877284748967</v>
      </c>
      <c r="T17">
        <f t="shared" ref="T17" si="64">S17/1000</f>
        <v>-63.665877284748966</v>
      </c>
    </row>
    <row r="18" spans="1:20" x14ac:dyDescent="0.25">
      <c r="A18" s="5">
        <v>44575</v>
      </c>
      <c r="B18">
        <v>0.16769999999999999</v>
      </c>
      <c r="C18">
        <v>0.17399999999999999</v>
      </c>
      <c r="D18">
        <v>0.1628</v>
      </c>
      <c r="E18">
        <v>0.17150000000000001</v>
      </c>
      <c r="F18">
        <v>97574979</v>
      </c>
      <c r="G18">
        <v>0.17150000000000001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0.5535714285714326</v>
      </c>
      <c r="Q18">
        <f t="shared" ref="Q18" si="66">F18*P18</f>
        <v>54014720.517857537</v>
      </c>
      <c r="R18">
        <f t="shared" ref="R18" si="67">R19+Q18</f>
        <v>-6436149168.5275278</v>
      </c>
      <c r="S18">
        <f t="shared" ref="S18" si="68">R18/100000</f>
        <v>-64361.491685275279</v>
      </c>
      <c r="T18">
        <f t="shared" ref="T18" si="69">S18/1000</f>
        <v>-64.361491685275283</v>
      </c>
    </row>
    <row r="19" spans="1:20" x14ac:dyDescent="0.25">
      <c r="A19" s="5">
        <v>44574</v>
      </c>
      <c r="B19">
        <v>0.1827</v>
      </c>
      <c r="C19">
        <v>0.18279999999999999</v>
      </c>
      <c r="D19">
        <v>0.1666</v>
      </c>
      <c r="E19">
        <v>0.1678</v>
      </c>
      <c r="F19">
        <v>103802457</v>
      </c>
      <c r="G19">
        <v>0.1678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-0.85185185185185097</v>
      </c>
      <c r="Q19">
        <f t="shared" ref="Q19" si="71">F19*P19</f>
        <v>-88424315.222222134</v>
      </c>
      <c r="R19">
        <f t="shared" ref="R19" si="72">R20+Q19</f>
        <v>-6490163889.0453854</v>
      </c>
      <c r="S19">
        <f t="shared" ref="S19" si="73">R19/100000</f>
        <v>-64901.638890453854</v>
      </c>
      <c r="T19">
        <f t="shared" ref="T19" si="74">S19/1000</f>
        <v>-64.901638890453853</v>
      </c>
    </row>
    <row r="20" spans="1:20" x14ac:dyDescent="0.25">
      <c r="A20" s="5">
        <v>44573</v>
      </c>
      <c r="B20">
        <v>0.1709</v>
      </c>
      <c r="C20">
        <v>0.18290000000000001</v>
      </c>
      <c r="D20">
        <v>0.1694</v>
      </c>
      <c r="E20">
        <v>0.1827</v>
      </c>
      <c r="F20">
        <v>92175327</v>
      </c>
      <c r="G20">
        <v>0.1827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0.97037037037036955</v>
      </c>
      <c r="Q20">
        <f t="shared" ref="Q20" si="76">F20*P20</f>
        <v>89444206.199999928</v>
      </c>
      <c r="R20">
        <f t="shared" ref="R20" si="77">R21+Q20</f>
        <v>-6401739573.823163</v>
      </c>
      <c r="S20">
        <f t="shared" ref="S20" si="78">R20/100000</f>
        <v>-64017.395738231629</v>
      </c>
      <c r="T20">
        <f t="shared" ref="T20" si="79">S20/1000</f>
        <v>-64.017395738231627</v>
      </c>
    </row>
    <row r="21" spans="1:20" x14ac:dyDescent="0.25">
      <c r="A21" s="5">
        <v>44572</v>
      </c>
      <c r="B21">
        <v>0.1603</v>
      </c>
      <c r="C21">
        <v>0.17199999999999999</v>
      </c>
      <c r="D21">
        <v>0.15870000000000001</v>
      </c>
      <c r="E21">
        <v>0.1709</v>
      </c>
      <c r="F21">
        <v>91595423</v>
      </c>
      <c r="G21">
        <v>0.1709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0.83458646616541476</v>
      </c>
      <c r="Q21">
        <f t="shared" ref="Q21" si="81">F21*P21</f>
        <v>76444300.39849636</v>
      </c>
      <c r="R21">
        <f t="shared" ref="R21" si="82">R22+Q21</f>
        <v>-6491183780.0231628</v>
      </c>
      <c r="S21">
        <f t="shared" ref="S21" si="83">R21/100000</f>
        <v>-64911.837800231631</v>
      </c>
      <c r="T21">
        <f t="shared" ref="T21" si="84">S21/1000</f>
        <v>-64.911837800231638</v>
      </c>
    </row>
    <row r="22" spans="1:20" x14ac:dyDescent="0.25">
      <c r="A22" s="5">
        <v>44571</v>
      </c>
      <c r="B22">
        <v>0.16900000000000001</v>
      </c>
      <c r="C22">
        <v>0.17230000000000001</v>
      </c>
      <c r="D22">
        <v>0.152</v>
      </c>
      <c r="E22">
        <v>0.1603</v>
      </c>
      <c r="F22">
        <v>146277719</v>
      </c>
      <c r="G22">
        <v>0.1603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-0.18226600985221708</v>
      </c>
      <c r="Q22">
        <f t="shared" ref="Q22" si="86">F22*P22</f>
        <v>-26661456.172413841</v>
      </c>
      <c r="R22">
        <f t="shared" ref="R22" si="87">R23+Q22</f>
        <v>-6567628080.4216595</v>
      </c>
      <c r="S22">
        <f t="shared" ref="S22" si="88">R22/100000</f>
        <v>-65676.2808042166</v>
      </c>
      <c r="T22">
        <f t="shared" ref="T22" si="89">S22/1000</f>
        <v>-65.676280804216603</v>
      </c>
    </row>
    <row r="23" spans="1:20" x14ac:dyDescent="0.25">
      <c r="A23" s="5">
        <v>44570</v>
      </c>
      <c r="B23">
        <v>0.16520000000000001</v>
      </c>
      <c r="C23">
        <v>0.1744</v>
      </c>
      <c r="D23">
        <v>0.16320000000000001</v>
      </c>
      <c r="E23">
        <v>0.1691</v>
      </c>
      <c r="F23">
        <v>113680489</v>
      </c>
      <c r="G23">
        <v>0.1691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5.3571428571427687E-2</v>
      </c>
      <c r="Q23">
        <f t="shared" ref="Q23" si="91">F23*P23</f>
        <v>6090026.1964284712</v>
      </c>
      <c r="R23">
        <f t="shared" ref="R23" si="92">R24+Q23</f>
        <v>-6540966624.2492456</v>
      </c>
      <c r="S23">
        <f t="shared" ref="S23" si="93">R23/100000</f>
        <v>-65409.666242492458</v>
      </c>
      <c r="T23">
        <f t="shared" ref="T23" si="94">S23/1000</f>
        <v>-65.409666242492463</v>
      </c>
    </row>
    <row r="24" spans="1:20" x14ac:dyDescent="0.25">
      <c r="A24" s="5">
        <v>44569</v>
      </c>
      <c r="B24">
        <v>0.17760000000000001</v>
      </c>
      <c r="C24">
        <v>0.18279999999999999</v>
      </c>
      <c r="D24">
        <v>0.158</v>
      </c>
      <c r="E24">
        <v>0.16520000000000001</v>
      </c>
      <c r="F24">
        <v>162790176</v>
      </c>
      <c r="G24">
        <v>0.16520000000000001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-0.41935483870967621</v>
      </c>
      <c r="Q24">
        <f t="shared" ref="Q24" si="96">F24*P24</f>
        <v>-68266847.999999806</v>
      </c>
      <c r="R24">
        <f t="shared" ref="R24" si="97">R25+Q24</f>
        <v>-6547056650.4456739</v>
      </c>
      <c r="S24">
        <f t="shared" ref="S24" si="98">R24/100000</f>
        <v>-65470.566504456736</v>
      </c>
      <c r="T24">
        <f t="shared" ref="T24" si="99">S24/1000</f>
        <v>-65.470566504456741</v>
      </c>
    </row>
    <row r="25" spans="1:20" x14ac:dyDescent="0.25">
      <c r="A25" s="5">
        <v>44568</v>
      </c>
      <c r="B25">
        <v>0.19239999999999999</v>
      </c>
      <c r="C25">
        <v>0.19400000000000001</v>
      </c>
      <c r="D25">
        <v>0.1729</v>
      </c>
      <c r="E25">
        <v>0.17760000000000001</v>
      </c>
      <c r="F25">
        <v>181895455</v>
      </c>
      <c r="G25">
        <v>0.17760000000000001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-0.55450236966824573</v>
      </c>
      <c r="Q25">
        <f t="shared" ref="Q25" si="101">F25*P25</f>
        <v>-100861460.82938376</v>
      </c>
      <c r="R25">
        <f t="shared" ref="R25" si="102">R26+Q25</f>
        <v>-6478789802.4456739</v>
      </c>
      <c r="S25">
        <f t="shared" ref="S25" si="103">R25/100000</f>
        <v>-64787.898024456743</v>
      </c>
      <c r="T25">
        <f t="shared" ref="T25" si="104">S25/1000</f>
        <v>-64.787898024456737</v>
      </c>
    </row>
    <row r="26" spans="1:20" x14ac:dyDescent="0.25">
      <c r="A26" s="5">
        <v>44567</v>
      </c>
      <c r="B26">
        <v>0.19059999999999999</v>
      </c>
      <c r="C26">
        <v>0.19550000000000001</v>
      </c>
      <c r="D26">
        <v>0.18049999999999999</v>
      </c>
      <c r="E26">
        <v>0.19239999999999999</v>
      </c>
      <c r="F26">
        <v>162164727</v>
      </c>
      <c r="G26">
        <v>0.19239999999999999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0.58666666666666445</v>
      </c>
      <c r="Q26">
        <f t="shared" ref="Q26" si="106">F26*P26</f>
        <v>95136639.839999646</v>
      </c>
      <c r="R26">
        <f t="shared" ref="R26" si="107">R27+Q26</f>
        <v>-6377928341.6162901</v>
      </c>
      <c r="S26">
        <f t="shared" ref="S26" si="108">R26/100000</f>
        <v>-63779.2834161629</v>
      </c>
      <c r="T26">
        <f t="shared" ref="T26" si="109">S26/1000</f>
        <v>-63.779283416162897</v>
      </c>
    </row>
    <row r="27" spans="1:20" x14ac:dyDescent="0.25">
      <c r="A27" s="5">
        <v>44566</v>
      </c>
      <c r="B27">
        <v>0.21329999999999999</v>
      </c>
      <c r="C27">
        <v>0.22</v>
      </c>
      <c r="D27">
        <v>0.17519999999999999</v>
      </c>
      <c r="E27">
        <v>0.1905</v>
      </c>
      <c r="F27">
        <v>187976121</v>
      </c>
      <c r="G27">
        <v>0.1905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-0.31696428571428548</v>
      </c>
      <c r="Q27">
        <f t="shared" ref="Q27" si="111">F27*P27</f>
        <v>-59581716.924107097</v>
      </c>
      <c r="R27">
        <f t="shared" ref="R27" si="112">R28+Q27</f>
        <v>-6473064981.4562893</v>
      </c>
      <c r="S27">
        <f t="shared" ref="S27" si="113">R27/100000</f>
        <v>-64730.649814562894</v>
      </c>
      <c r="T27">
        <f t="shared" ref="T27" si="114">S27/1000</f>
        <v>-64.730649814562895</v>
      </c>
    </row>
    <row r="28" spans="1:20" x14ac:dyDescent="0.25">
      <c r="A28" s="5">
        <v>44565</v>
      </c>
      <c r="B28">
        <v>0.21390000000000001</v>
      </c>
      <c r="C28">
        <v>0.224</v>
      </c>
      <c r="D28">
        <v>0.20760000000000001</v>
      </c>
      <c r="E28">
        <v>0.21360000000000001</v>
      </c>
      <c r="F28">
        <v>141992028</v>
      </c>
      <c r="G28">
        <v>0.21360000000000001</v>
      </c>
      <c r="L28" t="s">
        <v>8</v>
      </c>
      <c r="M28" t="s">
        <v>7</v>
      </c>
      <c r="N28" t="s">
        <v>8</v>
      </c>
      <c r="P28">
        <f t="shared" ref="P28" si="115">IF(C28=D28,0,((E28-D28)-(C28-E28))/(C28-D28))</f>
        <v>-0.26829268292682851</v>
      </c>
      <c r="Q28">
        <f t="shared" ref="Q28" si="116">F28*P28</f>
        <v>-38095422.146341354</v>
      </c>
      <c r="R28">
        <f t="shared" ref="R28" si="117">R29+Q28</f>
        <v>-6413483264.5321817</v>
      </c>
      <c r="S28">
        <f t="shared" ref="S28" si="118">R28/100000</f>
        <v>-64134.832645321818</v>
      </c>
      <c r="T28">
        <f t="shared" ref="T28" si="119">S28/1000</f>
        <v>-64.134832645321822</v>
      </c>
    </row>
    <row r="29" spans="1:20" x14ac:dyDescent="0.25">
      <c r="A29" s="5">
        <v>44564</v>
      </c>
      <c r="B29">
        <v>0.21879999999999999</v>
      </c>
      <c r="C29">
        <v>0.21879999999999999</v>
      </c>
      <c r="D29">
        <v>0.20699999999999999</v>
      </c>
      <c r="E29">
        <v>0.21390000000000001</v>
      </c>
      <c r="F29">
        <v>95602111</v>
      </c>
      <c r="G29">
        <v>0.21390000000000001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0.16949152542373125</v>
      </c>
      <c r="Q29">
        <f t="shared" ref="Q29" si="121">F29*P29</f>
        <v>16203747.627118876</v>
      </c>
      <c r="R29">
        <f t="shared" ref="R29" si="122">R30+Q29</f>
        <v>-6375387842.3858404</v>
      </c>
      <c r="S29">
        <f t="shared" ref="S29" si="123">R29/100000</f>
        <v>-63753.878423858405</v>
      </c>
      <c r="T29">
        <f t="shared" ref="T29" si="124">S29/1000</f>
        <v>-63.753878423858403</v>
      </c>
    </row>
    <row r="30" spans="1:20" x14ac:dyDescent="0.25">
      <c r="A30" s="5">
        <v>44563</v>
      </c>
      <c r="B30">
        <v>0.22559999999999999</v>
      </c>
      <c r="C30">
        <v>0.2281</v>
      </c>
      <c r="D30">
        <v>0.21659999999999999</v>
      </c>
      <c r="E30">
        <v>0.219</v>
      </c>
      <c r="F30">
        <v>86830690</v>
      </c>
      <c r="G30">
        <v>0.219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-0.58260869565217199</v>
      </c>
      <c r="Q30">
        <f t="shared" ref="Q30" si="126">F30*P30</f>
        <v>-50588315.043478094</v>
      </c>
      <c r="R30">
        <f t="shared" ref="R30" si="127">R31+Q30</f>
        <v>-6391591590.0129595</v>
      </c>
      <c r="S30">
        <f t="shared" ref="S30" si="128">R30/100000</f>
        <v>-63915.915900129592</v>
      </c>
      <c r="T30">
        <f t="shared" ref="T30" si="129">S30/1000</f>
        <v>-63.91591590012959</v>
      </c>
    </row>
    <row r="31" spans="1:20" x14ac:dyDescent="0.25">
      <c r="A31" s="5">
        <v>44562</v>
      </c>
      <c r="B31">
        <v>0.21279999999999999</v>
      </c>
      <c r="C31">
        <v>0.22789999999999999</v>
      </c>
      <c r="D31">
        <v>0.21260000000000001</v>
      </c>
      <c r="E31">
        <v>0.22559999999999999</v>
      </c>
      <c r="F31">
        <v>107594410</v>
      </c>
      <c r="G31">
        <v>0.22559999999999999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0.69934640522875824</v>
      </c>
      <c r="Q31">
        <f t="shared" ref="Q31" si="131">F31*P31</f>
        <v>75245763.856209159</v>
      </c>
      <c r="R31">
        <f t="shared" ref="R31" si="132">R32+Q31</f>
        <v>-6341003274.9694815</v>
      </c>
      <c r="S31">
        <f t="shared" ref="S31" si="133">R31/100000</f>
        <v>-63410.032749694816</v>
      </c>
      <c r="T31">
        <f t="shared" ref="T31" si="134">S31/1000</f>
        <v>-63.410032749694814</v>
      </c>
    </row>
    <row r="32" spans="1:20" x14ac:dyDescent="0.25">
      <c r="A32" s="5">
        <v>44561</v>
      </c>
      <c r="B32">
        <v>0.21029999999999999</v>
      </c>
      <c r="C32">
        <v>0.21990000000000001</v>
      </c>
      <c r="D32">
        <v>0.20430000000000001</v>
      </c>
      <c r="E32">
        <v>0.21260000000000001</v>
      </c>
      <c r="F32">
        <v>135624906</v>
      </c>
      <c r="G32">
        <v>0.21260000000000001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6.4102564102564152E-2</v>
      </c>
      <c r="Q32">
        <f t="shared" ref="Q32" si="136">F32*P32</f>
        <v>8693904.2307692375</v>
      </c>
      <c r="R32">
        <f t="shared" ref="R32" si="137">R33+Q32</f>
        <v>-6416249038.8256903</v>
      </c>
      <c r="S32">
        <f t="shared" ref="S32" si="138">R32/100000</f>
        <v>-64162.490388256905</v>
      </c>
      <c r="T32">
        <f t="shared" ref="T32" si="139">S32/1000</f>
        <v>-64.162490388256899</v>
      </c>
    </row>
    <row r="33" spans="1:20" x14ac:dyDescent="0.25">
      <c r="A33" s="5">
        <v>44560</v>
      </c>
      <c r="B33">
        <v>0.214</v>
      </c>
      <c r="C33">
        <v>0.2205</v>
      </c>
      <c r="D33">
        <v>0.20799999999999999</v>
      </c>
      <c r="E33">
        <v>0.21049999999999999</v>
      </c>
      <c r="F33">
        <v>117184794</v>
      </c>
      <c r="G33">
        <v>0.21049999999999999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-0.6</v>
      </c>
      <c r="Q33">
        <f t="shared" ref="Q33" si="141">F33*P33</f>
        <v>-70310876.399999991</v>
      </c>
      <c r="R33">
        <f t="shared" ref="R33" si="142">R34+Q33</f>
        <v>-6424942943.0564594</v>
      </c>
      <c r="S33">
        <f t="shared" ref="S33" si="143">R33/100000</f>
        <v>-64249.429430564596</v>
      </c>
      <c r="T33">
        <f t="shared" ref="T33" si="144">S33/1000</f>
        <v>-64.249429430564589</v>
      </c>
    </row>
    <row r="34" spans="1:20" x14ac:dyDescent="0.25">
      <c r="A34" s="5">
        <v>44559</v>
      </c>
      <c r="B34">
        <v>0.21790000000000001</v>
      </c>
      <c r="C34">
        <v>0.22600000000000001</v>
      </c>
      <c r="D34">
        <v>0.2072</v>
      </c>
      <c r="E34">
        <v>0.214</v>
      </c>
      <c r="F34">
        <v>126923305</v>
      </c>
      <c r="G34">
        <v>0.214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-0.27659574468085146</v>
      </c>
      <c r="Q34">
        <f t="shared" ref="Q34" si="146">F34*P34</f>
        <v>-35106446.063829839</v>
      </c>
      <c r="R34">
        <f t="shared" ref="R34" si="147">R35+Q34</f>
        <v>-6354632066.6564598</v>
      </c>
      <c r="S34">
        <f t="shared" ref="S34" si="148">R34/100000</f>
        <v>-63546.320666564599</v>
      </c>
      <c r="T34">
        <f t="shared" ref="T34" si="149">S34/1000</f>
        <v>-63.546320666564597</v>
      </c>
    </row>
    <row r="35" spans="1:20" x14ac:dyDescent="0.25">
      <c r="A35" s="5">
        <v>44558</v>
      </c>
      <c r="B35">
        <v>0.24640000000000001</v>
      </c>
      <c r="C35">
        <v>0.24660000000000001</v>
      </c>
      <c r="D35">
        <v>0.2152</v>
      </c>
      <c r="E35">
        <v>0.2177</v>
      </c>
      <c r="F35">
        <v>205460158</v>
      </c>
      <c r="G35">
        <v>0.2177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-0.84076433121019101</v>
      </c>
      <c r="Q35">
        <f t="shared" ref="Q35" si="151">F35*P35</f>
        <v>-172743572.33121017</v>
      </c>
      <c r="R35">
        <f t="shared" ref="R35" si="152">R36+Q35</f>
        <v>-6319525620.5926304</v>
      </c>
      <c r="S35">
        <f t="shared" ref="S35" si="153">R35/100000</f>
        <v>-63195.256205926307</v>
      </c>
      <c r="T35">
        <f t="shared" ref="T35" si="154">S35/1000</f>
        <v>-63.195256205926306</v>
      </c>
    </row>
    <row r="36" spans="1:20" x14ac:dyDescent="0.25">
      <c r="A36" s="5">
        <v>44557</v>
      </c>
      <c r="B36">
        <v>0.25040000000000001</v>
      </c>
      <c r="C36">
        <v>0.26490000000000002</v>
      </c>
      <c r="D36">
        <v>0.2424</v>
      </c>
      <c r="E36">
        <v>0.24640000000000001</v>
      </c>
      <c r="F36">
        <v>166600804</v>
      </c>
      <c r="G36">
        <v>0.24640000000000001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-0.64444444444444449</v>
      </c>
      <c r="Q36">
        <f t="shared" ref="Q36" si="156">F36*P36</f>
        <v>-107364962.57777779</v>
      </c>
      <c r="R36">
        <f t="shared" ref="R36" si="157">R37+Q36</f>
        <v>-6146782048.2614202</v>
      </c>
      <c r="S36">
        <f t="shared" ref="S36" si="158">R36/100000</f>
        <v>-61467.820482614203</v>
      </c>
      <c r="T36">
        <f t="shared" ref="T36" si="159">S36/1000</f>
        <v>-61.467820482614201</v>
      </c>
    </row>
    <row r="37" spans="1:20" x14ac:dyDescent="0.25">
      <c r="A37" s="5">
        <v>44556</v>
      </c>
      <c r="B37">
        <v>0.2387</v>
      </c>
      <c r="C37">
        <v>0.25469999999999998</v>
      </c>
      <c r="D37">
        <v>0.2276</v>
      </c>
      <c r="E37">
        <v>0.25019999999999998</v>
      </c>
      <c r="F37">
        <v>160664234</v>
      </c>
      <c r="G37">
        <v>0.25019999999999998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0.66789667896678917</v>
      </c>
      <c r="Q37">
        <f t="shared" ref="Q37" si="161">F37*P37</f>
        <v>107307108.3173431</v>
      </c>
      <c r="R37">
        <f t="shared" ref="R37" si="162">R38+Q37</f>
        <v>-6039417085.6836424</v>
      </c>
      <c r="S37">
        <f t="shared" ref="S37" si="163">R37/100000</f>
        <v>-60394.170856836427</v>
      </c>
      <c r="T37">
        <f t="shared" ref="T37" si="164">S37/1000</f>
        <v>-60.394170856836425</v>
      </c>
    </row>
    <row r="38" spans="1:20" x14ac:dyDescent="0.25">
      <c r="A38" s="5">
        <v>44555</v>
      </c>
      <c r="B38">
        <v>0.22889999999999999</v>
      </c>
      <c r="C38">
        <v>0.24329999999999999</v>
      </c>
      <c r="D38">
        <v>0.22689999999999999</v>
      </c>
      <c r="E38">
        <v>0.2387</v>
      </c>
      <c r="F38">
        <v>117434969</v>
      </c>
      <c r="G38">
        <v>0.2387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0.43902439024390322</v>
      </c>
      <c r="Q38">
        <f t="shared" ref="Q38" si="166">F38*P38</f>
        <v>51556815.65853668</v>
      </c>
      <c r="R38">
        <f t="shared" ref="R38" si="167">R39+Q38</f>
        <v>-6146724194.0009851</v>
      </c>
      <c r="S38">
        <f t="shared" ref="S38" si="168">R38/100000</f>
        <v>-61467.241940009852</v>
      </c>
      <c r="T38">
        <f t="shared" ref="T38" si="169">S38/1000</f>
        <v>-61.467241940009849</v>
      </c>
    </row>
    <row r="39" spans="1:20" x14ac:dyDescent="0.25">
      <c r="A39" s="5">
        <v>44554</v>
      </c>
      <c r="B39">
        <v>0.24049999999999999</v>
      </c>
      <c r="C39">
        <v>0.2455</v>
      </c>
      <c r="D39">
        <v>0.224</v>
      </c>
      <c r="E39">
        <v>0.2288</v>
      </c>
      <c r="F39">
        <v>153035922</v>
      </c>
      <c r="G39">
        <v>0.2288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-0.55348837209302315</v>
      </c>
      <c r="Q39">
        <f t="shared" ref="Q39" si="171">F39*P39</f>
        <v>-84703603.339534864</v>
      </c>
      <c r="R39">
        <f t="shared" ref="R39" si="172">R40+Q39</f>
        <v>-6198281009.6595221</v>
      </c>
      <c r="S39">
        <f t="shared" ref="S39" si="173">R39/100000</f>
        <v>-61982.810096595218</v>
      </c>
      <c r="T39">
        <f t="shared" ref="T39" si="174">S39/1000</f>
        <v>-61.982810096595216</v>
      </c>
    </row>
    <row r="40" spans="1:20" x14ac:dyDescent="0.25">
      <c r="A40" s="5">
        <v>44553</v>
      </c>
      <c r="B40">
        <v>0.215</v>
      </c>
      <c r="C40">
        <v>0.24510000000000001</v>
      </c>
      <c r="D40">
        <v>0.20910000000000001</v>
      </c>
      <c r="E40">
        <v>0.24049999999999999</v>
      </c>
      <c r="F40">
        <v>209640815</v>
      </c>
      <c r="G40">
        <v>0.24049999999999999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0.74444444444444335</v>
      </c>
      <c r="Q40">
        <f t="shared" ref="Q40" si="176">F40*P40</f>
        <v>156065940.05555531</v>
      </c>
      <c r="R40">
        <f t="shared" ref="R40" si="177">R41+Q40</f>
        <v>-6113577406.3199873</v>
      </c>
      <c r="S40">
        <f t="shared" ref="S40" si="178">R40/100000</f>
        <v>-61135.774063199875</v>
      </c>
      <c r="T40">
        <f t="shared" ref="T40" si="179">S40/1000</f>
        <v>-61.135774063199875</v>
      </c>
    </row>
    <row r="41" spans="1:20" x14ac:dyDescent="0.25">
      <c r="A41" s="5">
        <v>44552</v>
      </c>
      <c r="B41">
        <v>0.21329999999999999</v>
      </c>
      <c r="C41">
        <v>0.223</v>
      </c>
      <c r="D41">
        <v>0.21160000000000001</v>
      </c>
      <c r="E41">
        <v>0.215</v>
      </c>
      <c r="F41">
        <v>128971376</v>
      </c>
      <c r="G41">
        <v>0.215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-0.40350877192982659</v>
      </c>
      <c r="Q41">
        <f t="shared" ref="Q41" si="181">F41*P41</f>
        <v>-52041081.543859914</v>
      </c>
      <c r="R41">
        <f t="shared" ref="R41" si="182">R42+Q41</f>
        <v>-6269643346.3755426</v>
      </c>
      <c r="S41">
        <f t="shared" ref="S41" si="183">R41/100000</f>
        <v>-62696.433463755428</v>
      </c>
      <c r="T41">
        <f t="shared" ref="T41" si="184">S41/1000</f>
        <v>-62.696433463755426</v>
      </c>
    </row>
    <row r="42" spans="1:20" x14ac:dyDescent="0.25">
      <c r="A42" s="5">
        <v>44551</v>
      </c>
      <c r="B42">
        <v>0.19900000000000001</v>
      </c>
      <c r="C42">
        <v>0.218</v>
      </c>
      <c r="D42">
        <v>0.1981</v>
      </c>
      <c r="E42">
        <v>0.21329999999999999</v>
      </c>
      <c r="F42">
        <v>134267292</v>
      </c>
      <c r="G42">
        <v>0.21329999999999999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0.52763819095477293</v>
      </c>
      <c r="Q42">
        <f t="shared" ref="Q42" si="186">F42*P42</f>
        <v>70844551.05527626</v>
      </c>
      <c r="R42">
        <f t="shared" ref="R42" si="187">R43+Q42</f>
        <v>-6217602264.8316832</v>
      </c>
      <c r="S42">
        <f t="shared" ref="S42" si="188">R42/100000</f>
        <v>-62176.02264831683</v>
      </c>
      <c r="T42">
        <f t="shared" ref="T42" si="189">S42/1000</f>
        <v>-62.176022648316831</v>
      </c>
    </row>
    <row r="43" spans="1:20" x14ac:dyDescent="0.25">
      <c r="A43" s="5">
        <v>44550</v>
      </c>
      <c r="B43">
        <v>0.2056</v>
      </c>
      <c r="C43">
        <v>0.20749999999999999</v>
      </c>
      <c r="D43">
        <v>0.18779999999999999</v>
      </c>
      <c r="E43">
        <v>0.19900000000000001</v>
      </c>
      <c r="F43">
        <v>171107766</v>
      </c>
      <c r="G43">
        <v>0.19900000000000001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0.13705583756345363</v>
      </c>
      <c r="Q43">
        <f t="shared" ref="Q43" si="191">F43*P43</f>
        <v>23451318.182741433</v>
      </c>
      <c r="R43">
        <f t="shared" ref="R43" si="192">R44+Q43</f>
        <v>-6288446815.8869591</v>
      </c>
      <c r="S43">
        <f t="shared" ref="S43" si="193">R43/100000</f>
        <v>-62884.468158869589</v>
      </c>
      <c r="T43">
        <f t="shared" ref="T43" si="194">S43/1000</f>
        <v>-62.884468158869588</v>
      </c>
    </row>
    <row r="44" spans="1:20" x14ac:dyDescent="0.25">
      <c r="A44" s="5">
        <v>44549</v>
      </c>
      <c r="B44">
        <v>0.2135</v>
      </c>
      <c r="C44">
        <v>0.21859999999999999</v>
      </c>
      <c r="D44">
        <v>0.2036</v>
      </c>
      <c r="E44">
        <v>0.20580000000000001</v>
      </c>
      <c r="F44">
        <v>84708653</v>
      </c>
      <c r="G44">
        <v>0.20580000000000001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-0.70666666666666533</v>
      </c>
      <c r="Q44">
        <f t="shared" ref="Q44" si="196">F44*P44</f>
        <v>-59860781.453333221</v>
      </c>
      <c r="R44">
        <f t="shared" ref="R44" si="197">R45+Q44</f>
        <v>-6311898134.0697002</v>
      </c>
      <c r="S44">
        <f t="shared" ref="S44" si="198">R44/100000</f>
        <v>-63118.981340696999</v>
      </c>
      <c r="T44">
        <f t="shared" ref="T44" si="199">S44/1000</f>
        <v>-63.118981340696998</v>
      </c>
    </row>
    <row r="45" spans="1:20" x14ac:dyDescent="0.25">
      <c r="A45" s="5">
        <v>44548</v>
      </c>
      <c r="B45">
        <v>0.2072</v>
      </c>
      <c r="C45">
        <v>0.21840000000000001</v>
      </c>
      <c r="D45">
        <v>0.2034</v>
      </c>
      <c r="E45">
        <v>0.21360000000000001</v>
      </c>
      <c r="F45">
        <v>106714412</v>
      </c>
      <c r="G45">
        <v>0.21360000000000001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0.36000000000000076</v>
      </c>
      <c r="Q45">
        <f t="shared" ref="Q45" si="201">F45*P45</f>
        <v>38417188.320000082</v>
      </c>
      <c r="R45">
        <f t="shared" ref="R45" si="202">R46+Q45</f>
        <v>-6252037352.6163673</v>
      </c>
      <c r="S45">
        <f t="shared" ref="S45" si="203">R45/100000</f>
        <v>-62520.373526163676</v>
      </c>
      <c r="T45">
        <f t="shared" ref="T45" si="204">S45/1000</f>
        <v>-62.520373526163674</v>
      </c>
    </row>
    <row r="46" spans="1:20" x14ac:dyDescent="0.25">
      <c r="A46" s="5">
        <v>44547</v>
      </c>
      <c r="B46">
        <v>0.21379999999999999</v>
      </c>
      <c r="C46">
        <v>0.221</v>
      </c>
      <c r="D46">
        <v>0.2</v>
      </c>
      <c r="E46">
        <v>0.20730000000000001</v>
      </c>
      <c r="F46">
        <v>136267902</v>
      </c>
      <c r="G46">
        <v>0.20730000000000001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-0.30476190476190435</v>
      </c>
      <c r="Q46">
        <f t="shared" ref="Q46" si="206">F46*P46</f>
        <v>-41529265.371428512</v>
      </c>
      <c r="R46">
        <f t="shared" ref="R46" si="207">R47+Q46</f>
        <v>-6290454540.936367</v>
      </c>
      <c r="S46">
        <f t="shared" ref="S46" si="208">R46/100000</f>
        <v>-62904.545409363673</v>
      </c>
      <c r="T46">
        <f t="shared" ref="T46" si="209">S46/1000</f>
        <v>-62.904545409363671</v>
      </c>
    </row>
    <row r="47" spans="1:20" x14ac:dyDescent="0.25">
      <c r="A47" s="5">
        <v>44546</v>
      </c>
      <c r="B47">
        <v>0.22289999999999999</v>
      </c>
      <c r="C47">
        <v>0.22939999999999999</v>
      </c>
      <c r="D47">
        <v>0.21279999999999999</v>
      </c>
      <c r="E47">
        <v>0.21379999999999999</v>
      </c>
      <c r="F47">
        <v>129039969</v>
      </c>
      <c r="G47">
        <v>0.21379999999999999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-0.87951807228915657</v>
      </c>
      <c r="Q47">
        <f t="shared" ref="Q47" si="211">F47*P47</f>
        <v>-113492984.78313252</v>
      </c>
      <c r="R47">
        <f t="shared" ref="R47" si="212">R48+Q47</f>
        <v>-6248925275.5649385</v>
      </c>
      <c r="S47">
        <f t="shared" ref="S47" si="213">R47/100000</f>
        <v>-62489.252755649388</v>
      </c>
      <c r="T47">
        <f t="shared" ref="T47" si="214">S47/1000</f>
        <v>-62.489252755649389</v>
      </c>
    </row>
    <row r="48" spans="1:20" x14ac:dyDescent="0.25">
      <c r="A48" s="5">
        <v>44545</v>
      </c>
      <c r="B48">
        <v>0.21410000000000001</v>
      </c>
      <c r="C48">
        <v>0.23019999999999999</v>
      </c>
      <c r="D48">
        <v>0.1993</v>
      </c>
      <c r="E48">
        <v>0.22270000000000001</v>
      </c>
      <c r="F48">
        <v>178111696</v>
      </c>
      <c r="G48">
        <v>0.22270000000000001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0.51456310679611761</v>
      </c>
      <c r="Q48">
        <f t="shared" ref="Q48" si="216">F48*P48</f>
        <v>91649707.650485635</v>
      </c>
      <c r="R48">
        <f t="shared" ref="R48" si="217">R49+Q48</f>
        <v>-6135432290.781806</v>
      </c>
      <c r="S48">
        <f t="shared" ref="S48" si="218">R48/100000</f>
        <v>-61354.322907818059</v>
      </c>
      <c r="T48">
        <f t="shared" ref="T48" si="219">S48/1000</f>
        <v>-61.354322907818059</v>
      </c>
    </row>
    <row r="49" spans="1:20" x14ac:dyDescent="0.25">
      <c r="A49" s="5">
        <v>44544</v>
      </c>
      <c r="B49">
        <v>0.21260000000000001</v>
      </c>
      <c r="C49">
        <v>0.21890000000000001</v>
      </c>
      <c r="D49">
        <v>0.20369999999999999</v>
      </c>
      <c r="E49">
        <v>0.21440000000000001</v>
      </c>
      <c r="F49">
        <v>146792163</v>
      </c>
      <c r="G49">
        <v>0.21440000000000001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0.40789473684210548</v>
      </c>
      <c r="Q49">
        <f t="shared" ref="Q49" si="221">F49*P49</f>
        <v>59875750.69736845</v>
      </c>
      <c r="R49">
        <f t="shared" ref="R49" si="222">R50+Q49</f>
        <v>-6227081998.432292</v>
      </c>
      <c r="S49">
        <f t="shared" ref="S49" si="223">R49/100000</f>
        <v>-62270.819984322923</v>
      </c>
      <c r="T49">
        <f t="shared" ref="T49" si="224">S49/1000</f>
        <v>-62.270819984322927</v>
      </c>
    </row>
    <row r="50" spans="1:20" x14ac:dyDescent="0.25">
      <c r="A50" s="5">
        <v>44543</v>
      </c>
      <c r="B50">
        <v>0.24349999999999999</v>
      </c>
      <c r="C50">
        <v>0.24859999999999999</v>
      </c>
      <c r="D50">
        <v>0.2069</v>
      </c>
      <c r="E50">
        <v>0.21240000000000001</v>
      </c>
      <c r="F50">
        <v>199106464</v>
      </c>
      <c r="G50">
        <v>0.21240000000000001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-0.73621103117505959</v>
      </c>
      <c r="Q50">
        <f t="shared" ref="Q50" si="226">F50*P50</f>
        <v>-146584375.17505988</v>
      </c>
      <c r="R50">
        <f t="shared" ref="R50" si="227">R51+Q50</f>
        <v>-6286957749.1296606</v>
      </c>
      <c r="S50">
        <f t="shared" ref="S50" si="228">R50/100000</f>
        <v>-62869.577491296608</v>
      </c>
      <c r="T50">
        <f t="shared" ref="T50" si="229">S50/1000</f>
        <v>-62.86957749129661</v>
      </c>
    </row>
    <row r="51" spans="1:20" x14ac:dyDescent="0.25">
      <c r="A51" s="5">
        <v>44542</v>
      </c>
      <c r="B51">
        <v>0.24279999999999999</v>
      </c>
      <c r="C51">
        <v>0.254</v>
      </c>
      <c r="D51">
        <v>0.23760000000000001</v>
      </c>
      <c r="E51">
        <v>0.24349999999999999</v>
      </c>
      <c r="F51">
        <v>165226614</v>
      </c>
      <c r="G51">
        <v>0.24349999999999999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-0.28048780487805008</v>
      </c>
      <c r="Q51">
        <f t="shared" ref="Q51" si="231">F51*P51</f>
        <v>-46344050.268292896</v>
      </c>
      <c r="R51">
        <f t="shared" ref="R51" si="232">R52+Q51</f>
        <v>-6140373373.9546003</v>
      </c>
      <c r="S51">
        <f t="shared" ref="S51" si="233">R51/100000</f>
        <v>-61403.733739546005</v>
      </c>
      <c r="T51">
        <f t="shared" ref="T51" si="234">S51/1000</f>
        <v>-61.403733739546006</v>
      </c>
    </row>
    <row r="52" spans="1:20" x14ac:dyDescent="0.25">
      <c r="A52" s="5">
        <v>44541</v>
      </c>
      <c r="B52">
        <v>0.2296</v>
      </c>
      <c r="C52">
        <v>0.2334</v>
      </c>
      <c r="D52">
        <v>0.22409999999999999</v>
      </c>
      <c r="E52">
        <v>0.23119999999999999</v>
      </c>
      <c r="F52">
        <v>13112249</v>
      </c>
      <c r="G52">
        <v>0.23119999999999999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0.52688172043010606</v>
      </c>
      <c r="Q52">
        <f t="shared" ref="Q52" si="236">F52*P52</f>
        <v>6908604.3118279381</v>
      </c>
      <c r="R52">
        <f t="shared" ref="R52" si="237">R53+Q52</f>
        <v>-6094029323.6863079</v>
      </c>
      <c r="S52">
        <f t="shared" ref="S52" si="238">R52/100000</f>
        <v>-60940.293236863079</v>
      </c>
      <c r="T52">
        <f t="shared" ref="T52" si="239">S52/1000</f>
        <v>-60.940293236863077</v>
      </c>
    </row>
    <row r="53" spans="1:20" x14ac:dyDescent="0.25">
      <c r="A53" s="5">
        <v>44540</v>
      </c>
      <c r="B53">
        <v>0.2427</v>
      </c>
      <c r="C53">
        <v>0.26</v>
      </c>
      <c r="D53">
        <v>0.22800000000000001</v>
      </c>
      <c r="E53">
        <v>0.22989999999999999</v>
      </c>
      <c r="F53">
        <v>269184597</v>
      </c>
      <c r="G53">
        <v>0.22989999999999999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-0.88125000000000098</v>
      </c>
      <c r="Q53">
        <f t="shared" ref="Q53" si="241">F53*P53</f>
        <v>-237218926.10625026</v>
      </c>
      <c r="R53">
        <f t="shared" ref="R53" si="242">R54+Q53</f>
        <v>-6100937927.9981356</v>
      </c>
      <c r="S53">
        <f t="shared" ref="S53" si="243">R53/100000</f>
        <v>-61009.379279981353</v>
      </c>
      <c r="T53">
        <f t="shared" ref="T53" si="244">S53/1000</f>
        <v>-61.009379279981353</v>
      </c>
    </row>
    <row r="54" spans="1:20" x14ac:dyDescent="0.25">
      <c r="A54" s="5">
        <v>44539</v>
      </c>
      <c r="B54">
        <v>0.26290000000000002</v>
      </c>
      <c r="C54">
        <v>0.2797</v>
      </c>
      <c r="D54">
        <v>0.2402</v>
      </c>
      <c r="E54">
        <v>0.2429</v>
      </c>
      <c r="F54">
        <v>308278626</v>
      </c>
      <c r="G54">
        <v>0.2429</v>
      </c>
      <c r="L54" t="s">
        <v>8</v>
      </c>
      <c r="M54" t="s">
        <v>8</v>
      </c>
      <c r="N54" t="s">
        <v>8</v>
      </c>
      <c r="P54">
        <f t="shared" ref="P54" si="245">IF(C54=D54,0,((E54-D54)-(C54-E54))/(C54-D54))</f>
        <v>-0.86329113924050593</v>
      </c>
      <c r="Q54">
        <f t="shared" ref="Q54" si="246">F54*P54</f>
        <v>-266134206.24303785</v>
      </c>
      <c r="R54">
        <f t="shared" ref="R54" si="247">R55+Q54</f>
        <v>-5863719001.8918858</v>
      </c>
      <c r="S54">
        <f t="shared" ref="S54" si="248">R54/100000</f>
        <v>-58637.19001891886</v>
      </c>
      <c r="T54">
        <f t="shared" ref="T54" si="249">S54/1000</f>
        <v>-58.637190018918858</v>
      </c>
    </row>
    <row r="55" spans="1:20" x14ac:dyDescent="0.25">
      <c r="A55" s="5">
        <v>44538</v>
      </c>
      <c r="B55">
        <v>0.25290000000000001</v>
      </c>
      <c r="C55">
        <v>0.27</v>
      </c>
      <c r="D55">
        <v>0.24010000000000001</v>
      </c>
      <c r="E55">
        <v>0.26269999999999999</v>
      </c>
      <c r="F55">
        <v>238201254</v>
      </c>
      <c r="G55">
        <v>0.26269999999999999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0.51170568561872731</v>
      </c>
      <c r="Q55">
        <f t="shared" ref="Q55" si="251">F55*P55</f>
        <v>121888935.99331062</v>
      </c>
      <c r="R55">
        <f t="shared" ref="R55" si="252">R56+Q55</f>
        <v>-5597584795.6488476</v>
      </c>
      <c r="S55">
        <f t="shared" ref="S55" si="253">R55/100000</f>
        <v>-55975.847956488476</v>
      </c>
      <c r="T55">
        <f t="shared" ref="T55" si="254">S55/1000</f>
        <v>-55.975847956488479</v>
      </c>
    </row>
    <row r="56" spans="1:20" x14ac:dyDescent="0.25">
      <c r="A56" s="5">
        <v>44537</v>
      </c>
      <c r="B56">
        <v>0.26419999999999999</v>
      </c>
      <c r="C56">
        <v>0.28000000000000003</v>
      </c>
      <c r="D56">
        <v>0.24679999999999999</v>
      </c>
      <c r="E56">
        <v>0.253</v>
      </c>
      <c r="F56">
        <v>252243225</v>
      </c>
      <c r="G56">
        <v>0.253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-0.62650602409638523</v>
      </c>
      <c r="Q56">
        <f t="shared" ref="Q56" si="256">F56*P56</f>
        <v>-158031899.99999991</v>
      </c>
      <c r="R56">
        <f t="shared" ref="R56" si="257">R57+Q56</f>
        <v>-5719473731.6421585</v>
      </c>
      <c r="S56">
        <f t="shared" ref="S56" si="258">R56/100000</f>
        <v>-57194.737316421582</v>
      </c>
      <c r="T56">
        <f t="shared" ref="T56" si="259">S56/1000</f>
        <v>-57.19473731642158</v>
      </c>
    </row>
    <row r="57" spans="1:20" x14ac:dyDescent="0.25">
      <c r="A57" s="5">
        <v>44536</v>
      </c>
      <c r="B57">
        <v>0.26329999999999998</v>
      </c>
      <c r="C57">
        <v>0.27460000000000001</v>
      </c>
      <c r="D57">
        <v>0.2198</v>
      </c>
      <c r="E57">
        <v>0.26440000000000002</v>
      </c>
      <c r="F57">
        <v>367336491</v>
      </c>
      <c r="G57">
        <v>0.26440000000000002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0.62773722627737283</v>
      </c>
      <c r="Q57">
        <f t="shared" ref="Q57" si="261">F57*P57</f>
        <v>230590789.97080314</v>
      </c>
      <c r="R57">
        <f t="shared" ref="R57" si="262">R58+Q57</f>
        <v>-5561441831.6421585</v>
      </c>
      <c r="S57">
        <f t="shared" ref="S57" si="263">R57/100000</f>
        <v>-55614.418316421586</v>
      </c>
      <c r="T57">
        <f t="shared" ref="T57" si="264">S57/1000</f>
        <v>-55.614418316421585</v>
      </c>
    </row>
    <row r="58" spans="1:20" x14ac:dyDescent="0.25">
      <c r="A58" s="5">
        <v>44535</v>
      </c>
      <c r="B58">
        <v>0.30059999999999998</v>
      </c>
      <c r="C58">
        <v>0.30919999999999997</v>
      </c>
      <c r="D58">
        <v>0.25130000000000002</v>
      </c>
      <c r="E58">
        <v>0.26329999999999998</v>
      </c>
      <c r="F58">
        <v>303315334</v>
      </c>
      <c r="G58">
        <v>0.26329999999999998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-0.5854922279792758</v>
      </c>
      <c r="Q58">
        <f t="shared" ref="Q58" si="266">F58*P58</f>
        <v>-177588770.68393818</v>
      </c>
      <c r="R58">
        <f t="shared" ref="R58" si="267">R59+Q58</f>
        <v>-5792032621.6129618</v>
      </c>
      <c r="S58">
        <f t="shared" ref="S58" si="268">R58/100000</f>
        <v>-57920.326216129615</v>
      </c>
      <c r="T58">
        <f t="shared" ref="T58" si="269">S58/1000</f>
        <v>-57.920326216129617</v>
      </c>
    </row>
    <row r="59" spans="1:20" x14ac:dyDescent="0.25">
      <c r="A59" s="5">
        <v>44534</v>
      </c>
      <c r="B59">
        <v>0.35410000000000003</v>
      </c>
      <c r="C59">
        <v>0.35639999999999999</v>
      </c>
      <c r="D59">
        <v>0.19620000000000001</v>
      </c>
      <c r="E59">
        <v>0.30080000000000001</v>
      </c>
      <c r="F59">
        <v>625793381</v>
      </c>
      <c r="G59">
        <v>0.30080000000000001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0.30586766541822735</v>
      </c>
      <c r="Q59">
        <f t="shared" ref="Q59" si="271">F59*P59</f>
        <v>191409960.48064926</v>
      </c>
      <c r="R59">
        <f t="shared" ref="R59" si="272">R60+Q59</f>
        <v>-5614443850.9290237</v>
      </c>
      <c r="S59">
        <f t="shared" ref="S59" si="273">R59/100000</f>
        <v>-56144.438509290238</v>
      </c>
      <c r="T59">
        <f t="shared" ref="T59" si="274">S59/1000</f>
        <v>-56.144438509290239</v>
      </c>
    </row>
    <row r="60" spans="1:20" x14ac:dyDescent="0.25">
      <c r="A60" s="5">
        <v>44533</v>
      </c>
      <c r="B60">
        <v>0.38419999999999999</v>
      </c>
      <c r="C60">
        <v>0.39439999999999997</v>
      </c>
      <c r="D60">
        <v>0.32840000000000003</v>
      </c>
      <c r="E60">
        <v>0.3543</v>
      </c>
      <c r="F60">
        <v>286121135</v>
      </c>
      <c r="G60">
        <v>0.3543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-0.21515151515151518</v>
      </c>
      <c r="Q60">
        <f t="shared" ref="Q60" si="276">F60*P60</f>
        <v>-61559395.712121218</v>
      </c>
      <c r="R60">
        <f t="shared" ref="R60" si="277">R61+Q60</f>
        <v>-5805853811.4096727</v>
      </c>
      <c r="S60">
        <f t="shared" ref="S60" si="278">R60/100000</f>
        <v>-58058.538114096729</v>
      </c>
      <c r="T60">
        <f t="shared" ref="T60" si="279">S60/1000</f>
        <v>-58.058538114096727</v>
      </c>
    </row>
    <row r="61" spans="1:20" x14ac:dyDescent="0.25">
      <c r="A61" s="5">
        <v>44532</v>
      </c>
      <c r="B61">
        <v>0.41670000000000001</v>
      </c>
      <c r="C61">
        <v>0.432</v>
      </c>
      <c r="D61">
        <v>0.37659999999999999</v>
      </c>
      <c r="E61">
        <v>0.3841</v>
      </c>
      <c r="F61">
        <v>367245440</v>
      </c>
      <c r="G61">
        <v>0.3841</v>
      </c>
      <c r="L61" t="s">
        <v>7</v>
      </c>
      <c r="M61" t="s">
        <v>7</v>
      </c>
      <c r="N61" t="s">
        <v>8</v>
      </c>
      <c r="P61">
        <f t="shared" ref="P61" si="280">IF(C61=D61,0,((E61-D61)-(C61-E61))/(C61-D61))</f>
        <v>-0.72924187725631751</v>
      </c>
      <c r="Q61">
        <f t="shared" ref="Q61" si="281">F61*P61</f>
        <v>-267810754.07942232</v>
      </c>
      <c r="R61">
        <f t="shared" ref="R61" si="282">R62+Q61</f>
        <v>-5744294415.6975517</v>
      </c>
      <c r="S61">
        <f t="shared" ref="S61" si="283">R61/100000</f>
        <v>-57442.944156975514</v>
      </c>
      <c r="T61">
        <f t="shared" ref="T61" si="284">S61/1000</f>
        <v>-57.442944156975514</v>
      </c>
    </row>
    <row r="62" spans="1:20" x14ac:dyDescent="0.25">
      <c r="A62" s="5">
        <v>44531</v>
      </c>
      <c r="B62">
        <v>0.42499999999999999</v>
      </c>
      <c r="C62">
        <v>0.48499999999999999</v>
      </c>
      <c r="D62">
        <v>0.40410000000000001</v>
      </c>
      <c r="E62">
        <v>0.41649999999999998</v>
      </c>
      <c r="F62">
        <v>657158881</v>
      </c>
      <c r="G62">
        <v>0.41649999999999998</v>
      </c>
      <c r="L62" t="s">
        <v>8</v>
      </c>
      <c r="M62" t="s">
        <v>8</v>
      </c>
      <c r="N62" t="s">
        <v>8</v>
      </c>
      <c r="P62">
        <f t="shared" ref="P62" si="285">IF(C62=D62,0,((E62-D62)-(C62-E62))/(C62-D62))</f>
        <v>-0.69344870210136045</v>
      </c>
      <c r="Q62">
        <f t="shared" ref="Q62" si="286">F62*P62</f>
        <v>-455705973.10383236</v>
      </c>
      <c r="R62">
        <f t="shared" ref="R62" si="287">R63+Q62</f>
        <v>-5476483661.6181297</v>
      </c>
      <c r="S62">
        <f t="shared" ref="S62" si="288">R62/100000</f>
        <v>-54764.836616181296</v>
      </c>
      <c r="T62">
        <f t="shared" ref="T62" si="289">S62/1000</f>
        <v>-54.764836616181299</v>
      </c>
    </row>
    <row r="63" spans="1:20" x14ac:dyDescent="0.25">
      <c r="A63" s="5">
        <v>44530</v>
      </c>
      <c r="B63">
        <v>0.37969999999999998</v>
      </c>
      <c r="C63">
        <v>0.42730000000000001</v>
      </c>
      <c r="D63">
        <v>0.36299999999999999</v>
      </c>
      <c r="E63">
        <v>0.4249</v>
      </c>
      <c r="F63">
        <v>439715459</v>
      </c>
      <c r="G63">
        <v>0.4249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0.92534992223950197</v>
      </c>
      <c r="Q63">
        <f t="shared" ref="Q63" si="291">F63*P63</f>
        <v>406890665.79315692</v>
      </c>
      <c r="R63">
        <f t="shared" ref="R63" si="292">R64+Q63</f>
        <v>-5020777688.5142975</v>
      </c>
      <c r="S63">
        <f t="shared" ref="S63" si="293">R63/100000</f>
        <v>-50207.776885142972</v>
      </c>
      <c r="T63">
        <f t="shared" ref="T63" si="294">S63/1000</f>
        <v>-50.20777688514297</v>
      </c>
    </row>
    <row r="64" spans="1:20" x14ac:dyDescent="0.25">
      <c r="A64" s="5">
        <v>44529</v>
      </c>
      <c r="B64">
        <v>0.41289999999999999</v>
      </c>
      <c r="C64">
        <v>0.43740000000000001</v>
      </c>
      <c r="D64">
        <v>0.37580000000000002</v>
      </c>
      <c r="E64">
        <v>0.3795</v>
      </c>
      <c r="F64">
        <v>445553245</v>
      </c>
      <c r="G64">
        <v>0.3795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-0.87987012987013047</v>
      </c>
      <c r="Q64">
        <f t="shared" ref="Q64" si="296">F64*P64</f>
        <v>-392028991.54220808</v>
      </c>
      <c r="R64">
        <f t="shared" ref="R64" si="297">R65+Q64</f>
        <v>-5427668354.3074541</v>
      </c>
      <c r="S64">
        <f t="shared" ref="S64" si="298">R64/100000</f>
        <v>-54276.683543074541</v>
      </c>
      <c r="T64">
        <f t="shared" ref="T64" si="299">S64/1000</f>
        <v>-54.27668354307454</v>
      </c>
    </row>
    <row r="65" spans="1:20" x14ac:dyDescent="0.25">
      <c r="A65" s="5">
        <v>44528</v>
      </c>
      <c r="B65">
        <v>0.37259999999999999</v>
      </c>
      <c r="C65">
        <v>0.42</v>
      </c>
      <c r="D65">
        <v>0.33329999999999999</v>
      </c>
      <c r="E65">
        <v>0.41310000000000002</v>
      </c>
      <c r="F65">
        <v>516153688</v>
      </c>
      <c r="G65">
        <v>0.41310000000000002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0.84083044982699051</v>
      </c>
      <c r="Q65">
        <f t="shared" ref="Q65" si="301">F65*P65</f>
        <v>433997737.66090012</v>
      </c>
      <c r="R65">
        <f t="shared" ref="R65" si="302">R66+Q65</f>
        <v>-5035639362.7652464</v>
      </c>
      <c r="S65">
        <f t="shared" ref="S65" si="303">R65/100000</f>
        <v>-50356.393627652462</v>
      </c>
      <c r="T65">
        <f t="shared" ref="T65" si="304">S65/1000</f>
        <v>-50.356393627652459</v>
      </c>
    </row>
    <row r="66" spans="1:20" x14ac:dyDescent="0.25">
      <c r="A66" s="5">
        <v>44527</v>
      </c>
      <c r="B66">
        <v>0.39889999999999998</v>
      </c>
      <c r="C66">
        <v>0.41870000000000002</v>
      </c>
      <c r="D66">
        <v>0.36170000000000002</v>
      </c>
      <c r="E66">
        <v>0.37259999999999999</v>
      </c>
      <c r="F66">
        <v>380202052</v>
      </c>
      <c r="G66">
        <v>0.37259999999999999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-0.61754385964912395</v>
      </c>
      <c r="Q66">
        <f t="shared" ref="Q66" si="306">F66*P66</f>
        <v>-234791442.63859692</v>
      </c>
      <c r="R66">
        <f t="shared" ref="R66" si="307">R67+Q66</f>
        <v>-5469637100.4261465</v>
      </c>
      <c r="S66">
        <f t="shared" ref="S66" si="308">R66/100000</f>
        <v>-54696.371004261462</v>
      </c>
      <c r="T66">
        <f t="shared" ref="T66" si="309">S66/1000</f>
        <v>-54.696371004261465</v>
      </c>
    </row>
    <row r="67" spans="1:20" x14ac:dyDescent="0.25">
      <c r="A67" s="5">
        <v>44526</v>
      </c>
      <c r="B67">
        <v>0.4844</v>
      </c>
      <c r="C67">
        <v>0.54</v>
      </c>
      <c r="D67">
        <v>0.37030000000000002</v>
      </c>
      <c r="E67">
        <v>0.39889999999999998</v>
      </c>
      <c r="F67">
        <v>824104107</v>
      </c>
      <c r="G67">
        <v>0.39889999999999998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-0.66293459045374237</v>
      </c>
      <c r="Q67">
        <f t="shared" ref="Q67" si="311">F67*P67</f>
        <v>-546327118.66529202</v>
      </c>
      <c r="R67">
        <f t="shared" ref="R67" si="312">R68+Q67</f>
        <v>-5234845657.78755</v>
      </c>
      <c r="S67">
        <f t="shared" ref="S67" si="313">R67/100000</f>
        <v>-52348.456577875499</v>
      </c>
      <c r="T67">
        <f t="shared" ref="T67" si="314">S67/1000</f>
        <v>-52.348456577875496</v>
      </c>
    </row>
    <row r="68" spans="1:20" x14ac:dyDescent="0.25">
      <c r="A68" s="5">
        <v>44525</v>
      </c>
      <c r="B68">
        <v>0.45200000000000001</v>
      </c>
      <c r="C68">
        <v>0.56999999999999995</v>
      </c>
      <c r="D68">
        <v>0.43140000000000001</v>
      </c>
      <c r="E68">
        <v>0.4844</v>
      </c>
      <c r="F68">
        <v>994681026.25999999</v>
      </c>
      <c r="G68">
        <v>0.4844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-0.23520923520923503</v>
      </c>
      <c r="Q68">
        <f t="shared" ref="Q68" si="316">F68*P68</f>
        <v>-233958163.46375161</v>
      </c>
      <c r="R68">
        <f t="shared" ref="R68" si="317">R69+Q68</f>
        <v>-4688518539.1222582</v>
      </c>
      <c r="S68">
        <f t="shared" ref="S68" si="318">R68/100000</f>
        <v>-46885.185391222585</v>
      </c>
      <c r="T68">
        <f t="shared" ref="T68" si="319">S68/1000</f>
        <v>-46.885185391222585</v>
      </c>
    </row>
    <row r="69" spans="1:20" x14ac:dyDescent="0.25">
      <c r="A69" s="5">
        <v>44524</v>
      </c>
      <c r="B69">
        <v>0.38600000000000001</v>
      </c>
      <c r="C69">
        <v>0.436</v>
      </c>
      <c r="D69">
        <v>0.38090000000000002</v>
      </c>
      <c r="E69">
        <v>0.42980000000000002</v>
      </c>
      <c r="F69">
        <v>254814283</v>
      </c>
      <c r="G69">
        <v>0.42980000000000002</v>
      </c>
      <c r="L69" t="s">
        <v>8</v>
      </c>
      <c r="M69" t="s">
        <v>8</v>
      </c>
      <c r="N69" t="s">
        <v>8</v>
      </c>
      <c r="P69">
        <f t="shared" ref="P69" si="320">IF(C69=D69,0,((E69-D69)-(C69-E69))/(C69-D69))</f>
        <v>0.77495462794918379</v>
      </c>
      <c r="Q69">
        <f t="shared" ref="Q69" si="321">F69*P69</f>
        <v>197469507.87840304</v>
      </c>
      <c r="R69">
        <f t="shared" ref="R69" si="322">R70+Q69</f>
        <v>-4454560375.6585064</v>
      </c>
      <c r="S69">
        <f t="shared" ref="S69" si="323">R69/100000</f>
        <v>-44545.603756585064</v>
      </c>
      <c r="T69">
        <f t="shared" ref="T69" si="324">S69/1000</f>
        <v>-44.545603756585066</v>
      </c>
    </row>
    <row r="70" spans="1:20" x14ac:dyDescent="0.25">
      <c r="A70" s="5">
        <v>44523</v>
      </c>
      <c r="B70">
        <v>0.35880000000000001</v>
      </c>
      <c r="C70">
        <v>0.41</v>
      </c>
      <c r="D70">
        <v>0.35189999999999999</v>
      </c>
      <c r="E70">
        <v>0.38600000000000001</v>
      </c>
      <c r="F70">
        <v>629344770</v>
      </c>
      <c r="G70">
        <v>0.38600000000000001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0.17383820998278926</v>
      </c>
      <c r="Q70">
        <f t="shared" ref="Q70" si="326">F70*P70</f>
        <v>109404168.27883022</v>
      </c>
      <c r="R70">
        <f t="shared" ref="R70" si="327">R71+Q70</f>
        <v>-4652029883.5369091</v>
      </c>
      <c r="S70">
        <f t="shared" ref="S70" si="328">R70/100000</f>
        <v>-46520.298835369089</v>
      </c>
      <c r="T70">
        <f t="shared" ref="T70" si="329">S70/1000</f>
        <v>-46.52029883536909</v>
      </c>
    </row>
    <row r="71" spans="1:20" x14ac:dyDescent="0.25">
      <c r="A71" s="5">
        <v>44522</v>
      </c>
      <c r="B71">
        <v>0.33989999999999998</v>
      </c>
      <c r="C71">
        <v>0.38879999999999998</v>
      </c>
      <c r="D71">
        <v>0.317</v>
      </c>
      <c r="E71">
        <v>0.35899999999999999</v>
      </c>
      <c r="F71">
        <v>925078187</v>
      </c>
      <c r="G71">
        <v>0.35899999999999999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0.16991643454038988</v>
      </c>
      <c r="Q71">
        <f t="shared" ref="Q71" si="331">F71*P71</f>
        <v>157185987.20612803</v>
      </c>
      <c r="R71">
        <f t="shared" ref="R71" si="332">R72+Q71</f>
        <v>-4761434051.8157396</v>
      </c>
      <c r="S71">
        <f t="shared" ref="S71" si="333">R71/100000</f>
        <v>-47614.340518157398</v>
      </c>
      <c r="T71">
        <f t="shared" ref="T71" si="334">S71/1000</f>
        <v>-47.614340518157398</v>
      </c>
    </row>
    <row r="72" spans="1:20" x14ac:dyDescent="0.25">
      <c r="A72" s="5">
        <v>44521</v>
      </c>
      <c r="B72">
        <v>0.34660000000000002</v>
      </c>
      <c r="C72">
        <v>0.4662</v>
      </c>
      <c r="D72">
        <v>0.32590000000000002</v>
      </c>
      <c r="E72">
        <v>0.33989999999999998</v>
      </c>
      <c r="F72">
        <v>1776537186.9100001</v>
      </c>
      <c r="G72">
        <v>0.33989999999999998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-0.80042765502494717</v>
      </c>
      <c r="Q72">
        <f t="shared" ref="Q72" si="336">F72*P72</f>
        <v>-1421989494.5829875</v>
      </c>
      <c r="R72">
        <f t="shared" ref="R72" si="337">R73+Q72</f>
        <v>-4918620039.0218678</v>
      </c>
      <c r="S72">
        <f t="shared" ref="S72" si="338">R72/100000</f>
        <v>-49186.200390218677</v>
      </c>
      <c r="T72">
        <f t="shared" ref="T72" si="339">S72/1000</f>
        <v>-49.18620039021868</v>
      </c>
    </row>
    <row r="73" spans="1:20" x14ac:dyDescent="0.25">
      <c r="A73" s="5">
        <v>44520</v>
      </c>
      <c r="B73">
        <v>0.27789999999999998</v>
      </c>
      <c r="C73">
        <v>0.35</v>
      </c>
      <c r="D73">
        <v>0.2767</v>
      </c>
      <c r="E73">
        <v>0.34649999999999997</v>
      </c>
      <c r="F73">
        <v>710451658</v>
      </c>
      <c r="G73">
        <v>0.34649999999999997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0.9045020463847202</v>
      </c>
      <c r="Q73">
        <f t="shared" ref="Q73" si="341">F73*P73</f>
        <v>642604978.51841736</v>
      </c>
      <c r="R73">
        <f t="shared" ref="R73" si="342">R74+Q73</f>
        <v>-3496630544.4388804</v>
      </c>
      <c r="S73">
        <f t="shared" ref="S73" si="343">R73/100000</f>
        <v>-34966.305444388803</v>
      </c>
      <c r="T73">
        <f t="shared" ref="T73" si="344">S73/1000</f>
        <v>-34.966305444388802</v>
      </c>
    </row>
    <row r="74" spans="1:20" x14ac:dyDescent="0.25">
      <c r="A74" s="5">
        <v>44519</v>
      </c>
      <c r="B74">
        <v>0.27529999999999999</v>
      </c>
      <c r="C74">
        <v>0.29170000000000001</v>
      </c>
      <c r="D74">
        <v>0.25230000000000002</v>
      </c>
      <c r="E74">
        <v>0.27800000000000002</v>
      </c>
      <c r="F74">
        <v>539323404</v>
      </c>
      <c r="G74">
        <v>0.27800000000000002</v>
      </c>
      <c r="L74" t="s">
        <v>8</v>
      </c>
      <c r="M74" t="s">
        <v>8</v>
      </c>
      <c r="N74" t="s">
        <v>8</v>
      </c>
      <c r="P74">
        <f t="shared" ref="P74" si="345">IF(C74=D74,0,((E74-D74)-(C74-E74))/(C74-D74))</f>
        <v>0.30456852791878208</v>
      </c>
      <c r="Q74">
        <f t="shared" ref="Q74" si="346">F74*P74</f>
        <v>164260935.22842658</v>
      </c>
      <c r="R74">
        <f t="shared" ref="R74" si="347">R75+Q74</f>
        <v>-4139235522.9572978</v>
      </c>
      <c r="S74">
        <f t="shared" ref="S74" si="348">R74/100000</f>
        <v>-41392.355229572975</v>
      </c>
      <c r="T74">
        <f t="shared" ref="T74" si="349">S74/1000</f>
        <v>-41.392355229572978</v>
      </c>
    </row>
    <row r="75" spans="1:20" x14ac:dyDescent="0.25">
      <c r="A75" s="5">
        <v>44518</v>
      </c>
      <c r="B75">
        <v>0.24529999999999999</v>
      </c>
      <c r="C75">
        <v>0.28189999999999998</v>
      </c>
      <c r="D75">
        <v>0.23119999999999999</v>
      </c>
      <c r="E75">
        <v>0.27500000000000002</v>
      </c>
      <c r="F75">
        <v>661175548</v>
      </c>
      <c r="G75">
        <v>0.27500000000000002</v>
      </c>
      <c r="L75" t="s">
        <v>8</v>
      </c>
      <c r="M75" t="s">
        <v>8</v>
      </c>
      <c r="N75" t="s">
        <v>7</v>
      </c>
      <c r="P75">
        <f t="shared" ref="P75" si="350">IF(C75=D75,0,((E75-D75)-(C75-E75))/(C75-D75))</f>
        <v>0.72781065088757546</v>
      </c>
      <c r="Q75">
        <f t="shared" ref="Q75" si="351">F75*P75</f>
        <v>481210605.9408294</v>
      </c>
      <c r="R75">
        <f t="shared" ref="R75" si="352">R76+Q75</f>
        <v>-4303496458.1857243</v>
      </c>
      <c r="S75">
        <f t="shared" ref="S75" si="353">R75/100000</f>
        <v>-43034.964581857239</v>
      </c>
      <c r="T75">
        <f t="shared" ref="T75" si="354">S75/1000</f>
        <v>-43.034964581857238</v>
      </c>
    </row>
    <row r="76" spans="1:20" x14ac:dyDescent="0.25">
      <c r="A76" s="5">
        <v>44517</v>
      </c>
      <c r="B76">
        <v>0.224</v>
      </c>
      <c r="C76">
        <v>0.255</v>
      </c>
      <c r="D76">
        <v>0.21809999999999999</v>
      </c>
      <c r="E76">
        <v>0.2452</v>
      </c>
      <c r="F76">
        <v>277671853</v>
      </c>
      <c r="G76">
        <v>0.2452</v>
      </c>
      <c r="L76" t="s">
        <v>8</v>
      </c>
      <c r="M76" t="s">
        <v>8</v>
      </c>
      <c r="N76" t="s">
        <v>7</v>
      </c>
      <c r="P76">
        <f t="shared" ref="P76" si="355">IF(C76=D76,0,((E76-D76)-(C76-E76))/(C76-D76))</f>
        <v>0.46883468834688352</v>
      </c>
      <c r="Q76">
        <f t="shared" ref="Q76" si="356">F76*P76</f>
        <v>130182196.66395666</v>
      </c>
      <c r="R76">
        <f t="shared" ref="R76" si="357">R77+Q76</f>
        <v>-4784707064.1265535</v>
      </c>
      <c r="S76">
        <f t="shared" ref="S76" si="358">R76/100000</f>
        <v>-47847.070641265535</v>
      </c>
      <c r="T76">
        <f t="shared" ref="T76" si="359">S76/1000</f>
        <v>-47.847070641265532</v>
      </c>
    </row>
    <row r="77" spans="1:20" x14ac:dyDescent="0.25">
      <c r="A77" s="5">
        <v>44516</v>
      </c>
      <c r="B77">
        <v>0.2535</v>
      </c>
      <c r="C77">
        <v>0.25359999999999999</v>
      </c>
      <c r="D77">
        <v>0.2084</v>
      </c>
      <c r="E77">
        <v>0.22420000000000001</v>
      </c>
      <c r="F77">
        <v>262439111</v>
      </c>
      <c r="G77">
        <v>0.22420000000000001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-0.30088495575221186</v>
      </c>
      <c r="Q77">
        <f t="shared" ref="Q77" si="361">F77*P77</f>
        <v>-78963980.300884813</v>
      </c>
      <c r="R77">
        <f t="shared" ref="R77" si="362">R78+Q77</f>
        <v>-4914889260.7905102</v>
      </c>
      <c r="S77">
        <f t="shared" ref="S77" si="363">R77/100000</f>
        <v>-49148.892607905102</v>
      </c>
      <c r="T77">
        <f t="shared" ref="T77" si="364">S77/1000</f>
        <v>-49.148892607905104</v>
      </c>
    </row>
    <row r="78" spans="1:20" x14ac:dyDescent="0.25">
      <c r="A78" s="5">
        <v>44515</v>
      </c>
      <c r="B78">
        <v>0.25740000000000002</v>
      </c>
      <c r="C78">
        <v>0.2697</v>
      </c>
      <c r="D78">
        <v>0.25040000000000001</v>
      </c>
      <c r="E78">
        <v>0.2535</v>
      </c>
      <c r="F78">
        <v>147400071</v>
      </c>
      <c r="G78">
        <v>0.2535</v>
      </c>
      <c r="L78" t="s">
        <v>8</v>
      </c>
      <c r="M78" t="s">
        <v>8</v>
      </c>
      <c r="N78" t="s">
        <v>7</v>
      </c>
      <c r="P78">
        <f t="shared" ref="P78" si="365">IF(C78=D78,0,((E78-D78)-(C78-E78))/(C78-D78))</f>
        <v>-0.67875647668393846</v>
      </c>
      <c r="Q78">
        <f t="shared" ref="Q78" si="366">F78*P78</f>
        <v>-100048752.85492237</v>
      </c>
      <c r="R78">
        <f t="shared" ref="R78" si="367">R79+Q78</f>
        <v>-4835925280.489625</v>
      </c>
      <c r="S78">
        <f t="shared" ref="S78" si="368">R78/100000</f>
        <v>-48359.252804896249</v>
      </c>
      <c r="T78">
        <f t="shared" ref="T78" si="369">S78/1000</f>
        <v>-48.359252804896251</v>
      </c>
    </row>
    <row r="79" spans="1:20" x14ac:dyDescent="0.25">
      <c r="A79" s="5">
        <v>44514</v>
      </c>
      <c r="B79">
        <v>0.26079999999999998</v>
      </c>
      <c r="C79">
        <v>0.26419999999999999</v>
      </c>
      <c r="D79">
        <v>0.24890000000000001</v>
      </c>
      <c r="E79">
        <v>0.25750000000000001</v>
      </c>
      <c r="F79">
        <v>105542899</v>
      </c>
      <c r="G79">
        <v>0.25750000000000001</v>
      </c>
      <c r="L79" t="s">
        <v>7</v>
      </c>
      <c r="M79" t="s">
        <v>8</v>
      </c>
      <c r="N79" t="s">
        <v>7</v>
      </c>
      <c r="P79">
        <f t="shared" ref="P79" si="370">IF(C79=D79,0,((E79-D79)-(C79-E79))/(C79-D79))</f>
        <v>0.12418300653594871</v>
      </c>
      <c r="Q79">
        <f t="shared" ref="Q79" si="371">F79*P79</f>
        <v>13106634.516339974</v>
      </c>
      <c r="R79">
        <f t="shared" ref="R79" si="372">R80+Q79</f>
        <v>-4735876527.6347027</v>
      </c>
      <c r="S79">
        <f t="shared" ref="S79" si="373">R79/100000</f>
        <v>-47358.765276347025</v>
      </c>
      <c r="T79">
        <f t="shared" ref="T79" si="374">S79/1000</f>
        <v>-47.358765276347022</v>
      </c>
    </row>
    <row r="80" spans="1:20" x14ac:dyDescent="0.25">
      <c r="A80" s="5">
        <v>44513</v>
      </c>
      <c r="B80">
        <v>0.26</v>
      </c>
      <c r="C80">
        <v>0.27879999999999999</v>
      </c>
      <c r="D80">
        <v>0.25800000000000001</v>
      </c>
      <c r="E80">
        <v>0.26079999999999998</v>
      </c>
      <c r="F80">
        <v>190219476</v>
      </c>
      <c r="G80">
        <v>0.26079999999999998</v>
      </c>
      <c r="L80" t="s">
        <v>8</v>
      </c>
      <c r="M80" t="s">
        <v>8</v>
      </c>
      <c r="N80" t="s">
        <v>7</v>
      </c>
      <c r="P80">
        <f t="shared" ref="P80" si="375">IF(C80=D80,0,((E80-D80)-(C80-E80))/(C80-D80))</f>
        <v>-0.7307692307692335</v>
      </c>
      <c r="Q80">
        <f t="shared" ref="Q80" si="376">F80*P80</f>
        <v>-139006540.15384668</v>
      </c>
      <c r="R80">
        <f t="shared" ref="R80" si="377">R81+Q80</f>
        <v>-4748983162.1510429</v>
      </c>
      <c r="S80">
        <f t="shared" ref="S80" si="378">R80/100000</f>
        <v>-47489.831621510428</v>
      </c>
      <c r="T80">
        <f t="shared" ref="T80" si="379">S80/1000</f>
        <v>-47.489831621510426</v>
      </c>
    </row>
    <row r="81" spans="1:20" x14ac:dyDescent="0.25">
      <c r="A81" s="5">
        <v>44512</v>
      </c>
      <c r="B81">
        <v>0.25640000000000002</v>
      </c>
      <c r="C81">
        <v>0.27260000000000001</v>
      </c>
      <c r="D81">
        <v>0.2402</v>
      </c>
      <c r="E81">
        <v>0.25979999999999998</v>
      </c>
      <c r="F81">
        <v>312861825</v>
      </c>
      <c r="G81">
        <v>0.25979999999999998</v>
      </c>
      <c r="L81" t="s">
        <v>8</v>
      </c>
      <c r="M81" t="s">
        <v>8</v>
      </c>
      <c r="N81" t="s">
        <v>7</v>
      </c>
      <c r="P81">
        <f t="shared" ref="P81" si="380">IF(C81=D81,0,((E81-D81)-(C81-E81))/(C81-D81))</f>
        <v>0.20987654320987476</v>
      </c>
      <c r="Q81">
        <f t="shared" ref="Q81" si="381">F81*P81</f>
        <v>65662358.333332777</v>
      </c>
      <c r="R81">
        <f t="shared" ref="R81" si="382">R82+Q81</f>
        <v>-4609976621.9971962</v>
      </c>
      <c r="S81">
        <f t="shared" ref="S81" si="383">R81/100000</f>
        <v>-46099.766219971963</v>
      </c>
      <c r="T81">
        <f t="shared" ref="T81" si="384">S81/1000</f>
        <v>-46.099766219971961</v>
      </c>
    </row>
    <row r="82" spans="1:20" x14ac:dyDescent="0.25">
      <c r="A82" s="5">
        <v>44511</v>
      </c>
      <c r="B82">
        <v>0.248</v>
      </c>
      <c r="C82">
        <v>0.26440000000000002</v>
      </c>
      <c r="D82">
        <v>0.24310000000000001</v>
      </c>
      <c r="E82">
        <v>0.25650000000000001</v>
      </c>
      <c r="F82">
        <v>163748626</v>
      </c>
      <c r="G82">
        <v>0.25650000000000001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0.25821596244131334</v>
      </c>
      <c r="Q82">
        <f t="shared" ref="Q82" si="386">F82*P82</f>
        <v>42282509.061032668</v>
      </c>
      <c r="R82">
        <f t="shared" ref="R82" si="387">R83+Q82</f>
        <v>-4675638980.3305292</v>
      </c>
      <c r="S82">
        <f t="shared" ref="S82" si="388">R82/100000</f>
        <v>-46756.38980330529</v>
      </c>
      <c r="T82">
        <f t="shared" ref="T82" si="389">S82/1000</f>
        <v>-46.756389803305289</v>
      </c>
    </row>
    <row r="83" spans="1:20" x14ac:dyDescent="0.25">
      <c r="A83" s="5">
        <v>44510</v>
      </c>
      <c r="B83">
        <v>0.27510000000000001</v>
      </c>
      <c r="C83">
        <v>0.28089999999999998</v>
      </c>
      <c r="D83">
        <v>0.2225</v>
      </c>
      <c r="E83">
        <v>0.248</v>
      </c>
      <c r="F83">
        <v>291382555</v>
      </c>
      <c r="G83">
        <v>0.248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-0.12671232876712316</v>
      </c>
      <c r="Q83">
        <f t="shared" ref="Q83" si="391">F83*P83</f>
        <v>-36921762.106164344</v>
      </c>
      <c r="R83">
        <f t="shared" ref="R83" si="392">R84+Q83</f>
        <v>-4717921489.3915615</v>
      </c>
      <c r="S83">
        <f t="shared" ref="S83" si="393">R83/100000</f>
        <v>-47179.214893915618</v>
      </c>
      <c r="T83">
        <f t="shared" ref="T83" si="394">S83/1000</f>
        <v>-47.179214893915621</v>
      </c>
    </row>
    <row r="84" spans="1:20" x14ac:dyDescent="0.25">
      <c r="A84" s="5">
        <v>44509</v>
      </c>
      <c r="B84">
        <v>0.29499999999999998</v>
      </c>
      <c r="C84">
        <v>0.3</v>
      </c>
      <c r="D84">
        <v>0.27</v>
      </c>
      <c r="E84">
        <v>0.27510000000000001</v>
      </c>
      <c r="F84">
        <v>193675848</v>
      </c>
      <c r="G84">
        <v>0.27510000000000001</v>
      </c>
      <c r="L84" t="s">
        <v>7</v>
      </c>
      <c r="M84" t="s">
        <v>7</v>
      </c>
      <c r="N84" t="s">
        <v>8</v>
      </c>
      <c r="P84">
        <f t="shared" ref="P84" si="395">IF(C84=D84,0,((E84-D84)-(C84-E84))/(C84-D84))</f>
        <v>-0.66000000000000014</v>
      </c>
      <c r="Q84">
        <f t="shared" ref="Q84" si="396">F84*P84</f>
        <v>-127826059.68000002</v>
      </c>
      <c r="R84">
        <f t="shared" ref="R84" si="397">R85+Q84</f>
        <v>-4680999727.2853975</v>
      </c>
      <c r="S84">
        <f t="shared" ref="S84" si="398">R84/100000</f>
        <v>-46809.997272853972</v>
      </c>
      <c r="T84">
        <f t="shared" ref="T84" si="399">S84/1000</f>
        <v>-46.80999727285397</v>
      </c>
    </row>
    <row r="85" spans="1:20" x14ac:dyDescent="0.25">
      <c r="A85" s="5">
        <v>44508</v>
      </c>
      <c r="B85">
        <v>0.29289999999999999</v>
      </c>
      <c r="C85">
        <v>0.3</v>
      </c>
      <c r="D85">
        <v>0.27579999999999999</v>
      </c>
      <c r="E85">
        <v>0.29520000000000002</v>
      </c>
      <c r="F85">
        <v>207378344</v>
      </c>
      <c r="G85">
        <v>0.29520000000000002</v>
      </c>
      <c r="L85" t="s">
        <v>7</v>
      </c>
      <c r="M85" t="s">
        <v>7</v>
      </c>
      <c r="N85" t="s">
        <v>8</v>
      </c>
      <c r="P85">
        <f t="shared" ref="P85" si="400">IF(C85=D85,0,((E85-D85)-(C85-E85))/(C85-D85))</f>
        <v>0.60330578512396937</v>
      </c>
      <c r="Q85">
        <f t="shared" ref="Q85" si="401">F85*P85</f>
        <v>125112554.6446286</v>
      </c>
      <c r="R85">
        <f t="shared" ref="R85" si="402">R86+Q85</f>
        <v>-4553173667.6053972</v>
      </c>
      <c r="S85">
        <f t="shared" ref="S85" si="403">R85/100000</f>
        <v>-45531.736676053973</v>
      </c>
      <c r="T85">
        <f t="shared" ref="T85" si="404">S85/1000</f>
        <v>-45.531736676053974</v>
      </c>
    </row>
    <row r="86" spans="1:20" x14ac:dyDescent="0.25">
      <c r="A86" s="5">
        <v>44507</v>
      </c>
      <c r="B86">
        <v>0.27689999999999998</v>
      </c>
      <c r="C86">
        <v>0.30449999999999999</v>
      </c>
      <c r="D86">
        <v>0.27379999999999999</v>
      </c>
      <c r="E86">
        <v>0.29289999999999999</v>
      </c>
      <c r="F86">
        <v>280459774</v>
      </c>
      <c r="G86">
        <v>0.29289999999999999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0.24429967426710114</v>
      </c>
      <c r="Q86">
        <f t="shared" ref="Q86" si="406">F86*P86</f>
        <v>68516231.433224797</v>
      </c>
      <c r="R86">
        <f t="shared" ref="R86" si="407">R87+Q86</f>
        <v>-4678286222.2500257</v>
      </c>
      <c r="S86">
        <f t="shared" ref="S86" si="408">R86/100000</f>
        <v>-46782.862222500255</v>
      </c>
      <c r="T86">
        <f t="shared" ref="T86" si="409">S86/1000</f>
        <v>-46.782862222500256</v>
      </c>
    </row>
    <row r="87" spans="1:20" x14ac:dyDescent="0.25">
      <c r="A87" s="5">
        <v>44506</v>
      </c>
      <c r="B87">
        <v>0.28179999999999999</v>
      </c>
      <c r="C87">
        <v>0.28760000000000002</v>
      </c>
      <c r="D87">
        <v>0.2606</v>
      </c>
      <c r="E87">
        <v>0.27679999999999999</v>
      </c>
      <c r="F87">
        <v>196702804</v>
      </c>
      <c r="G87">
        <v>0.27679999999999999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0.19999999999999835</v>
      </c>
      <c r="Q87">
        <f t="shared" ref="Q87" si="411">F87*P87</f>
        <v>39340560.799999677</v>
      </c>
      <c r="R87">
        <f t="shared" ref="R87" si="412">R88+Q87</f>
        <v>-4746802453.6832504</v>
      </c>
      <c r="S87">
        <f t="shared" ref="S87" si="413">R87/100000</f>
        <v>-47468.024536832505</v>
      </c>
      <c r="T87">
        <f t="shared" ref="T87" si="414">S87/1000</f>
        <v>-47.468024536832502</v>
      </c>
    </row>
    <row r="88" spans="1:20" x14ac:dyDescent="0.25">
      <c r="A88" s="5">
        <v>44505</v>
      </c>
      <c r="B88">
        <v>0.28660000000000002</v>
      </c>
      <c r="C88">
        <v>0.32600000000000001</v>
      </c>
      <c r="D88">
        <v>0.27679999999999999</v>
      </c>
      <c r="E88">
        <v>0.28189999999999998</v>
      </c>
      <c r="F88">
        <v>473087551</v>
      </c>
      <c r="G88">
        <v>0.28189999999999998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-0.79268292682926866</v>
      </c>
      <c r="Q88">
        <f t="shared" ref="Q88" si="416">F88*P88</f>
        <v>-375008424.5731709</v>
      </c>
      <c r="R88">
        <f t="shared" ref="R88" si="417">R89+Q88</f>
        <v>-4786143014.4832497</v>
      </c>
      <c r="S88">
        <f t="shared" ref="S88" si="418">R88/100000</f>
        <v>-47861.430144832499</v>
      </c>
      <c r="T88">
        <f t="shared" ref="T88" si="419">S88/1000</f>
        <v>-47.861430144832497</v>
      </c>
    </row>
    <row r="89" spans="1:20" x14ac:dyDescent="0.25">
      <c r="A89" s="5">
        <v>44504</v>
      </c>
      <c r="B89">
        <v>0.26400000000000001</v>
      </c>
      <c r="C89">
        <v>0.31790000000000002</v>
      </c>
      <c r="D89">
        <v>0.254</v>
      </c>
      <c r="E89">
        <v>0.28660000000000002</v>
      </c>
      <c r="F89">
        <v>667564591</v>
      </c>
      <c r="G89">
        <v>0.28660000000000002</v>
      </c>
      <c r="L89" t="s">
        <v>8</v>
      </c>
      <c r="M89" t="s">
        <v>8</v>
      </c>
      <c r="N89" t="s">
        <v>7</v>
      </c>
      <c r="P89">
        <f t="shared" ref="P89" si="420">IF(C89=D89,0,((E89-D89)-(C89-E89))/(C89-D89))</f>
        <v>2.0344287949922116E-2</v>
      </c>
      <c r="Q89">
        <f t="shared" ref="Q89" si="421">F89*P89</f>
        <v>13581126.264475986</v>
      </c>
      <c r="R89">
        <f t="shared" ref="R89" si="422">R90+Q89</f>
        <v>-4411134589.910079</v>
      </c>
      <c r="S89">
        <f t="shared" ref="S89" si="423">R89/100000</f>
        <v>-44111.345899100786</v>
      </c>
      <c r="T89">
        <f t="shared" ref="T89" si="424">S89/1000</f>
        <v>-44.111345899100783</v>
      </c>
    </row>
    <row r="90" spans="1:20" x14ac:dyDescent="0.25">
      <c r="A90" s="5">
        <v>44503</v>
      </c>
      <c r="B90">
        <v>0.27129999999999999</v>
      </c>
      <c r="C90">
        <v>0.28100000000000003</v>
      </c>
      <c r="D90">
        <v>0.24340000000000001</v>
      </c>
      <c r="E90">
        <v>0.26390000000000002</v>
      </c>
      <c r="F90">
        <v>336172128</v>
      </c>
      <c r="G90">
        <v>0.26390000000000002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9.0425531914893942E-2</v>
      </c>
      <c r="Q90">
        <f t="shared" ref="Q90" si="426">F90*P90</f>
        <v>30398543.489361811</v>
      </c>
      <c r="R90">
        <f t="shared" ref="R90" si="427">R91+Q90</f>
        <v>-4424715716.1745548</v>
      </c>
      <c r="S90">
        <f t="shared" ref="S90" si="428">R90/100000</f>
        <v>-44247.157161745548</v>
      </c>
      <c r="T90">
        <f t="shared" ref="T90" si="429">S90/1000</f>
        <v>-44.247157161745548</v>
      </c>
    </row>
    <row r="91" spans="1:20" x14ac:dyDescent="0.25">
      <c r="A91" s="5">
        <v>44502</v>
      </c>
      <c r="B91">
        <v>0.25280000000000002</v>
      </c>
      <c r="C91">
        <v>0.30330000000000001</v>
      </c>
      <c r="D91">
        <v>0.25130000000000002</v>
      </c>
      <c r="E91">
        <v>0.27100000000000002</v>
      </c>
      <c r="F91">
        <v>540186406</v>
      </c>
      <c r="G91">
        <v>0.27100000000000002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-0.24230769230769236</v>
      </c>
      <c r="Q91">
        <f t="shared" ref="Q91" si="431">F91*P91</f>
        <v>-130891321.45384619</v>
      </c>
      <c r="R91">
        <f t="shared" ref="R91" si="432">R92+Q91</f>
        <v>-4455114259.6639166</v>
      </c>
      <c r="S91">
        <f t="shared" ref="S91" si="433">R91/100000</f>
        <v>-44551.142596639169</v>
      </c>
      <c r="T91">
        <f t="shared" ref="T91" si="434">S91/1000</f>
        <v>-44.551142596639167</v>
      </c>
    </row>
    <row r="92" spans="1:20" x14ac:dyDescent="0.25">
      <c r="A92" s="5">
        <v>44501</v>
      </c>
      <c r="B92">
        <v>0.24179999999999999</v>
      </c>
      <c r="C92">
        <v>0.27450000000000002</v>
      </c>
      <c r="D92">
        <v>0.2266</v>
      </c>
      <c r="E92">
        <v>0.25280000000000002</v>
      </c>
      <c r="F92">
        <v>499387653</v>
      </c>
      <c r="G92">
        <v>0.25280000000000002</v>
      </c>
      <c r="L92" t="s">
        <v>8</v>
      </c>
      <c r="M92" t="s">
        <v>8</v>
      </c>
      <c r="N92" t="s">
        <v>7</v>
      </c>
      <c r="P92">
        <f t="shared" ref="P92" si="435">IF(C92=D92,0,((E92-D92)-(C92-E92))/(C92-D92))</f>
        <v>9.394572025052253E-2</v>
      </c>
      <c r="Q92">
        <f t="shared" ref="Q92" si="436">F92*P92</f>
        <v>46915332.74530302</v>
      </c>
      <c r="R92">
        <f t="shared" ref="R92" si="437">R93+Q92</f>
        <v>-4324222938.2100706</v>
      </c>
      <c r="S92">
        <f t="shared" ref="S92" si="438">R92/100000</f>
        <v>-43242.229382100704</v>
      </c>
      <c r="T92">
        <f t="shared" ref="T92" si="439">S92/1000</f>
        <v>-43.242229382100703</v>
      </c>
    </row>
    <row r="93" spans="1:20" x14ac:dyDescent="0.25">
      <c r="A93" s="5">
        <v>44500</v>
      </c>
      <c r="B93">
        <v>0.28589999999999999</v>
      </c>
      <c r="C93">
        <v>0.318</v>
      </c>
      <c r="D93">
        <v>0.23050000000000001</v>
      </c>
      <c r="E93">
        <v>0.24199999999999999</v>
      </c>
      <c r="F93">
        <v>690394134</v>
      </c>
      <c r="G93">
        <v>0.24199999999999999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-0.73714285714285754</v>
      </c>
      <c r="Q93">
        <f t="shared" ref="Q93" si="441">F93*P93</f>
        <v>-508919104.49142885</v>
      </c>
      <c r="R93">
        <f t="shared" ref="R93" si="442">R94+Q93</f>
        <v>-4371138270.9553738</v>
      </c>
      <c r="S93">
        <f t="shared" ref="S93" si="443">R93/100000</f>
        <v>-43711.382709553734</v>
      </c>
      <c r="T93">
        <f t="shared" ref="T93" si="444">S93/1000</f>
        <v>-43.711382709553732</v>
      </c>
    </row>
    <row r="94" spans="1:20" x14ac:dyDescent="0.25">
      <c r="A94" s="5">
        <v>44499</v>
      </c>
      <c r="B94">
        <v>0.215</v>
      </c>
      <c r="C94">
        <v>0.33329999999999999</v>
      </c>
      <c r="D94">
        <v>0.21410000000000001</v>
      </c>
      <c r="E94">
        <v>0.28560000000000002</v>
      </c>
      <c r="F94">
        <v>1512440435</v>
      </c>
      <c r="G94">
        <v>0.28560000000000002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0.19966442953020175</v>
      </c>
      <c r="Q94">
        <f t="shared" ref="Q94" si="446">F94*P94</f>
        <v>301980556.65268517</v>
      </c>
      <c r="R94">
        <f t="shared" ref="R94" si="447">R95+Q94</f>
        <v>-3862219166.4639454</v>
      </c>
      <c r="S94">
        <f t="shared" ref="S94" si="448">R94/100000</f>
        <v>-38622.191664639453</v>
      </c>
      <c r="T94">
        <f t="shared" ref="T94" si="449">S94/1000</f>
        <v>-38.622191664639452</v>
      </c>
    </row>
    <row r="95" spans="1:20" x14ac:dyDescent="0.25">
      <c r="A95" s="5">
        <v>44498</v>
      </c>
      <c r="B95">
        <v>0.18379999999999999</v>
      </c>
      <c r="C95">
        <v>0.23669999999999999</v>
      </c>
      <c r="D95">
        <v>0.18179999999999999</v>
      </c>
      <c r="E95">
        <v>0.21490000000000001</v>
      </c>
      <c r="F95">
        <v>764676360</v>
      </c>
      <c r="G95">
        <v>0.21490000000000001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0.20582877959927198</v>
      </c>
      <c r="Q95">
        <f t="shared" ref="Q95" si="451">F95*P95</f>
        <v>157392401.96721357</v>
      </c>
      <c r="R95">
        <f t="shared" ref="R95" si="452">R96+Q95</f>
        <v>-4164199723.1166306</v>
      </c>
      <c r="S95">
        <f t="shared" ref="S95" si="453">R95/100000</f>
        <v>-41641.997231166308</v>
      </c>
      <c r="T95">
        <f t="shared" ref="T95" si="454">S95/1000</f>
        <v>-41.641997231166307</v>
      </c>
    </row>
    <row r="96" spans="1:20" x14ac:dyDescent="0.25">
      <c r="A96" s="5">
        <v>44497</v>
      </c>
      <c r="B96">
        <v>0.1739</v>
      </c>
      <c r="C96">
        <v>0.185</v>
      </c>
      <c r="D96">
        <v>0.17080000000000001</v>
      </c>
      <c r="E96">
        <v>0.1837</v>
      </c>
      <c r="F96">
        <v>183492687</v>
      </c>
      <c r="G96">
        <v>0.1837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0.81690140845070469</v>
      </c>
      <c r="Q96">
        <f t="shared" ref="Q96" si="456">F96*P96</f>
        <v>149895434.45070431</v>
      </c>
      <c r="R96">
        <f t="shared" ref="R96" si="457">R97+Q96</f>
        <v>-4321592125.0838442</v>
      </c>
      <c r="S96">
        <f t="shared" ref="S96" si="458">R96/100000</f>
        <v>-43215.921250838444</v>
      </c>
      <c r="T96">
        <f t="shared" ref="T96" si="459">S96/1000</f>
        <v>-43.215921250838441</v>
      </c>
    </row>
    <row r="97" spans="1:20" x14ac:dyDescent="0.25">
      <c r="A97" s="5">
        <v>44496</v>
      </c>
      <c r="B97">
        <v>0.2064</v>
      </c>
      <c r="C97">
        <v>0.21859999999999999</v>
      </c>
      <c r="D97">
        <v>0.15820000000000001</v>
      </c>
      <c r="E97">
        <v>0.1739</v>
      </c>
      <c r="F97">
        <v>297766123</v>
      </c>
      <c r="G97">
        <v>0.1739</v>
      </c>
      <c r="L97" t="s">
        <v>8</v>
      </c>
      <c r="M97" t="s">
        <v>7</v>
      </c>
      <c r="N97" t="s">
        <v>7</v>
      </c>
      <c r="P97">
        <f t="shared" ref="P97" si="460">IF(C97=D97,0,((E97-D97)-(C97-E97))/(C97-D97))</f>
        <v>-0.48013245033112595</v>
      </c>
      <c r="Q97">
        <f t="shared" ref="Q97" si="461">F97*P97</f>
        <v>-142967178.26158944</v>
      </c>
      <c r="R97">
        <f t="shared" ref="R97" si="462">R98+Q97</f>
        <v>-4471487559.5345488</v>
      </c>
      <c r="S97">
        <f t="shared" ref="S97" si="463">R97/100000</f>
        <v>-44714.875595345489</v>
      </c>
      <c r="T97">
        <f t="shared" ref="T97" si="464">S97/1000</f>
        <v>-44.71487559534549</v>
      </c>
    </row>
    <row r="98" spans="1:20" x14ac:dyDescent="0.25">
      <c r="A98" s="5">
        <v>44495</v>
      </c>
      <c r="B98">
        <v>0.19189999999999999</v>
      </c>
      <c r="C98">
        <v>0.2165</v>
      </c>
      <c r="D98">
        <v>0.19120000000000001</v>
      </c>
      <c r="E98">
        <v>0.20619999999999999</v>
      </c>
      <c r="F98">
        <v>273443090</v>
      </c>
      <c r="G98">
        <v>0.20619999999999999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0.18577075098814166</v>
      </c>
      <c r="Q98">
        <f t="shared" ref="Q98" si="466">F98*P98</f>
        <v>50797728.181818008</v>
      </c>
      <c r="R98">
        <f t="shared" ref="R98" si="467">R99+Q98</f>
        <v>-4328520381.2729597</v>
      </c>
      <c r="S98">
        <f t="shared" ref="S98" si="468">R98/100000</f>
        <v>-43285.203812729596</v>
      </c>
      <c r="T98">
        <f t="shared" ref="T98" si="469">S98/1000</f>
        <v>-43.285203812729598</v>
      </c>
    </row>
    <row r="99" spans="1:20" x14ac:dyDescent="0.25">
      <c r="A99" s="5">
        <v>44494</v>
      </c>
      <c r="B99">
        <v>0.18440000000000001</v>
      </c>
      <c r="C99">
        <v>0.19320000000000001</v>
      </c>
      <c r="D99">
        <v>0.18379999999999999</v>
      </c>
      <c r="E99">
        <v>0.1918</v>
      </c>
      <c r="F99">
        <v>86076815</v>
      </c>
      <c r="G99">
        <v>0.1918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0.7021276595744661</v>
      </c>
      <c r="Q99">
        <f t="shared" ref="Q99" si="471">F99*P99</f>
        <v>60436912.6595743</v>
      </c>
      <c r="R99">
        <f t="shared" ref="R99" si="472">R100+Q99</f>
        <v>-4379318109.4547777</v>
      </c>
      <c r="S99">
        <f t="shared" ref="S99" si="473">R99/100000</f>
        <v>-43793.181094547777</v>
      </c>
      <c r="T99">
        <f t="shared" ref="T99" si="474">S99/1000</f>
        <v>-43.793181094547776</v>
      </c>
    </row>
    <row r="100" spans="1:20" x14ac:dyDescent="0.25">
      <c r="A100" s="5">
        <v>44493</v>
      </c>
      <c r="B100">
        <v>0.19209999999999999</v>
      </c>
      <c r="C100">
        <v>0.19259999999999999</v>
      </c>
      <c r="D100">
        <v>0.18010000000000001</v>
      </c>
      <c r="E100">
        <v>0.18440000000000001</v>
      </c>
      <c r="F100">
        <v>106612383</v>
      </c>
      <c r="G100">
        <v>0.18440000000000001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-0.31199999999999933</v>
      </c>
      <c r="Q100">
        <f t="shared" ref="Q100" si="476">F100*P100</f>
        <v>-33263063.495999929</v>
      </c>
      <c r="R100">
        <f t="shared" ref="R100" si="477">R101+Q100</f>
        <v>-4439755022.1143522</v>
      </c>
      <c r="S100">
        <f t="shared" ref="S100" si="478">R100/100000</f>
        <v>-44397.550221143523</v>
      </c>
      <c r="T100">
        <f t="shared" ref="T100" si="479">S100/1000</f>
        <v>-44.397550221143526</v>
      </c>
    </row>
    <row r="101" spans="1:20" x14ac:dyDescent="0.25">
      <c r="A101" s="5">
        <v>44492</v>
      </c>
      <c r="B101">
        <v>0.19259999999999999</v>
      </c>
      <c r="C101">
        <v>0.19309999999999999</v>
      </c>
      <c r="D101">
        <v>0.1875</v>
      </c>
      <c r="E101">
        <v>0.19220000000000001</v>
      </c>
      <c r="F101">
        <v>58916559</v>
      </c>
      <c r="G101">
        <v>0.19220000000000001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0.67857142857143393</v>
      </c>
      <c r="Q101">
        <f t="shared" ref="Q101" si="481">F101*P101</f>
        <v>39979093.607143171</v>
      </c>
      <c r="R101">
        <f t="shared" ref="R101" si="482">R102+Q101</f>
        <v>-4406491958.6183519</v>
      </c>
      <c r="S101">
        <f t="shared" ref="S101" si="483">R101/100000</f>
        <v>-44064.919586183518</v>
      </c>
      <c r="T101">
        <f t="shared" ref="T101" si="484">S101/1000</f>
        <v>-44.064919586183521</v>
      </c>
    </row>
    <row r="102" spans="1:20" x14ac:dyDescent="0.25">
      <c r="A102" s="5">
        <v>44491</v>
      </c>
      <c r="B102">
        <v>0.19059999999999999</v>
      </c>
      <c r="C102">
        <v>0.19800000000000001</v>
      </c>
      <c r="D102">
        <v>0.18740000000000001</v>
      </c>
      <c r="E102">
        <v>0.1925</v>
      </c>
      <c r="F102">
        <v>101913002</v>
      </c>
      <c r="G102">
        <v>0.1925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-3.7735849056604862E-2</v>
      </c>
      <c r="Q102">
        <f t="shared" ref="Q102" si="486">F102*P102</f>
        <v>-3845773.6603774694</v>
      </c>
      <c r="R102">
        <f t="shared" ref="R102" si="487">R103+Q102</f>
        <v>-4446471052.2254953</v>
      </c>
      <c r="S102">
        <f t="shared" ref="S102" si="488">R102/100000</f>
        <v>-44464.710522254951</v>
      </c>
      <c r="T102">
        <f t="shared" ref="T102" si="489">S102/1000</f>
        <v>-44.464710522254954</v>
      </c>
    </row>
    <row r="103" spans="1:20" x14ac:dyDescent="0.25">
      <c r="A103" s="5">
        <v>44490</v>
      </c>
      <c r="B103">
        <v>0.19650000000000001</v>
      </c>
      <c r="C103">
        <v>0.2034</v>
      </c>
      <c r="D103">
        <v>0.186</v>
      </c>
      <c r="E103">
        <v>0.19059999999999999</v>
      </c>
      <c r="F103">
        <v>146051548</v>
      </c>
      <c r="G103">
        <v>0.19059999999999999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-0.47126436781609271</v>
      </c>
      <c r="Q103">
        <f t="shared" ref="Q103" si="491">F103*P103</f>
        <v>-68828890.436781719</v>
      </c>
      <c r="R103">
        <f t="shared" ref="R103" si="492">R104+Q103</f>
        <v>-4442625278.5651178</v>
      </c>
      <c r="S103">
        <f t="shared" ref="S103" si="493">R103/100000</f>
        <v>-44426.252785651181</v>
      </c>
      <c r="T103">
        <f t="shared" ref="T103" si="494">S103/1000</f>
        <v>-44.42625278565118</v>
      </c>
    </row>
    <row r="104" spans="1:20" x14ac:dyDescent="0.25">
      <c r="A104" s="5">
        <v>44489</v>
      </c>
      <c r="B104">
        <v>0.18709999999999999</v>
      </c>
      <c r="C104">
        <v>0.19980000000000001</v>
      </c>
      <c r="D104">
        <v>0.18540000000000001</v>
      </c>
      <c r="E104">
        <v>0.19639999999999999</v>
      </c>
      <c r="F104">
        <v>109565877</v>
      </c>
      <c r="G104">
        <v>0.19639999999999999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0.52777777777777568</v>
      </c>
      <c r="Q104">
        <f t="shared" ref="Q104" si="496">F104*P104</f>
        <v>57826435.083333105</v>
      </c>
      <c r="R104">
        <f t="shared" ref="R104" si="497">R105+Q104</f>
        <v>-4373796388.128336</v>
      </c>
      <c r="S104">
        <f t="shared" ref="S104" si="498">R104/100000</f>
        <v>-43737.963881283358</v>
      </c>
      <c r="T104">
        <f t="shared" ref="T104" si="499">S104/1000</f>
        <v>-43.737963881283356</v>
      </c>
    </row>
    <row r="105" spans="1:20" x14ac:dyDescent="0.25">
      <c r="A105" s="5">
        <v>44488</v>
      </c>
      <c r="B105">
        <v>0.18820000000000001</v>
      </c>
      <c r="C105">
        <v>0.1918</v>
      </c>
      <c r="D105">
        <v>0.184</v>
      </c>
      <c r="E105">
        <v>0.18709999999999999</v>
      </c>
      <c r="F105">
        <v>87112233</v>
      </c>
      <c r="G105">
        <v>0.18709999999999999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-0.2051282051282074</v>
      </c>
      <c r="Q105">
        <f t="shared" ref="Q105" si="501">F105*P105</f>
        <v>-17869176.000000197</v>
      </c>
      <c r="R105">
        <f t="shared" ref="R105" si="502">R106+Q105</f>
        <v>-4431622823.211669</v>
      </c>
      <c r="S105">
        <f t="shared" ref="S105" si="503">R105/100000</f>
        <v>-44316.228232116693</v>
      </c>
      <c r="T105">
        <f t="shared" ref="T105" si="504">S105/1000</f>
        <v>-44.316228232116693</v>
      </c>
    </row>
    <row r="106" spans="1:20" x14ac:dyDescent="0.25">
      <c r="A106" s="5">
        <v>44487</v>
      </c>
      <c r="B106">
        <v>0.19009999999999999</v>
      </c>
      <c r="C106">
        <v>0.19220000000000001</v>
      </c>
      <c r="D106">
        <v>0.1835</v>
      </c>
      <c r="E106">
        <v>0.18809999999999999</v>
      </c>
      <c r="F106">
        <v>101242389</v>
      </c>
      <c r="G106">
        <v>0.18809999999999999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5.7471264367812865E-2</v>
      </c>
      <c r="Q106">
        <f t="shared" ref="Q106" si="506">F106*P106</f>
        <v>5818528.1034479495</v>
      </c>
      <c r="R106">
        <f t="shared" ref="R106" si="507">R107+Q106</f>
        <v>-4413753647.211669</v>
      </c>
      <c r="S106">
        <f t="shared" ref="S106" si="508">R106/100000</f>
        <v>-44137.536472116692</v>
      </c>
      <c r="T106">
        <f t="shared" ref="T106" si="509">S106/1000</f>
        <v>-44.137536472116693</v>
      </c>
    </row>
    <row r="107" spans="1:20" x14ac:dyDescent="0.25">
      <c r="A107" s="5">
        <v>44486</v>
      </c>
      <c r="B107">
        <v>0.19750000000000001</v>
      </c>
      <c r="C107">
        <v>0.20080000000000001</v>
      </c>
      <c r="D107">
        <v>0.18329999999999999</v>
      </c>
      <c r="E107">
        <v>0.19</v>
      </c>
      <c r="F107">
        <v>119174378</v>
      </c>
      <c r="G107">
        <v>0.19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-0.23428571428571365</v>
      </c>
      <c r="Q107">
        <f t="shared" ref="Q107" si="511">F107*P107</f>
        <v>-27920854.274285641</v>
      </c>
      <c r="R107">
        <f t="shared" ref="R107" si="512">R108+Q107</f>
        <v>-4419572175.3151169</v>
      </c>
      <c r="S107">
        <f t="shared" ref="S107" si="513">R107/100000</f>
        <v>-44195.721753151171</v>
      </c>
      <c r="T107">
        <f t="shared" ref="T107" si="514">S107/1000</f>
        <v>-44.195721753151169</v>
      </c>
    </row>
    <row r="108" spans="1:20" x14ac:dyDescent="0.25">
      <c r="A108" s="5">
        <v>44485</v>
      </c>
      <c r="B108">
        <v>0.1983</v>
      </c>
      <c r="C108">
        <v>0.20949999999999999</v>
      </c>
      <c r="D108">
        <v>0.1951</v>
      </c>
      <c r="E108">
        <v>0.19750000000000001</v>
      </c>
      <c r="F108">
        <v>130978657</v>
      </c>
      <c r="G108">
        <v>0.19750000000000001</v>
      </c>
      <c r="L108" t="s">
        <v>8</v>
      </c>
      <c r="M108" t="s">
        <v>7</v>
      </c>
      <c r="N108" t="s">
        <v>8</v>
      </c>
      <c r="P108">
        <f t="shared" ref="P108" si="515">IF(C108=D108,0,((E108-D108)-(C108-E108))/(C108-D108))</f>
        <v>-0.66666666666666474</v>
      </c>
      <c r="Q108">
        <f t="shared" ref="Q108" si="516">F108*P108</f>
        <v>-87319104.666666418</v>
      </c>
      <c r="R108">
        <f t="shared" ref="R108" si="517">R109+Q108</f>
        <v>-4391651321.0408316</v>
      </c>
      <c r="S108">
        <f t="shared" ref="S108" si="518">R108/100000</f>
        <v>-43916.513210408317</v>
      </c>
      <c r="T108">
        <f t="shared" ref="T108" si="519">S108/1000</f>
        <v>-43.916513210408318</v>
      </c>
    </row>
    <row r="109" spans="1:20" x14ac:dyDescent="0.25">
      <c r="A109" s="5">
        <v>44484</v>
      </c>
      <c r="B109">
        <v>0.19969999999999999</v>
      </c>
      <c r="C109">
        <v>0.2026</v>
      </c>
      <c r="D109">
        <v>0.18870000000000001</v>
      </c>
      <c r="E109">
        <v>0.1983</v>
      </c>
      <c r="F109">
        <v>155451589</v>
      </c>
      <c r="G109">
        <v>0.1983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0.38129496402877705</v>
      </c>
      <c r="Q109">
        <f t="shared" ref="Q109" si="521">F109*P109</f>
        <v>59272908.035971232</v>
      </c>
      <c r="R109">
        <f t="shared" ref="R109" si="522">R110+Q109</f>
        <v>-4304332216.3741655</v>
      </c>
      <c r="S109">
        <f t="shared" ref="S109" si="523">R109/100000</f>
        <v>-43043.322163741657</v>
      </c>
      <c r="T109">
        <f t="shared" ref="T109" si="524">S109/1000</f>
        <v>-43.043322163741657</v>
      </c>
    </row>
    <row r="110" spans="1:20" x14ac:dyDescent="0.25">
      <c r="A110" s="5">
        <v>44483</v>
      </c>
      <c r="B110">
        <v>0.192</v>
      </c>
      <c r="C110">
        <v>0.20660000000000001</v>
      </c>
      <c r="D110">
        <v>0.19109999999999999</v>
      </c>
      <c r="E110">
        <v>0.19969999999999999</v>
      </c>
      <c r="F110">
        <v>163381111</v>
      </c>
      <c r="G110">
        <v>0.19969999999999999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0.10967741935483728</v>
      </c>
      <c r="Q110">
        <f t="shared" ref="Q110" si="526">F110*P110</f>
        <v>17919218.62580622</v>
      </c>
      <c r="R110">
        <f t="shared" ref="R110" si="527">R111+Q110</f>
        <v>-4363605124.4101372</v>
      </c>
      <c r="S110">
        <f t="shared" ref="S110" si="528">R110/100000</f>
        <v>-43636.051244101371</v>
      </c>
      <c r="T110">
        <f t="shared" ref="T110" si="529">S110/1000</f>
        <v>-43.636051244101374</v>
      </c>
    </row>
    <row r="111" spans="1:20" x14ac:dyDescent="0.25">
      <c r="A111" s="5">
        <v>44482</v>
      </c>
      <c r="B111">
        <v>0.19600000000000001</v>
      </c>
      <c r="C111">
        <v>0.20180000000000001</v>
      </c>
      <c r="D111">
        <v>0.1842</v>
      </c>
      <c r="E111">
        <v>0.19189999999999999</v>
      </c>
      <c r="F111">
        <v>137151011</v>
      </c>
      <c r="G111">
        <v>0.19189999999999999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-0.12500000000000197</v>
      </c>
      <c r="Q111">
        <f t="shared" ref="Q111" si="531">F111*P111</f>
        <v>-17143876.375000272</v>
      </c>
      <c r="R111">
        <f t="shared" ref="R111" si="532">R112+Q111</f>
        <v>-4381524343.035943</v>
      </c>
      <c r="S111">
        <f t="shared" ref="S111" si="533">R111/100000</f>
        <v>-43815.243430359427</v>
      </c>
      <c r="T111">
        <f t="shared" ref="T111" si="534">S111/1000</f>
        <v>-43.81524343035943</v>
      </c>
    </row>
    <row r="112" spans="1:20" x14ac:dyDescent="0.25">
      <c r="A112" s="5">
        <v>44481</v>
      </c>
      <c r="B112">
        <v>0.19089999999999999</v>
      </c>
      <c r="C112">
        <v>0.19800000000000001</v>
      </c>
      <c r="D112">
        <v>0.1739</v>
      </c>
      <c r="E112">
        <v>0.1961</v>
      </c>
      <c r="F112">
        <v>144231404</v>
      </c>
      <c r="G112">
        <v>0.1961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0.84232365145228116</v>
      </c>
      <c r="Q112">
        <f t="shared" ref="Q112" si="536">F112*P112</f>
        <v>121489522.87136915</v>
      </c>
      <c r="R112">
        <f t="shared" ref="R112" si="537">R113+Q112</f>
        <v>-4364380466.660943</v>
      </c>
      <c r="S112">
        <f t="shared" ref="S112" si="538">R112/100000</f>
        <v>-43643.804666609431</v>
      </c>
      <c r="T112">
        <f t="shared" ref="T112" si="539">S112/1000</f>
        <v>-43.643804666609434</v>
      </c>
    </row>
    <row r="113" spans="1:20" x14ac:dyDescent="0.25">
      <c r="A113" s="5">
        <v>44480</v>
      </c>
      <c r="B113">
        <v>0.19339999999999999</v>
      </c>
      <c r="C113">
        <v>0.2044</v>
      </c>
      <c r="D113">
        <v>0.1847</v>
      </c>
      <c r="E113">
        <v>0.19089999999999999</v>
      </c>
      <c r="F113">
        <v>114864862</v>
      </c>
      <c r="G113">
        <v>0.19089999999999999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-0.37055837563451932</v>
      </c>
      <c r="Q113">
        <f t="shared" ref="Q113" si="541">F113*P113</f>
        <v>-42564136.680203222</v>
      </c>
      <c r="R113">
        <f t="shared" ref="R113" si="542">R114+Q113</f>
        <v>-4485869989.5323124</v>
      </c>
      <c r="S113">
        <f t="shared" ref="S113" si="543">R113/100000</f>
        <v>-44858.699895323123</v>
      </c>
      <c r="T113">
        <f t="shared" ref="T113" si="544">S113/1000</f>
        <v>-44.85869989532312</v>
      </c>
    </row>
    <row r="114" spans="1:20" x14ac:dyDescent="0.25">
      <c r="A114" s="5">
        <v>44479</v>
      </c>
      <c r="B114">
        <v>0.21199999999999999</v>
      </c>
      <c r="C114">
        <v>0.21290000000000001</v>
      </c>
      <c r="D114">
        <v>0.192</v>
      </c>
      <c r="E114">
        <v>0.19350000000000001</v>
      </c>
      <c r="F114">
        <v>126790954</v>
      </c>
      <c r="G114">
        <v>0.19350000000000001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-0.85645933014354059</v>
      </c>
      <c r="Q114">
        <f t="shared" ref="Q114" si="546">F114*P114</f>
        <v>-108591295.53110047</v>
      </c>
      <c r="R114">
        <f t="shared" ref="R114" si="547">R115+Q114</f>
        <v>-4443305852.852109</v>
      </c>
      <c r="S114">
        <f t="shared" ref="S114" si="548">R114/100000</f>
        <v>-44433.058528521091</v>
      </c>
      <c r="T114">
        <f t="shared" ref="T114" si="549">S114/1000</f>
        <v>-44.433058528521094</v>
      </c>
    </row>
    <row r="115" spans="1:20" x14ac:dyDescent="0.25">
      <c r="A115" s="5">
        <v>44478</v>
      </c>
      <c r="B115">
        <v>0.2084</v>
      </c>
      <c r="C115">
        <v>0.214</v>
      </c>
      <c r="D115">
        <v>0.20330000000000001</v>
      </c>
      <c r="E115">
        <v>0.21190000000000001</v>
      </c>
      <c r="F115">
        <v>130857755</v>
      </c>
      <c r="G115">
        <v>0.21190000000000001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0.60747663551401998</v>
      </c>
      <c r="Q115">
        <f t="shared" ref="Q115" si="551">F115*P115</f>
        <v>79493028.738317922</v>
      </c>
      <c r="R115">
        <f t="shared" ref="R115" si="552">R116+Q115</f>
        <v>-4334714557.3210087</v>
      </c>
      <c r="S115">
        <f t="shared" ref="S115" si="553">R115/100000</f>
        <v>-43347.145573210088</v>
      </c>
      <c r="T115">
        <f t="shared" ref="T115" si="554">S115/1000</f>
        <v>-43.347145573210085</v>
      </c>
    </row>
    <row r="116" spans="1:20" x14ac:dyDescent="0.25">
      <c r="A116" s="5">
        <v>44477</v>
      </c>
      <c r="B116">
        <v>0.2218</v>
      </c>
      <c r="C116">
        <v>0.2253</v>
      </c>
      <c r="D116">
        <v>0.20499999999999999</v>
      </c>
      <c r="E116">
        <v>0.2084</v>
      </c>
      <c r="F116">
        <v>194676186</v>
      </c>
      <c r="G116">
        <v>0.2084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-0.66502463054187078</v>
      </c>
      <c r="Q116">
        <f t="shared" ref="Q116" si="556">F116*P116</f>
        <v>-129464458.66995052</v>
      </c>
      <c r="R116">
        <f t="shared" ref="R116" si="557">R117+Q116</f>
        <v>-4414207586.0593262</v>
      </c>
      <c r="S116">
        <f t="shared" ref="S116" si="558">R116/100000</f>
        <v>-44142.075860593264</v>
      </c>
      <c r="T116">
        <f t="shared" ref="T116" si="559">S116/1000</f>
        <v>-44.142075860593266</v>
      </c>
    </row>
    <row r="117" spans="1:20" x14ac:dyDescent="0.25">
      <c r="A117" s="5">
        <v>44476</v>
      </c>
      <c r="B117">
        <v>0.19600000000000001</v>
      </c>
      <c r="C117">
        <v>0.23100000000000001</v>
      </c>
      <c r="D117">
        <v>0.18920000000000001</v>
      </c>
      <c r="E117">
        <v>0.2218</v>
      </c>
      <c r="F117">
        <v>337229122</v>
      </c>
      <c r="G117">
        <v>0.2218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0.55980861244019076</v>
      </c>
      <c r="Q117">
        <f t="shared" ref="Q117" si="561">F117*P117</f>
        <v>188783766.86124381</v>
      </c>
      <c r="R117">
        <f t="shared" ref="R117" si="562">R118+Q117</f>
        <v>-4284743127.3893752</v>
      </c>
      <c r="S117">
        <f t="shared" ref="S117" si="563">R117/100000</f>
        <v>-42847.431273893751</v>
      </c>
      <c r="T117">
        <f t="shared" ref="T117" si="564">S117/1000</f>
        <v>-42.847431273893754</v>
      </c>
    </row>
    <row r="118" spans="1:20" x14ac:dyDescent="0.25">
      <c r="A118" s="5">
        <v>44475</v>
      </c>
      <c r="B118">
        <v>0.2072</v>
      </c>
      <c r="C118">
        <v>0.21190000000000001</v>
      </c>
      <c r="D118">
        <v>0.1817</v>
      </c>
      <c r="E118">
        <v>0.1961</v>
      </c>
      <c r="F118">
        <v>210877273</v>
      </c>
      <c r="G118">
        <v>0.1961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-4.6357615894040138E-2</v>
      </c>
      <c r="Q118">
        <f t="shared" ref="Q118" si="566">F118*P118</f>
        <v>-9775767.6225166414</v>
      </c>
      <c r="R118">
        <f t="shared" ref="R118" si="567">R119+Q118</f>
        <v>-4473526894.2506189</v>
      </c>
      <c r="S118">
        <f t="shared" ref="S118" si="568">R118/100000</f>
        <v>-44735.268942506191</v>
      </c>
      <c r="T118">
        <f t="shared" ref="T118" si="569">S118/1000</f>
        <v>-44.735268942506188</v>
      </c>
    </row>
    <row r="119" spans="1:20" x14ac:dyDescent="0.25">
      <c r="A119" s="5">
        <v>44474</v>
      </c>
      <c r="B119">
        <v>0.20449999999999999</v>
      </c>
      <c r="C119">
        <v>0.21299999999999999</v>
      </c>
      <c r="D119">
        <v>0.19739999999999999</v>
      </c>
      <c r="E119">
        <v>0.2072</v>
      </c>
      <c r="F119">
        <v>204109291</v>
      </c>
      <c r="G119">
        <v>0.2072</v>
      </c>
      <c r="L119" t="s">
        <v>7</v>
      </c>
      <c r="M119" t="s">
        <v>8</v>
      </c>
      <c r="N119" t="s">
        <v>8</v>
      </c>
      <c r="P119">
        <f t="shared" ref="P119" si="570">IF(C119=D119,0,((E119-D119)-(C119-E119))/(C119-D119))</f>
        <v>0.25641025641025661</v>
      </c>
      <c r="Q119">
        <f t="shared" ref="Q119" si="571">F119*P119</f>
        <v>52335715.641025685</v>
      </c>
      <c r="R119">
        <f t="shared" ref="R119" si="572">R120+Q119</f>
        <v>-4463751126.6281023</v>
      </c>
      <c r="S119">
        <f t="shared" ref="S119" si="573">R119/100000</f>
        <v>-44637.511266281021</v>
      </c>
      <c r="T119">
        <f t="shared" ref="T119" si="574">S119/1000</f>
        <v>-44.637511266281024</v>
      </c>
    </row>
    <row r="120" spans="1:20" x14ac:dyDescent="0.25">
      <c r="A120" s="5">
        <v>44473</v>
      </c>
      <c r="B120">
        <v>0.20119999999999999</v>
      </c>
      <c r="C120">
        <v>0.21629999999999999</v>
      </c>
      <c r="D120">
        <v>0.19170000000000001</v>
      </c>
      <c r="E120">
        <v>0.2054</v>
      </c>
      <c r="F120">
        <v>335334418</v>
      </c>
      <c r="G120">
        <v>0.2054</v>
      </c>
      <c r="L120" t="s">
        <v>8</v>
      </c>
      <c r="M120" t="s">
        <v>8</v>
      </c>
      <c r="N120" t="s">
        <v>8</v>
      </c>
      <c r="P120">
        <f t="shared" ref="P120" si="575">IF(C120=D120,0,((E120-D120)-(C120-E120))/(C120-D120))</f>
        <v>0.11382113821138207</v>
      </c>
      <c r="Q120">
        <f t="shared" ref="Q120" si="576">F120*P120</f>
        <v>38168145.13821137</v>
      </c>
      <c r="R120">
        <f t="shared" ref="R120" si="577">R121+Q120</f>
        <v>-4516086842.2691278</v>
      </c>
      <c r="S120">
        <f t="shared" ref="S120" si="578">R120/100000</f>
        <v>-45160.868422691281</v>
      </c>
      <c r="T120">
        <f t="shared" ref="T120" si="579">S120/1000</f>
        <v>-45.16086842269128</v>
      </c>
    </row>
    <row r="121" spans="1:20" x14ac:dyDescent="0.25">
      <c r="A121" s="5">
        <v>44472</v>
      </c>
      <c r="B121">
        <v>0.1971</v>
      </c>
      <c r="C121">
        <v>0.20599999999999999</v>
      </c>
      <c r="D121">
        <v>0.19020000000000001</v>
      </c>
      <c r="E121">
        <v>0.20069999999999999</v>
      </c>
      <c r="F121">
        <v>194856763</v>
      </c>
      <c r="G121">
        <v>0.20069999999999999</v>
      </c>
      <c r="L121" t="s">
        <v>7</v>
      </c>
      <c r="M121" t="s">
        <v>8</v>
      </c>
      <c r="N121" t="s">
        <v>8</v>
      </c>
      <c r="P121">
        <f t="shared" ref="P121" si="580">IF(C121=D121,0,((E121-D121)-(C121-E121))/(C121-D121))</f>
        <v>0.32911392405063222</v>
      </c>
      <c r="Q121">
        <f t="shared" ref="Q121" si="581">F121*P121</f>
        <v>64130073.898734041</v>
      </c>
      <c r="R121">
        <f t="shared" ref="R121" si="582">R122+Q121</f>
        <v>-4554254987.4073391</v>
      </c>
      <c r="S121">
        <f t="shared" ref="S121" si="583">R121/100000</f>
        <v>-45542.549874073389</v>
      </c>
      <c r="T121">
        <f t="shared" ref="T121" si="584">S121/1000</f>
        <v>-45.542549874073387</v>
      </c>
    </row>
    <row r="122" spans="1:20" x14ac:dyDescent="0.25">
      <c r="A122" s="5">
        <v>44471</v>
      </c>
      <c r="B122">
        <v>0.20330000000000001</v>
      </c>
      <c r="C122">
        <v>0.218</v>
      </c>
      <c r="D122">
        <v>0.19120000000000001</v>
      </c>
      <c r="E122">
        <v>0.1971</v>
      </c>
      <c r="F122">
        <v>315916061</v>
      </c>
      <c r="G122">
        <v>0.1971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-0.55970149253731416</v>
      </c>
      <c r="Q122">
        <f t="shared" ref="Q122" si="586">F122*P122</f>
        <v>-176818690.85820919</v>
      </c>
      <c r="R122">
        <f t="shared" ref="R122" si="587">R123+Q122</f>
        <v>-4618385061.3060732</v>
      </c>
      <c r="S122">
        <f t="shared" ref="S122" si="588">R122/100000</f>
        <v>-46183.850613060735</v>
      </c>
      <c r="T122">
        <f t="shared" ref="T122" si="589">S122/1000</f>
        <v>-46.183850613060734</v>
      </c>
    </row>
    <row r="123" spans="1:20" x14ac:dyDescent="0.25">
      <c r="A123" s="5">
        <v>44470</v>
      </c>
      <c r="B123">
        <v>0.17019999999999999</v>
      </c>
      <c r="C123">
        <v>0.2084</v>
      </c>
      <c r="D123">
        <v>0.16689999999999999</v>
      </c>
      <c r="E123">
        <v>0.20319999999999999</v>
      </c>
      <c r="F123">
        <v>356952493</v>
      </c>
      <c r="G123">
        <v>0.20319999999999999</v>
      </c>
      <c r="L123" t="s">
        <v>8</v>
      </c>
      <c r="M123" t="s">
        <v>8</v>
      </c>
      <c r="N123" t="s">
        <v>8</v>
      </c>
      <c r="P123">
        <f t="shared" ref="P123" si="590">IF(C123=D123,0,((E123-D123)-(C123-E123))/(C123-D123))</f>
        <v>0.74939759036144538</v>
      </c>
      <c r="Q123">
        <f t="shared" ref="Q123" si="591">F123*P123</f>
        <v>267499338.1277107</v>
      </c>
      <c r="R123">
        <f t="shared" ref="R123" si="592">R124+Q123</f>
        <v>-4441566370.4478636</v>
      </c>
      <c r="S123">
        <f t="shared" ref="S123" si="593">R123/100000</f>
        <v>-44415.663704478633</v>
      </c>
      <c r="T123">
        <f t="shared" ref="T123" si="594">S123/1000</f>
        <v>-44.415663704478632</v>
      </c>
    </row>
    <row r="124" spans="1:20" x14ac:dyDescent="0.25">
      <c r="A124" s="5">
        <v>44469</v>
      </c>
      <c r="B124">
        <v>0.156</v>
      </c>
      <c r="C124">
        <v>0.17430000000000001</v>
      </c>
      <c r="D124">
        <v>0.1547</v>
      </c>
      <c r="E124">
        <v>0.17030000000000001</v>
      </c>
      <c r="F124">
        <v>230680214</v>
      </c>
      <c r="G124">
        <v>0.17030000000000001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0.59183673469387732</v>
      </c>
      <c r="Q124">
        <f t="shared" ref="Q124" si="596">F124*P124</f>
        <v>136525024.61224484</v>
      </c>
      <c r="R124">
        <f t="shared" ref="R124" si="597">R125+Q124</f>
        <v>-4709065708.5755739</v>
      </c>
      <c r="S124">
        <f t="shared" ref="S124" si="598">R124/100000</f>
        <v>-47090.657085755738</v>
      </c>
      <c r="T124">
        <f t="shared" ref="T124" si="599">S124/1000</f>
        <v>-47.090657085755737</v>
      </c>
    </row>
    <row r="125" spans="1:20" x14ac:dyDescent="0.25">
      <c r="A125" s="5">
        <v>44468</v>
      </c>
      <c r="B125">
        <v>0.1527</v>
      </c>
      <c r="C125">
        <v>0.16839999999999999</v>
      </c>
      <c r="D125">
        <v>0.15129999999999999</v>
      </c>
      <c r="E125">
        <v>0.15590000000000001</v>
      </c>
      <c r="F125">
        <v>187277281</v>
      </c>
      <c r="G125">
        <v>0.15590000000000001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-0.46198830409356495</v>
      </c>
      <c r="Q125">
        <f t="shared" ref="Q125" si="601">F125*P125</f>
        <v>-86519913.444444016</v>
      </c>
      <c r="R125">
        <f t="shared" ref="R125" si="602">R126+Q125</f>
        <v>-4845590733.1878185</v>
      </c>
      <c r="S125">
        <f t="shared" ref="S125" si="603">R125/100000</f>
        <v>-48455.907331878188</v>
      </c>
      <c r="T125">
        <f t="shared" ref="T125" si="604">S125/1000</f>
        <v>-48.455907331878187</v>
      </c>
    </row>
    <row r="126" spans="1:20" x14ac:dyDescent="0.25">
      <c r="A126" s="5">
        <v>44467</v>
      </c>
      <c r="B126">
        <v>0.155</v>
      </c>
      <c r="C126">
        <v>0.16139999999999999</v>
      </c>
      <c r="D126">
        <v>0.15010000000000001</v>
      </c>
      <c r="E126">
        <v>0.1527</v>
      </c>
      <c r="F126">
        <v>150755734</v>
      </c>
      <c r="G126">
        <v>0.1527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-0.53982300884955814</v>
      </c>
      <c r="Q126">
        <f t="shared" ref="Q126" si="606">F126*P126</f>
        <v>-81381413.929203629</v>
      </c>
      <c r="R126">
        <f t="shared" ref="R126" si="607">R127+Q126</f>
        <v>-4759070819.7433748</v>
      </c>
      <c r="S126">
        <f t="shared" ref="S126" si="608">R126/100000</f>
        <v>-47590.708197433749</v>
      </c>
      <c r="T126">
        <f t="shared" ref="T126" si="609">S126/1000</f>
        <v>-47.590708197433749</v>
      </c>
    </row>
    <row r="127" spans="1:20" x14ac:dyDescent="0.25">
      <c r="A127" s="5">
        <v>44466</v>
      </c>
      <c r="B127">
        <v>0.16159999999999999</v>
      </c>
      <c r="C127">
        <v>0.17080000000000001</v>
      </c>
      <c r="D127">
        <v>0.15459999999999999</v>
      </c>
      <c r="E127">
        <v>0.155</v>
      </c>
      <c r="F127">
        <v>177991392</v>
      </c>
      <c r="G127">
        <v>0.155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-0.95061728395061595</v>
      </c>
      <c r="Q127">
        <f t="shared" ref="Q127" si="611">F127*P127</f>
        <v>-169201693.6296294</v>
      </c>
      <c r="R127">
        <f t="shared" ref="R127" si="612">R128+Q127</f>
        <v>-4677689405.8141708</v>
      </c>
      <c r="S127">
        <f t="shared" ref="S127" si="613">R127/100000</f>
        <v>-46776.894058141712</v>
      </c>
      <c r="T127">
        <f t="shared" ref="T127" si="614">S127/1000</f>
        <v>-46.776894058141714</v>
      </c>
    </row>
    <row r="128" spans="1:20" x14ac:dyDescent="0.25">
      <c r="A128" s="5">
        <v>44465</v>
      </c>
      <c r="B128">
        <v>0.16320000000000001</v>
      </c>
      <c r="C128">
        <v>0.16900000000000001</v>
      </c>
      <c r="D128">
        <v>0.14360000000000001</v>
      </c>
      <c r="E128">
        <v>0.1618</v>
      </c>
      <c r="F128">
        <v>249147865.63</v>
      </c>
      <c r="G128">
        <v>0.1618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0.43307086614173146</v>
      </c>
      <c r="Q128">
        <f t="shared" ref="Q128" si="616">F128*P128</f>
        <v>107898681.96574782</v>
      </c>
      <c r="R128">
        <f t="shared" ref="R128" si="617">R129+Q128</f>
        <v>-4508487712.1845417</v>
      </c>
      <c r="S128">
        <f t="shared" ref="S128" si="618">R128/100000</f>
        <v>-45084.87712184542</v>
      </c>
      <c r="T128">
        <f t="shared" ref="T128" si="619">S128/1000</f>
        <v>-45.084877121845423</v>
      </c>
    </row>
    <row r="129" spans="1:20" x14ac:dyDescent="0.25">
      <c r="A129" s="5">
        <v>44464</v>
      </c>
      <c r="B129">
        <v>0.16830000000000001</v>
      </c>
      <c r="C129">
        <v>0.17080000000000001</v>
      </c>
      <c r="D129">
        <v>0.15790000000000001</v>
      </c>
      <c r="E129">
        <v>0.1633</v>
      </c>
      <c r="F129">
        <v>146988907</v>
      </c>
      <c r="G129">
        <v>0.1633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-0.16279069767442012</v>
      </c>
      <c r="Q129">
        <f t="shared" ref="Q129" si="621">F129*P129</f>
        <v>-23928426.720930453</v>
      </c>
      <c r="R129">
        <f t="shared" ref="R129" si="622">R130+Q129</f>
        <v>-4616386394.1502895</v>
      </c>
      <c r="S129">
        <f t="shared" ref="S129" si="623">R129/100000</f>
        <v>-46163.863941502896</v>
      </c>
      <c r="T129">
        <f t="shared" ref="T129" si="624">S129/1000</f>
        <v>-46.163863941502896</v>
      </c>
    </row>
    <row r="130" spans="1:20" x14ac:dyDescent="0.25">
      <c r="A130" s="5">
        <v>44463</v>
      </c>
      <c r="B130">
        <v>0.1865</v>
      </c>
      <c r="C130">
        <v>0.19520000000000001</v>
      </c>
      <c r="D130">
        <v>0.15659999999999999</v>
      </c>
      <c r="E130">
        <v>0.16830000000000001</v>
      </c>
      <c r="F130">
        <v>283920481</v>
      </c>
      <c r="G130">
        <v>0.16830000000000001</v>
      </c>
      <c r="L130" t="s">
        <v>8</v>
      </c>
      <c r="M130" t="s">
        <v>8</v>
      </c>
      <c r="N130" t="s">
        <v>7</v>
      </c>
      <c r="P130">
        <f t="shared" ref="P130" si="625">IF(C130=D130,0,((E130-D130)-(C130-E130))/(C130-D130))</f>
        <v>-0.39378238341968863</v>
      </c>
      <c r="Q130">
        <f t="shared" ref="Q130" si="626">F130*P130</f>
        <v>-111802883.70984443</v>
      </c>
      <c r="R130">
        <f t="shared" ref="R130" si="627">R131+Q130</f>
        <v>-4592457967.4293594</v>
      </c>
      <c r="S130">
        <f t="shared" ref="S130" si="628">R130/100000</f>
        <v>-45924.579674293593</v>
      </c>
      <c r="T130">
        <f t="shared" ref="T130" si="629">S130/1000</f>
        <v>-45.924579674293589</v>
      </c>
    </row>
    <row r="131" spans="1:20" x14ac:dyDescent="0.25">
      <c r="A131" s="5">
        <v>44462</v>
      </c>
      <c r="B131">
        <v>0.18179999999999999</v>
      </c>
      <c r="C131">
        <v>0.1903</v>
      </c>
      <c r="D131">
        <v>0.1767</v>
      </c>
      <c r="E131">
        <v>0.18640000000000001</v>
      </c>
      <c r="F131">
        <v>193947103</v>
      </c>
      <c r="G131">
        <v>0.18640000000000001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0.4264705882352961</v>
      </c>
      <c r="Q131">
        <f t="shared" ref="Q131" si="631">F131*P131</f>
        <v>82712735.102941558</v>
      </c>
      <c r="R131">
        <f t="shared" ref="R131" si="632">R132+Q131</f>
        <v>-4480655083.7195148</v>
      </c>
      <c r="S131">
        <f t="shared" ref="S131" si="633">R131/100000</f>
        <v>-44806.550837195151</v>
      </c>
      <c r="T131">
        <f t="shared" ref="T131" si="634">S131/1000</f>
        <v>-44.806550837195154</v>
      </c>
    </row>
    <row r="132" spans="1:20" x14ac:dyDescent="0.25">
      <c r="A132" s="5">
        <v>44461</v>
      </c>
      <c r="B132">
        <v>0.15509999999999999</v>
      </c>
      <c r="C132">
        <v>0.18509999999999999</v>
      </c>
      <c r="D132">
        <v>0.15129999999999999</v>
      </c>
      <c r="E132">
        <v>0.18190000000000001</v>
      </c>
      <c r="F132">
        <v>221490850</v>
      </c>
      <c r="G132">
        <v>0.18190000000000001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0.81065088757396564</v>
      </c>
      <c r="Q132">
        <f t="shared" ref="Q132" si="636">F132*P132</f>
        <v>179551754.14201209</v>
      </c>
      <c r="R132">
        <f t="shared" ref="R132" si="637">R133+Q132</f>
        <v>-4563367818.8224564</v>
      </c>
      <c r="S132">
        <f t="shared" ref="S132" si="638">R132/100000</f>
        <v>-45633.678188224563</v>
      </c>
      <c r="T132">
        <f t="shared" ref="T132" si="639">S132/1000</f>
        <v>-45.633678188224565</v>
      </c>
    </row>
    <row r="133" spans="1:20" x14ac:dyDescent="0.25">
      <c r="A133" s="5">
        <v>44460</v>
      </c>
      <c r="B133">
        <v>0.1749</v>
      </c>
      <c r="C133">
        <v>0.18110000000000001</v>
      </c>
      <c r="D133">
        <v>0.14960000000000001</v>
      </c>
      <c r="E133">
        <v>0.15509999999999999</v>
      </c>
      <c r="F133">
        <v>311935846.64999998</v>
      </c>
      <c r="G133">
        <v>0.15509999999999999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-0.65079365079365226</v>
      </c>
      <c r="Q133">
        <f t="shared" ref="Q133" si="641">F133*P133</f>
        <v>-203005868.45476234</v>
      </c>
      <c r="R133">
        <f t="shared" ref="R133" si="642">R134+Q133</f>
        <v>-4742919572.964468</v>
      </c>
      <c r="S133">
        <f t="shared" ref="S133" si="643">R133/100000</f>
        <v>-47429.195729644678</v>
      </c>
      <c r="T133">
        <f t="shared" ref="T133" si="644">S133/1000</f>
        <v>-47.429195729644675</v>
      </c>
    </row>
    <row r="134" spans="1:20" x14ac:dyDescent="0.25">
      <c r="A134" s="5">
        <v>44459</v>
      </c>
      <c r="B134">
        <v>0.21310000000000001</v>
      </c>
      <c r="C134">
        <v>0.21440000000000001</v>
      </c>
      <c r="D134">
        <v>0.18379999999999999</v>
      </c>
      <c r="E134">
        <v>0.18990000000000001</v>
      </c>
      <c r="F134">
        <v>141668627</v>
      </c>
      <c r="G134">
        <v>0.18990000000000001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-0.60130718954248241</v>
      </c>
      <c r="Q134">
        <f t="shared" ref="Q134" si="646">F134*P134</f>
        <v>-85186363.947712243</v>
      </c>
      <c r="R134">
        <f t="shared" ref="R134" si="647">R135+Q134</f>
        <v>-4539913704.5097055</v>
      </c>
      <c r="S134">
        <f t="shared" ref="S134" si="648">R134/100000</f>
        <v>-45399.137045097057</v>
      </c>
      <c r="T134">
        <f t="shared" ref="T134" si="649">S134/1000</f>
        <v>-45.399137045097056</v>
      </c>
    </row>
    <row r="135" spans="1:20" x14ac:dyDescent="0.25">
      <c r="A135" s="5">
        <v>44458</v>
      </c>
      <c r="B135">
        <v>0.2369</v>
      </c>
      <c r="C135">
        <v>0.24160000000000001</v>
      </c>
      <c r="D135">
        <v>0.2082</v>
      </c>
      <c r="E135">
        <v>0.21299999999999999</v>
      </c>
      <c r="F135">
        <v>211726026</v>
      </c>
      <c r="G135">
        <v>0.21299999999999999</v>
      </c>
      <c r="L135" t="s">
        <v>8</v>
      </c>
      <c r="M135" t="s">
        <v>8</v>
      </c>
      <c r="N135" t="s">
        <v>7</v>
      </c>
      <c r="P135">
        <f t="shared" ref="P135" si="650">IF(C135=D135,0,((E135-D135)-(C135-E135))/(C135-D135))</f>
        <v>-0.71257485029940137</v>
      </c>
      <c r="Q135">
        <f t="shared" ref="Q135" si="651">F135*P135</f>
        <v>-150870641.28143716</v>
      </c>
      <c r="R135">
        <f t="shared" ref="R135" si="652">R136+Q135</f>
        <v>-4454727340.5619936</v>
      </c>
      <c r="S135">
        <f t="shared" ref="S135" si="653">R135/100000</f>
        <v>-44547.273405619933</v>
      </c>
      <c r="T135">
        <f t="shared" ref="T135" si="654">S135/1000</f>
        <v>-44.547273405619933</v>
      </c>
    </row>
    <row r="136" spans="1:20" x14ac:dyDescent="0.25">
      <c r="A136" s="5">
        <v>44457</v>
      </c>
      <c r="B136">
        <v>0.20899999999999999</v>
      </c>
      <c r="C136">
        <v>0.2394</v>
      </c>
      <c r="D136">
        <v>0.20430000000000001</v>
      </c>
      <c r="E136">
        <v>0.23699999999999999</v>
      </c>
      <c r="F136">
        <v>239011916</v>
      </c>
      <c r="G136">
        <v>0.23699999999999999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0.86324786324786251</v>
      </c>
      <c r="Q136">
        <f t="shared" ref="Q136" si="656">F136*P136</f>
        <v>206326525.77777761</v>
      </c>
      <c r="R136">
        <f t="shared" ref="R136" si="657">R137+Q136</f>
        <v>-4303856699.2805567</v>
      </c>
      <c r="S136">
        <f t="shared" ref="S136" si="658">R136/100000</f>
        <v>-43038.566992805565</v>
      </c>
      <c r="T136">
        <f t="shared" ref="T136" si="659">S136/1000</f>
        <v>-43.038566992805563</v>
      </c>
    </row>
    <row r="137" spans="1:20" x14ac:dyDescent="0.25">
      <c r="A137" s="5">
        <v>44456</v>
      </c>
      <c r="B137">
        <v>0.2162</v>
      </c>
      <c r="C137">
        <v>0.2298</v>
      </c>
      <c r="D137">
        <v>0.2034</v>
      </c>
      <c r="E137">
        <v>0.2087</v>
      </c>
      <c r="F137">
        <v>195865095</v>
      </c>
      <c r="G137">
        <v>0.2087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-0.59848484848484862</v>
      </c>
      <c r="Q137">
        <f t="shared" ref="Q137" si="661">F137*P137</f>
        <v>-117222291.70454548</v>
      </c>
      <c r="R137">
        <f t="shared" ref="R137" si="662">R138+Q137</f>
        <v>-4510183225.0583344</v>
      </c>
      <c r="S137">
        <f t="shared" ref="S137" si="663">R137/100000</f>
        <v>-45101.832250583342</v>
      </c>
      <c r="T137">
        <f t="shared" ref="T137" si="664">S137/1000</f>
        <v>-45.101832250583342</v>
      </c>
    </row>
    <row r="138" spans="1:20" x14ac:dyDescent="0.25">
      <c r="A138" s="5">
        <v>44455</v>
      </c>
      <c r="B138">
        <v>0.22520000000000001</v>
      </c>
      <c r="C138">
        <v>0.23</v>
      </c>
      <c r="D138">
        <v>0.20710000000000001</v>
      </c>
      <c r="E138">
        <v>0.216</v>
      </c>
      <c r="F138">
        <v>230270578</v>
      </c>
      <c r="G138">
        <v>0.216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-0.22270742358078691</v>
      </c>
      <c r="Q138">
        <f t="shared" ref="Q138" si="666">F138*P138</f>
        <v>-51282967.152838632</v>
      </c>
      <c r="R138">
        <f t="shared" ref="R138" si="667">R139+Q138</f>
        <v>-4392960933.3537893</v>
      </c>
      <c r="S138">
        <f t="shared" ref="S138" si="668">R138/100000</f>
        <v>-43929.60933353789</v>
      </c>
      <c r="T138">
        <f t="shared" ref="T138" si="669">S138/1000</f>
        <v>-43.92960933353789</v>
      </c>
    </row>
    <row r="139" spans="1:20" x14ac:dyDescent="0.25">
      <c r="A139" s="5">
        <v>44454</v>
      </c>
      <c r="B139">
        <v>0.2056</v>
      </c>
      <c r="C139">
        <v>0.22670000000000001</v>
      </c>
      <c r="D139">
        <v>0.2024</v>
      </c>
      <c r="E139">
        <v>0.22520000000000001</v>
      </c>
      <c r="F139">
        <v>188852223</v>
      </c>
      <c r="G139">
        <v>0.22520000000000001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0.87654320987654322</v>
      </c>
      <c r="Q139">
        <f t="shared" ref="Q139" si="671">F139*P139</f>
        <v>165537133.74074075</v>
      </c>
      <c r="R139">
        <f t="shared" ref="R139" si="672">R140+Q139</f>
        <v>-4341677966.2009506</v>
      </c>
      <c r="S139">
        <f t="shared" ref="S139" si="673">R139/100000</f>
        <v>-43416.779662009503</v>
      </c>
      <c r="T139">
        <f t="shared" ref="T139" si="674">S139/1000</f>
        <v>-43.416779662009503</v>
      </c>
    </row>
    <row r="140" spans="1:20" x14ac:dyDescent="0.25">
      <c r="A140" s="5">
        <v>44453</v>
      </c>
      <c r="B140">
        <v>0.19980000000000001</v>
      </c>
      <c r="C140">
        <v>0.20880000000000001</v>
      </c>
      <c r="D140">
        <v>0.19620000000000001</v>
      </c>
      <c r="E140">
        <v>0.2056</v>
      </c>
      <c r="F140">
        <v>139941939</v>
      </c>
      <c r="G140">
        <v>0.2056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0.49206349206349076</v>
      </c>
      <c r="Q140">
        <f t="shared" ref="Q140" si="676">F140*P140</f>
        <v>68860319.190476015</v>
      </c>
      <c r="R140">
        <f t="shared" ref="R140" si="677">R141+Q140</f>
        <v>-4507215099.9416914</v>
      </c>
      <c r="S140">
        <f t="shared" ref="S140" si="678">R140/100000</f>
        <v>-45072.150999416917</v>
      </c>
      <c r="T140">
        <f t="shared" ref="T140" si="679">S140/1000</f>
        <v>-45.07215099941692</v>
      </c>
    </row>
    <row r="141" spans="1:20" x14ac:dyDescent="0.25">
      <c r="A141" s="5">
        <v>44452</v>
      </c>
      <c r="B141">
        <v>0.22109999999999999</v>
      </c>
      <c r="C141">
        <v>0.22409999999999999</v>
      </c>
      <c r="D141">
        <v>0.18290000000000001</v>
      </c>
      <c r="E141">
        <v>0.19980000000000001</v>
      </c>
      <c r="F141">
        <v>221178996</v>
      </c>
      <c r="G141">
        <v>0.19980000000000001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-0.1796116504854367</v>
      </c>
      <c r="Q141">
        <f t="shared" ref="Q141" si="681">F141*P141</f>
        <v>-39726324.524271801</v>
      </c>
      <c r="R141">
        <f t="shared" ref="R141" si="682">R142+Q141</f>
        <v>-4576075419.1321678</v>
      </c>
      <c r="S141">
        <f t="shared" ref="S141" si="683">R141/100000</f>
        <v>-45760.754191321677</v>
      </c>
      <c r="T141">
        <f t="shared" ref="T141" si="684">S141/1000</f>
        <v>-45.760754191321681</v>
      </c>
    </row>
    <row r="142" spans="1:20" x14ac:dyDescent="0.25">
      <c r="A142" s="5">
        <v>44451</v>
      </c>
      <c r="B142">
        <v>0.20899999999999999</v>
      </c>
      <c r="C142">
        <v>0.23069999999999999</v>
      </c>
      <c r="D142">
        <v>0.2044</v>
      </c>
      <c r="E142">
        <v>0.2213</v>
      </c>
      <c r="F142">
        <v>225304407</v>
      </c>
      <c r="G142">
        <v>0.2213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0.28517110266159734</v>
      </c>
      <c r="Q142">
        <f t="shared" ref="Q142" si="686">F142*P142</f>
        <v>64250306.178707309</v>
      </c>
      <c r="R142">
        <f t="shared" ref="R142" si="687">R143+Q142</f>
        <v>-4536349094.6078959</v>
      </c>
      <c r="S142">
        <f t="shared" ref="S142" si="688">R142/100000</f>
        <v>-45363.490946078957</v>
      </c>
      <c r="T142">
        <f t="shared" ref="T142" si="689">S142/1000</f>
        <v>-45.363490946078954</v>
      </c>
    </row>
    <row r="143" spans="1:20" x14ac:dyDescent="0.25">
      <c r="A143" s="5">
        <v>44450</v>
      </c>
      <c r="B143">
        <v>0.20649999999999999</v>
      </c>
      <c r="C143">
        <v>0.21920000000000001</v>
      </c>
      <c r="D143">
        <v>0.20200000000000001</v>
      </c>
      <c r="E143">
        <v>0.20899999999999999</v>
      </c>
      <c r="F143">
        <v>178688137</v>
      </c>
      <c r="G143">
        <v>0.20899999999999999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-0.18604651162790917</v>
      </c>
      <c r="Q143">
        <f t="shared" ref="Q143" si="691">F143*P143</f>
        <v>-33244304.558139928</v>
      </c>
      <c r="R143">
        <f t="shared" ref="R143" si="692">R144+Q143</f>
        <v>-4600599400.786603</v>
      </c>
      <c r="S143">
        <f t="shared" ref="S143" si="693">R143/100000</f>
        <v>-46005.994007866029</v>
      </c>
      <c r="T143">
        <f t="shared" ref="T143" si="694">S143/1000</f>
        <v>-46.005994007866029</v>
      </c>
    </row>
    <row r="144" spans="1:20" x14ac:dyDescent="0.25">
      <c r="A144" s="5">
        <v>44449</v>
      </c>
      <c r="B144">
        <v>0.22270000000000001</v>
      </c>
      <c r="C144">
        <v>0.2321</v>
      </c>
      <c r="D144">
        <v>0.19869999999999999</v>
      </c>
      <c r="E144">
        <v>0.20660000000000001</v>
      </c>
      <c r="F144">
        <v>258481812</v>
      </c>
      <c r="G144">
        <v>0.20660000000000001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-0.52694610778443018</v>
      </c>
      <c r="Q144">
        <f t="shared" ref="Q144" si="696">F144*P144</f>
        <v>-136205984.76646683</v>
      </c>
      <c r="R144">
        <f t="shared" ref="R144" si="697">R145+Q144</f>
        <v>-4567355096.2284632</v>
      </c>
      <c r="S144">
        <f t="shared" ref="S144" si="698">R144/100000</f>
        <v>-45673.550962284629</v>
      </c>
      <c r="T144">
        <f t="shared" ref="T144" si="699">S144/1000</f>
        <v>-45.673550962284629</v>
      </c>
    </row>
    <row r="145" spans="1:20" x14ac:dyDescent="0.25">
      <c r="A145" s="5">
        <v>44448</v>
      </c>
      <c r="B145">
        <v>0.22339999999999999</v>
      </c>
      <c r="C145">
        <v>0.2387</v>
      </c>
      <c r="D145">
        <v>0.2145</v>
      </c>
      <c r="E145">
        <v>0.22270000000000001</v>
      </c>
      <c r="F145">
        <v>383633355</v>
      </c>
      <c r="G145">
        <v>0.22270000000000001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-0.32231404958677579</v>
      </c>
      <c r="Q145">
        <f t="shared" ref="Q145" si="701">F145*P145</f>
        <v>-123650420.20661116</v>
      </c>
      <c r="R145">
        <f t="shared" ref="R145" si="702">R146+Q145</f>
        <v>-4431149111.4619961</v>
      </c>
      <c r="S145">
        <f t="shared" ref="S145" si="703">R145/100000</f>
        <v>-44311.491114619959</v>
      </c>
      <c r="T145">
        <f t="shared" ref="T145" si="704">S145/1000</f>
        <v>-44.311491114619962</v>
      </c>
    </row>
    <row r="146" spans="1:20" x14ac:dyDescent="0.25">
      <c r="A146" s="5">
        <v>44447</v>
      </c>
      <c r="B146">
        <v>0.23350000000000001</v>
      </c>
      <c r="C146">
        <v>0.24279999999999999</v>
      </c>
      <c r="D146">
        <v>0.19650000000000001</v>
      </c>
      <c r="E146">
        <v>0.22339999999999999</v>
      </c>
      <c r="F146">
        <v>540129169</v>
      </c>
      <c r="G146">
        <v>0.22339999999999999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0.16198704103671668</v>
      </c>
      <c r="Q146">
        <f t="shared" ref="Q146" si="706">F146*P146</f>
        <v>87493925.863930687</v>
      </c>
      <c r="R146">
        <f t="shared" ref="R146" si="707">R147+Q146</f>
        <v>-4307498691.2553854</v>
      </c>
      <c r="S146">
        <f t="shared" ref="S146" si="708">R146/100000</f>
        <v>-43074.986912553853</v>
      </c>
      <c r="T146">
        <f t="shared" ref="T146" si="709">S146/1000</f>
        <v>-43.074986912553854</v>
      </c>
    </row>
    <row r="147" spans="1:20" x14ac:dyDescent="0.25">
      <c r="A147" s="5">
        <v>44446</v>
      </c>
      <c r="B147">
        <v>0.32850000000000001</v>
      </c>
      <c r="C147">
        <v>0.33029999999999998</v>
      </c>
      <c r="D147">
        <v>0.18609999999999999</v>
      </c>
      <c r="E147">
        <v>0.23380000000000001</v>
      </c>
      <c r="F147">
        <v>741137788.41999996</v>
      </c>
      <c r="G147">
        <v>0.23380000000000001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-0.33841886269070703</v>
      </c>
      <c r="Q147">
        <f t="shared" ref="Q147" si="711">F147*P147</f>
        <v>-250815007.45420223</v>
      </c>
      <c r="R147">
        <f t="shared" ref="R147" si="712">R148+Q147</f>
        <v>-4394992617.1193161</v>
      </c>
      <c r="S147">
        <f t="shared" ref="S147" si="713">R147/100000</f>
        <v>-43949.926171193161</v>
      </c>
      <c r="T147">
        <f t="shared" ref="T147" si="714">S147/1000</f>
        <v>-43.949926171193162</v>
      </c>
    </row>
    <row r="148" spans="1:20" x14ac:dyDescent="0.25">
      <c r="A148" s="5">
        <v>44445</v>
      </c>
      <c r="B148">
        <v>0.3352</v>
      </c>
      <c r="C148">
        <v>0.35809999999999997</v>
      </c>
      <c r="D148">
        <v>0.31340000000000001</v>
      </c>
      <c r="E148">
        <v>0.3286</v>
      </c>
      <c r="F148">
        <v>311971262</v>
      </c>
      <c r="G148">
        <v>0.3286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-0.31991051454138686</v>
      </c>
      <c r="Q148">
        <f t="shared" ref="Q148" si="716">F148*P148</f>
        <v>-99802886.948545814</v>
      </c>
      <c r="R148">
        <f t="shared" ref="R148" si="717">R149+Q148</f>
        <v>-4144177609.6651134</v>
      </c>
      <c r="S148">
        <f t="shared" ref="S148" si="718">R148/100000</f>
        <v>-41441.776096651134</v>
      </c>
      <c r="T148">
        <f t="shared" ref="T148" si="719">S148/1000</f>
        <v>-41.441776096651132</v>
      </c>
    </row>
    <row r="149" spans="1:20" x14ac:dyDescent="0.25">
      <c r="A149" s="5">
        <v>44444</v>
      </c>
      <c r="B149">
        <v>0.32650000000000001</v>
      </c>
      <c r="C149">
        <v>0.34399999999999997</v>
      </c>
      <c r="D149">
        <v>0.32329999999999998</v>
      </c>
      <c r="E149">
        <v>0.33539999999999998</v>
      </c>
      <c r="F149">
        <v>204005213</v>
      </c>
      <c r="G149">
        <v>0.33539999999999998</v>
      </c>
      <c r="L149" t="s">
        <v>7</v>
      </c>
      <c r="M149" t="s">
        <v>7</v>
      </c>
      <c r="N149" t="s">
        <v>8</v>
      </c>
      <c r="P149">
        <f t="shared" ref="P149" si="720">IF(C149=D149,0,((E149-D149)-(C149-E149))/(C149-D149))</f>
        <v>0.1690821256038649</v>
      </c>
      <c r="Q149">
        <f t="shared" ref="Q149" si="721">F149*P149</f>
        <v>34493635.048309214</v>
      </c>
      <c r="R149">
        <f t="shared" ref="R149" si="722">R150+Q149</f>
        <v>-4044374722.7165675</v>
      </c>
      <c r="S149">
        <f t="shared" ref="S149" si="723">R149/100000</f>
        <v>-40443.747227165673</v>
      </c>
      <c r="T149">
        <f t="shared" ref="T149" si="724">S149/1000</f>
        <v>-40.443747227165673</v>
      </c>
    </row>
    <row r="150" spans="1:20" x14ac:dyDescent="0.25">
      <c r="A150" s="5">
        <v>44443</v>
      </c>
      <c r="B150">
        <v>0.31719999999999998</v>
      </c>
      <c r="C150">
        <v>0.35</v>
      </c>
      <c r="D150">
        <v>0.31419999999999998</v>
      </c>
      <c r="E150">
        <v>0.32650000000000001</v>
      </c>
      <c r="F150">
        <v>281081188</v>
      </c>
      <c r="G150">
        <v>0.32650000000000001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-0.3128491620111713</v>
      </c>
      <c r="Q150">
        <f t="shared" ref="Q150" si="726">F150*P150</f>
        <v>-87936014.122904494</v>
      </c>
      <c r="R150">
        <f t="shared" ref="R150" si="727">R151+Q150</f>
        <v>-4078868357.7648768</v>
      </c>
      <c r="S150">
        <f t="shared" ref="S150" si="728">R150/100000</f>
        <v>-40788.683577648771</v>
      </c>
      <c r="T150">
        <f t="shared" ref="T150" si="729">S150/1000</f>
        <v>-40.788683577648769</v>
      </c>
    </row>
    <row r="151" spans="1:20" x14ac:dyDescent="0.25">
      <c r="A151" s="5">
        <v>44442</v>
      </c>
      <c r="B151">
        <v>0.32769999999999999</v>
      </c>
      <c r="C151">
        <v>0.3322</v>
      </c>
      <c r="D151">
        <v>0.30819999999999997</v>
      </c>
      <c r="E151">
        <v>0.31719999999999998</v>
      </c>
      <c r="F151">
        <v>230235266</v>
      </c>
      <c r="G151">
        <v>0.31719999999999998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-0.25</v>
      </c>
      <c r="Q151">
        <f t="shared" ref="Q151" si="731">F151*P151</f>
        <v>-57558816.5</v>
      </c>
      <c r="R151">
        <f t="shared" ref="R151" si="732">R152+Q151</f>
        <v>-3990932343.6419725</v>
      </c>
      <c r="S151">
        <f t="shared" ref="S151" si="733">R151/100000</f>
        <v>-39909.323436419727</v>
      </c>
      <c r="T151">
        <f t="shared" ref="T151" si="734">S151/1000</f>
        <v>-39.909323436419726</v>
      </c>
    </row>
    <row r="152" spans="1:20" x14ac:dyDescent="0.25">
      <c r="A152" s="5">
        <v>44441</v>
      </c>
      <c r="B152">
        <v>0.3291</v>
      </c>
      <c r="C152">
        <v>0.35</v>
      </c>
      <c r="D152">
        <v>0.32600000000000001</v>
      </c>
      <c r="E152">
        <v>0.32779999999999998</v>
      </c>
      <c r="F152">
        <v>258833309</v>
      </c>
      <c r="G152">
        <v>0.32779999999999998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-0.85000000000000242</v>
      </c>
      <c r="Q152">
        <f t="shared" ref="Q152" si="736">F152*P152</f>
        <v>-220008312.65000063</v>
      </c>
      <c r="R152">
        <f t="shared" ref="R152" si="737">R153+Q152</f>
        <v>-3933373527.1419725</v>
      </c>
      <c r="S152">
        <f t="shared" ref="S152" si="738">R152/100000</f>
        <v>-39333.735271419726</v>
      </c>
      <c r="T152">
        <f t="shared" ref="T152" si="739">S152/1000</f>
        <v>-39.333735271419727</v>
      </c>
    </row>
    <row r="153" spans="1:20" x14ac:dyDescent="0.25">
      <c r="A153" s="5">
        <v>44440</v>
      </c>
      <c r="B153">
        <v>0.33150000000000002</v>
      </c>
      <c r="C153">
        <v>0.34200000000000003</v>
      </c>
      <c r="D153">
        <v>0.31509999999999999</v>
      </c>
      <c r="E153">
        <v>0.32919999999999999</v>
      </c>
      <c r="F153">
        <v>281377199</v>
      </c>
      <c r="G153">
        <v>0.32919999999999999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4.8327137546467142E-2</v>
      </c>
      <c r="Q153">
        <f t="shared" ref="Q153" si="741">F153*P153</f>
        <v>13598154.598512657</v>
      </c>
      <c r="R153">
        <f t="shared" ref="R153" si="742">R154+Q153</f>
        <v>-3713365214.491972</v>
      </c>
      <c r="S153">
        <f t="shared" ref="S153" si="743">R153/100000</f>
        <v>-37133.652144919717</v>
      </c>
      <c r="T153">
        <f t="shared" ref="T153" si="744">S153/1000</f>
        <v>-37.133652144919715</v>
      </c>
    </row>
    <row r="154" spans="1:20" x14ac:dyDescent="0.25">
      <c r="A154" s="5">
        <v>44439</v>
      </c>
      <c r="B154">
        <v>0.34310000000000002</v>
      </c>
      <c r="C154">
        <v>0.37390000000000001</v>
      </c>
      <c r="D154">
        <v>0.3201</v>
      </c>
      <c r="E154">
        <v>0.33119999999999999</v>
      </c>
      <c r="F154">
        <v>425613886</v>
      </c>
      <c r="G154">
        <v>0.33119999999999999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-0.58736059479553915</v>
      </c>
      <c r="Q154">
        <f t="shared" ref="Q154" si="746">F154*P154</f>
        <v>-249988825.23420081</v>
      </c>
      <c r="R154">
        <f t="shared" ref="R154" si="747">R155+Q154</f>
        <v>-3726963369.0904846</v>
      </c>
      <c r="S154">
        <f t="shared" ref="S154" si="748">R154/100000</f>
        <v>-37269.633690904848</v>
      </c>
      <c r="T154">
        <f t="shared" ref="T154" si="749">S154/1000</f>
        <v>-37.269633690904847</v>
      </c>
    </row>
    <row r="155" spans="1:20" x14ac:dyDescent="0.25">
      <c r="A155" s="5">
        <v>44438</v>
      </c>
      <c r="B155">
        <v>0.36880000000000002</v>
      </c>
      <c r="C155">
        <v>0.41449999999999998</v>
      </c>
      <c r="D155">
        <v>0.33510000000000001</v>
      </c>
      <c r="E155">
        <v>0.34310000000000002</v>
      </c>
      <c r="F155">
        <v>713119469.04999995</v>
      </c>
      <c r="G155">
        <v>0.34310000000000002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-0.79848866498740534</v>
      </c>
      <c r="Q155">
        <f t="shared" ref="Q155" si="751">F155*P155</f>
        <v>-569417812.81826174</v>
      </c>
      <c r="R155">
        <f t="shared" ref="R155" si="752">R156+Q155</f>
        <v>-3476974543.8562837</v>
      </c>
      <c r="S155">
        <f t="shared" ref="S155" si="753">R155/100000</f>
        <v>-34769.745438562837</v>
      </c>
      <c r="T155">
        <f t="shared" ref="T155" si="754">S155/1000</f>
        <v>-34.769745438562836</v>
      </c>
    </row>
    <row r="156" spans="1:20" x14ac:dyDescent="0.25">
      <c r="A156" s="5">
        <v>44437</v>
      </c>
      <c r="B156">
        <v>0.3533</v>
      </c>
      <c r="C156">
        <v>0.39379999999999998</v>
      </c>
      <c r="D156">
        <v>0.31640000000000001</v>
      </c>
      <c r="E156">
        <v>0.36880000000000002</v>
      </c>
      <c r="F156">
        <v>682511041.52999997</v>
      </c>
      <c r="G156">
        <v>0.36880000000000002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0.35400516795865694</v>
      </c>
      <c r="Q156">
        <f t="shared" ref="Q156" si="756">F156*P156</f>
        <v>241612435.89046553</v>
      </c>
      <c r="R156">
        <f t="shared" ref="R156" si="757">R157+Q156</f>
        <v>-2907556731.038022</v>
      </c>
      <c r="S156">
        <f t="shared" ref="S156" si="758">R156/100000</f>
        <v>-29075.567310380222</v>
      </c>
      <c r="T156">
        <f t="shared" ref="T156" si="759">S156/1000</f>
        <v>-29.075567310380222</v>
      </c>
    </row>
    <row r="157" spans="1:20" x14ac:dyDescent="0.25">
      <c r="A157" s="5">
        <v>44436</v>
      </c>
      <c r="B157">
        <v>0.31819999999999998</v>
      </c>
      <c r="C157">
        <v>0.36820000000000003</v>
      </c>
      <c r="D157">
        <v>0.31</v>
      </c>
      <c r="E157">
        <v>0.35299999999999998</v>
      </c>
      <c r="F157">
        <v>650437638.20000005</v>
      </c>
      <c r="G157">
        <v>0.35299999999999998</v>
      </c>
      <c r="L157" t="s">
        <v>8</v>
      </c>
      <c r="M157" t="s">
        <v>8</v>
      </c>
      <c r="N157" t="s">
        <v>7</v>
      </c>
      <c r="P157">
        <f t="shared" ref="P157" si="760">IF(C157=D157,0,((E157-D157)-(C157-E157))/(C157-D157))</f>
        <v>0.47766323024054846</v>
      </c>
      <c r="Q157">
        <f t="shared" ref="Q157" si="761">F157*P157</f>
        <v>310690143.33264518</v>
      </c>
      <c r="R157">
        <f t="shared" ref="R157" si="762">R158+Q157</f>
        <v>-3149169166.9284878</v>
      </c>
      <c r="S157">
        <f t="shared" ref="S157" si="763">R157/100000</f>
        <v>-31491.691669284879</v>
      </c>
      <c r="T157">
        <f t="shared" ref="T157" si="764">S157/1000</f>
        <v>-31.491691669284879</v>
      </c>
    </row>
    <row r="158" spans="1:20" x14ac:dyDescent="0.25">
      <c r="A158" s="5">
        <v>44435</v>
      </c>
      <c r="B158">
        <v>0.30349999999999999</v>
      </c>
      <c r="C158">
        <v>0.32879999999999998</v>
      </c>
      <c r="D158">
        <v>0.28470000000000001</v>
      </c>
      <c r="E158">
        <v>0.31809999999999999</v>
      </c>
      <c r="F158">
        <v>599533281.05999994</v>
      </c>
      <c r="G158">
        <v>0.31809999999999999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0.51473922902494362</v>
      </c>
      <c r="Q158">
        <f t="shared" ref="Q158" si="766">F158*P158</f>
        <v>308603298.86761922</v>
      </c>
      <c r="R158">
        <f t="shared" ref="R158" si="767">R159+Q158</f>
        <v>-3459859310.2611332</v>
      </c>
      <c r="S158">
        <f t="shared" ref="S158" si="768">R158/100000</f>
        <v>-34598.593102611332</v>
      </c>
      <c r="T158">
        <f t="shared" ref="T158" si="769">S158/1000</f>
        <v>-34.598593102611332</v>
      </c>
    </row>
    <row r="159" spans="1:20" x14ac:dyDescent="0.25">
      <c r="A159" s="5">
        <v>44434</v>
      </c>
      <c r="B159">
        <v>0.34760000000000002</v>
      </c>
      <c r="C159">
        <v>0.40649999999999997</v>
      </c>
      <c r="D159">
        <v>0.3</v>
      </c>
      <c r="E159">
        <v>0.30330000000000001</v>
      </c>
      <c r="F159">
        <v>922116450.35000002</v>
      </c>
      <c r="G159">
        <v>0.30330000000000001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-0.93802816901408403</v>
      </c>
      <c r="Q159">
        <f t="shared" ref="Q159" si="771">F159*P159</f>
        <v>-864971205.53957701</v>
      </c>
      <c r="R159">
        <f t="shared" ref="R159" si="772">R160+Q159</f>
        <v>-3768462609.1287522</v>
      </c>
      <c r="S159">
        <f t="shared" ref="S159" si="773">R159/100000</f>
        <v>-37684.626091287522</v>
      </c>
      <c r="T159">
        <f t="shared" ref="T159" si="774">S159/1000</f>
        <v>-37.68462609128752</v>
      </c>
    </row>
    <row r="160" spans="1:20" x14ac:dyDescent="0.25">
      <c r="A160" s="5">
        <v>44433</v>
      </c>
      <c r="B160">
        <v>0.27</v>
      </c>
      <c r="C160">
        <v>0.36899999999999999</v>
      </c>
      <c r="D160">
        <v>0.25640000000000002</v>
      </c>
      <c r="E160">
        <v>0.34760000000000002</v>
      </c>
      <c r="F160">
        <v>1114685212.6500001</v>
      </c>
      <c r="G160">
        <v>0.34760000000000002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0.61989342806394354</v>
      </c>
      <c r="Q160">
        <f t="shared" ref="Q160" si="776">F160*P160</f>
        <v>690986037.6817944</v>
      </c>
      <c r="R160">
        <f t="shared" ref="R160" si="777">R161+Q160</f>
        <v>-2903491403.5891752</v>
      </c>
      <c r="S160">
        <f t="shared" ref="S160" si="778">R160/100000</f>
        <v>-29034.914035891754</v>
      </c>
      <c r="T160">
        <f t="shared" ref="T160" si="779">S160/1000</f>
        <v>-29.034914035891752</v>
      </c>
    </row>
    <row r="161" spans="1:20" x14ac:dyDescent="0.25">
      <c r="A161" s="5">
        <v>44432</v>
      </c>
      <c r="B161">
        <v>0.30159999999999998</v>
      </c>
      <c r="C161">
        <v>0.30449999999999999</v>
      </c>
      <c r="D161">
        <v>0.2636</v>
      </c>
      <c r="E161">
        <v>0.27010000000000001</v>
      </c>
      <c r="F161">
        <v>330782519.56</v>
      </c>
      <c r="G161">
        <v>0.27010000000000001</v>
      </c>
      <c r="L161" t="s">
        <v>7</v>
      </c>
      <c r="M161" t="s">
        <v>7</v>
      </c>
      <c r="N161" t="s">
        <v>7</v>
      </c>
      <c r="P161">
        <f t="shared" ref="P161" si="780">IF(C161=D161,0,((E161-D161)-(C161-E161))/(C161-D161))</f>
        <v>-0.68215158924205344</v>
      </c>
      <c r="Q161">
        <f t="shared" ref="Q161" si="781">F161*P161</f>
        <v>-225643821.41134462</v>
      </c>
      <c r="R161">
        <f t="shared" ref="R161" si="782">R162+Q161</f>
        <v>-3594477441.2709699</v>
      </c>
      <c r="S161">
        <f t="shared" ref="S161" si="783">R161/100000</f>
        <v>-35944.774412709696</v>
      </c>
      <c r="T161">
        <f t="shared" ref="T161" si="784">S161/1000</f>
        <v>-35.944774412709698</v>
      </c>
    </row>
    <row r="162" spans="1:20" x14ac:dyDescent="0.25">
      <c r="A162" s="5">
        <v>44431</v>
      </c>
      <c r="B162">
        <v>0.28649999999999998</v>
      </c>
      <c r="C162">
        <v>0.30980000000000002</v>
      </c>
      <c r="D162">
        <v>0.2848</v>
      </c>
      <c r="E162">
        <v>0.30159999999999998</v>
      </c>
      <c r="F162">
        <v>341712358.72000003</v>
      </c>
      <c r="G162">
        <v>0.30159999999999998</v>
      </c>
      <c r="L162" t="s">
        <v>8</v>
      </c>
      <c r="M162" t="s">
        <v>8</v>
      </c>
      <c r="N162" t="s">
        <v>7</v>
      </c>
      <c r="P162">
        <f t="shared" ref="P162" si="785">IF(C162=D162,0,((E162-D162)-(C162-E162))/(C162-D162))</f>
        <v>0.34399999999999731</v>
      </c>
      <c r="Q162">
        <f t="shared" ref="Q162" si="786">F162*P162</f>
        <v>117549051.39967909</v>
      </c>
      <c r="R162">
        <f t="shared" ref="R162" si="787">R163+Q162</f>
        <v>-3368833619.8596253</v>
      </c>
      <c r="S162">
        <f t="shared" ref="S162" si="788">R162/100000</f>
        <v>-33688.336198596255</v>
      </c>
      <c r="T162">
        <f t="shared" ref="T162" si="789">S162/1000</f>
        <v>-33.688336198596254</v>
      </c>
    </row>
    <row r="163" spans="1:20" x14ac:dyDescent="0.25">
      <c r="A163" s="5">
        <v>44430</v>
      </c>
      <c r="B163">
        <v>0.2908</v>
      </c>
      <c r="C163">
        <v>0.30009999999999998</v>
      </c>
      <c r="D163">
        <v>0.28620000000000001</v>
      </c>
      <c r="E163">
        <v>0.29170000000000001</v>
      </c>
      <c r="F163">
        <v>61957621.280000001</v>
      </c>
      <c r="G163">
        <v>0.29170000000000001</v>
      </c>
      <c r="L163" t="s">
        <v>7</v>
      </c>
      <c r="M163" t="s">
        <v>8</v>
      </c>
      <c r="N163" t="s">
        <v>7</v>
      </c>
      <c r="P163">
        <f t="shared" ref="P163" si="790">IF(C163=D163,0,((E163-D163)-(C163-E163))/(C163-D163))</f>
        <v>-0.20863309352517734</v>
      </c>
      <c r="Q163">
        <f t="shared" ref="Q163" si="791">F163*P163</f>
        <v>-12926410.195107758</v>
      </c>
      <c r="R163">
        <f t="shared" ref="R163" si="792">R164+Q163</f>
        <v>-3486382671.2593045</v>
      </c>
      <c r="S163">
        <f t="shared" ref="S163" si="793">R163/100000</f>
        <v>-34863.826712593043</v>
      </c>
      <c r="T163">
        <f t="shared" ref="T163" si="794">S163/1000</f>
        <v>-34.863826712593045</v>
      </c>
    </row>
    <row r="164" spans="1:20" x14ac:dyDescent="0.25">
      <c r="A164" s="5">
        <v>44429</v>
      </c>
      <c r="B164">
        <v>0.27789999999999998</v>
      </c>
      <c r="C164">
        <v>0.3145</v>
      </c>
      <c r="D164">
        <v>0.26529999999999998</v>
      </c>
      <c r="E164">
        <v>0.29070000000000001</v>
      </c>
      <c r="F164">
        <v>539579629.89999998</v>
      </c>
      <c r="G164">
        <v>0.29070000000000001</v>
      </c>
      <c r="L164" t="s">
        <v>8</v>
      </c>
      <c r="M164" t="s">
        <v>8</v>
      </c>
      <c r="N164" t="s">
        <v>7</v>
      </c>
      <c r="P164">
        <f t="shared" ref="P164" si="795">IF(C164=D164,0,((E164-D164)-(C164-E164))/(C164-D164))</f>
        <v>3.2520325203252952E-2</v>
      </c>
      <c r="Q164">
        <f t="shared" ref="Q164" si="796">F164*P164</f>
        <v>17547305.037398871</v>
      </c>
      <c r="R164">
        <f t="shared" ref="R164" si="797">R165+Q164</f>
        <v>-3473456261.0641966</v>
      </c>
      <c r="S164">
        <f t="shared" ref="S164" si="798">R164/100000</f>
        <v>-34734.562610641966</v>
      </c>
      <c r="T164">
        <f t="shared" ref="T164" si="799">S164/1000</f>
        <v>-34.734562610641966</v>
      </c>
    </row>
    <row r="165" spans="1:20" x14ac:dyDescent="0.25">
      <c r="A165" s="5">
        <v>44428</v>
      </c>
      <c r="B165">
        <v>0.27389999999999998</v>
      </c>
      <c r="C165">
        <v>0.28499999999999998</v>
      </c>
      <c r="D165">
        <v>0.2636</v>
      </c>
      <c r="E165">
        <v>0.27789999999999998</v>
      </c>
      <c r="F165">
        <v>254318227.80000001</v>
      </c>
      <c r="G165">
        <v>0.27789999999999998</v>
      </c>
      <c r="L165" t="s">
        <v>8</v>
      </c>
      <c r="M165" t="s">
        <v>8</v>
      </c>
      <c r="N165" t="s">
        <v>7</v>
      </c>
      <c r="P165">
        <f t="shared" ref="P165" si="800">IF(C165=D165,0,((E165-D165)-(C165-E165))/(C165-D165))</f>
        <v>0.33644859813084077</v>
      </c>
      <c r="Q165">
        <f t="shared" ref="Q165" si="801">F165*P165</f>
        <v>85565011.222429827</v>
      </c>
      <c r="R165">
        <f t="shared" ref="R165" si="802">R166+Q165</f>
        <v>-3491003566.1015954</v>
      </c>
      <c r="S165">
        <f t="shared" ref="S165" si="803">R165/100000</f>
        <v>-34910.035661015951</v>
      </c>
      <c r="T165">
        <f t="shared" ref="T165" si="804">S165/1000</f>
        <v>-34.910035661015954</v>
      </c>
    </row>
    <row r="166" spans="1:20" x14ac:dyDescent="0.25">
      <c r="A166" s="5">
        <v>44427</v>
      </c>
      <c r="B166">
        <v>0.25969999999999999</v>
      </c>
      <c r="C166">
        <v>0.27460000000000001</v>
      </c>
      <c r="D166">
        <v>0.2457</v>
      </c>
      <c r="E166">
        <v>0.27389999999999998</v>
      </c>
      <c r="F166">
        <v>313270255.97000003</v>
      </c>
      <c r="G166">
        <v>0.27389999999999998</v>
      </c>
      <c r="L166" t="s">
        <v>8</v>
      </c>
      <c r="M166" t="s">
        <v>7</v>
      </c>
      <c r="N166" t="s">
        <v>7</v>
      </c>
      <c r="P166">
        <f t="shared" ref="P166" si="805">IF(C166=D166,0,((E166-D166)-(C166-E166))/(C166-D166))</f>
        <v>0.95155709342560324</v>
      </c>
      <c r="Q166">
        <f t="shared" ref="Q166" si="806">F166*P166</f>
        <v>298094534.22750795</v>
      </c>
      <c r="R166">
        <f t="shared" ref="R166" si="807">R167+Q166</f>
        <v>-3576568577.3240252</v>
      </c>
      <c r="S166">
        <f t="shared" ref="S166" si="808">R166/100000</f>
        <v>-35765.68577324025</v>
      </c>
      <c r="T166">
        <f t="shared" ref="T166" si="809">S166/1000</f>
        <v>-35.76568577324025</v>
      </c>
    </row>
    <row r="167" spans="1:20" x14ac:dyDescent="0.25">
      <c r="A167" s="5">
        <v>44426</v>
      </c>
      <c r="B167">
        <v>0.2767</v>
      </c>
      <c r="C167">
        <v>0.28299999999999997</v>
      </c>
      <c r="D167">
        <v>0.23799999999999999</v>
      </c>
      <c r="E167">
        <v>0.25979999999999998</v>
      </c>
      <c r="F167">
        <v>432512391.05000001</v>
      </c>
      <c r="G167">
        <v>0.25979999999999998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-3.1111111111111395E-2</v>
      </c>
      <c r="Q167">
        <f t="shared" ref="Q167" si="811">F167*P167</f>
        <v>-13455941.054889012</v>
      </c>
      <c r="R167">
        <f t="shared" ref="R167" si="812">R168+Q167</f>
        <v>-3874663111.5515332</v>
      </c>
      <c r="S167">
        <f t="shared" ref="S167" si="813">R167/100000</f>
        <v>-38746.631115515331</v>
      </c>
      <c r="T167">
        <f t="shared" ref="T167" si="814">S167/1000</f>
        <v>-38.746631115515328</v>
      </c>
    </row>
    <row r="168" spans="1:20" x14ac:dyDescent="0.25">
      <c r="A168" s="5">
        <v>44425</v>
      </c>
      <c r="B168">
        <v>0.29659999999999997</v>
      </c>
      <c r="C168">
        <v>0.31569999999999998</v>
      </c>
      <c r="D168">
        <v>0.27</v>
      </c>
      <c r="E168">
        <v>0.27710000000000001</v>
      </c>
      <c r="F168">
        <v>435193739.79000002</v>
      </c>
      <c r="G168">
        <v>0.27710000000000001</v>
      </c>
      <c r="L168" t="s">
        <v>7</v>
      </c>
      <c r="M168" t="s">
        <v>7</v>
      </c>
      <c r="N168" t="s">
        <v>7</v>
      </c>
      <c r="P168">
        <f t="shared" ref="P168" si="815">IF(C168=D168,0,((E168-D168)-(C168-E168))/(C168-D168))</f>
        <v>-0.68927789934354478</v>
      </c>
      <c r="Q168">
        <f t="shared" ref="Q168" si="816">F168*P168</f>
        <v>-299969426.76991248</v>
      </c>
      <c r="R168">
        <f t="shared" ref="R168" si="817">R169+Q168</f>
        <v>-3861207170.496644</v>
      </c>
      <c r="S168">
        <f t="shared" ref="S168" si="818">R168/100000</f>
        <v>-38612.071704966438</v>
      </c>
      <c r="T168">
        <f t="shared" ref="T168" si="819">S168/1000</f>
        <v>-38.612071704966439</v>
      </c>
    </row>
    <row r="169" spans="1:20" x14ac:dyDescent="0.25">
      <c r="A169" s="5">
        <v>44424</v>
      </c>
      <c r="B169">
        <v>0.32</v>
      </c>
      <c r="C169">
        <v>0.33979999999999999</v>
      </c>
      <c r="D169">
        <v>0.28870000000000001</v>
      </c>
      <c r="E169">
        <v>0.2964</v>
      </c>
      <c r="F169">
        <v>534677318.69</v>
      </c>
      <c r="G169">
        <v>0.2964</v>
      </c>
      <c r="L169" t="s">
        <v>7</v>
      </c>
      <c r="M169" t="s">
        <v>7</v>
      </c>
      <c r="N169" t="s">
        <v>7</v>
      </c>
      <c r="P169">
        <f t="shared" ref="P169" si="820">IF(C169=D169,0,((E169-D169)-(C169-E169))/(C169-D169))</f>
        <v>-0.69863013698630183</v>
      </c>
      <c r="Q169">
        <f t="shared" ref="Q169" si="821">F169*P169</f>
        <v>-373541688.39986324</v>
      </c>
      <c r="R169">
        <f t="shared" ref="R169" si="822">R170+Q169</f>
        <v>-3561237743.7267313</v>
      </c>
      <c r="S169">
        <f t="shared" ref="S169" si="823">R169/100000</f>
        <v>-35612.377437267314</v>
      </c>
      <c r="T169">
        <f t="shared" ref="T169" si="824">S169/1000</f>
        <v>-35.612377437267313</v>
      </c>
    </row>
    <row r="170" spans="1:20" x14ac:dyDescent="0.25">
      <c r="A170" s="5">
        <v>44423</v>
      </c>
      <c r="B170">
        <v>0.2893</v>
      </c>
      <c r="C170">
        <v>0.34350000000000003</v>
      </c>
      <c r="D170">
        <v>0.28610000000000002</v>
      </c>
      <c r="E170">
        <v>0.32019999999999998</v>
      </c>
      <c r="F170">
        <v>730694759.78999996</v>
      </c>
      <c r="G170">
        <v>0.32019999999999998</v>
      </c>
      <c r="L170" t="s">
        <v>8</v>
      </c>
      <c r="M170" t="s">
        <v>8</v>
      </c>
      <c r="N170" t="s">
        <v>7</v>
      </c>
      <c r="P170">
        <f t="shared" ref="P170" si="825">IF(C170=D170,0,((E170-D170)-(C170-E170))/(C170-D170))</f>
        <v>0.18815331010452821</v>
      </c>
      <c r="Q170">
        <f t="shared" ref="Q170" si="826">F170*P170</f>
        <v>137482637.73052162</v>
      </c>
      <c r="R170">
        <f t="shared" ref="R170" si="827">R171+Q170</f>
        <v>-3187696055.3268681</v>
      </c>
      <c r="S170">
        <f t="shared" ref="S170" si="828">R170/100000</f>
        <v>-31876.96055326868</v>
      </c>
      <c r="T170">
        <f t="shared" ref="T170" si="829">S170/1000</f>
        <v>-31.876960553268681</v>
      </c>
    </row>
    <row r="171" spans="1:20" x14ac:dyDescent="0.25">
      <c r="A171" s="5">
        <v>44422</v>
      </c>
      <c r="B171">
        <v>0.29260000000000003</v>
      </c>
      <c r="C171">
        <v>0.312</v>
      </c>
      <c r="D171">
        <v>0.27479999999999999</v>
      </c>
      <c r="E171">
        <v>0.28899999999999998</v>
      </c>
      <c r="F171">
        <v>349596945.88</v>
      </c>
      <c r="G171">
        <v>0.28899999999999998</v>
      </c>
      <c r="L171" t="s">
        <v>8</v>
      </c>
      <c r="M171" t="s">
        <v>8</v>
      </c>
      <c r="N171" t="s">
        <v>7</v>
      </c>
      <c r="P171">
        <f t="shared" ref="P171" si="830">IF(C171=D171,0,((E171-D171)-(C171-E171))/(C171-D171))</f>
        <v>-0.23655913978494697</v>
      </c>
      <c r="Q171">
        <f t="shared" ref="Q171" si="831">F171*P171</f>
        <v>-82700352.788817465</v>
      </c>
      <c r="R171">
        <f t="shared" ref="R171" si="832">R172+Q171</f>
        <v>-3325178693.0573897</v>
      </c>
      <c r="S171">
        <f t="shared" ref="S171" si="833">R171/100000</f>
        <v>-33251.7869305739</v>
      </c>
      <c r="T171">
        <f t="shared" ref="T171" si="834">S171/1000</f>
        <v>-33.2517869305739</v>
      </c>
    </row>
    <row r="172" spans="1:20" x14ac:dyDescent="0.25">
      <c r="A172" s="5">
        <v>44421</v>
      </c>
      <c r="B172">
        <v>0.27100000000000002</v>
      </c>
      <c r="C172">
        <v>0.29959999999999998</v>
      </c>
      <c r="D172">
        <v>0.27039999999999997</v>
      </c>
      <c r="E172">
        <v>0.29260000000000003</v>
      </c>
      <c r="F172">
        <v>269874490.81999999</v>
      </c>
      <c r="G172">
        <v>0.29260000000000003</v>
      </c>
      <c r="L172" t="s">
        <v>8</v>
      </c>
      <c r="M172" t="s">
        <v>7</v>
      </c>
      <c r="N172" t="s">
        <v>7</v>
      </c>
      <c r="P172">
        <f t="shared" ref="P172" si="835">IF(C172=D172,0,((E172-D172)-(C172-E172))/(C172-D172))</f>
        <v>0.52054794520548286</v>
      </c>
      <c r="Q172">
        <f t="shared" ref="Q172" si="836">F172*P172</f>
        <v>140482611.65972695</v>
      </c>
      <c r="R172">
        <f t="shared" ref="R172" si="837">R173+Q172</f>
        <v>-3242478340.2685723</v>
      </c>
      <c r="S172">
        <f t="shared" ref="S172" si="838">R172/100000</f>
        <v>-32424.783402685724</v>
      </c>
      <c r="T172">
        <f t="shared" ref="T172" si="839">S172/1000</f>
        <v>-32.424783402685726</v>
      </c>
    </row>
    <row r="173" spans="1:20" x14ac:dyDescent="0.25">
      <c r="A173" s="5">
        <v>44420</v>
      </c>
      <c r="B173">
        <v>0.2878</v>
      </c>
      <c r="C173">
        <v>0.30399999999999999</v>
      </c>
      <c r="D173">
        <v>0.26329999999999998</v>
      </c>
      <c r="E173">
        <v>0.27100000000000002</v>
      </c>
      <c r="F173">
        <v>403029635.13</v>
      </c>
      <c r="G173">
        <v>0.27100000000000002</v>
      </c>
      <c r="L173" t="s">
        <v>7</v>
      </c>
      <c r="M173" t="s">
        <v>7</v>
      </c>
      <c r="N173" t="s">
        <v>7</v>
      </c>
      <c r="P173">
        <f t="shared" ref="P173" si="840">IF(C173=D173,0,((E173-D173)-(C173-E173))/(C173-D173))</f>
        <v>-0.62162162162161982</v>
      </c>
      <c r="Q173">
        <f t="shared" ref="Q173" si="841">F173*P173</f>
        <v>-250531935.35108036</v>
      </c>
      <c r="R173">
        <f t="shared" ref="R173" si="842">R174+Q173</f>
        <v>-3382960951.9282994</v>
      </c>
      <c r="S173">
        <f t="shared" ref="S173" si="843">R173/100000</f>
        <v>-33829.609519282996</v>
      </c>
      <c r="T173">
        <f t="shared" ref="T173" si="844">S173/1000</f>
        <v>-33.829609519282997</v>
      </c>
    </row>
    <row r="174" spans="1:20" x14ac:dyDescent="0.25">
      <c r="A174" s="5">
        <v>44419</v>
      </c>
      <c r="B174">
        <v>0.31030000000000002</v>
      </c>
      <c r="C174">
        <v>0.3266</v>
      </c>
      <c r="D174">
        <v>0.28399999999999997</v>
      </c>
      <c r="E174">
        <v>0.28770000000000001</v>
      </c>
      <c r="F174">
        <v>476104365.32999998</v>
      </c>
      <c r="G174">
        <v>0.28770000000000001</v>
      </c>
      <c r="L174" t="s">
        <v>8</v>
      </c>
      <c r="M174" t="s">
        <v>8</v>
      </c>
      <c r="N174" t="s">
        <v>7</v>
      </c>
      <c r="P174">
        <f t="shared" ref="P174" si="845">IF(C174=D174,0,((E174-D174)-(C174-E174))/(C174-D174))</f>
        <v>-0.82629107981220495</v>
      </c>
      <c r="Q174">
        <f t="shared" ref="Q174" si="846">F174*P174</f>
        <v>-393400790.13183022</v>
      </c>
      <c r="R174">
        <f t="shared" ref="R174" si="847">R175+Q174</f>
        <v>-3132429016.577219</v>
      </c>
      <c r="S174">
        <f t="shared" ref="S174" si="848">R174/100000</f>
        <v>-31324.290165772189</v>
      </c>
      <c r="T174">
        <f t="shared" ref="T174" si="849">S174/1000</f>
        <v>-31.32429016577219</v>
      </c>
    </row>
    <row r="175" spans="1:20" x14ac:dyDescent="0.25">
      <c r="A175" s="5">
        <v>44418</v>
      </c>
      <c r="B175">
        <v>0.28060000000000002</v>
      </c>
      <c r="C175">
        <v>0.32200000000000001</v>
      </c>
      <c r="D175">
        <v>0.27410000000000001</v>
      </c>
      <c r="E175">
        <v>0.31040000000000001</v>
      </c>
      <c r="F175">
        <v>616686461.52999997</v>
      </c>
      <c r="G175">
        <v>0.31040000000000001</v>
      </c>
      <c r="L175" t="s">
        <v>8</v>
      </c>
      <c r="M175" t="s">
        <v>8</v>
      </c>
      <c r="N175" t="s">
        <v>7</v>
      </c>
      <c r="P175">
        <f t="shared" ref="P175" si="850">IF(C175=D175,0,((E175-D175)-(C175-E175))/(C175-D175))</f>
        <v>0.51565762004175364</v>
      </c>
      <c r="Q175">
        <f t="shared" ref="Q175" si="851">F175*P175</f>
        <v>317999073.06453025</v>
      </c>
      <c r="R175">
        <f t="shared" ref="R175" si="852">R176+Q175</f>
        <v>-2739028226.4453888</v>
      </c>
      <c r="S175">
        <f t="shared" ref="S175" si="853">R175/100000</f>
        <v>-27390.282264453886</v>
      </c>
      <c r="T175">
        <f t="shared" ref="T175" si="854">S175/1000</f>
        <v>-27.390282264453887</v>
      </c>
    </row>
    <row r="176" spans="1:20" x14ac:dyDescent="0.25">
      <c r="A176" s="5">
        <v>44417</v>
      </c>
      <c r="B176">
        <v>0.26869999999999999</v>
      </c>
      <c r="C176">
        <v>0.28910000000000002</v>
      </c>
      <c r="D176">
        <v>0.25559999999999999</v>
      </c>
      <c r="E176">
        <v>0.28060000000000002</v>
      </c>
      <c r="F176">
        <v>333809600.38</v>
      </c>
      <c r="G176">
        <v>0.28060000000000002</v>
      </c>
      <c r="L176" t="s">
        <v>8</v>
      </c>
      <c r="M176" t="s">
        <v>8</v>
      </c>
      <c r="N176" t="s">
        <v>7</v>
      </c>
      <c r="P176">
        <f t="shared" ref="P176" si="855">IF(C176=D176,0,((E176-D176)-(C176-E176))/(C176-D176))</f>
        <v>0.4925373134328358</v>
      </c>
      <c r="Q176">
        <f t="shared" ref="Q176" si="856">F176*P176</f>
        <v>164413683.76925373</v>
      </c>
      <c r="R176">
        <f t="shared" ref="R176" si="857">R177+Q176</f>
        <v>-3057027299.5099192</v>
      </c>
      <c r="S176">
        <f t="shared" ref="S176" si="858">R176/100000</f>
        <v>-30570.272995099192</v>
      </c>
      <c r="T176">
        <f t="shared" ref="T176" si="859">S176/1000</f>
        <v>-30.570272995099192</v>
      </c>
    </row>
    <row r="177" spans="1:20" x14ac:dyDescent="0.25">
      <c r="A177" s="5">
        <v>44416</v>
      </c>
      <c r="B177">
        <v>0.28100000000000003</v>
      </c>
      <c r="C177">
        <v>0.29649999999999999</v>
      </c>
      <c r="D177">
        <v>0.26</v>
      </c>
      <c r="E177">
        <v>0.26869999999999999</v>
      </c>
      <c r="F177">
        <v>320451372.06</v>
      </c>
      <c r="G177">
        <v>0.26869999999999999</v>
      </c>
      <c r="L177" t="s">
        <v>7</v>
      </c>
      <c r="M177" t="s">
        <v>8</v>
      </c>
      <c r="N177" t="s">
        <v>7</v>
      </c>
      <c r="P177">
        <f t="shared" ref="P177" si="860">IF(C177=D177,0,((E177-D177)-(C177-E177))/(C177-D177))</f>
        <v>-0.52328767123287723</v>
      </c>
      <c r="Q177">
        <f t="shared" ref="Q177" si="861">F177*P177</f>
        <v>-167688252.22865769</v>
      </c>
      <c r="R177">
        <f t="shared" ref="R177" si="862">R178+Q177</f>
        <v>-3221440983.2791729</v>
      </c>
      <c r="S177">
        <f t="shared" ref="S177" si="863">R177/100000</f>
        <v>-32214.409832791727</v>
      </c>
      <c r="T177">
        <f t="shared" ref="T177" si="864">S177/1000</f>
        <v>-32.214409832791731</v>
      </c>
    </row>
    <row r="178" spans="1:20" x14ac:dyDescent="0.25">
      <c r="A178" s="5">
        <v>44415</v>
      </c>
      <c r="B178">
        <v>0.28939999999999999</v>
      </c>
      <c r="C178">
        <v>0.30499999999999999</v>
      </c>
      <c r="D178">
        <v>0.27229999999999999</v>
      </c>
      <c r="E178">
        <v>0.28120000000000001</v>
      </c>
      <c r="F178">
        <v>342998838.64999998</v>
      </c>
      <c r="G178">
        <v>0.28120000000000001</v>
      </c>
      <c r="L178" t="s">
        <v>7</v>
      </c>
      <c r="M178" t="s">
        <v>8</v>
      </c>
      <c r="N178" t="s">
        <v>7</v>
      </c>
      <c r="P178">
        <f t="shared" ref="P178" si="865">IF(C178=D178,0,((E178-D178)-(C178-E178))/(C178-D178))</f>
        <v>-0.45565749235473901</v>
      </c>
      <c r="Q178">
        <f t="shared" ref="Q178" si="866">F178*P178</f>
        <v>-156289990.69984671</v>
      </c>
      <c r="R178">
        <f t="shared" ref="R178" si="867">R179+Q178</f>
        <v>-3053752731.0505152</v>
      </c>
      <c r="S178">
        <f t="shared" ref="S178" si="868">R178/100000</f>
        <v>-30537.527310505153</v>
      </c>
      <c r="T178">
        <f t="shared" ref="T178" si="869">S178/1000</f>
        <v>-30.537527310505151</v>
      </c>
    </row>
    <row r="179" spans="1:20" x14ac:dyDescent="0.25">
      <c r="A179" s="5">
        <v>44414</v>
      </c>
      <c r="B179">
        <v>0.2777</v>
      </c>
      <c r="C179">
        <v>0.31</v>
      </c>
      <c r="D179">
        <v>0.26800000000000002</v>
      </c>
      <c r="E179">
        <v>0.28939999999999999</v>
      </c>
      <c r="F179">
        <v>461656648.97000003</v>
      </c>
      <c r="G179">
        <v>0.28939999999999999</v>
      </c>
      <c r="L179" t="s">
        <v>8</v>
      </c>
      <c r="M179" t="s">
        <v>8</v>
      </c>
      <c r="N179" t="s">
        <v>7</v>
      </c>
      <c r="P179">
        <f t="shared" ref="P179" si="870">IF(C179=D179,0,((E179-D179)-(C179-E179))/(C179-D179))</f>
        <v>1.9047619047618279E-2</v>
      </c>
      <c r="Q179">
        <f t="shared" ref="Q179" si="871">F179*P179</f>
        <v>8793459.9803805985</v>
      </c>
      <c r="R179">
        <f t="shared" ref="R179" si="872">R180+Q179</f>
        <v>-2897462740.3506684</v>
      </c>
      <c r="S179">
        <f t="shared" ref="S179" si="873">R179/100000</f>
        <v>-28974.627403506685</v>
      </c>
      <c r="T179">
        <f t="shared" ref="T179" si="874">S179/1000</f>
        <v>-28.974627403506684</v>
      </c>
    </row>
    <row r="180" spans="1:20" x14ac:dyDescent="0.25">
      <c r="A180" s="5">
        <v>44413</v>
      </c>
      <c r="B180">
        <v>0.27629999999999999</v>
      </c>
      <c r="C180">
        <v>0.2868</v>
      </c>
      <c r="D180">
        <v>0.2621</v>
      </c>
      <c r="E180">
        <v>0.27760000000000001</v>
      </c>
      <c r="F180">
        <v>336980005.61000001</v>
      </c>
      <c r="G180">
        <v>0.27760000000000001</v>
      </c>
      <c r="L180" t="s">
        <v>7</v>
      </c>
      <c r="M180" t="s">
        <v>7</v>
      </c>
      <c r="N180" t="s">
        <v>7</v>
      </c>
      <c r="P180">
        <f t="shared" ref="P180" si="875">IF(C180=D180,0,((E180-D180)-(C180-E180))/(C180-D180))</f>
        <v>0.2550607287449404</v>
      </c>
      <c r="Q180">
        <f t="shared" ref="Q180" si="876">F180*P180</f>
        <v>85950365.803360716</v>
      </c>
      <c r="R180">
        <f t="shared" ref="R180" si="877">R181+Q180</f>
        <v>-2906256200.331049</v>
      </c>
      <c r="S180">
        <f t="shared" ref="S180" si="878">R180/100000</f>
        <v>-29062.56200331049</v>
      </c>
      <c r="T180">
        <f t="shared" ref="T180" si="879">S180/1000</f>
        <v>-29.062562003310489</v>
      </c>
    </row>
    <row r="181" spans="1:20" x14ac:dyDescent="0.25">
      <c r="A181" s="5">
        <v>44412</v>
      </c>
      <c r="B181">
        <v>0.26269999999999999</v>
      </c>
      <c r="C181">
        <v>0.28839999999999999</v>
      </c>
      <c r="D181">
        <v>0.25679999999999997</v>
      </c>
      <c r="E181">
        <v>0.2767</v>
      </c>
      <c r="F181">
        <v>406819857.07999998</v>
      </c>
      <c r="G181">
        <v>0.2767</v>
      </c>
      <c r="L181" t="s">
        <v>8</v>
      </c>
      <c r="M181" t="s">
        <v>7</v>
      </c>
      <c r="N181" t="s">
        <v>7</v>
      </c>
      <c r="P181">
        <f t="shared" ref="P181" si="880">IF(C181=D181,0,((E181-D181)-(C181-E181))/(C181-D181))</f>
        <v>0.25949367088607711</v>
      </c>
      <c r="Q181">
        <f t="shared" ref="Q181" si="881">F181*P181</f>
        <v>105567178.10303845</v>
      </c>
      <c r="R181">
        <f t="shared" ref="R181" si="882">R182+Q181</f>
        <v>-2992206566.1344099</v>
      </c>
      <c r="S181">
        <f t="shared" ref="S181" si="883">R181/100000</f>
        <v>-29922.065661344099</v>
      </c>
      <c r="T181">
        <f t="shared" ref="T181" si="884">S181/1000</f>
        <v>-29.922065661344099</v>
      </c>
    </row>
    <row r="182" spans="1:20" x14ac:dyDescent="0.25">
      <c r="A182" s="5">
        <v>44411</v>
      </c>
      <c r="B182">
        <v>0.28079999999999999</v>
      </c>
      <c r="C182">
        <v>0.28410000000000002</v>
      </c>
      <c r="D182">
        <v>0.25180000000000002</v>
      </c>
      <c r="E182">
        <v>0.26269999999999999</v>
      </c>
      <c r="F182">
        <v>319786712.88</v>
      </c>
      <c r="G182">
        <v>0.26269999999999999</v>
      </c>
      <c r="L182" t="s">
        <v>7</v>
      </c>
      <c r="M182" t="s">
        <v>7</v>
      </c>
      <c r="N182" t="s">
        <v>7</v>
      </c>
      <c r="P182">
        <f t="shared" ref="P182" si="885">IF(C182=D182,0,((E182-D182)-(C182-E182))/(C182-D182))</f>
        <v>-0.32507739938080699</v>
      </c>
      <c r="Q182">
        <f t="shared" ref="Q182" si="886">F182*P182</f>
        <v>-103955432.97956721</v>
      </c>
      <c r="R182">
        <f t="shared" ref="R182" si="887">R183+Q182</f>
        <v>-3097773744.2374482</v>
      </c>
      <c r="S182">
        <f t="shared" ref="S182" si="888">R182/100000</f>
        <v>-30977.73744237448</v>
      </c>
      <c r="T182">
        <f t="shared" ref="T182" si="889">S182/1000</f>
        <v>-30.97773744237448</v>
      </c>
    </row>
    <row r="183" spans="1:20" x14ac:dyDescent="0.25">
      <c r="A183" s="5">
        <v>44410</v>
      </c>
      <c r="B183">
        <v>0.28399999999999997</v>
      </c>
      <c r="C183">
        <v>0.30370000000000003</v>
      </c>
      <c r="D183">
        <v>0.27700000000000002</v>
      </c>
      <c r="E183">
        <v>0.28060000000000002</v>
      </c>
      <c r="F183">
        <v>345702424.35000002</v>
      </c>
      <c r="G183">
        <v>0.28060000000000002</v>
      </c>
      <c r="L183" t="s">
        <v>8</v>
      </c>
      <c r="M183" t="s">
        <v>7</v>
      </c>
      <c r="N183" t="s">
        <v>8</v>
      </c>
      <c r="P183">
        <f t="shared" ref="P183" si="890">IF(C183=D183,0,((E183-D183)-(C183-E183))/(C183-D183))</f>
        <v>-0.73033707865168596</v>
      </c>
      <c r="Q183">
        <f t="shared" ref="Q183" si="891">F183*P183</f>
        <v>-252479298.68258449</v>
      </c>
      <c r="R183">
        <f t="shared" ref="R183" si="892">R184+Q183</f>
        <v>-2993818311.2578812</v>
      </c>
      <c r="S183">
        <f t="shared" ref="S183" si="893">R183/100000</f>
        <v>-29938.183112578812</v>
      </c>
      <c r="T183">
        <f t="shared" ref="T183" si="894">S183/1000</f>
        <v>-29.938183112578812</v>
      </c>
    </row>
    <row r="184" spans="1:20" x14ac:dyDescent="0.25">
      <c r="A184" s="5">
        <v>44409</v>
      </c>
      <c r="B184">
        <v>0.30559999999999998</v>
      </c>
      <c r="C184">
        <v>0.30790000000000001</v>
      </c>
      <c r="D184">
        <v>0.27589999999999998</v>
      </c>
      <c r="E184">
        <v>0.28370000000000001</v>
      </c>
      <c r="F184">
        <v>415526156.32999998</v>
      </c>
      <c r="G184">
        <v>0.28370000000000001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-0.51249999999999862</v>
      </c>
      <c r="Q184">
        <f t="shared" ref="Q184" si="896">F184*P184</f>
        <v>-212957155.11912441</v>
      </c>
      <c r="R184">
        <f t="shared" ref="R184" si="897">R185+Q184</f>
        <v>-2741339012.5752969</v>
      </c>
      <c r="S184">
        <f t="shared" ref="S184" si="898">R184/100000</f>
        <v>-27413.390125752969</v>
      </c>
      <c r="T184">
        <f t="shared" ref="T184" si="899">S184/1000</f>
        <v>-27.413390125752969</v>
      </c>
    </row>
    <row r="185" spans="1:20" x14ac:dyDescent="0.25">
      <c r="A185" s="5">
        <v>44408</v>
      </c>
      <c r="B185">
        <v>0.2873</v>
      </c>
      <c r="C185">
        <v>0.3296</v>
      </c>
      <c r="D185">
        <v>0.28050000000000003</v>
      </c>
      <c r="E185">
        <v>0.30530000000000002</v>
      </c>
      <c r="F185">
        <v>668276198.33000004</v>
      </c>
      <c r="G185">
        <v>0.30530000000000002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1.0183299389002051E-2</v>
      </c>
      <c r="Q185">
        <f t="shared" ref="Q185" si="901">F185*P185</f>
        <v>6805256.6021385025</v>
      </c>
      <c r="R185">
        <f t="shared" ref="R185" si="902">R186+Q185</f>
        <v>-2528381857.4561725</v>
      </c>
      <c r="S185">
        <f t="shared" ref="S185" si="903">R185/100000</f>
        <v>-25283.818574561723</v>
      </c>
      <c r="T185">
        <f t="shared" ref="T185" si="904">S185/1000</f>
        <v>-25.283818574561725</v>
      </c>
    </row>
    <row r="186" spans="1:20" x14ac:dyDescent="0.25">
      <c r="A186" s="5">
        <v>44407</v>
      </c>
      <c r="B186">
        <v>0.29310000000000003</v>
      </c>
      <c r="C186">
        <v>0.309</v>
      </c>
      <c r="D186">
        <v>0.26910000000000001</v>
      </c>
      <c r="E186">
        <v>0.2873</v>
      </c>
      <c r="F186">
        <v>539770359.48000002</v>
      </c>
      <c r="G186">
        <v>0.2873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-8.7719298245614127E-2</v>
      </c>
      <c r="Q186">
        <f t="shared" ref="Q186" si="906">F186*P186</f>
        <v>-47348277.147368476</v>
      </c>
      <c r="R186">
        <f t="shared" ref="R186" si="907">R187+Q186</f>
        <v>-2535187114.058311</v>
      </c>
      <c r="S186">
        <f t="shared" ref="S186" si="908">R186/100000</f>
        <v>-25351.871140583109</v>
      </c>
      <c r="T186">
        <f t="shared" ref="T186" si="909">S186/1000</f>
        <v>-25.351871140583111</v>
      </c>
    </row>
    <row r="187" spans="1:20" x14ac:dyDescent="0.25">
      <c r="A187" s="5">
        <v>44406</v>
      </c>
      <c r="B187">
        <v>0.2944</v>
      </c>
      <c r="C187">
        <v>0.32100000000000001</v>
      </c>
      <c r="D187">
        <v>0.28000000000000003</v>
      </c>
      <c r="E187">
        <v>0.29289999999999999</v>
      </c>
      <c r="F187">
        <v>611238502.76999998</v>
      </c>
      <c r="G187">
        <v>0.29289999999999999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-0.3707317073170745</v>
      </c>
      <c r="Q187">
        <f t="shared" ref="Q187" si="911">F187*P187</f>
        <v>-226605493.70985445</v>
      </c>
      <c r="R187">
        <f t="shared" ref="R187" si="912">R188+Q187</f>
        <v>-2487838836.9109426</v>
      </c>
      <c r="S187">
        <f t="shared" ref="S187" si="913">R187/100000</f>
        <v>-24878.388369109427</v>
      </c>
      <c r="T187">
        <f t="shared" ref="T187" si="914">S187/1000</f>
        <v>-24.878388369109427</v>
      </c>
    </row>
    <row r="188" spans="1:20" x14ac:dyDescent="0.25">
      <c r="A188" s="5">
        <v>44405</v>
      </c>
      <c r="B188">
        <v>0.32350000000000001</v>
      </c>
      <c r="C188">
        <v>0.34399999999999997</v>
      </c>
      <c r="D188">
        <v>0.28599999999999998</v>
      </c>
      <c r="E188">
        <v>0.29430000000000001</v>
      </c>
      <c r="F188">
        <v>732433568.16999996</v>
      </c>
      <c r="G188">
        <v>0.29430000000000001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-0.71379310344827485</v>
      </c>
      <c r="Q188">
        <f t="shared" ref="Q188" si="916">F188*P188</f>
        <v>-522806029.69375783</v>
      </c>
      <c r="R188">
        <f t="shared" ref="R188" si="917">R189+Q188</f>
        <v>-2261233343.201088</v>
      </c>
      <c r="S188">
        <f t="shared" ref="S188" si="918">R188/100000</f>
        <v>-22612.333432010881</v>
      </c>
      <c r="T188">
        <f t="shared" ref="T188" si="919">S188/1000</f>
        <v>-22.612333432010882</v>
      </c>
    </row>
    <row r="189" spans="1:20" x14ac:dyDescent="0.25">
      <c r="A189" s="5">
        <v>44404</v>
      </c>
      <c r="B189">
        <v>0.27410000000000001</v>
      </c>
      <c r="C189">
        <v>0.3518</v>
      </c>
      <c r="D189">
        <v>0.25059999999999999</v>
      </c>
      <c r="E189">
        <v>0.32340000000000002</v>
      </c>
      <c r="F189">
        <v>1578225753.52</v>
      </c>
      <c r="G189">
        <v>0.32340000000000002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0.43873517786561311</v>
      </c>
      <c r="Q189">
        <f t="shared" ref="Q189" si="921">F189*P189</f>
        <v>692423156.68268847</v>
      </c>
      <c r="R189">
        <f t="shared" ref="R189" si="922">R190+Q189</f>
        <v>-1738427313.5073302</v>
      </c>
      <c r="S189">
        <f t="shared" ref="S189" si="923">R189/100000</f>
        <v>-17384.273135073301</v>
      </c>
      <c r="T189">
        <f t="shared" ref="T189" si="924">S189/1000</f>
        <v>-17.3842731350733</v>
      </c>
    </row>
    <row r="190" spans="1:20" x14ac:dyDescent="0.25">
      <c r="A190" s="5">
        <v>44403</v>
      </c>
      <c r="B190">
        <v>0.36809999999999998</v>
      </c>
      <c r="C190">
        <v>0.36930000000000002</v>
      </c>
      <c r="D190">
        <v>0.26179999999999998</v>
      </c>
      <c r="E190">
        <v>0.27410000000000001</v>
      </c>
      <c r="F190">
        <v>1452516067.52</v>
      </c>
      <c r="G190">
        <v>0.27410000000000001</v>
      </c>
      <c r="L190" t="s">
        <v>7</v>
      </c>
      <c r="M190" t="s">
        <v>7</v>
      </c>
      <c r="N190" t="s">
        <v>7</v>
      </c>
      <c r="P190">
        <f t="shared" ref="P190" si="925">IF(C190=D190,0,((E190-D190)-(C190-E190))/(C190-D190))</f>
        <v>-0.77116279069767391</v>
      </c>
      <c r="Q190">
        <f t="shared" ref="Q190" si="926">F190*P190</f>
        <v>-1120126344.1619341</v>
      </c>
      <c r="R190">
        <f t="shared" ref="R190" si="927">R191+Q190</f>
        <v>-2430850470.1900187</v>
      </c>
      <c r="S190">
        <f t="shared" ref="S190" si="928">R190/100000</f>
        <v>-24308.504701900187</v>
      </c>
      <c r="T190">
        <f t="shared" ref="T190" si="929">S190/1000</f>
        <v>-24.308504701900187</v>
      </c>
    </row>
    <row r="191" spans="1:20" x14ac:dyDescent="0.25">
      <c r="A191" s="5">
        <v>44402</v>
      </c>
      <c r="B191">
        <v>0.2848</v>
      </c>
      <c r="C191">
        <v>0.37430000000000002</v>
      </c>
      <c r="D191">
        <v>0.2379</v>
      </c>
      <c r="E191">
        <v>0.36830000000000002</v>
      </c>
      <c r="F191">
        <v>2261558782.5</v>
      </c>
      <c r="G191">
        <v>0.36830000000000002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0.91202346041055715</v>
      </c>
      <c r="Q191">
        <f t="shared" ref="Q191" si="931">F191*P191</f>
        <v>2062594666.7375367</v>
      </c>
      <c r="R191">
        <f t="shared" ref="R191" si="932">R192+Q191</f>
        <v>-1310724126.0280845</v>
      </c>
      <c r="S191">
        <f t="shared" ref="S191" si="933">R191/100000</f>
        <v>-13107.241260280845</v>
      </c>
      <c r="T191">
        <f t="shared" ref="T191:T197" si="934">S191/1000</f>
        <v>-13.107241260280846</v>
      </c>
    </row>
    <row r="192" spans="1:20" x14ac:dyDescent="0.25">
      <c r="A192" s="5">
        <v>44401</v>
      </c>
      <c r="B192">
        <v>0.24440000000000001</v>
      </c>
      <c r="C192">
        <v>0.30599999999999999</v>
      </c>
      <c r="D192">
        <v>0.22770000000000001</v>
      </c>
      <c r="E192">
        <v>0.2848</v>
      </c>
      <c r="F192">
        <v>1685011227.4100001</v>
      </c>
      <c r="G192">
        <v>0.2848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0.45849297573435499</v>
      </c>
      <c r="Q192">
        <f t="shared" ref="Q192" si="936">F192*P192</f>
        <v>772565811.80100894</v>
      </c>
      <c r="R192">
        <f t="shared" ref="R192" si="937">R193+Q192</f>
        <v>-3373318792.7656212</v>
      </c>
      <c r="S192">
        <f t="shared" ref="S192" si="938">R192/100000</f>
        <v>-33733.18792765621</v>
      </c>
      <c r="T192">
        <f t="shared" si="934"/>
        <v>-33.733187927656211</v>
      </c>
    </row>
    <row r="193" spans="1:20" x14ac:dyDescent="0.25">
      <c r="A193" s="5">
        <v>44400</v>
      </c>
      <c r="B193">
        <v>0.1721</v>
      </c>
      <c r="C193">
        <v>0.26769999999999999</v>
      </c>
      <c r="D193">
        <v>0.1719</v>
      </c>
      <c r="E193">
        <v>0.24399999999999999</v>
      </c>
      <c r="F193">
        <v>1713517830.78</v>
      </c>
      <c r="G193">
        <v>0.24399999999999999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0.50521920668058451</v>
      </c>
      <c r="Q193">
        <f t="shared" ref="Q193" si="940">F193*P193</f>
        <v>865702119.0997076</v>
      </c>
      <c r="R193">
        <f t="shared" ref="R193" si="941">R194+Q193</f>
        <v>-4145884604.5666304</v>
      </c>
      <c r="S193">
        <f t="shared" ref="S193" si="942">R193/100000</f>
        <v>-41458.846045666302</v>
      </c>
      <c r="T193">
        <f t="shared" si="934"/>
        <v>-41.458846045666299</v>
      </c>
    </row>
    <row r="194" spans="1:20" x14ac:dyDescent="0.25">
      <c r="A194" s="5">
        <v>44399</v>
      </c>
      <c r="B194">
        <v>0.17680000000000001</v>
      </c>
      <c r="C194">
        <v>0.19670000000000001</v>
      </c>
      <c r="D194">
        <v>0.17019999999999999</v>
      </c>
      <c r="E194">
        <v>0.17199999999999999</v>
      </c>
      <c r="F194">
        <v>1206481834.97</v>
      </c>
      <c r="G194">
        <v>0.17199999999999999</v>
      </c>
      <c r="L194" t="s">
        <v>8</v>
      </c>
      <c r="M194" t="s">
        <v>8</v>
      </c>
      <c r="N194" t="s">
        <v>8</v>
      </c>
      <c r="P194">
        <f t="shared" ref="P194" si="943">IF(C194=D194,0,((E194-D194)-(C194-E194))/(C194-D194))</f>
        <v>-0.86415094339622689</v>
      </c>
      <c r="Q194">
        <f t="shared" ref="Q194" si="944">F194*P194</f>
        <v>-1042582415.8797364</v>
      </c>
      <c r="R194">
        <f t="shared" ref="R194" si="945">R195+Q194</f>
        <v>-5011586723.666338</v>
      </c>
      <c r="S194">
        <f t="shared" ref="S194" si="946">R194/100000</f>
        <v>-50115.867236663376</v>
      </c>
      <c r="T194">
        <f t="shared" si="934"/>
        <v>-50.115867236663377</v>
      </c>
    </row>
    <row r="195" spans="1:20" x14ac:dyDescent="0.25">
      <c r="A195" s="5">
        <v>44398</v>
      </c>
      <c r="B195">
        <v>0.13569999999999999</v>
      </c>
      <c r="C195">
        <v>0.18190000000000001</v>
      </c>
      <c r="D195">
        <v>0.1313</v>
      </c>
      <c r="E195">
        <v>0.17680000000000001</v>
      </c>
      <c r="F195">
        <v>1133719436.3699999</v>
      </c>
      <c r="G195">
        <v>0.17680000000000001</v>
      </c>
      <c r="L195" t="s">
        <v>8</v>
      </c>
      <c r="M195" t="s">
        <v>8</v>
      </c>
      <c r="N195" t="s">
        <v>8</v>
      </c>
      <c r="P195">
        <f t="shared" ref="P195" si="947">IF(C195=D195,0,((E195-D195)-(C195-E195))/(C195-D195))</f>
        <v>0.79841897233201609</v>
      </c>
      <c r="Q195">
        <f t="shared" ref="Q195" si="948">F195*P195</f>
        <v>905183107.29936779</v>
      </c>
      <c r="R195">
        <f t="shared" ref="R195" si="949">R196+Q195</f>
        <v>-3969004307.786602</v>
      </c>
      <c r="S195">
        <f t="shared" ref="S195" si="950">R195/100000</f>
        <v>-39690.043077866023</v>
      </c>
      <c r="T195">
        <f t="shared" si="934"/>
        <v>-39.690043077866022</v>
      </c>
    </row>
    <row r="196" spans="1:20" x14ac:dyDescent="0.25">
      <c r="A196" s="5">
        <v>44397</v>
      </c>
      <c r="B196">
        <v>0.1605</v>
      </c>
      <c r="C196">
        <v>0.16309999999999999</v>
      </c>
      <c r="D196">
        <v>0.12909999999999999</v>
      </c>
      <c r="E196">
        <v>0.1358</v>
      </c>
      <c r="F196">
        <v>658917939.34000003</v>
      </c>
      <c r="G196">
        <v>0.1358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-0.60588235294117587</v>
      </c>
      <c r="Q196">
        <f t="shared" ref="Q196" si="952">F196*P196</f>
        <v>-399226751.48247021</v>
      </c>
      <c r="R196">
        <f t="shared" ref="R196" si="953">R197+Q196</f>
        <v>-4874187415.0859699</v>
      </c>
      <c r="S196">
        <f t="shared" ref="S196" si="954">R196/100000</f>
        <v>-48741.874150859701</v>
      </c>
      <c r="T196">
        <f t="shared" si="934"/>
        <v>-48.741874150859701</v>
      </c>
    </row>
    <row r="197" spans="1:20" x14ac:dyDescent="0.25">
      <c r="A197" s="5">
        <v>44396</v>
      </c>
      <c r="B197">
        <v>0.19769999999999999</v>
      </c>
      <c r="C197">
        <v>0.21099999999999999</v>
      </c>
      <c r="D197">
        <v>0.153</v>
      </c>
      <c r="E197">
        <v>0.1605</v>
      </c>
      <c r="F197">
        <v>727568300.13999999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-0.74137931034482729</v>
      </c>
      <c r="Q197">
        <f t="shared" ref="Q197" si="956">F197*P197</f>
        <v>-539404084.58655155</v>
      </c>
      <c r="R197">
        <f t="shared" ref="R197" si="957">R198+Q197</f>
        <v>-4474960663.6034994</v>
      </c>
      <c r="S197">
        <f t="shared" ref="S197" si="958">R197/100000</f>
        <v>-44749.606636034994</v>
      </c>
      <c r="T197">
        <f t="shared" si="934"/>
        <v>-44.749606636034997</v>
      </c>
    </row>
    <row r="198" spans="1:20" x14ac:dyDescent="0.25">
      <c r="A198" s="5">
        <v>44395</v>
      </c>
      <c r="B198">
        <v>0.1704</v>
      </c>
      <c r="C198">
        <v>0.21870000000000001</v>
      </c>
      <c r="D198">
        <v>0.1681</v>
      </c>
      <c r="E198">
        <v>0.19769999999999999</v>
      </c>
      <c r="F198">
        <v>1208126441.6800001</v>
      </c>
      <c r="G198">
        <v>0</v>
      </c>
      <c r="L198" t="s">
        <v>8</v>
      </c>
      <c r="M198" t="s">
        <v>8</v>
      </c>
      <c r="N198" t="s">
        <v>8</v>
      </c>
      <c r="P198">
        <f t="shared" ref="P198:P261" si="959">IF(C198=D198,0,((E198-D198)-(C198-E198))/(C198-D198))</f>
        <v>0.16996047430829975</v>
      </c>
      <c r="Q198">
        <f t="shared" ref="Q198:Q261" si="960">F198*P198</f>
        <v>205333743.05233124</v>
      </c>
      <c r="R198">
        <f t="shared" ref="R198:R261" si="961">R199+Q198</f>
        <v>-3935556579.0169482</v>
      </c>
      <c r="S198">
        <f t="shared" ref="S198:S261" si="962">R198/100000</f>
        <v>-39355.565790169479</v>
      </c>
      <c r="T198">
        <f t="shared" ref="T198:T261" si="963">S198/1000</f>
        <v>-39.355565790169479</v>
      </c>
    </row>
    <row r="199" spans="1:20" x14ac:dyDescent="0.25">
      <c r="A199" s="5">
        <v>44394</v>
      </c>
      <c r="B199">
        <v>0.1797</v>
      </c>
      <c r="C199">
        <v>0.1923</v>
      </c>
      <c r="D199">
        <v>0.15989999999999999</v>
      </c>
      <c r="E199">
        <v>0.17030000000000001</v>
      </c>
      <c r="F199">
        <v>899365501.14999998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-0.35802469135802367</v>
      </c>
      <c r="Q199">
        <f t="shared" si="960"/>
        <v>-321995055.96728301</v>
      </c>
      <c r="R199">
        <f t="shared" si="961"/>
        <v>-4140890322.0692797</v>
      </c>
      <c r="S199">
        <f t="shared" si="962"/>
        <v>-41408.903220692795</v>
      </c>
      <c r="T199">
        <f t="shared" si="963"/>
        <v>-41.408903220692793</v>
      </c>
    </row>
    <row r="200" spans="1:20" x14ac:dyDescent="0.25">
      <c r="A200" s="5">
        <v>44393</v>
      </c>
      <c r="B200">
        <v>0.2422</v>
      </c>
      <c r="C200">
        <v>0.26879999999999998</v>
      </c>
      <c r="D200">
        <v>0.1711</v>
      </c>
      <c r="E200">
        <v>0.1797</v>
      </c>
      <c r="F200">
        <v>1280173817.46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-0.82395087001023548</v>
      </c>
      <c r="Q200">
        <f t="shared" si="960"/>
        <v>-1054800330.6604915</v>
      </c>
      <c r="R200">
        <f t="shared" si="961"/>
        <v>-3818895266.1019969</v>
      </c>
      <c r="S200">
        <f t="shared" si="962"/>
        <v>-38188.952661019968</v>
      </c>
      <c r="T200">
        <f t="shared" si="963"/>
        <v>-38.188952661019968</v>
      </c>
    </row>
    <row r="201" spans="1:20" x14ac:dyDescent="0.25">
      <c r="A201" s="5">
        <v>44392</v>
      </c>
      <c r="B201">
        <v>0.22819999999999999</v>
      </c>
      <c r="C201">
        <v>0.33129999999999998</v>
      </c>
      <c r="D201">
        <v>0.2092</v>
      </c>
      <c r="E201">
        <v>0.2424</v>
      </c>
      <c r="F201">
        <v>2169840401.8400002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-0.45618345618345602</v>
      </c>
      <c r="Q201">
        <f t="shared" si="960"/>
        <v>-989845293.87787032</v>
      </c>
      <c r="R201">
        <f t="shared" si="961"/>
        <v>-2764094935.4415054</v>
      </c>
      <c r="S201">
        <f t="shared" si="962"/>
        <v>-27640.949354415054</v>
      </c>
      <c r="T201">
        <f t="shared" si="963"/>
        <v>-27.640949354415053</v>
      </c>
    </row>
    <row r="202" spans="1:20" x14ac:dyDescent="0.25">
      <c r="A202" s="5">
        <v>44391</v>
      </c>
      <c r="B202">
        <v>0.15479999999999999</v>
      </c>
      <c r="C202">
        <v>0.2467</v>
      </c>
      <c r="D202">
        <v>0.1401</v>
      </c>
      <c r="E202">
        <v>0.2283</v>
      </c>
      <c r="F202">
        <v>1424536380.76</v>
      </c>
      <c r="G202">
        <v>0</v>
      </c>
      <c r="L202" t="s">
        <v>8</v>
      </c>
      <c r="M202" t="s">
        <v>8</v>
      </c>
      <c r="N202" t="s">
        <v>8</v>
      </c>
      <c r="P202">
        <f t="shared" si="959"/>
        <v>0.65478424015009384</v>
      </c>
      <c r="Q202">
        <f t="shared" si="960"/>
        <v>932763971.64210141</v>
      </c>
      <c r="R202">
        <f t="shared" si="961"/>
        <v>-1774249641.5636353</v>
      </c>
      <c r="S202">
        <f t="shared" si="962"/>
        <v>-17742.496415636353</v>
      </c>
      <c r="T202">
        <f t="shared" si="963"/>
        <v>-17.742496415636353</v>
      </c>
    </row>
    <row r="203" spans="1:20" x14ac:dyDescent="0.25">
      <c r="A203" s="5">
        <v>44390</v>
      </c>
      <c r="B203">
        <v>0.1212</v>
      </c>
      <c r="C203">
        <v>0.16439999999999999</v>
      </c>
      <c r="D203">
        <v>0.1186</v>
      </c>
      <c r="E203">
        <v>0.15459999999999999</v>
      </c>
      <c r="F203">
        <v>978876302.04999995</v>
      </c>
      <c r="G203">
        <v>0</v>
      </c>
      <c r="L203" t="s">
        <v>8</v>
      </c>
      <c r="M203" t="s">
        <v>8</v>
      </c>
      <c r="N203" t="s">
        <v>8</v>
      </c>
      <c r="P203">
        <f t="shared" si="959"/>
        <v>0.57205240174672467</v>
      </c>
      <c r="Q203">
        <f t="shared" si="960"/>
        <v>559968539.60065472</v>
      </c>
      <c r="R203">
        <f t="shared" si="961"/>
        <v>-2707013613.2057366</v>
      </c>
      <c r="S203">
        <f t="shared" si="962"/>
        <v>-27070.136132057367</v>
      </c>
      <c r="T203">
        <f t="shared" si="963"/>
        <v>-27.070136132057367</v>
      </c>
    </row>
    <row r="204" spans="1:20" x14ac:dyDescent="0.25">
      <c r="A204" s="5">
        <v>44389</v>
      </c>
      <c r="B204">
        <v>0.1303</v>
      </c>
      <c r="C204">
        <v>0.13450000000000001</v>
      </c>
      <c r="D204">
        <v>0.1105</v>
      </c>
      <c r="E204">
        <v>0.1212</v>
      </c>
      <c r="F204">
        <v>341713396.95999998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-0.10833333333333352</v>
      </c>
      <c r="Q204">
        <f t="shared" si="960"/>
        <v>-37018951.337333396</v>
      </c>
      <c r="R204">
        <f t="shared" si="961"/>
        <v>-3266982152.8063912</v>
      </c>
      <c r="S204">
        <f t="shared" si="962"/>
        <v>-32669.821528063912</v>
      </c>
      <c r="T204">
        <f t="shared" si="963"/>
        <v>-32.669821528063913</v>
      </c>
    </row>
    <row r="205" spans="1:20" x14ac:dyDescent="0.25">
      <c r="A205" s="5">
        <v>44388</v>
      </c>
      <c r="B205">
        <v>0.10050000000000001</v>
      </c>
      <c r="C205">
        <v>0.13489999999999999</v>
      </c>
      <c r="D205">
        <v>9.7600000000000006E-2</v>
      </c>
      <c r="E205">
        <v>0.13020000000000001</v>
      </c>
      <c r="F205">
        <v>537871692.53999996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0.74798927613941102</v>
      </c>
      <c r="Q205">
        <f t="shared" si="960"/>
        <v>402322257.9588744</v>
      </c>
      <c r="R205">
        <f t="shared" si="961"/>
        <v>-3229963201.469058</v>
      </c>
      <c r="S205">
        <f t="shared" si="962"/>
        <v>-32299.632014690582</v>
      </c>
      <c r="T205">
        <f t="shared" si="963"/>
        <v>-32.29963201469058</v>
      </c>
    </row>
    <row r="206" spans="1:20" x14ac:dyDescent="0.25">
      <c r="A206" s="5">
        <v>44387</v>
      </c>
      <c r="B206">
        <v>9.4700000000000006E-2</v>
      </c>
      <c r="C206">
        <v>0.1095</v>
      </c>
      <c r="D206">
        <v>9.4200000000000006E-2</v>
      </c>
      <c r="E206">
        <v>0.1004</v>
      </c>
      <c r="F206">
        <v>299401225.24000001</v>
      </c>
      <c r="G206">
        <v>0</v>
      </c>
      <c r="L206" t="s">
        <v>8</v>
      </c>
      <c r="M206" t="s">
        <v>8</v>
      </c>
      <c r="N206" t="s">
        <v>7</v>
      </c>
      <c r="P206">
        <f t="shared" si="959"/>
        <v>-0.18954248366013077</v>
      </c>
      <c r="Q206">
        <f t="shared" si="960"/>
        <v>-56749251.842875831</v>
      </c>
      <c r="R206">
        <f t="shared" si="961"/>
        <v>-3632285459.4279323</v>
      </c>
      <c r="S206">
        <f t="shared" si="962"/>
        <v>-36322.854594279321</v>
      </c>
      <c r="T206">
        <f t="shared" si="963"/>
        <v>-36.32285459427932</v>
      </c>
    </row>
    <row r="207" spans="1:20" x14ac:dyDescent="0.25">
      <c r="A207" s="5">
        <v>44386</v>
      </c>
      <c r="B207">
        <v>9.0200000000000002E-2</v>
      </c>
      <c r="C207">
        <v>9.8400000000000001E-2</v>
      </c>
      <c r="D207">
        <v>8.1600000000000006E-2</v>
      </c>
      <c r="E207">
        <v>9.4600000000000004E-2</v>
      </c>
      <c r="F207">
        <v>201255393.69999999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0.54761904761904778</v>
      </c>
      <c r="Q207">
        <f t="shared" si="960"/>
        <v>110211287.0261905</v>
      </c>
      <c r="R207">
        <f t="shared" si="961"/>
        <v>-3575536207.5850563</v>
      </c>
      <c r="S207">
        <f t="shared" si="962"/>
        <v>-35755.362075850564</v>
      </c>
      <c r="T207">
        <f t="shared" si="963"/>
        <v>-35.755362075850563</v>
      </c>
    </row>
    <row r="208" spans="1:20" x14ac:dyDescent="0.25">
      <c r="A208" s="5">
        <v>44385</v>
      </c>
      <c r="B208">
        <v>0.1023</v>
      </c>
      <c r="C208">
        <v>0.1177</v>
      </c>
      <c r="D208">
        <v>8.7800000000000003E-2</v>
      </c>
      <c r="E208">
        <v>9.0200000000000002E-2</v>
      </c>
      <c r="F208">
        <v>350183053.57999998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-0.83946488294314381</v>
      </c>
      <c r="Q208">
        <f t="shared" si="960"/>
        <v>-293966376.08220732</v>
      </c>
      <c r="R208">
        <f t="shared" si="961"/>
        <v>-3685747494.6112466</v>
      </c>
      <c r="S208">
        <f t="shared" si="962"/>
        <v>-36857.474946112467</v>
      </c>
      <c r="T208">
        <f t="shared" si="963"/>
        <v>-36.857474946112468</v>
      </c>
    </row>
    <row r="209" spans="1:20" x14ac:dyDescent="0.25">
      <c r="A209" s="5">
        <v>44384</v>
      </c>
      <c r="B209">
        <v>9.2600000000000002E-2</v>
      </c>
      <c r="C209">
        <v>0.1179</v>
      </c>
      <c r="D209">
        <v>8.9499999999999996E-2</v>
      </c>
      <c r="E209">
        <v>0.1023</v>
      </c>
      <c r="F209">
        <v>414345451.19999999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-9.8591549295774517E-2</v>
      </c>
      <c r="Q209">
        <f t="shared" si="960"/>
        <v>-40850959.977464736</v>
      </c>
      <c r="R209">
        <f t="shared" si="961"/>
        <v>-3391781118.5290394</v>
      </c>
      <c r="S209">
        <f t="shared" si="962"/>
        <v>-33917.811185290397</v>
      </c>
      <c r="T209">
        <f t="shared" si="963"/>
        <v>-33.917811185290397</v>
      </c>
    </row>
    <row r="210" spans="1:20" x14ac:dyDescent="0.25">
      <c r="A210" s="5">
        <v>44383</v>
      </c>
      <c r="B210">
        <v>8.1799999999999998E-2</v>
      </c>
      <c r="C210">
        <v>9.6000000000000002E-2</v>
      </c>
      <c r="D210">
        <v>8.1299999999999997E-2</v>
      </c>
      <c r="E210">
        <v>9.2600000000000002E-2</v>
      </c>
      <c r="F210">
        <v>217770173.81999999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0.53741496598639471</v>
      </c>
      <c r="Q210">
        <f t="shared" si="960"/>
        <v>117032950.55632655</v>
      </c>
      <c r="R210">
        <f t="shared" si="961"/>
        <v>-3350930158.5515747</v>
      </c>
      <c r="S210">
        <f t="shared" si="962"/>
        <v>-33509.30158551575</v>
      </c>
      <c r="T210">
        <f t="shared" si="963"/>
        <v>-33.50930158551575</v>
      </c>
    </row>
    <row r="211" spans="1:20" x14ac:dyDescent="0.25">
      <c r="A211" s="5">
        <v>44382</v>
      </c>
      <c r="B211">
        <v>8.8800000000000004E-2</v>
      </c>
      <c r="C211">
        <v>8.8900000000000007E-2</v>
      </c>
      <c r="D211">
        <v>7.9000000000000001E-2</v>
      </c>
      <c r="E211">
        <v>8.1900000000000001E-2</v>
      </c>
      <c r="F211">
        <v>161294157.28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-0.41414141414141453</v>
      </c>
      <c r="Q211">
        <f t="shared" si="960"/>
        <v>-66798590.388686933</v>
      </c>
      <c r="R211">
        <f t="shared" si="961"/>
        <v>-3467963109.1079011</v>
      </c>
      <c r="S211">
        <f t="shared" si="962"/>
        <v>-34679.631091079013</v>
      </c>
      <c r="T211">
        <f t="shared" si="963"/>
        <v>-34.67963109107901</v>
      </c>
    </row>
    <row r="212" spans="1:20" x14ac:dyDescent="0.25">
      <c r="A212" s="5">
        <v>44381</v>
      </c>
      <c r="B212">
        <v>7.85E-2</v>
      </c>
      <c r="C212">
        <v>9.74E-2</v>
      </c>
      <c r="D212">
        <v>7.5899999999999995E-2</v>
      </c>
      <c r="E212">
        <v>8.8800000000000004E-2</v>
      </c>
      <c r="F212">
        <v>277948319.13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0.20000000000000051</v>
      </c>
      <c r="Q212">
        <f t="shared" si="960"/>
        <v>55589663.826000139</v>
      </c>
      <c r="R212">
        <f t="shared" si="961"/>
        <v>-3401164518.719214</v>
      </c>
      <c r="S212">
        <f t="shared" si="962"/>
        <v>-34011.645187192138</v>
      </c>
      <c r="T212">
        <f t="shared" si="963"/>
        <v>-34.011645187192137</v>
      </c>
    </row>
    <row r="213" spans="1:20" x14ac:dyDescent="0.25">
      <c r="A213" s="5">
        <v>44380</v>
      </c>
      <c r="B213">
        <v>7.3700000000000002E-2</v>
      </c>
      <c r="C213">
        <v>8.0399999999999999E-2</v>
      </c>
      <c r="D213">
        <v>7.2700000000000001E-2</v>
      </c>
      <c r="E213">
        <v>7.85E-2</v>
      </c>
      <c r="F213">
        <v>93860157.120000005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0.50649350649350666</v>
      </c>
      <c r="Q213">
        <f t="shared" si="960"/>
        <v>47539560.099740282</v>
      </c>
      <c r="R213">
        <f t="shared" si="961"/>
        <v>-3456754182.5452142</v>
      </c>
      <c r="S213">
        <f t="shared" si="962"/>
        <v>-34567.541825452143</v>
      </c>
      <c r="T213">
        <f t="shared" si="963"/>
        <v>-34.567541825452146</v>
      </c>
    </row>
    <row r="214" spans="1:20" x14ac:dyDescent="0.25">
      <c r="A214" s="5">
        <v>44379</v>
      </c>
      <c r="B214">
        <v>7.2099999999999997E-2</v>
      </c>
      <c r="C214">
        <v>7.5700000000000003E-2</v>
      </c>
      <c r="D214">
        <v>7.0999999999999994E-2</v>
      </c>
      <c r="E214">
        <v>7.3800000000000004E-2</v>
      </c>
      <c r="F214">
        <v>77900477.120000005</v>
      </c>
      <c r="G214">
        <v>0</v>
      </c>
      <c r="L214" t="s">
        <v>8</v>
      </c>
      <c r="M214" t="s">
        <v>7</v>
      </c>
      <c r="N214" t="s">
        <v>7</v>
      </c>
      <c r="P214">
        <f t="shared" si="959"/>
        <v>0.1914893617021298</v>
      </c>
      <c r="Q214">
        <f t="shared" si="960"/>
        <v>14917112.640000168</v>
      </c>
      <c r="R214">
        <f t="shared" si="961"/>
        <v>-3504293742.6449547</v>
      </c>
      <c r="S214">
        <f t="shared" si="962"/>
        <v>-35042.937426449549</v>
      </c>
      <c r="T214">
        <f t="shared" si="963"/>
        <v>-35.042937426449548</v>
      </c>
    </row>
    <row r="215" spans="1:20" x14ac:dyDescent="0.25">
      <c r="A215" s="5">
        <v>44378</v>
      </c>
      <c r="B215">
        <v>7.8600000000000003E-2</v>
      </c>
      <c r="C215">
        <v>7.9100000000000004E-2</v>
      </c>
      <c r="D215">
        <v>7.0099999999999996E-2</v>
      </c>
      <c r="E215">
        <v>7.2099999999999997E-2</v>
      </c>
      <c r="F215">
        <v>79183685</v>
      </c>
      <c r="G215">
        <v>0</v>
      </c>
      <c r="L215" t="s">
        <v>7</v>
      </c>
      <c r="M215" t="s">
        <v>7</v>
      </c>
      <c r="N215" t="s">
        <v>7</v>
      </c>
      <c r="P215">
        <f t="shared" si="959"/>
        <v>-0.55555555555555558</v>
      </c>
      <c r="Q215">
        <f t="shared" si="960"/>
        <v>-43990936.111111112</v>
      </c>
      <c r="R215">
        <f t="shared" si="961"/>
        <v>-3519210855.284955</v>
      </c>
      <c r="S215">
        <f t="shared" si="962"/>
        <v>-35192.108552849553</v>
      </c>
      <c r="T215">
        <f t="shared" si="963"/>
        <v>-35.192108552849554</v>
      </c>
    </row>
    <row r="216" spans="1:20" x14ac:dyDescent="0.25">
      <c r="A216" s="5">
        <v>44377</v>
      </c>
      <c r="B216">
        <v>7.9100000000000004E-2</v>
      </c>
      <c r="C216">
        <v>8.1100000000000005E-2</v>
      </c>
      <c r="D216">
        <v>7.0900000000000005E-2</v>
      </c>
      <c r="E216">
        <v>7.8399999999999997E-2</v>
      </c>
      <c r="F216">
        <v>111433453.89</v>
      </c>
      <c r="G216">
        <v>0</v>
      </c>
      <c r="L216" t="s">
        <v>7</v>
      </c>
      <c r="M216" t="s">
        <v>7</v>
      </c>
      <c r="N216" t="s">
        <v>7</v>
      </c>
      <c r="P216">
        <f t="shared" si="959"/>
        <v>0.47058823529411614</v>
      </c>
      <c r="Q216">
        <f t="shared" si="960"/>
        <v>52439272.418823361</v>
      </c>
      <c r="R216">
        <f t="shared" si="961"/>
        <v>-3475219919.1738439</v>
      </c>
      <c r="S216">
        <f t="shared" si="962"/>
        <v>-34752.199191738437</v>
      </c>
      <c r="T216">
        <f t="shared" si="963"/>
        <v>-34.752199191738434</v>
      </c>
    </row>
    <row r="217" spans="1:20" x14ac:dyDescent="0.25">
      <c r="A217" s="5">
        <v>44376</v>
      </c>
      <c r="B217">
        <v>8.0500000000000002E-2</v>
      </c>
      <c r="C217">
        <v>8.4400000000000003E-2</v>
      </c>
      <c r="D217">
        <v>7.7899999999999997E-2</v>
      </c>
      <c r="E217">
        <v>7.9100000000000004E-2</v>
      </c>
      <c r="F217">
        <v>136581025.56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-0.63076923076922908</v>
      </c>
      <c r="Q217">
        <f t="shared" si="960"/>
        <v>-86151108.430153623</v>
      </c>
      <c r="R217">
        <f t="shared" si="961"/>
        <v>-3527659191.5926671</v>
      </c>
      <c r="S217">
        <f t="shared" si="962"/>
        <v>-35276.59191592667</v>
      </c>
      <c r="T217">
        <f t="shared" si="963"/>
        <v>-35.276591915926673</v>
      </c>
    </row>
    <row r="218" spans="1:20" x14ac:dyDescent="0.25">
      <c r="A218" s="5">
        <v>44375</v>
      </c>
      <c r="B218">
        <v>7.5600000000000001E-2</v>
      </c>
      <c r="C218">
        <v>8.3500000000000005E-2</v>
      </c>
      <c r="D218">
        <v>7.3700000000000002E-2</v>
      </c>
      <c r="E218">
        <v>8.0600000000000005E-2</v>
      </c>
      <c r="F218">
        <v>132176846.48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0.40816326530612268</v>
      </c>
      <c r="Q218">
        <f t="shared" si="960"/>
        <v>53949733.257142887</v>
      </c>
      <c r="R218">
        <f t="shared" si="961"/>
        <v>-3441508083.1625133</v>
      </c>
      <c r="S218">
        <f t="shared" si="962"/>
        <v>-34415.080831625135</v>
      </c>
      <c r="T218">
        <f t="shared" si="963"/>
        <v>-34.415080831625133</v>
      </c>
    </row>
    <row r="219" spans="1:20" x14ac:dyDescent="0.25">
      <c r="A219" s="5">
        <v>44374</v>
      </c>
      <c r="B219">
        <v>7.1499999999999994E-2</v>
      </c>
      <c r="C219">
        <v>7.6799999999999993E-2</v>
      </c>
      <c r="D219">
        <v>6.9599999999999995E-2</v>
      </c>
      <c r="E219">
        <v>7.5499999999999998E-2</v>
      </c>
      <c r="F219">
        <v>110939429.37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0.63888888888889006</v>
      </c>
      <c r="Q219">
        <f t="shared" si="960"/>
        <v>70877968.764166802</v>
      </c>
      <c r="R219">
        <f t="shared" si="961"/>
        <v>-3495457816.4196563</v>
      </c>
      <c r="S219">
        <f t="shared" si="962"/>
        <v>-34954.578164196566</v>
      </c>
      <c r="T219">
        <f t="shared" si="963"/>
        <v>-34.954578164196569</v>
      </c>
    </row>
    <row r="220" spans="1:20" x14ac:dyDescent="0.25">
      <c r="A220" s="5">
        <v>44373</v>
      </c>
      <c r="B220">
        <v>7.3300000000000004E-2</v>
      </c>
      <c r="C220">
        <v>7.46E-2</v>
      </c>
      <c r="D220">
        <v>6.6299999999999998E-2</v>
      </c>
      <c r="E220">
        <v>7.1400000000000005E-2</v>
      </c>
      <c r="F220">
        <v>119864897.70999999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0.2289156626506039</v>
      </c>
      <c r="Q220">
        <f t="shared" si="960"/>
        <v>27438952.487831503</v>
      </c>
      <c r="R220">
        <f t="shared" si="961"/>
        <v>-3566335785.1838231</v>
      </c>
      <c r="S220">
        <f t="shared" si="962"/>
        <v>-35663.357851838235</v>
      </c>
      <c r="T220">
        <f t="shared" si="963"/>
        <v>-35.663357851838235</v>
      </c>
    </row>
    <row r="221" spans="1:20" x14ac:dyDescent="0.25">
      <c r="A221" s="5">
        <v>44372</v>
      </c>
      <c r="B221">
        <v>8.5699999999999998E-2</v>
      </c>
      <c r="C221">
        <v>8.8999999999999996E-2</v>
      </c>
      <c r="D221">
        <v>7.1499999999999994E-2</v>
      </c>
      <c r="E221">
        <v>7.3300000000000004E-2</v>
      </c>
      <c r="F221">
        <v>105289100.94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-0.79428571428571315</v>
      </c>
      <c r="Q221">
        <f t="shared" si="960"/>
        <v>-83629628.746628448</v>
      </c>
      <c r="R221">
        <f t="shared" si="961"/>
        <v>-3593774737.6716547</v>
      </c>
      <c r="S221">
        <f t="shared" si="962"/>
        <v>-35937.74737671655</v>
      </c>
      <c r="T221">
        <f t="shared" si="963"/>
        <v>-35.937747376716551</v>
      </c>
    </row>
    <row r="222" spans="1:20" x14ac:dyDescent="0.25">
      <c r="A222" s="5">
        <v>44371</v>
      </c>
      <c r="B222">
        <v>8.6400000000000005E-2</v>
      </c>
      <c r="C222">
        <v>8.9800000000000005E-2</v>
      </c>
      <c r="D222">
        <v>7.8799999999999995E-2</v>
      </c>
      <c r="E222">
        <v>8.5599999999999996E-2</v>
      </c>
      <c r="F222">
        <v>98501685.480000004</v>
      </c>
      <c r="G222">
        <v>0</v>
      </c>
      <c r="L222" t="s">
        <v>7</v>
      </c>
      <c r="M222" t="s">
        <v>7</v>
      </c>
      <c r="N222" t="s">
        <v>8</v>
      </c>
      <c r="P222">
        <f t="shared" si="959"/>
        <v>0.23636363636363536</v>
      </c>
      <c r="Q222">
        <f t="shared" si="960"/>
        <v>23282216.567999903</v>
      </c>
      <c r="R222">
        <f t="shared" si="961"/>
        <v>-3510145108.9250264</v>
      </c>
      <c r="S222">
        <f t="shared" si="962"/>
        <v>-35101.451089250266</v>
      </c>
      <c r="T222">
        <f t="shared" si="963"/>
        <v>-35.101451089250268</v>
      </c>
    </row>
    <row r="223" spans="1:20" x14ac:dyDescent="0.25">
      <c r="A223" s="5">
        <v>44370</v>
      </c>
      <c r="B223">
        <v>8.1299999999999997E-2</v>
      </c>
      <c r="C223">
        <v>9.6500000000000002E-2</v>
      </c>
      <c r="D223">
        <v>7.7499999999999999E-2</v>
      </c>
      <c r="E223">
        <v>8.6400000000000005E-2</v>
      </c>
      <c r="F223">
        <v>142861398.65000001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-6.3157894736841719E-2</v>
      </c>
      <c r="Q223">
        <f t="shared" si="960"/>
        <v>-9022825.1778946817</v>
      </c>
      <c r="R223">
        <f t="shared" si="961"/>
        <v>-3533427325.4930263</v>
      </c>
      <c r="S223">
        <f t="shared" si="962"/>
        <v>-35334.27325493026</v>
      </c>
      <c r="T223">
        <f t="shared" si="963"/>
        <v>-35.33427325493026</v>
      </c>
    </row>
    <row r="224" spans="1:20" x14ac:dyDescent="0.25">
      <c r="A224" s="5">
        <v>44369</v>
      </c>
      <c r="B224">
        <v>9.06E-2</v>
      </c>
      <c r="C224">
        <v>9.9400000000000002E-2</v>
      </c>
      <c r="D224">
        <v>6.8500000000000005E-2</v>
      </c>
      <c r="E224">
        <v>8.1299999999999997E-2</v>
      </c>
      <c r="F224">
        <v>214925820.18000001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-0.17152103559870593</v>
      </c>
      <c r="Q224">
        <f t="shared" si="960"/>
        <v>-36864299.254174851</v>
      </c>
      <c r="R224">
        <f t="shared" si="961"/>
        <v>-3524404500.3151317</v>
      </c>
      <c r="S224">
        <f t="shared" si="962"/>
        <v>-35244.045003151317</v>
      </c>
      <c r="T224">
        <f t="shared" si="963"/>
        <v>-35.244045003151321</v>
      </c>
    </row>
    <row r="225" spans="1:20" x14ac:dyDescent="0.25">
      <c r="A225" s="5">
        <v>44368</v>
      </c>
      <c r="B225">
        <v>0.1216</v>
      </c>
      <c r="C225">
        <v>0.1226</v>
      </c>
      <c r="D225">
        <v>9.0300000000000005E-2</v>
      </c>
      <c r="E225">
        <v>9.0899999999999995E-2</v>
      </c>
      <c r="F225">
        <v>137430334.97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-0.96284829721362297</v>
      </c>
      <c r="Q225">
        <f t="shared" si="960"/>
        <v>-132324564.01136231</v>
      </c>
      <c r="R225">
        <f t="shared" si="961"/>
        <v>-3487540201.060957</v>
      </c>
      <c r="S225">
        <f t="shared" si="962"/>
        <v>-34875.40201060957</v>
      </c>
      <c r="T225">
        <f t="shared" si="963"/>
        <v>-34.875402010609569</v>
      </c>
    </row>
    <row r="226" spans="1:20" x14ac:dyDescent="0.25">
      <c r="A226" s="5">
        <v>44367</v>
      </c>
      <c r="B226">
        <v>0.1183</v>
      </c>
      <c r="C226">
        <v>0.12670000000000001</v>
      </c>
      <c r="D226">
        <v>0.11020000000000001</v>
      </c>
      <c r="E226">
        <v>0.1215</v>
      </c>
      <c r="F226">
        <v>91363706.310000002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0.36969696969696847</v>
      </c>
      <c r="Q226">
        <f t="shared" si="960"/>
        <v>33776885.363090798</v>
      </c>
      <c r="R226">
        <f t="shared" si="961"/>
        <v>-3355215637.0495944</v>
      </c>
      <c r="S226">
        <f t="shared" si="962"/>
        <v>-33552.156370495941</v>
      </c>
      <c r="T226">
        <f t="shared" si="963"/>
        <v>-33.552156370495943</v>
      </c>
    </row>
    <row r="227" spans="1:20" x14ac:dyDescent="0.25">
      <c r="A227" s="5">
        <v>44366</v>
      </c>
      <c r="B227">
        <v>0.1246</v>
      </c>
      <c r="C227">
        <v>0.1371</v>
      </c>
      <c r="D227">
        <v>0.11799999999999999</v>
      </c>
      <c r="E227">
        <v>0.1183</v>
      </c>
      <c r="F227">
        <v>101255789.67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-0.96858638743455405</v>
      </c>
      <c r="Q227">
        <f t="shared" si="960"/>
        <v>-98074979.523298338</v>
      </c>
      <c r="R227">
        <f t="shared" si="961"/>
        <v>-3388992522.4126854</v>
      </c>
      <c r="S227">
        <f t="shared" si="962"/>
        <v>-33889.925224126855</v>
      </c>
      <c r="T227">
        <f t="shared" si="963"/>
        <v>-33.889925224126856</v>
      </c>
    </row>
    <row r="228" spans="1:20" x14ac:dyDescent="0.25">
      <c r="A228" s="5">
        <v>44365</v>
      </c>
      <c r="B228">
        <v>0.1366</v>
      </c>
      <c r="C228">
        <v>0.1411</v>
      </c>
      <c r="D228">
        <v>0.11799999999999999</v>
      </c>
      <c r="E228">
        <v>0.12470000000000001</v>
      </c>
      <c r="F228">
        <v>86812304.780000001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-0.41991341991341913</v>
      </c>
      <c r="Q228">
        <f t="shared" si="960"/>
        <v>-36453651.790735863</v>
      </c>
      <c r="R228">
        <f t="shared" si="961"/>
        <v>-3290917542.8893871</v>
      </c>
      <c r="S228">
        <f t="shared" si="962"/>
        <v>-32909.175428893868</v>
      </c>
      <c r="T228">
        <f t="shared" si="963"/>
        <v>-32.909175428893867</v>
      </c>
    </row>
    <row r="229" spans="1:20" x14ac:dyDescent="0.25">
      <c r="A229" s="5">
        <v>44364</v>
      </c>
      <c r="B229">
        <v>0.13969999999999999</v>
      </c>
      <c r="C229">
        <v>0.1449</v>
      </c>
      <c r="D229">
        <v>0.1343</v>
      </c>
      <c r="E229">
        <v>0.13650000000000001</v>
      </c>
      <c r="F229">
        <v>52035470.189999998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-0.58490566037735703</v>
      </c>
      <c r="Q229">
        <f t="shared" si="960"/>
        <v>-30435841.054528225</v>
      </c>
      <c r="R229">
        <f t="shared" si="961"/>
        <v>-3254463891.0986514</v>
      </c>
      <c r="S229">
        <f t="shared" si="962"/>
        <v>-32544.638910986516</v>
      </c>
      <c r="T229">
        <f t="shared" si="963"/>
        <v>-32.544638910986514</v>
      </c>
    </row>
    <row r="230" spans="1:20" x14ac:dyDescent="0.25">
      <c r="A230" s="5">
        <v>44363</v>
      </c>
      <c r="B230">
        <v>0.1487</v>
      </c>
      <c r="C230">
        <v>0.14929999999999999</v>
      </c>
      <c r="D230">
        <v>0.1371</v>
      </c>
      <c r="E230">
        <v>0.13969999999999999</v>
      </c>
      <c r="F230">
        <v>61088087.68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-0.57377049180327977</v>
      </c>
      <c r="Q230">
        <f t="shared" si="960"/>
        <v>-35050542.111475475</v>
      </c>
      <c r="R230">
        <f t="shared" si="961"/>
        <v>-3224028050.0441232</v>
      </c>
      <c r="S230">
        <f t="shared" si="962"/>
        <v>-32240.280500441233</v>
      </c>
      <c r="T230">
        <f t="shared" si="963"/>
        <v>-32.24028050044123</v>
      </c>
    </row>
    <row r="231" spans="1:20" x14ac:dyDescent="0.25">
      <c r="A231" s="5">
        <v>44362</v>
      </c>
      <c r="B231">
        <v>0.14810000000000001</v>
      </c>
      <c r="C231">
        <v>0.15390000000000001</v>
      </c>
      <c r="D231">
        <v>0.14319999999999999</v>
      </c>
      <c r="E231">
        <v>0.1489</v>
      </c>
      <c r="F231">
        <v>78899147.349999994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6.5420560747664031E-2</v>
      </c>
      <c r="Q231">
        <f t="shared" si="960"/>
        <v>5161626.4621495698</v>
      </c>
      <c r="R231">
        <f t="shared" si="961"/>
        <v>-3188977507.9326477</v>
      </c>
      <c r="S231">
        <f t="shared" si="962"/>
        <v>-31889.775079326479</v>
      </c>
      <c r="T231">
        <f t="shared" si="963"/>
        <v>-31.88977507932648</v>
      </c>
    </row>
    <row r="232" spans="1:20" x14ac:dyDescent="0.25">
      <c r="A232" s="5">
        <v>44361</v>
      </c>
      <c r="B232">
        <v>0.1474</v>
      </c>
      <c r="C232">
        <v>0.1575</v>
      </c>
      <c r="D232">
        <v>0.14419999999999999</v>
      </c>
      <c r="E232">
        <v>0.14799999999999999</v>
      </c>
      <c r="F232">
        <v>93134076.010000005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-0.42857142857142916</v>
      </c>
      <c r="Q232">
        <f t="shared" si="960"/>
        <v>-39914604.004285768</v>
      </c>
      <c r="R232">
        <f t="shared" si="961"/>
        <v>-3194139134.3947973</v>
      </c>
      <c r="S232">
        <f t="shared" si="962"/>
        <v>-31941.391343947973</v>
      </c>
      <c r="T232">
        <f t="shared" si="963"/>
        <v>-31.941391343947974</v>
      </c>
    </row>
    <row r="233" spans="1:20" x14ac:dyDescent="0.25">
      <c r="A233" s="5">
        <v>44360</v>
      </c>
      <c r="B233">
        <v>0.14019999999999999</v>
      </c>
      <c r="C233">
        <v>0.1515</v>
      </c>
      <c r="D233">
        <v>0.1366</v>
      </c>
      <c r="E233">
        <v>0.14749999999999999</v>
      </c>
      <c r="F233">
        <v>76952752.379999995</v>
      </c>
      <c r="G233">
        <v>0</v>
      </c>
      <c r="L233" t="s">
        <v>7</v>
      </c>
      <c r="M233" t="s">
        <v>7</v>
      </c>
      <c r="N233" t="s">
        <v>7</v>
      </c>
      <c r="P233">
        <f t="shared" si="959"/>
        <v>0.46308724832214704</v>
      </c>
      <c r="Q233">
        <f t="shared" si="960"/>
        <v>35635838.350469746</v>
      </c>
      <c r="R233">
        <f t="shared" si="961"/>
        <v>-3154224530.3905115</v>
      </c>
      <c r="S233">
        <f t="shared" si="962"/>
        <v>-31542.245303905114</v>
      </c>
      <c r="T233">
        <f t="shared" si="963"/>
        <v>-31.542245303905116</v>
      </c>
    </row>
    <row r="234" spans="1:20" x14ac:dyDescent="0.25">
      <c r="A234" s="5">
        <v>44359</v>
      </c>
      <c r="B234">
        <v>0.15720000000000001</v>
      </c>
      <c r="C234">
        <v>0.15740000000000001</v>
      </c>
      <c r="D234">
        <v>0.13519999999999999</v>
      </c>
      <c r="E234">
        <v>0.14030000000000001</v>
      </c>
      <c r="F234">
        <v>93500961.109999999</v>
      </c>
      <c r="G234">
        <v>0</v>
      </c>
      <c r="L234" t="s">
        <v>8</v>
      </c>
      <c r="M234" t="s">
        <v>7</v>
      </c>
      <c r="N234" t="s">
        <v>7</v>
      </c>
      <c r="P234">
        <f t="shared" si="959"/>
        <v>-0.54054054054053913</v>
      </c>
      <c r="Q234">
        <f t="shared" si="960"/>
        <v>-50541060.059459329</v>
      </c>
      <c r="R234">
        <f t="shared" si="961"/>
        <v>-3189860368.7409811</v>
      </c>
      <c r="S234">
        <f t="shared" si="962"/>
        <v>-31898.60368740981</v>
      </c>
      <c r="T234">
        <f t="shared" si="963"/>
        <v>-31.89860368740981</v>
      </c>
    </row>
    <row r="235" spans="1:20" x14ac:dyDescent="0.25">
      <c r="A235" s="5">
        <v>44358</v>
      </c>
      <c r="B235">
        <v>0.13950000000000001</v>
      </c>
      <c r="C235">
        <v>0.17</v>
      </c>
      <c r="D235">
        <v>0.13400000000000001</v>
      </c>
      <c r="E235">
        <v>0.15740000000000001</v>
      </c>
      <c r="F235">
        <v>189968452.56999999</v>
      </c>
      <c r="G235">
        <v>0</v>
      </c>
      <c r="L235" t="s">
        <v>7</v>
      </c>
      <c r="M235" t="s">
        <v>8</v>
      </c>
      <c r="N235" t="s">
        <v>7</v>
      </c>
      <c r="P235">
        <f t="shared" si="959"/>
        <v>0.3000000000000001</v>
      </c>
      <c r="Q235">
        <f t="shared" si="960"/>
        <v>56990535.77100002</v>
      </c>
      <c r="R235">
        <f t="shared" si="961"/>
        <v>-3139319308.6815219</v>
      </c>
      <c r="S235">
        <f t="shared" si="962"/>
        <v>-31393.193086815219</v>
      </c>
      <c r="T235">
        <f t="shared" si="963"/>
        <v>-31.39319308681522</v>
      </c>
    </row>
    <row r="236" spans="1:20" x14ac:dyDescent="0.25">
      <c r="A236" s="5">
        <v>44357</v>
      </c>
      <c r="B236">
        <v>0.15279999999999999</v>
      </c>
      <c r="C236">
        <v>0.15429999999999999</v>
      </c>
      <c r="D236">
        <v>0.13650000000000001</v>
      </c>
      <c r="E236">
        <v>0.1394</v>
      </c>
      <c r="F236">
        <v>74169480.430000007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-0.67415730337078783</v>
      </c>
      <c r="Q236">
        <f t="shared" si="960"/>
        <v>-50001896.919101223</v>
      </c>
      <c r="R236">
        <f t="shared" si="961"/>
        <v>-3196309844.4525218</v>
      </c>
      <c r="S236">
        <f t="shared" si="962"/>
        <v>-31963.098444525218</v>
      </c>
      <c r="T236">
        <f t="shared" si="963"/>
        <v>-31.963098444525219</v>
      </c>
    </row>
    <row r="237" spans="1:20" x14ac:dyDescent="0.25">
      <c r="A237" s="5">
        <v>44356</v>
      </c>
      <c r="B237">
        <v>0.14349999999999999</v>
      </c>
      <c r="C237">
        <v>0.1595</v>
      </c>
      <c r="D237">
        <v>0.1351</v>
      </c>
      <c r="E237">
        <v>0.15290000000000001</v>
      </c>
      <c r="F237">
        <v>110641513.79000001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0.45901639344262352</v>
      </c>
      <c r="Q237">
        <f t="shared" si="960"/>
        <v>50786268.624918096</v>
      </c>
      <c r="R237">
        <f t="shared" si="961"/>
        <v>-3146307947.5334206</v>
      </c>
      <c r="S237">
        <f t="shared" si="962"/>
        <v>-31463.079475334205</v>
      </c>
      <c r="T237">
        <f t="shared" si="963"/>
        <v>-31.463079475334204</v>
      </c>
    </row>
    <row r="238" spans="1:20" x14ac:dyDescent="0.25">
      <c r="A238" s="5">
        <v>44355</v>
      </c>
      <c r="B238">
        <v>0.15140000000000001</v>
      </c>
      <c r="C238">
        <v>0.159</v>
      </c>
      <c r="D238">
        <v>0.12690000000000001</v>
      </c>
      <c r="E238">
        <v>0.1434</v>
      </c>
      <c r="F238">
        <v>117588967.34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2.8037383177569607E-2</v>
      </c>
      <c r="Q238">
        <f t="shared" si="960"/>
        <v>3296886.9347662982</v>
      </c>
      <c r="R238">
        <f t="shared" si="961"/>
        <v>-3197094216.1583385</v>
      </c>
      <c r="S238">
        <f t="shared" si="962"/>
        <v>-31970.942161583385</v>
      </c>
      <c r="T238">
        <f t="shared" si="963"/>
        <v>-31.970942161583384</v>
      </c>
    </row>
    <row r="239" spans="1:20" x14ac:dyDescent="0.25">
      <c r="A239" s="5">
        <v>44354</v>
      </c>
      <c r="B239">
        <v>0.17499999999999999</v>
      </c>
      <c r="C239">
        <v>0.1825</v>
      </c>
      <c r="D239">
        <v>0.15</v>
      </c>
      <c r="E239">
        <v>0.15160000000000001</v>
      </c>
      <c r="F239">
        <v>97006714.980000004</v>
      </c>
      <c r="G239">
        <v>0</v>
      </c>
      <c r="L239" t="s">
        <v>8</v>
      </c>
      <c r="M239" t="s">
        <v>7</v>
      </c>
      <c r="N239" t="s">
        <v>7</v>
      </c>
      <c r="P239">
        <f t="shared" si="959"/>
        <v>-0.9015384615384604</v>
      </c>
      <c r="Q239">
        <f t="shared" si="960"/>
        <v>-87455284.581969127</v>
      </c>
      <c r="R239">
        <f t="shared" si="961"/>
        <v>-3200391103.0931048</v>
      </c>
      <c r="S239">
        <f t="shared" si="962"/>
        <v>-32003.911030931049</v>
      </c>
      <c r="T239">
        <f t="shared" si="963"/>
        <v>-32.00391103093105</v>
      </c>
    </row>
    <row r="240" spans="1:20" x14ac:dyDescent="0.25">
      <c r="A240" s="5">
        <v>44353</v>
      </c>
      <c r="B240">
        <v>0.17180000000000001</v>
      </c>
      <c r="C240">
        <v>0.17960000000000001</v>
      </c>
      <c r="D240">
        <v>0.16819999999999999</v>
      </c>
      <c r="E240">
        <v>0.17510000000000001</v>
      </c>
      <c r="F240">
        <v>58091649.57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0.21052631578947445</v>
      </c>
      <c r="Q240">
        <f t="shared" si="960"/>
        <v>12229820.962105308</v>
      </c>
      <c r="R240">
        <f t="shared" si="961"/>
        <v>-3112935818.5111356</v>
      </c>
      <c r="S240">
        <f t="shared" si="962"/>
        <v>-31129.358185111356</v>
      </c>
      <c r="T240">
        <f t="shared" si="963"/>
        <v>-31.129358185111357</v>
      </c>
    </row>
    <row r="241" spans="1:20" x14ac:dyDescent="0.25">
      <c r="A241" s="5">
        <v>44352</v>
      </c>
      <c r="B241">
        <v>0.18090000000000001</v>
      </c>
      <c r="C241">
        <v>0.19500000000000001</v>
      </c>
      <c r="D241">
        <v>0.1666</v>
      </c>
      <c r="E241">
        <v>0.17180000000000001</v>
      </c>
      <c r="F241">
        <v>87103225.700000003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-0.63380281690140783</v>
      </c>
      <c r="Q241">
        <f t="shared" si="960"/>
        <v>-55206269.809859104</v>
      </c>
      <c r="R241">
        <f t="shared" si="961"/>
        <v>-3125165639.4732409</v>
      </c>
      <c r="S241">
        <f t="shared" si="962"/>
        <v>-31251.65639473241</v>
      </c>
      <c r="T241">
        <f t="shared" si="963"/>
        <v>-31.251656394732411</v>
      </c>
    </row>
    <row r="242" spans="1:20" x14ac:dyDescent="0.25">
      <c r="A242" s="5">
        <v>44351</v>
      </c>
      <c r="B242">
        <v>0.2112</v>
      </c>
      <c r="C242">
        <v>0.21340000000000001</v>
      </c>
      <c r="D242">
        <v>0.17219999999999999</v>
      </c>
      <c r="E242">
        <v>0.18090000000000001</v>
      </c>
      <c r="F242">
        <v>113831100.81999999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-0.57766990291262088</v>
      </c>
      <c r="Q242">
        <f t="shared" si="960"/>
        <v>-65756800.959126152</v>
      </c>
      <c r="R242">
        <f t="shared" si="961"/>
        <v>-3069959369.6633816</v>
      </c>
      <c r="S242">
        <f t="shared" si="962"/>
        <v>-30699.593696633816</v>
      </c>
      <c r="T242">
        <f t="shared" si="963"/>
        <v>-30.699593696633816</v>
      </c>
    </row>
    <row r="243" spans="1:20" x14ac:dyDescent="0.25">
      <c r="A243" s="5">
        <v>44350</v>
      </c>
      <c r="B243">
        <v>0.1973</v>
      </c>
      <c r="C243">
        <v>0.21729999999999999</v>
      </c>
      <c r="D243">
        <v>0.19209999999999999</v>
      </c>
      <c r="E243">
        <v>0.21110000000000001</v>
      </c>
      <c r="F243">
        <v>113102916.45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0.50793650793650924</v>
      </c>
      <c r="Q243">
        <f t="shared" si="960"/>
        <v>57449100.419047765</v>
      </c>
      <c r="R243">
        <f t="shared" si="961"/>
        <v>-3004202568.7042556</v>
      </c>
      <c r="S243">
        <f t="shared" si="962"/>
        <v>-30042.025687042555</v>
      </c>
      <c r="T243">
        <f t="shared" si="963"/>
        <v>-30.042025687042553</v>
      </c>
    </row>
    <row r="244" spans="1:20" x14ac:dyDescent="0.25">
      <c r="A244" s="5">
        <v>44349</v>
      </c>
      <c r="B244">
        <v>0.19270000000000001</v>
      </c>
      <c r="C244">
        <v>0.20860000000000001</v>
      </c>
      <c r="D244">
        <v>0.1865</v>
      </c>
      <c r="E244">
        <v>0.19739999999999999</v>
      </c>
      <c r="F244">
        <v>98407539.959999993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-1.3574660633485175E-2</v>
      </c>
      <c r="Q244">
        <f t="shared" si="960"/>
        <v>-1335848.9587331312</v>
      </c>
      <c r="R244">
        <f t="shared" si="961"/>
        <v>-3061651669.1233034</v>
      </c>
      <c r="S244">
        <f t="shared" si="962"/>
        <v>-30616.516691233035</v>
      </c>
      <c r="T244">
        <f t="shared" si="963"/>
        <v>-30.616516691233034</v>
      </c>
    </row>
    <row r="245" spans="1:20" x14ac:dyDescent="0.25">
      <c r="A245" s="5">
        <v>44348</v>
      </c>
      <c r="B245">
        <v>0.20660000000000001</v>
      </c>
      <c r="C245">
        <v>0.21490000000000001</v>
      </c>
      <c r="D245">
        <v>0.18659999999999999</v>
      </c>
      <c r="E245">
        <v>0.19259999999999999</v>
      </c>
      <c r="F245">
        <v>94858334.040000007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-0.57597173144876312</v>
      </c>
      <c r="Q245">
        <f t="shared" si="960"/>
        <v>-54635718.89936395</v>
      </c>
      <c r="R245">
        <f t="shared" si="961"/>
        <v>-3060315820.1645703</v>
      </c>
      <c r="S245">
        <f t="shared" si="962"/>
        <v>-30603.158201645703</v>
      </c>
      <c r="T245">
        <f t="shared" si="963"/>
        <v>-30.603158201645702</v>
      </c>
    </row>
    <row r="246" spans="1:20" x14ac:dyDescent="0.25">
      <c r="A246" s="5">
        <v>44347</v>
      </c>
      <c r="B246">
        <v>0.1898</v>
      </c>
      <c r="C246">
        <v>0.20760000000000001</v>
      </c>
      <c r="D246">
        <v>0.17519999999999999</v>
      </c>
      <c r="E246">
        <v>0.20660000000000001</v>
      </c>
      <c r="F246">
        <v>105776695.81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0.93827160493827155</v>
      </c>
      <c r="Q246">
        <f t="shared" si="960"/>
        <v>99247270.14271605</v>
      </c>
      <c r="R246">
        <f t="shared" si="961"/>
        <v>-3005680101.2652063</v>
      </c>
      <c r="S246">
        <f t="shared" si="962"/>
        <v>-30056.801012652064</v>
      </c>
      <c r="T246">
        <f t="shared" si="963"/>
        <v>-30.056801012652063</v>
      </c>
    </row>
    <row r="247" spans="1:20" x14ac:dyDescent="0.25">
      <c r="A247" s="5">
        <v>44346</v>
      </c>
      <c r="B247">
        <v>0.1832</v>
      </c>
      <c r="C247">
        <v>0.20630000000000001</v>
      </c>
      <c r="D247">
        <v>0.16700000000000001</v>
      </c>
      <c r="E247">
        <v>0.18959999999999999</v>
      </c>
      <c r="F247">
        <v>121641482.09999999</v>
      </c>
      <c r="G247">
        <v>0</v>
      </c>
      <c r="L247" t="s">
        <v>7</v>
      </c>
      <c r="M247" t="s">
        <v>8</v>
      </c>
      <c r="N247" t="s">
        <v>7</v>
      </c>
      <c r="P247">
        <f t="shared" si="959"/>
        <v>0.15012722646310334</v>
      </c>
      <c r="Q247">
        <f t="shared" si="960"/>
        <v>18261698.330534231</v>
      </c>
      <c r="R247">
        <f t="shared" si="961"/>
        <v>-3104927371.4079223</v>
      </c>
      <c r="S247">
        <f t="shared" si="962"/>
        <v>-31049.273714079223</v>
      </c>
      <c r="T247">
        <f t="shared" si="963"/>
        <v>-31.049273714079224</v>
      </c>
    </row>
    <row r="248" spans="1:20" x14ac:dyDescent="0.25">
      <c r="A248" s="5">
        <v>44345</v>
      </c>
      <c r="B248">
        <v>0.20499999999999999</v>
      </c>
      <c r="C248">
        <v>0.223</v>
      </c>
      <c r="D248">
        <v>0.17</v>
      </c>
      <c r="E248">
        <v>0.1835</v>
      </c>
      <c r="F248">
        <v>130695474.23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-0.49056603773584956</v>
      </c>
      <c r="Q248">
        <f t="shared" si="960"/>
        <v>-64114760.943018936</v>
      </c>
      <c r="R248">
        <f t="shared" si="961"/>
        <v>-3123189069.7384567</v>
      </c>
      <c r="S248">
        <f t="shared" si="962"/>
        <v>-31231.890697384566</v>
      </c>
      <c r="T248">
        <f t="shared" si="963"/>
        <v>-31.231890697384564</v>
      </c>
    </row>
    <row r="249" spans="1:20" x14ac:dyDescent="0.25">
      <c r="A249" s="5">
        <v>44344</v>
      </c>
      <c r="B249">
        <v>0.23649999999999999</v>
      </c>
      <c r="C249">
        <v>0.24479999999999999</v>
      </c>
      <c r="D249">
        <v>0.1888</v>
      </c>
      <c r="E249">
        <v>0.2051</v>
      </c>
      <c r="F249">
        <v>203312643.44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-0.41785714285714248</v>
      </c>
      <c r="Q249">
        <f t="shared" si="960"/>
        <v>-84955640.294571355</v>
      </c>
      <c r="R249">
        <f t="shared" si="961"/>
        <v>-3059074308.7954378</v>
      </c>
      <c r="S249">
        <f t="shared" si="962"/>
        <v>-30590.743087954379</v>
      </c>
      <c r="T249">
        <f t="shared" si="963"/>
        <v>-30.59074308795438</v>
      </c>
    </row>
    <row r="250" spans="1:20" x14ac:dyDescent="0.25">
      <c r="A250" s="5">
        <v>44343</v>
      </c>
      <c r="B250">
        <v>0.25409999999999999</v>
      </c>
      <c r="C250">
        <v>0.27200000000000002</v>
      </c>
      <c r="D250">
        <v>0.20810000000000001</v>
      </c>
      <c r="E250">
        <v>0.23619999999999999</v>
      </c>
      <c r="F250">
        <v>224017583.80000001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-0.12050078247261406</v>
      </c>
      <c r="Q250">
        <f t="shared" si="960"/>
        <v>-26994294.135524392</v>
      </c>
      <c r="R250">
        <f t="shared" si="961"/>
        <v>-2974118668.5008664</v>
      </c>
      <c r="S250">
        <f t="shared" si="962"/>
        <v>-29741.186685008663</v>
      </c>
      <c r="T250">
        <f t="shared" si="963"/>
        <v>-29.741186685008664</v>
      </c>
    </row>
    <row r="251" spans="1:20" x14ac:dyDescent="0.25">
      <c r="A251" s="5">
        <v>44342</v>
      </c>
      <c r="B251">
        <v>0.17849999999999999</v>
      </c>
      <c r="C251">
        <v>0.27450000000000002</v>
      </c>
      <c r="D251">
        <v>0.16919999999999999</v>
      </c>
      <c r="E251">
        <v>0.25409999999999999</v>
      </c>
      <c r="F251">
        <v>344064050.19999999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0.61253561253561206</v>
      </c>
      <c r="Q251">
        <f t="shared" si="960"/>
        <v>210751483.74074057</v>
      </c>
      <c r="R251">
        <f t="shared" si="961"/>
        <v>-2947124374.3653421</v>
      </c>
      <c r="S251">
        <f t="shared" si="962"/>
        <v>-29471.24374365342</v>
      </c>
      <c r="T251">
        <f t="shared" si="963"/>
        <v>-29.471243743653421</v>
      </c>
    </row>
    <row r="252" spans="1:20" x14ac:dyDescent="0.25">
      <c r="A252" s="5">
        <v>44341</v>
      </c>
      <c r="B252">
        <v>0.1724</v>
      </c>
      <c r="C252">
        <v>0.185</v>
      </c>
      <c r="D252">
        <v>0.1462</v>
      </c>
      <c r="E252">
        <v>0.1782</v>
      </c>
      <c r="F252">
        <v>181402388.44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0.64948453608247425</v>
      </c>
      <c r="Q252">
        <f t="shared" si="960"/>
        <v>117818046.10020618</v>
      </c>
      <c r="R252">
        <f t="shared" si="961"/>
        <v>-3157875858.1060829</v>
      </c>
      <c r="S252">
        <f t="shared" si="962"/>
        <v>-31578.758581060829</v>
      </c>
      <c r="T252">
        <f t="shared" si="963"/>
        <v>-31.578758581060828</v>
      </c>
    </row>
    <row r="253" spans="1:20" x14ac:dyDescent="0.25">
      <c r="A253" s="5">
        <v>44340</v>
      </c>
      <c r="B253">
        <v>0.1381</v>
      </c>
      <c r="C253">
        <v>0.17860000000000001</v>
      </c>
      <c r="D253">
        <v>0.13569999999999999</v>
      </c>
      <c r="E253">
        <v>0.1724</v>
      </c>
      <c r="F253">
        <v>165920382.86000001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0.71095571095571053</v>
      </c>
      <c r="Q253">
        <f t="shared" si="960"/>
        <v>117962043.758275</v>
      </c>
      <c r="R253">
        <f t="shared" si="961"/>
        <v>-3275693904.2062893</v>
      </c>
      <c r="S253">
        <f t="shared" si="962"/>
        <v>-32756.939042062892</v>
      </c>
      <c r="T253">
        <f t="shared" si="963"/>
        <v>-32.756939042062889</v>
      </c>
    </row>
    <row r="254" spans="1:20" x14ac:dyDescent="0.25">
      <c r="A254" s="5">
        <v>44339</v>
      </c>
      <c r="B254">
        <v>0.18279999999999999</v>
      </c>
      <c r="C254">
        <v>0.187</v>
      </c>
      <c r="D254">
        <v>0.11210000000000001</v>
      </c>
      <c r="E254">
        <v>0.13819999999999999</v>
      </c>
      <c r="F254">
        <v>159257456.87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-0.30307076101468661</v>
      </c>
      <c r="Q254">
        <f t="shared" si="960"/>
        <v>-48266278.650854528</v>
      </c>
      <c r="R254">
        <f t="shared" si="961"/>
        <v>-3393655947.9645643</v>
      </c>
      <c r="S254">
        <f t="shared" si="962"/>
        <v>-33936.559479645643</v>
      </c>
      <c r="T254">
        <f t="shared" si="963"/>
        <v>-33.936559479645645</v>
      </c>
    </row>
    <row r="255" spans="1:20" x14ac:dyDescent="0.25">
      <c r="A255" s="5">
        <v>44338</v>
      </c>
      <c r="B255">
        <v>0.20219999999999999</v>
      </c>
      <c r="C255">
        <v>0.2117</v>
      </c>
      <c r="D255">
        <v>0.17</v>
      </c>
      <c r="E255">
        <v>0.18290000000000001</v>
      </c>
      <c r="F255">
        <v>116030455.28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-0.38129496402877705</v>
      </c>
      <c r="Q255">
        <f t="shared" si="960"/>
        <v>-44241828.272230223</v>
      </c>
      <c r="R255">
        <f t="shared" si="961"/>
        <v>-3345389669.3137097</v>
      </c>
      <c r="S255">
        <f t="shared" si="962"/>
        <v>-33453.896693137096</v>
      </c>
      <c r="T255">
        <f t="shared" si="963"/>
        <v>-33.453896693137096</v>
      </c>
    </row>
    <row r="256" spans="1:20" x14ac:dyDescent="0.25">
      <c r="A256" s="5">
        <v>44337</v>
      </c>
      <c r="B256">
        <v>0.24360000000000001</v>
      </c>
      <c r="C256">
        <v>0.26419999999999999</v>
      </c>
      <c r="D256">
        <v>0.16930000000000001</v>
      </c>
      <c r="E256">
        <v>0.2021</v>
      </c>
      <c r="F256">
        <v>152937583.24000001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-0.30874604847207582</v>
      </c>
      <c r="Q256">
        <f t="shared" si="960"/>
        <v>-47218874.488219172</v>
      </c>
      <c r="R256">
        <f t="shared" si="961"/>
        <v>-3301147841.0414796</v>
      </c>
      <c r="S256">
        <f t="shared" si="962"/>
        <v>-33011.478410414798</v>
      </c>
      <c r="T256">
        <f t="shared" si="963"/>
        <v>-33.011478410414796</v>
      </c>
    </row>
    <row r="257" spans="1:20" x14ac:dyDescent="0.25">
      <c r="A257" s="5">
        <v>44336</v>
      </c>
      <c r="B257">
        <v>0.21290000000000001</v>
      </c>
      <c r="C257">
        <v>0.27500000000000002</v>
      </c>
      <c r="D257">
        <v>0.192</v>
      </c>
      <c r="E257">
        <v>0.2442</v>
      </c>
      <c r="F257">
        <v>157860229.43000001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0.25783132530120445</v>
      </c>
      <c r="Q257">
        <f t="shared" si="960"/>
        <v>40701312.166289099</v>
      </c>
      <c r="R257">
        <f t="shared" si="961"/>
        <v>-3253928966.5532603</v>
      </c>
      <c r="S257">
        <f t="shared" si="962"/>
        <v>-32539.289665532604</v>
      </c>
      <c r="T257">
        <f t="shared" si="963"/>
        <v>-32.539289665532607</v>
      </c>
    </row>
    <row r="258" spans="1:20" x14ac:dyDescent="0.25">
      <c r="A258" s="5">
        <v>44335</v>
      </c>
      <c r="B258">
        <v>0.3448</v>
      </c>
      <c r="C258">
        <v>0.35410000000000003</v>
      </c>
      <c r="D258">
        <v>0.1842</v>
      </c>
      <c r="E258">
        <v>0.21249999999999999</v>
      </c>
      <c r="F258">
        <v>225508644.77000001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-0.66686286050618027</v>
      </c>
      <c r="Q258">
        <f t="shared" si="960"/>
        <v>-150383339.92019427</v>
      </c>
      <c r="R258">
        <f t="shared" si="961"/>
        <v>-3294630278.7195497</v>
      </c>
      <c r="S258">
        <f t="shared" si="962"/>
        <v>-32946.302787195498</v>
      </c>
      <c r="T258">
        <f t="shared" si="963"/>
        <v>-32.946302787195499</v>
      </c>
    </row>
    <row r="259" spans="1:20" x14ac:dyDescent="0.25">
      <c r="A259" s="5">
        <v>44334</v>
      </c>
      <c r="B259">
        <v>0.3538</v>
      </c>
      <c r="C259">
        <v>0.39</v>
      </c>
      <c r="D259">
        <v>0.33339999999999997</v>
      </c>
      <c r="E259">
        <v>0.34470000000000001</v>
      </c>
      <c r="F259">
        <v>141373548.43000001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-0.60070671378091789</v>
      </c>
      <c r="Q259">
        <f t="shared" si="960"/>
        <v>-84924039.692932755</v>
      </c>
      <c r="R259">
        <f t="shared" si="961"/>
        <v>-3144246938.7993555</v>
      </c>
      <c r="S259">
        <f t="shared" si="962"/>
        <v>-31442.469387993555</v>
      </c>
      <c r="T259">
        <f t="shared" si="963"/>
        <v>-31.442469387993555</v>
      </c>
    </row>
    <row r="260" spans="1:20" x14ac:dyDescent="0.25">
      <c r="A260" s="5">
        <v>44333</v>
      </c>
      <c r="B260">
        <v>0.36459999999999998</v>
      </c>
      <c r="C260">
        <v>0.41899999999999998</v>
      </c>
      <c r="D260">
        <v>0.30769999999999997</v>
      </c>
      <c r="E260">
        <v>0.35389999999999999</v>
      </c>
      <c r="F260">
        <v>214853412.66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-0.16981132075471672</v>
      </c>
      <c r="Q260">
        <f t="shared" si="960"/>
        <v>-36484541.772452772</v>
      </c>
      <c r="R260">
        <f t="shared" si="961"/>
        <v>-3059322899.1064229</v>
      </c>
      <c r="S260">
        <f t="shared" si="962"/>
        <v>-30593.228991064228</v>
      </c>
      <c r="T260">
        <f t="shared" si="963"/>
        <v>-30.59322899106423</v>
      </c>
    </row>
    <row r="261" spans="1:20" x14ac:dyDescent="0.25">
      <c r="A261" s="5">
        <v>44332</v>
      </c>
      <c r="B261">
        <v>0.35060000000000002</v>
      </c>
      <c r="C261">
        <v>0.40889999999999999</v>
      </c>
      <c r="D261">
        <v>0.32600000000000001</v>
      </c>
      <c r="E261">
        <v>0.36430000000000001</v>
      </c>
      <c r="F261">
        <v>149071924.38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-7.5995174909529242E-2</v>
      </c>
      <c r="Q261">
        <f t="shared" si="960"/>
        <v>-11328746.967358217</v>
      </c>
      <c r="R261">
        <f t="shared" si="961"/>
        <v>-3022838357.3339701</v>
      </c>
      <c r="S261">
        <f t="shared" si="962"/>
        <v>-30228.383573339699</v>
      </c>
      <c r="T261">
        <f t="shared" si="963"/>
        <v>-30.228383573339698</v>
      </c>
    </row>
    <row r="262" spans="1:20" x14ac:dyDescent="0.25">
      <c r="A262" s="5">
        <v>44331</v>
      </c>
      <c r="B262">
        <v>0.40529999999999999</v>
      </c>
      <c r="C262">
        <v>0.41299999999999998</v>
      </c>
      <c r="D262">
        <v>0.3427</v>
      </c>
      <c r="E262">
        <v>0.3508</v>
      </c>
      <c r="F262">
        <v>116149633.27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-0.76955903271692749</v>
      </c>
      <c r="Q262">
        <f t="shared" ref="Q262:Q325" si="965">F262*P262</f>
        <v>-89383999.429687053</v>
      </c>
      <c r="R262">
        <f t="shared" ref="R262:R325" si="966">R263+Q262</f>
        <v>-3011509610.366612</v>
      </c>
      <c r="S262">
        <f t="shared" ref="S262:S325" si="967">R262/100000</f>
        <v>-30115.096103666121</v>
      </c>
      <c r="T262">
        <f t="shared" ref="T262:T325" si="968">S262/1000</f>
        <v>-30.115096103666122</v>
      </c>
    </row>
    <row r="263" spans="1:20" x14ac:dyDescent="0.25">
      <c r="A263" s="5">
        <v>44330</v>
      </c>
      <c r="B263">
        <v>0.37459999999999999</v>
      </c>
      <c r="C263">
        <v>0.43480000000000002</v>
      </c>
      <c r="D263">
        <v>0.36870000000000003</v>
      </c>
      <c r="E263">
        <v>0.40560000000000002</v>
      </c>
      <c r="F263">
        <v>149210886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0.11649016641452323</v>
      </c>
      <c r="Q263">
        <f t="shared" si="965"/>
        <v>17381600.940998454</v>
      </c>
      <c r="R263">
        <f t="shared" si="966"/>
        <v>-2922125610.9369249</v>
      </c>
      <c r="S263">
        <f t="shared" si="967"/>
        <v>-29221.256109369249</v>
      </c>
      <c r="T263">
        <f t="shared" si="968"/>
        <v>-29.22125610936925</v>
      </c>
    </row>
    <row r="264" spans="1:20" x14ac:dyDescent="0.25">
      <c r="A264" s="5">
        <v>44329</v>
      </c>
      <c r="B264">
        <v>0.38469999999999999</v>
      </c>
      <c r="C264">
        <v>0.44059999999999999</v>
      </c>
      <c r="D264">
        <v>0.3377</v>
      </c>
      <c r="E264">
        <v>0.37459999999999999</v>
      </c>
      <c r="F264">
        <v>185329837.02000001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-0.28279883381924215</v>
      </c>
      <c r="Q264">
        <f t="shared" si="965"/>
        <v>-52411061.781166211</v>
      </c>
      <c r="R264">
        <f t="shared" si="966"/>
        <v>-2939507211.8779235</v>
      </c>
      <c r="S264">
        <f t="shared" si="967"/>
        <v>-29395.072118779233</v>
      </c>
      <c r="T264">
        <f t="shared" si="968"/>
        <v>-29.395072118779233</v>
      </c>
    </row>
    <row r="265" spans="1:20" x14ac:dyDescent="0.25">
      <c r="A265" s="5">
        <v>44328</v>
      </c>
      <c r="B265">
        <v>0.51800000000000002</v>
      </c>
      <c r="C265">
        <v>0.56599999999999995</v>
      </c>
      <c r="D265">
        <v>0.37240000000000001</v>
      </c>
      <c r="E265">
        <v>0.38279999999999997</v>
      </c>
      <c r="F265">
        <v>226727466.86000001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-0.89256198347107474</v>
      </c>
      <c r="Q265">
        <f t="shared" si="965"/>
        <v>-202368317.52793398</v>
      </c>
      <c r="R265">
        <f t="shared" si="966"/>
        <v>-2887096150.0967574</v>
      </c>
      <c r="S265">
        <f t="shared" si="967"/>
        <v>-28870.961500967573</v>
      </c>
      <c r="T265">
        <f t="shared" si="968"/>
        <v>-28.870961500967574</v>
      </c>
    </row>
    <row r="266" spans="1:20" x14ac:dyDescent="0.25">
      <c r="A266" s="5">
        <v>44327</v>
      </c>
      <c r="B266">
        <v>0.50029999999999997</v>
      </c>
      <c r="C266">
        <v>0.54259999999999997</v>
      </c>
      <c r="D266">
        <v>0.47499999999999998</v>
      </c>
      <c r="E266">
        <v>0.51949999999999996</v>
      </c>
      <c r="F266">
        <v>178962498.96000001</v>
      </c>
      <c r="G266">
        <v>0</v>
      </c>
      <c r="L266" t="s">
        <v>7</v>
      </c>
      <c r="M266" t="s">
        <v>7</v>
      </c>
      <c r="N266" t="s">
        <v>7</v>
      </c>
      <c r="P266">
        <f t="shared" si="964"/>
        <v>0.31656804733727778</v>
      </c>
      <c r="Q266">
        <f t="shared" si="965"/>
        <v>56653808.842366807</v>
      </c>
      <c r="R266">
        <f t="shared" si="966"/>
        <v>-2684727832.5688233</v>
      </c>
      <c r="S266">
        <f t="shared" si="967"/>
        <v>-26847.278325688232</v>
      </c>
      <c r="T266">
        <f t="shared" si="968"/>
        <v>-26.847278325688233</v>
      </c>
    </row>
    <row r="267" spans="1:20" x14ac:dyDescent="0.25">
      <c r="A267" s="5">
        <v>44326</v>
      </c>
      <c r="B267">
        <v>0.62429999999999997</v>
      </c>
      <c r="C267">
        <v>0.69</v>
      </c>
      <c r="D267">
        <v>0.47099999999999997</v>
      </c>
      <c r="E267">
        <v>0.50039999999999996</v>
      </c>
      <c r="F267">
        <v>379372276.67000002</v>
      </c>
      <c r="G267">
        <v>0</v>
      </c>
      <c r="L267" t="s">
        <v>8</v>
      </c>
      <c r="M267" t="s">
        <v>8</v>
      </c>
      <c r="N267" t="s">
        <v>8</v>
      </c>
      <c r="P267">
        <f t="shared" si="964"/>
        <v>-0.7315068493150686</v>
      </c>
      <c r="Q267">
        <f t="shared" si="965"/>
        <v>-277513418.8243562</v>
      </c>
      <c r="R267">
        <f t="shared" si="966"/>
        <v>-2741381641.41119</v>
      </c>
      <c r="S267">
        <f t="shared" si="967"/>
        <v>-27413.816414111901</v>
      </c>
      <c r="T267">
        <f t="shared" si="968"/>
        <v>-27.413816414111903</v>
      </c>
    </row>
    <row r="268" spans="1:20" x14ac:dyDescent="0.25">
      <c r="A268" s="5">
        <v>44325</v>
      </c>
      <c r="B268">
        <v>0.51700000000000002</v>
      </c>
      <c r="C268">
        <v>0.64800000000000002</v>
      </c>
      <c r="D268">
        <v>0.46</v>
      </c>
      <c r="E268">
        <v>0.62380000000000002</v>
      </c>
      <c r="F268">
        <v>432481107.88</v>
      </c>
      <c r="G268">
        <v>0</v>
      </c>
      <c r="L268" t="s">
        <v>8</v>
      </c>
      <c r="M268" t="s">
        <v>7</v>
      </c>
      <c r="N268" t="s">
        <v>7</v>
      </c>
      <c r="P268">
        <f t="shared" si="964"/>
        <v>0.74255319148936172</v>
      </c>
      <c r="Q268">
        <f t="shared" si="965"/>
        <v>321140226.91514891</v>
      </c>
      <c r="R268">
        <f t="shared" si="966"/>
        <v>-2463868222.586834</v>
      </c>
      <c r="S268">
        <f t="shared" si="967"/>
        <v>-24638.682225868339</v>
      </c>
      <c r="T268">
        <f t="shared" si="968"/>
        <v>-24.63868222586834</v>
      </c>
    </row>
    <row r="269" spans="1:20" x14ac:dyDescent="0.25">
      <c r="A269" s="5">
        <v>44324</v>
      </c>
      <c r="B269">
        <v>0.5272</v>
      </c>
      <c r="C269">
        <v>0.57999999999999996</v>
      </c>
      <c r="D269">
        <v>0.49590000000000001</v>
      </c>
      <c r="E269">
        <v>0.51719999999999999</v>
      </c>
      <c r="F269">
        <v>177976563.38</v>
      </c>
      <c r="G269">
        <v>0</v>
      </c>
      <c r="L269" t="s">
        <v>8</v>
      </c>
      <c r="M269" t="s">
        <v>7</v>
      </c>
      <c r="N269" t="s">
        <v>7</v>
      </c>
      <c r="P269">
        <f t="shared" si="964"/>
        <v>-0.49346016646848995</v>
      </c>
      <c r="Q269">
        <f t="shared" si="965"/>
        <v>-87824344.592984542</v>
      </c>
      <c r="R269">
        <f t="shared" si="966"/>
        <v>-2785008449.5019827</v>
      </c>
      <c r="S269">
        <f t="shared" si="967"/>
        <v>-27850.084495019826</v>
      </c>
      <c r="T269">
        <f t="shared" si="968"/>
        <v>-27.850084495019825</v>
      </c>
    </row>
    <row r="270" spans="1:20" x14ac:dyDescent="0.25">
      <c r="A270" s="5">
        <v>44323</v>
      </c>
      <c r="B270">
        <v>0.60499999999999998</v>
      </c>
      <c r="C270">
        <v>0.65190000000000003</v>
      </c>
      <c r="D270">
        <v>0.49359999999999998</v>
      </c>
      <c r="E270">
        <v>0.5272</v>
      </c>
      <c r="F270">
        <v>214011497.84999999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-0.5754895767530005</v>
      </c>
      <c r="Q270">
        <f t="shared" si="965"/>
        <v>-123161386.31797217</v>
      </c>
      <c r="R270">
        <f t="shared" si="966"/>
        <v>-2697184104.908998</v>
      </c>
      <c r="S270">
        <f t="shared" si="967"/>
        <v>-26971.841049089981</v>
      </c>
      <c r="T270">
        <f t="shared" si="968"/>
        <v>-26.971841049089981</v>
      </c>
    </row>
    <row r="271" spans="1:20" x14ac:dyDescent="0.25">
      <c r="A271" s="5">
        <v>44322</v>
      </c>
      <c r="B271">
        <v>0.61950000000000005</v>
      </c>
      <c r="C271">
        <v>0.69489999999999996</v>
      </c>
      <c r="D271">
        <v>0.58199999999999996</v>
      </c>
      <c r="E271">
        <v>0.60499999999999998</v>
      </c>
      <c r="F271">
        <v>256256463.31999999</v>
      </c>
      <c r="G271">
        <v>0</v>
      </c>
      <c r="L271" t="s">
        <v>7</v>
      </c>
      <c r="M271" t="s">
        <v>7</v>
      </c>
      <c r="N271" t="s">
        <v>7</v>
      </c>
      <c r="P271">
        <f t="shared" si="964"/>
        <v>-0.59255978742249737</v>
      </c>
      <c r="Q271">
        <f t="shared" si="965"/>
        <v>-151847275.4305402</v>
      </c>
      <c r="R271">
        <f t="shared" si="966"/>
        <v>-2574022718.5910258</v>
      </c>
      <c r="S271">
        <f t="shared" si="967"/>
        <v>-25740.227185910258</v>
      </c>
      <c r="T271">
        <f t="shared" si="968"/>
        <v>-25.740227185910257</v>
      </c>
    </row>
    <row r="272" spans="1:20" x14ac:dyDescent="0.25">
      <c r="A272" s="5">
        <v>44321</v>
      </c>
      <c r="B272">
        <v>0.58930000000000005</v>
      </c>
      <c r="C272">
        <v>0.72589999999999999</v>
      </c>
      <c r="D272">
        <v>0.58530000000000004</v>
      </c>
      <c r="E272">
        <v>0.61970000000000003</v>
      </c>
      <c r="F272">
        <v>298742347.94</v>
      </c>
      <c r="G272">
        <v>0</v>
      </c>
      <c r="L272" t="s">
        <v>8</v>
      </c>
      <c r="M272" t="s">
        <v>8</v>
      </c>
      <c r="N272" t="s">
        <v>7</v>
      </c>
      <c r="P272">
        <f t="shared" si="964"/>
        <v>-0.51066856330014221</v>
      </c>
      <c r="Q272">
        <f t="shared" si="965"/>
        <v>-152558325.61943099</v>
      </c>
      <c r="R272">
        <f t="shared" si="966"/>
        <v>-2422175443.1604857</v>
      </c>
      <c r="S272">
        <f t="shared" si="967"/>
        <v>-24221.754431604859</v>
      </c>
      <c r="T272">
        <f t="shared" si="968"/>
        <v>-24.221754431604857</v>
      </c>
    </row>
    <row r="273" spans="1:20" x14ac:dyDescent="0.25">
      <c r="A273" s="5">
        <v>44320</v>
      </c>
      <c r="B273">
        <v>0.7</v>
      </c>
      <c r="C273">
        <v>0.72929999999999995</v>
      </c>
      <c r="D273">
        <v>0.57620000000000005</v>
      </c>
      <c r="E273">
        <v>0.58960000000000001</v>
      </c>
      <c r="F273">
        <v>350179649.47000003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-0.82495101241018975</v>
      </c>
      <c r="Q273">
        <f t="shared" si="965"/>
        <v>-288881056.35572189</v>
      </c>
      <c r="R273">
        <f t="shared" si="966"/>
        <v>-2269617117.5410547</v>
      </c>
      <c r="S273">
        <f t="shared" si="967"/>
        <v>-22696.171175410549</v>
      </c>
      <c r="T273">
        <f t="shared" si="968"/>
        <v>-22.696171175410548</v>
      </c>
    </row>
    <row r="274" spans="1:20" x14ac:dyDescent="0.25">
      <c r="A274" s="5">
        <v>44319</v>
      </c>
      <c r="B274">
        <v>0.75490000000000002</v>
      </c>
      <c r="C274">
        <v>0.86899999999999999</v>
      </c>
      <c r="D274">
        <v>0.66180000000000005</v>
      </c>
      <c r="E274">
        <v>0.7</v>
      </c>
      <c r="F274">
        <v>650270981.07000005</v>
      </c>
      <c r="G274">
        <v>0</v>
      </c>
      <c r="L274" t="s">
        <v>7</v>
      </c>
      <c r="M274" t="s">
        <v>7</v>
      </c>
      <c r="N274" t="s">
        <v>8</v>
      </c>
      <c r="P274">
        <f t="shared" si="964"/>
        <v>-0.63127413127413212</v>
      </c>
      <c r="Q274">
        <f t="shared" si="965"/>
        <v>-410499248.66774189</v>
      </c>
      <c r="R274">
        <f t="shared" si="966"/>
        <v>-1980736061.1853328</v>
      </c>
      <c r="S274">
        <f t="shared" si="967"/>
        <v>-19807.360611853328</v>
      </c>
      <c r="T274">
        <f t="shared" si="968"/>
        <v>-19.807360611853326</v>
      </c>
    </row>
    <row r="275" spans="1:20" x14ac:dyDescent="0.25">
      <c r="A275" s="5">
        <v>44318</v>
      </c>
      <c r="B275">
        <v>0.47499999999999998</v>
      </c>
      <c r="C275">
        <v>0.87860000000000005</v>
      </c>
      <c r="D275">
        <v>0.45529999999999998</v>
      </c>
      <c r="E275">
        <v>0.75490000000000002</v>
      </c>
      <c r="F275">
        <v>1090284466.3599999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0.41554453106543815</v>
      </c>
      <c r="Q275">
        <f t="shared" si="965"/>
        <v>453061747.30149764</v>
      </c>
      <c r="R275">
        <f t="shared" si="966"/>
        <v>-1570236812.5175908</v>
      </c>
      <c r="S275">
        <f t="shared" si="967"/>
        <v>-15702.368125175908</v>
      </c>
      <c r="T275">
        <f t="shared" si="968"/>
        <v>-15.702368125175909</v>
      </c>
    </row>
    <row r="276" spans="1:20" x14ac:dyDescent="0.25">
      <c r="A276" s="5">
        <v>44317</v>
      </c>
      <c r="B276">
        <v>0.42809999999999998</v>
      </c>
      <c r="C276">
        <v>0.51770000000000005</v>
      </c>
      <c r="D276">
        <v>0.41699999999999998</v>
      </c>
      <c r="E276">
        <v>0.47470000000000001</v>
      </c>
      <c r="F276">
        <v>239952907.88999999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0.14597815292949334</v>
      </c>
      <c r="Q276">
        <f t="shared" si="965"/>
        <v>35027882.283843048</v>
      </c>
      <c r="R276">
        <f t="shared" si="966"/>
        <v>-2023298559.8190885</v>
      </c>
      <c r="S276">
        <f t="shared" si="967"/>
        <v>-20232.985598190884</v>
      </c>
      <c r="T276">
        <f t="shared" si="968"/>
        <v>-20.232985598190883</v>
      </c>
    </row>
    <row r="277" spans="1:20" x14ac:dyDescent="0.25">
      <c r="A277" s="5">
        <v>44316</v>
      </c>
      <c r="B277">
        <v>0.43930000000000002</v>
      </c>
      <c r="C277">
        <v>0.4713</v>
      </c>
      <c r="D277">
        <v>0.41099999999999998</v>
      </c>
      <c r="E277">
        <v>0.42759999999999998</v>
      </c>
      <c r="F277">
        <v>182959258.66999999</v>
      </c>
      <c r="G277">
        <v>0</v>
      </c>
      <c r="L277" t="s">
        <v>7</v>
      </c>
      <c r="M277" t="s">
        <v>7</v>
      </c>
      <c r="N277" t="s">
        <v>8</v>
      </c>
      <c r="P277">
        <f t="shared" si="964"/>
        <v>-0.44941956882255396</v>
      </c>
      <c r="Q277">
        <f t="shared" si="965"/>
        <v>-82225471.143565506</v>
      </c>
      <c r="R277">
        <f t="shared" si="966"/>
        <v>-2058326442.1029315</v>
      </c>
      <c r="S277">
        <f t="shared" si="967"/>
        <v>-20583.264421029315</v>
      </c>
      <c r="T277">
        <f t="shared" si="968"/>
        <v>-20.583264421029316</v>
      </c>
    </row>
    <row r="278" spans="1:20" x14ac:dyDescent="0.25">
      <c r="A278" s="5">
        <v>44315</v>
      </c>
      <c r="B278">
        <v>0.3538</v>
      </c>
      <c r="C278">
        <v>0.495</v>
      </c>
      <c r="D278">
        <v>0.35360000000000003</v>
      </c>
      <c r="E278">
        <v>0.43819999999999998</v>
      </c>
      <c r="F278">
        <v>371449330.26999998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0.19660537482319621</v>
      </c>
      <c r="Q278">
        <f t="shared" si="965"/>
        <v>73028934.805558547</v>
      </c>
      <c r="R278">
        <f t="shared" si="966"/>
        <v>-1976100970.9593661</v>
      </c>
      <c r="S278">
        <f t="shared" si="967"/>
        <v>-19761.009709593662</v>
      </c>
      <c r="T278">
        <f t="shared" si="968"/>
        <v>-19.761009709593662</v>
      </c>
    </row>
    <row r="279" spans="1:20" x14ac:dyDescent="0.25">
      <c r="A279" s="5">
        <v>44314</v>
      </c>
      <c r="B279">
        <v>0.33850000000000002</v>
      </c>
      <c r="C279">
        <v>0.42780000000000001</v>
      </c>
      <c r="D279">
        <v>0.32</v>
      </c>
      <c r="E279">
        <v>0.35370000000000001</v>
      </c>
      <c r="F279">
        <v>371839475.67000002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-0.37476808905380321</v>
      </c>
      <c r="Q279">
        <f t="shared" si="965"/>
        <v>-139353569.73161405</v>
      </c>
      <c r="R279">
        <f t="shared" si="966"/>
        <v>-2049129905.7649245</v>
      </c>
      <c r="S279">
        <f t="shared" si="967"/>
        <v>-20491.299057649245</v>
      </c>
      <c r="T279">
        <f t="shared" si="968"/>
        <v>-20.491299057649243</v>
      </c>
    </row>
    <row r="280" spans="1:20" x14ac:dyDescent="0.25">
      <c r="A280" s="5">
        <v>44313</v>
      </c>
      <c r="B280">
        <v>0.26939999999999997</v>
      </c>
      <c r="C280">
        <v>0.37980000000000003</v>
      </c>
      <c r="D280">
        <v>0.25650000000000001</v>
      </c>
      <c r="E280">
        <v>0.33850000000000002</v>
      </c>
      <c r="F280">
        <v>261971203.91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0.33008921330089219</v>
      </c>
      <c r="Q280">
        <f t="shared" si="965"/>
        <v>86473868.606139511</v>
      </c>
      <c r="R280">
        <f t="shared" si="966"/>
        <v>-1909776336.0333104</v>
      </c>
      <c r="S280">
        <f t="shared" si="967"/>
        <v>-19097.763360333105</v>
      </c>
      <c r="T280">
        <f t="shared" si="968"/>
        <v>-19.097763360333104</v>
      </c>
    </row>
    <row r="281" spans="1:20" x14ac:dyDescent="0.25">
      <c r="A281" s="5">
        <v>44312</v>
      </c>
      <c r="B281">
        <v>0.24390000000000001</v>
      </c>
      <c r="C281">
        <v>0.27750000000000002</v>
      </c>
      <c r="D281">
        <v>0.2404</v>
      </c>
      <c r="E281">
        <v>0.26950000000000002</v>
      </c>
      <c r="F281">
        <v>103161568.98999999</v>
      </c>
      <c r="G281">
        <v>0</v>
      </c>
      <c r="L281" t="s">
        <v>7</v>
      </c>
      <c r="M281" t="s">
        <v>7</v>
      </c>
      <c r="N281" t="s">
        <v>8</v>
      </c>
      <c r="P281">
        <f t="shared" si="964"/>
        <v>0.56873315363881394</v>
      </c>
      <c r="Q281">
        <f t="shared" si="965"/>
        <v>58671404.466010772</v>
      </c>
      <c r="R281">
        <f t="shared" si="966"/>
        <v>-1996250204.6394498</v>
      </c>
      <c r="S281">
        <f t="shared" si="967"/>
        <v>-19962.502046394497</v>
      </c>
      <c r="T281">
        <f t="shared" si="968"/>
        <v>-19.962502046394498</v>
      </c>
    </row>
    <row r="282" spans="1:20" x14ac:dyDescent="0.25">
      <c r="A282" s="5">
        <v>44311</v>
      </c>
      <c r="B282">
        <v>0.2636</v>
      </c>
      <c r="C282">
        <v>0.317</v>
      </c>
      <c r="D282">
        <v>0.22620000000000001</v>
      </c>
      <c r="E282">
        <v>0.24390000000000001</v>
      </c>
      <c r="F282">
        <v>218462151.77000001</v>
      </c>
      <c r="G282">
        <v>0</v>
      </c>
      <c r="L282" t="s">
        <v>8</v>
      </c>
      <c r="M282" t="s">
        <v>8</v>
      </c>
      <c r="N282" t="s">
        <v>8</v>
      </c>
      <c r="P282">
        <f t="shared" si="964"/>
        <v>-0.61013215859030845</v>
      </c>
      <c r="Q282">
        <f t="shared" si="965"/>
        <v>-133290784.22971368</v>
      </c>
      <c r="R282">
        <f t="shared" si="966"/>
        <v>-2054921609.1054606</v>
      </c>
      <c r="S282">
        <f t="shared" si="967"/>
        <v>-20549.216091054608</v>
      </c>
      <c r="T282">
        <f t="shared" si="968"/>
        <v>-20.549216091054607</v>
      </c>
    </row>
    <row r="283" spans="1:20" x14ac:dyDescent="0.25">
      <c r="A283" s="5">
        <v>44310</v>
      </c>
      <c r="B283">
        <v>0.2266</v>
      </c>
      <c r="C283">
        <v>0.29809999999999998</v>
      </c>
      <c r="D283">
        <v>0.19600000000000001</v>
      </c>
      <c r="E283">
        <v>0.26340000000000002</v>
      </c>
      <c r="F283">
        <v>125369787.51000001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0.32027424094025536</v>
      </c>
      <c r="Q283">
        <f t="shared" si="965"/>
        <v>40152713.531606361</v>
      </c>
      <c r="R283">
        <f t="shared" si="966"/>
        <v>-1921630824.875747</v>
      </c>
      <c r="S283">
        <f t="shared" si="967"/>
        <v>-19216.308248757468</v>
      </c>
      <c r="T283">
        <f t="shared" si="968"/>
        <v>-19.216308248757468</v>
      </c>
    </row>
    <row r="284" spans="1:20" x14ac:dyDescent="0.25">
      <c r="A284" s="5">
        <v>44309</v>
      </c>
      <c r="B284">
        <v>0.25319999999999998</v>
      </c>
      <c r="C284">
        <v>0.25650000000000001</v>
      </c>
      <c r="D284">
        <v>0.19650000000000001</v>
      </c>
      <c r="E284">
        <v>0.2253</v>
      </c>
      <c r="F284">
        <v>75171468.799999997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-4.0000000000000223E-2</v>
      </c>
      <c r="Q284">
        <f t="shared" si="965"/>
        <v>-3006858.7520000166</v>
      </c>
      <c r="R284">
        <f t="shared" si="966"/>
        <v>-1961783538.4073534</v>
      </c>
      <c r="S284">
        <f t="shared" si="967"/>
        <v>-19617.835384073533</v>
      </c>
      <c r="T284">
        <f t="shared" si="968"/>
        <v>-19.617835384073533</v>
      </c>
    </row>
    <row r="285" spans="1:20" x14ac:dyDescent="0.25">
      <c r="A285" s="5">
        <v>44308</v>
      </c>
      <c r="B285">
        <v>0.28110000000000002</v>
      </c>
      <c r="C285">
        <v>0.29799999999999999</v>
      </c>
      <c r="D285">
        <v>0.25</v>
      </c>
      <c r="E285">
        <v>0.25419999999999998</v>
      </c>
      <c r="F285">
        <v>65269949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-0.82500000000000073</v>
      </c>
      <c r="Q285">
        <f t="shared" si="965"/>
        <v>-53847707.925000049</v>
      </c>
      <c r="R285">
        <f t="shared" si="966"/>
        <v>-1958776679.6553533</v>
      </c>
      <c r="S285">
        <f t="shared" si="967"/>
        <v>-19587.766796553533</v>
      </c>
      <c r="T285">
        <f t="shared" si="968"/>
        <v>-19.587766796553534</v>
      </c>
    </row>
    <row r="286" spans="1:20" x14ac:dyDescent="0.25">
      <c r="A286" s="5">
        <v>44307</v>
      </c>
      <c r="B286">
        <v>0.3024</v>
      </c>
      <c r="C286">
        <v>0.32119999999999999</v>
      </c>
      <c r="D286">
        <v>0.2782</v>
      </c>
      <c r="E286">
        <v>0.28179999999999999</v>
      </c>
      <c r="F286">
        <v>73605111.659999996</v>
      </c>
      <c r="G286">
        <v>0</v>
      </c>
      <c r="L286" t="s">
        <v>7</v>
      </c>
      <c r="M286" t="s">
        <v>7</v>
      </c>
      <c r="N286" t="s">
        <v>7</v>
      </c>
      <c r="P286">
        <f t="shared" si="964"/>
        <v>-0.832558139534884</v>
      </c>
      <c r="Q286">
        <f t="shared" si="965"/>
        <v>-61280534.823906995</v>
      </c>
      <c r="R286">
        <f t="shared" si="966"/>
        <v>-1904928971.7303534</v>
      </c>
      <c r="S286">
        <f t="shared" si="967"/>
        <v>-19049.289717303534</v>
      </c>
      <c r="T286">
        <f t="shared" si="968"/>
        <v>-19.049289717303534</v>
      </c>
    </row>
    <row r="287" spans="1:20" x14ac:dyDescent="0.25">
      <c r="A287" s="5">
        <v>44306</v>
      </c>
      <c r="B287">
        <v>0.3211</v>
      </c>
      <c r="C287">
        <v>0.33600000000000002</v>
      </c>
      <c r="D287">
        <v>0.29120000000000001</v>
      </c>
      <c r="E287">
        <v>0.30230000000000001</v>
      </c>
      <c r="F287">
        <v>67285521.189999998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-0.50446428571428581</v>
      </c>
      <c r="Q287">
        <f t="shared" si="965"/>
        <v>-33943142.386026792</v>
      </c>
      <c r="R287">
        <f t="shared" si="966"/>
        <v>-1843648436.9064465</v>
      </c>
      <c r="S287">
        <f t="shared" si="967"/>
        <v>-18436.484369064463</v>
      </c>
      <c r="T287">
        <f t="shared" si="968"/>
        <v>-18.436484369064463</v>
      </c>
    </row>
    <row r="288" spans="1:20" x14ac:dyDescent="0.25">
      <c r="A288" s="5">
        <v>44305</v>
      </c>
      <c r="B288">
        <v>0.35949999999999999</v>
      </c>
      <c r="C288">
        <v>0.41499999999999998</v>
      </c>
      <c r="D288">
        <v>0.317</v>
      </c>
      <c r="E288">
        <v>0.3211</v>
      </c>
      <c r="F288">
        <v>138152831.41999999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-0.916326530612245</v>
      </c>
      <c r="Q288">
        <f t="shared" si="965"/>
        <v>-126593104.70934694</v>
      </c>
      <c r="R288">
        <f t="shared" si="966"/>
        <v>-1809705294.5204196</v>
      </c>
      <c r="S288">
        <f t="shared" si="967"/>
        <v>-18097.052945204196</v>
      </c>
      <c r="T288">
        <f t="shared" si="968"/>
        <v>-18.097052945204197</v>
      </c>
    </row>
    <row r="289" spans="1:20" x14ac:dyDescent="0.25">
      <c r="A289" s="5">
        <v>44304</v>
      </c>
      <c r="B289">
        <v>0.40010000000000001</v>
      </c>
      <c r="C289">
        <v>0.40949999999999998</v>
      </c>
      <c r="D289">
        <v>0.30380000000000001</v>
      </c>
      <c r="E289">
        <v>0.35970000000000002</v>
      </c>
      <c r="F289">
        <v>112014126.75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5.7710501419111181E-2</v>
      </c>
      <c r="Q289">
        <f t="shared" si="965"/>
        <v>6464391.420766375</v>
      </c>
      <c r="R289">
        <f t="shared" si="966"/>
        <v>-1683112189.8110726</v>
      </c>
      <c r="S289">
        <f t="shared" si="967"/>
        <v>-16831.121898110727</v>
      </c>
      <c r="T289">
        <f t="shared" si="968"/>
        <v>-16.831121898110727</v>
      </c>
    </row>
    <row r="290" spans="1:20" x14ac:dyDescent="0.25">
      <c r="A290" s="5">
        <v>44303</v>
      </c>
      <c r="B290">
        <v>0.3826</v>
      </c>
      <c r="C290">
        <v>0.44990000000000002</v>
      </c>
      <c r="D290">
        <v>0.37830000000000003</v>
      </c>
      <c r="E290">
        <v>0.39989999999999998</v>
      </c>
      <c r="F290">
        <v>126113529.56999999</v>
      </c>
      <c r="G290">
        <v>0</v>
      </c>
      <c r="L290" t="s">
        <v>8</v>
      </c>
      <c r="M290" t="s">
        <v>8</v>
      </c>
      <c r="N290" t="s">
        <v>7</v>
      </c>
      <c r="P290">
        <f t="shared" si="964"/>
        <v>-0.39664804469273873</v>
      </c>
      <c r="Q290">
        <f t="shared" si="965"/>
        <v>-50022684.913240388</v>
      </c>
      <c r="R290">
        <f t="shared" si="966"/>
        <v>-1689576581.2318389</v>
      </c>
      <c r="S290">
        <f t="shared" si="967"/>
        <v>-16895.76581231839</v>
      </c>
      <c r="T290">
        <f t="shared" si="968"/>
        <v>-16.895765812318391</v>
      </c>
    </row>
    <row r="291" spans="1:20" x14ac:dyDescent="0.25">
      <c r="A291" s="5">
        <v>44302</v>
      </c>
      <c r="B291">
        <v>0.48</v>
      </c>
      <c r="C291">
        <v>0.48499999999999999</v>
      </c>
      <c r="D291">
        <v>0.37259999999999999</v>
      </c>
      <c r="E291">
        <v>0.38290000000000002</v>
      </c>
      <c r="F291">
        <v>193497182.63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-0.81672597864768626</v>
      </c>
      <c r="Q291">
        <f t="shared" si="965"/>
        <v>-158034175.84905681</v>
      </c>
      <c r="R291">
        <f t="shared" si="966"/>
        <v>-1639553896.3185985</v>
      </c>
      <c r="S291">
        <f t="shared" si="967"/>
        <v>-16395.538963185983</v>
      </c>
      <c r="T291">
        <f t="shared" si="968"/>
        <v>-16.395538963185984</v>
      </c>
    </row>
    <row r="292" spans="1:20" x14ac:dyDescent="0.25">
      <c r="A292" s="5">
        <v>44301</v>
      </c>
      <c r="B292">
        <v>0.58440000000000003</v>
      </c>
      <c r="C292">
        <v>0.58440000000000003</v>
      </c>
      <c r="D292">
        <v>0.46579999999999999</v>
      </c>
      <c r="E292">
        <v>0.47989999999999999</v>
      </c>
      <c r="F292">
        <v>205358632.41999999</v>
      </c>
      <c r="G292">
        <v>0</v>
      </c>
      <c r="L292" t="s">
        <v>7</v>
      </c>
      <c r="M292" t="s">
        <v>7</v>
      </c>
      <c r="N292" t="s">
        <v>7</v>
      </c>
      <c r="P292">
        <f t="shared" si="964"/>
        <v>-0.76222596964586853</v>
      </c>
      <c r="Q292">
        <f t="shared" si="965"/>
        <v>-156529682.72148398</v>
      </c>
      <c r="R292">
        <f t="shared" si="966"/>
        <v>-1481519720.4695418</v>
      </c>
      <c r="S292">
        <f t="shared" si="967"/>
        <v>-14815.197204695418</v>
      </c>
      <c r="T292">
        <f t="shared" si="968"/>
        <v>-14.815197204695417</v>
      </c>
    </row>
    <row r="293" spans="1:20" x14ac:dyDescent="0.25">
      <c r="A293" s="5">
        <v>44300</v>
      </c>
      <c r="B293">
        <v>0.72689999999999999</v>
      </c>
      <c r="C293">
        <v>0.93889999999999996</v>
      </c>
      <c r="D293">
        <v>0.55020000000000002</v>
      </c>
      <c r="E293">
        <v>0.58299999999999996</v>
      </c>
      <c r="F293">
        <v>710957671.00999999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-0.8312323128376643</v>
      </c>
      <c r="Q293">
        <f t="shared" si="965"/>
        <v>-590970989.20332158</v>
      </c>
      <c r="R293">
        <f t="shared" si="966"/>
        <v>-1324990037.7480578</v>
      </c>
      <c r="S293">
        <f t="shared" si="967"/>
        <v>-13249.900377480579</v>
      </c>
      <c r="T293">
        <f t="shared" si="968"/>
        <v>-13.249900377480579</v>
      </c>
    </row>
    <row r="294" spans="1:20" x14ac:dyDescent="0.25">
      <c r="A294" s="5">
        <v>44299</v>
      </c>
      <c r="B294">
        <v>0.1</v>
      </c>
      <c r="C294">
        <v>5.95</v>
      </c>
      <c r="D294">
        <v>0.1</v>
      </c>
      <c r="E294">
        <v>0.72689999999999999</v>
      </c>
      <c r="F294">
        <v>934252520.34000003</v>
      </c>
      <c r="G294">
        <v>0</v>
      </c>
      <c r="P294">
        <f t="shared" si="964"/>
        <v>-0.78567521367521365</v>
      </c>
      <c r="Q294">
        <f t="shared" si="965"/>
        <v>-734019048.54473639</v>
      </c>
      <c r="R294">
        <f t="shared" si="966"/>
        <v>-734019048.54473639</v>
      </c>
      <c r="S294">
        <f t="shared" si="967"/>
        <v>-7340.1904854473642</v>
      </c>
      <c r="T294">
        <f t="shared" si="968"/>
        <v>-7.3401904854473639</v>
      </c>
    </row>
    <row r="295" spans="1:20" x14ac:dyDescent="0.25">
      <c r="A295" s="5"/>
      <c r="B295" s="1"/>
      <c r="C295" s="2"/>
      <c r="D295" s="2"/>
      <c r="E295" s="1"/>
      <c r="F295" s="1"/>
      <c r="P295">
        <f t="shared" si="964"/>
        <v>0</v>
      </c>
      <c r="Q295">
        <f t="shared" si="965"/>
        <v>0</v>
      </c>
      <c r="R295">
        <f t="shared" si="966"/>
        <v>0</v>
      </c>
      <c r="S295">
        <f t="shared" si="967"/>
        <v>0</v>
      </c>
      <c r="T295">
        <f t="shared" si="968"/>
        <v>0</v>
      </c>
    </row>
    <row r="296" spans="1:20" x14ac:dyDescent="0.25">
      <c r="A296" s="5"/>
      <c r="B296" s="1"/>
      <c r="C296" s="2"/>
      <c r="D296" s="2"/>
      <c r="E296" s="1"/>
      <c r="F296" s="1"/>
      <c r="P296">
        <f t="shared" si="964"/>
        <v>0</v>
      </c>
      <c r="Q296">
        <f t="shared" si="965"/>
        <v>0</v>
      </c>
      <c r="R296">
        <f t="shared" si="966"/>
        <v>0</v>
      </c>
      <c r="S296">
        <f t="shared" si="967"/>
        <v>0</v>
      </c>
      <c r="T296">
        <f t="shared" si="968"/>
        <v>0</v>
      </c>
    </row>
    <row r="297" spans="1:20" x14ac:dyDescent="0.25">
      <c r="A297" s="5"/>
      <c r="B297" s="1"/>
      <c r="C297" s="2"/>
      <c r="D297" s="2"/>
      <c r="E297" s="1"/>
      <c r="F297" s="1"/>
      <c r="P297">
        <f t="shared" si="964"/>
        <v>0</v>
      </c>
      <c r="Q297">
        <f t="shared" si="965"/>
        <v>0</v>
      </c>
      <c r="R297">
        <f t="shared" si="966"/>
        <v>0</v>
      </c>
      <c r="S297">
        <f t="shared" si="967"/>
        <v>0</v>
      </c>
      <c r="T297">
        <f t="shared" si="968"/>
        <v>0</v>
      </c>
    </row>
    <row r="298" spans="1:20" x14ac:dyDescent="0.25">
      <c r="A298" s="5"/>
      <c r="B298" s="1"/>
      <c r="C298" s="2"/>
      <c r="D298" s="2"/>
      <c r="E298" s="1"/>
      <c r="F298" s="1"/>
      <c r="P298">
        <f t="shared" si="964"/>
        <v>0</v>
      </c>
      <c r="Q298">
        <f t="shared" si="965"/>
        <v>0</v>
      </c>
      <c r="R298">
        <f t="shared" si="966"/>
        <v>0</v>
      </c>
      <c r="S298">
        <f t="shared" si="967"/>
        <v>0</v>
      </c>
      <c r="T298">
        <f t="shared" si="968"/>
        <v>0</v>
      </c>
    </row>
    <row r="299" spans="1:20" x14ac:dyDescent="0.25">
      <c r="A299" s="5"/>
      <c r="B299" s="1"/>
      <c r="C299" s="2"/>
      <c r="D299" s="2"/>
      <c r="E299" s="1"/>
      <c r="F299" s="1"/>
      <c r="P299">
        <f t="shared" si="964"/>
        <v>0</v>
      </c>
      <c r="Q299">
        <f t="shared" si="965"/>
        <v>0</v>
      </c>
      <c r="R299">
        <f t="shared" si="966"/>
        <v>0</v>
      </c>
      <c r="S299">
        <f t="shared" si="967"/>
        <v>0</v>
      </c>
      <c r="T299">
        <f t="shared" si="968"/>
        <v>0</v>
      </c>
    </row>
    <row r="300" spans="1:20" x14ac:dyDescent="0.25">
      <c r="A300" s="5"/>
      <c r="B300" s="1"/>
      <c r="C300" s="2"/>
      <c r="D300" s="2"/>
      <c r="E300" s="1"/>
      <c r="F300" s="1"/>
      <c r="P300">
        <f t="shared" si="964"/>
        <v>0</v>
      </c>
      <c r="Q300">
        <f t="shared" si="965"/>
        <v>0</v>
      </c>
      <c r="R300">
        <f t="shared" si="966"/>
        <v>0</v>
      </c>
      <c r="S300">
        <f t="shared" si="967"/>
        <v>0</v>
      </c>
      <c r="T300">
        <f t="shared" si="968"/>
        <v>0</v>
      </c>
    </row>
    <row r="301" spans="1:20" x14ac:dyDescent="0.25">
      <c r="A301" s="5"/>
      <c r="B301" s="1"/>
      <c r="C301" s="2"/>
      <c r="D301" s="2"/>
      <c r="E301" s="1"/>
      <c r="F301" s="1"/>
      <c r="P301">
        <f t="shared" si="964"/>
        <v>0</v>
      </c>
      <c r="Q301">
        <f t="shared" si="965"/>
        <v>0</v>
      </c>
      <c r="R301">
        <f t="shared" si="966"/>
        <v>0</v>
      </c>
      <c r="S301">
        <f t="shared" si="967"/>
        <v>0</v>
      </c>
      <c r="T301">
        <f t="shared" si="968"/>
        <v>0</v>
      </c>
    </row>
    <row r="302" spans="1:20" x14ac:dyDescent="0.25">
      <c r="A302" s="5"/>
      <c r="B302" s="1"/>
      <c r="C302" s="2"/>
      <c r="D302" s="2"/>
      <c r="E302" s="1"/>
      <c r="F302" s="1"/>
      <c r="P302">
        <f t="shared" si="964"/>
        <v>0</v>
      </c>
      <c r="Q302">
        <f t="shared" si="965"/>
        <v>0</v>
      </c>
      <c r="R302">
        <f t="shared" si="966"/>
        <v>0</v>
      </c>
      <c r="S302">
        <f t="shared" si="967"/>
        <v>0</v>
      </c>
      <c r="T302">
        <f t="shared" si="968"/>
        <v>0</v>
      </c>
    </row>
    <row r="303" spans="1:20" x14ac:dyDescent="0.25">
      <c r="A303" s="5"/>
      <c r="B303" s="1"/>
      <c r="C303" s="2"/>
      <c r="D303" s="2"/>
      <c r="E303" s="1"/>
      <c r="F303" s="1"/>
      <c r="P303">
        <f t="shared" si="964"/>
        <v>0</v>
      </c>
      <c r="Q303">
        <f t="shared" si="965"/>
        <v>0</v>
      </c>
      <c r="R303">
        <f t="shared" si="966"/>
        <v>0</v>
      </c>
      <c r="S303">
        <f t="shared" si="967"/>
        <v>0</v>
      </c>
      <c r="T303">
        <f t="shared" si="968"/>
        <v>0</v>
      </c>
    </row>
    <row r="304" spans="1:20" x14ac:dyDescent="0.25">
      <c r="A304" s="5"/>
      <c r="B304" s="1"/>
      <c r="C304" s="2"/>
      <c r="D304" s="2"/>
      <c r="E304" s="1"/>
      <c r="F304" s="1"/>
      <c r="P304">
        <f t="shared" si="964"/>
        <v>0</v>
      </c>
      <c r="Q304">
        <f t="shared" si="965"/>
        <v>0</v>
      </c>
      <c r="R304">
        <f t="shared" si="966"/>
        <v>0</v>
      </c>
      <c r="S304">
        <f t="shared" si="967"/>
        <v>0</v>
      </c>
      <c r="T304">
        <f t="shared" si="968"/>
        <v>0</v>
      </c>
    </row>
    <row r="305" spans="1:20" x14ac:dyDescent="0.25">
      <c r="A305" s="5"/>
      <c r="B305" s="1"/>
      <c r="C305" s="2"/>
      <c r="D305" s="2"/>
      <c r="E305" s="1"/>
      <c r="F305" s="1"/>
      <c r="P305">
        <f t="shared" si="964"/>
        <v>0</v>
      </c>
      <c r="Q305">
        <f t="shared" si="965"/>
        <v>0</v>
      </c>
      <c r="R305">
        <f t="shared" si="966"/>
        <v>0</v>
      </c>
      <c r="S305">
        <f t="shared" si="967"/>
        <v>0</v>
      </c>
      <c r="T305">
        <f t="shared" si="968"/>
        <v>0</v>
      </c>
    </row>
    <row r="306" spans="1:20" x14ac:dyDescent="0.25">
      <c r="A306" s="5"/>
      <c r="B306" s="1"/>
      <c r="C306" s="2"/>
      <c r="D306" s="2"/>
      <c r="E306" s="1"/>
      <c r="F306" s="1"/>
      <c r="P306">
        <f t="shared" si="964"/>
        <v>0</v>
      </c>
      <c r="Q306">
        <f t="shared" si="965"/>
        <v>0</v>
      </c>
      <c r="R306">
        <f t="shared" si="966"/>
        <v>0</v>
      </c>
      <c r="S306">
        <f t="shared" si="967"/>
        <v>0</v>
      </c>
      <c r="T306">
        <f t="shared" si="968"/>
        <v>0</v>
      </c>
    </row>
    <row r="307" spans="1:20" x14ac:dyDescent="0.25">
      <c r="A307" s="5"/>
      <c r="B307" s="1"/>
      <c r="C307" s="2"/>
      <c r="D307" s="2"/>
      <c r="E307" s="1"/>
      <c r="F307" s="1"/>
      <c r="P307">
        <f t="shared" si="964"/>
        <v>0</v>
      </c>
      <c r="Q307">
        <f t="shared" si="965"/>
        <v>0</v>
      </c>
      <c r="R307">
        <f t="shared" si="966"/>
        <v>0</v>
      </c>
      <c r="S307">
        <f t="shared" si="967"/>
        <v>0</v>
      </c>
      <c r="T307">
        <f t="shared" si="968"/>
        <v>0</v>
      </c>
    </row>
    <row r="308" spans="1:20" x14ac:dyDescent="0.25">
      <c r="A308" s="5"/>
      <c r="B308" s="1"/>
      <c r="C308" s="2"/>
      <c r="D308" s="2"/>
      <c r="E308" s="1"/>
      <c r="F308" s="1"/>
      <c r="P308">
        <f t="shared" si="964"/>
        <v>0</v>
      </c>
      <c r="Q308">
        <f t="shared" si="965"/>
        <v>0</v>
      </c>
      <c r="R308">
        <f t="shared" si="966"/>
        <v>0</v>
      </c>
      <c r="S308">
        <f t="shared" si="967"/>
        <v>0</v>
      </c>
      <c r="T308">
        <f t="shared" si="968"/>
        <v>0</v>
      </c>
    </row>
    <row r="309" spans="1:20" x14ac:dyDescent="0.25">
      <c r="A309" s="5"/>
      <c r="B309" s="1"/>
      <c r="C309" s="2"/>
      <c r="D309" s="2"/>
      <c r="E309" s="1"/>
      <c r="F309" s="1"/>
      <c r="P309">
        <f t="shared" si="964"/>
        <v>0</v>
      </c>
      <c r="Q309">
        <f t="shared" si="965"/>
        <v>0</v>
      </c>
      <c r="R309">
        <f t="shared" si="966"/>
        <v>0</v>
      </c>
      <c r="S309">
        <f t="shared" si="967"/>
        <v>0</v>
      </c>
      <c r="T309">
        <f t="shared" si="968"/>
        <v>0</v>
      </c>
    </row>
    <row r="310" spans="1:20" x14ac:dyDescent="0.25">
      <c r="A310" s="5"/>
      <c r="B310" s="1"/>
      <c r="C310" s="2"/>
      <c r="D310" s="2"/>
      <c r="E310" s="1"/>
      <c r="F310" s="1"/>
      <c r="P310">
        <f t="shared" si="964"/>
        <v>0</v>
      </c>
      <c r="Q310">
        <f t="shared" si="965"/>
        <v>0</v>
      </c>
      <c r="R310">
        <f t="shared" si="966"/>
        <v>0</v>
      </c>
      <c r="S310">
        <f t="shared" si="967"/>
        <v>0</v>
      </c>
      <c r="T310">
        <f t="shared" si="968"/>
        <v>0</v>
      </c>
    </row>
    <row r="311" spans="1:20" x14ac:dyDescent="0.25">
      <c r="A311" s="5"/>
      <c r="B311" s="1"/>
      <c r="C311" s="2"/>
      <c r="D311" s="2"/>
      <c r="E311" s="1"/>
      <c r="F311" s="1"/>
      <c r="P311">
        <f t="shared" si="964"/>
        <v>0</v>
      </c>
      <c r="Q311">
        <f t="shared" si="965"/>
        <v>0</v>
      </c>
      <c r="R311">
        <f t="shared" si="966"/>
        <v>0</v>
      </c>
      <c r="S311">
        <f t="shared" si="967"/>
        <v>0</v>
      </c>
      <c r="T311">
        <f t="shared" si="968"/>
        <v>0</v>
      </c>
    </row>
    <row r="312" spans="1:20" x14ac:dyDescent="0.25">
      <c r="A312" s="5"/>
      <c r="B312" s="1"/>
      <c r="C312" s="2"/>
      <c r="D312" s="2"/>
      <c r="E312" s="1"/>
      <c r="F312" s="1"/>
      <c r="P312">
        <f t="shared" si="964"/>
        <v>0</v>
      </c>
      <c r="Q312">
        <f t="shared" si="965"/>
        <v>0</v>
      </c>
      <c r="R312">
        <f t="shared" si="966"/>
        <v>0</v>
      </c>
      <c r="S312">
        <f t="shared" si="967"/>
        <v>0</v>
      </c>
      <c r="T312">
        <f t="shared" si="968"/>
        <v>0</v>
      </c>
    </row>
    <row r="313" spans="1:20" x14ac:dyDescent="0.25">
      <c r="A313" s="5"/>
      <c r="B313" s="1"/>
      <c r="C313" s="2"/>
      <c r="D313" s="2"/>
      <c r="E313" s="1"/>
      <c r="F313" s="1"/>
      <c r="P313">
        <f t="shared" si="964"/>
        <v>0</v>
      </c>
      <c r="Q313">
        <f t="shared" si="965"/>
        <v>0</v>
      </c>
      <c r="R313">
        <f t="shared" si="966"/>
        <v>0</v>
      </c>
      <c r="S313">
        <f t="shared" si="967"/>
        <v>0</v>
      </c>
      <c r="T313">
        <f t="shared" si="968"/>
        <v>0</v>
      </c>
    </row>
    <row r="314" spans="1:20" x14ac:dyDescent="0.25">
      <c r="A314" s="5"/>
      <c r="P314">
        <f t="shared" si="964"/>
        <v>0</v>
      </c>
      <c r="Q314">
        <f t="shared" si="965"/>
        <v>0</v>
      </c>
      <c r="R314">
        <f t="shared" si="966"/>
        <v>0</v>
      </c>
      <c r="S314">
        <f t="shared" si="967"/>
        <v>0</v>
      </c>
      <c r="T314">
        <f t="shared" si="968"/>
        <v>0</v>
      </c>
    </row>
    <row r="315" spans="1:20" x14ac:dyDescent="0.25">
      <c r="A315" s="5"/>
      <c r="P315">
        <f t="shared" si="964"/>
        <v>0</v>
      </c>
      <c r="Q315">
        <f t="shared" si="965"/>
        <v>0</v>
      </c>
      <c r="R315">
        <f t="shared" si="966"/>
        <v>0</v>
      </c>
      <c r="S315">
        <f t="shared" si="967"/>
        <v>0</v>
      </c>
      <c r="T315">
        <f t="shared" si="968"/>
        <v>0</v>
      </c>
    </row>
    <row r="316" spans="1:20" x14ac:dyDescent="0.25">
      <c r="A316" s="5"/>
      <c r="P316">
        <f t="shared" si="964"/>
        <v>0</v>
      </c>
      <c r="Q316">
        <f t="shared" si="965"/>
        <v>0</v>
      </c>
      <c r="R316">
        <f t="shared" si="966"/>
        <v>0</v>
      </c>
      <c r="S316">
        <f t="shared" si="967"/>
        <v>0</v>
      </c>
      <c r="T316">
        <f t="shared" si="968"/>
        <v>0</v>
      </c>
    </row>
    <row r="317" spans="1:20" x14ac:dyDescent="0.25">
      <c r="A317" s="5"/>
      <c r="P317">
        <f t="shared" si="964"/>
        <v>0</v>
      </c>
      <c r="Q317">
        <f t="shared" si="965"/>
        <v>0</v>
      </c>
      <c r="R317">
        <f t="shared" si="966"/>
        <v>0</v>
      </c>
      <c r="S317">
        <f t="shared" si="967"/>
        <v>0</v>
      </c>
      <c r="T317">
        <f t="shared" si="968"/>
        <v>0</v>
      </c>
    </row>
    <row r="318" spans="1:20" x14ac:dyDescent="0.25">
      <c r="A318" s="5"/>
      <c r="P318">
        <f t="shared" si="964"/>
        <v>0</v>
      </c>
      <c r="Q318">
        <f t="shared" si="965"/>
        <v>0</v>
      </c>
      <c r="R318">
        <f t="shared" si="966"/>
        <v>0</v>
      </c>
      <c r="S318">
        <f t="shared" si="967"/>
        <v>0</v>
      </c>
      <c r="T318">
        <f t="shared" si="968"/>
        <v>0</v>
      </c>
    </row>
    <row r="319" spans="1:20" x14ac:dyDescent="0.25">
      <c r="A319" s="5"/>
      <c r="P319">
        <f t="shared" si="964"/>
        <v>0</v>
      </c>
      <c r="Q319">
        <f t="shared" si="965"/>
        <v>0</v>
      </c>
      <c r="R319">
        <f t="shared" si="966"/>
        <v>0</v>
      </c>
      <c r="S319">
        <f t="shared" si="967"/>
        <v>0</v>
      </c>
      <c r="T319">
        <f t="shared" si="968"/>
        <v>0</v>
      </c>
    </row>
    <row r="320" spans="1:20" x14ac:dyDescent="0.25">
      <c r="A320" s="5"/>
      <c r="P320">
        <f t="shared" si="964"/>
        <v>0</v>
      </c>
      <c r="Q320">
        <f t="shared" si="965"/>
        <v>0</v>
      </c>
      <c r="R320">
        <f t="shared" si="966"/>
        <v>0</v>
      </c>
      <c r="S320">
        <f t="shared" si="967"/>
        <v>0</v>
      </c>
      <c r="T320">
        <f t="shared" si="968"/>
        <v>0</v>
      </c>
    </row>
    <row r="321" spans="1:20" x14ac:dyDescent="0.25">
      <c r="A321" s="5"/>
      <c r="P321">
        <f t="shared" si="964"/>
        <v>0</v>
      </c>
      <c r="Q321">
        <f t="shared" si="965"/>
        <v>0</v>
      </c>
      <c r="R321">
        <f t="shared" si="966"/>
        <v>0</v>
      </c>
      <c r="S321">
        <f t="shared" si="967"/>
        <v>0</v>
      </c>
      <c r="T321">
        <f t="shared" si="968"/>
        <v>0</v>
      </c>
    </row>
    <row r="322" spans="1:20" x14ac:dyDescent="0.25">
      <c r="A322" s="5"/>
      <c r="P322">
        <f t="shared" si="964"/>
        <v>0</v>
      </c>
      <c r="Q322">
        <f t="shared" si="965"/>
        <v>0</v>
      </c>
      <c r="R322">
        <f t="shared" si="966"/>
        <v>0</v>
      </c>
      <c r="S322">
        <f t="shared" si="967"/>
        <v>0</v>
      </c>
      <c r="T322">
        <f t="shared" si="968"/>
        <v>0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FH701" sqref="FH701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$A$700</v>
      </c>
      <c r="D111" s="1" t="str">
        <f>ADDRESS(C121-1,D121,1,1)</f>
        <v>$FH$700</v>
      </c>
      <c r="E111"/>
    </row>
    <row r="112" spans="1:5" x14ac:dyDescent="0.25">
      <c r="A112" s="7">
        <v>12164.144957890772</v>
      </c>
      <c r="C112" s="1" t="str">
        <f>ADDRESS(C121,1,1,1)</f>
        <v>$A$701</v>
      </c>
      <c r="D112" s="1" t="str">
        <f>ADDRESS(C121,D121-1,1,1)</f>
        <v>$FG$701</v>
      </c>
      <c r="E112"/>
    </row>
    <row r="113" spans="1:5" x14ac:dyDescent="0.25">
      <c r="A113" s="7">
        <v>11925.63231165762</v>
      </c>
      <c r="C113" s="1" t="str">
        <f>ADDRESS(C121+1,1,1,1)</f>
        <v>$A$702</v>
      </c>
      <c r="D113" s="1" t="str">
        <f>ADDRESS(C121-1,D121+1,1,1)</f>
        <v>$FI$700</v>
      </c>
    </row>
    <row r="114" spans="1:5" x14ac:dyDescent="0.25">
      <c r="A114" s="7">
        <v>11691.796383978059</v>
      </c>
      <c r="C114" s="1" t="str">
        <f>ADDRESS(C121,D121,1,1)</f>
        <v>$FH$701</v>
      </c>
      <c r="D114" s="1" t="str">
        <f>ADDRESS(C121+1,D121+1,1,1)</f>
        <v>$FI$702</v>
      </c>
    </row>
    <row r="115" spans="1:5" x14ac:dyDescent="0.25">
      <c r="A115" s="7">
        <v>11462.545474488292</v>
      </c>
      <c r="C115" s="1" t="str">
        <f>ADDRESS(C121+1,D121,1,1)</f>
        <v>$FH$702</v>
      </c>
    </row>
    <row r="116" spans="1:5" x14ac:dyDescent="0.25">
      <c r="A116" s="7">
        <v>11237.789680870874</v>
      </c>
      <c r="C116" s="1">
        <f>C117-1</f>
        <v>700</v>
      </c>
    </row>
    <row r="117" spans="1:5" x14ac:dyDescent="0.25">
      <c r="A117" s="7">
        <v>11017.440863598895</v>
      </c>
      <c r="C117" s="1">
        <f>C121</f>
        <v>701</v>
      </c>
      <c r="D117" s="1">
        <f>D121</f>
        <v>164</v>
      </c>
    </row>
    <row r="118" spans="1:5" x14ac:dyDescent="0.25">
      <c r="A118" s="7">
        <v>10801.412611371465</v>
      </c>
      <c r="C118" s="1">
        <f>C117+1</f>
        <v>702</v>
      </c>
      <c r="D118" s="1">
        <f>D117+1</f>
        <v>165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701</v>
      </c>
      <c r="D121" s="19">
        <v>164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R701</v>
      </c>
      <c r="D123" s="1" t="str">
        <f>"C"&amp;D121</f>
        <v>C164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0.1046117384089861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20" x14ac:dyDescent="0.25">
      <c r="A593" s="7">
        <v>0.8879713821861922</v>
      </c>
      <c r="B593"/>
      <c r="C593"/>
      <c r="D593"/>
      <c r="E593"/>
      <c r="F593" s="27" t="s">
        <v>7</v>
      </c>
    </row>
    <row r="594" spans="1:20" x14ac:dyDescent="0.25">
      <c r="A594" s="7">
        <v>0.87056017861391399</v>
      </c>
      <c r="B594"/>
      <c r="C594"/>
      <c r="D594"/>
      <c r="E594"/>
      <c r="F594" s="27" t="s">
        <v>7</v>
      </c>
      <c r="O594" s="27" t="s">
        <v>8</v>
      </c>
    </row>
    <row r="595" spans="1:20" x14ac:dyDescent="0.25">
      <c r="A595" s="7">
        <v>0.85349037119011173</v>
      </c>
      <c r="B595"/>
      <c r="C595"/>
      <c r="D595"/>
      <c r="E595"/>
      <c r="F595" s="27" t="s">
        <v>7</v>
      </c>
      <c r="O595" s="27" t="s">
        <v>8</v>
      </c>
      <c r="P595" s="27" t="s">
        <v>7</v>
      </c>
    </row>
    <row r="596" spans="1:20" x14ac:dyDescent="0.25">
      <c r="A596" s="7">
        <v>0.83675526587265858</v>
      </c>
      <c r="B596"/>
      <c r="C596"/>
      <c r="D596"/>
      <c r="E596"/>
      <c r="F596" s="27" t="s">
        <v>7</v>
      </c>
      <c r="O596" s="27" t="s">
        <v>8</v>
      </c>
      <c r="P596" s="27" t="s">
        <v>7</v>
      </c>
    </row>
    <row r="597" spans="1:20" x14ac:dyDescent="0.25">
      <c r="A597" s="7">
        <v>0.82034829987515545</v>
      </c>
      <c r="B597"/>
      <c r="C597"/>
      <c r="D597"/>
      <c r="E597"/>
      <c r="F597" s="27" t="s">
        <v>7</v>
      </c>
      <c r="O597" s="27" t="s">
        <v>8</v>
      </c>
      <c r="P597" s="27" t="s">
        <v>7</v>
      </c>
    </row>
    <row r="598" spans="1:20" x14ac:dyDescent="0.25">
      <c r="A598" s="7">
        <v>0.80426303909328967</v>
      </c>
      <c r="B598"/>
      <c r="C598"/>
      <c r="D598"/>
      <c r="E598"/>
      <c r="F598" s="27" t="s">
        <v>7</v>
      </c>
      <c r="O598" s="27" t="s">
        <v>8</v>
      </c>
      <c r="P598" s="27" t="s">
        <v>7</v>
      </c>
    </row>
    <row r="599" spans="1:20" x14ac:dyDescent="0.25">
      <c r="A599" s="7">
        <v>0.78849317558165644</v>
      </c>
      <c r="B599"/>
      <c r="C599"/>
      <c r="D599"/>
      <c r="E599"/>
      <c r="F599" s="27" t="s">
        <v>7</v>
      </c>
      <c r="O599" s="27" t="s">
        <v>8</v>
      </c>
      <c r="P599" s="27" t="s">
        <v>7</v>
      </c>
    </row>
    <row r="600" spans="1:20" x14ac:dyDescent="0.25">
      <c r="A600" s="7">
        <v>0.77303252508005538</v>
      </c>
      <c r="B600"/>
      <c r="C600"/>
      <c r="D600"/>
      <c r="E600"/>
      <c r="F600" s="27" t="s">
        <v>7</v>
      </c>
      <c r="O600" s="27" t="s">
        <v>8</v>
      </c>
      <c r="P600" s="27" t="s">
        <v>7</v>
      </c>
    </row>
    <row r="601" spans="1:20" x14ac:dyDescent="0.25">
      <c r="A601" s="7">
        <v>0.75787502458828959</v>
      </c>
      <c r="B601"/>
      <c r="C601"/>
      <c r="D601"/>
      <c r="E601"/>
      <c r="F601" s="27" t="s">
        <v>7</v>
      </c>
      <c r="O601" s="27" t="s">
        <v>8</v>
      </c>
      <c r="P601" s="27" t="s">
        <v>7</v>
      </c>
    </row>
    <row r="602" spans="1:20" x14ac:dyDescent="0.25">
      <c r="A602" s="7">
        <v>0.74301472998851925</v>
      </c>
      <c r="B602"/>
      <c r="C602"/>
      <c r="D602"/>
      <c r="E602"/>
      <c r="F602" s="27" t="s">
        <v>7</v>
      </c>
      <c r="O602" s="27" t="s">
        <v>8</v>
      </c>
      <c r="P602" s="27" t="s">
        <v>7</v>
      </c>
    </row>
    <row r="603" spans="1:20" x14ac:dyDescent="0.25">
      <c r="A603" s="7">
        <v>0.72844581371423456</v>
      </c>
      <c r="B603"/>
      <c r="C603"/>
      <c r="D603"/>
      <c r="E603"/>
      <c r="F603" s="27" t="s">
        <v>7</v>
      </c>
      <c r="O603" s="27" t="s">
        <v>8</v>
      </c>
      <c r="P603" s="27" t="s">
        <v>7</v>
      </c>
    </row>
    <row r="604" spans="1:20" x14ac:dyDescent="0.25">
      <c r="A604" s="7">
        <v>0.71416256246493581</v>
      </c>
      <c r="B604"/>
      <c r="C604"/>
      <c r="D604"/>
      <c r="E604"/>
      <c r="F604" s="27" t="s">
        <v>7</v>
      </c>
      <c r="O604" s="27" t="s">
        <v>8</v>
      </c>
      <c r="P604" s="27" t="s">
        <v>7</v>
      </c>
      <c r="Q604" s="27" t="s">
        <v>8</v>
      </c>
    </row>
    <row r="605" spans="1:20" x14ac:dyDescent="0.25">
      <c r="A605" s="7">
        <v>0.7001593749656233</v>
      </c>
      <c r="B605"/>
      <c r="C605"/>
      <c r="D605"/>
      <c r="E605"/>
      <c r="F605" s="27" t="s">
        <v>7</v>
      </c>
      <c r="O605" s="27" t="s">
        <v>8</v>
      </c>
      <c r="P605" s="27" t="s">
        <v>7</v>
      </c>
      <c r="Q605" s="27" t="s">
        <v>8</v>
      </c>
      <c r="R605" s="27" t="s">
        <v>7</v>
      </c>
    </row>
    <row r="606" spans="1:20" x14ac:dyDescent="0.25">
      <c r="A606" s="7">
        <v>0.68643075977021883</v>
      </c>
      <c r="B606"/>
      <c r="C606"/>
      <c r="D606"/>
      <c r="E606"/>
      <c r="F606" s="27" t="s">
        <v>7</v>
      </c>
      <c r="O606" s="27" t="s">
        <v>8</v>
      </c>
      <c r="P606" s="27" t="s">
        <v>7</v>
      </c>
      <c r="Q606" s="27" t="s">
        <v>8</v>
      </c>
      <c r="R606" s="27" t="s">
        <v>7</v>
      </c>
      <c r="S606" s="27" t="s">
        <v>8</v>
      </c>
    </row>
    <row r="607" spans="1:20" x14ac:dyDescent="0.25">
      <c r="A607" s="7">
        <v>0.67297133310805768</v>
      </c>
      <c r="B607"/>
      <c r="C607"/>
      <c r="D607"/>
      <c r="E607"/>
      <c r="F607" s="27" t="s">
        <v>7</v>
      </c>
      <c r="O607" s="27" t="s">
        <v>8</v>
      </c>
      <c r="P607" s="27" t="s">
        <v>7</v>
      </c>
      <c r="Q607" s="27" t="s">
        <v>8</v>
      </c>
      <c r="R607" s="27" t="s">
        <v>7</v>
      </c>
      <c r="S607" s="27" t="s">
        <v>8</v>
      </c>
      <c r="T607" s="27" t="s">
        <v>7</v>
      </c>
    </row>
    <row r="608" spans="1:20" x14ac:dyDescent="0.25">
      <c r="A608" s="7">
        <v>0.65977581677260566</v>
      </c>
      <c r="B608"/>
      <c r="C608"/>
      <c r="D608"/>
      <c r="E608"/>
      <c r="F608" s="27" t="s">
        <v>7</v>
      </c>
      <c r="O608" s="27" t="s">
        <v>8</v>
      </c>
      <c r="P608" s="27" t="s">
        <v>7</v>
      </c>
      <c r="Q608" s="27" t="s">
        <v>8</v>
      </c>
      <c r="R608" s="27" t="s">
        <v>7</v>
      </c>
      <c r="S608" s="27" t="s">
        <v>8</v>
      </c>
      <c r="T608" s="27" t="s">
        <v>7</v>
      </c>
    </row>
    <row r="609" spans="1:131" x14ac:dyDescent="0.25">
      <c r="A609" s="7">
        <v>0.64683903605157422</v>
      </c>
      <c r="B609"/>
      <c r="C609"/>
      <c r="D609"/>
      <c r="E609"/>
      <c r="F609" s="27" t="s">
        <v>7</v>
      </c>
      <c r="O609" s="27" t="s">
        <v>8</v>
      </c>
      <c r="P609" s="27" t="s">
        <v>7</v>
      </c>
      <c r="Q609" s="27" t="s">
        <v>8</v>
      </c>
      <c r="R609" s="27" t="s">
        <v>7</v>
      </c>
      <c r="S609" s="27" t="s">
        <v>8</v>
      </c>
      <c r="T609" s="27" t="s">
        <v>7</v>
      </c>
    </row>
    <row r="610" spans="1:131" x14ac:dyDescent="0.25">
      <c r="A610" s="7">
        <v>0.63415591769762181</v>
      </c>
      <c r="B610"/>
      <c r="C610"/>
      <c r="D610"/>
      <c r="E610"/>
      <c r="F610" s="27" t="s">
        <v>7</v>
      </c>
      <c r="O610" s="27" t="s">
        <v>8</v>
      </c>
      <c r="P610" s="27" t="s">
        <v>7</v>
      </c>
      <c r="Q610" s="27" t="s">
        <v>8</v>
      </c>
      <c r="R610" s="27" t="s">
        <v>7</v>
      </c>
      <c r="S610" s="27" t="s">
        <v>8</v>
      </c>
      <c r="T610" s="27" t="s">
        <v>7</v>
      </c>
    </row>
    <row r="611" spans="1:131" x14ac:dyDescent="0.25">
      <c r="A611" s="7">
        <v>0.62172148793884496</v>
      </c>
      <c r="B611"/>
      <c r="C611"/>
      <c r="D611"/>
      <c r="E611"/>
      <c r="F611" s="27" t="s">
        <v>7</v>
      </c>
      <c r="O611" s="27" t="s">
        <v>8</v>
      </c>
      <c r="P611" s="27" t="s">
        <v>7</v>
      </c>
      <c r="Q611" s="27" t="s">
        <v>8</v>
      </c>
      <c r="R611" s="27" t="s">
        <v>7</v>
      </c>
      <c r="S611" s="27" t="s">
        <v>8</v>
      </c>
      <c r="T611" s="27" t="s">
        <v>7</v>
      </c>
    </row>
    <row r="612" spans="1:131" x14ac:dyDescent="0.25">
      <c r="A612" s="7">
        <v>0.60953087052827937</v>
      </c>
      <c r="B612"/>
      <c r="C612"/>
      <c r="D612"/>
      <c r="E612"/>
      <c r="F612" s="27" t="s">
        <v>7</v>
      </c>
      <c r="O612" s="27" t="s">
        <v>8</v>
      </c>
      <c r="P612" s="27" t="s">
        <v>7</v>
      </c>
      <c r="Q612" s="27" t="s">
        <v>8</v>
      </c>
      <c r="R612" s="27" t="s">
        <v>7</v>
      </c>
      <c r="S612" s="27" t="s">
        <v>8</v>
      </c>
      <c r="T612" s="27" t="s">
        <v>7</v>
      </c>
    </row>
    <row r="613" spans="1:131" x14ac:dyDescent="0.25">
      <c r="A613" s="7">
        <v>0.59757928483164646</v>
      </c>
      <c r="B613"/>
      <c r="C613"/>
      <c r="D613"/>
      <c r="E613"/>
      <c r="F613" s="27" t="s">
        <v>7</v>
      </c>
      <c r="O613" s="27" t="s">
        <v>8</v>
      </c>
      <c r="P613" s="27" t="s">
        <v>7</v>
      </c>
      <c r="Q613" s="27" t="s">
        <v>8</v>
      </c>
      <c r="R613" s="27" t="s">
        <v>7</v>
      </c>
      <c r="S613" s="27" t="s">
        <v>8</v>
      </c>
      <c r="T613" s="27" t="s">
        <v>7</v>
      </c>
    </row>
    <row r="614" spans="1:131" x14ac:dyDescent="0.25">
      <c r="A614" s="7">
        <v>0.58586204395259456</v>
      </c>
      <c r="B614"/>
      <c r="C614"/>
      <c r="D614"/>
      <c r="E614"/>
      <c r="F614" s="27" t="s">
        <v>7</v>
      </c>
      <c r="O614" s="27" t="s">
        <v>8</v>
      </c>
      <c r="P614" s="27" t="s">
        <v>7</v>
      </c>
      <c r="R614" s="27" t="s">
        <v>7</v>
      </c>
      <c r="S614" s="27" t="s">
        <v>8</v>
      </c>
      <c r="T614" s="27" t="s">
        <v>7</v>
      </c>
    </row>
    <row r="615" spans="1:131" x14ac:dyDescent="0.25">
      <c r="A615" s="7">
        <v>0.57437455289470052</v>
      </c>
      <c r="B615"/>
      <c r="C615"/>
      <c r="D615"/>
      <c r="E615"/>
      <c r="F615" s="27" t="s">
        <v>7</v>
      </c>
      <c r="O615" s="27" t="s">
        <v>8</v>
      </c>
      <c r="R615" s="27" t="s">
        <v>7</v>
      </c>
      <c r="S615" s="27" t="s">
        <v>8</v>
      </c>
      <c r="T615" s="27" t="s">
        <v>7</v>
      </c>
    </row>
    <row r="616" spans="1:131" x14ac:dyDescent="0.25">
      <c r="A616" s="7">
        <v>0.56311230675951029</v>
      </c>
      <c r="B616"/>
      <c r="C616"/>
      <c r="D616"/>
      <c r="E616"/>
      <c r="F616" s="27" t="s">
        <v>7</v>
      </c>
      <c r="O616" s="27" t="s">
        <v>8</v>
      </c>
      <c r="R616" s="27" t="s">
        <v>7</v>
      </c>
      <c r="S616" s="27" t="s">
        <v>8</v>
      </c>
      <c r="T616" s="27" t="s">
        <v>7</v>
      </c>
      <c r="DW616" s="27" t="s">
        <v>8</v>
      </c>
    </row>
    <row r="617" spans="1:131" x14ac:dyDescent="0.25">
      <c r="A617" s="7">
        <v>0.55207088897991208</v>
      </c>
      <c r="B617"/>
      <c r="C617"/>
      <c r="D617"/>
      <c r="E617"/>
      <c r="F617" s="27" t="s">
        <v>7</v>
      </c>
      <c r="O617" s="27" t="s">
        <v>8</v>
      </c>
      <c r="R617" s="27" t="s">
        <v>7</v>
      </c>
      <c r="S617" s="27" t="s">
        <v>8</v>
      </c>
      <c r="T617" s="27" t="s">
        <v>7</v>
      </c>
      <c r="DW617" s="27" t="s">
        <v>8</v>
      </c>
      <c r="DX617" s="27" t="s">
        <v>7</v>
      </c>
    </row>
    <row r="618" spans="1:131" x14ac:dyDescent="0.25">
      <c r="A618" s="7">
        <v>0.54124596958814908</v>
      </c>
      <c r="B618"/>
      <c r="C618"/>
      <c r="D618"/>
      <c r="E618"/>
      <c r="F618" s="27" t="s">
        <v>7</v>
      </c>
      <c r="O618" s="27" t="s">
        <v>8</v>
      </c>
      <c r="R618" s="27" t="s">
        <v>7</v>
      </c>
      <c r="S618" s="27" t="s">
        <v>8</v>
      </c>
      <c r="T618" s="27" t="s">
        <v>7</v>
      </c>
      <c r="DW618" s="27" t="s">
        <v>8</v>
      </c>
      <c r="DX618" s="27" t="s">
        <v>7</v>
      </c>
    </row>
    <row r="619" spans="1:131" x14ac:dyDescent="0.25">
      <c r="A619" s="7">
        <v>0.53063330351779314</v>
      </c>
      <c r="B619"/>
      <c r="C619"/>
      <c r="D619"/>
      <c r="E619"/>
      <c r="F619" s="27" t="s">
        <v>7</v>
      </c>
      <c r="O619" s="27" t="s">
        <v>8</v>
      </c>
      <c r="R619" s="27" t="s">
        <v>7</v>
      </c>
      <c r="S619" s="27" t="s">
        <v>8</v>
      </c>
      <c r="T619" s="27" t="s">
        <v>7</v>
      </c>
      <c r="DW619" s="27" t="s">
        <v>8</v>
      </c>
      <c r="DX619" s="27" t="s">
        <v>7</v>
      </c>
    </row>
    <row r="620" spans="1:131" x14ac:dyDescent="0.25">
      <c r="A620" s="7">
        <v>0.52022872893901284</v>
      </c>
      <c r="B620"/>
      <c r="C620"/>
      <c r="D620"/>
      <c r="E620"/>
      <c r="F620" s="27" t="s">
        <v>7</v>
      </c>
      <c r="O620" s="27" t="s">
        <v>8</v>
      </c>
      <c r="R620" s="27" t="s">
        <v>7</v>
      </c>
      <c r="S620" s="27" t="s">
        <v>8</v>
      </c>
      <c r="T620" s="27" t="s">
        <v>7</v>
      </c>
      <c r="DW620" s="27" t="s">
        <v>8</v>
      </c>
      <c r="DX620" s="27" t="s">
        <v>7</v>
      </c>
    </row>
    <row r="621" spans="1:131" x14ac:dyDescent="0.25">
      <c r="A621" s="7">
        <v>0.51002816562648323</v>
      </c>
      <c r="B621"/>
      <c r="C621"/>
      <c r="D621"/>
      <c r="E621"/>
      <c r="F621" s="27" t="s">
        <v>7</v>
      </c>
      <c r="O621" s="27" t="s">
        <v>8</v>
      </c>
      <c r="R621" s="27" t="s">
        <v>7</v>
      </c>
      <c r="S621" s="27" t="s">
        <v>8</v>
      </c>
      <c r="T621" s="27" t="s">
        <v>7</v>
      </c>
      <c r="DW621" s="27" t="s">
        <v>8</v>
      </c>
      <c r="DX621" s="27" t="s">
        <v>7</v>
      </c>
    </row>
    <row r="622" spans="1:131" x14ac:dyDescent="0.25">
      <c r="A622" s="7">
        <v>0.50002761335929735</v>
      </c>
      <c r="B622"/>
      <c r="C622"/>
      <c r="D622"/>
      <c r="E622"/>
      <c r="F622" s="27" t="s">
        <v>7</v>
      </c>
      <c r="O622" s="27" t="s">
        <v>8</v>
      </c>
      <c r="R622" s="27" t="s">
        <v>7</v>
      </c>
      <c r="T622" s="27" t="s">
        <v>7</v>
      </c>
      <c r="DW622" s="27" t="s">
        <v>8</v>
      </c>
      <c r="DX622" s="27" t="s">
        <v>7</v>
      </c>
    </row>
    <row r="623" spans="1:131" x14ac:dyDescent="0.25">
      <c r="A623" s="7">
        <v>0.49022315035225228</v>
      </c>
      <c r="B623"/>
      <c r="C623"/>
      <c r="D623"/>
      <c r="E623"/>
      <c r="F623" s="27" t="s">
        <v>7</v>
      </c>
      <c r="M623" s="27" t="s">
        <v>8</v>
      </c>
      <c r="O623" s="27" t="s">
        <v>8</v>
      </c>
      <c r="T623" s="27" t="s">
        <v>7</v>
      </c>
      <c r="DW623" s="27" t="s">
        <v>8</v>
      </c>
      <c r="DX623" s="27" t="s">
        <v>7</v>
      </c>
    </row>
    <row r="624" spans="1:131" x14ac:dyDescent="0.25">
      <c r="A624" s="7">
        <v>0.48061093171789437</v>
      </c>
      <c r="B624"/>
      <c r="C624"/>
      <c r="D624"/>
      <c r="E624"/>
      <c r="F624" s="27" t="s">
        <v>7</v>
      </c>
      <c r="M624" s="27" t="s">
        <v>8</v>
      </c>
      <c r="N624" s="27" t="s">
        <v>7</v>
      </c>
      <c r="O624" s="27" t="s">
        <v>8</v>
      </c>
      <c r="T624" s="27" t="s">
        <v>7</v>
      </c>
      <c r="DW624" s="27" t="s">
        <v>8</v>
      </c>
      <c r="DX624" s="27" t="s">
        <v>7</v>
      </c>
      <c r="EA624" s="27" t="s">
        <v>8</v>
      </c>
    </row>
    <row r="625" spans="1:132" x14ac:dyDescent="0.25">
      <c r="A625" s="7">
        <v>0.47118718795871994</v>
      </c>
      <c r="B625"/>
      <c r="C625"/>
      <c r="D625"/>
      <c r="E625"/>
      <c r="F625" s="27" t="s">
        <v>7</v>
      </c>
      <c r="M625" s="27" t="s">
        <v>8</v>
      </c>
      <c r="N625" s="27" t="s">
        <v>7</v>
      </c>
      <c r="O625" s="27" t="s">
        <v>8</v>
      </c>
      <c r="T625" s="27" t="s">
        <v>7</v>
      </c>
      <c r="DW625" s="27" t="s">
        <v>8</v>
      </c>
      <c r="DX625" s="27" t="s">
        <v>7</v>
      </c>
      <c r="EA625" s="27" t="s">
        <v>8</v>
      </c>
      <c r="EB625" s="27" t="s">
        <v>7</v>
      </c>
    </row>
    <row r="626" spans="1:132" x14ac:dyDescent="0.25">
      <c r="A626" s="7">
        <v>0.46194822348894116</v>
      </c>
      <c r="B626"/>
      <c r="C626"/>
      <c r="D626"/>
      <c r="E626"/>
      <c r="F626" s="27" t="s">
        <v>7</v>
      </c>
      <c r="M626" s="27" t="s">
        <v>8</v>
      </c>
      <c r="N626" s="27" t="s">
        <v>7</v>
      </c>
      <c r="O626" s="27" t="s">
        <v>8</v>
      </c>
      <c r="T626" s="27" t="s">
        <v>7</v>
      </c>
      <c r="DU626" s="27" t="s">
        <v>8</v>
      </c>
      <c r="DW626" s="27" t="s">
        <v>8</v>
      </c>
      <c r="DX626" s="27" t="s">
        <v>7</v>
      </c>
      <c r="EA626" s="27" t="s">
        <v>8</v>
      </c>
      <c r="EB626" s="27" t="s">
        <v>7</v>
      </c>
    </row>
    <row r="627" spans="1:132" x14ac:dyDescent="0.25">
      <c r="A627" s="7">
        <v>0.45289041518523643</v>
      </c>
      <c r="B627"/>
      <c r="C627"/>
      <c r="D627"/>
      <c r="E627"/>
      <c r="F627" s="27" t="s">
        <v>7</v>
      </c>
      <c r="M627" s="27" t="s">
        <v>8</v>
      </c>
      <c r="N627" s="27" t="s">
        <v>7</v>
      </c>
      <c r="O627" s="27" t="s">
        <v>8</v>
      </c>
      <c r="T627" s="27" t="s">
        <v>7</v>
      </c>
      <c r="DU627" s="27" t="s">
        <v>8</v>
      </c>
      <c r="DV627" s="27" t="s">
        <v>7</v>
      </c>
      <c r="DW627" s="27" t="s">
        <v>8</v>
      </c>
      <c r="DX627" s="27" t="s">
        <v>7</v>
      </c>
      <c r="EA627" s="27" t="s">
        <v>8</v>
      </c>
      <c r="EB627" s="27" t="s">
        <v>7</v>
      </c>
    </row>
    <row r="628" spans="1:132" x14ac:dyDescent="0.25">
      <c r="A628" s="7">
        <v>0.44401021096591808</v>
      </c>
      <c r="B628"/>
      <c r="C628"/>
      <c r="D628"/>
      <c r="E628"/>
      <c r="F628" s="27" t="s">
        <v>7</v>
      </c>
      <c r="G628" s="27" t="s">
        <v>8</v>
      </c>
      <c r="M628" s="27" t="s">
        <v>8</v>
      </c>
      <c r="N628" s="27" t="s">
        <v>7</v>
      </c>
      <c r="O628" s="27" t="s">
        <v>8</v>
      </c>
      <c r="T628" s="27" t="s">
        <v>7</v>
      </c>
      <c r="DU628" s="27" t="s">
        <v>8</v>
      </c>
      <c r="DV628" s="27" t="s">
        <v>7</v>
      </c>
      <c r="DW628" s="27" t="s">
        <v>8</v>
      </c>
      <c r="DX628" s="27" t="s">
        <v>7</v>
      </c>
      <c r="EA628" s="27" t="s">
        <v>8</v>
      </c>
      <c r="EB628" s="27" t="s">
        <v>7</v>
      </c>
    </row>
    <row r="629" spans="1:132" x14ac:dyDescent="0.25">
      <c r="A629" s="7">
        <v>0.4353041283979589</v>
      </c>
      <c r="B629"/>
      <c r="C629"/>
      <c r="D629"/>
      <c r="E629"/>
      <c r="F629" s="27" t="s">
        <v>7</v>
      </c>
      <c r="G629" s="27" t="s">
        <v>8</v>
      </c>
      <c r="H629" s="27" t="s">
        <v>7</v>
      </c>
      <c r="M629" s="27" t="s">
        <v>8</v>
      </c>
      <c r="N629" s="27" t="s">
        <v>7</v>
      </c>
      <c r="O629" s="27" t="s">
        <v>8</v>
      </c>
      <c r="T629" s="27" t="s">
        <v>7</v>
      </c>
      <c r="DU629" s="27" t="s">
        <v>8</v>
      </c>
      <c r="DV629" s="27" t="s">
        <v>7</v>
      </c>
      <c r="DW629" s="27" t="s">
        <v>8</v>
      </c>
      <c r="DX629" s="27" t="s">
        <v>7</v>
      </c>
      <c r="DY629" s="27" t="s">
        <v>8</v>
      </c>
      <c r="EA629" s="27" t="s">
        <v>8</v>
      </c>
      <c r="EB629" s="27" t="s">
        <v>7</v>
      </c>
    </row>
    <row r="630" spans="1:132" x14ac:dyDescent="0.25">
      <c r="A630" s="7">
        <v>0.4267687533313323</v>
      </c>
      <c r="B630"/>
      <c r="C630"/>
      <c r="D630"/>
      <c r="E630"/>
      <c r="F630" s="27" t="s">
        <v>7</v>
      </c>
      <c r="G630" s="27" t="s">
        <v>8</v>
      </c>
      <c r="H630" s="27" t="s">
        <v>7</v>
      </c>
      <c r="M630" s="27" t="s">
        <v>8</v>
      </c>
      <c r="N630" s="27" t="s">
        <v>7</v>
      </c>
      <c r="O630" s="27" t="s">
        <v>8</v>
      </c>
      <c r="T630" s="27" t="s">
        <v>7</v>
      </c>
      <c r="U630" s="27" t="s">
        <v>8</v>
      </c>
      <c r="DU630" s="27" t="s">
        <v>8</v>
      </c>
      <c r="DV630" s="27" t="s">
        <v>7</v>
      </c>
      <c r="DW630" s="27" t="s">
        <v>8</v>
      </c>
      <c r="DX630" s="27" t="s">
        <v>7</v>
      </c>
      <c r="DY630" s="27" t="s">
        <v>8</v>
      </c>
      <c r="DZ630" s="27" t="s">
        <v>7</v>
      </c>
      <c r="EA630" s="27" t="s">
        <v>8</v>
      </c>
      <c r="EB630" s="27" t="s">
        <v>7</v>
      </c>
    </row>
    <row r="631" spans="1:132" x14ac:dyDescent="0.25">
      <c r="A631" s="7">
        <v>0.41840073856012971</v>
      </c>
      <c r="B631"/>
      <c r="C631"/>
      <c r="D631"/>
      <c r="E631"/>
      <c r="F631" s="27" t="s">
        <v>7</v>
      </c>
      <c r="G631" s="27" t="s">
        <v>8</v>
      </c>
      <c r="H631" s="27" t="s">
        <v>7</v>
      </c>
      <c r="M631" s="27" t="s">
        <v>8</v>
      </c>
      <c r="N631" s="27" t="s">
        <v>7</v>
      </c>
      <c r="T631" s="27" t="s">
        <v>7</v>
      </c>
      <c r="U631" s="27" t="s">
        <v>8</v>
      </c>
      <c r="V631" s="27" t="s">
        <v>7</v>
      </c>
      <c r="DU631" s="27" t="s">
        <v>8</v>
      </c>
      <c r="DV631" s="27" t="s">
        <v>7</v>
      </c>
      <c r="DW631" s="27" t="s">
        <v>8</v>
      </c>
      <c r="DX631" s="27" t="s">
        <v>7</v>
      </c>
      <c r="DY631" s="27" t="s">
        <v>8</v>
      </c>
      <c r="DZ631" s="27" t="s">
        <v>7</v>
      </c>
      <c r="EA631" s="27" t="s">
        <v>8</v>
      </c>
      <c r="EB631" s="27" t="s">
        <v>7</v>
      </c>
    </row>
    <row r="632" spans="1:132" x14ac:dyDescent="0.25">
      <c r="A632" s="7">
        <v>0.41019680250993112</v>
      </c>
      <c r="B632"/>
      <c r="C632"/>
      <c r="D632"/>
      <c r="E632"/>
      <c r="F632" s="27" t="s">
        <v>7</v>
      </c>
      <c r="G632" s="27" t="s">
        <v>8</v>
      </c>
      <c r="H632" s="27" t="s">
        <v>7</v>
      </c>
      <c r="I632" s="27" t="s">
        <v>8</v>
      </c>
      <c r="M632" s="27" t="s">
        <v>8</v>
      </c>
      <c r="T632" s="27" t="s">
        <v>7</v>
      </c>
      <c r="U632" s="27" t="s">
        <v>8</v>
      </c>
      <c r="V632" s="27" t="s">
        <v>7</v>
      </c>
      <c r="CC632" s="27" t="s">
        <v>8</v>
      </c>
      <c r="DU632" s="27" t="s">
        <v>8</v>
      </c>
      <c r="DV632" s="27" t="s">
        <v>7</v>
      </c>
      <c r="DW632" s="27" t="s">
        <v>8</v>
      </c>
      <c r="DX632" s="27" t="s">
        <v>7</v>
      </c>
      <c r="DY632" s="27" t="s">
        <v>8</v>
      </c>
      <c r="DZ632" s="27" t="s">
        <v>7</v>
      </c>
      <c r="EA632" s="27" t="s">
        <v>8</v>
      </c>
      <c r="EB632" s="27" t="s">
        <v>7</v>
      </c>
    </row>
    <row r="633" spans="1:132" x14ac:dyDescent="0.25">
      <c r="A633" s="7">
        <v>0.40215372795091286</v>
      </c>
      <c r="B633"/>
      <c r="C633"/>
      <c r="D633"/>
      <c r="E633"/>
      <c r="F633" s="27" t="s">
        <v>7</v>
      </c>
      <c r="G633" s="27" t="s">
        <v>8</v>
      </c>
      <c r="H633" s="27" t="s">
        <v>7</v>
      </c>
      <c r="I633" s="27" t="s">
        <v>8</v>
      </c>
      <c r="J633" s="27" t="s">
        <v>7</v>
      </c>
      <c r="M633" s="27" t="s">
        <v>8</v>
      </c>
      <c r="T633" s="27" t="s">
        <v>7</v>
      </c>
      <c r="U633" s="27" t="s">
        <v>8</v>
      </c>
      <c r="V633" s="27" t="s">
        <v>7</v>
      </c>
      <c r="CA633" s="27" t="s">
        <v>8</v>
      </c>
      <c r="CC633" s="27" t="s">
        <v>8</v>
      </c>
      <c r="CD633" s="27" t="s">
        <v>7</v>
      </c>
      <c r="DU633" s="27" t="s">
        <v>8</v>
      </c>
      <c r="DV633" s="27" t="s">
        <v>7</v>
      </c>
      <c r="DW633" s="27" t="s">
        <v>8</v>
      </c>
      <c r="DX633" s="27" t="s">
        <v>7</v>
      </c>
      <c r="DY633" s="27" t="s">
        <v>8</v>
      </c>
      <c r="DZ633" s="27" t="s">
        <v>7</v>
      </c>
      <c r="EA633" s="27" t="s">
        <v>8</v>
      </c>
      <c r="EB633" s="27" t="s">
        <v>7</v>
      </c>
    </row>
    <row r="634" spans="1:132" x14ac:dyDescent="0.25">
      <c r="A634" s="7">
        <v>0.39426836073618904</v>
      </c>
      <c r="B634"/>
      <c r="C634"/>
      <c r="D634"/>
      <c r="E634"/>
      <c r="F634" s="27" t="s">
        <v>7</v>
      </c>
      <c r="G634" s="27" t="s">
        <v>8</v>
      </c>
      <c r="H634" s="27" t="s">
        <v>7</v>
      </c>
      <c r="I634" s="27" t="s">
        <v>8</v>
      </c>
      <c r="J634" s="27" t="s">
        <v>7</v>
      </c>
      <c r="M634" s="27" t="s">
        <v>8</v>
      </c>
      <c r="T634" s="27" t="s">
        <v>7</v>
      </c>
      <c r="U634" s="27" t="s">
        <v>8</v>
      </c>
      <c r="V634" s="27" t="s">
        <v>7</v>
      </c>
      <c r="CA634" s="27" t="s">
        <v>8</v>
      </c>
      <c r="CB634" s="27" t="s">
        <v>7</v>
      </c>
      <c r="CC634" s="27" t="s">
        <v>8</v>
      </c>
      <c r="CD634" s="27" t="s">
        <v>7</v>
      </c>
      <c r="DU634" s="27" t="s">
        <v>8</v>
      </c>
      <c r="DV634" s="27" t="s">
        <v>7</v>
      </c>
      <c r="DW634" s="27" t="s">
        <v>8</v>
      </c>
      <c r="DX634" s="27" t="s">
        <v>7</v>
      </c>
      <c r="DY634" s="27" t="s">
        <v>8</v>
      </c>
      <c r="DZ634" s="27" t="s">
        <v>7</v>
      </c>
      <c r="EA634" s="27" t="s">
        <v>8</v>
      </c>
      <c r="EB634" s="27" t="s">
        <v>7</v>
      </c>
    </row>
    <row r="635" spans="1:132" x14ac:dyDescent="0.25">
      <c r="A635" s="7">
        <v>0.38653760856489122</v>
      </c>
      <c r="B635"/>
      <c r="C635"/>
      <c r="D635"/>
      <c r="E635"/>
      <c r="F635" s="27" t="s">
        <v>7</v>
      </c>
      <c r="G635" s="27" t="s">
        <v>8</v>
      </c>
      <c r="H635" s="27" t="s">
        <v>7</v>
      </c>
      <c r="I635" s="27" t="s">
        <v>8</v>
      </c>
      <c r="J635" s="27" t="s">
        <v>7</v>
      </c>
      <c r="M635" s="27" t="s">
        <v>8</v>
      </c>
      <c r="T635" s="27" t="s">
        <v>7</v>
      </c>
      <c r="U635" s="27" t="s">
        <v>8</v>
      </c>
      <c r="V635" s="27" t="s">
        <v>7</v>
      </c>
      <c r="W635" s="27" t="s">
        <v>8</v>
      </c>
      <c r="CA635" s="27" t="s">
        <v>8</v>
      </c>
      <c r="CB635" s="27" t="s">
        <v>7</v>
      </c>
      <c r="CC635" s="27" t="s">
        <v>8</v>
      </c>
      <c r="CD635" s="27" t="s">
        <v>7</v>
      </c>
      <c r="DU635" s="27" t="s">
        <v>8</v>
      </c>
      <c r="DV635" s="27" t="s">
        <v>7</v>
      </c>
      <c r="DW635" s="27" t="s">
        <v>8</v>
      </c>
      <c r="DX635" s="27" t="s">
        <v>7</v>
      </c>
      <c r="DY635" s="27" t="s">
        <v>8</v>
      </c>
      <c r="DZ635" s="27" t="s">
        <v>7</v>
      </c>
      <c r="EA635" s="27" t="s">
        <v>8</v>
      </c>
      <c r="EB635" s="27" t="s">
        <v>7</v>
      </c>
    </row>
    <row r="636" spans="1:132" x14ac:dyDescent="0.25">
      <c r="A636" s="7">
        <v>0.37895843976950117</v>
      </c>
      <c r="B636"/>
      <c r="C636"/>
      <c r="D636"/>
      <c r="E636"/>
      <c r="F636" s="27" t="s">
        <v>7</v>
      </c>
      <c r="H636" s="27" t="s">
        <v>7</v>
      </c>
      <c r="I636" s="27" t="s">
        <v>8</v>
      </c>
      <c r="J636" s="27" t="s">
        <v>7</v>
      </c>
      <c r="M636" s="27" t="s">
        <v>8</v>
      </c>
      <c r="T636" s="27" t="s">
        <v>7</v>
      </c>
      <c r="U636" s="27" t="s">
        <v>8</v>
      </c>
      <c r="V636" s="27" t="s">
        <v>7</v>
      </c>
      <c r="W636" s="27" t="s">
        <v>8</v>
      </c>
      <c r="X636" s="27" t="s">
        <v>7</v>
      </c>
      <c r="CA636" s="27" t="s">
        <v>8</v>
      </c>
      <c r="CB636" s="27" t="s">
        <v>7</v>
      </c>
      <c r="CC636" s="27" t="s">
        <v>8</v>
      </c>
      <c r="CD636" s="27" t="s">
        <v>7</v>
      </c>
      <c r="DU636" s="27" t="s">
        <v>8</v>
      </c>
      <c r="DV636" s="27" t="s">
        <v>7</v>
      </c>
      <c r="DW636" s="27" t="s">
        <v>8</v>
      </c>
      <c r="DX636" s="27" t="s">
        <v>7</v>
      </c>
      <c r="DY636" s="27" t="s">
        <v>8</v>
      </c>
      <c r="DZ636" s="27" t="s">
        <v>7</v>
      </c>
      <c r="EA636" s="27" t="s">
        <v>8</v>
      </c>
      <c r="EB636" s="27" t="s">
        <v>7</v>
      </c>
    </row>
    <row r="637" spans="1:132" x14ac:dyDescent="0.25">
      <c r="A637" s="7">
        <v>0.37152788212696197</v>
      </c>
      <c r="B637"/>
      <c r="C637"/>
      <c r="D637"/>
      <c r="E637"/>
      <c r="H637" s="27" t="s">
        <v>7</v>
      </c>
      <c r="I637" s="27" t="s">
        <v>8</v>
      </c>
      <c r="J637" s="27" t="s">
        <v>7</v>
      </c>
      <c r="M637" s="27" t="s">
        <v>8</v>
      </c>
      <c r="T637" s="27" t="s">
        <v>7</v>
      </c>
      <c r="U637" s="27" t="s">
        <v>8</v>
      </c>
      <c r="V637" s="27" t="s">
        <v>7</v>
      </c>
      <c r="W637" s="27" t="s">
        <v>8</v>
      </c>
      <c r="X637" s="27" t="s">
        <v>7</v>
      </c>
      <c r="BG637" s="27" t="s">
        <v>8</v>
      </c>
      <c r="CA637" s="27" t="s">
        <v>8</v>
      </c>
      <c r="CB637" s="27" t="s">
        <v>7</v>
      </c>
      <c r="CC637" s="27" t="s">
        <v>8</v>
      </c>
      <c r="CD637" s="27" t="s">
        <v>7</v>
      </c>
      <c r="DU637" s="27" t="s">
        <v>8</v>
      </c>
      <c r="DV637" s="27" t="s">
        <v>7</v>
      </c>
      <c r="DW637" s="27" t="s">
        <v>8</v>
      </c>
      <c r="DX637" s="27" t="s">
        <v>7</v>
      </c>
      <c r="DY637" s="27" t="s">
        <v>8</v>
      </c>
      <c r="DZ637" s="27" t="s">
        <v>7</v>
      </c>
      <c r="EA637" s="27" t="s">
        <v>8</v>
      </c>
      <c r="EB637" s="27" t="s">
        <v>7</v>
      </c>
    </row>
    <row r="638" spans="1:132" x14ac:dyDescent="0.25">
      <c r="A638" s="7">
        <v>0.36424302169310002</v>
      </c>
      <c r="B638"/>
      <c r="C638"/>
      <c r="D638"/>
      <c r="E638"/>
      <c r="H638" s="27" t="s">
        <v>7</v>
      </c>
      <c r="I638" s="27" t="s">
        <v>8</v>
      </c>
      <c r="J638" s="27" t="s">
        <v>7</v>
      </c>
      <c r="M638" s="27" t="s">
        <v>8</v>
      </c>
      <c r="T638" s="27" t="s">
        <v>7</v>
      </c>
      <c r="U638" s="27" t="s">
        <v>8</v>
      </c>
      <c r="V638" s="27" t="s">
        <v>7</v>
      </c>
      <c r="W638" s="27" t="s">
        <v>8</v>
      </c>
      <c r="X638" s="27" t="s">
        <v>7</v>
      </c>
      <c r="BG638" s="27" t="s">
        <v>8</v>
      </c>
      <c r="BH638" s="27" t="s">
        <v>7</v>
      </c>
      <c r="CA638" s="27" t="s">
        <v>8</v>
      </c>
      <c r="CB638" s="27" t="s">
        <v>7</v>
      </c>
      <c r="CC638" s="27" t="s">
        <v>8</v>
      </c>
      <c r="CD638" s="27" t="s">
        <v>7</v>
      </c>
      <c r="DU638" s="27" t="s">
        <v>8</v>
      </c>
      <c r="DV638" s="27" t="s">
        <v>7</v>
      </c>
      <c r="DW638" s="27" t="s">
        <v>8</v>
      </c>
      <c r="DX638" s="27" t="s">
        <v>7</v>
      </c>
      <c r="DY638" s="27" t="s">
        <v>8</v>
      </c>
      <c r="DZ638" s="27" t="s">
        <v>7</v>
      </c>
      <c r="EB638" s="27" t="s">
        <v>7</v>
      </c>
    </row>
    <row r="639" spans="1:132" x14ac:dyDescent="0.25">
      <c r="A639" s="7">
        <v>0.35710100165990194</v>
      </c>
      <c r="B639"/>
      <c r="C639"/>
      <c r="D639"/>
      <c r="E639"/>
      <c r="H639" s="27" t="s">
        <v>7</v>
      </c>
      <c r="I639" s="27" t="s">
        <v>8</v>
      </c>
      <c r="J639" s="27" t="s">
        <v>7</v>
      </c>
      <c r="M639" s="27" t="s">
        <v>8</v>
      </c>
      <c r="T639" s="27" t="s">
        <v>7</v>
      </c>
      <c r="U639" s="27" t="s">
        <v>8</v>
      </c>
      <c r="V639" s="27" t="s">
        <v>7</v>
      </c>
      <c r="W639" s="27" t="s">
        <v>8</v>
      </c>
      <c r="X639" s="27" t="s">
        <v>7</v>
      </c>
      <c r="BG639" s="27" t="s">
        <v>8</v>
      </c>
      <c r="BH639" s="27" t="s">
        <v>7</v>
      </c>
      <c r="CA639" s="27" t="s">
        <v>8</v>
      </c>
      <c r="CB639" s="27" t="s">
        <v>7</v>
      </c>
      <c r="CC639" s="27" t="s">
        <v>8</v>
      </c>
      <c r="CD639" s="27" t="s">
        <v>7</v>
      </c>
      <c r="DU639" s="27" t="s">
        <v>8</v>
      </c>
      <c r="DV639" s="27" t="s">
        <v>7</v>
      </c>
      <c r="DW639" s="27" t="s">
        <v>8</v>
      </c>
      <c r="DX639" s="27" t="s">
        <v>7</v>
      </c>
      <c r="DY639" s="27" t="s">
        <v>8</v>
      </c>
      <c r="EB639" s="27" t="s">
        <v>7</v>
      </c>
    </row>
    <row r="640" spans="1:132" x14ac:dyDescent="0.25">
      <c r="A640" s="7">
        <v>0.35009902123519804</v>
      </c>
      <c r="B640"/>
      <c r="C640"/>
      <c r="D640"/>
      <c r="E640"/>
      <c r="H640" s="27" t="s">
        <v>7</v>
      </c>
      <c r="I640" s="27" t="s">
        <v>8</v>
      </c>
      <c r="J640" s="27" t="s">
        <v>7</v>
      </c>
      <c r="M640" s="27" t="s">
        <v>8</v>
      </c>
      <c r="T640" s="27" t="s">
        <v>7</v>
      </c>
      <c r="U640" s="27" t="s">
        <v>8</v>
      </c>
      <c r="V640" s="27" t="s">
        <v>7</v>
      </c>
      <c r="W640" s="27" t="s">
        <v>8</v>
      </c>
      <c r="X640" s="27" t="s">
        <v>7</v>
      </c>
      <c r="BG640" s="27" t="s">
        <v>8</v>
      </c>
      <c r="BH640" s="27" t="s">
        <v>7</v>
      </c>
      <c r="CA640" s="27" t="s">
        <v>8</v>
      </c>
      <c r="CB640" s="27" t="s">
        <v>7</v>
      </c>
      <c r="CC640" s="27" t="s">
        <v>8</v>
      </c>
      <c r="CD640" s="27" t="s">
        <v>7</v>
      </c>
      <c r="DU640" s="27" t="s">
        <v>8</v>
      </c>
      <c r="DV640" s="27" t="s">
        <v>7</v>
      </c>
      <c r="DW640" s="27" t="s">
        <v>8</v>
      </c>
      <c r="DX640" s="27" t="s">
        <v>7</v>
      </c>
      <c r="DY640" s="27" t="s">
        <v>8</v>
      </c>
      <c r="EB640" s="27" t="s">
        <v>7</v>
      </c>
    </row>
    <row r="641" spans="1:148" x14ac:dyDescent="0.25">
      <c r="A641" s="7">
        <v>0.34323433454431179</v>
      </c>
      <c r="B641"/>
      <c r="C641"/>
      <c r="D641"/>
      <c r="E641"/>
      <c r="H641" s="27" t="s">
        <v>7</v>
      </c>
      <c r="I641" s="27" t="s">
        <v>8</v>
      </c>
      <c r="J641" s="27" t="s">
        <v>7</v>
      </c>
      <c r="M641" s="27" t="s">
        <v>8</v>
      </c>
      <c r="T641" s="27" t="s">
        <v>7</v>
      </c>
      <c r="V641" s="27" t="s">
        <v>7</v>
      </c>
      <c r="W641" s="27" t="s">
        <v>8</v>
      </c>
      <c r="X641" s="27" t="s">
        <v>7</v>
      </c>
      <c r="BG641" s="27" t="s">
        <v>8</v>
      </c>
      <c r="BH641" s="27" t="s">
        <v>7</v>
      </c>
      <c r="BI641" s="27" t="s">
        <v>8</v>
      </c>
      <c r="BU641" s="27" t="s">
        <v>8</v>
      </c>
      <c r="CA641" s="27" t="s">
        <v>8</v>
      </c>
      <c r="CB641" s="27" t="s">
        <v>7</v>
      </c>
      <c r="CC641" s="27" t="s">
        <v>8</v>
      </c>
      <c r="CD641" s="27" t="s">
        <v>7</v>
      </c>
      <c r="CE641" s="27" t="s">
        <v>8</v>
      </c>
      <c r="CG641" s="27" t="s">
        <v>8</v>
      </c>
      <c r="DU641" s="27" t="s">
        <v>8</v>
      </c>
      <c r="DV641" s="27" t="s">
        <v>7</v>
      </c>
      <c r="DW641" s="27" t="s">
        <v>8</v>
      </c>
      <c r="DX641" s="27" t="s">
        <v>7</v>
      </c>
      <c r="DY641" s="27" t="s">
        <v>8</v>
      </c>
      <c r="EB641" s="27" t="s">
        <v>7</v>
      </c>
    </row>
    <row r="642" spans="1:148" x14ac:dyDescent="0.25">
      <c r="A642" s="7">
        <v>0.33650424955324681</v>
      </c>
      <c r="B642"/>
      <c r="C642"/>
      <c r="D642"/>
      <c r="E642"/>
      <c r="H642" s="27" t="s">
        <v>7</v>
      </c>
      <c r="I642" s="27" t="s">
        <v>8</v>
      </c>
      <c r="J642" s="27" t="s">
        <v>7</v>
      </c>
      <c r="M642" s="27" t="s">
        <v>8</v>
      </c>
      <c r="V642" s="27" t="s">
        <v>7</v>
      </c>
      <c r="W642" s="27" t="s">
        <v>8</v>
      </c>
      <c r="X642" s="27" t="s">
        <v>7</v>
      </c>
      <c r="BG642" s="27" t="s">
        <v>8</v>
      </c>
      <c r="BH642" s="27" t="s">
        <v>7</v>
      </c>
      <c r="BI642" s="27" t="s">
        <v>8</v>
      </c>
      <c r="BJ642" s="27" t="s">
        <v>7</v>
      </c>
      <c r="BU642" s="27" t="s">
        <v>8</v>
      </c>
      <c r="BV642" s="27" t="s">
        <v>7</v>
      </c>
      <c r="CA642" s="27" t="s">
        <v>8</v>
      </c>
      <c r="CB642" s="27" t="s">
        <v>7</v>
      </c>
      <c r="CC642" s="27" t="s">
        <v>8</v>
      </c>
      <c r="CD642" s="27" t="s">
        <v>7</v>
      </c>
      <c r="CE642" s="27" t="s">
        <v>8</v>
      </c>
      <c r="CF642" s="27" t="s">
        <v>7</v>
      </c>
      <c r="CG642" s="27" t="s">
        <v>8</v>
      </c>
      <c r="CH642" s="27" t="s">
        <v>7</v>
      </c>
      <c r="DU642" s="27" t="s">
        <v>8</v>
      </c>
      <c r="DV642" s="27" t="s">
        <v>7</v>
      </c>
      <c r="DW642" s="27" t="s">
        <v>8</v>
      </c>
      <c r="DX642" s="27" t="s">
        <v>7</v>
      </c>
      <c r="EB642" s="27" t="s">
        <v>7</v>
      </c>
    </row>
    <row r="643" spans="1:148" x14ac:dyDescent="0.25">
      <c r="A643" s="7">
        <v>0.3299061270129871</v>
      </c>
      <c r="B643"/>
      <c r="C643"/>
      <c r="D643"/>
      <c r="E643"/>
      <c r="H643" s="27" t="s">
        <v>7</v>
      </c>
      <c r="I643" s="27" t="s">
        <v>8</v>
      </c>
      <c r="J643" s="27" t="s">
        <v>7</v>
      </c>
      <c r="M643" s="27" t="s">
        <v>8</v>
      </c>
      <c r="V643" s="27" t="s">
        <v>7</v>
      </c>
      <c r="W643" s="27" t="s">
        <v>8</v>
      </c>
      <c r="X643" s="27" t="s">
        <v>7</v>
      </c>
      <c r="BC643" s="27" t="s">
        <v>8</v>
      </c>
      <c r="BG643" s="27" t="s">
        <v>8</v>
      </c>
      <c r="BH643" s="27" t="s">
        <v>7</v>
      </c>
      <c r="BI643" s="27" t="s">
        <v>8</v>
      </c>
      <c r="BJ643" s="27" t="s">
        <v>7</v>
      </c>
      <c r="BU643" s="27" t="s">
        <v>8</v>
      </c>
      <c r="BV643" s="27" t="s">
        <v>7</v>
      </c>
      <c r="CA643" s="27" t="s">
        <v>8</v>
      </c>
      <c r="CB643" s="27" t="s">
        <v>7</v>
      </c>
      <c r="CC643" s="27" t="s">
        <v>8</v>
      </c>
      <c r="CD643" s="27" t="s">
        <v>7</v>
      </c>
      <c r="CE643" s="27" t="s">
        <v>8</v>
      </c>
      <c r="CF643" s="27" t="s">
        <v>7</v>
      </c>
      <c r="CG643" s="27" t="s">
        <v>8</v>
      </c>
      <c r="CH643" s="27" t="s">
        <v>7</v>
      </c>
      <c r="DI643" s="27" t="s">
        <v>8</v>
      </c>
      <c r="DU643" s="27" t="s">
        <v>8</v>
      </c>
      <c r="DV643" s="27" t="s">
        <v>7</v>
      </c>
      <c r="DW643" s="27" t="s">
        <v>8</v>
      </c>
      <c r="EB643" s="27" t="s">
        <v>7</v>
      </c>
    </row>
    <row r="644" spans="1:148" x14ac:dyDescent="0.25">
      <c r="A644" s="7">
        <v>0.32343737942449713</v>
      </c>
      <c r="B644"/>
      <c r="C644"/>
      <c r="D644"/>
      <c r="E644"/>
      <c r="H644" s="27" t="s">
        <v>7</v>
      </c>
      <c r="I644" s="27" t="s">
        <v>8</v>
      </c>
      <c r="J644" s="27" t="s">
        <v>7</v>
      </c>
      <c r="M644" s="27" t="s">
        <v>8</v>
      </c>
      <c r="V644" s="27" t="s">
        <v>7</v>
      </c>
      <c r="W644" s="27" t="s">
        <v>8</v>
      </c>
      <c r="X644" s="27" t="s">
        <v>7</v>
      </c>
      <c r="BC644" s="27" t="s">
        <v>8</v>
      </c>
      <c r="BD644" s="27" t="s">
        <v>7</v>
      </c>
      <c r="BG644" s="27" t="s">
        <v>8</v>
      </c>
      <c r="BH644" s="27" t="s">
        <v>7</v>
      </c>
      <c r="BI644" s="27" t="s">
        <v>8</v>
      </c>
      <c r="BJ644" s="27" t="s">
        <v>7</v>
      </c>
      <c r="BK644" s="27" t="s">
        <v>8</v>
      </c>
      <c r="BS644" s="27" t="s">
        <v>8</v>
      </c>
      <c r="BU644" s="27" t="s">
        <v>8</v>
      </c>
      <c r="BV644" s="27" t="s">
        <v>7</v>
      </c>
      <c r="CA644" s="27" t="s">
        <v>8</v>
      </c>
      <c r="CB644" s="27" t="s">
        <v>7</v>
      </c>
      <c r="CC644" s="27" t="s">
        <v>8</v>
      </c>
      <c r="CD644" s="27" t="s">
        <v>7</v>
      </c>
      <c r="CE644" s="27" t="s">
        <v>8</v>
      </c>
      <c r="CF644" s="27" t="s">
        <v>7</v>
      </c>
      <c r="CG644" s="27" t="s">
        <v>8</v>
      </c>
      <c r="CH644" s="27" t="s">
        <v>7</v>
      </c>
      <c r="DI644" s="27" t="s">
        <v>8</v>
      </c>
      <c r="DJ644" s="27" t="s">
        <v>7</v>
      </c>
      <c r="DM644" s="27" t="s">
        <v>8</v>
      </c>
      <c r="DU644" s="27" t="s">
        <v>8</v>
      </c>
      <c r="DV644" s="27" t="s">
        <v>7</v>
      </c>
      <c r="DW644" s="27" t="s">
        <v>8</v>
      </c>
      <c r="EB644" s="27" t="s">
        <v>7</v>
      </c>
    </row>
    <row r="645" spans="1:148" x14ac:dyDescent="0.25">
      <c r="A645" s="7">
        <v>0.31709547002401678</v>
      </c>
      <c r="B645"/>
      <c r="C645"/>
      <c r="D645"/>
      <c r="E645"/>
      <c r="H645" s="27" t="s">
        <v>7</v>
      </c>
      <c r="I645" s="27" t="s">
        <v>8</v>
      </c>
      <c r="J645" s="27" t="s">
        <v>7</v>
      </c>
      <c r="M645" s="27" t="s">
        <v>8</v>
      </c>
      <c r="V645" s="27" t="s">
        <v>7</v>
      </c>
      <c r="W645" s="27" t="s">
        <v>8</v>
      </c>
      <c r="X645" s="27" t="s">
        <v>7</v>
      </c>
      <c r="BC645" s="27" t="s">
        <v>8</v>
      </c>
      <c r="BD645" s="27" t="s">
        <v>7</v>
      </c>
      <c r="BG645" s="27" t="s">
        <v>8</v>
      </c>
      <c r="BH645" s="27" t="s">
        <v>7</v>
      </c>
      <c r="BI645" s="27" t="s">
        <v>8</v>
      </c>
      <c r="BJ645" s="27" t="s">
        <v>7</v>
      </c>
      <c r="BK645" s="27" t="s">
        <v>8</v>
      </c>
      <c r="BL645" s="27" t="s">
        <v>7</v>
      </c>
      <c r="BS645" s="27" t="s">
        <v>8</v>
      </c>
      <c r="BT645" s="27" t="s">
        <v>7</v>
      </c>
      <c r="BU645" s="27" t="s">
        <v>8</v>
      </c>
      <c r="BV645" s="27" t="s">
        <v>7</v>
      </c>
      <c r="CA645" s="27" t="s">
        <v>8</v>
      </c>
      <c r="CB645" s="27" t="s">
        <v>7</v>
      </c>
      <c r="CC645" s="27" t="s">
        <v>8</v>
      </c>
      <c r="CD645" s="27" t="s">
        <v>7</v>
      </c>
      <c r="CF645" s="27" t="s">
        <v>7</v>
      </c>
      <c r="CG645" s="27" t="s">
        <v>8</v>
      </c>
      <c r="CH645" s="27" t="s">
        <v>7</v>
      </c>
      <c r="DI645" s="27" t="s">
        <v>8</v>
      </c>
      <c r="DJ645" s="27" t="s">
        <v>7</v>
      </c>
      <c r="DM645" s="27" t="s">
        <v>8</v>
      </c>
      <c r="DN645" s="27" t="s">
        <v>7</v>
      </c>
      <c r="DU645" s="27" t="s">
        <v>8</v>
      </c>
      <c r="DV645" s="27" t="s">
        <v>7</v>
      </c>
      <c r="EB645" s="27" t="s">
        <v>7</v>
      </c>
    </row>
    <row r="646" spans="1:148" x14ac:dyDescent="0.25">
      <c r="A646" s="7">
        <v>0.31087791178825175</v>
      </c>
      <c r="B646"/>
      <c r="C646"/>
      <c r="D646"/>
      <c r="E646"/>
      <c r="H646" s="27" t="s">
        <v>7</v>
      </c>
      <c r="I646" s="27" t="s">
        <v>8</v>
      </c>
      <c r="J646" s="27" t="s">
        <v>7</v>
      </c>
      <c r="K646" s="27" t="s">
        <v>8</v>
      </c>
      <c r="M646" s="27" t="s">
        <v>8</v>
      </c>
      <c r="V646" s="27" t="s">
        <v>7</v>
      </c>
      <c r="X646" s="27" t="s">
        <v>7</v>
      </c>
      <c r="BC646" s="27" t="s">
        <v>8</v>
      </c>
      <c r="BD646" s="27" t="s">
        <v>7</v>
      </c>
      <c r="BG646" s="27" t="s">
        <v>8</v>
      </c>
      <c r="BH646" s="27" t="s">
        <v>7</v>
      </c>
      <c r="BI646" s="27" t="s">
        <v>8</v>
      </c>
      <c r="BJ646" s="27" t="s">
        <v>7</v>
      </c>
      <c r="BK646" s="27" t="s">
        <v>8</v>
      </c>
      <c r="BL646" s="27" t="s">
        <v>7</v>
      </c>
      <c r="BS646" s="27" t="s">
        <v>8</v>
      </c>
      <c r="BT646" s="27" t="s">
        <v>7</v>
      </c>
      <c r="BU646" s="27" t="s">
        <v>8</v>
      </c>
      <c r="BV646" s="27" t="s">
        <v>7</v>
      </c>
      <c r="BW646" s="27" t="s">
        <v>8</v>
      </c>
      <c r="CA646" s="27" t="s">
        <v>8</v>
      </c>
      <c r="CB646" s="27" t="s">
        <v>7</v>
      </c>
      <c r="CC646" s="27" t="s">
        <v>8</v>
      </c>
      <c r="CF646" s="27" t="s">
        <v>7</v>
      </c>
      <c r="CH646" s="27" t="s">
        <v>7</v>
      </c>
      <c r="DI646" s="27" t="s">
        <v>8</v>
      </c>
      <c r="DJ646" s="27" t="s">
        <v>7</v>
      </c>
      <c r="DM646" s="27" t="s">
        <v>8</v>
      </c>
      <c r="DN646" s="27" t="s">
        <v>7</v>
      </c>
      <c r="DU646" s="27" t="s">
        <v>8</v>
      </c>
      <c r="EB646" s="27" t="s">
        <v>7</v>
      </c>
    </row>
    <row r="647" spans="1:148" x14ac:dyDescent="0.25">
      <c r="A647" s="7">
        <v>0.30478226645907036</v>
      </c>
      <c r="B647"/>
      <c r="C647"/>
      <c r="D647"/>
      <c r="E647"/>
      <c r="H647" s="27" t="s">
        <v>7</v>
      </c>
      <c r="J647" s="27" t="s">
        <v>7</v>
      </c>
      <c r="K647" s="27" t="s">
        <v>8</v>
      </c>
      <c r="L647" s="27" t="s">
        <v>7</v>
      </c>
      <c r="M647" s="27" t="s">
        <v>8</v>
      </c>
      <c r="X647" s="27" t="s">
        <v>7</v>
      </c>
      <c r="BC647" s="27" t="s">
        <v>8</v>
      </c>
      <c r="BD647" s="27" t="s">
        <v>7</v>
      </c>
      <c r="BG647" s="27" t="s">
        <v>8</v>
      </c>
      <c r="BH647" s="27" t="s">
        <v>7</v>
      </c>
      <c r="BI647" s="27" t="s">
        <v>8</v>
      </c>
      <c r="BJ647" s="27" t="s">
        <v>7</v>
      </c>
      <c r="BK647" s="27" t="s">
        <v>8</v>
      </c>
      <c r="BL647" s="27" t="s">
        <v>7</v>
      </c>
      <c r="BQ647" s="27" t="s">
        <v>8</v>
      </c>
      <c r="BS647" s="27" t="s">
        <v>8</v>
      </c>
      <c r="BT647" s="27" t="s">
        <v>7</v>
      </c>
      <c r="BU647" s="27" t="s">
        <v>8</v>
      </c>
      <c r="BV647" s="27" t="s">
        <v>7</v>
      </c>
      <c r="BW647" s="27" t="s">
        <v>8</v>
      </c>
      <c r="BX647" s="27" t="s">
        <v>7</v>
      </c>
      <c r="BY647" s="27" t="s">
        <v>8</v>
      </c>
      <c r="CA647" s="27" t="s">
        <v>8</v>
      </c>
      <c r="CB647" s="27" t="s">
        <v>7</v>
      </c>
      <c r="CC647" s="27" t="s">
        <v>8</v>
      </c>
      <c r="CH647" s="27" t="s">
        <v>7</v>
      </c>
      <c r="DI647" s="27" t="s">
        <v>8</v>
      </c>
      <c r="DJ647" s="27" t="s">
        <v>7</v>
      </c>
      <c r="DM647" s="27" t="s">
        <v>8</v>
      </c>
      <c r="DN647" s="27" t="s">
        <v>7</v>
      </c>
      <c r="DU647" s="27" t="s">
        <v>8</v>
      </c>
      <c r="EB647" s="27" t="s">
        <v>7</v>
      </c>
      <c r="EC647" s="27" t="s">
        <v>8</v>
      </c>
    </row>
    <row r="648" spans="1:148" x14ac:dyDescent="0.25">
      <c r="A648" s="7">
        <v>0.29880614358732388</v>
      </c>
      <c r="B648"/>
      <c r="C648"/>
      <c r="D648"/>
      <c r="E648"/>
      <c r="J648" s="27" t="s">
        <v>7</v>
      </c>
      <c r="K648" s="27" t="s">
        <v>8</v>
      </c>
      <c r="L648" s="27" t="s">
        <v>7</v>
      </c>
      <c r="M648" s="27" t="s">
        <v>8</v>
      </c>
      <c r="X648" s="27" t="s">
        <v>7</v>
      </c>
      <c r="BC648" s="27" t="s">
        <v>8</v>
      </c>
      <c r="BD648" s="27" t="s">
        <v>7</v>
      </c>
      <c r="BG648" s="27" t="s">
        <v>8</v>
      </c>
      <c r="BH648" s="27" t="s">
        <v>7</v>
      </c>
      <c r="BI648" s="27" t="s">
        <v>8</v>
      </c>
      <c r="BJ648" s="27" t="s">
        <v>7</v>
      </c>
      <c r="BK648" s="27" t="s">
        <v>8</v>
      </c>
      <c r="BL648" s="27" t="s">
        <v>7</v>
      </c>
      <c r="BM648" s="27" t="s">
        <v>8</v>
      </c>
      <c r="BQ648" s="27" t="s">
        <v>8</v>
      </c>
      <c r="BR648" s="27" t="s">
        <v>7</v>
      </c>
      <c r="BS648" s="27" t="s">
        <v>8</v>
      </c>
      <c r="BT648" s="27" t="s">
        <v>7</v>
      </c>
      <c r="BU648" s="27" t="s">
        <v>8</v>
      </c>
      <c r="BV648" s="27" t="s">
        <v>7</v>
      </c>
      <c r="BW648" s="27" t="s">
        <v>8</v>
      </c>
      <c r="BX648" s="27" t="s">
        <v>7</v>
      </c>
      <c r="BY648" s="27" t="s">
        <v>8</v>
      </c>
      <c r="BZ648" s="27" t="s">
        <v>7</v>
      </c>
      <c r="CA648" s="27" t="s">
        <v>8</v>
      </c>
      <c r="CB648" s="27" t="s">
        <v>7</v>
      </c>
      <c r="CC648" s="27" t="s">
        <v>8</v>
      </c>
      <c r="CH648" s="27" t="s">
        <v>7</v>
      </c>
      <c r="DI648" s="27" t="s">
        <v>8</v>
      </c>
      <c r="DJ648" s="27" t="s">
        <v>7</v>
      </c>
      <c r="DK648" s="27" t="s">
        <v>8</v>
      </c>
      <c r="DM648" s="27" t="s">
        <v>8</v>
      </c>
      <c r="DN648" s="27" t="s">
        <v>7</v>
      </c>
      <c r="DO648" s="27" t="s">
        <v>8</v>
      </c>
      <c r="DU648" s="27" t="s">
        <v>8</v>
      </c>
      <c r="EB648" s="27" t="s">
        <v>7</v>
      </c>
      <c r="EC648" s="27" t="s">
        <v>8</v>
      </c>
      <c r="ED648" s="27" t="s">
        <v>7</v>
      </c>
    </row>
    <row r="649" spans="1:148" x14ac:dyDescent="0.25">
      <c r="A649" s="7">
        <v>0.2929471995954156</v>
      </c>
      <c r="B649"/>
      <c r="C649"/>
      <c r="D649"/>
      <c r="E649"/>
      <c r="J649" s="27" t="s">
        <v>7</v>
      </c>
      <c r="K649" s="27" t="s">
        <v>8</v>
      </c>
      <c r="L649" s="27" t="s">
        <v>7</v>
      </c>
      <c r="M649" s="27" t="s">
        <v>8</v>
      </c>
      <c r="X649" s="27" t="s">
        <v>7</v>
      </c>
      <c r="BC649" s="27" t="s">
        <v>8</v>
      </c>
      <c r="BD649" s="27" t="s">
        <v>7</v>
      </c>
      <c r="BG649" s="27" t="s">
        <v>8</v>
      </c>
      <c r="BH649" s="27" t="s">
        <v>7</v>
      </c>
      <c r="BI649" s="27" t="s">
        <v>8</v>
      </c>
      <c r="BJ649" s="27" t="s">
        <v>7</v>
      </c>
      <c r="BK649" s="27" t="s">
        <v>8</v>
      </c>
      <c r="BL649" s="27" t="s">
        <v>7</v>
      </c>
      <c r="BM649" s="27" t="s">
        <v>8</v>
      </c>
      <c r="BN649" s="27" t="s">
        <v>7</v>
      </c>
      <c r="BQ649" s="27" t="s">
        <v>8</v>
      </c>
      <c r="BR649" s="27" t="s">
        <v>7</v>
      </c>
      <c r="BS649" s="27" t="s">
        <v>8</v>
      </c>
      <c r="BT649" s="27" t="s">
        <v>7</v>
      </c>
      <c r="BU649" s="27" t="s">
        <v>8</v>
      </c>
      <c r="BV649" s="27" t="s">
        <v>7</v>
      </c>
      <c r="BW649" s="27" t="s">
        <v>8</v>
      </c>
      <c r="BX649" s="27" t="s">
        <v>7</v>
      </c>
      <c r="BY649" s="27" t="s">
        <v>8</v>
      </c>
      <c r="BZ649" s="27" t="s">
        <v>7</v>
      </c>
      <c r="CA649" s="27" t="s">
        <v>8</v>
      </c>
      <c r="CB649" s="27" t="s">
        <v>7</v>
      </c>
      <c r="CC649" s="27" t="s">
        <v>8</v>
      </c>
      <c r="CH649" s="27" t="s">
        <v>7</v>
      </c>
      <c r="DI649" s="27" t="s">
        <v>8</v>
      </c>
      <c r="DJ649" s="27" t="s">
        <v>7</v>
      </c>
      <c r="DK649" s="27" t="s">
        <v>8</v>
      </c>
      <c r="DL649" s="27" t="s">
        <v>7</v>
      </c>
      <c r="DM649" s="27" t="s">
        <v>8</v>
      </c>
      <c r="DN649" s="27" t="s">
        <v>7</v>
      </c>
      <c r="DO649" s="27" t="s">
        <v>8</v>
      </c>
      <c r="DP649" s="27" t="s">
        <v>7</v>
      </c>
      <c r="DU649" s="27" t="s">
        <v>8</v>
      </c>
      <c r="EB649" s="27" t="s">
        <v>7</v>
      </c>
      <c r="EC649" s="27" t="s">
        <v>8</v>
      </c>
      <c r="ED649" s="27" t="s">
        <v>7</v>
      </c>
    </row>
    <row r="650" spans="1:148" x14ac:dyDescent="0.25">
      <c r="A650" s="7">
        <v>0.28720313685825055</v>
      </c>
      <c r="B650"/>
      <c r="C650"/>
      <c r="D650"/>
      <c r="E650"/>
      <c r="J650" s="27" t="s">
        <v>7</v>
      </c>
      <c r="K650" s="27" t="s">
        <v>8</v>
      </c>
      <c r="L650" s="27" t="s">
        <v>7</v>
      </c>
      <c r="M650" s="27" t="s">
        <v>8</v>
      </c>
      <c r="X650" s="27" t="s">
        <v>7</v>
      </c>
      <c r="BC650" s="27" t="s">
        <v>8</v>
      </c>
      <c r="BD650" s="27" t="s">
        <v>7</v>
      </c>
      <c r="BG650" s="27" t="s">
        <v>8</v>
      </c>
      <c r="BH650" s="27" t="s">
        <v>7</v>
      </c>
      <c r="BI650" s="27" t="s">
        <v>8</v>
      </c>
      <c r="BJ650" s="27" t="s">
        <v>7</v>
      </c>
      <c r="BK650" s="27" t="s">
        <v>8</v>
      </c>
      <c r="BL650" s="27" t="s">
        <v>7</v>
      </c>
      <c r="BM650" s="27" t="s">
        <v>8</v>
      </c>
      <c r="BN650" s="27" t="s">
        <v>7</v>
      </c>
      <c r="BO650" s="27" t="s">
        <v>8</v>
      </c>
      <c r="BQ650" s="27" t="s">
        <v>8</v>
      </c>
      <c r="BR650" s="27" t="s">
        <v>7</v>
      </c>
      <c r="BS650" s="27" t="s">
        <v>8</v>
      </c>
      <c r="BT650" s="27" t="s">
        <v>7</v>
      </c>
      <c r="BU650" s="27" t="s">
        <v>8</v>
      </c>
      <c r="BV650" s="27" t="s">
        <v>7</v>
      </c>
      <c r="BW650" s="27" t="s">
        <v>8</v>
      </c>
      <c r="BX650" s="27" t="s">
        <v>7</v>
      </c>
      <c r="BZ650" s="27" t="s">
        <v>7</v>
      </c>
      <c r="CA650" s="27" t="s">
        <v>8</v>
      </c>
      <c r="CB650" s="27" t="s">
        <v>7</v>
      </c>
      <c r="CH650" s="27" t="s">
        <v>7</v>
      </c>
      <c r="DI650" s="27" t="s">
        <v>8</v>
      </c>
      <c r="DJ650" s="27" t="s">
        <v>7</v>
      </c>
      <c r="DK650" s="27" t="s">
        <v>8</v>
      </c>
      <c r="DL650" s="27" t="s">
        <v>7</v>
      </c>
      <c r="DM650" s="27" t="s">
        <v>8</v>
      </c>
      <c r="DN650" s="27" t="s">
        <v>7</v>
      </c>
      <c r="DO650" s="27" t="s">
        <v>8</v>
      </c>
      <c r="DP650" s="27" t="s">
        <v>7</v>
      </c>
      <c r="DU650" s="27" t="s">
        <v>8</v>
      </c>
      <c r="EB650" s="27" t="s">
        <v>7</v>
      </c>
      <c r="EC650" s="27" t="s">
        <v>8</v>
      </c>
      <c r="ED650" s="27" t="s">
        <v>7</v>
      </c>
    </row>
    <row r="651" spans="1:148" x14ac:dyDescent="0.25">
      <c r="A651" s="7">
        <v>0.28157170280220645</v>
      </c>
      <c r="B651"/>
      <c r="C651"/>
      <c r="D651"/>
      <c r="E651"/>
      <c r="J651" s="27" t="s">
        <v>7</v>
      </c>
      <c r="K651" s="27" t="s">
        <v>8</v>
      </c>
      <c r="L651" s="27" t="s">
        <v>7</v>
      </c>
      <c r="M651" s="27" t="s">
        <v>8</v>
      </c>
      <c r="X651" s="27" t="s">
        <v>7</v>
      </c>
      <c r="BC651" s="27" t="s">
        <v>8</v>
      </c>
      <c r="BD651" s="27" t="s">
        <v>7</v>
      </c>
      <c r="BG651" s="27" t="s">
        <v>8</v>
      </c>
      <c r="BH651" s="27" t="s">
        <v>7</v>
      </c>
      <c r="BI651" s="27" t="s">
        <v>8</v>
      </c>
      <c r="BJ651" s="27" t="s">
        <v>7</v>
      </c>
      <c r="BK651" s="27" t="s">
        <v>8</v>
      </c>
      <c r="BL651" s="27" t="s">
        <v>7</v>
      </c>
      <c r="BM651" s="27" t="s">
        <v>8</v>
      </c>
      <c r="BN651" s="27" t="s">
        <v>7</v>
      </c>
      <c r="BO651" s="27" t="s">
        <v>8</v>
      </c>
      <c r="BP651" s="27" t="s">
        <v>7</v>
      </c>
      <c r="BQ651" s="27" t="s">
        <v>8</v>
      </c>
      <c r="BR651" s="27" t="s">
        <v>7</v>
      </c>
      <c r="BS651" s="27" t="s">
        <v>8</v>
      </c>
      <c r="BT651" s="27" t="s">
        <v>7</v>
      </c>
      <c r="BU651" s="27" t="s">
        <v>8</v>
      </c>
      <c r="BV651" s="27" t="s">
        <v>7</v>
      </c>
      <c r="BW651" s="27" t="s">
        <v>8</v>
      </c>
      <c r="BZ651" s="27" t="s">
        <v>7</v>
      </c>
      <c r="CA651" s="27" t="s">
        <v>8</v>
      </c>
      <c r="CH651" s="27" t="s">
        <v>7</v>
      </c>
      <c r="DI651" s="27" t="s">
        <v>8</v>
      </c>
      <c r="DJ651" s="27" t="s">
        <v>7</v>
      </c>
      <c r="DK651" s="27" t="s">
        <v>8</v>
      </c>
      <c r="DL651" s="27" t="s">
        <v>7</v>
      </c>
      <c r="DM651" s="27" t="s">
        <v>8</v>
      </c>
      <c r="DN651" s="27" t="s">
        <v>7</v>
      </c>
      <c r="DO651" s="27" t="s">
        <v>8</v>
      </c>
      <c r="DP651" s="27" t="s">
        <v>7</v>
      </c>
      <c r="DU651" s="27" t="s">
        <v>8</v>
      </c>
      <c r="EB651" s="27" t="s">
        <v>7</v>
      </c>
      <c r="EC651" s="27" t="s">
        <v>8</v>
      </c>
      <c r="ED651" s="27" t="s">
        <v>7</v>
      </c>
    </row>
    <row r="652" spans="1:148" x14ac:dyDescent="0.25">
      <c r="A652" s="7">
        <v>0.27605068902177105</v>
      </c>
      <c r="B652"/>
      <c r="C652"/>
      <c r="D652"/>
      <c r="E652"/>
      <c r="J652" s="27" t="s">
        <v>7</v>
      </c>
      <c r="K652" s="27" t="s">
        <v>8</v>
      </c>
      <c r="L652" s="27" t="s">
        <v>7</v>
      </c>
      <c r="M652" s="27" t="s">
        <v>8</v>
      </c>
      <c r="X652" s="27" t="s">
        <v>7</v>
      </c>
      <c r="BC652" s="27" t="s">
        <v>8</v>
      </c>
      <c r="BD652" s="27" t="s">
        <v>7</v>
      </c>
      <c r="BG652" s="27" t="s">
        <v>8</v>
      </c>
      <c r="BH652" s="27" t="s">
        <v>7</v>
      </c>
      <c r="BI652" s="27" t="s">
        <v>8</v>
      </c>
      <c r="BJ652" s="27" t="s">
        <v>7</v>
      </c>
      <c r="BK652" s="27" t="s">
        <v>8</v>
      </c>
      <c r="BL652" s="27" t="s">
        <v>7</v>
      </c>
      <c r="BN652" s="27" t="s">
        <v>7</v>
      </c>
      <c r="BO652" s="27" t="s">
        <v>8</v>
      </c>
      <c r="BP652" s="27" t="s">
        <v>7</v>
      </c>
      <c r="BQ652" s="27" t="s">
        <v>8</v>
      </c>
      <c r="BR652" s="27" t="s">
        <v>7</v>
      </c>
      <c r="BS652" s="27" t="s">
        <v>8</v>
      </c>
      <c r="BT652" s="27" t="s">
        <v>7</v>
      </c>
      <c r="BU652" s="27" t="s">
        <v>8</v>
      </c>
      <c r="BV652" s="27" t="s">
        <v>7</v>
      </c>
      <c r="BW652" s="27" t="s">
        <v>8</v>
      </c>
      <c r="BZ652" s="27" t="s">
        <v>7</v>
      </c>
      <c r="CA652" s="27" t="s">
        <v>8</v>
      </c>
      <c r="CH652" s="27" t="s">
        <v>7</v>
      </c>
      <c r="DI652" s="27" t="s">
        <v>8</v>
      </c>
      <c r="DJ652" s="27" t="s">
        <v>7</v>
      </c>
      <c r="DK652" s="27" t="s">
        <v>8</v>
      </c>
      <c r="DL652" s="27" t="s">
        <v>7</v>
      </c>
      <c r="DM652" s="27" t="s">
        <v>8</v>
      </c>
      <c r="DN652" s="27" t="s">
        <v>7</v>
      </c>
      <c r="DO652" s="27" t="s">
        <v>8</v>
      </c>
      <c r="DP652" s="27" t="s">
        <v>7</v>
      </c>
      <c r="DQ652" s="27" t="s">
        <v>8</v>
      </c>
      <c r="DU652" s="27" t="s">
        <v>8</v>
      </c>
      <c r="EB652" s="27" t="s">
        <v>7</v>
      </c>
      <c r="EC652" s="27" t="s">
        <v>8</v>
      </c>
      <c r="ED652" s="27" t="s">
        <v>7</v>
      </c>
      <c r="EE652" s="27" t="s">
        <v>8</v>
      </c>
      <c r="EG652" s="27" t="s">
        <v>8</v>
      </c>
    </row>
    <row r="653" spans="1:148" x14ac:dyDescent="0.25">
      <c r="A653" s="7">
        <v>0.27063793041350104</v>
      </c>
      <c r="B653"/>
      <c r="C653"/>
      <c r="D653"/>
      <c r="E653"/>
      <c r="J653" s="27" t="s">
        <v>7</v>
      </c>
      <c r="K653" s="27" t="s">
        <v>8</v>
      </c>
      <c r="L653" s="27" t="s">
        <v>7</v>
      </c>
      <c r="M653" s="27" t="s">
        <v>8</v>
      </c>
      <c r="X653" s="27" t="s">
        <v>7</v>
      </c>
      <c r="Y653" s="27" t="s">
        <v>8</v>
      </c>
      <c r="AC653" s="27" t="s">
        <v>8</v>
      </c>
      <c r="BC653" s="27" t="s">
        <v>8</v>
      </c>
      <c r="BD653" s="27" t="s">
        <v>7</v>
      </c>
      <c r="BG653" s="27" t="s">
        <v>8</v>
      </c>
      <c r="BH653" s="27" t="s">
        <v>7</v>
      </c>
      <c r="BI653" s="27" t="s">
        <v>8</v>
      </c>
      <c r="BJ653" s="27" t="s">
        <v>7</v>
      </c>
      <c r="BN653" s="27" t="s">
        <v>7</v>
      </c>
      <c r="BO653" s="27" t="s">
        <v>8</v>
      </c>
      <c r="BP653" s="27" t="s">
        <v>7</v>
      </c>
      <c r="BQ653" s="27" t="s">
        <v>8</v>
      </c>
      <c r="BR653" s="27" t="s">
        <v>7</v>
      </c>
      <c r="BS653" s="27" t="s">
        <v>8</v>
      </c>
      <c r="BT653" s="27" t="s">
        <v>7</v>
      </c>
      <c r="BU653" s="27" t="s">
        <v>8</v>
      </c>
      <c r="BV653" s="27" t="s">
        <v>7</v>
      </c>
      <c r="BW653" s="27" t="s">
        <v>8</v>
      </c>
      <c r="BZ653" s="27" t="s">
        <v>7</v>
      </c>
      <c r="CA653" s="27" t="s">
        <v>8</v>
      </c>
      <c r="CH653" s="27" t="s">
        <v>7</v>
      </c>
      <c r="DI653" s="27" t="s">
        <v>8</v>
      </c>
      <c r="DJ653" s="27" t="s">
        <v>7</v>
      </c>
      <c r="DK653" s="27" t="s">
        <v>8</v>
      </c>
      <c r="DL653" s="27" t="s">
        <v>7</v>
      </c>
      <c r="DM653" s="27" t="s">
        <v>8</v>
      </c>
      <c r="DN653" s="27" t="s">
        <v>7</v>
      </c>
      <c r="DO653" s="27" t="s">
        <v>8</v>
      </c>
      <c r="DP653" s="27" t="s">
        <v>7</v>
      </c>
      <c r="DQ653" s="27" t="s">
        <v>8</v>
      </c>
      <c r="DR653" s="27" t="s">
        <v>7</v>
      </c>
      <c r="DU653" s="27" t="s">
        <v>8</v>
      </c>
      <c r="EB653" s="27" t="s">
        <v>7</v>
      </c>
      <c r="EC653" s="27" t="s">
        <v>8</v>
      </c>
      <c r="ED653" s="27" t="s">
        <v>7</v>
      </c>
      <c r="EE653" s="27" t="s">
        <v>8</v>
      </c>
      <c r="EF653" s="27" t="s">
        <v>7</v>
      </c>
      <c r="EG653" s="27" t="s">
        <v>8</v>
      </c>
      <c r="EH653" s="27" t="s">
        <v>7</v>
      </c>
    </row>
    <row r="654" spans="1:148" x14ac:dyDescent="0.25">
      <c r="A654" s="7">
        <v>0.26533130432696184</v>
      </c>
      <c r="B654"/>
      <c r="C654"/>
      <c r="D654"/>
      <c r="E654"/>
      <c r="J654" s="27" t="s">
        <v>7</v>
      </c>
      <c r="K654" s="27" t="s">
        <v>8</v>
      </c>
      <c r="L654" s="27" t="s">
        <v>7</v>
      </c>
      <c r="M654" s="27" t="s">
        <v>8</v>
      </c>
      <c r="X654" s="27" t="s">
        <v>7</v>
      </c>
      <c r="Y654" s="27" t="s">
        <v>8</v>
      </c>
      <c r="Z654" s="27" t="s">
        <v>7</v>
      </c>
      <c r="AC654" s="27" t="s">
        <v>8</v>
      </c>
      <c r="AD654" s="27" t="s">
        <v>7</v>
      </c>
      <c r="BC654" s="27" t="s">
        <v>8</v>
      </c>
      <c r="BD654" s="27" t="s">
        <v>7</v>
      </c>
      <c r="BG654" s="27" t="s">
        <v>8</v>
      </c>
      <c r="BH654" s="27" t="s">
        <v>7</v>
      </c>
      <c r="BI654" s="27" t="s">
        <v>8</v>
      </c>
      <c r="BN654" s="27" t="s">
        <v>7</v>
      </c>
      <c r="BO654" s="27" t="s">
        <v>8</v>
      </c>
      <c r="BP654" s="27" t="s">
        <v>7</v>
      </c>
      <c r="BR654" s="27" t="s">
        <v>7</v>
      </c>
      <c r="BS654" s="27" t="s">
        <v>8</v>
      </c>
      <c r="BT654" s="27" t="s">
        <v>7</v>
      </c>
      <c r="BV654" s="27" t="s">
        <v>7</v>
      </c>
      <c r="BW654" s="27" t="s">
        <v>8</v>
      </c>
      <c r="BZ654" s="27" t="s">
        <v>7</v>
      </c>
      <c r="CA654" s="27" t="s">
        <v>8</v>
      </c>
      <c r="CH654" s="27" t="s">
        <v>7</v>
      </c>
      <c r="DI654" s="27" t="s">
        <v>8</v>
      </c>
      <c r="DJ654" s="27" t="s">
        <v>7</v>
      </c>
      <c r="DK654" s="27" t="s">
        <v>8</v>
      </c>
      <c r="DL654" s="27" t="s">
        <v>7</v>
      </c>
      <c r="DM654" s="27" t="s">
        <v>8</v>
      </c>
      <c r="DN654" s="27" t="s">
        <v>7</v>
      </c>
      <c r="DP654" s="27" t="s">
        <v>7</v>
      </c>
      <c r="DQ654" s="27" t="s">
        <v>8</v>
      </c>
      <c r="DR654" s="27" t="s">
        <v>7</v>
      </c>
      <c r="DS654" s="27" t="s">
        <v>8</v>
      </c>
      <c r="DU654" s="27" t="s">
        <v>8</v>
      </c>
      <c r="EB654" s="27" t="s">
        <v>7</v>
      </c>
      <c r="EC654" s="27" t="s">
        <v>8</v>
      </c>
      <c r="ED654" s="27" t="s">
        <v>7</v>
      </c>
      <c r="EE654" s="27" t="s">
        <v>8</v>
      </c>
      <c r="EF654" s="27" t="s">
        <v>7</v>
      </c>
      <c r="EG654" s="27" t="s">
        <v>8</v>
      </c>
      <c r="EH654" s="27" t="s">
        <v>7</v>
      </c>
    </row>
    <row r="655" spans="1:148" x14ac:dyDescent="0.25">
      <c r="A655" s="7">
        <v>0.26012872973231554</v>
      </c>
      <c r="B655"/>
      <c r="C655"/>
      <c r="D655"/>
      <c r="E655"/>
      <c r="J655" s="27" t="s">
        <v>7</v>
      </c>
      <c r="K655" s="27" t="s">
        <v>8</v>
      </c>
      <c r="L655" s="27" t="s">
        <v>7</v>
      </c>
      <c r="M655" s="27" t="s">
        <v>8</v>
      </c>
      <c r="X655" s="27" t="s">
        <v>7</v>
      </c>
      <c r="Y655" s="27" t="s">
        <v>8</v>
      </c>
      <c r="Z655" s="27" t="s">
        <v>7</v>
      </c>
      <c r="AC655" s="27" t="s">
        <v>8</v>
      </c>
      <c r="AD655" s="27" t="s">
        <v>7</v>
      </c>
      <c r="BC655" s="27" t="s">
        <v>8</v>
      </c>
      <c r="BD655" s="27" t="s">
        <v>7</v>
      </c>
      <c r="BG655" s="27" t="s">
        <v>8</v>
      </c>
      <c r="BH655" s="27" t="s">
        <v>7</v>
      </c>
      <c r="BI655" s="27" t="s">
        <v>8</v>
      </c>
      <c r="BN655" s="27" t="s">
        <v>7</v>
      </c>
      <c r="BO655" s="27" t="s">
        <v>8</v>
      </c>
      <c r="BR655" s="27" t="s">
        <v>7</v>
      </c>
      <c r="BV655" s="27" t="s">
        <v>7</v>
      </c>
      <c r="BW655" s="27" t="s">
        <v>8</v>
      </c>
      <c r="BZ655" s="27" t="s">
        <v>7</v>
      </c>
      <c r="CH655" s="27" t="s">
        <v>7</v>
      </c>
      <c r="DI655" s="27" t="s">
        <v>8</v>
      </c>
      <c r="DJ655" s="27" t="s">
        <v>7</v>
      </c>
      <c r="DK655" s="27" t="s">
        <v>8</v>
      </c>
      <c r="DL655" s="27" t="s">
        <v>7</v>
      </c>
      <c r="DM655" s="27" t="s">
        <v>8</v>
      </c>
      <c r="DP655" s="27" t="s">
        <v>7</v>
      </c>
      <c r="DQ655" s="27" t="s">
        <v>8</v>
      </c>
      <c r="DR655" s="27" t="s">
        <v>7</v>
      </c>
      <c r="DS655" s="27" t="s">
        <v>8</v>
      </c>
      <c r="DT655" s="27" t="s">
        <v>7</v>
      </c>
      <c r="DU655" s="27" t="s">
        <v>8</v>
      </c>
      <c r="EB655" s="27" t="s">
        <v>7</v>
      </c>
      <c r="EC655" s="27" t="s">
        <v>8</v>
      </c>
      <c r="ED655" s="27" t="s">
        <v>7</v>
      </c>
      <c r="EE655" s="27" t="s">
        <v>8</v>
      </c>
      <c r="EF655" s="27" t="s">
        <v>7</v>
      </c>
      <c r="EG655" s="27" t="s">
        <v>8</v>
      </c>
      <c r="EH655" s="27" t="s">
        <v>7</v>
      </c>
      <c r="EQ655" s="27" t="s">
        <v>8</v>
      </c>
    </row>
    <row r="656" spans="1:148" x14ac:dyDescent="0.25">
      <c r="A656" s="7">
        <v>0.25502816640423093</v>
      </c>
      <c r="B656"/>
      <c r="C656"/>
      <c r="D656"/>
      <c r="E656"/>
      <c r="J656" s="27" t="s">
        <v>7</v>
      </c>
      <c r="K656" s="27" t="s">
        <v>8</v>
      </c>
      <c r="L656" s="27" t="s">
        <v>7</v>
      </c>
      <c r="M656" s="27" t="s">
        <v>8</v>
      </c>
      <c r="X656" s="27" t="s">
        <v>7</v>
      </c>
      <c r="Y656" s="27" t="s">
        <v>8</v>
      </c>
      <c r="Z656" s="27" t="s">
        <v>7</v>
      </c>
      <c r="AC656" s="27" t="s">
        <v>8</v>
      </c>
      <c r="AD656" s="27" t="s">
        <v>7</v>
      </c>
      <c r="BC656" s="27" t="s">
        <v>8</v>
      </c>
      <c r="BD656" s="27" t="s">
        <v>7</v>
      </c>
      <c r="BG656" s="27" t="s">
        <v>8</v>
      </c>
      <c r="BH656" s="27" t="s">
        <v>7</v>
      </c>
      <c r="BN656" s="27" t="s">
        <v>7</v>
      </c>
      <c r="BV656" s="27" t="s">
        <v>7</v>
      </c>
      <c r="BW656" s="27" t="s">
        <v>8</v>
      </c>
      <c r="CH656" s="27" t="s">
        <v>7</v>
      </c>
      <c r="DI656" s="27" t="s">
        <v>8</v>
      </c>
      <c r="DJ656" s="27" t="s">
        <v>7</v>
      </c>
      <c r="DK656" s="27" t="s">
        <v>8</v>
      </c>
      <c r="DL656" s="27" t="s">
        <v>7</v>
      </c>
      <c r="DM656" s="27" t="s">
        <v>8</v>
      </c>
      <c r="DP656" s="27" t="s">
        <v>7</v>
      </c>
      <c r="DQ656" s="27" t="s">
        <v>8</v>
      </c>
      <c r="DR656" s="27" t="s">
        <v>7</v>
      </c>
      <c r="DS656" s="27" t="s">
        <v>8</v>
      </c>
      <c r="DT656" s="27" t="s">
        <v>7</v>
      </c>
      <c r="DU656" s="27" t="s">
        <v>8</v>
      </c>
      <c r="EB656" s="27" t="s">
        <v>7</v>
      </c>
      <c r="EC656" s="27" t="s">
        <v>8</v>
      </c>
      <c r="ED656" s="27" t="s">
        <v>7</v>
      </c>
      <c r="EE656" s="27" t="s">
        <v>8</v>
      </c>
      <c r="EF656" s="27" t="s">
        <v>7</v>
      </c>
      <c r="EG656" s="27" t="s">
        <v>8</v>
      </c>
      <c r="EH656" s="27" t="s">
        <v>7</v>
      </c>
      <c r="EQ656" s="27" t="s">
        <v>8</v>
      </c>
      <c r="ER656" s="27" t="s">
        <v>7</v>
      </c>
    </row>
    <row r="657" spans="1:160" x14ac:dyDescent="0.25">
      <c r="A657" s="7">
        <v>0.25002761412179503</v>
      </c>
      <c r="B657"/>
      <c r="C657"/>
      <c r="D657"/>
      <c r="E657"/>
      <c r="J657" s="27" t="s">
        <v>7</v>
      </c>
      <c r="K657" s="27" t="s">
        <v>8</v>
      </c>
      <c r="L657" s="27" t="s">
        <v>7</v>
      </c>
      <c r="M657" s="27" t="s">
        <v>8</v>
      </c>
      <c r="X657" s="27" t="s">
        <v>7</v>
      </c>
      <c r="Y657" s="27" t="s">
        <v>8</v>
      </c>
      <c r="Z657" s="27" t="s">
        <v>7</v>
      </c>
      <c r="AC657" s="27" t="s">
        <v>8</v>
      </c>
      <c r="AD657" s="27" t="s">
        <v>7</v>
      </c>
      <c r="BC657" s="27" t="s">
        <v>8</v>
      </c>
      <c r="BD657" s="27" t="s">
        <v>7</v>
      </c>
      <c r="BG657" s="27" t="s">
        <v>8</v>
      </c>
      <c r="BV657" s="27" t="s">
        <v>7</v>
      </c>
      <c r="BW657" s="27" t="s">
        <v>8</v>
      </c>
      <c r="CH657" s="27" t="s">
        <v>7</v>
      </c>
      <c r="DI657" s="27" t="s">
        <v>8</v>
      </c>
      <c r="DJ657" s="27" t="s">
        <v>7</v>
      </c>
      <c r="DK657" s="27" t="s">
        <v>8</v>
      </c>
      <c r="DL657" s="27" t="s">
        <v>7</v>
      </c>
      <c r="DM657" s="27" t="s">
        <v>8</v>
      </c>
      <c r="DP657" s="27" t="s">
        <v>7</v>
      </c>
      <c r="DQ657" s="27" t="s">
        <v>8</v>
      </c>
      <c r="DR657" s="27" t="s">
        <v>7</v>
      </c>
      <c r="DT657" s="27" t="s">
        <v>7</v>
      </c>
      <c r="DU657" s="27" t="s">
        <v>8</v>
      </c>
      <c r="EB657" s="27" t="s">
        <v>7</v>
      </c>
      <c r="EC657" s="27" t="s">
        <v>8</v>
      </c>
      <c r="ED657" s="27" t="s">
        <v>7</v>
      </c>
      <c r="EE657" s="27" t="s">
        <v>8</v>
      </c>
      <c r="EF657" s="27" t="s">
        <v>7</v>
      </c>
      <c r="EG657" s="27" t="s">
        <v>8</v>
      </c>
      <c r="EH657" s="27" t="s">
        <v>7</v>
      </c>
      <c r="EI657" s="27" t="s">
        <v>8</v>
      </c>
      <c r="EQ657" s="27" t="s">
        <v>8</v>
      </c>
      <c r="ER657" s="27" t="s">
        <v>7</v>
      </c>
    </row>
    <row r="658" spans="1:160" x14ac:dyDescent="0.25">
      <c r="A658" s="7">
        <v>0.24512511188411276</v>
      </c>
      <c r="B658"/>
      <c r="C658"/>
      <c r="D658"/>
      <c r="E658"/>
      <c r="J658" s="27" t="s">
        <v>7</v>
      </c>
      <c r="K658" s="27" t="s">
        <v>8</v>
      </c>
      <c r="L658" s="27" t="s">
        <v>7</v>
      </c>
      <c r="X658" s="27" t="s">
        <v>7</v>
      </c>
      <c r="Y658" s="27" t="s">
        <v>8</v>
      </c>
      <c r="Z658" s="27" t="s">
        <v>7</v>
      </c>
      <c r="AC658" s="27" t="s">
        <v>8</v>
      </c>
      <c r="AD658" s="27" t="s">
        <v>7</v>
      </c>
      <c r="BC658" s="27" t="s">
        <v>8</v>
      </c>
      <c r="BD658" s="27" t="s">
        <v>7</v>
      </c>
      <c r="BG658" s="27" t="s">
        <v>8</v>
      </c>
      <c r="BV658" s="27" t="s">
        <v>7</v>
      </c>
      <c r="BW658" s="27" t="s">
        <v>8</v>
      </c>
      <c r="CH658" s="27" t="s">
        <v>7</v>
      </c>
      <c r="DI658" s="27" t="s">
        <v>8</v>
      </c>
      <c r="DJ658" s="27" t="s">
        <v>7</v>
      </c>
      <c r="DK658" s="27" t="s">
        <v>8</v>
      </c>
      <c r="DL658" s="27" t="s">
        <v>7</v>
      </c>
      <c r="DP658" s="27" t="s">
        <v>7</v>
      </c>
      <c r="DQ658" s="27" t="s">
        <v>8</v>
      </c>
      <c r="DT658" s="27" t="s">
        <v>7</v>
      </c>
      <c r="DU658" s="27" t="s">
        <v>8</v>
      </c>
      <c r="EB658" s="27" t="s">
        <v>7</v>
      </c>
      <c r="EC658" s="27" t="s">
        <v>8</v>
      </c>
      <c r="ED658" s="27" t="s">
        <v>7</v>
      </c>
      <c r="EE658" s="27" t="s">
        <v>8</v>
      </c>
      <c r="EF658" s="27" t="s">
        <v>7</v>
      </c>
      <c r="EG658" s="27" t="s">
        <v>8</v>
      </c>
      <c r="EH658" s="27" t="s">
        <v>7</v>
      </c>
      <c r="EI658" s="27" t="s">
        <v>8</v>
      </c>
      <c r="EJ658" s="27" t="s">
        <v>7</v>
      </c>
      <c r="EO658" s="27" t="s">
        <v>8</v>
      </c>
      <c r="EQ658" s="27" t="s">
        <v>8</v>
      </c>
      <c r="ER658" s="27" t="s">
        <v>7</v>
      </c>
    </row>
    <row r="659" spans="1:160" x14ac:dyDescent="0.25">
      <c r="A659" s="7">
        <v>0.24031873714128701</v>
      </c>
      <c r="B659"/>
      <c r="C659"/>
      <c r="D659"/>
      <c r="E659"/>
      <c r="J659" s="27" t="s">
        <v>7</v>
      </c>
      <c r="K659" s="27" t="s">
        <v>8</v>
      </c>
      <c r="X659" s="27" t="s">
        <v>7</v>
      </c>
      <c r="Y659" s="27" t="s">
        <v>8</v>
      </c>
      <c r="Z659" s="27" t="s">
        <v>7</v>
      </c>
      <c r="AC659" s="27" t="s">
        <v>8</v>
      </c>
      <c r="AD659" s="27" t="s">
        <v>7</v>
      </c>
      <c r="BC659" s="27" t="s">
        <v>8</v>
      </c>
      <c r="BD659" s="27" t="s">
        <v>7</v>
      </c>
      <c r="BG659" s="27" t="s">
        <v>8</v>
      </c>
      <c r="BV659" s="27" t="s">
        <v>7</v>
      </c>
      <c r="CH659" s="27" t="s">
        <v>7</v>
      </c>
      <c r="CI659" s="27" t="s">
        <v>8</v>
      </c>
      <c r="CO659" s="27" t="s">
        <v>8</v>
      </c>
      <c r="DI659" s="27" t="s">
        <v>8</v>
      </c>
      <c r="DJ659" s="27" t="s">
        <v>7</v>
      </c>
      <c r="DK659" s="27" t="s">
        <v>8</v>
      </c>
      <c r="DP659" s="27" t="s">
        <v>7</v>
      </c>
      <c r="DQ659" s="27" t="s">
        <v>8</v>
      </c>
      <c r="DT659" s="27" t="s">
        <v>7</v>
      </c>
      <c r="DU659" s="27" t="s">
        <v>8</v>
      </c>
      <c r="EB659" s="27" t="s">
        <v>7</v>
      </c>
      <c r="EC659" s="27" t="s">
        <v>8</v>
      </c>
      <c r="ED659" s="27" t="s">
        <v>7</v>
      </c>
      <c r="EE659" s="27" t="s">
        <v>8</v>
      </c>
      <c r="EF659" s="27" t="s">
        <v>7</v>
      </c>
      <c r="EH659" s="27" t="s">
        <v>7</v>
      </c>
      <c r="EI659" s="27" t="s">
        <v>8</v>
      </c>
      <c r="EJ659" s="27" t="s">
        <v>7</v>
      </c>
      <c r="EO659" s="27" t="s">
        <v>8</v>
      </c>
      <c r="EP659" s="27" t="s">
        <v>7</v>
      </c>
      <c r="EQ659" s="27" t="s">
        <v>8</v>
      </c>
      <c r="ER659" s="27" t="s">
        <v>7</v>
      </c>
    </row>
    <row r="660" spans="1:160" x14ac:dyDescent="0.25">
      <c r="A660" s="7">
        <v>0.23560660504047748</v>
      </c>
      <c r="B660"/>
      <c r="C660"/>
      <c r="D660"/>
      <c r="E660"/>
      <c r="J660" s="27" t="s">
        <v>7</v>
      </c>
      <c r="K660" s="27" t="s">
        <v>8</v>
      </c>
      <c r="X660" s="27" t="s">
        <v>7</v>
      </c>
      <c r="Y660" s="27" t="s">
        <v>8</v>
      </c>
      <c r="Z660" s="27" t="s">
        <v>7</v>
      </c>
      <c r="AC660" s="27" t="s">
        <v>8</v>
      </c>
      <c r="AD660" s="27" t="s">
        <v>7</v>
      </c>
      <c r="BC660" s="27" t="s">
        <v>8</v>
      </c>
      <c r="BD660" s="27" t="s">
        <v>7</v>
      </c>
      <c r="BG660" s="27" t="s">
        <v>8</v>
      </c>
      <c r="CH660" s="27" t="s">
        <v>7</v>
      </c>
      <c r="CI660" s="27" t="s">
        <v>8</v>
      </c>
      <c r="CJ660" s="27" t="s">
        <v>7</v>
      </c>
      <c r="CO660" s="27" t="s">
        <v>8</v>
      </c>
      <c r="CP660" s="27" t="s">
        <v>7</v>
      </c>
      <c r="DI660" s="27" t="s">
        <v>8</v>
      </c>
      <c r="DJ660" s="27" t="s">
        <v>7</v>
      </c>
      <c r="DK660" s="27" t="s">
        <v>8</v>
      </c>
      <c r="DP660" s="27" t="s">
        <v>7</v>
      </c>
      <c r="DQ660" s="27" t="s">
        <v>8</v>
      </c>
      <c r="DT660" s="27" t="s">
        <v>7</v>
      </c>
      <c r="DU660" s="27" t="s">
        <v>8</v>
      </c>
      <c r="EB660" s="27" t="s">
        <v>7</v>
      </c>
      <c r="EC660" s="27" t="s">
        <v>8</v>
      </c>
      <c r="ED660" s="27" t="s">
        <v>7</v>
      </c>
      <c r="EE660" s="27" t="s">
        <v>8</v>
      </c>
      <c r="EH660" s="27" t="s">
        <v>7</v>
      </c>
      <c r="EI660" s="27" t="s">
        <v>8</v>
      </c>
      <c r="EJ660" s="27" t="s">
        <v>7</v>
      </c>
      <c r="EO660" s="27" t="s">
        <v>8</v>
      </c>
      <c r="EP660" s="27" t="s">
        <v>7</v>
      </c>
      <c r="EQ660" s="27" t="s">
        <v>8</v>
      </c>
      <c r="ER660" s="27" t="s">
        <v>7</v>
      </c>
    </row>
    <row r="661" spans="1:160" x14ac:dyDescent="0.25">
      <c r="A661" s="7">
        <v>0.23098686768674265</v>
      </c>
      <c r="B661"/>
      <c r="C661"/>
      <c r="D661"/>
      <c r="E661"/>
      <c r="J661" s="27" t="s">
        <v>7</v>
      </c>
      <c r="K661" s="27" t="s">
        <v>8</v>
      </c>
      <c r="X661" s="27" t="s">
        <v>7</v>
      </c>
      <c r="Y661" s="27" t="s">
        <v>8</v>
      </c>
      <c r="Z661" s="27" t="s">
        <v>7</v>
      </c>
      <c r="AC661" s="27" t="s">
        <v>8</v>
      </c>
      <c r="AD661" s="27" t="s">
        <v>7</v>
      </c>
      <c r="BC661" s="27" t="s">
        <v>8</v>
      </c>
      <c r="BD661" s="27" t="s">
        <v>7</v>
      </c>
      <c r="BG661" s="27" t="s">
        <v>8</v>
      </c>
      <c r="CH661" s="27" t="s">
        <v>7</v>
      </c>
      <c r="CI661" s="27" t="s">
        <v>8</v>
      </c>
      <c r="CJ661" s="27" t="s">
        <v>7</v>
      </c>
      <c r="CO661" s="27" t="s">
        <v>8</v>
      </c>
      <c r="CP661" s="27" t="s">
        <v>7</v>
      </c>
      <c r="CY661" s="27" t="s">
        <v>8</v>
      </c>
      <c r="DI661" s="27" t="s">
        <v>8</v>
      </c>
      <c r="DJ661" s="27" t="s">
        <v>7</v>
      </c>
      <c r="DP661" s="27" t="s">
        <v>7</v>
      </c>
      <c r="DQ661" s="27" t="s">
        <v>8</v>
      </c>
      <c r="DT661" s="27" t="s">
        <v>7</v>
      </c>
      <c r="DU661" s="27" t="s">
        <v>8</v>
      </c>
      <c r="EB661" s="27" t="s">
        <v>7</v>
      </c>
      <c r="EC661" s="27" t="s">
        <v>8</v>
      </c>
      <c r="ED661" s="27" t="s">
        <v>7</v>
      </c>
      <c r="EE661" s="27" t="s">
        <v>8</v>
      </c>
      <c r="EH661" s="27" t="s">
        <v>7</v>
      </c>
      <c r="EI661" s="27" t="s">
        <v>8</v>
      </c>
      <c r="EJ661" s="27" t="s">
        <v>7</v>
      </c>
      <c r="EO661" s="27" t="s">
        <v>8</v>
      </c>
      <c r="EP661" s="27" t="s">
        <v>7</v>
      </c>
      <c r="ER661" s="27" t="s">
        <v>7</v>
      </c>
    </row>
    <row r="662" spans="1:160" x14ac:dyDescent="0.25">
      <c r="A662" s="7">
        <v>0.22645771341837515</v>
      </c>
      <c r="B662"/>
      <c r="C662"/>
      <c r="D662"/>
      <c r="E662"/>
      <c r="J662" s="27" t="s">
        <v>7</v>
      </c>
      <c r="K662" s="27" t="s">
        <v>8</v>
      </c>
      <c r="X662" s="27" t="s">
        <v>7</v>
      </c>
      <c r="Y662" s="27" t="s">
        <v>8</v>
      </c>
      <c r="Z662" s="27" t="s">
        <v>7</v>
      </c>
      <c r="AC662" s="27" t="s">
        <v>8</v>
      </c>
      <c r="AD662" s="27" t="s">
        <v>7</v>
      </c>
      <c r="BC662" s="27" t="s">
        <v>8</v>
      </c>
      <c r="BD662" s="27" t="s">
        <v>7</v>
      </c>
      <c r="BG662" s="27" t="s">
        <v>8</v>
      </c>
      <c r="CH662" s="27" t="s">
        <v>7</v>
      </c>
      <c r="CI662" s="27" t="s">
        <v>8</v>
      </c>
      <c r="CJ662" s="27" t="s">
        <v>7</v>
      </c>
      <c r="CK662" s="27" t="s">
        <v>8</v>
      </c>
      <c r="CM662" s="27" t="s">
        <v>8</v>
      </c>
      <c r="CO662" s="27" t="s">
        <v>8</v>
      </c>
      <c r="CP662" s="27" t="s">
        <v>7</v>
      </c>
      <c r="CY662" s="27" t="s">
        <v>8</v>
      </c>
      <c r="CZ662" s="27" t="s">
        <v>7</v>
      </c>
      <c r="DI662" s="27" t="s">
        <v>8</v>
      </c>
      <c r="DP662" s="27" t="s">
        <v>7</v>
      </c>
      <c r="DT662" s="27" t="s">
        <v>7</v>
      </c>
      <c r="DU662" s="27" t="s">
        <v>8</v>
      </c>
      <c r="EB662" s="27" t="s">
        <v>7</v>
      </c>
      <c r="EC662" s="27" t="s">
        <v>8</v>
      </c>
      <c r="ED662" s="27" t="s">
        <v>7</v>
      </c>
      <c r="EE662" s="27" t="s">
        <v>8</v>
      </c>
      <c r="EH662" s="27" t="s">
        <v>7</v>
      </c>
      <c r="EJ662" s="27" t="s">
        <v>7</v>
      </c>
      <c r="EK662" s="27" t="s">
        <v>8</v>
      </c>
      <c r="EO662" s="27" t="s">
        <v>8</v>
      </c>
      <c r="ER662" s="27" t="s">
        <v>7</v>
      </c>
      <c r="ES662" s="27" t="s">
        <v>8</v>
      </c>
    </row>
    <row r="663" spans="1:160" x14ac:dyDescent="0.25">
      <c r="A663" s="7">
        <v>0.22201736609644623</v>
      </c>
      <c r="B663"/>
      <c r="C663"/>
      <c r="D663"/>
      <c r="E663"/>
      <c r="J663" s="27" t="s">
        <v>7</v>
      </c>
      <c r="K663" s="27" t="s">
        <v>8</v>
      </c>
      <c r="X663" s="27" t="s">
        <v>7</v>
      </c>
      <c r="Y663" s="27" t="s">
        <v>8</v>
      </c>
      <c r="Z663" s="27" t="s">
        <v>7</v>
      </c>
      <c r="AC663" s="27" t="s">
        <v>8</v>
      </c>
      <c r="AD663" s="27" t="s">
        <v>7</v>
      </c>
      <c r="BC663" s="27" t="s">
        <v>8</v>
      </c>
      <c r="BD663" s="27" t="s">
        <v>7</v>
      </c>
      <c r="BG663" s="27" t="s">
        <v>8</v>
      </c>
      <c r="CH663" s="27" t="s">
        <v>7</v>
      </c>
      <c r="CI663" s="27" t="s">
        <v>8</v>
      </c>
      <c r="CJ663" s="27" t="s">
        <v>7</v>
      </c>
      <c r="CK663" s="27" t="s">
        <v>8</v>
      </c>
      <c r="CL663" s="27" t="s">
        <v>7</v>
      </c>
      <c r="CM663" s="27" t="s">
        <v>8</v>
      </c>
      <c r="CN663" s="27" t="s">
        <v>7</v>
      </c>
      <c r="CO663" s="27" t="s">
        <v>8</v>
      </c>
      <c r="CP663" s="27" t="s">
        <v>7</v>
      </c>
      <c r="CY663" s="27" t="s">
        <v>8</v>
      </c>
      <c r="CZ663" s="27" t="s">
        <v>7</v>
      </c>
      <c r="DI663" s="27" t="s">
        <v>8</v>
      </c>
      <c r="DT663" s="27" t="s">
        <v>7</v>
      </c>
      <c r="DU663" s="27" t="s">
        <v>8</v>
      </c>
      <c r="EB663" s="27" t="s">
        <v>7</v>
      </c>
      <c r="EC663" s="27" t="s">
        <v>8</v>
      </c>
      <c r="ED663" s="27" t="s">
        <v>7</v>
      </c>
      <c r="EJ663" s="27" t="s">
        <v>7</v>
      </c>
      <c r="EK663" s="27" t="s">
        <v>8</v>
      </c>
      <c r="EL663" s="27" t="s">
        <v>7</v>
      </c>
      <c r="EO663" s="27" t="s">
        <v>8</v>
      </c>
      <c r="ER663" s="27" t="s">
        <v>7</v>
      </c>
      <c r="ES663" s="27" t="s">
        <v>8</v>
      </c>
      <c r="ET663" s="27" t="s">
        <v>7</v>
      </c>
      <c r="EU663" s="27" t="s">
        <v>8</v>
      </c>
    </row>
    <row r="664" spans="1:160" x14ac:dyDescent="0.25">
      <c r="A664" s="7">
        <v>0.21766408440828061</v>
      </c>
      <c r="B664"/>
      <c r="C664"/>
      <c r="D664"/>
      <c r="E664"/>
      <c r="J664" s="27" t="s">
        <v>7</v>
      </c>
      <c r="K664" s="27" t="s">
        <v>8</v>
      </c>
      <c r="X664" s="27" t="s">
        <v>7</v>
      </c>
      <c r="Y664" s="27" t="s">
        <v>8</v>
      </c>
      <c r="Z664" s="27" t="s">
        <v>7</v>
      </c>
      <c r="AC664" s="27" t="s">
        <v>8</v>
      </c>
      <c r="AD664" s="27" t="s">
        <v>7</v>
      </c>
      <c r="BC664" s="27" t="s">
        <v>8</v>
      </c>
      <c r="BD664" s="27" t="s">
        <v>7</v>
      </c>
      <c r="BE664" s="27" t="s">
        <v>8</v>
      </c>
      <c r="BG664" s="27" t="s">
        <v>8</v>
      </c>
      <c r="CH664" s="27" t="s">
        <v>7</v>
      </c>
      <c r="CI664" s="27" t="s">
        <v>8</v>
      </c>
      <c r="CJ664" s="27" t="s">
        <v>7</v>
      </c>
      <c r="CK664" s="27" t="s">
        <v>8</v>
      </c>
      <c r="CL664" s="27" t="s">
        <v>7</v>
      </c>
      <c r="CM664" s="27" t="s">
        <v>8</v>
      </c>
      <c r="CN664" s="27" t="s">
        <v>7</v>
      </c>
      <c r="CO664" s="27" t="s">
        <v>8</v>
      </c>
      <c r="CP664" s="27" t="s">
        <v>7</v>
      </c>
      <c r="CU664" s="27" t="s">
        <v>8</v>
      </c>
      <c r="CY664" s="27" t="s">
        <v>8</v>
      </c>
      <c r="CZ664" s="27" t="s">
        <v>7</v>
      </c>
      <c r="DG664" s="27" t="s">
        <v>8</v>
      </c>
      <c r="DI664" s="27" t="s">
        <v>8</v>
      </c>
      <c r="DT664" s="27" t="s">
        <v>7</v>
      </c>
      <c r="DU664" s="27" t="s">
        <v>8</v>
      </c>
      <c r="EB664" s="27" t="s">
        <v>7</v>
      </c>
      <c r="EC664" s="27" t="s">
        <v>8</v>
      </c>
      <c r="EJ664" s="27" t="s">
        <v>7</v>
      </c>
      <c r="EK664" s="27" t="s">
        <v>8</v>
      </c>
      <c r="EL664" s="27" t="s">
        <v>7</v>
      </c>
      <c r="EM664" s="27" t="s">
        <v>8</v>
      </c>
      <c r="EO664" s="27" t="s">
        <v>8</v>
      </c>
      <c r="ER664" s="27" t="s">
        <v>7</v>
      </c>
      <c r="ES664" s="27" t="s">
        <v>8</v>
      </c>
      <c r="ET664" s="27" t="s">
        <v>7</v>
      </c>
      <c r="EU664" s="27" t="s">
        <v>8</v>
      </c>
      <c r="EV664" s="27" t="s">
        <v>7</v>
      </c>
    </row>
    <row r="665" spans="1:160" x14ac:dyDescent="0.25">
      <c r="A665" s="7">
        <v>0.21339616118458882</v>
      </c>
      <c r="B665"/>
      <c r="C665"/>
      <c r="D665"/>
      <c r="E665"/>
      <c r="J665" s="27" t="s">
        <v>7</v>
      </c>
      <c r="K665" s="27" t="s">
        <v>8</v>
      </c>
      <c r="X665" s="27" t="s">
        <v>7</v>
      </c>
      <c r="Y665" s="27" t="s">
        <v>8</v>
      </c>
      <c r="Z665" s="27" t="s">
        <v>7</v>
      </c>
      <c r="AC665" s="27" t="s">
        <v>8</v>
      </c>
      <c r="AD665" s="27" t="s">
        <v>7</v>
      </c>
      <c r="AE665" s="27" t="s">
        <v>8</v>
      </c>
      <c r="AG665" s="27" t="s">
        <v>8</v>
      </c>
      <c r="BC665" s="27" t="s">
        <v>8</v>
      </c>
      <c r="BD665" s="27" t="s">
        <v>7</v>
      </c>
      <c r="BE665" s="27" t="s">
        <v>8</v>
      </c>
      <c r="BF665" s="27" t="s">
        <v>7</v>
      </c>
      <c r="BG665" s="27" t="s">
        <v>8</v>
      </c>
      <c r="CH665" s="27" t="s">
        <v>7</v>
      </c>
      <c r="CI665" s="27" t="s">
        <v>8</v>
      </c>
      <c r="CJ665" s="27" t="s">
        <v>7</v>
      </c>
      <c r="CK665" s="27" t="s">
        <v>8</v>
      </c>
      <c r="CL665" s="27" t="s">
        <v>7</v>
      </c>
      <c r="CM665" s="27" t="s">
        <v>8</v>
      </c>
      <c r="CN665" s="27" t="s">
        <v>7</v>
      </c>
      <c r="CO665" s="27" t="s">
        <v>8</v>
      </c>
      <c r="CP665" s="27" t="s">
        <v>7</v>
      </c>
      <c r="CU665" s="27" t="s">
        <v>8</v>
      </c>
      <c r="CV665" s="27" t="s">
        <v>7</v>
      </c>
      <c r="CW665" s="27" t="s">
        <v>8</v>
      </c>
      <c r="CY665" s="27" t="s">
        <v>8</v>
      </c>
      <c r="CZ665" s="27" t="s">
        <v>7</v>
      </c>
      <c r="DG665" s="27" t="s">
        <v>8</v>
      </c>
      <c r="DH665" s="27" t="s">
        <v>7</v>
      </c>
      <c r="DI665" s="27" t="s">
        <v>8</v>
      </c>
      <c r="DT665" s="27" t="s">
        <v>7</v>
      </c>
      <c r="DU665" s="27" t="s">
        <v>8</v>
      </c>
      <c r="EB665" s="27" t="s">
        <v>7</v>
      </c>
      <c r="EC665" s="27" t="s">
        <v>8</v>
      </c>
      <c r="EJ665" s="27" t="s">
        <v>7</v>
      </c>
      <c r="EK665" s="27" t="s">
        <v>8</v>
      </c>
      <c r="EL665" s="27" t="s">
        <v>7</v>
      </c>
      <c r="EM665" s="27" t="s">
        <v>8</v>
      </c>
      <c r="EN665" s="27" t="s">
        <v>7</v>
      </c>
      <c r="EO665" s="27" t="s">
        <v>8</v>
      </c>
      <c r="ER665" s="27" t="s">
        <v>7</v>
      </c>
      <c r="ES665" s="27" t="s">
        <v>8</v>
      </c>
      <c r="ET665" s="27" t="s">
        <v>7</v>
      </c>
      <c r="EU665" s="27" t="s">
        <v>8</v>
      </c>
      <c r="EV665" s="27" t="s">
        <v>7</v>
      </c>
    </row>
    <row r="666" spans="1:160" x14ac:dyDescent="0.25">
      <c r="A666" s="7">
        <v>0.20921192272998904</v>
      </c>
      <c r="B666"/>
      <c r="C666"/>
      <c r="D666"/>
      <c r="E666"/>
      <c r="J666" s="27" t="s">
        <v>7</v>
      </c>
      <c r="K666" s="27" t="s">
        <v>8</v>
      </c>
      <c r="X666" s="27" t="s">
        <v>7</v>
      </c>
      <c r="Y666" s="27" t="s">
        <v>8</v>
      </c>
      <c r="Z666" s="27" t="s">
        <v>7</v>
      </c>
      <c r="AA666" s="27" t="s">
        <v>8</v>
      </c>
      <c r="AC666" s="27" t="s">
        <v>8</v>
      </c>
      <c r="AD666" s="27" t="s">
        <v>7</v>
      </c>
      <c r="AE666" s="27" t="s">
        <v>8</v>
      </c>
      <c r="AF666" s="27" t="s">
        <v>7</v>
      </c>
      <c r="AG666" s="27" t="s">
        <v>8</v>
      </c>
      <c r="AH666" s="27" t="s">
        <v>7</v>
      </c>
      <c r="BC666" s="27" t="s">
        <v>8</v>
      </c>
      <c r="BD666" s="27" t="s">
        <v>7</v>
      </c>
      <c r="BE666" s="27" t="s">
        <v>8</v>
      </c>
      <c r="BF666" s="27" t="s">
        <v>7</v>
      </c>
      <c r="BG666" s="27" t="s">
        <v>8</v>
      </c>
      <c r="CH666" s="27" t="s">
        <v>7</v>
      </c>
      <c r="CI666" s="27" t="s">
        <v>8</v>
      </c>
      <c r="CJ666" s="27" t="s">
        <v>7</v>
      </c>
      <c r="CK666" s="27" t="s">
        <v>8</v>
      </c>
      <c r="CL666" s="27" t="s">
        <v>7</v>
      </c>
      <c r="CM666" s="27" t="s">
        <v>8</v>
      </c>
      <c r="CN666" s="27" t="s">
        <v>7</v>
      </c>
      <c r="CO666" s="27" t="s">
        <v>8</v>
      </c>
      <c r="CP666" s="27" t="s">
        <v>7</v>
      </c>
      <c r="CU666" s="27" t="s">
        <v>8</v>
      </c>
      <c r="CV666" s="27" t="s">
        <v>7</v>
      </c>
      <c r="CW666" s="27" t="s">
        <v>8</v>
      </c>
      <c r="CX666" s="27" t="s">
        <v>7</v>
      </c>
      <c r="CY666" s="27" t="s">
        <v>8</v>
      </c>
      <c r="CZ666" s="27" t="s">
        <v>7</v>
      </c>
      <c r="DC666" s="27" t="s">
        <v>8</v>
      </c>
      <c r="DG666" s="27" t="s">
        <v>8</v>
      </c>
      <c r="DH666" s="27" t="s">
        <v>7</v>
      </c>
      <c r="DI666" s="27" t="s">
        <v>8</v>
      </c>
      <c r="DT666" s="27" t="s">
        <v>7</v>
      </c>
      <c r="EB666" s="27" t="s">
        <v>7</v>
      </c>
      <c r="EC666" s="27" t="s">
        <v>8</v>
      </c>
      <c r="EJ666" s="27" t="s">
        <v>7</v>
      </c>
      <c r="EK666" s="27" t="s">
        <v>8</v>
      </c>
      <c r="EL666" s="27" t="s">
        <v>7</v>
      </c>
      <c r="EM666" s="27" t="s">
        <v>8</v>
      </c>
      <c r="EN666" s="27" t="s">
        <v>7</v>
      </c>
      <c r="EO666" s="27" t="s">
        <v>8</v>
      </c>
      <c r="ER666" s="27" t="s">
        <v>7</v>
      </c>
      <c r="ES666" s="27" t="s">
        <v>8</v>
      </c>
      <c r="ET666" s="27" t="s">
        <v>7</v>
      </c>
      <c r="EV666" s="27" t="s">
        <v>7</v>
      </c>
    </row>
    <row r="667" spans="1:160" x14ac:dyDescent="0.25">
      <c r="A667" s="7">
        <v>0.20510972816665593</v>
      </c>
      <c r="B667"/>
      <c r="C667"/>
      <c r="D667"/>
      <c r="E667"/>
      <c r="J667" s="27" t="s">
        <v>7</v>
      </c>
      <c r="K667" s="27" t="s">
        <v>8</v>
      </c>
      <c r="X667" s="27" t="s">
        <v>7</v>
      </c>
      <c r="Y667" s="27" t="s">
        <v>8</v>
      </c>
      <c r="Z667" s="27" t="s">
        <v>7</v>
      </c>
      <c r="AA667" s="27" t="s">
        <v>8</v>
      </c>
      <c r="AB667" s="27" t="s">
        <v>7</v>
      </c>
      <c r="AC667" s="27" t="s">
        <v>8</v>
      </c>
      <c r="AD667" s="27" t="s">
        <v>7</v>
      </c>
      <c r="AE667" s="27" t="s">
        <v>8</v>
      </c>
      <c r="AF667" s="27" t="s">
        <v>7</v>
      </c>
      <c r="AG667" s="27" t="s">
        <v>8</v>
      </c>
      <c r="AH667" s="27" t="s">
        <v>7</v>
      </c>
      <c r="BC667" s="27" t="s">
        <v>8</v>
      </c>
      <c r="BD667" s="27" t="s">
        <v>7</v>
      </c>
      <c r="BE667" s="27" t="s">
        <v>8</v>
      </c>
      <c r="BF667" s="27" t="s">
        <v>7</v>
      </c>
      <c r="BG667" s="27" t="s">
        <v>8</v>
      </c>
      <c r="CH667" s="27" t="s">
        <v>7</v>
      </c>
      <c r="CI667" s="27" t="s">
        <v>8</v>
      </c>
      <c r="CJ667" s="27" t="s">
        <v>7</v>
      </c>
      <c r="CK667" s="27" t="s">
        <v>8</v>
      </c>
      <c r="CL667" s="27" t="s">
        <v>7</v>
      </c>
      <c r="CM667" s="27" t="s">
        <v>8</v>
      </c>
      <c r="CN667" s="27" t="s">
        <v>7</v>
      </c>
      <c r="CP667" s="27" t="s">
        <v>7</v>
      </c>
      <c r="CU667" s="27" t="s">
        <v>8</v>
      </c>
      <c r="CV667" s="27" t="s">
        <v>7</v>
      </c>
      <c r="CW667" s="27" t="s">
        <v>8</v>
      </c>
      <c r="CX667" s="27" t="s">
        <v>7</v>
      </c>
      <c r="CY667" s="27" t="s">
        <v>8</v>
      </c>
      <c r="CZ667" s="27" t="s">
        <v>7</v>
      </c>
      <c r="DA667" s="27" t="s">
        <v>8</v>
      </c>
      <c r="DC667" s="27" t="s">
        <v>8</v>
      </c>
      <c r="DD667" s="27" t="s">
        <v>7</v>
      </c>
      <c r="DG667" s="27" t="s">
        <v>8</v>
      </c>
      <c r="DH667" s="27" t="s">
        <v>7</v>
      </c>
      <c r="DI667" s="27" t="s">
        <v>8</v>
      </c>
      <c r="EB667" s="27" t="s">
        <v>7</v>
      </c>
      <c r="EC667" s="27" t="s">
        <v>8</v>
      </c>
      <c r="EJ667" s="27" t="s">
        <v>7</v>
      </c>
      <c r="EK667" s="27" t="s">
        <v>8</v>
      </c>
      <c r="EL667" s="27" t="s">
        <v>7</v>
      </c>
      <c r="EM667" s="27" t="s">
        <v>8</v>
      </c>
      <c r="EN667" s="27" t="s">
        <v>7</v>
      </c>
      <c r="EO667" s="27" t="s">
        <v>8</v>
      </c>
      <c r="ER667" s="27" t="s">
        <v>7</v>
      </c>
      <c r="EV667" s="27" t="s">
        <v>7</v>
      </c>
    </row>
    <row r="668" spans="1:160" x14ac:dyDescent="0.25">
      <c r="A668" s="7">
        <v>0.20108796879083912</v>
      </c>
      <c r="B668"/>
      <c r="C668"/>
      <c r="D668"/>
      <c r="E668"/>
      <c r="J668" s="27" t="s">
        <v>7</v>
      </c>
      <c r="K668" s="27" t="s">
        <v>8</v>
      </c>
      <c r="X668" s="27" t="s">
        <v>7</v>
      </c>
      <c r="Y668" s="27" t="s">
        <v>8</v>
      </c>
      <c r="Z668" s="27" t="s">
        <v>7</v>
      </c>
      <c r="AA668" s="27" t="s">
        <v>8</v>
      </c>
      <c r="AB668" s="27" t="s">
        <v>7</v>
      </c>
      <c r="AC668" s="27" t="s">
        <v>8</v>
      </c>
      <c r="AD668" s="27" t="s">
        <v>7</v>
      </c>
      <c r="AE668" s="27" t="s">
        <v>8</v>
      </c>
      <c r="AF668" s="27" t="s">
        <v>7</v>
      </c>
      <c r="AG668" s="27" t="s">
        <v>8</v>
      </c>
      <c r="AH668" s="27" t="s">
        <v>7</v>
      </c>
      <c r="BC668" s="27" t="s">
        <v>8</v>
      </c>
      <c r="BD668" s="27" t="s">
        <v>7</v>
      </c>
      <c r="BE668" s="27" t="s">
        <v>8</v>
      </c>
      <c r="BF668" s="27" t="s">
        <v>7</v>
      </c>
      <c r="BG668" s="27" t="s">
        <v>8</v>
      </c>
      <c r="CH668" s="27" t="s">
        <v>7</v>
      </c>
      <c r="CI668" s="27" t="s">
        <v>8</v>
      </c>
      <c r="CJ668" s="27" t="s">
        <v>7</v>
      </c>
      <c r="CL668" s="27" t="s">
        <v>7</v>
      </c>
      <c r="CM668" s="27" t="s">
        <v>8</v>
      </c>
      <c r="CP668" s="27" t="s">
        <v>7</v>
      </c>
      <c r="CU668" s="27" t="s">
        <v>8</v>
      </c>
      <c r="CV668" s="27" t="s">
        <v>7</v>
      </c>
      <c r="CW668" s="27" t="s">
        <v>8</v>
      </c>
      <c r="CX668" s="27" t="s">
        <v>7</v>
      </c>
      <c r="CY668" s="27" t="s">
        <v>8</v>
      </c>
      <c r="CZ668" s="27" t="s">
        <v>7</v>
      </c>
      <c r="DA668" s="27" t="s">
        <v>8</v>
      </c>
      <c r="DB668" s="27" t="s">
        <v>7</v>
      </c>
      <c r="DC668" s="27" t="s">
        <v>8</v>
      </c>
      <c r="DD668" s="27" t="s">
        <v>7</v>
      </c>
      <c r="DE668" s="27" t="s">
        <v>8</v>
      </c>
      <c r="DG668" s="27" t="s">
        <v>8</v>
      </c>
      <c r="DH668" s="27" t="s">
        <v>7</v>
      </c>
      <c r="DI668" s="27" t="s">
        <v>8</v>
      </c>
      <c r="EB668" s="27" t="s">
        <v>7</v>
      </c>
      <c r="EC668" s="27" t="s">
        <v>8</v>
      </c>
      <c r="EJ668" s="27" t="s">
        <v>7</v>
      </c>
      <c r="EL668" s="27" t="s">
        <v>7</v>
      </c>
      <c r="EN668" s="27" t="s">
        <v>7</v>
      </c>
      <c r="EO668" s="27" t="s">
        <v>8</v>
      </c>
      <c r="EV668" s="27" t="s">
        <v>7</v>
      </c>
    </row>
    <row r="669" spans="1:160" x14ac:dyDescent="0.25">
      <c r="A669" s="7">
        <v>0.19714506744199917</v>
      </c>
      <c r="B669"/>
      <c r="C669"/>
      <c r="D669"/>
      <c r="E669"/>
      <c r="J669" s="27" t="s">
        <v>7</v>
      </c>
      <c r="X669" s="27" t="s">
        <v>7</v>
      </c>
      <c r="Y669" s="27" t="s">
        <v>8</v>
      </c>
      <c r="Z669" s="27" t="s">
        <v>7</v>
      </c>
      <c r="AA669" s="27" t="s">
        <v>8</v>
      </c>
      <c r="AB669" s="27" t="s">
        <v>7</v>
      </c>
      <c r="AC669" s="27" t="s">
        <v>8</v>
      </c>
      <c r="AD669" s="27" t="s">
        <v>7</v>
      </c>
      <c r="AE669" s="27" t="s">
        <v>8</v>
      </c>
      <c r="AF669" s="27" t="s">
        <v>7</v>
      </c>
      <c r="AG669" s="27" t="s">
        <v>8</v>
      </c>
      <c r="AH669" s="27" t="s">
        <v>7</v>
      </c>
      <c r="BC669" s="27" t="s">
        <v>8</v>
      </c>
      <c r="BD669" s="27" t="s">
        <v>7</v>
      </c>
      <c r="BE669" s="27" t="s">
        <v>8</v>
      </c>
      <c r="BF669" s="27" t="s">
        <v>7</v>
      </c>
      <c r="BG669" s="27" t="s">
        <v>8</v>
      </c>
      <c r="CH669" s="27" t="s">
        <v>7</v>
      </c>
      <c r="CI669" s="27" t="s">
        <v>8</v>
      </c>
      <c r="CL669" s="27" t="s">
        <v>7</v>
      </c>
      <c r="CM669" s="27" t="s">
        <v>8</v>
      </c>
      <c r="CP669" s="27" t="s">
        <v>7</v>
      </c>
      <c r="CU669" s="27" t="s">
        <v>8</v>
      </c>
      <c r="CV669" s="27" t="s">
        <v>7</v>
      </c>
      <c r="CW669" s="27" t="s">
        <v>8</v>
      </c>
      <c r="CX669" s="27" t="s">
        <v>7</v>
      </c>
      <c r="CY669" s="27" t="s">
        <v>8</v>
      </c>
      <c r="CZ669" s="27" t="s">
        <v>7</v>
      </c>
      <c r="DA669" s="27" t="s">
        <v>8</v>
      </c>
      <c r="DB669" s="27" t="s">
        <v>7</v>
      </c>
      <c r="DC669" s="27" t="s">
        <v>8</v>
      </c>
      <c r="DD669" s="27" t="s">
        <v>7</v>
      </c>
      <c r="DE669" s="27" t="s">
        <v>8</v>
      </c>
      <c r="DF669" s="27" t="s">
        <v>7</v>
      </c>
      <c r="DG669" s="27" t="s">
        <v>8</v>
      </c>
      <c r="DH669" s="27" t="s">
        <v>7</v>
      </c>
      <c r="DI669" s="27" t="s">
        <v>8</v>
      </c>
      <c r="EB669" s="27" t="s">
        <v>7</v>
      </c>
      <c r="EN669" s="27" t="s">
        <v>7</v>
      </c>
      <c r="EO669" s="27" t="s">
        <v>8</v>
      </c>
      <c r="EV669" s="27" t="s">
        <v>7</v>
      </c>
    </row>
    <row r="670" spans="1:160" x14ac:dyDescent="0.25">
      <c r="A670" s="7">
        <v>0.19327947788431293</v>
      </c>
      <c r="B670"/>
      <c r="C670"/>
      <c r="D670"/>
      <c r="E670"/>
      <c r="X670" s="27" t="s">
        <v>7</v>
      </c>
      <c r="Y670" s="27" t="s">
        <v>8</v>
      </c>
      <c r="Z670" s="27" t="s">
        <v>7</v>
      </c>
      <c r="AA670" s="27" t="s">
        <v>8</v>
      </c>
      <c r="AB670" s="27" t="s">
        <v>7</v>
      </c>
      <c r="AC670" s="27" t="s">
        <v>8</v>
      </c>
      <c r="AD670" s="27" t="s">
        <v>7</v>
      </c>
      <c r="AE670" s="27" t="s">
        <v>8</v>
      </c>
      <c r="AF670" s="27" t="s">
        <v>7</v>
      </c>
      <c r="AG670" s="27" t="s">
        <v>8</v>
      </c>
      <c r="AH670" s="27" t="s">
        <v>7</v>
      </c>
      <c r="BC670" s="27" t="s">
        <v>8</v>
      </c>
      <c r="BD670" s="27" t="s">
        <v>7</v>
      </c>
      <c r="BE670" s="27" t="s">
        <v>8</v>
      </c>
      <c r="BF670" s="27" t="s">
        <v>7</v>
      </c>
      <c r="BG670" s="27" t="s">
        <v>8</v>
      </c>
      <c r="CH670" s="27" t="s">
        <v>7</v>
      </c>
      <c r="CI670" s="27" t="s">
        <v>8</v>
      </c>
      <c r="CL670" s="27" t="s">
        <v>7</v>
      </c>
      <c r="CM670" s="27" t="s">
        <v>8</v>
      </c>
      <c r="CP670" s="27" t="s">
        <v>7</v>
      </c>
      <c r="CQ670" s="27" t="s">
        <v>8</v>
      </c>
      <c r="CU670" s="27" t="s">
        <v>8</v>
      </c>
      <c r="CV670" s="27" t="s">
        <v>7</v>
      </c>
      <c r="CX670" s="27" t="s">
        <v>7</v>
      </c>
      <c r="CY670" s="27" t="s">
        <v>8</v>
      </c>
      <c r="CZ670" s="27" t="s">
        <v>7</v>
      </c>
      <c r="DA670" s="27" t="s">
        <v>8</v>
      </c>
      <c r="DB670" s="27" t="s">
        <v>7</v>
      </c>
      <c r="DC670" s="27" t="s">
        <v>8</v>
      </c>
      <c r="DD670" s="27" t="s">
        <v>7</v>
      </c>
      <c r="DE670" s="27" t="s">
        <v>8</v>
      </c>
      <c r="DF670" s="27" t="s">
        <v>7</v>
      </c>
      <c r="DG670" s="27" t="s">
        <v>8</v>
      </c>
      <c r="DH670" s="27" t="s">
        <v>7</v>
      </c>
      <c r="DI670" s="27" t="s">
        <v>8</v>
      </c>
      <c r="EN670" s="27" t="s">
        <v>7</v>
      </c>
      <c r="EO670" s="27" t="s">
        <v>8</v>
      </c>
      <c r="EV670" s="27" t="s">
        <v>7</v>
      </c>
      <c r="EW670" s="27" t="s">
        <v>8</v>
      </c>
    </row>
    <row r="671" spans="1:160" x14ac:dyDescent="0.25">
      <c r="A671" s="7">
        <v>0.18948968420030682</v>
      </c>
      <c r="B671"/>
      <c r="C671"/>
      <c r="D671"/>
      <c r="E671"/>
      <c r="X671" s="27" t="s">
        <v>7</v>
      </c>
      <c r="Y671" s="27" t="s">
        <v>8</v>
      </c>
      <c r="Z671" s="27" t="s">
        <v>7</v>
      </c>
      <c r="AA671" s="27" t="s">
        <v>8</v>
      </c>
      <c r="AB671" s="27" t="s">
        <v>7</v>
      </c>
      <c r="AC671" s="27" t="s">
        <v>8</v>
      </c>
      <c r="AD671" s="27" t="s">
        <v>7</v>
      </c>
      <c r="AE671" s="27" t="s">
        <v>8</v>
      </c>
      <c r="AF671" s="27" t="s">
        <v>7</v>
      </c>
      <c r="AH671" s="27" t="s">
        <v>7</v>
      </c>
      <c r="BC671" s="27" t="s">
        <v>8</v>
      </c>
      <c r="BD671" s="27" t="s">
        <v>7</v>
      </c>
      <c r="BE671" s="27" t="s">
        <v>8</v>
      </c>
      <c r="BF671" s="27" t="s">
        <v>7</v>
      </c>
      <c r="BG671" s="27" t="s">
        <v>8</v>
      </c>
      <c r="CH671" s="27" t="s">
        <v>7</v>
      </c>
      <c r="CL671" s="27" t="s">
        <v>7</v>
      </c>
      <c r="CM671" s="27" t="s">
        <v>8</v>
      </c>
      <c r="CP671" s="27" t="s">
        <v>7</v>
      </c>
      <c r="CQ671" s="27" t="s">
        <v>8</v>
      </c>
      <c r="CR671" s="27" t="s">
        <v>7</v>
      </c>
      <c r="CU671" s="27" t="s">
        <v>8</v>
      </c>
      <c r="CX671" s="27" t="s">
        <v>7</v>
      </c>
      <c r="CY671" s="27" t="s">
        <v>8</v>
      </c>
      <c r="CZ671" s="27" t="s">
        <v>7</v>
      </c>
      <c r="DA671" s="27" t="s">
        <v>8</v>
      </c>
      <c r="DB671" s="27" t="s">
        <v>7</v>
      </c>
      <c r="DD671" s="27" t="s">
        <v>7</v>
      </c>
      <c r="DE671" s="27" t="s">
        <v>8</v>
      </c>
      <c r="DF671" s="27" t="s">
        <v>7</v>
      </c>
      <c r="DG671" s="27" t="s">
        <v>8</v>
      </c>
      <c r="DH671" s="27" t="s">
        <v>7</v>
      </c>
      <c r="DI671" s="27" t="s">
        <v>8</v>
      </c>
      <c r="EN671" s="27" t="s">
        <v>7</v>
      </c>
      <c r="EV671" s="27" t="s">
        <v>7</v>
      </c>
      <c r="EW671" s="27" t="s">
        <v>8</v>
      </c>
      <c r="EX671" s="27" t="s">
        <v>7</v>
      </c>
      <c r="FC671" s="27" t="s">
        <v>8</v>
      </c>
    </row>
    <row r="672" spans="1:160" x14ac:dyDescent="0.25">
      <c r="A672" s="7">
        <v>0.18577420019637925</v>
      </c>
      <c r="B672"/>
      <c r="C672"/>
      <c r="D672"/>
      <c r="E672"/>
      <c r="X672" s="27" t="s">
        <v>7</v>
      </c>
      <c r="Z672" s="27" t="s">
        <v>7</v>
      </c>
      <c r="AA672" s="27" t="s">
        <v>8</v>
      </c>
      <c r="AB672" s="27" t="s">
        <v>7</v>
      </c>
      <c r="AC672" s="27" t="s">
        <v>8</v>
      </c>
      <c r="AD672" s="27" t="s">
        <v>7</v>
      </c>
      <c r="AE672" s="27" t="s">
        <v>8</v>
      </c>
      <c r="AH672" s="27" t="s">
        <v>7</v>
      </c>
      <c r="BC672" s="27" t="s">
        <v>8</v>
      </c>
      <c r="BD672" s="27" t="s">
        <v>7</v>
      </c>
      <c r="BE672" s="27" t="s">
        <v>8</v>
      </c>
      <c r="BF672" s="27" t="s">
        <v>7</v>
      </c>
      <c r="BG672" s="27" t="s">
        <v>8</v>
      </c>
      <c r="CL672" s="27" t="s">
        <v>7</v>
      </c>
      <c r="CP672" s="27" t="s">
        <v>7</v>
      </c>
      <c r="CQ672" s="27" t="s">
        <v>8</v>
      </c>
      <c r="CR672" s="27" t="s">
        <v>7</v>
      </c>
      <c r="CU672" s="27" t="s">
        <v>8</v>
      </c>
      <c r="CX672" s="27" t="s">
        <v>7</v>
      </c>
      <c r="CY672" s="27" t="s">
        <v>8</v>
      </c>
      <c r="CZ672" s="27" t="s">
        <v>7</v>
      </c>
      <c r="DA672" s="27" t="s">
        <v>8</v>
      </c>
      <c r="DD672" s="27" t="s">
        <v>7</v>
      </c>
      <c r="DF672" s="27" t="s">
        <v>7</v>
      </c>
      <c r="DG672" s="27" t="s">
        <v>8</v>
      </c>
      <c r="DH672" s="27" t="s">
        <v>7</v>
      </c>
      <c r="DI672" s="27" t="s">
        <v>8</v>
      </c>
      <c r="EV672" s="27" t="s">
        <v>7</v>
      </c>
      <c r="EW672" s="27" t="s">
        <v>8</v>
      </c>
      <c r="EX672" s="27" t="s">
        <v>7</v>
      </c>
      <c r="FC672" s="27" t="s">
        <v>8</v>
      </c>
      <c r="FD672" s="27" t="s">
        <v>7</v>
      </c>
    </row>
    <row r="673" spans="1:160" x14ac:dyDescent="0.25">
      <c r="A673" s="7">
        <v>0.18213156881997963</v>
      </c>
      <c r="B673"/>
      <c r="C673"/>
      <c r="D673"/>
      <c r="E673"/>
      <c r="Z673" s="27" t="s">
        <v>7</v>
      </c>
      <c r="AA673" s="27" t="s">
        <v>8</v>
      </c>
      <c r="AB673" s="27" t="s">
        <v>7</v>
      </c>
      <c r="AC673" s="27" t="s">
        <v>8</v>
      </c>
      <c r="AD673" s="27" t="s">
        <v>7</v>
      </c>
      <c r="AE673" s="27" t="s">
        <v>8</v>
      </c>
      <c r="AH673" s="27" t="s">
        <v>7</v>
      </c>
      <c r="AI673" s="27" t="s">
        <v>8</v>
      </c>
      <c r="BC673" s="27" t="s">
        <v>8</v>
      </c>
      <c r="BD673" s="27" t="s">
        <v>7</v>
      </c>
      <c r="BE673" s="27" t="s">
        <v>8</v>
      </c>
      <c r="BF673" s="27" t="s">
        <v>7</v>
      </c>
      <c r="BG673" s="27" t="s">
        <v>8</v>
      </c>
      <c r="CP673" s="27" t="s">
        <v>7</v>
      </c>
      <c r="CQ673" s="27" t="s">
        <v>8</v>
      </c>
      <c r="CR673" s="27" t="s">
        <v>7</v>
      </c>
      <c r="CU673" s="27" t="s">
        <v>8</v>
      </c>
      <c r="CX673" s="27" t="s">
        <v>7</v>
      </c>
      <c r="CZ673" s="27" t="s">
        <v>7</v>
      </c>
      <c r="DA673" s="27" t="s">
        <v>8</v>
      </c>
      <c r="DF673" s="27" t="s">
        <v>7</v>
      </c>
      <c r="DH673" s="27" t="s">
        <v>7</v>
      </c>
      <c r="DI673" s="27" t="s">
        <v>8</v>
      </c>
      <c r="EV673" s="27" t="s">
        <v>7</v>
      </c>
      <c r="EW673" s="27" t="s">
        <v>8</v>
      </c>
      <c r="EX673" s="27" t="s">
        <v>7</v>
      </c>
      <c r="FA673" s="27" t="s">
        <v>8</v>
      </c>
      <c r="FC673" s="27" t="s">
        <v>8</v>
      </c>
      <c r="FD673" s="27" t="s">
        <v>7</v>
      </c>
    </row>
    <row r="674" spans="1:160" x14ac:dyDescent="0.25">
      <c r="A674" s="7">
        <v>0.17856036158821534</v>
      </c>
      <c r="B674"/>
      <c r="C674"/>
      <c r="D674"/>
      <c r="E674"/>
      <c r="Z674" s="27" t="s">
        <v>7</v>
      </c>
      <c r="AA674" s="27" t="s">
        <v>8</v>
      </c>
      <c r="AB674" s="27" t="s">
        <v>7</v>
      </c>
      <c r="AC674" s="27" t="s">
        <v>8</v>
      </c>
      <c r="AD674" s="27" t="s">
        <v>7</v>
      </c>
      <c r="AE674" s="27" t="s">
        <v>8</v>
      </c>
      <c r="AH674" s="27" t="s">
        <v>7</v>
      </c>
      <c r="AI674" s="27" t="s">
        <v>8</v>
      </c>
      <c r="AJ674" s="27" t="s">
        <v>7</v>
      </c>
      <c r="BC674" s="27" t="s">
        <v>8</v>
      </c>
      <c r="BD674" s="27" t="s">
        <v>7</v>
      </c>
      <c r="BE674" s="27" t="s">
        <v>8</v>
      </c>
      <c r="BF674" s="27" t="s">
        <v>7</v>
      </c>
      <c r="BG674" s="27" t="s">
        <v>8</v>
      </c>
      <c r="CP674" s="27" t="s">
        <v>7</v>
      </c>
      <c r="CQ674" s="27" t="s">
        <v>8</v>
      </c>
      <c r="CR674" s="27" t="s">
        <v>7</v>
      </c>
      <c r="CU674" s="27" t="s">
        <v>8</v>
      </c>
      <c r="CZ674" s="27" t="s">
        <v>7</v>
      </c>
      <c r="DA674" s="27" t="s">
        <v>8</v>
      </c>
      <c r="DH674" s="27" t="s">
        <v>7</v>
      </c>
      <c r="DI674" s="27" t="s">
        <v>8</v>
      </c>
      <c r="EV674" s="27" t="s">
        <v>7</v>
      </c>
      <c r="EX674" s="27" t="s">
        <v>7</v>
      </c>
      <c r="FA674" s="27" t="s">
        <v>8</v>
      </c>
      <c r="FB674" s="27" t="s">
        <v>7</v>
      </c>
      <c r="FC674" s="27" t="s">
        <v>8</v>
      </c>
      <c r="FD674" s="27" t="s">
        <v>7</v>
      </c>
    </row>
    <row r="675" spans="1:160" x14ac:dyDescent="0.25">
      <c r="A675" s="7">
        <v>0.17505917802766208</v>
      </c>
      <c r="B675"/>
      <c r="C675"/>
      <c r="D675"/>
      <c r="E675"/>
      <c r="Z675" s="27" t="s">
        <v>7</v>
      </c>
      <c r="AA675" s="27" t="s">
        <v>8</v>
      </c>
      <c r="AB675" s="27" t="s">
        <v>7</v>
      </c>
      <c r="AC675" s="27" t="s">
        <v>8</v>
      </c>
      <c r="AD675" s="27" t="s">
        <v>7</v>
      </c>
      <c r="AE675" s="27" t="s">
        <v>8</v>
      </c>
      <c r="AH675" s="27" t="s">
        <v>7</v>
      </c>
      <c r="AI675" s="27" t="s">
        <v>8</v>
      </c>
      <c r="AJ675" s="27" t="s">
        <v>7</v>
      </c>
      <c r="BC675" s="27" t="s">
        <v>8</v>
      </c>
      <c r="BD675" s="27" t="s">
        <v>7</v>
      </c>
      <c r="BE675" s="27" t="s">
        <v>8</v>
      </c>
      <c r="BF675" s="27" t="s">
        <v>7</v>
      </c>
      <c r="BG675" s="27" t="s">
        <v>8</v>
      </c>
      <c r="CP675" s="27" t="s">
        <v>7</v>
      </c>
      <c r="CQ675" s="27" t="s">
        <v>8</v>
      </c>
      <c r="CR675" s="27" t="s">
        <v>7</v>
      </c>
      <c r="CU675" s="27" t="s">
        <v>8</v>
      </c>
      <c r="CZ675" s="27" t="s">
        <v>7</v>
      </c>
      <c r="DH675" s="27" t="s">
        <v>7</v>
      </c>
      <c r="DI675" s="27" t="s">
        <v>8</v>
      </c>
      <c r="EX675" s="27" t="s">
        <v>7</v>
      </c>
      <c r="FA675" s="27" t="s">
        <v>8</v>
      </c>
      <c r="FB675" s="27" t="s">
        <v>7</v>
      </c>
      <c r="FC675" s="27" t="s">
        <v>8</v>
      </c>
      <c r="FD675" s="27" t="s">
        <v>7</v>
      </c>
    </row>
    <row r="676" spans="1:160" x14ac:dyDescent="0.25">
      <c r="A676" s="7">
        <v>0.17162664512515888</v>
      </c>
      <c r="B676"/>
      <c r="C676"/>
      <c r="D676"/>
      <c r="E676"/>
      <c r="Z676" s="27" t="s">
        <v>7</v>
      </c>
      <c r="AB676" s="27" t="s">
        <v>7</v>
      </c>
      <c r="AC676" s="27" t="s">
        <v>8</v>
      </c>
      <c r="AD676" s="27" t="s">
        <v>7</v>
      </c>
      <c r="AE676" s="27" t="s">
        <v>8</v>
      </c>
      <c r="AH676" s="27" t="s">
        <v>7</v>
      </c>
      <c r="AI676" s="27" t="s">
        <v>8</v>
      </c>
      <c r="AJ676" s="27" t="s">
        <v>7</v>
      </c>
      <c r="BC676" s="27" t="s">
        <v>8</v>
      </c>
      <c r="BD676" s="27" t="s">
        <v>7</v>
      </c>
      <c r="BE676" s="27" t="s">
        <v>8</v>
      </c>
      <c r="BF676" s="27" t="s">
        <v>7</v>
      </c>
      <c r="BG676" s="27" t="s">
        <v>8</v>
      </c>
      <c r="CP676" s="27" t="s">
        <v>7</v>
      </c>
      <c r="CQ676" s="27" t="s">
        <v>8</v>
      </c>
      <c r="CR676" s="27" t="s">
        <v>7</v>
      </c>
      <c r="CU676" s="27" t="s">
        <v>8</v>
      </c>
      <c r="DH676" s="27" t="s">
        <v>7</v>
      </c>
      <c r="EX676" s="27" t="s">
        <v>7</v>
      </c>
      <c r="EY676" s="27" t="s">
        <v>8</v>
      </c>
      <c r="FA676" s="27" t="s">
        <v>8</v>
      </c>
      <c r="FB676" s="27" t="s">
        <v>7</v>
      </c>
      <c r="FC676" s="27" t="s">
        <v>8</v>
      </c>
      <c r="FD676" s="27" t="s">
        <v>7</v>
      </c>
    </row>
    <row r="677" spans="1:160" x14ac:dyDescent="0.25">
      <c r="A677" s="7">
        <v>0.16826141678937145</v>
      </c>
      <c r="B677"/>
      <c r="C677"/>
      <c r="D677"/>
      <c r="E677"/>
      <c r="AB677" s="27" t="s">
        <v>7</v>
      </c>
      <c r="AC677" s="27" t="s">
        <v>8</v>
      </c>
      <c r="AD677" s="27" t="s">
        <v>7</v>
      </c>
      <c r="AH677" s="27" t="s">
        <v>7</v>
      </c>
      <c r="AJ677" s="27" t="s">
        <v>7</v>
      </c>
      <c r="BC677" s="27" t="s">
        <v>8</v>
      </c>
      <c r="BD677" s="27" t="s">
        <v>7</v>
      </c>
      <c r="BE677" s="27" t="s">
        <v>8</v>
      </c>
      <c r="BF677" s="27" t="s">
        <v>7</v>
      </c>
      <c r="BG677" s="27" t="s">
        <v>8</v>
      </c>
      <c r="CP677" s="27" t="s">
        <v>7</v>
      </c>
      <c r="CQ677" s="27" t="s">
        <v>8</v>
      </c>
      <c r="CR677" s="27" t="s">
        <v>7</v>
      </c>
      <c r="CS677" s="27" t="s">
        <v>8</v>
      </c>
      <c r="CU677" s="27" t="s">
        <v>8</v>
      </c>
      <c r="EX677" s="27" t="s">
        <v>7</v>
      </c>
      <c r="EY677" s="27" t="s">
        <v>8</v>
      </c>
      <c r="EZ677" s="27" t="s">
        <v>7</v>
      </c>
      <c r="FA677" s="27" t="s">
        <v>8</v>
      </c>
      <c r="FB677" s="27" t="s">
        <v>7</v>
      </c>
      <c r="FC677" s="27" t="s">
        <v>8</v>
      </c>
      <c r="FD677" s="27" t="s">
        <v>7</v>
      </c>
    </row>
    <row r="678" spans="1:160" x14ac:dyDescent="0.25">
      <c r="A678" s="7">
        <v>0.16496217332291319</v>
      </c>
      <c r="B678"/>
      <c r="C678"/>
      <c r="D678"/>
      <c r="E678"/>
      <c r="AB678" s="27" t="s">
        <v>7</v>
      </c>
      <c r="AC678" s="27" t="s">
        <v>8</v>
      </c>
      <c r="AJ678" s="27" t="s">
        <v>7</v>
      </c>
      <c r="BC678" s="27" t="s">
        <v>8</v>
      </c>
      <c r="BD678" s="27" t="s">
        <v>7</v>
      </c>
      <c r="BE678" s="27" t="s">
        <v>8</v>
      </c>
      <c r="BF678" s="27" t="s">
        <v>7</v>
      </c>
      <c r="BG678" s="27" t="s">
        <v>8</v>
      </c>
      <c r="CP678" s="27" t="s">
        <v>7</v>
      </c>
      <c r="CQ678" s="27" t="s">
        <v>8</v>
      </c>
      <c r="CR678" s="27" t="s">
        <v>7</v>
      </c>
      <c r="CS678" s="27" t="s">
        <v>8</v>
      </c>
      <c r="CT678" s="27" t="s">
        <v>7</v>
      </c>
      <c r="CU678" s="27" t="s">
        <v>8</v>
      </c>
      <c r="EX678" s="27" t="s">
        <v>7</v>
      </c>
      <c r="EY678" s="27" t="s">
        <v>8</v>
      </c>
      <c r="EZ678" s="27" t="s">
        <v>7</v>
      </c>
      <c r="FA678" s="27" t="s">
        <v>8</v>
      </c>
      <c r="FB678" s="27" t="s">
        <v>7</v>
      </c>
      <c r="FD678" s="27" t="s">
        <v>7</v>
      </c>
    </row>
    <row r="679" spans="1:160" x14ac:dyDescent="0.25">
      <c r="A679" s="7">
        <v>0.16172762090481685</v>
      </c>
      <c r="B679"/>
      <c r="C679"/>
      <c r="D679"/>
      <c r="E679"/>
      <c r="AB679" s="27" t="s">
        <v>7</v>
      </c>
      <c r="AC679" s="27" t="s">
        <v>8</v>
      </c>
      <c r="AJ679" s="27" t="s">
        <v>7</v>
      </c>
      <c r="BC679" s="27" t="s">
        <v>8</v>
      </c>
      <c r="BD679" s="27" t="s">
        <v>7</v>
      </c>
      <c r="BF679" s="27" t="s">
        <v>7</v>
      </c>
      <c r="BG679" s="27" t="s">
        <v>8</v>
      </c>
      <c r="CP679" s="27" t="s">
        <v>7</v>
      </c>
      <c r="CQ679" s="27" t="s">
        <v>8</v>
      </c>
      <c r="CR679" s="27" t="s">
        <v>7</v>
      </c>
      <c r="CS679" s="27" t="s">
        <v>8</v>
      </c>
      <c r="CT679" s="27" t="s">
        <v>7</v>
      </c>
      <c r="CU679" s="27" t="s">
        <v>8</v>
      </c>
      <c r="EX679" s="27" t="s">
        <v>7</v>
      </c>
      <c r="EY679" s="27" t="s">
        <v>8</v>
      </c>
      <c r="EZ679" s="27" t="s">
        <v>7</v>
      </c>
      <c r="FA679" s="27" t="s">
        <v>8</v>
      </c>
      <c r="FD679" s="27" t="s">
        <v>7</v>
      </c>
    </row>
    <row r="680" spans="1:160" x14ac:dyDescent="0.25">
      <c r="A680" s="7">
        <v>0.15855649108315376</v>
      </c>
      <c r="B680"/>
      <c r="C680"/>
      <c r="D680"/>
      <c r="E680"/>
      <c r="AB680" s="27" t="s">
        <v>7</v>
      </c>
      <c r="AC680" s="27" t="s">
        <v>8</v>
      </c>
      <c r="AJ680" s="27" t="s">
        <v>7</v>
      </c>
      <c r="AK680" s="27" t="s">
        <v>8</v>
      </c>
      <c r="BC680" s="27" t="s">
        <v>8</v>
      </c>
      <c r="BF680" s="27" t="s">
        <v>7</v>
      </c>
      <c r="BG680" s="27" t="s">
        <v>8</v>
      </c>
      <c r="CP680" s="27" t="s">
        <v>7</v>
      </c>
      <c r="CQ680" s="27" t="s">
        <v>8</v>
      </c>
      <c r="CR680" s="27" t="s">
        <v>7</v>
      </c>
      <c r="CS680" s="27" t="s">
        <v>8</v>
      </c>
      <c r="CT680" s="27" t="s">
        <v>7</v>
      </c>
      <c r="CU680" s="27" t="s">
        <v>8</v>
      </c>
      <c r="EX680" s="27" t="s">
        <v>7</v>
      </c>
      <c r="EZ680" s="27" t="s">
        <v>7</v>
      </c>
      <c r="FA680" s="27" t="s">
        <v>8</v>
      </c>
      <c r="FD680" s="27" t="s">
        <v>7</v>
      </c>
    </row>
    <row r="681" spans="1:160" x14ac:dyDescent="0.25">
      <c r="A681" s="7">
        <v>0.15544754027760171</v>
      </c>
      <c r="B681"/>
      <c r="C681"/>
      <c r="D681"/>
      <c r="E681"/>
      <c r="AB681" s="27" t="s">
        <v>7</v>
      </c>
      <c r="AC681" s="27" t="s">
        <v>8</v>
      </c>
      <c r="AJ681" s="27" t="s">
        <v>7</v>
      </c>
      <c r="AK681" s="27" t="s">
        <v>8</v>
      </c>
      <c r="AL681" s="27" t="s">
        <v>7</v>
      </c>
      <c r="AM681" s="27" t="s">
        <v>8</v>
      </c>
      <c r="AO681" s="27" t="s">
        <v>8</v>
      </c>
      <c r="BC681" s="27" t="s">
        <v>8</v>
      </c>
      <c r="BF681" s="18" t="s">
        <v>7</v>
      </c>
      <c r="BG681" s="27" t="s">
        <v>8</v>
      </c>
      <c r="CP681" s="27" t="s">
        <v>7</v>
      </c>
      <c r="CQ681" s="27" t="s">
        <v>8</v>
      </c>
      <c r="CR681" s="27" t="s">
        <v>7</v>
      </c>
      <c r="CS681" s="27" t="s">
        <v>8</v>
      </c>
      <c r="CT681" s="27" t="s">
        <v>7</v>
      </c>
      <c r="CU681" s="27" t="s">
        <v>8</v>
      </c>
      <c r="EZ681" s="27" t="s">
        <v>7</v>
      </c>
      <c r="FA681" s="27" t="s">
        <v>8</v>
      </c>
      <c r="FD681" s="27" t="s">
        <v>7</v>
      </c>
    </row>
    <row r="682" spans="1:160" x14ac:dyDescent="0.25">
      <c r="A682" s="7">
        <v>0.15239954929176638</v>
      </c>
      <c r="B682"/>
      <c r="C682"/>
      <c r="D682"/>
      <c r="E682"/>
      <c r="AB682" s="27" t="s">
        <v>7</v>
      </c>
      <c r="AC682" s="27" t="s">
        <v>8</v>
      </c>
      <c r="AJ682" s="27" t="s">
        <v>7</v>
      </c>
      <c r="AK682" s="27" t="s">
        <v>8</v>
      </c>
      <c r="AL682" s="27" t="s">
        <v>7</v>
      </c>
      <c r="AM682" s="27" t="s">
        <v>8</v>
      </c>
      <c r="AN682" s="27" t="s">
        <v>7</v>
      </c>
      <c r="AO682" s="27" t="s">
        <v>8</v>
      </c>
      <c r="AP682" s="27" t="s">
        <v>7</v>
      </c>
      <c r="BC682" s="27" t="s">
        <v>8</v>
      </c>
      <c r="BF682" s="27" t="s">
        <v>7</v>
      </c>
      <c r="BG682" s="27" t="s">
        <v>8</v>
      </c>
      <c r="CP682" s="27" t="s">
        <v>7</v>
      </c>
      <c r="CR682" s="27" t="s">
        <v>7</v>
      </c>
      <c r="CS682" s="27" t="s">
        <v>8</v>
      </c>
      <c r="CT682" s="27" t="s">
        <v>7</v>
      </c>
      <c r="EZ682" s="27" t="s">
        <v>7</v>
      </c>
      <c r="FD682" s="27" t="s">
        <v>7</v>
      </c>
    </row>
    <row r="683" spans="1:160" x14ac:dyDescent="0.25">
      <c r="A683" s="7">
        <v>0.14941132283506509</v>
      </c>
      <c r="B683"/>
      <c r="C683"/>
      <c r="D683"/>
      <c r="E683"/>
      <c r="AB683" s="27" t="s">
        <v>7</v>
      </c>
      <c r="AC683" s="27" t="s">
        <v>8</v>
      </c>
      <c r="AJ683" s="27" t="s">
        <v>7</v>
      </c>
      <c r="AK683" s="27" t="s">
        <v>8</v>
      </c>
      <c r="AL683" s="27" t="s">
        <v>7</v>
      </c>
      <c r="AM683" s="27" t="s">
        <v>8</v>
      </c>
      <c r="AN683" s="27" t="s">
        <v>7</v>
      </c>
      <c r="AO683" s="27" t="s">
        <v>8</v>
      </c>
      <c r="AP683" s="27" t="s">
        <v>7</v>
      </c>
      <c r="BC683" s="27" t="s">
        <v>8</v>
      </c>
      <c r="BF683" s="27" t="s">
        <v>7</v>
      </c>
      <c r="BG683" s="27" t="s">
        <v>8</v>
      </c>
      <c r="CR683" s="27" t="s">
        <v>7</v>
      </c>
      <c r="CS683" s="27" t="s">
        <v>8</v>
      </c>
      <c r="FD683" s="27" t="s">
        <v>7</v>
      </c>
    </row>
    <row r="684" spans="1:160" x14ac:dyDescent="0.25">
      <c r="A684" s="7">
        <v>0.14648168905398537</v>
      </c>
      <c r="B684"/>
      <c r="C684"/>
      <c r="D684"/>
      <c r="E684"/>
      <c r="AB684" s="27" t="s">
        <v>7</v>
      </c>
      <c r="AC684" s="27" t="s">
        <v>8</v>
      </c>
      <c r="AJ684" s="27" t="s">
        <v>7</v>
      </c>
      <c r="AK684" s="27" t="s">
        <v>8</v>
      </c>
      <c r="AL684" s="27" t="s">
        <v>7</v>
      </c>
      <c r="AM684" s="27" t="s">
        <v>8</v>
      </c>
      <c r="AN684" s="27" t="s">
        <v>7</v>
      </c>
      <c r="AO684" s="27" t="s">
        <v>8</v>
      </c>
      <c r="AP684" s="27" t="s">
        <v>7</v>
      </c>
      <c r="BC684" s="27" t="s">
        <v>8</v>
      </c>
      <c r="BF684" s="27" t="s">
        <v>7</v>
      </c>
      <c r="BG684" s="27" t="s">
        <v>8</v>
      </c>
      <c r="CR684" s="27" t="s">
        <v>7</v>
      </c>
      <c r="CS684" s="27" t="s">
        <v>8</v>
      </c>
      <c r="FD684" s="27" t="s">
        <v>7</v>
      </c>
    </row>
    <row r="685" spans="1:160" x14ac:dyDescent="0.25">
      <c r="A685" s="7">
        <v>0.14360949907253467</v>
      </c>
      <c r="B685"/>
      <c r="C685"/>
      <c r="D685"/>
      <c r="E685"/>
      <c r="AB685" s="27" t="s">
        <v>7</v>
      </c>
      <c r="AC685" s="27" t="s">
        <v>8</v>
      </c>
      <c r="AJ685" s="27" t="s">
        <v>7</v>
      </c>
      <c r="AK685" s="27" t="s">
        <v>8</v>
      </c>
      <c r="AL685" s="27" t="s">
        <v>7</v>
      </c>
      <c r="AM685" s="27" t="s">
        <v>8</v>
      </c>
      <c r="AN685" s="27" t="s">
        <v>7</v>
      </c>
      <c r="AO685" s="27" t="s">
        <v>8</v>
      </c>
      <c r="AP685" s="27" t="s">
        <v>7</v>
      </c>
      <c r="BC685" s="27" t="s">
        <v>8</v>
      </c>
      <c r="BF685" s="27" t="s">
        <v>7</v>
      </c>
      <c r="BG685" s="27" t="s">
        <v>8</v>
      </c>
      <c r="CR685" s="27" t="s">
        <v>7</v>
      </c>
      <c r="FD685" s="27" t="s">
        <v>7</v>
      </c>
    </row>
    <row r="686" spans="1:160" x14ac:dyDescent="0.25">
      <c r="A686" s="7">
        <v>0.14079362654170066</v>
      </c>
      <c r="B686"/>
      <c r="C686"/>
      <c r="D686"/>
      <c r="E686"/>
      <c r="AB686" s="27" t="s">
        <v>7</v>
      </c>
      <c r="AC686" s="27" t="s">
        <v>8</v>
      </c>
      <c r="AJ686" s="27" t="s">
        <v>7</v>
      </c>
      <c r="AK686" s="27" t="s">
        <v>8</v>
      </c>
      <c r="AL686" s="27" t="s">
        <v>7</v>
      </c>
      <c r="AM686" s="27" t="s">
        <v>8</v>
      </c>
      <c r="AN686" s="27" t="s">
        <v>7</v>
      </c>
      <c r="AO686" s="27" t="s">
        <v>8</v>
      </c>
      <c r="AP686" s="27" t="s">
        <v>7</v>
      </c>
      <c r="BC686" s="27" t="s">
        <v>8</v>
      </c>
      <c r="BF686" s="27" t="s">
        <v>7</v>
      </c>
      <c r="BG686" s="27" t="s">
        <v>8</v>
      </c>
      <c r="FD686" s="27" t="s">
        <v>7</v>
      </c>
    </row>
    <row r="687" spans="1:160" x14ac:dyDescent="0.25">
      <c r="A687" s="7">
        <v>0.13803296719774574</v>
      </c>
      <c r="B687"/>
      <c r="C687"/>
      <c r="D687"/>
      <c r="E687"/>
      <c r="AB687" s="27" t="s">
        <v>7</v>
      </c>
      <c r="AC687" s="27" t="s">
        <v>8</v>
      </c>
      <c r="AJ687" s="27" t="s">
        <v>7</v>
      </c>
      <c r="AK687" s="27" t="s">
        <v>8</v>
      </c>
      <c r="AL687" s="27" t="s">
        <v>7</v>
      </c>
      <c r="AM687" s="27" t="s">
        <v>8</v>
      </c>
      <c r="AN687" s="27" t="s">
        <v>7</v>
      </c>
      <c r="AP687" s="27" t="s">
        <v>7</v>
      </c>
      <c r="BC687" s="27" t="s">
        <v>8</v>
      </c>
      <c r="BF687" s="27" t="s">
        <v>7</v>
      </c>
      <c r="BG687" s="27" t="s">
        <v>8</v>
      </c>
      <c r="FD687" s="27" t="s">
        <v>7</v>
      </c>
    </row>
    <row r="688" spans="1:160" x14ac:dyDescent="0.25">
      <c r="A688" s="7">
        <v>0.1353264384291625</v>
      </c>
      <c r="B688"/>
      <c r="C688"/>
      <c r="D688"/>
      <c r="E688"/>
      <c r="AB688" s="27" t="s">
        <v>7</v>
      </c>
      <c r="AC688" s="27" t="s">
        <v>8</v>
      </c>
      <c r="AJ688" s="27" t="s">
        <v>7</v>
      </c>
      <c r="AK688" s="27" t="s">
        <v>8</v>
      </c>
      <c r="AL688" s="27" t="s">
        <v>7</v>
      </c>
      <c r="AP688" s="27" t="s">
        <v>7</v>
      </c>
      <c r="AQ688" s="27" t="s">
        <v>8</v>
      </c>
      <c r="BC688" s="27" t="s">
        <v>8</v>
      </c>
      <c r="BF688" s="27" t="s">
        <v>7</v>
      </c>
      <c r="BG688" s="27" t="s">
        <v>8</v>
      </c>
      <c r="FD688" s="27" t="s">
        <v>7</v>
      </c>
    </row>
    <row r="689" spans="1:164" x14ac:dyDescent="0.25">
      <c r="A689" s="7">
        <v>0.13267297885212009</v>
      </c>
      <c r="B689"/>
      <c r="C689"/>
      <c r="D689"/>
      <c r="E689"/>
      <c r="AB689" s="27" t="s">
        <v>7</v>
      </c>
      <c r="AC689" s="27" t="s">
        <v>8</v>
      </c>
      <c r="AJ689" s="27" t="s">
        <v>7</v>
      </c>
      <c r="AK689" s="27" t="s">
        <v>8</v>
      </c>
      <c r="AP689" s="27" t="s">
        <v>7</v>
      </c>
      <c r="AQ689" s="27" t="s">
        <v>8</v>
      </c>
      <c r="AR689" s="27" t="s">
        <v>7</v>
      </c>
      <c r="BA689" s="27" t="s">
        <v>8</v>
      </c>
      <c r="BC689" s="27" t="s">
        <v>8</v>
      </c>
      <c r="BF689" s="27" t="s">
        <v>7</v>
      </c>
      <c r="BG689" s="27" t="s">
        <v>8</v>
      </c>
      <c r="FD689" s="27" t="s">
        <v>7</v>
      </c>
    </row>
    <row r="690" spans="1:164" x14ac:dyDescent="0.25">
      <c r="A690" s="7">
        <v>0.13007154789423539</v>
      </c>
      <c r="B690"/>
      <c r="C690"/>
      <c r="D690"/>
      <c r="E690"/>
      <c r="AB690" s="27" t="s">
        <v>7</v>
      </c>
      <c r="AC690" s="27" t="s">
        <v>8</v>
      </c>
      <c r="AJ690" s="27" t="s">
        <v>7</v>
      </c>
      <c r="AK690" s="27" t="s">
        <v>8</v>
      </c>
      <c r="AP690" s="27" t="s">
        <v>7</v>
      </c>
      <c r="AQ690" s="27" t="s">
        <v>8</v>
      </c>
      <c r="AR690" s="27" t="s">
        <v>7</v>
      </c>
      <c r="BA690" s="27" t="s">
        <v>8</v>
      </c>
      <c r="BB690" s="27" t="s">
        <v>7</v>
      </c>
      <c r="BC690" s="27" t="s">
        <v>8</v>
      </c>
      <c r="BF690" s="27" t="s">
        <v>7</v>
      </c>
      <c r="FD690" s="27" t="s">
        <v>7</v>
      </c>
    </row>
    <row r="691" spans="1:164" x14ac:dyDescent="0.25">
      <c r="A691" s="7">
        <v>0.12752112538650529</v>
      </c>
      <c r="B691"/>
      <c r="C691"/>
      <c r="D691"/>
      <c r="E691"/>
      <c r="AB691" s="27" t="s">
        <v>7</v>
      </c>
      <c r="AC691" s="27" t="s">
        <v>8</v>
      </c>
      <c r="AJ691" s="27" t="s">
        <v>7</v>
      </c>
      <c r="AP691" s="27" t="s">
        <v>7</v>
      </c>
      <c r="AQ691" s="27" t="s">
        <v>8</v>
      </c>
      <c r="AR691" s="27" t="s">
        <v>7</v>
      </c>
      <c r="BA691" s="27" t="s">
        <v>8</v>
      </c>
      <c r="BB691" s="27" t="s">
        <v>7</v>
      </c>
      <c r="BC691" s="27" t="s">
        <v>8</v>
      </c>
      <c r="FD691" s="27" t="s">
        <v>7</v>
      </c>
    </row>
    <row r="692" spans="1:164" x14ac:dyDescent="0.25">
      <c r="A692" s="7">
        <v>0.12502071116324048</v>
      </c>
      <c r="B692"/>
      <c r="C692"/>
      <c r="D692"/>
      <c r="E692"/>
      <c r="AB692" s="27" t="s">
        <v>7</v>
      </c>
      <c r="AC692" s="27" t="s">
        <v>8</v>
      </c>
      <c r="AP692" s="27" t="s">
        <v>7</v>
      </c>
      <c r="AQ692" s="27" t="s">
        <v>8</v>
      </c>
      <c r="AR692" s="27" t="s">
        <v>7</v>
      </c>
      <c r="BA692" s="27" t="s">
        <v>8</v>
      </c>
      <c r="BB692" s="27" t="s">
        <v>7</v>
      </c>
      <c r="BC692" s="27" t="s">
        <v>8</v>
      </c>
      <c r="FD692" s="27" t="s">
        <v>7</v>
      </c>
    </row>
    <row r="693" spans="1:164" x14ac:dyDescent="0.25">
      <c r="A693" s="7">
        <v>0.1225693246698436</v>
      </c>
      <c r="B693"/>
      <c r="C693"/>
      <c r="D693"/>
      <c r="E693"/>
      <c r="AB693" s="27" t="s">
        <v>7</v>
      </c>
      <c r="AC693" s="27" t="s">
        <v>8</v>
      </c>
      <c r="AP693" s="27" t="s">
        <v>7</v>
      </c>
      <c r="AQ693" s="27" t="s">
        <v>8</v>
      </c>
      <c r="AR693" s="27" t="s">
        <v>7</v>
      </c>
      <c r="BA693" s="27" t="s">
        <v>8</v>
      </c>
      <c r="BB693" s="27" t="s">
        <v>7</v>
      </c>
      <c r="BC693" s="27" t="s">
        <v>8</v>
      </c>
      <c r="FD693" s="27" t="s">
        <v>7</v>
      </c>
    </row>
    <row r="694" spans="1:164" x14ac:dyDescent="0.25">
      <c r="A694" s="7">
        <v>0.12016600457827803</v>
      </c>
      <c r="B694"/>
      <c r="C694"/>
      <c r="D694"/>
      <c r="E694"/>
      <c r="AB694" s="27" t="s">
        <v>7</v>
      </c>
      <c r="AC694" s="27" t="s">
        <v>8</v>
      </c>
      <c r="AP694" s="27" t="s">
        <v>7</v>
      </c>
      <c r="AR694" s="27" t="s">
        <v>7</v>
      </c>
      <c r="BA694" s="27" t="s">
        <v>8</v>
      </c>
      <c r="BB694" s="27" t="s">
        <v>7</v>
      </c>
      <c r="BC694" s="27" t="s">
        <v>8</v>
      </c>
      <c r="FD694" s="27" t="s">
        <v>7</v>
      </c>
      <c r="FG694" s="27" t="s">
        <v>8</v>
      </c>
    </row>
    <row r="695" spans="1:164" x14ac:dyDescent="0.25">
      <c r="A695" s="7">
        <v>0.1178098084100765</v>
      </c>
      <c r="B695"/>
      <c r="C695"/>
      <c r="D695"/>
      <c r="E695"/>
      <c r="AB695" s="27" t="s">
        <v>7</v>
      </c>
      <c r="AC695" s="27" t="s">
        <v>8</v>
      </c>
      <c r="AR695" s="27" t="s">
        <v>7</v>
      </c>
      <c r="AY695" s="27" t="s">
        <v>8</v>
      </c>
      <c r="BA695" s="27" t="s">
        <v>8</v>
      </c>
      <c r="BB695" s="27" t="s">
        <v>7</v>
      </c>
      <c r="BC695" s="27" t="s">
        <v>8</v>
      </c>
      <c r="FD695" s="27" t="s">
        <v>7</v>
      </c>
      <c r="FG695" s="27" t="s">
        <v>8</v>
      </c>
      <c r="FH695" s="27" t="s">
        <v>7</v>
      </c>
    </row>
    <row r="696" spans="1:164" x14ac:dyDescent="0.25">
      <c r="A696" s="7">
        <v>0.11549981216674166</v>
      </c>
      <c r="B696"/>
      <c r="C696"/>
      <c r="D696"/>
      <c r="E696"/>
      <c r="AB696" s="27" t="s">
        <v>7</v>
      </c>
      <c r="AC696" s="27" t="s">
        <v>8</v>
      </c>
      <c r="AR696" s="27" t="s">
        <v>7</v>
      </c>
      <c r="AY696" s="27" t="s">
        <v>8</v>
      </c>
      <c r="AZ696" s="27" t="s">
        <v>7</v>
      </c>
      <c r="BA696" s="27" t="s">
        <v>8</v>
      </c>
      <c r="BB696" s="27" t="s">
        <v>7</v>
      </c>
      <c r="BC696" s="27" t="s">
        <v>8</v>
      </c>
      <c r="FD696" s="27" t="s">
        <v>7</v>
      </c>
      <c r="FG696" s="27" t="s">
        <v>8</v>
      </c>
      <c r="FH696" s="27" t="s">
        <v>7</v>
      </c>
    </row>
    <row r="697" spans="1:164" x14ac:dyDescent="0.25">
      <c r="A697" s="7">
        <v>0.11323510996739378</v>
      </c>
      <c r="B697"/>
      <c r="C697"/>
      <c r="D697"/>
      <c r="E697"/>
      <c r="AB697" s="27" t="s">
        <v>7</v>
      </c>
      <c r="AR697" s="27" t="s">
        <v>7</v>
      </c>
      <c r="AY697" s="27" t="s">
        <v>8</v>
      </c>
      <c r="AZ697" s="27" t="s">
        <v>7</v>
      </c>
      <c r="BA697" s="27" t="s">
        <v>8</v>
      </c>
      <c r="BB697" s="27" t="s">
        <v>7</v>
      </c>
      <c r="BC697" s="27" t="s">
        <v>8</v>
      </c>
      <c r="FD697" s="27" t="s">
        <v>7</v>
      </c>
      <c r="FE697" s="27" t="s">
        <v>8</v>
      </c>
      <c r="FG697" s="27" t="s">
        <v>8</v>
      </c>
      <c r="FH697" s="27" t="s">
        <v>7</v>
      </c>
    </row>
    <row r="698" spans="1:164" x14ac:dyDescent="0.25">
      <c r="A698" s="7">
        <v>0.11101481369352331</v>
      </c>
      <c r="B698"/>
      <c r="C698"/>
      <c r="D698"/>
      <c r="E698"/>
      <c r="AR698" s="27" t="s">
        <v>7</v>
      </c>
      <c r="AY698" s="27" t="s">
        <v>8</v>
      </c>
      <c r="AZ698" s="27" t="s">
        <v>7</v>
      </c>
      <c r="BA698" s="27" t="s">
        <v>8</v>
      </c>
      <c r="BB698" s="27" t="s">
        <v>7</v>
      </c>
      <c r="FD698" s="27" t="s">
        <v>7</v>
      </c>
      <c r="FE698" s="27" t="s">
        <v>8</v>
      </c>
      <c r="FF698" s="27" t="s">
        <v>7</v>
      </c>
      <c r="FG698" s="27" t="s">
        <v>8</v>
      </c>
      <c r="FH698" s="27" t="s">
        <v>7</v>
      </c>
    </row>
    <row r="699" spans="1:164" x14ac:dyDescent="0.25">
      <c r="A699" s="7">
        <v>0.10883805264070913</v>
      </c>
      <c r="B699"/>
      <c r="C699"/>
      <c r="D699"/>
      <c r="E699"/>
      <c r="AR699" s="27" t="s">
        <v>7</v>
      </c>
      <c r="AY699" s="27" t="s">
        <v>8</v>
      </c>
      <c r="AZ699" s="27" t="s">
        <v>7</v>
      </c>
      <c r="BA699" s="27" t="s">
        <v>8</v>
      </c>
      <c r="FD699" s="27" t="s">
        <v>7</v>
      </c>
      <c r="FE699" s="27" t="s">
        <v>8</v>
      </c>
      <c r="FF699" s="27" t="s">
        <v>7</v>
      </c>
      <c r="FG699" s="27" t="s">
        <v>8</v>
      </c>
      <c r="FH699" s="27" t="s">
        <v>7</v>
      </c>
    </row>
    <row r="700" spans="1:164" x14ac:dyDescent="0.25">
      <c r="A700" s="7">
        <v>0.10670397317716582</v>
      </c>
      <c r="B700"/>
      <c r="C700"/>
      <c r="D700"/>
      <c r="E700"/>
      <c r="AR700" s="27" t="s">
        <v>7</v>
      </c>
      <c r="AY700" s="27" t="s">
        <v>8</v>
      </c>
      <c r="AZ700" s="27" t="s">
        <v>7</v>
      </c>
      <c r="BA700" s="27" t="s">
        <v>8</v>
      </c>
      <c r="FD700" s="27" t="s">
        <v>7</v>
      </c>
      <c r="FE700" s="27" t="s">
        <v>8</v>
      </c>
      <c r="FF700" s="27" t="s">
        <v>7</v>
      </c>
      <c r="FG700" s="27" t="s">
        <v>8</v>
      </c>
      <c r="FH700" s="27" t="s">
        <v>7</v>
      </c>
    </row>
    <row r="701" spans="1:164" x14ac:dyDescent="0.25">
      <c r="A701" s="7">
        <v>0.1046117384089861</v>
      </c>
      <c r="B701"/>
      <c r="C701"/>
      <c r="D701"/>
      <c r="E701"/>
      <c r="AR701" s="27" t="s">
        <v>7</v>
      </c>
      <c r="AY701" s="27" t="s">
        <v>8</v>
      </c>
      <c r="AZ701" s="27" t="s">
        <v>7</v>
      </c>
      <c r="BA701" s="27" t="s">
        <v>8</v>
      </c>
      <c r="FD701" s="27" t="s">
        <v>7</v>
      </c>
      <c r="FE701" s="27" t="s">
        <v>8</v>
      </c>
      <c r="FF701" s="27" t="s">
        <v>7</v>
      </c>
      <c r="FG701" s="27" t="s">
        <v>8</v>
      </c>
      <c r="FH701" s="27" t="s">
        <v>7</v>
      </c>
    </row>
    <row r="702" spans="1:164" x14ac:dyDescent="0.25">
      <c r="A702" s="7">
        <v>0.10256052785194716</v>
      </c>
      <c r="B702"/>
      <c r="C702"/>
      <c r="D702"/>
      <c r="E702"/>
      <c r="AR702" s="27" t="s">
        <v>7</v>
      </c>
      <c r="AY702" s="27" t="s">
        <v>8</v>
      </c>
      <c r="AZ702" s="27" t="s">
        <v>7</v>
      </c>
      <c r="BA702" s="27" t="s">
        <v>8</v>
      </c>
      <c r="FD702" s="27" t="s">
        <v>7</v>
      </c>
      <c r="FE702" s="27" t="s">
        <v>8</v>
      </c>
      <c r="FF702" s="27" t="s">
        <v>7</v>
      </c>
      <c r="FG702" s="27" t="s">
        <v>8</v>
      </c>
    </row>
    <row r="703" spans="1:164" x14ac:dyDescent="0.25">
      <c r="A703" s="7">
        <v>0.10054953710975212</v>
      </c>
      <c r="B703"/>
      <c r="C703"/>
      <c r="D703"/>
      <c r="E703"/>
      <c r="AR703" s="27" t="s">
        <v>7</v>
      </c>
      <c r="AY703" s="27" t="s">
        <v>8</v>
      </c>
      <c r="AZ703" s="27" t="s">
        <v>7</v>
      </c>
      <c r="BA703" s="27" t="s">
        <v>8</v>
      </c>
      <c r="FD703" s="27" t="s">
        <v>7</v>
      </c>
      <c r="FE703" s="27" t="s">
        <v>8</v>
      </c>
      <c r="FF703" s="27" t="s">
        <v>7</v>
      </c>
      <c r="FG703" s="27" t="s">
        <v>8</v>
      </c>
    </row>
    <row r="704" spans="1:164" x14ac:dyDescent="0.25">
      <c r="A704" s="7">
        <v>9.8577977558580512E-2</v>
      </c>
      <c r="B704"/>
      <c r="C704"/>
      <c r="D704"/>
      <c r="E704"/>
      <c r="AR704" s="27" t="s">
        <v>7</v>
      </c>
      <c r="AY704" s="27" t="s">
        <v>8</v>
      </c>
      <c r="AZ704" s="27" t="s">
        <v>7</v>
      </c>
      <c r="BA704" s="27" t="s">
        <v>8</v>
      </c>
      <c r="FD704" s="27" t="s">
        <v>7</v>
      </c>
      <c r="FE704" s="27" t="s">
        <v>8</v>
      </c>
      <c r="FF704" s="27" t="s">
        <v>7</v>
      </c>
      <c r="FG704" s="27" t="s">
        <v>8</v>
      </c>
    </row>
    <row r="705" spans="1:163" x14ac:dyDescent="0.25">
      <c r="A705" s="7">
        <v>9.6645076037824032E-2</v>
      </c>
      <c r="B705"/>
      <c r="C705"/>
      <c r="D705"/>
      <c r="E705"/>
      <c r="AR705" s="27" t="s">
        <v>7</v>
      </c>
      <c r="AW705" s="27" t="s">
        <v>8</v>
      </c>
      <c r="AY705" s="27" t="s">
        <v>8</v>
      </c>
      <c r="AZ705" s="27" t="s">
        <v>7</v>
      </c>
      <c r="BA705" s="27" t="s">
        <v>8</v>
      </c>
      <c r="FD705" s="27" t="s">
        <v>7</v>
      </c>
      <c r="FF705" s="27" t="s">
        <v>7</v>
      </c>
      <c r="FG705" s="27" t="s">
        <v>8</v>
      </c>
    </row>
    <row r="706" spans="1:163" x14ac:dyDescent="0.25">
      <c r="A706" s="7">
        <v>9.4750074546886304E-2</v>
      </c>
      <c r="B706"/>
      <c r="C706"/>
      <c r="D706"/>
      <c r="E706"/>
      <c r="AR706" s="27" t="s">
        <v>7</v>
      </c>
      <c r="AS706" s="27" t="s">
        <v>8</v>
      </c>
      <c r="AW706" s="27" t="s">
        <v>8</v>
      </c>
      <c r="AX706" s="27" t="s">
        <v>7</v>
      </c>
      <c r="AY706" s="27" t="s">
        <v>8</v>
      </c>
      <c r="AZ706" s="27" t="s">
        <v>7</v>
      </c>
      <c r="BA706" s="27" t="s">
        <v>8</v>
      </c>
      <c r="FF706" s="27" t="s">
        <v>7</v>
      </c>
      <c r="FG706" s="27" t="s">
        <v>8</v>
      </c>
    </row>
    <row r="707" spans="1:163" x14ac:dyDescent="0.25">
      <c r="A707" s="7">
        <v>9.2892229947927743E-2</v>
      </c>
      <c r="B707"/>
      <c r="C707"/>
      <c r="D707"/>
      <c r="E707"/>
      <c r="AR707" s="27" t="s">
        <v>7</v>
      </c>
      <c r="AS707" s="27" t="s">
        <v>8</v>
      </c>
      <c r="AT707" s="27" t="s">
        <v>7</v>
      </c>
      <c r="AW707" s="27" t="s">
        <v>8</v>
      </c>
      <c r="AX707" s="27" t="s">
        <v>7</v>
      </c>
      <c r="AY707" s="27" t="s">
        <v>8</v>
      </c>
      <c r="AZ707" s="27" t="s">
        <v>7</v>
      </c>
      <c r="BA707" s="27" t="s">
        <v>8</v>
      </c>
      <c r="FF707" s="27" t="s">
        <v>7</v>
      </c>
      <c r="FG707" s="27" t="s">
        <v>8</v>
      </c>
    </row>
    <row r="708" spans="1:163" x14ac:dyDescent="0.25">
      <c r="A708" s="7">
        <v>9.1070813674438963E-2</v>
      </c>
      <c r="B708"/>
      <c r="C708"/>
      <c r="D708"/>
      <c r="E708"/>
      <c r="AR708" s="27" t="s">
        <v>7</v>
      </c>
      <c r="AS708" s="27" t="s">
        <v>8</v>
      </c>
      <c r="AT708" s="27" t="s">
        <v>7</v>
      </c>
      <c r="AW708" s="27" t="s">
        <v>8</v>
      </c>
      <c r="AX708" s="27" t="s">
        <v>7</v>
      </c>
      <c r="AY708" s="27" t="s">
        <v>8</v>
      </c>
      <c r="AZ708" s="27" t="s">
        <v>7</v>
      </c>
      <c r="BA708" s="27" t="s">
        <v>8</v>
      </c>
      <c r="FF708" s="27" t="s">
        <v>7</v>
      </c>
    </row>
    <row r="709" spans="1:163" x14ac:dyDescent="0.25">
      <c r="A709" s="7">
        <v>8.9285111445528392E-2</v>
      </c>
      <c r="B709"/>
      <c r="C709"/>
      <c r="D709"/>
      <c r="E709"/>
      <c r="AR709" s="27" t="s">
        <v>7</v>
      </c>
      <c r="AS709" s="27" t="s">
        <v>8</v>
      </c>
      <c r="AT709" s="27" t="s">
        <v>7</v>
      </c>
      <c r="AW709" s="27" t="s">
        <v>8</v>
      </c>
      <c r="AX709" s="27" t="s">
        <v>7</v>
      </c>
      <c r="AY709" s="27" t="s">
        <v>8</v>
      </c>
      <c r="AZ709" s="27" t="s">
        <v>7</v>
      </c>
      <c r="BA709" s="27" t="s">
        <v>8</v>
      </c>
    </row>
    <row r="710" spans="1:163" x14ac:dyDescent="0.25">
      <c r="A710" s="7">
        <v>8.7534422985812155E-2</v>
      </c>
      <c r="B710"/>
      <c r="C710"/>
      <c r="D710"/>
      <c r="E710"/>
      <c r="AR710" s="27" t="s">
        <v>7</v>
      </c>
      <c r="AS710" s="27" t="s">
        <v>8</v>
      </c>
      <c r="AT710" s="27" t="s">
        <v>7</v>
      </c>
      <c r="AW710" s="27" t="s">
        <v>8</v>
      </c>
      <c r="AX710" s="27" t="s">
        <v>7</v>
      </c>
      <c r="AY710" s="27" t="s">
        <v>8</v>
      </c>
      <c r="AZ710" s="27" t="s">
        <v>7</v>
      </c>
      <c r="BA710" s="27" t="s">
        <v>8</v>
      </c>
    </row>
    <row r="711" spans="1:163" x14ac:dyDescent="0.25">
      <c r="A711" s="7">
        <v>8.5818061750796232E-2</v>
      </c>
      <c r="B711"/>
      <c r="C711"/>
      <c r="D711"/>
      <c r="E711"/>
      <c r="AR711" s="27" t="s">
        <v>7</v>
      </c>
      <c r="AS711" s="27" t="s">
        <v>8</v>
      </c>
      <c r="AT711" s="27" t="s">
        <v>7</v>
      </c>
      <c r="AW711" s="27" t="s">
        <v>8</v>
      </c>
      <c r="AX711" s="27" t="s">
        <v>7</v>
      </c>
      <c r="AY711" s="27" t="s">
        <v>8</v>
      </c>
      <c r="AZ711" s="27" t="s">
        <v>7</v>
      </c>
      <c r="BA711" s="27" t="s">
        <v>8</v>
      </c>
    </row>
    <row r="712" spans="1:163" x14ac:dyDescent="0.25">
      <c r="A712" s="7">
        <v>8.4135354657643366E-2</v>
      </c>
      <c r="B712"/>
      <c r="C712"/>
      <c r="D712"/>
      <c r="E712"/>
      <c r="AR712" s="27" t="s">
        <v>7</v>
      </c>
      <c r="AS712" s="27" t="s">
        <v>8</v>
      </c>
      <c r="AT712" s="27" t="s">
        <v>7</v>
      </c>
      <c r="AU712" s="27" t="s">
        <v>8</v>
      </c>
      <c r="AW712" s="27" t="s">
        <v>8</v>
      </c>
      <c r="AX712" s="27" t="s">
        <v>7</v>
      </c>
      <c r="AY712" s="27" t="s">
        <v>8</v>
      </c>
      <c r="AZ712" s="27" t="s">
        <v>7</v>
      </c>
      <c r="BA712" s="27" t="s">
        <v>8</v>
      </c>
    </row>
    <row r="713" spans="1:163" x14ac:dyDescent="0.25">
      <c r="A713" s="7">
        <v>8.248564182121898E-2</v>
      </c>
      <c r="B713"/>
      <c r="C713"/>
      <c r="D713"/>
      <c r="E713"/>
      <c r="AR713" s="27" t="s">
        <v>7</v>
      </c>
      <c r="AS713" s="27" t="s">
        <v>8</v>
      </c>
      <c r="AT713" s="27" t="s">
        <v>7</v>
      </c>
      <c r="AU713" s="27" t="s">
        <v>8</v>
      </c>
      <c r="AV713" s="27" t="s">
        <v>7</v>
      </c>
      <c r="AW713" s="27" t="s">
        <v>8</v>
      </c>
      <c r="AX713" s="27" t="s">
        <v>7</v>
      </c>
      <c r="AY713" s="27" t="s">
        <v>8</v>
      </c>
      <c r="AZ713" s="27" t="s">
        <v>7</v>
      </c>
    </row>
    <row r="714" spans="1:163" x14ac:dyDescent="0.25">
      <c r="A714" s="7">
        <v>8.0868276295312735E-2</v>
      </c>
      <c r="B714"/>
      <c r="C714"/>
      <c r="D714"/>
      <c r="E714"/>
      <c r="AR714" s="27" t="s">
        <v>7</v>
      </c>
      <c r="AS714" s="27" t="s">
        <v>8</v>
      </c>
      <c r="AT714" s="27" t="s">
        <v>7</v>
      </c>
      <c r="AU714" s="27" t="s">
        <v>8</v>
      </c>
      <c r="AV714" s="27" t="s">
        <v>7</v>
      </c>
      <c r="AW714" s="27" t="s">
        <v>8</v>
      </c>
      <c r="AX714" s="27" t="s">
        <v>7</v>
      </c>
      <c r="AY714" s="27" t="s">
        <v>8</v>
      </c>
    </row>
    <row r="715" spans="1:163" x14ac:dyDescent="0.25">
      <c r="A715" s="7">
        <v>7.9282623818934056E-2</v>
      </c>
      <c r="B715"/>
      <c r="C715"/>
      <c r="D715"/>
      <c r="E715"/>
      <c r="AR715" s="27" t="s">
        <v>7</v>
      </c>
      <c r="AS715" s="27" t="s">
        <v>8</v>
      </c>
      <c r="AT715" s="27" t="s">
        <v>7</v>
      </c>
      <c r="AU715" s="27" t="s">
        <v>8</v>
      </c>
      <c r="AV715" s="27" t="s">
        <v>7</v>
      </c>
      <c r="AW715" s="27" t="s">
        <v>8</v>
      </c>
      <c r="AX715" s="27" t="s">
        <v>7</v>
      </c>
    </row>
    <row r="716" spans="1:163" x14ac:dyDescent="0.25">
      <c r="A716" s="7">
        <v>7.7728062567582412E-2</v>
      </c>
      <c r="B716"/>
      <c r="C716"/>
      <c r="D716"/>
      <c r="E716"/>
      <c r="AR716" s="27" t="s">
        <v>7</v>
      </c>
      <c r="AS716" s="27" t="s">
        <v>8</v>
      </c>
      <c r="AT716" s="27" t="s">
        <v>7</v>
      </c>
      <c r="AU716" s="27" t="s">
        <v>8</v>
      </c>
      <c r="AV716" s="27" t="s">
        <v>7</v>
      </c>
      <c r="AW716" s="27" t="s">
        <v>8</v>
      </c>
    </row>
    <row r="717" spans="1:163" x14ac:dyDescent="0.25">
      <c r="A717" s="7">
        <v>7.6203982909394521E-2</v>
      </c>
      <c r="B717"/>
      <c r="C717"/>
      <c r="D717"/>
      <c r="E717"/>
      <c r="AR717" s="27" t="s">
        <v>7</v>
      </c>
      <c r="AS717" s="27" t="s">
        <v>8</v>
      </c>
      <c r="AT717" s="27" t="s">
        <v>7</v>
      </c>
      <c r="AU717" s="27" t="s">
        <v>8</v>
      </c>
      <c r="AV717" s="27" t="s">
        <v>7</v>
      </c>
      <c r="AW717" s="27" t="s">
        <v>8</v>
      </c>
    </row>
    <row r="718" spans="1:163" x14ac:dyDescent="0.25">
      <c r="A718" s="7">
        <v>7.4709787166073058E-2</v>
      </c>
      <c r="B718"/>
      <c r="C718"/>
      <c r="D718"/>
      <c r="E718"/>
      <c r="AR718" s="27" t="s">
        <v>7</v>
      </c>
      <c r="AS718" s="27" t="s">
        <v>8</v>
      </c>
      <c r="AT718" s="27" t="s">
        <v>7</v>
      </c>
      <c r="AU718" s="27" t="s">
        <v>8</v>
      </c>
      <c r="AV718" s="27" t="s">
        <v>7</v>
      </c>
      <c r="AW718" s="27" t="s">
        <v>8</v>
      </c>
    </row>
    <row r="719" spans="1:163" x14ac:dyDescent="0.25">
      <c r="A719" s="7">
        <v>7.3244889378503E-2</v>
      </c>
      <c r="B719"/>
      <c r="C719"/>
      <c r="D719"/>
      <c r="E719"/>
      <c r="AR719" s="27" t="s">
        <v>7</v>
      </c>
      <c r="AS719" s="27" t="s">
        <v>8</v>
      </c>
      <c r="AT719" s="27" t="s">
        <v>7</v>
      </c>
      <c r="AU719" s="27" t="s">
        <v>8</v>
      </c>
      <c r="AV719" s="27" t="s">
        <v>7</v>
      </c>
      <c r="AW719" s="27" t="s">
        <v>8</v>
      </c>
    </row>
    <row r="720" spans="1:163" x14ac:dyDescent="0.25">
      <c r="A720" s="7">
        <v>7.1808715076963722E-2</v>
      </c>
      <c r="B720"/>
      <c r="C720"/>
      <c r="D720"/>
      <c r="E720"/>
      <c r="AR720" s="27" t="s">
        <v>7</v>
      </c>
      <c r="AS720" s="27" t="s">
        <v>8</v>
      </c>
      <c r="AT720" s="27" t="s">
        <v>7</v>
      </c>
      <c r="AU720" s="27" t="s">
        <v>8</v>
      </c>
      <c r="AV720" s="27" t="s">
        <v>7</v>
      </c>
      <c r="AW720" s="27" t="s">
        <v>8</v>
      </c>
    </row>
    <row r="721" spans="1:48" x14ac:dyDescent="0.25">
      <c r="A721" s="7">
        <v>7.0400701055846782E-2</v>
      </c>
      <c r="B721"/>
      <c r="C721"/>
      <c r="D721"/>
      <c r="E721"/>
      <c r="AR721" s="27" t="s">
        <v>7</v>
      </c>
      <c r="AS721" s="27" t="s">
        <v>8</v>
      </c>
      <c r="AT721" s="27" t="s">
        <v>7</v>
      </c>
      <c r="AU721" s="27" t="s">
        <v>8</v>
      </c>
      <c r="AV721" s="27" t="s">
        <v>7</v>
      </c>
    </row>
    <row r="722" spans="1:48" x14ac:dyDescent="0.25">
      <c r="A722" s="7">
        <v>6.9020295152790956E-2</v>
      </c>
      <c r="B722"/>
      <c r="C722"/>
      <c r="D722"/>
      <c r="E722"/>
      <c r="AR722" s="27" t="s">
        <v>7</v>
      </c>
      <c r="AT722" s="27" t="s">
        <v>7</v>
      </c>
      <c r="AU722" s="27" t="s">
        <v>8</v>
      </c>
    </row>
    <row r="723" spans="1:48" x14ac:dyDescent="0.25">
      <c r="A723" s="7">
        <v>6.7666956032147993E-2</v>
      </c>
      <c r="B723"/>
      <c r="C723"/>
      <c r="D723"/>
      <c r="E723"/>
      <c r="AT723" s="27" t="s">
        <v>7</v>
      </c>
      <c r="AU723" s="27" t="s">
        <v>8</v>
      </c>
    </row>
    <row r="724" spans="1:48" x14ac:dyDescent="0.25">
      <c r="A724" s="7">
        <v>6.6340152972694105E-2</v>
      </c>
      <c r="B724"/>
      <c r="C724"/>
      <c r="D724"/>
      <c r="E724"/>
      <c r="AT724" s="27" t="s">
        <v>7</v>
      </c>
    </row>
    <row r="725" spans="1:48" x14ac:dyDescent="0.25">
      <c r="A725" s="7">
        <v>6.5039365659504023E-2</v>
      </c>
      <c r="B725"/>
      <c r="C725"/>
      <c r="D725"/>
      <c r="E725"/>
    </row>
    <row r="726" spans="1:48" x14ac:dyDescent="0.25">
      <c r="A726" s="7">
        <v>6.3764083979905906E-2</v>
      </c>
      <c r="B726"/>
      <c r="C726"/>
      <c r="D726"/>
      <c r="E726"/>
    </row>
    <row r="727" spans="1:48" x14ac:dyDescent="0.25">
      <c r="A727" s="7">
        <v>6.251380782343717E-2</v>
      </c>
      <c r="B727"/>
      <c r="C727"/>
      <c r="D727"/>
      <c r="E727"/>
    </row>
    <row r="728" spans="1:48" x14ac:dyDescent="0.25">
      <c r="A728" s="7">
        <v>6.1288046885722716E-2</v>
      </c>
      <c r="B728"/>
      <c r="C728"/>
      <c r="D728"/>
      <c r="E728"/>
    </row>
    <row r="729" spans="1:48" x14ac:dyDescent="0.25">
      <c r="A729" s="7">
        <v>6.0086320476198739E-2</v>
      </c>
      <c r="B729"/>
      <c r="C729"/>
      <c r="D729"/>
      <c r="E729"/>
    </row>
    <row r="730" spans="1:48" x14ac:dyDescent="0.25">
      <c r="A730" s="7">
        <v>5.8908157329606609E-2</v>
      </c>
      <c r="B730"/>
      <c r="C730"/>
      <c r="D730"/>
      <c r="E730"/>
    </row>
    <row r="731" spans="1:48" x14ac:dyDescent="0.25">
      <c r="A731" s="7">
        <v>5.7753095421182947E-2</v>
      </c>
      <c r="B731"/>
      <c r="C731"/>
      <c r="D731"/>
      <c r="E731"/>
    </row>
    <row r="732" spans="1:48" x14ac:dyDescent="0.25">
      <c r="A732" s="7">
        <v>5.6620681785473484E-2</v>
      </c>
      <c r="B732"/>
      <c r="C732"/>
      <c r="D732"/>
      <c r="E732"/>
    </row>
    <row r="733" spans="1:48" x14ac:dyDescent="0.25">
      <c r="A733" s="7">
        <v>5.5510472338699497E-2</v>
      </c>
      <c r="B733"/>
      <c r="C733"/>
      <c r="D733"/>
      <c r="E733"/>
    </row>
    <row r="734" spans="1:48" x14ac:dyDescent="0.25">
      <c r="A734" s="7">
        <v>5.4422031704607354E-2</v>
      </c>
      <c r="B734"/>
      <c r="C734"/>
      <c r="D734"/>
      <c r="E734"/>
    </row>
    <row r="735" spans="1:48" x14ac:dyDescent="0.25">
      <c r="A735" s="7">
        <v>5.3354933043732705E-2</v>
      </c>
      <c r="B735"/>
      <c r="C735"/>
      <c r="D735"/>
      <c r="E735"/>
    </row>
    <row r="736" spans="1:48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695" operator="equal">
      <formula>$U$1</formula>
    </cfRule>
    <cfRule type="cellIs" dxfId="89" priority="696" operator="equal">
      <formula>$S$1</formula>
    </cfRule>
  </conditionalFormatting>
  <conditionalFormatting sqref="D27">
    <cfRule type="cellIs" dxfId="88" priority="693" operator="equal">
      <formula>$S$1</formula>
    </cfRule>
    <cfRule type="cellIs" dxfId="87" priority="694" operator="equal">
      <formula>$U$1</formula>
    </cfRule>
  </conditionalFormatting>
  <conditionalFormatting sqref="C164">
    <cfRule type="cellIs" dxfId="86" priority="691" operator="equal">
      <formula>$U$1</formula>
    </cfRule>
    <cfRule type="cellIs" dxfId="85" priority="692" operator="equal">
      <formula>$S$1</formula>
    </cfRule>
  </conditionalFormatting>
  <conditionalFormatting sqref="D164">
    <cfRule type="cellIs" dxfId="84" priority="689" operator="equal">
      <formula>$S$1</formula>
    </cfRule>
    <cfRule type="cellIs" dxfId="83" priority="690" operator="equal">
      <formula>$U$1</formula>
    </cfRule>
  </conditionalFormatting>
  <conditionalFormatting sqref="C55">
    <cfRule type="cellIs" dxfId="82" priority="687" operator="equal">
      <formula>$U$1</formula>
    </cfRule>
    <cfRule type="cellIs" dxfId="81" priority="688" operator="equal">
      <formula>$S$1</formula>
    </cfRule>
  </conditionalFormatting>
  <conditionalFormatting sqref="D55">
    <cfRule type="cellIs" dxfId="80" priority="685" operator="equal">
      <formula>$S$1</formula>
    </cfRule>
    <cfRule type="cellIs" dxfId="79" priority="686" operator="equal">
      <formula>$U$1</formula>
    </cfRule>
  </conditionalFormatting>
  <conditionalFormatting sqref="C89">
    <cfRule type="cellIs" dxfId="78" priority="683" operator="equal">
      <formula>$U$1</formula>
    </cfRule>
    <cfRule type="cellIs" dxfId="77" priority="684" operator="equal">
      <formula>$S$1</formula>
    </cfRule>
  </conditionalFormatting>
  <conditionalFormatting sqref="D89">
    <cfRule type="cellIs" dxfId="76" priority="681" operator="equal">
      <formula>$S$1</formula>
    </cfRule>
    <cfRule type="cellIs" dxfId="75" priority="682" operator="equal">
      <formula>$U$1</formula>
    </cfRule>
  </conditionalFormatting>
  <conditionalFormatting sqref="C136">
    <cfRule type="cellIs" dxfId="74" priority="679" operator="equal">
      <formula>$U$1</formula>
    </cfRule>
    <cfRule type="cellIs" dxfId="73" priority="680" operator="equal">
      <formula>$S$1</formula>
    </cfRule>
  </conditionalFormatting>
  <conditionalFormatting sqref="D136">
    <cfRule type="cellIs" dxfId="72" priority="677" operator="equal">
      <formula>$S$1</formula>
    </cfRule>
    <cfRule type="cellIs" dxfId="71" priority="678" operator="equal">
      <formula>$U$1</formula>
    </cfRule>
  </conditionalFormatting>
  <conditionalFormatting sqref="C1">
    <cfRule type="cellIs" dxfId="70" priority="676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53" zoomScale="90" zoomScaleNormal="90" workbookViewId="0">
      <pane xSplit="4" topLeftCell="AK1" activePane="topRight" state="frozen"/>
      <selection activeCell="A109" sqref="A109"/>
      <selection pane="topRight" activeCell="CW284" sqref="CW284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$A$283</v>
      </c>
      <c r="D111" s="1" t="str">
        <f>ADDRESS(C121-1,D121,1,1)</f>
        <v>$CW$283</v>
      </c>
      <c r="E111"/>
    </row>
    <row r="112" spans="1:5" x14ac:dyDescent="0.25">
      <c r="A112" s="30">
        <v>515.50191262726139</v>
      </c>
      <c r="C112" s="1" t="str">
        <f>ADDRESS(C121,1,1,1)</f>
        <v>$A$284</v>
      </c>
      <c r="D112" s="1" t="str">
        <f>ADDRESS(C121,D121-1,1,1)</f>
        <v>$CV$284</v>
      </c>
      <c r="E112"/>
    </row>
    <row r="113" spans="1:5" x14ac:dyDescent="0.25">
      <c r="A113" s="30">
        <v>490.95420250215363</v>
      </c>
      <c r="C113" s="1" t="str">
        <f>ADDRESS(C121+1,1,1,1)</f>
        <v>$A$285</v>
      </c>
      <c r="D113" s="1" t="str">
        <f>ADDRESS(C121-1,D121+1,1,1)</f>
        <v>$CX$283</v>
      </c>
    </row>
    <row r="114" spans="1:5" x14ac:dyDescent="0.25">
      <c r="A114" s="30">
        <v>467.57543095443202</v>
      </c>
      <c r="C114" s="1" t="str">
        <f>ADDRESS(C121,D121,1,1)</f>
        <v>$CW$284</v>
      </c>
      <c r="D114" s="1" t="str">
        <f>ADDRESS(C121+1,D121+1,1,1)</f>
        <v>$CX$285</v>
      </c>
    </row>
    <row r="115" spans="1:5" x14ac:dyDescent="0.25">
      <c r="A115" s="30">
        <v>445.30993424231622</v>
      </c>
      <c r="C115" s="1" t="str">
        <f>ADDRESS(C121+1,D121,1,1)</f>
        <v>$CW$285</v>
      </c>
    </row>
    <row r="116" spans="1:5" x14ac:dyDescent="0.25">
      <c r="A116" s="30">
        <v>424.10469927839637</v>
      </c>
      <c r="C116" s="1">
        <f>C117-1</f>
        <v>283</v>
      </c>
    </row>
    <row r="117" spans="1:5" x14ac:dyDescent="0.25">
      <c r="A117" s="30">
        <v>403.9092374079965</v>
      </c>
      <c r="C117" s="1">
        <f>C121</f>
        <v>284</v>
      </c>
      <c r="D117" s="1">
        <f>D121</f>
        <v>101</v>
      </c>
    </row>
    <row r="118" spans="1:5" x14ac:dyDescent="0.25">
      <c r="A118" s="30">
        <v>384.6754641980919</v>
      </c>
      <c r="C118" s="1">
        <f>C117+1</f>
        <v>285</v>
      </c>
      <c r="D118" s="1">
        <f>D117+1</f>
        <v>102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284</v>
      </c>
      <c r="D121" s="19">
        <v>101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R284</v>
      </c>
      <c r="D123" s="1" t="str">
        <f>"C"&amp;D121</f>
        <v>C101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0.11686133436193799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92" x14ac:dyDescent="0.25">
      <c r="A241" s="30">
        <v>0.952380952380952</v>
      </c>
      <c r="B241"/>
      <c r="C241"/>
      <c r="D241"/>
      <c r="E241"/>
      <c r="F241" s="27" t="s">
        <v>7</v>
      </c>
    </row>
    <row r="242" spans="1:92" x14ac:dyDescent="0.25">
      <c r="A242" s="30">
        <v>0.90702947845804915</v>
      </c>
      <c r="B242"/>
      <c r="C242"/>
      <c r="D242"/>
      <c r="E242"/>
      <c r="F242" s="27" t="s">
        <v>7</v>
      </c>
    </row>
    <row r="243" spans="1:92" x14ac:dyDescent="0.25">
      <c r="A243" s="30">
        <v>0.86383759853147501</v>
      </c>
      <c r="B243"/>
      <c r="C243"/>
      <c r="D243"/>
      <c r="E243"/>
      <c r="F243" s="27" t="s">
        <v>7</v>
      </c>
      <c r="O243" s="27" t="s">
        <v>8</v>
      </c>
    </row>
    <row r="244" spans="1:92" x14ac:dyDescent="0.25">
      <c r="A244" s="30">
        <v>0.82270247479188063</v>
      </c>
      <c r="B244"/>
      <c r="C244"/>
      <c r="D244"/>
      <c r="E244"/>
      <c r="F244" s="27" t="s">
        <v>7</v>
      </c>
      <c r="O244" s="27" t="s">
        <v>8</v>
      </c>
      <c r="P244" s="27" t="s">
        <v>7</v>
      </c>
    </row>
    <row r="245" spans="1:92" x14ac:dyDescent="0.25">
      <c r="A245" s="30">
        <v>0.78352616646845741</v>
      </c>
      <c r="B245"/>
      <c r="C245"/>
      <c r="D245"/>
      <c r="E245"/>
      <c r="F245" s="27" t="s">
        <v>7</v>
      </c>
      <c r="O245" s="27" t="s">
        <v>8</v>
      </c>
      <c r="P245" s="27" t="s">
        <v>7</v>
      </c>
    </row>
    <row r="246" spans="1:92" x14ac:dyDescent="0.25">
      <c r="A246" s="30">
        <v>0.74621539663662584</v>
      </c>
      <c r="B246"/>
      <c r="C246"/>
      <c r="D246"/>
      <c r="E246"/>
      <c r="F246" s="27" t="s">
        <v>7</v>
      </c>
      <c r="O246" s="27" t="s">
        <v>8</v>
      </c>
      <c r="P246" s="27" t="s">
        <v>7</v>
      </c>
    </row>
    <row r="247" spans="1:92" x14ac:dyDescent="0.25">
      <c r="A247" s="30">
        <v>0.71068133013011958</v>
      </c>
      <c r="B247"/>
      <c r="C247"/>
      <c r="D247"/>
      <c r="E247"/>
      <c r="F247" s="27" t="s">
        <v>7</v>
      </c>
      <c r="O247" s="27" t="s">
        <v>8</v>
      </c>
      <c r="P247" s="27" t="s">
        <v>7</v>
      </c>
      <c r="Q247" s="27" t="s">
        <v>8</v>
      </c>
    </row>
    <row r="248" spans="1:92" x14ac:dyDescent="0.25">
      <c r="A248" s="30">
        <v>0.676839362028685</v>
      </c>
      <c r="B248"/>
      <c r="C248"/>
      <c r="D248"/>
      <c r="E248"/>
      <c r="F248" s="27" t="s">
        <v>7</v>
      </c>
      <c r="O248" s="27" t="s">
        <v>8</v>
      </c>
      <c r="P248" s="27" t="s">
        <v>7</v>
      </c>
      <c r="Q248" s="27" t="s">
        <v>8</v>
      </c>
      <c r="R248" s="27" t="s">
        <v>7</v>
      </c>
      <c r="S248" s="27" t="s">
        <v>8</v>
      </c>
    </row>
    <row r="249" spans="1:92" x14ac:dyDescent="0.25">
      <c r="A249" s="30">
        <v>0.64460891621779492</v>
      </c>
      <c r="B249"/>
      <c r="C249"/>
      <c r="D249"/>
      <c r="E249"/>
      <c r="F249" s="27" t="s">
        <v>7</v>
      </c>
      <c r="O249" s="27" t="s">
        <v>8</v>
      </c>
      <c r="P249" s="27" t="s">
        <v>7</v>
      </c>
      <c r="Q249" s="27" t="s">
        <v>8</v>
      </c>
      <c r="R249" s="27" t="s">
        <v>7</v>
      </c>
      <c r="S249" s="27" t="s">
        <v>8</v>
      </c>
      <c r="T249" s="27" t="s">
        <v>7</v>
      </c>
    </row>
    <row r="250" spans="1:92" x14ac:dyDescent="0.25">
      <c r="A250" s="30">
        <v>0.61391325354075688</v>
      </c>
      <c r="B250"/>
      <c r="C250"/>
      <c r="D250"/>
      <c r="E250"/>
      <c r="F250" s="27" t="s">
        <v>7</v>
      </c>
      <c r="O250" s="27" t="s">
        <v>8</v>
      </c>
      <c r="P250" s="27" t="s">
        <v>7</v>
      </c>
      <c r="Q250" s="27" t="s">
        <v>8</v>
      </c>
      <c r="R250" s="27" t="s">
        <v>7</v>
      </c>
      <c r="S250" s="27" t="s">
        <v>8</v>
      </c>
      <c r="T250" s="27" t="s">
        <v>7</v>
      </c>
    </row>
    <row r="251" spans="1:92" x14ac:dyDescent="0.25">
      <c r="A251" s="30">
        <v>0.58467928908643485</v>
      </c>
      <c r="B251"/>
      <c r="C251"/>
      <c r="D251"/>
      <c r="E251"/>
      <c r="F251" s="27" t="s">
        <v>7</v>
      </c>
      <c r="O251" s="27" t="s">
        <v>8</v>
      </c>
      <c r="P251" s="27" t="s">
        <v>7</v>
      </c>
      <c r="R251" s="27" t="s">
        <v>7</v>
      </c>
      <c r="S251" s="27" t="s">
        <v>8</v>
      </c>
      <c r="T251" s="27" t="s">
        <v>7</v>
      </c>
    </row>
    <row r="252" spans="1:92" x14ac:dyDescent="0.25">
      <c r="A252" s="30">
        <v>0.55683741817755672</v>
      </c>
      <c r="B252"/>
      <c r="C252"/>
      <c r="D252"/>
      <c r="E252"/>
      <c r="F252" s="27" t="s">
        <v>7</v>
      </c>
      <c r="O252" s="27" t="s">
        <v>8</v>
      </c>
      <c r="R252" s="27" t="s">
        <v>7</v>
      </c>
      <c r="S252" s="27" t="s">
        <v>8</v>
      </c>
      <c r="T252" s="27" t="s">
        <v>7</v>
      </c>
      <c r="CI252" s="27" t="s">
        <v>8</v>
      </c>
    </row>
    <row r="253" spans="1:92" x14ac:dyDescent="0.25">
      <c r="A253" s="30">
        <v>0.53032135064529184</v>
      </c>
      <c r="B253"/>
      <c r="C253"/>
      <c r="D253"/>
      <c r="E253"/>
      <c r="F253" s="27" t="s">
        <v>7</v>
      </c>
      <c r="O253" s="27" t="s">
        <v>8</v>
      </c>
      <c r="R253" s="27" t="s">
        <v>7</v>
      </c>
      <c r="S253" s="27" t="s">
        <v>8</v>
      </c>
      <c r="T253" s="27" t="s">
        <v>7</v>
      </c>
      <c r="CI253" s="27" t="s">
        <v>8</v>
      </c>
      <c r="CJ253" s="27" t="s">
        <v>7</v>
      </c>
    </row>
    <row r="254" spans="1:92" x14ac:dyDescent="0.25">
      <c r="A254" s="30">
        <v>0.50506795299551588</v>
      </c>
      <c r="B254"/>
      <c r="C254"/>
      <c r="D254"/>
      <c r="E254"/>
      <c r="F254" s="27" t="s">
        <v>7</v>
      </c>
      <c r="O254" s="27" t="s">
        <v>8</v>
      </c>
      <c r="R254" s="27" t="s">
        <v>7</v>
      </c>
      <c r="S254" s="27" t="s">
        <v>8</v>
      </c>
      <c r="T254" s="27" t="s">
        <v>7</v>
      </c>
      <c r="CI254" s="27" t="s">
        <v>8</v>
      </c>
      <c r="CJ254" s="27" t="s">
        <v>7</v>
      </c>
    </row>
    <row r="255" spans="1:92" x14ac:dyDescent="0.25">
      <c r="A255" s="30">
        <v>0.48101709809096732</v>
      </c>
      <c r="E255"/>
      <c r="F255" s="27" t="s">
        <v>7</v>
      </c>
      <c r="M255" s="27" t="s">
        <v>8</v>
      </c>
      <c r="O255" s="27" t="s">
        <v>8</v>
      </c>
      <c r="R255" s="27" t="s">
        <v>7</v>
      </c>
      <c r="T255" s="27" t="s">
        <v>7</v>
      </c>
      <c r="CI255" s="27" t="s">
        <v>8</v>
      </c>
      <c r="CJ255" s="27" t="s">
        <v>7</v>
      </c>
      <c r="CM255" s="27" t="s">
        <v>8</v>
      </c>
    </row>
    <row r="256" spans="1:92" x14ac:dyDescent="0.25">
      <c r="A256" s="30">
        <v>0.45811152199139726</v>
      </c>
      <c r="E256"/>
      <c r="F256" s="27" t="s">
        <v>7</v>
      </c>
      <c r="M256" s="27" t="s">
        <v>8</v>
      </c>
      <c r="N256" s="27" t="s">
        <v>7</v>
      </c>
      <c r="O256" s="27" t="s">
        <v>8</v>
      </c>
      <c r="T256" s="27" t="s">
        <v>7</v>
      </c>
      <c r="CG256" s="27" t="s">
        <v>8</v>
      </c>
      <c r="CI256" s="27" t="s">
        <v>8</v>
      </c>
      <c r="CJ256" s="27" t="s">
        <v>7</v>
      </c>
      <c r="CM256" s="27" t="s">
        <v>8</v>
      </c>
      <c r="CN256" s="27" t="s">
        <v>7</v>
      </c>
    </row>
    <row r="257" spans="1:98" x14ac:dyDescent="0.25">
      <c r="A257" s="30">
        <v>0.43629668761085438</v>
      </c>
      <c r="B257"/>
      <c r="C257"/>
      <c r="D257"/>
      <c r="E257"/>
      <c r="F257" s="27" t="s">
        <v>7</v>
      </c>
      <c r="G257" s="27" t="s">
        <v>8</v>
      </c>
      <c r="M257" s="27" t="s">
        <v>8</v>
      </c>
      <c r="N257" s="27" t="s">
        <v>7</v>
      </c>
      <c r="O257" s="27" t="s">
        <v>8</v>
      </c>
      <c r="T257" s="27" t="s">
        <v>7</v>
      </c>
      <c r="CG257" s="27" t="s">
        <v>8</v>
      </c>
      <c r="CH257" s="27" t="s">
        <v>7</v>
      </c>
      <c r="CI257" s="27" t="s">
        <v>8</v>
      </c>
      <c r="CJ257" s="27" t="s">
        <v>7</v>
      </c>
      <c r="CK257" s="27" t="s">
        <v>8</v>
      </c>
      <c r="CM257" s="27" t="s">
        <v>8</v>
      </c>
      <c r="CN257" s="27" t="s">
        <v>7</v>
      </c>
    </row>
    <row r="258" spans="1:98" x14ac:dyDescent="0.25">
      <c r="A258" s="30">
        <v>0.41552065486748019</v>
      </c>
      <c r="B258"/>
      <c r="C258"/>
      <c r="D258"/>
      <c r="E258"/>
      <c r="F258" s="27" t="s">
        <v>7</v>
      </c>
      <c r="G258" s="27" t="s">
        <v>8</v>
      </c>
      <c r="H258" s="27" t="s">
        <v>7</v>
      </c>
      <c r="M258" s="27" t="s">
        <v>8</v>
      </c>
      <c r="N258" s="27" t="s">
        <v>7</v>
      </c>
      <c r="T258" s="27" t="s">
        <v>7</v>
      </c>
      <c r="U258" s="27" t="s">
        <v>8</v>
      </c>
      <c r="CG258" s="27" t="s">
        <v>8</v>
      </c>
      <c r="CH258" s="27" t="s">
        <v>7</v>
      </c>
      <c r="CI258" s="27" t="s">
        <v>8</v>
      </c>
      <c r="CJ258" s="27" t="s">
        <v>7</v>
      </c>
      <c r="CK258" s="27" t="s">
        <v>8</v>
      </c>
      <c r="CL258" s="27" t="s">
        <v>7</v>
      </c>
      <c r="CM258" s="27" t="s">
        <v>8</v>
      </c>
      <c r="CN258" s="27" t="s">
        <v>7</v>
      </c>
    </row>
    <row r="259" spans="1:98" x14ac:dyDescent="0.25">
      <c r="A259" s="30">
        <v>0.39573395701664765</v>
      </c>
      <c r="B259"/>
      <c r="C259"/>
      <c r="D259"/>
      <c r="E259"/>
      <c r="F259" s="27" t="s">
        <v>7</v>
      </c>
      <c r="G259" s="27" t="s">
        <v>8</v>
      </c>
      <c r="H259" s="27" t="s">
        <v>7</v>
      </c>
      <c r="I259" s="27" t="s">
        <v>8</v>
      </c>
      <c r="M259" s="27" t="s">
        <v>8</v>
      </c>
      <c r="T259" s="27" t="s">
        <v>7</v>
      </c>
      <c r="U259" s="27" t="s">
        <v>8</v>
      </c>
      <c r="V259" s="27" t="s">
        <v>7</v>
      </c>
      <c r="BK259" s="27" t="s">
        <v>8</v>
      </c>
      <c r="BM259" s="27" t="s">
        <v>8</v>
      </c>
      <c r="CG259" s="27" t="s">
        <v>8</v>
      </c>
      <c r="CH259" s="27" t="s">
        <v>7</v>
      </c>
      <c r="CI259" s="27" t="s">
        <v>8</v>
      </c>
      <c r="CJ259" s="27" t="s">
        <v>7</v>
      </c>
      <c r="CK259" s="27" t="s">
        <v>8</v>
      </c>
      <c r="CL259" s="27" t="s">
        <v>7</v>
      </c>
      <c r="CM259" s="27" t="s">
        <v>8</v>
      </c>
      <c r="CN259" s="27" t="s">
        <v>7</v>
      </c>
    </row>
    <row r="260" spans="1:98" x14ac:dyDescent="0.25">
      <c r="A260" s="30">
        <v>0.37688948287299762</v>
      </c>
      <c r="B260"/>
      <c r="C260"/>
      <c r="D260"/>
      <c r="E260"/>
      <c r="F260" s="27" t="s">
        <v>7</v>
      </c>
      <c r="H260" s="27" t="s">
        <v>7</v>
      </c>
      <c r="I260" s="27" t="s">
        <v>8</v>
      </c>
      <c r="J260" s="27" t="s">
        <v>7</v>
      </c>
      <c r="M260" s="27" t="s">
        <v>8</v>
      </c>
      <c r="T260" s="27" t="s">
        <v>7</v>
      </c>
      <c r="U260" s="27" t="s">
        <v>8</v>
      </c>
      <c r="V260" s="27" t="s">
        <v>7</v>
      </c>
      <c r="W260" s="27" t="s">
        <v>8</v>
      </c>
      <c r="BK260" s="27" t="s">
        <v>8</v>
      </c>
      <c r="BL260" s="27" t="s">
        <v>7</v>
      </c>
      <c r="BM260" s="27" t="s">
        <v>8</v>
      </c>
      <c r="BN260" s="27" t="s">
        <v>7</v>
      </c>
      <c r="CG260" s="27" t="s">
        <v>8</v>
      </c>
      <c r="CH260" s="27" t="s">
        <v>7</v>
      </c>
      <c r="CI260" s="27" t="s">
        <v>8</v>
      </c>
      <c r="CJ260" s="27" t="s">
        <v>7</v>
      </c>
      <c r="CK260" s="27" t="s">
        <v>8</v>
      </c>
      <c r="CL260" s="27" t="s">
        <v>7</v>
      </c>
      <c r="CN260" s="27" t="s">
        <v>7</v>
      </c>
    </row>
    <row r="261" spans="1:98" x14ac:dyDescent="0.25">
      <c r="A261" s="30">
        <v>0.35894236464094997</v>
      </c>
      <c r="B261"/>
      <c r="C261"/>
      <c r="D261"/>
      <c r="E261"/>
      <c r="H261" s="27" t="s">
        <v>7</v>
      </c>
      <c r="I261" s="27" t="s">
        <v>8</v>
      </c>
      <c r="J261" s="27" t="s">
        <v>7</v>
      </c>
      <c r="M261" s="27" t="s">
        <v>8</v>
      </c>
      <c r="T261" s="27" t="s">
        <v>7</v>
      </c>
      <c r="U261" s="27" t="s">
        <v>8</v>
      </c>
      <c r="V261" s="27" t="s">
        <v>7</v>
      </c>
      <c r="W261" s="27" t="s">
        <v>8</v>
      </c>
      <c r="X261" s="27" t="s">
        <v>7</v>
      </c>
      <c r="AY261" s="27" t="s">
        <v>8</v>
      </c>
      <c r="BK261" s="27" t="s">
        <v>8</v>
      </c>
      <c r="BL261" s="27" t="s">
        <v>7</v>
      </c>
      <c r="BM261" s="27" t="s">
        <v>8</v>
      </c>
      <c r="BN261" s="27" t="s">
        <v>7</v>
      </c>
      <c r="CG261" s="27" t="s">
        <v>8</v>
      </c>
      <c r="CH261" s="27" t="s">
        <v>7</v>
      </c>
      <c r="CI261" s="27" t="s">
        <v>8</v>
      </c>
      <c r="CJ261" s="27" t="s">
        <v>7</v>
      </c>
      <c r="CK261" s="27" t="s">
        <v>8</v>
      </c>
      <c r="CN261" s="27" t="s">
        <v>7</v>
      </c>
    </row>
    <row r="262" spans="1:98" x14ac:dyDescent="0.25">
      <c r="A262" s="30">
        <v>0.34184987108661891</v>
      </c>
      <c r="B262"/>
      <c r="C262"/>
      <c r="D262"/>
      <c r="E262"/>
      <c r="H262" s="27" t="s">
        <v>7</v>
      </c>
      <c r="I262" s="27" t="s">
        <v>8</v>
      </c>
      <c r="J262" s="27" t="s">
        <v>7</v>
      </c>
      <c r="M262" s="27" t="s">
        <v>8</v>
      </c>
      <c r="T262" s="27" t="s">
        <v>7</v>
      </c>
      <c r="V262" s="27" t="s">
        <v>7</v>
      </c>
      <c r="W262" s="27" t="s">
        <v>8</v>
      </c>
      <c r="X262" s="27" t="s">
        <v>7</v>
      </c>
      <c r="AY262" s="27" t="s">
        <v>8</v>
      </c>
      <c r="AZ262" s="27" t="s">
        <v>7</v>
      </c>
      <c r="BA262" s="27" t="s">
        <v>8</v>
      </c>
      <c r="BG262" s="27" t="s">
        <v>8</v>
      </c>
      <c r="BK262" s="27" t="s">
        <v>8</v>
      </c>
      <c r="BL262" s="27" t="s">
        <v>7</v>
      </c>
      <c r="BM262" s="27" t="s">
        <v>8</v>
      </c>
      <c r="BN262" s="27" t="s">
        <v>7</v>
      </c>
      <c r="CG262" s="27" t="s">
        <v>8</v>
      </c>
      <c r="CH262" s="27" t="s">
        <v>7</v>
      </c>
      <c r="CI262" s="27" t="s">
        <v>8</v>
      </c>
      <c r="CJ262" s="27" t="s">
        <v>7</v>
      </c>
      <c r="CN262" s="27" t="s">
        <v>7</v>
      </c>
    </row>
    <row r="263" spans="1:98" x14ac:dyDescent="0.25">
      <c r="A263" s="30">
        <v>0.32557130579677979</v>
      </c>
      <c r="B263"/>
      <c r="C263"/>
      <c r="D263"/>
      <c r="E263"/>
      <c r="H263" s="27" t="s">
        <v>7</v>
      </c>
      <c r="I263" s="27" t="s">
        <v>8</v>
      </c>
      <c r="J263" s="27" t="s">
        <v>7</v>
      </c>
      <c r="M263" s="27" t="s">
        <v>8</v>
      </c>
      <c r="V263" s="27" t="s">
        <v>7</v>
      </c>
      <c r="W263" s="27" t="s">
        <v>8</v>
      </c>
      <c r="X263" s="27" t="s">
        <v>7</v>
      </c>
      <c r="AU263" s="27" t="s">
        <v>8</v>
      </c>
      <c r="AY263" s="27" t="s">
        <v>8</v>
      </c>
      <c r="AZ263" s="27" t="s">
        <v>7</v>
      </c>
      <c r="BA263" s="27" t="s">
        <v>8</v>
      </c>
      <c r="BB263" s="27" t="s">
        <v>7</v>
      </c>
      <c r="BC263" s="27" t="s">
        <v>8</v>
      </c>
      <c r="BE263" s="27" t="s">
        <v>8</v>
      </c>
      <c r="BG263" s="27" t="s">
        <v>8</v>
      </c>
      <c r="BH263" s="27" t="s">
        <v>7</v>
      </c>
      <c r="BK263" s="32" t="s">
        <v>8</v>
      </c>
      <c r="BL263" s="27" t="s">
        <v>7</v>
      </c>
      <c r="BM263" s="27" t="s">
        <v>8</v>
      </c>
      <c r="BN263" s="27" t="s">
        <v>7</v>
      </c>
      <c r="BY263" s="27" t="s">
        <v>8</v>
      </c>
      <c r="CC263" s="27" t="s">
        <v>8</v>
      </c>
      <c r="CG263" s="27" t="s">
        <v>8</v>
      </c>
      <c r="CH263" s="27" t="s">
        <v>7</v>
      </c>
      <c r="CN263" s="27" t="s">
        <v>7</v>
      </c>
    </row>
    <row r="264" spans="1:98" x14ac:dyDescent="0.25">
      <c r="A264" s="30">
        <v>0.3100679102826473</v>
      </c>
      <c r="B264"/>
      <c r="C264"/>
      <c r="D264"/>
      <c r="E264"/>
      <c r="H264" s="27" t="s">
        <v>7</v>
      </c>
      <c r="J264" s="27" t="s">
        <v>7</v>
      </c>
      <c r="K264" s="27" t="s">
        <v>8</v>
      </c>
      <c r="M264" s="27" t="s">
        <v>8</v>
      </c>
      <c r="V264" s="27" t="s">
        <v>7</v>
      </c>
      <c r="X264" s="27" t="s">
        <v>7</v>
      </c>
      <c r="AU264" s="27" t="s">
        <v>8</v>
      </c>
      <c r="AV264" s="27" t="s">
        <v>7</v>
      </c>
      <c r="AY264" s="27" t="s">
        <v>8</v>
      </c>
      <c r="AZ264" s="27" t="s">
        <v>7</v>
      </c>
      <c r="BA264" s="27" t="s">
        <v>8</v>
      </c>
      <c r="BB264" s="27" t="s">
        <v>7</v>
      </c>
      <c r="BC264" s="27" t="s">
        <v>8</v>
      </c>
      <c r="BD264" s="27" t="s">
        <v>7</v>
      </c>
      <c r="BE264" s="27" t="s">
        <v>8</v>
      </c>
      <c r="BF264" s="27" t="s">
        <v>7</v>
      </c>
      <c r="BG264" s="27" t="s">
        <v>8</v>
      </c>
      <c r="BH264" s="27" t="s">
        <v>7</v>
      </c>
      <c r="BI264" s="27" t="s">
        <v>8</v>
      </c>
      <c r="BK264" s="27" t="s">
        <v>8</v>
      </c>
      <c r="BL264" s="27" t="s">
        <v>7</v>
      </c>
      <c r="BM264" s="27" t="s">
        <v>8</v>
      </c>
      <c r="BN264" s="27" t="s">
        <v>7</v>
      </c>
      <c r="BY264" s="27" t="s">
        <v>8</v>
      </c>
      <c r="BZ264" s="27" t="s">
        <v>7</v>
      </c>
      <c r="CC264" s="27" t="s">
        <v>8</v>
      </c>
      <c r="CD264" s="27" t="s">
        <v>7</v>
      </c>
      <c r="CG264" s="27" t="s">
        <v>8</v>
      </c>
      <c r="CN264" s="27" t="s">
        <v>7</v>
      </c>
    </row>
    <row r="265" spans="1:98" x14ac:dyDescent="0.25">
      <c r="A265" s="30">
        <v>0.2953027716977592</v>
      </c>
      <c r="B265"/>
      <c r="C265"/>
      <c r="D265"/>
      <c r="E265"/>
      <c r="J265" s="27" t="s">
        <v>7</v>
      </c>
      <c r="K265" s="27" t="s">
        <v>8</v>
      </c>
      <c r="L265" s="27" t="s">
        <v>7</v>
      </c>
      <c r="M265" s="27" t="s">
        <v>8</v>
      </c>
      <c r="X265" s="27" t="s">
        <v>7</v>
      </c>
      <c r="AU265" s="27" t="s">
        <v>8</v>
      </c>
      <c r="AV265" s="27" t="s">
        <v>7</v>
      </c>
      <c r="AY265" s="27" t="s">
        <v>8</v>
      </c>
      <c r="AZ265" s="27" t="s">
        <v>7</v>
      </c>
      <c r="BA265" s="27" t="s">
        <v>8</v>
      </c>
      <c r="BB265" s="27" t="s">
        <v>7</v>
      </c>
      <c r="BC265" s="27" t="s">
        <v>8</v>
      </c>
      <c r="BD265" s="27" t="s">
        <v>7</v>
      </c>
      <c r="BE265" s="27" t="s">
        <v>8</v>
      </c>
      <c r="BF265" s="27" t="s">
        <v>7</v>
      </c>
      <c r="BG265" s="27" t="s">
        <v>8</v>
      </c>
      <c r="BH265" s="27" t="s">
        <v>7</v>
      </c>
      <c r="BI265" s="27" t="s">
        <v>8</v>
      </c>
      <c r="BJ265" s="27" t="s">
        <v>7</v>
      </c>
      <c r="BK265" s="27" t="s">
        <v>8</v>
      </c>
      <c r="BL265" s="27" t="s">
        <v>7</v>
      </c>
      <c r="BN265" s="27" t="s">
        <v>7</v>
      </c>
      <c r="BY265" s="27" t="s">
        <v>8</v>
      </c>
      <c r="BZ265" s="27" t="s">
        <v>7</v>
      </c>
      <c r="CA265" s="27" t="s">
        <v>8</v>
      </c>
      <c r="CC265" s="27" t="s">
        <v>8</v>
      </c>
      <c r="CD265" s="27" t="s">
        <v>7</v>
      </c>
      <c r="CG265" s="27" t="s">
        <v>8</v>
      </c>
      <c r="CN265" s="27" t="s">
        <v>7</v>
      </c>
      <c r="CO265" s="27" t="s">
        <v>8</v>
      </c>
    </row>
    <row r="266" spans="1:98" x14ac:dyDescent="0.25">
      <c r="A266" s="30">
        <v>0.28124073495024676</v>
      </c>
      <c r="B266"/>
      <c r="C266"/>
      <c r="D266"/>
      <c r="E266"/>
      <c r="J266" s="27" t="s">
        <v>7</v>
      </c>
      <c r="K266" s="27" t="s">
        <v>8</v>
      </c>
      <c r="L266" s="27" t="s">
        <v>7</v>
      </c>
      <c r="M266" s="27" t="s">
        <v>8</v>
      </c>
      <c r="X266" s="27" t="s">
        <v>7</v>
      </c>
      <c r="AU266" s="27" t="s">
        <v>8</v>
      </c>
      <c r="AV266" s="27" t="s">
        <v>7</v>
      </c>
      <c r="AY266" s="27" t="s">
        <v>8</v>
      </c>
      <c r="AZ266" s="27" t="s">
        <v>7</v>
      </c>
      <c r="BA266" s="27" t="s">
        <v>8</v>
      </c>
      <c r="BB266" s="27" t="s">
        <v>7</v>
      </c>
      <c r="BD266" s="27" t="s">
        <v>7</v>
      </c>
      <c r="BE266" s="27" t="s">
        <v>8</v>
      </c>
      <c r="BF266" s="27" t="s">
        <v>7</v>
      </c>
      <c r="BG266" s="27" t="s">
        <v>8</v>
      </c>
      <c r="BH266" s="27" t="s">
        <v>7</v>
      </c>
      <c r="BI266" s="27" t="s">
        <v>8</v>
      </c>
      <c r="BJ266" s="27" t="s">
        <v>7</v>
      </c>
      <c r="BK266" s="27" t="s">
        <v>8</v>
      </c>
      <c r="BN266" s="27" t="s">
        <v>7</v>
      </c>
      <c r="BY266" s="27" t="s">
        <v>8</v>
      </c>
      <c r="BZ266" s="27" t="s">
        <v>7</v>
      </c>
      <c r="CA266" s="27" t="s">
        <v>8</v>
      </c>
      <c r="CB266" s="27" t="s">
        <v>7</v>
      </c>
      <c r="CC266" s="27" t="s">
        <v>8</v>
      </c>
      <c r="CD266" s="27" t="s">
        <v>7</v>
      </c>
      <c r="CG266" s="27" t="s">
        <v>8</v>
      </c>
      <c r="CN266" s="27" t="s">
        <v>7</v>
      </c>
      <c r="CO266" s="27" t="s">
        <v>8</v>
      </c>
      <c r="CP266" s="27" t="s">
        <v>7</v>
      </c>
    </row>
    <row r="267" spans="1:98" x14ac:dyDescent="0.25">
      <c r="A267" s="30">
        <v>0.26784831900023492</v>
      </c>
      <c r="B267"/>
      <c r="C267"/>
      <c r="D267"/>
      <c r="E267"/>
      <c r="J267" s="27" t="s">
        <v>7</v>
      </c>
      <c r="K267" s="27" t="s">
        <v>8</v>
      </c>
      <c r="L267" s="27" t="s">
        <v>7</v>
      </c>
      <c r="M267" s="27" t="s">
        <v>8</v>
      </c>
      <c r="X267" s="27" t="s">
        <v>7</v>
      </c>
      <c r="Y267" s="27" t="s">
        <v>8</v>
      </c>
      <c r="AC267" s="27" t="s">
        <v>8</v>
      </c>
      <c r="AU267" s="27" t="s">
        <v>8</v>
      </c>
      <c r="AV267" s="27" t="s">
        <v>7</v>
      </c>
      <c r="AY267" s="27" t="s">
        <v>8</v>
      </c>
      <c r="AZ267" s="27" t="s">
        <v>7</v>
      </c>
      <c r="BA267" s="27" t="s">
        <v>8</v>
      </c>
      <c r="BD267" s="31" t="s">
        <v>7</v>
      </c>
      <c r="BE267" s="27" t="s">
        <v>8</v>
      </c>
      <c r="BF267" s="27" t="s">
        <v>7</v>
      </c>
      <c r="BH267" s="27" t="s">
        <v>7</v>
      </c>
      <c r="BI267" s="27" t="s">
        <v>8</v>
      </c>
      <c r="BJ267" s="27" t="s">
        <v>7</v>
      </c>
      <c r="BN267" s="27" t="s">
        <v>7</v>
      </c>
      <c r="BY267" s="27" t="s">
        <v>8</v>
      </c>
      <c r="BZ267" s="27" t="s">
        <v>7</v>
      </c>
      <c r="CA267" s="27" t="s">
        <v>8</v>
      </c>
      <c r="CB267" s="27" t="s">
        <v>7</v>
      </c>
      <c r="CC267" s="27" t="s">
        <v>8</v>
      </c>
      <c r="CD267" s="27" t="s">
        <v>7</v>
      </c>
      <c r="CE267" s="27" t="s">
        <v>8</v>
      </c>
      <c r="CG267" s="27" t="s">
        <v>8</v>
      </c>
      <c r="CN267" s="27" t="s">
        <v>7</v>
      </c>
      <c r="CO267" s="27" t="s">
        <v>8</v>
      </c>
      <c r="CP267" s="27" t="s">
        <v>7</v>
      </c>
      <c r="CQ267" s="27" t="s">
        <v>8</v>
      </c>
    </row>
    <row r="268" spans="1:98" x14ac:dyDescent="0.25">
      <c r="A268" s="30">
        <v>0.25509363714308075</v>
      </c>
      <c r="B268"/>
      <c r="C268"/>
      <c r="D268"/>
      <c r="E268"/>
      <c r="J268" s="27" t="s">
        <v>7</v>
      </c>
      <c r="K268" s="27" t="s">
        <v>8</v>
      </c>
      <c r="L268" s="27" t="s">
        <v>7</v>
      </c>
      <c r="M268" s="27" t="s">
        <v>8</v>
      </c>
      <c r="X268" s="27" t="s">
        <v>7</v>
      </c>
      <c r="Y268" s="27" t="s">
        <v>8</v>
      </c>
      <c r="Z268" s="27" t="s">
        <v>7</v>
      </c>
      <c r="AC268" s="27" t="s">
        <v>8</v>
      </c>
      <c r="AD268" s="27" t="s">
        <v>7</v>
      </c>
      <c r="AU268" s="27" t="s">
        <v>8</v>
      </c>
      <c r="AV268" s="27" t="s">
        <v>7</v>
      </c>
      <c r="AY268" s="27" t="s">
        <v>8</v>
      </c>
      <c r="AZ268" s="27" t="s">
        <v>7</v>
      </c>
      <c r="BD268" s="27" t="s">
        <v>7</v>
      </c>
      <c r="BH268" s="27" t="s">
        <v>7</v>
      </c>
      <c r="BI268" s="27" t="s">
        <v>8</v>
      </c>
      <c r="BN268" s="27" t="s">
        <v>7</v>
      </c>
      <c r="BY268" s="27" t="s">
        <v>8</v>
      </c>
      <c r="BZ268" s="27" t="s">
        <v>7</v>
      </c>
      <c r="CA268" s="27" t="s">
        <v>8</v>
      </c>
      <c r="CB268" s="27" t="s">
        <v>7</v>
      </c>
      <c r="CD268" s="27" t="s">
        <v>7</v>
      </c>
      <c r="CE268" s="27" t="s">
        <v>8</v>
      </c>
      <c r="CF268" s="27" t="s">
        <v>7</v>
      </c>
      <c r="CG268" s="27" t="s">
        <v>8</v>
      </c>
      <c r="CN268" s="27" t="s">
        <v>7</v>
      </c>
      <c r="CO268" s="27" t="s">
        <v>8</v>
      </c>
      <c r="CP268" s="27" t="s">
        <v>7</v>
      </c>
      <c r="CQ268" s="27" t="s">
        <v>8</v>
      </c>
      <c r="CR268" s="27" t="s">
        <v>7</v>
      </c>
      <c r="CS268" s="27" t="s">
        <v>8</v>
      </c>
    </row>
    <row r="269" spans="1:98" x14ac:dyDescent="0.25">
      <c r="A269" s="30">
        <v>0.24294632108864825</v>
      </c>
      <c r="B269"/>
      <c r="C269"/>
      <c r="D269"/>
      <c r="E269"/>
      <c r="J269" s="27" t="s">
        <v>7</v>
      </c>
      <c r="K269" s="27" t="s">
        <v>8</v>
      </c>
      <c r="L269" s="27" t="s">
        <v>7</v>
      </c>
      <c r="X269" s="27" t="s">
        <v>7</v>
      </c>
      <c r="Y269" s="27" t="s">
        <v>8</v>
      </c>
      <c r="Z269" s="27" t="s">
        <v>7</v>
      </c>
      <c r="AC269" s="27" t="s">
        <v>8</v>
      </c>
      <c r="AD269" s="27" t="s">
        <v>7</v>
      </c>
      <c r="AU269" s="27" t="s">
        <v>8</v>
      </c>
      <c r="AV269" s="27" t="s">
        <v>7</v>
      </c>
      <c r="AY269" s="27" t="s">
        <v>8</v>
      </c>
      <c r="BH269" s="27" t="s">
        <v>7</v>
      </c>
      <c r="BN269" s="27" t="s">
        <v>7</v>
      </c>
      <c r="BY269" s="27" t="s">
        <v>8</v>
      </c>
      <c r="BZ269" s="27" t="s">
        <v>7</v>
      </c>
      <c r="CA269" s="27" t="s">
        <v>8</v>
      </c>
      <c r="CD269" s="27" t="s">
        <v>7</v>
      </c>
      <c r="CE269" s="27" t="s">
        <v>8</v>
      </c>
      <c r="CF269" s="27" t="s">
        <v>7</v>
      </c>
      <c r="CG269" s="27" t="s">
        <v>8</v>
      </c>
      <c r="CN269" s="27" t="s">
        <v>7</v>
      </c>
      <c r="CO269" s="27" t="s">
        <v>8</v>
      </c>
      <c r="CP269" s="27" t="s">
        <v>7</v>
      </c>
      <c r="CQ269" s="27" t="s">
        <v>8</v>
      </c>
      <c r="CR269" s="27" t="s">
        <v>7</v>
      </c>
      <c r="CS269" s="27" t="s">
        <v>8</v>
      </c>
      <c r="CT269" s="27" t="s">
        <v>7</v>
      </c>
    </row>
    <row r="270" spans="1:98" x14ac:dyDescent="0.25">
      <c r="A270" s="30">
        <v>0.23137744865585538</v>
      </c>
      <c r="B270"/>
      <c r="C270"/>
      <c r="D270"/>
      <c r="E270"/>
      <c r="J270" s="27" t="s">
        <v>7</v>
      </c>
      <c r="K270" s="27" t="s">
        <v>8</v>
      </c>
      <c r="X270" s="27" t="s">
        <v>7</v>
      </c>
      <c r="Y270" s="27" t="s">
        <v>8</v>
      </c>
      <c r="Z270" s="27" t="s">
        <v>7</v>
      </c>
      <c r="AC270" s="27" t="s">
        <v>8</v>
      </c>
      <c r="AD270" s="27" t="s">
        <v>7</v>
      </c>
      <c r="AU270" s="27" t="s">
        <v>8</v>
      </c>
      <c r="AV270" s="27" t="s">
        <v>7</v>
      </c>
      <c r="AY270" s="27" t="s">
        <v>8</v>
      </c>
      <c r="BN270" s="27" t="s">
        <v>7</v>
      </c>
      <c r="BO270" s="27" t="s">
        <v>8</v>
      </c>
      <c r="BQ270" s="27" t="s">
        <v>8</v>
      </c>
      <c r="BY270" s="27" t="s">
        <v>8</v>
      </c>
      <c r="BZ270" s="27" t="s">
        <v>7</v>
      </c>
      <c r="CD270" s="27" t="s">
        <v>7</v>
      </c>
      <c r="CF270" s="27" t="s">
        <v>7</v>
      </c>
      <c r="CG270" s="27" t="s">
        <v>8</v>
      </c>
      <c r="CN270" s="27" t="s">
        <v>7</v>
      </c>
      <c r="CO270" s="27" t="s">
        <v>8</v>
      </c>
      <c r="CP270" s="27" t="s">
        <v>7</v>
      </c>
      <c r="CQ270" s="27" t="s">
        <v>8</v>
      </c>
      <c r="CR270" s="27" t="s">
        <v>7</v>
      </c>
      <c r="CS270" s="27" t="s">
        <v>8</v>
      </c>
      <c r="CT270" s="27" t="s">
        <v>7</v>
      </c>
    </row>
    <row r="271" spans="1:98" x14ac:dyDescent="0.25">
      <c r="A271" s="30">
        <v>0.22035947491033836</v>
      </c>
      <c r="B271"/>
      <c r="C271"/>
      <c r="D271"/>
      <c r="E271"/>
      <c r="J271" s="27" t="s">
        <v>7</v>
      </c>
      <c r="K271" s="27" t="s">
        <v>8</v>
      </c>
      <c r="X271" s="27" t="s">
        <v>7</v>
      </c>
      <c r="Y271" s="27" t="s">
        <v>8</v>
      </c>
      <c r="Z271" s="27" t="s">
        <v>7</v>
      </c>
      <c r="AC271" s="27" t="s">
        <v>8</v>
      </c>
      <c r="AD271" s="27" t="s">
        <v>7</v>
      </c>
      <c r="AU271" s="27" t="s">
        <v>8</v>
      </c>
      <c r="AV271" s="27" t="s">
        <v>7</v>
      </c>
      <c r="AY271" s="32" t="s">
        <v>8</v>
      </c>
      <c r="BN271" s="27" t="s">
        <v>7</v>
      </c>
      <c r="BO271" s="27" t="s">
        <v>8</v>
      </c>
      <c r="BP271" s="27" t="s">
        <v>7</v>
      </c>
      <c r="BQ271" s="27" t="s">
        <v>8</v>
      </c>
      <c r="BR271" s="27" t="s">
        <v>7</v>
      </c>
      <c r="BU271" s="27" t="s">
        <v>8</v>
      </c>
      <c r="BY271" s="27" t="s">
        <v>8</v>
      </c>
      <c r="CF271" s="27" t="s">
        <v>7</v>
      </c>
      <c r="CG271" s="27" t="s">
        <v>8</v>
      </c>
      <c r="CN271" s="27" t="s">
        <v>7</v>
      </c>
      <c r="CO271" s="27" t="s">
        <v>8</v>
      </c>
      <c r="CP271" s="27" t="s">
        <v>7</v>
      </c>
      <c r="CR271" s="27" t="s">
        <v>7</v>
      </c>
      <c r="CS271" s="27" t="s">
        <v>8</v>
      </c>
      <c r="CT271" s="27" t="s">
        <v>7</v>
      </c>
    </row>
    <row r="272" spans="1:98" x14ac:dyDescent="0.25">
      <c r="A272" s="30">
        <v>0.20986616658127455</v>
      </c>
      <c r="B272"/>
      <c r="C272"/>
      <c r="D272"/>
      <c r="E272"/>
      <c r="J272" s="27" t="s">
        <v>7</v>
      </c>
      <c r="K272" s="27" t="s">
        <v>8</v>
      </c>
      <c r="X272" s="27" t="s">
        <v>7</v>
      </c>
      <c r="Y272" s="27" t="s">
        <v>8</v>
      </c>
      <c r="Z272" s="27" t="s">
        <v>7</v>
      </c>
      <c r="AA272" s="27" t="s">
        <v>8</v>
      </c>
      <c r="AC272" s="27" t="s">
        <v>8</v>
      </c>
      <c r="AD272" s="27" t="s">
        <v>7</v>
      </c>
      <c r="AE272" s="27" t="s">
        <v>8</v>
      </c>
      <c r="AU272" s="27" t="s">
        <v>8</v>
      </c>
      <c r="AV272" s="27" t="s">
        <v>7</v>
      </c>
      <c r="AW272" s="27" t="s">
        <v>8</v>
      </c>
      <c r="AY272" s="27" t="s">
        <v>8</v>
      </c>
      <c r="BN272" s="27" t="s">
        <v>7</v>
      </c>
      <c r="BO272" s="27" t="s">
        <v>8</v>
      </c>
      <c r="BP272" s="27" t="s">
        <v>7</v>
      </c>
      <c r="BQ272" s="27" t="s">
        <v>8</v>
      </c>
      <c r="BR272" s="27" t="s">
        <v>7</v>
      </c>
      <c r="BU272" s="27" t="s">
        <v>8</v>
      </c>
      <c r="BV272" s="27" t="s">
        <v>7</v>
      </c>
      <c r="BW272" s="27" t="s">
        <v>8</v>
      </c>
      <c r="BY272" s="27" t="s">
        <v>8</v>
      </c>
      <c r="CF272" s="27" t="s">
        <v>7</v>
      </c>
      <c r="CN272" s="27" t="s">
        <v>7</v>
      </c>
      <c r="CO272" s="27" t="s">
        <v>8</v>
      </c>
      <c r="CR272" s="27" t="s">
        <v>7</v>
      </c>
      <c r="CS272" s="27" t="s">
        <v>8</v>
      </c>
      <c r="CT272" s="27" t="s">
        <v>7</v>
      </c>
    </row>
    <row r="273" spans="1:101" x14ac:dyDescent="0.25">
      <c r="A273" s="30">
        <v>0.19987253960121379</v>
      </c>
      <c r="B273"/>
      <c r="C273"/>
      <c r="D273"/>
      <c r="E273"/>
      <c r="J273" s="27" t="s">
        <v>7</v>
      </c>
      <c r="X273" s="27" t="s">
        <v>7</v>
      </c>
      <c r="Y273" s="27" t="s">
        <v>8</v>
      </c>
      <c r="Z273" s="27" t="s">
        <v>7</v>
      </c>
      <c r="AA273" s="27" t="s">
        <v>8</v>
      </c>
      <c r="AB273" s="27" t="s">
        <v>7</v>
      </c>
      <c r="AC273" s="27" t="s">
        <v>8</v>
      </c>
      <c r="AD273" s="27" t="s">
        <v>7</v>
      </c>
      <c r="AE273" s="27" t="s">
        <v>8</v>
      </c>
      <c r="AF273" s="27" t="s">
        <v>7</v>
      </c>
      <c r="AU273" s="27" t="s">
        <v>8</v>
      </c>
      <c r="AV273" s="27" t="s">
        <v>7</v>
      </c>
      <c r="AW273" s="27" t="s">
        <v>8</v>
      </c>
      <c r="AX273" s="27" t="s">
        <v>7</v>
      </c>
      <c r="AY273" s="27" t="s">
        <v>8</v>
      </c>
      <c r="BN273" s="27" t="s">
        <v>7</v>
      </c>
      <c r="BO273" s="27" t="s">
        <v>8</v>
      </c>
      <c r="BP273" s="27" t="s">
        <v>7</v>
      </c>
      <c r="BQ273" s="27" t="s">
        <v>8</v>
      </c>
      <c r="BR273" s="27" t="s">
        <v>7</v>
      </c>
      <c r="BU273" s="27" t="s">
        <v>8</v>
      </c>
      <c r="BV273" s="27" t="s">
        <v>7</v>
      </c>
      <c r="BW273" s="27" t="s">
        <v>8</v>
      </c>
      <c r="BX273" s="27" t="s">
        <v>7</v>
      </c>
      <c r="BY273" s="27" t="s">
        <v>8</v>
      </c>
      <c r="CN273" s="27" t="s">
        <v>7</v>
      </c>
      <c r="CR273" s="27" t="s">
        <v>7</v>
      </c>
      <c r="CS273" s="27" t="s">
        <v>8</v>
      </c>
      <c r="CT273" s="27" t="s">
        <v>7</v>
      </c>
    </row>
    <row r="274" spans="1:101" x14ac:dyDescent="0.25">
      <c r="A274" s="30">
        <v>0.19035479962020352</v>
      </c>
      <c r="B274"/>
      <c r="C274"/>
      <c r="D274"/>
      <c r="E274"/>
      <c r="X274" s="27" t="s">
        <v>7</v>
      </c>
      <c r="Z274" s="27" t="s">
        <v>7</v>
      </c>
      <c r="AA274" s="27" t="s">
        <v>8</v>
      </c>
      <c r="AB274" s="27" t="s">
        <v>7</v>
      </c>
      <c r="AC274" s="27" t="s">
        <v>8</v>
      </c>
      <c r="AD274" s="27" t="s">
        <v>7</v>
      </c>
      <c r="AE274" s="27" t="s">
        <v>8</v>
      </c>
      <c r="AF274" s="27" t="s">
        <v>7</v>
      </c>
      <c r="AU274" s="27" t="s">
        <v>8</v>
      </c>
      <c r="AV274" s="27" t="s">
        <v>7</v>
      </c>
      <c r="AW274" s="27" t="s">
        <v>8</v>
      </c>
      <c r="AX274" s="27" t="s">
        <v>7</v>
      </c>
      <c r="AY274" s="27" t="s">
        <v>8</v>
      </c>
      <c r="BN274" s="27" t="s">
        <v>7</v>
      </c>
      <c r="BP274" s="27" t="s">
        <v>7</v>
      </c>
      <c r="BR274" s="27" t="s">
        <v>7</v>
      </c>
      <c r="BS274" s="27" t="s">
        <v>8</v>
      </c>
      <c r="BU274" s="27" t="s">
        <v>8</v>
      </c>
      <c r="BV274" s="27" t="s">
        <v>7</v>
      </c>
      <c r="BW274" s="27" t="s">
        <v>8</v>
      </c>
      <c r="BX274" s="27" t="s">
        <v>7</v>
      </c>
      <c r="BY274" s="27" t="s">
        <v>8</v>
      </c>
      <c r="CR274" s="27" t="s">
        <v>7</v>
      </c>
      <c r="CT274" s="27" t="s">
        <v>7</v>
      </c>
      <c r="CU274" s="27" t="s">
        <v>8</v>
      </c>
    </row>
    <row r="275" spans="1:101" x14ac:dyDescent="0.25">
      <c r="A275" s="30">
        <v>0.18129028535257471</v>
      </c>
      <c r="B275"/>
      <c r="C275"/>
      <c r="D275"/>
      <c r="E275"/>
      <c r="Z275" s="27" t="s">
        <v>7</v>
      </c>
      <c r="AA275" s="27" t="s">
        <v>8</v>
      </c>
      <c r="AB275" s="27" t="s">
        <v>7</v>
      </c>
      <c r="AC275" s="27" t="s">
        <v>8</v>
      </c>
      <c r="AD275" s="27" t="s">
        <v>7</v>
      </c>
      <c r="AE275" s="27" t="s">
        <v>8</v>
      </c>
      <c r="AF275" s="27" t="s">
        <v>7</v>
      </c>
      <c r="AU275" s="27" t="s">
        <v>8</v>
      </c>
      <c r="AV275" s="27" t="s">
        <v>7</v>
      </c>
      <c r="AW275" s="27" t="s">
        <v>8</v>
      </c>
      <c r="AX275" s="27" t="s">
        <v>7</v>
      </c>
      <c r="AY275" s="27" t="s">
        <v>8</v>
      </c>
      <c r="BR275" s="27" t="s">
        <v>7</v>
      </c>
      <c r="BS275" s="27" t="s">
        <v>8</v>
      </c>
      <c r="BT275" s="27" t="s">
        <v>7</v>
      </c>
      <c r="BU275" s="27" t="s">
        <v>8</v>
      </c>
      <c r="BV275" s="27" t="s">
        <v>7</v>
      </c>
      <c r="BX275" s="27" t="s">
        <v>7</v>
      </c>
      <c r="BY275" s="27" t="s">
        <v>8</v>
      </c>
      <c r="CT275" s="27" t="s">
        <v>7</v>
      </c>
      <c r="CU275" s="27" t="s">
        <v>8</v>
      </c>
      <c r="CV275" s="27" t="s">
        <v>7</v>
      </c>
    </row>
    <row r="276" spans="1:101" x14ac:dyDescent="0.25">
      <c r="A276" s="30">
        <v>0.17265741462149967</v>
      </c>
      <c r="B276"/>
      <c r="C276"/>
      <c r="D276"/>
      <c r="E276"/>
      <c r="Z276" s="27" t="s">
        <v>7</v>
      </c>
      <c r="AB276" s="27" t="s">
        <v>7</v>
      </c>
      <c r="AC276" s="27" t="s">
        <v>8</v>
      </c>
      <c r="AD276" s="27" t="s">
        <v>7</v>
      </c>
      <c r="AF276" s="27" t="s">
        <v>7</v>
      </c>
      <c r="AU276" s="27" t="s">
        <v>8</v>
      </c>
      <c r="AV276" s="27" t="s">
        <v>7</v>
      </c>
      <c r="AW276" s="27" t="s">
        <v>8</v>
      </c>
      <c r="AX276" s="27" t="s">
        <v>7</v>
      </c>
      <c r="AY276" s="27" t="s">
        <v>8</v>
      </c>
      <c r="BR276" s="27" t="s">
        <v>7</v>
      </c>
      <c r="BS276" s="27" t="s">
        <v>8</v>
      </c>
      <c r="BT276" s="27" t="s">
        <v>7</v>
      </c>
      <c r="BU276" s="27" t="s">
        <v>8</v>
      </c>
      <c r="BX276" s="27" t="s">
        <v>7</v>
      </c>
      <c r="BY276" s="27" t="s">
        <v>8</v>
      </c>
      <c r="CT276" s="27" t="s">
        <v>7</v>
      </c>
      <c r="CU276" s="27" t="s">
        <v>8</v>
      </c>
      <c r="CV276" s="27" t="s">
        <v>7</v>
      </c>
    </row>
    <row r="277" spans="1:101" x14ac:dyDescent="0.25">
      <c r="A277" s="30">
        <v>0.16443563297285677</v>
      </c>
      <c r="B277"/>
      <c r="C277"/>
      <c r="D277"/>
      <c r="E277"/>
      <c r="AB277" s="27" t="s">
        <v>7</v>
      </c>
      <c r="AC277" s="27" t="s">
        <v>8</v>
      </c>
      <c r="AF277" s="27" t="s">
        <v>7</v>
      </c>
      <c r="AG277" s="27" t="s">
        <v>8</v>
      </c>
      <c r="AU277" s="27" t="s">
        <v>8</v>
      </c>
      <c r="AV277" s="27" t="s">
        <v>7</v>
      </c>
      <c r="AX277" s="27" t="s">
        <v>7</v>
      </c>
      <c r="AY277" s="27" t="s">
        <v>8</v>
      </c>
      <c r="BR277" s="27" t="s">
        <v>7</v>
      </c>
      <c r="BS277" s="27" t="s">
        <v>8</v>
      </c>
      <c r="BT277" s="27" t="s">
        <v>7</v>
      </c>
      <c r="BU277" s="27" t="s">
        <v>8</v>
      </c>
      <c r="BX277" s="27" t="s">
        <v>7</v>
      </c>
      <c r="CT277" s="27" t="s">
        <v>7</v>
      </c>
      <c r="CU277" s="27" t="s">
        <v>8</v>
      </c>
      <c r="CV277" s="27" t="s">
        <v>7</v>
      </c>
    </row>
    <row r="278" spans="1:101" x14ac:dyDescent="0.25">
      <c r="A278" s="30">
        <v>0.15660536473605399</v>
      </c>
      <c r="B278"/>
      <c r="C278"/>
      <c r="D278"/>
      <c r="E278"/>
      <c r="AB278" s="27" t="s">
        <v>7</v>
      </c>
      <c r="AC278" s="27" t="s">
        <v>8</v>
      </c>
      <c r="AF278" s="27" t="s">
        <v>7</v>
      </c>
      <c r="AG278" s="27" t="s">
        <v>8</v>
      </c>
      <c r="AH278" s="27" t="s">
        <v>7</v>
      </c>
      <c r="AI278" s="27" t="s">
        <v>8</v>
      </c>
      <c r="AU278" s="27" t="s">
        <v>8</v>
      </c>
      <c r="AX278" s="31" t="s">
        <v>7</v>
      </c>
      <c r="AY278" s="27" t="s">
        <v>8</v>
      </c>
      <c r="BR278" s="27" t="s">
        <v>7</v>
      </c>
      <c r="BT278" s="27" t="s">
        <v>7</v>
      </c>
      <c r="BU278" s="27" t="s">
        <v>8</v>
      </c>
      <c r="CT278" s="27" t="s">
        <v>7</v>
      </c>
      <c r="CV278" s="27" t="s">
        <v>7</v>
      </c>
    </row>
    <row r="279" spans="1:101" x14ac:dyDescent="0.25">
      <c r="A279" s="30">
        <v>0.14914796641528946</v>
      </c>
      <c r="B279"/>
      <c r="C279"/>
      <c r="D279"/>
      <c r="E279"/>
      <c r="AB279" s="27" t="s">
        <v>7</v>
      </c>
      <c r="AC279" s="27" t="s">
        <v>8</v>
      </c>
      <c r="AF279" s="27" t="s">
        <v>7</v>
      </c>
      <c r="AG279" s="27" t="s">
        <v>8</v>
      </c>
      <c r="AH279" s="27" t="s">
        <v>7</v>
      </c>
      <c r="AI279" s="27" t="s">
        <v>8</v>
      </c>
      <c r="AJ279" s="27" t="s">
        <v>7</v>
      </c>
      <c r="AU279" s="27" t="s">
        <v>8</v>
      </c>
      <c r="AX279" s="27" t="s">
        <v>7</v>
      </c>
      <c r="AY279" s="27" t="s">
        <v>8</v>
      </c>
      <c r="BT279" s="27" t="s">
        <v>7</v>
      </c>
      <c r="CV279" s="27" t="s">
        <v>7</v>
      </c>
    </row>
    <row r="280" spans="1:101" x14ac:dyDescent="0.25">
      <c r="A280" s="30">
        <v>0.14204568230027562</v>
      </c>
      <c r="B280"/>
      <c r="C280"/>
      <c r="D280"/>
      <c r="E280"/>
      <c r="AB280" s="27" t="s">
        <v>7</v>
      </c>
      <c r="AC280" s="27" t="s">
        <v>8</v>
      </c>
      <c r="AF280" s="27" t="s">
        <v>7</v>
      </c>
      <c r="AG280" s="27" t="s">
        <v>8</v>
      </c>
      <c r="AH280" s="27" t="s">
        <v>7</v>
      </c>
      <c r="AI280" s="27" t="s">
        <v>8</v>
      </c>
      <c r="AJ280" s="27" t="s">
        <v>7</v>
      </c>
      <c r="AU280" s="27" t="s">
        <v>8</v>
      </c>
      <c r="AX280" s="27" t="s">
        <v>7</v>
      </c>
      <c r="AY280" s="27" t="s">
        <v>8</v>
      </c>
      <c r="CV280" s="27" t="s">
        <v>7</v>
      </c>
    </row>
    <row r="281" spans="1:101" x14ac:dyDescent="0.25">
      <c r="A281" s="30">
        <v>0.13528160219073862</v>
      </c>
      <c r="B281"/>
      <c r="C281"/>
      <c r="D281"/>
      <c r="E281"/>
      <c r="AB281" s="27" t="s">
        <v>7</v>
      </c>
      <c r="AC281" s="27" t="s">
        <v>8</v>
      </c>
      <c r="AF281" s="27" t="s">
        <v>7</v>
      </c>
      <c r="AG281" s="27" t="s">
        <v>8</v>
      </c>
      <c r="AH281" s="27" t="s">
        <v>7</v>
      </c>
      <c r="AJ281" s="27" t="s">
        <v>7</v>
      </c>
      <c r="AU281" s="27" t="s">
        <v>8</v>
      </c>
      <c r="AX281" s="27" t="s">
        <v>7</v>
      </c>
      <c r="CV281" s="27" t="s">
        <v>7</v>
      </c>
    </row>
    <row r="282" spans="1:101" x14ac:dyDescent="0.25">
      <c r="A282" s="30">
        <v>0.12883962113403674</v>
      </c>
      <c r="B282"/>
      <c r="C282"/>
      <c r="D282"/>
      <c r="E282"/>
      <c r="AB282" s="27" t="s">
        <v>7</v>
      </c>
      <c r="AC282" s="27" t="s">
        <v>8</v>
      </c>
      <c r="AF282" s="27" t="s">
        <v>7</v>
      </c>
      <c r="AJ282" s="27" t="s">
        <v>7</v>
      </c>
      <c r="AS282" s="27" t="s">
        <v>8</v>
      </c>
      <c r="AU282" s="27" t="s">
        <v>8</v>
      </c>
      <c r="CV282" s="27" t="s">
        <v>7</v>
      </c>
    </row>
    <row r="283" spans="1:101" x14ac:dyDescent="0.25">
      <c r="A283" s="30">
        <v>0.12270440108003494</v>
      </c>
      <c r="B283"/>
      <c r="C283"/>
      <c r="D283"/>
      <c r="E283"/>
      <c r="AB283" s="27" t="s">
        <v>7</v>
      </c>
      <c r="AC283" s="27" t="s">
        <v>8</v>
      </c>
      <c r="AJ283" s="27" t="s">
        <v>7</v>
      </c>
      <c r="AS283" s="27" t="s">
        <v>8</v>
      </c>
      <c r="AT283" s="27" t="s">
        <v>7</v>
      </c>
      <c r="AU283" s="27" t="s">
        <v>8</v>
      </c>
      <c r="CV283" s="27" t="s">
        <v>7</v>
      </c>
    </row>
    <row r="284" spans="1:101" x14ac:dyDescent="0.25">
      <c r="A284" s="30">
        <v>0.11686133436193799</v>
      </c>
      <c r="B284"/>
      <c r="C284"/>
      <c r="D284"/>
      <c r="E284"/>
      <c r="AB284" s="27" t="s">
        <v>7</v>
      </c>
      <c r="AJ284" s="27" t="s">
        <v>7</v>
      </c>
      <c r="AQ284" s="27" t="s">
        <v>8</v>
      </c>
      <c r="AS284" s="27" t="s">
        <v>8</v>
      </c>
      <c r="AT284" s="27" t="s">
        <v>7</v>
      </c>
      <c r="AU284" s="27" t="s">
        <v>8</v>
      </c>
      <c r="CV284" s="27" t="s">
        <v>7</v>
      </c>
      <c r="CW284" s="27" t="s">
        <v>8</v>
      </c>
    </row>
    <row r="285" spans="1:101" x14ac:dyDescent="0.25">
      <c r="A285" s="30">
        <v>0.11129650891613138</v>
      </c>
      <c r="B285"/>
      <c r="C285"/>
      <c r="D285"/>
      <c r="E285"/>
      <c r="AJ285" s="27" t="s">
        <v>7</v>
      </c>
      <c r="AQ285" s="27" t="s">
        <v>8</v>
      </c>
      <c r="AR285" s="27" t="s">
        <v>7</v>
      </c>
      <c r="AS285" s="27" t="s">
        <v>8</v>
      </c>
      <c r="AT285" s="27" t="s">
        <v>7</v>
      </c>
      <c r="CV285" s="27" t="s">
        <v>7</v>
      </c>
      <c r="CW285" s="27" t="s">
        <v>8</v>
      </c>
    </row>
    <row r="286" spans="1:101" x14ac:dyDescent="0.25">
      <c r="A286" s="30">
        <v>0.10599667515822032</v>
      </c>
      <c r="B286"/>
      <c r="C286"/>
      <c r="D286"/>
      <c r="E286"/>
      <c r="AJ286" s="27" t="s">
        <v>7</v>
      </c>
      <c r="AQ286" s="27" t="s">
        <v>8</v>
      </c>
      <c r="AR286" s="27" t="s">
        <v>7</v>
      </c>
      <c r="AS286" s="27" t="s">
        <v>8</v>
      </c>
      <c r="CV286" s="27" t="s">
        <v>7</v>
      </c>
      <c r="CW286" s="27" t="s">
        <v>8</v>
      </c>
    </row>
    <row r="287" spans="1:101" x14ac:dyDescent="0.25">
      <c r="A287" s="30">
        <v>0.10094921443640027</v>
      </c>
      <c r="B287"/>
      <c r="C287"/>
      <c r="D287"/>
      <c r="E287"/>
      <c r="AJ287" s="27" t="s">
        <v>7</v>
      </c>
      <c r="AQ287" s="27" t="s">
        <v>8</v>
      </c>
      <c r="AR287" s="27" t="s">
        <v>7</v>
      </c>
      <c r="AS287" s="27" t="s">
        <v>8</v>
      </c>
      <c r="CV287" s="27" t="s">
        <v>7</v>
      </c>
      <c r="CW287" s="27" t="s">
        <v>8</v>
      </c>
    </row>
    <row r="288" spans="1:101" x14ac:dyDescent="0.25">
      <c r="A288" s="30">
        <v>9.6142108987047836E-2</v>
      </c>
      <c r="B288"/>
      <c r="C288"/>
      <c r="D288"/>
      <c r="E288"/>
      <c r="AJ288" s="27" t="s">
        <v>7</v>
      </c>
      <c r="AK288" s="27" t="s">
        <v>8</v>
      </c>
      <c r="AO288" s="27" t="s">
        <v>8</v>
      </c>
      <c r="AQ288" s="27" t="s">
        <v>8</v>
      </c>
      <c r="AR288" s="27" t="s">
        <v>7</v>
      </c>
      <c r="AS288" s="27" t="s">
        <v>8</v>
      </c>
      <c r="CV288" s="27" t="s">
        <v>7</v>
      </c>
      <c r="CW288" s="27" t="s">
        <v>8</v>
      </c>
    </row>
    <row r="289" spans="1:100" x14ac:dyDescent="0.25">
      <c r="A289" s="30">
        <v>9.1563913320997906E-2</v>
      </c>
      <c r="B289"/>
      <c r="C289"/>
      <c r="D289"/>
      <c r="E289"/>
      <c r="AJ289" s="27" t="s">
        <v>7</v>
      </c>
      <c r="AK289" s="27" t="s">
        <v>8</v>
      </c>
      <c r="AL289" s="27" t="s">
        <v>7</v>
      </c>
      <c r="AO289" s="27" t="s">
        <v>8</v>
      </c>
      <c r="AP289" s="27" t="s">
        <v>7</v>
      </c>
      <c r="AQ289" s="27" t="s">
        <v>8</v>
      </c>
      <c r="AR289" s="27" t="s">
        <v>7</v>
      </c>
      <c r="AS289" s="27" t="s">
        <v>8</v>
      </c>
      <c r="CV289" s="27" t="s">
        <v>7</v>
      </c>
    </row>
    <row r="290" spans="1:100" x14ac:dyDescent="0.25">
      <c r="A290" s="30">
        <v>8.7203726972378923E-2</v>
      </c>
      <c r="B290"/>
      <c r="C290"/>
      <c r="D290"/>
      <c r="E290"/>
      <c r="AJ290" s="27" t="s">
        <v>7</v>
      </c>
      <c r="AK290" s="27" t="s">
        <v>8</v>
      </c>
      <c r="AL290" s="27" t="s">
        <v>7</v>
      </c>
      <c r="AO290" s="27" t="s">
        <v>8</v>
      </c>
      <c r="AP290" s="27" t="s">
        <v>7</v>
      </c>
      <c r="AQ290" s="27" t="s">
        <v>8</v>
      </c>
      <c r="AR290" s="27" t="s">
        <v>7</v>
      </c>
      <c r="AS290" s="27" t="s">
        <v>8</v>
      </c>
    </row>
    <row r="291" spans="1:100" x14ac:dyDescent="0.25">
      <c r="A291" s="30">
        <v>8.3051168545122747E-2</v>
      </c>
      <c r="B291"/>
      <c r="C291"/>
      <c r="D291"/>
      <c r="E291"/>
      <c r="AJ291" s="27" t="s">
        <v>7</v>
      </c>
      <c r="AK291" s="27" t="s">
        <v>8</v>
      </c>
      <c r="AL291" s="27" t="s">
        <v>7</v>
      </c>
      <c r="AM291" s="27" t="s">
        <v>8</v>
      </c>
      <c r="AO291" s="27" t="s">
        <v>8</v>
      </c>
      <c r="AP291" s="27" t="s">
        <v>7</v>
      </c>
      <c r="AQ291" s="27" t="s">
        <v>8</v>
      </c>
      <c r="AR291" s="27" t="s">
        <v>7</v>
      </c>
    </row>
    <row r="292" spans="1:100" x14ac:dyDescent="0.25">
      <c r="A292" s="30">
        <v>7.9096350995354961E-2</v>
      </c>
      <c r="B292"/>
      <c r="C292"/>
      <c r="D292"/>
      <c r="E292"/>
      <c r="AJ292" s="27" t="s">
        <v>7</v>
      </c>
      <c r="AK292" s="27" t="s">
        <v>8</v>
      </c>
      <c r="AL292" s="27" t="s">
        <v>7</v>
      </c>
      <c r="AM292" s="27" t="s">
        <v>8</v>
      </c>
      <c r="AN292" s="27" t="s">
        <v>7</v>
      </c>
      <c r="AO292" s="27" t="s">
        <v>8</v>
      </c>
      <c r="AP292" s="27" t="s">
        <v>7</v>
      </c>
    </row>
    <row r="293" spans="1:100" x14ac:dyDescent="0.25">
      <c r="A293" s="30">
        <v>7.5329858090814217E-2</v>
      </c>
      <c r="B293"/>
      <c r="C293"/>
      <c r="D293"/>
      <c r="E293"/>
      <c r="AJ293" s="27" t="s">
        <v>7</v>
      </c>
      <c r="AK293" s="27" t="s">
        <v>8</v>
      </c>
      <c r="AL293" s="27" t="s">
        <v>7</v>
      </c>
      <c r="AM293" s="27" t="s">
        <v>8</v>
      </c>
      <c r="AN293" s="27" t="s">
        <v>7</v>
      </c>
      <c r="AO293" s="27" t="s">
        <v>8</v>
      </c>
    </row>
    <row r="294" spans="1:100" x14ac:dyDescent="0.25">
      <c r="A294" s="30">
        <v>7.1742721991251604E-2</v>
      </c>
      <c r="B294"/>
      <c r="C294"/>
      <c r="D294"/>
      <c r="E294"/>
      <c r="AJ294" s="27" t="s">
        <v>7</v>
      </c>
      <c r="AL294" s="27" t="s">
        <v>7</v>
      </c>
      <c r="AM294" s="27" t="s">
        <v>8</v>
      </c>
      <c r="AN294" s="27" t="s">
        <v>7</v>
      </c>
    </row>
    <row r="295" spans="1:100" x14ac:dyDescent="0.25">
      <c r="A295" s="30">
        <v>6.8326401896430078E-2</v>
      </c>
      <c r="B295"/>
      <c r="C295"/>
      <c r="D295"/>
      <c r="E295"/>
      <c r="AL295" s="27" t="s">
        <v>7</v>
      </c>
    </row>
    <row r="296" spans="1:100" x14ac:dyDescent="0.25">
      <c r="A296" s="30">
        <v>6.5072763710885759E-2</v>
      </c>
      <c r="B296"/>
      <c r="C296"/>
      <c r="D296"/>
      <c r="E296"/>
    </row>
    <row r="297" spans="1:100" x14ac:dyDescent="0.25">
      <c r="A297" s="30">
        <v>6.197406067703403E-2</v>
      </c>
      <c r="B297"/>
      <c r="C297"/>
      <c r="D297"/>
      <c r="E297"/>
    </row>
    <row r="298" spans="1:100" x14ac:dyDescent="0.25">
      <c r="A298" s="30">
        <v>5.9022914930508576E-2</v>
      </c>
      <c r="B298"/>
      <c r="C298"/>
      <c r="D298"/>
      <c r="E298"/>
    </row>
    <row r="299" spans="1:100" x14ac:dyDescent="0.25">
      <c r="A299" s="30">
        <v>5.6212299933817669E-2</v>
      </c>
      <c r="B299"/>
      <c r="C299"/>
      <c r="D299"/>
      <c r="E299"/>
    </row>
    <row r="300" spans="1:100" x14ac:dyDescent="0.25">
      <c r="A300" s="30">
        <v>5.3535523746492994E-2</v>
      </c>
      <c r="B300"/>
      <c r="C300"/>
      <c r="D300"/>
      <c r="E300"/>
    </row>
    <row r="301" spans="1:100" x14ac:dyDescent="0.25">
      <c r="A301" s="30">
        <v>5.0986213091898068E-2</v>
      </c>
      <c r="B301"/>
      <c r="C301"/>
      <c r="D301"/>
      <c r="E301"/>
    </row>
    <row r="302" spans="1:100" x14ac:dyDescent="0.25">
      <c r="A302" s="30">
        <v>4.8558298182760043E-2</v>
      </c>
      <c r="B302"/>
      <c r="C302"/>
      <c r="D302"/>
      <c r="E302"/>
    </row>
    <row r="303" spans="1:100" x14ac:dyDescent="0.25">
      <c r="A303" s="30">
        <v>4.6245998269295263E-2</v>
      </c>
      <c r="B303"/>
      <c r="C303"/>
      <c r="D303"/>
      <c r="E303"/>
    </row>
    <row r="304" spans="1:100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710" operator="equal">
      <formula>$U$1</formula>
    </cfRule>
    <cfRule type="cellIs" dxfId="67" priority="711" operator="equal">
      <formula>$S$1</formula>
    </cfRule>
  </conditionalFormatting>
  <conditionalFormatting sqref="D136">
    <cfRule type="cellIs" dxfId="66" priority="708" operator="equal">
      <formula>$S$1</formula>
    </cfRule>
    <cfRule type="cellIs" dxfId="65" priority="709" operator="equal">
      <formula>$U$1</formula>
    </cfRule>
  </conditionalFormatting>
  <conditionalFormatting sqref="C162">
    <cfRule type="cellIs" dxfId="64" priority="706" operator="equal">
      <formula>$U$1</formula>
    </cfRule>
    <cfRule type="cellIs" dxfId="63" priority="707" operator="equal">
      <formula>$S$1</formula>
    </cfRule>
  </conditionalFormatting>
  <conditionalFormatting sqref="D162">
    <cfRule type="cellIs" dxfId="62" priority="704" operator="equal">
      <formula>$S$1</formula>
    </cfRule>
    <cfRule type="cellIs" dxfId="61" priority="705" operator="equal">
      <formula>$U$1</formula>
    </cfRule>
  </conditionalFormatting>
  <conditionalFormatting sqref="C187">
    <cfRule type="cellIs" dxfId="60" priority="702" operator="equal">
      <formula>$U$1</formula>
    </cfRule>
    <cfRule type="cellIs" dxfId="59" priority="703" operator="equal">
      <formula>$S$1</formula>
    </cfRule>
  </conditionalFormatting>
  <conditionalFormatting sqref="D187">
    <cfRule type="cellIs" dxfId="58" priority="700" operator="equal">
      <formula>$S$1</formula>
    </cfRule>
    <cfRule type="cellIs" dxfId="57" priority="701" operator="equal">
      <formula>$U$1</formula>
    </cfRule>
  </conditionalFormatting>
  <conditionalFormatting sqref="C212">
    <cfRule type="cellIs" dxfId="56" priority="698" operator="equal">
      <formula>$U$1</formula>
    </cfRule>
    <cfRule type="cellIs" dxfId="55" priority="699" operator="equal">
      <formula>$S$1</formula>
    </cfRule>
  </conditionalFormatting>
  <conditionalFormatting sqref="D212">
    <cfRule type="cellIs" dxfId="54" priority="696" operator="equal">
      <formula>$S$1</formula>
    </cfRule>
    <cfRule type="cellIs" dxfId="53" priority="697" operator="equal">
      <formula>$U$1</formula>
    </cfRule>
  </conditionalFormatting>
  <conditionalFormatting sqref="C237">
    <cfRule type="cellIs" dxfId="52" priority="694" operator="equal">
      <formula>$U$1</formula>
    </cfRule>
    <cfRule type="cellIs" dxfId="51" priority="695" operator="equal">
      <formula>$S$1</formula>
    </cfRule>
  </conditionalFormatting>
  <conditionalFormatting sqref="D237">
    <cfRule type="cellIs" dxfId="50" priority="692" operator="equal">
      <formula>$S$1</formula>
    </cfRule>
    <cfRule type="cellIs" dxfId="49" priority="693" operator="equal">
      <formula>$U$1</formula>
    </cfRule>
  </conditionalFormatting>
  <conditionalFormatting sqref="C106">
    <cfRule type="cellIs" dxfId="48" priority="690" operator="equal">
      <formula>$U$1</formula>
    </cfRule>
    <cfRule type="cellIs" dxfId="47" priority="691" operator="equal">
      <formula>$S$1</formula>
    </cfRule>
  </conditionalFormatting>
  <conditionalFormatting sqref="D106">
    <cfRule type="cellIs" dxfId="46" priority="688" operator="equal">
      <formula>$S$1</formula>
    </cfRule>
    <cfRule type="cellIs" dxfId="45" priority="689" operator="equal">
      <formula>$U$1</formula>
    </cfRule>
  </conditionalFormatting>
  <conditionalFormatting sqref="C81">
    <cfRule type="cellIs" dxfId="44" priority="686" operator="equal">
      <formula>$U$1</formula>
    </cfRule>
    <cfRule type="cellIs" dxfId="43" priority="687" operator="equal">
      <formula>$S$1</formula>
    </cfRule>
  </conditionalFormatting>
  <conditionalFormatting sqref="D81">
    <cfRule type="cellIs" dxfId="42" priority="684" operator="equal">
      <formula>$S$1</formula>
    </cfRule>
    <cfRule type="cellIs" dxfId="41" priority="685" operator="equal">
      <formula>$U$1</formula>
    </cfRule>
  </conditionalFormatting>
  <conditionalFormatting sqref="C56">
    <cfRule type="cellIs" dxfId="40" priority="682" operator="equal">
      <formula>$U$1</formula>
    </cfRule>
    <cfRule type="cellIs" dxfId="39" priority="683" operator="equal">
      <formula>$S$1</formula>
    </cfRule>
  </conditionalFormatting>
  <conditionalFormatting sqref="D56">
    <cfRule type="cellIs" dxfId="38" priority="680" operator="equal">
      <formula>$S$1</formula>
    </cfRule>
    <cfRule type="cellIs" dxfId="37" priority="681" operator="equal">
      <formula>$U$1</formula>
    </cfRule>
  </conditionalFormatting>
  <conditionalFormatting sqref="C31">
    <cfRule type="cellIs" dxfId="36" priority="678" operator="equal">
      <formula>$U$1</formula>
    </cfRule>
    <cfRule type="cellIs" dxfId="35" priority="679" operator="equal">
      <formula>$S$1</formula>
    </cfRule>
  </conditionalFormatting>
  <conditionalFormatting sqref="D31">
    <cfRule type="cellIs" dxfId="34" priority="676" operator="equal">
      <formula>$S$1</formula>
    </cfRule>
    <cfRule type="cellIs" dxfId="33" priority="677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T146" sqref="AT146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$A$145</v>
      </c>
      <c r="D111" s="1" t="str">
        <f>ADDRESS(C121-1,D121,1,1)</f>
        <v>$AT$145</v>
      </c>
      <c r="E111"/>
    </row>
    <row r="112" spans="1:5" x14ac:dyDescent="0.25">
      <c r="A112" s="30">
        <v>2.3579476910000019</v>
      </c>
      <c r="C112" s="1" t="str">
        <f>ADDRESS(C121,1,1,1)</f>
        <v>$A$146</v>
      </c>
      <c r="D112" s="1" t="str">
        <f>ADDRESS(C121,D121-1,1,1)</f>
        <v>$AS$146</v>
      </c>
      <c r="E112"/>
    </row>
    <row r="113" spans="1:40" x14ac:dyDescent="0.25">
      <c r="A113" s="30">
        <v>2.1435888100000016</v>
      </c>
      <c r="C113" s="1" t="str">
        <f>ADDRESS(C121+1,1,1,1)</f>
        <v>$A$147</v>
      </c>
      <c r="D113" s="1" t="str">
        <f>ADDRESS(C121-1,D121+1,1,1)</f>
        <v>$AU$145</v>
      </c>
    </row>
    <row r="114" spans="1:40" x14ac:dyDescent="0.25">
      <c r="A114" s="30">
        <v>1.9487171000000014</v>
      </c>
      <c r="C114" s="1" t="str">
        <f>ADDRESS(C121,D121,1,1)</f>
        <v>$AT$146</v>
      </c>
      <c r="D114" s="1" t="str">
        <f>ADDRESS(C121+1,D121+1,1,1)</f>
        <v>$AU$147</v>
      </c>
    </row>
    <row r="115" spans="1:40" x14ac:dyDescent="0.25">
      <c r="A115" s="30">
        <v>1.7715610000000011</v>
      </c>
      <c r="C115" s="1" t="str">
        <f>ADDRESS(C121+1,D121,1,1)</f>
        <v>$AT$147</v>
      </c>
    </row>
    <row r="116" spans="1:40" x14ac:dyDescent="0.25">
      <c r="A116" s="30">
        <v>1.6105100000000008</v>
      </c>
      <c r="C116" s="1">
        <f>C117-1</f>
        <v>145</v>
      </c>
    </row>
    <row r="117" spans="1:40" x14ac:dyDescent="0.25">
      <c r="A117" s="30">
        <v>1.4641000000000006</v>
      </c>
      <c r="C117" s="1">
        <f>C121</f>
        <v>146</v>
      </c>
      <c r="D117" s="1">
        <f>D121</f>
        <v>46</v>
      </c>
    </row>
    <row r="118" spans="1:40" x14ac:dyDescent="0.25">
      <c r="A118" s="30">
        <v>1.3310000000000004</v>
      </c>
      <c r="C118" s="1">
        <f>C117+1</f>
        <v>147</v>
      </c>
      <c r="D118" s="1">
        <f>D117+1</f>
        <v>47</v>
      </c>
    </row>
    <row r="119" spans="1:40" x14ac:dyDescent="0.25">
      <c r="A119" s="30">
        <v>1.2100000000000002</v>
      </c>
    </row>
    <row r="120" spans="1:40" x14ac:dyDescent="0.25">
      <c r="A120" s="30">
        <v>1.1000000000000001</v>
      </c>
      <c r="C120" s="1" t="s">
        <v>9</v>
      </c>
    </row>
    <row r="121" spans="1:40" x14ac:dyDescent="0.25">
      <c r="A121" s="30">
        <v>1</v>
      </c>
      <c r="C121" s="18">
        <v>146</v>
      </c>
      <c r="D121" s="19">
        <v>46</v>
      </c>
      <c r="E121" s="18" t="s">
        <v>8</v>
      </c>
    </row>
    <row r="122" spans="1:40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40" x14ac:dyDescent="0.25">
      <c r="A123" s="30">
        <v>0.82644628099173523</v>
      </c>
      <c r="C123" s="1" t="str">
        <f>"R"&amp;C121</f>
        <v>R146</v>
      </c>
      <c r="D123" s="1" t="str">
        <f>"C"&amp;D121</f>
        <v>C46</v>
      </c>
      <c r="F123" s="27" t="s">
        <v>7</v>
      </c>
      <c r="G123" s="27" t="s">
        <v>8</v>
      </c>
    </row>
    <row r="124" spans="1:40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G124" s="27" t="s">
        <v>8</v>
      </c>
      <c r="H124" s="27" t="s">
        <v>7</v>
      </c>
    </row>
    <row r="125" spans="1:40" x14ac:dyDescent="0.25">
      <c r="A125" s="30">
        <v>0.68301345536507019</v>
      </c>
      <c r="F125" s="27" t="s">
        <v>7</v>
      </c>
      <c r="G125" s="27" t="s">
        <v>8</v>
      </c>
      <c r="H125" s="27" t="s">
        <v>7</v>
      </c>
      <c r="I125" s="27" t="s">
        <v>8</v>
      </c>
    </row>
    <row r="126" spans="1:40" x14ac:dyDescent="0.25">
      <c r="A126" s="30">
        <v>0.6209213230591546</v>
      </c>
      <c r="C126" s="1" t="s">
        <v>10</v>
      </c>
      <c r="F126" s="27" t="s">
        <v>7</v>
      </c>
      <c r="G126" s="27" t="s">
        <v>8</v>
      </c>
      <c r="H126" s="27" t="s">
        <v>7</v>
      </c>
      <c r="I126" s="27" t="s">
        <v>8</v>
      </c>
      <c r="J126" s="27" t="s">
        <v>7</v>
      </c>
    </row>
    <row r="127" spans="1:40" x14ac:dyDescent="0.25">
      <c r="A127" s="30">
        <v>0.56447393005377677</v>
      </c>
      <c r="C127" s="30">
        <v>9.2295998177063854E-2</v>
      </c>
      <c r="D127"/>
      <c r="F127" s="27" t="s">
        <v>7</v>
      </c>
      <c r="G127" s="27" t="s">
        <v>8</v>
      </c>
      <c r="H127" s="27" t="s">
        <v>7</v>
      </c>
      <c r="I127" s="27" t="s">
        <v>8</v>
      </c>
      <c r="J127" s="27" t="s">
        <v>7</v>
      </c>
      <c r="AM127" s="27" t="s">
        <v>8</v>
      </c>
    </row>
    <row r="128" spans="1:40" x14ac:dyDescent="0.25">
      <c r="A128" s="30">
        <v>0.51315811823070612</v>
      </c>
      <c r="F128" s="27" t="s">
        <v>7</v>
      </c>
      <c r="G128" s="27" t="s">
        <v>8</v>
      </c>
      <c r="H128" s="27" t="s">
        <v>7</v>
      </c>
      <c r="I128" s="27" t="s">
        <v>8</v>
      </c>
      <c r="J128" s="27" t="s">
        <v>7</v>
      </c>
      <c r="AM128" s="27" t="s">
        <v>8</v>
      </c>
      <c r="AN128" s="27" t="s">
        <v>7</v>
      </c>
    </row>
    <row r="129" spans="1:46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G129" s="27" t="s">
        <v>8</v>
      </c>
      <c r="H129" s="27" t="s">
        <v>7</v>
      </c>
      <c r="J129" s="27" t="s">
        <v>7</v>
      </c>
      <c r="AM129" s="27" t="s">
        <v>8</v>
      </c>
      <c r="AN129" s="27" t="s">
        <v>7</v>
      </c>
      <c r="AO129" s="27" t="s">
        <v>8</v>
      </c>
    </row>
    <row r="130" spans="1:46" x14ac:dyDescent="0.25">
      <c r="A130" s="30">
        <v>0.42409761837248428</v>
      </c>
      <c r="C130" s="6"/>
      <c r="D130" s="6"/>
      <c r="E130"/>
      <c r="F130" s="27" t="s">
        <v>7</v>
      </c>
      <c r="G130" s="27" t="s">
        <v>8</v>
      </c>
      <c r="J130" s="27" t="s">
        <v>7</v>
      </c>
      <c r="AK130" s="27" t="s">
        <v>8</v>
      </c>
      <c r="AM130" s="27" t="s">
        <v>8</v>
      </c>
      <c r="AN130" s="27" t="s">
        <v>7</v>
      </c>
      <c r="AO130" s="27" t="s">
        <v>8</v>
      </c>
      <c r="AP130" s="27" t="s">
        <v>7</v>
      </c>
    </row>
    <row r="131" spans="1:46" x14ac:dyDescent="0.25">
      <c r="A131" s="30">
        <v>0.38554328942953109</v>
      </c>
      <c r="E131"/>
      <c r="F131" s="27" t="s">
        <v>7</v>
      </c>
      <c r="G131" s="27" t="s">
        <v>8</v>
      </c>
      <c r="J131" s="27" t="s">
        <v>7</v>
      </c>
      <c r="AA131" s="27" t="s">
        <v>8</v>
      </c>
      <c r="AC131" s="27" t="s">
        <v>8</v>
      </c>
      <c r="AK131" s="27" t="s">
        <v>8</v>
      </c>
      <c r="AL131" s="27" t="s">
        <v>7</v>
      </c>
      <c r="AM131" s="27" t="s">
        <v>8</v>
      </c>
      <c r="AN131" s="27" t="s">
        <v>7</v>
      </c>
      <c r="AO131" s="27" t="s">
        <v>8</v>
      </c>
      <c r="AP131" s="27" t="s">
        <v>7</v>
      </c>
    </row>
    <row r="132" spans="1:46" x14ac:dyDescent="0.25">
      <c r="A132" s="30">
        <v>0.35049389948139187</v>
      </c>
      <c r="C132" s="1" t="s">
        <v>13</v>
      </c>
      <c r="E132"/>
      <c r="F132" s="27" t="s">
        <v>7</v>
      </c>
      <c r="G132" s="27" t="s">
        <v>8</v>
      </c>
      <c r="J132" s="27" t="s">
        <v>7</v>
      </c>
      <c r="W132" s="27" t="s">
        <v>8</v>
      </c>
      <c r="Y132" s="27" t="s">
        <v>8</v>
      </c>
      <c r="AA132" s="27" t="s">
        <v>8</v>
      </c>
      <c r="AB132" s="27" t="s">
        <v>7</v>
      </c>
      <c r="AC132" s="27" t="s">
        <v>8</v>
      </c>
      <c r="AD132" s="27" t="s">
        <v>7</v>
      </c>
      <c r="AK132" s="27" t="s">
        <v>8</v>
      </c>
      <c r="AL132" s="27" t="s">
        <v>7</v>
      </c>
      <c r="AM132" s="27" t="s">
        <v>8</v>
      </c>
      <c r="AN132" s="27" t="s">
        <v>7</v>
      </c>
      <c r="AP132" s="27" t="s">
        <v>7</v>
      </c>
    </row>
    <row r="133" spans="1:46" x14ac:dyDescent="0.25">
      <c r="A133" s="30">
        <v>0.31863081771035617</v>
      </c>
      <c r="C133" s="1" t="str">
        <f>C122</f>
        <v>O</v>
      </c>
      <c r="E133"/>
      <c r="F133" s="27" t="s">
        <v>7</v>
      </c>
      <c r="G133" s="27" t="s">
        <v>8</v>
      </c>
      <c r="J133" s="27" t="s">
        <v>7</v>
      </c>
      <c r="S133" s="27" t="s">
        <v>8</v>
      </c>
      <c r="W133" s="27" t="s">
        <v>8</v>
      </c>
      <c r="X133" s="27" t="s">
        <v>7</v>
      </c>
      <c r="Y133" s="27" t="s">
        <v>8</v>
      </c>
      <c r="Z133" s="27" t="s">
        <v>7</v>
      </c>
      <c r="AA133" s="27" t="s">
        <v>8</v>
      </c>
      <c r="AB133" s="27" t="s">
        <v>7</v>
      </c>
      <c r="AC133" s="27" t="s">
        <v>8</v>
      </c>
      <c r="AD133" s="27" t="s">
        <v>7</v>
      </c>
      <c r="AG133" s="27" t="s">
        <v>8</v>
      </c>
      <c r="AI133" s="27" t="s">
        <v>8</v>
      </c>
      <c r="AK133" s="27" t="s">
        <v>8</v>
      </c>
      <c r="AL133" s="27" t="s">
        <v>7</v>
      </c>
      <c r="AP133" s="27" t="s">
        <v>7</v>
      </c>
    </row>
    <row r="134" spans="1:46" x14ac:dyDescent="0.25">
      <c r="A134" s="30">
        <v>0.28966437973668741</v>
      </c>
      <c r="C134"/>
      <c r="D134"/>
      <c r="E134"/>
      <c r="F134" s="27" t="s">
        <v>7</v>
      </c>
      <c r="G134" s="27" t="s">
        <v>8</v>
      </c>
      <c r="J134" s="27" t="s">
        <v>7</v>
      </c>
      <c r="S134" s="27" t="s">
        <v>8</v>
      </c>
      <c r="T134" s="27" t="s">
        <v>7</v>
      </c>
      <c r="W134" s="27" t="s">
        <v>8</v>
      </c>
      <c r="X134" s="27" t="s">
        <v>7</v>
      </c>
      <c r="Y134" s="27" t="s">
        <v>8</v>
      </c>
      <c r="Z134" s="27" t="s">
        <v>7</v>
      </c>
      <c r="AA134" s="27" t="s">
        <v>8</v>
      </c>
      <c r="AB134" s="27" t="s">
        <v>7</v>
      </c>
      <c r="AD134" s="27" t="s">
        <v>7</v>
      </c>
      <c r="AG134" s="27" t="s">
        <v>8</v>
      </c>
      <c r="AH134" s="27" t="s">
        <v>7</v>
      </c>
      <c r="AI134" s="27" t="s">
        <v>8</v>
      </c>
      <c r="AJ134" s="27" t="s">
        <v>7</v>
      </c>
      <c r="AK134" s="27" t="s">
        <v>8</v>
      </c>
      <c r="AP134" s="27" t="s">
        <v>7</v>
      </c>
      <c r="AQ134" s="27" t="s">
        <v>8</v>
      </c>
    </row>
    <row r="135" spans="1:46" x14ac:dyDescent="0.25">
      <c r="A135" s="30">
        <v>0.2633312543060794</v>
      </c>
      <c r="C135" s="1" t="s">
        <v>14</v>
      </c>
      <c r="E135"/>
      <c r="F135" s="27" t="s">
        <v>7</v>
      </c>
      <c r="G135" s="27" t="s">
        <v>8</v>
      </c>
      <c r="J135" s="27" t="s">
        <v>7</v>
      </c>
      <c r="K135" s="27" t="s">
        <v>8</v>
      </c>
      <c r="M135" s="27" t="s">
        <v>8</v>
      </c>
      <c r="S135" s="27" t="s">
        <v>8</v>
      </c>
      <c r="T135" s="27" t="s">
        <v>7</v>
      </c>
      <c r="W135" s="27" t="s">
        <v>8</v>
      </c>
      <c r="X135" s="27" t="s">
        <v>7</v>
      </c>
      <c r="Z135" s="27" t="s">
        <v>7</v>
      </c>
      <c r="AA135" s="27" t="s">
        <v>8</v>
      </c>
      <c r="AD135" s="27" t="s">
        <v>7</v>
      </c>
      <c r="AG135" s="27" t="s">
        <v>8</v>
      </c>
      <c r="AH135" s="27" t="s">
        <v>7</v>
      </c>
      <c r="AI135" s="27" t="s">
        <v>8</v>
      </c>
      <c r="AJ135" s="27" t="s">
        <v>7</v>
      </c>
      <c r="AK135" s="27" t="s">
        <v>8</v>
      </c>
      <c r="AP135" s="27" t="s">
        <v>7</v>
      </c>
      <c r="AQ135" s="27" t="s">
        <v>8</v>
      </c>
      <c r="AR135" s="27" t="s">
        <v>7</v>
      </c>
      <c r="AS135" s="27" t="s">
        <v>8</v>
      </c>
    </row>
    <row r="136" spans="1:46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G136" s="27" t="s">
        <v>8</v>
      </c>
      <c r="J136" s="27" t="s">
        <v>7</v>
      </c>
      <c r="K136" s="27" t="s">
        <v>8</v>
      </c>
      <c r="L136" s="27" t="s">
        <v>7</v>
      </c>
      <c r="M136" s="27" t="s">
        <v>8</v>
      </c>
      <c r="N136" s="27" t="s">
        <v>7</v>
      </c>
      <c r="S136" s="27" t="s">
        <v>8</v>
      </c>
      <c r="T136" s="27" t="s">
        <v>7</v>
      </c>
      <c r="W136" s="27" t="s">
        <v>8</v>
      </c>
      <c r="Z136" s="27" t="s">
        <v>7</v>
      </c>
      <c r="AD136" s="27" t="s">
        <v>7</v>
      </c>
      <c r="AG136" s="27" t="s">
        <v>8</v>
      </c>
      <c r="AH136" s="27" t="s">
        <v>7</v>
      </c>
      <c r="AJ136" s="27" t="s">
        <v>7</v>
      </c>
      <c r="AK136" s="27" t="s">
        <v>8</v>
      </c>
      <c r="AP136" s="27" t="s">
        <v>7</v>
      </c>
      <c r="AQ136" s="27" t="s">
        <v>8</v>
      </c>
      <c r="AR136" s="27" t="s">
        <v>7</v>
      </c>
      <c r="AS136" s="27" t="s">
        <v>8</v>
      </c>
      <c r="AT136" s="27" t="s">
        <v>7</v>
      </c>
    </row>
    <row r="137" spans="1:46" x14ac:dyDescent="0.25">
      <c r="A137" s="30">
        <v>0.2176291357901482</v>
      </c>
      <c r="E137"/>
      <c r="F137" s="27" t="s">
        <v>7</v>
      </c>
      <c r="G137" s="27" t="s">
        <v>8</v>
      </c>
      <c r="J137" s="27" t="s">
        <v>7</v>
      </c>
      <c r="K137" s="27" t="s">
        <v>8</v>
      </c>
      <c r="L137" s="27" t="s">
        <v>7</v>
      </c>
      <c r="M137" s="27" t="s">
        <v>8</v>
      </c>
      <c r="N137" s="27" t="s">
        <v>7</v>
      </c>
      <c r="S137" s="27" t="s">
        <v>8</v>
      </c>
      <c r="T137" s="27" t="s">
        <v>7</v>
      </c>
      <c r="U137" s="27" t="s">
        <v>8</v>
      </c>
      <c r="W137" s="27" t="s">
        <v>8</v>
      </c>
      <c r="AD137" s="27" t="s">
        <v>7</v>
      </c>
      <c r="AE137" s="27" t="s">
        <v>8</v>
      </c>
      <c r="AG137" s="27" t="s">
        <v>8</v>
      </c>
      <c r="AJ137" s="27" t="s">
        <v>7</v>
      </c>
      <c r="AP137" s="27" t="s">
        <v>7</v>
      </c>
      <c r="AQ137" s="27" t="s">
        <v>8</v>
      </c>
      <c r="AR137" s="27" t="s">
        <v>7</v>
      </c>
      <c r="AS137" s="27" t="s">
        <v>8</v>
      </c>
      <c r="AT137" s="27" t="s">
        <v>7</v>
      </c>
    </row>
    <row r="138" spans="1:46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J138" s="27" t="s">
        <v>7</v>
      </c>
      <c r="L138" s="27" t="s">
        <v>7</v>
      </c>
      <c r="M138" s="27" t="s">
        <v>8</v>
      </c>
      <c r="N138" s="27" t="s">
        <v>7</v>
      </c>
      <c r="S138" s="27" t="s">
        <v>8</v>
      </c>
      <c r="T138" s="27" t="s">
        <v>7</v>
      </c>
      <c r="U138" s="27" t="s">
        <v>8</v>
      </c>
      <c r="V138" s="27" t="s">
        <v>7</v>
      </c>
      <c r="W138" s="27" t="s">
        <v>8</v>
      </c>
      <c r="AD138" s="27" t="s">
        <v>7</v>
      </c>
      <c r="AE138" s="27" t="s">
        <v>8</v>
      </c>
      <c r="AF138" s="27" t="s">
        <v>7</v>
      </c>
      <c r="AG138" s="27" t="s">
        <v>8</v>
      </c>
      <c r="AP138" s="27" t="s">
        <v>7</v>
      </c>
      <c r="AR138" s="27" t="s">
        <v>7</v>
      </c>
      <c r="AT138" s="27" t="s">
        <v>7</v>
      </c>
    </row>
    <row r="139" spans="1:46" x14ac:dyDescent="0.25">
      <c r="A139" s="30">
        <v>0.17985878990921333</v>
      </c>
      <c r="E139"/>
      <c r="L139" s="27" t="s">
        <v>7</v>
      </c>
      <c r="M139" s="27" t="s">
        <v>8</v>
      </c>
      <c r="N139" s="27" t="s">
        <v>7</v>
      </c>
      <c r="S139" s="27" t="s">
        <v>8</v>
      </c>
      <c r="T139" s="27" t="s">
        <v>7</v>
      </c>
      <c r="U139" s="27" t="s">
        <v>8</v>
      </c>
      <c r="V139" s="27" t="s">
        <v>7</v>
      </c>
      <c r="W139" s="27" t="s">
        <v>8</v>
      </c>
      <c r="AD139" s="27" t="s">
        <v>7</v>
      </c>
      <c r="AE139" s="27" t="s">
        <v>8</v>
      </c>
      <c r="AF139" s="27" t="s">
        <v>7</v>
      </c>
      <c r="AG139" s="27" t="s">
        <v>8</v>
      </c>
      <c r="AT139" s="27" t="s">
        <v>7</v>
      </c>
    </row>
    <row r="140" spans="1:46" x14ac:dyDescent="0.25">
      <c r="A140" s="30">
        <v>0.16350799082655756</v>
      </c>
      <c r="C140" s="1">
        <v>0</v>
      </c>
      <c r="E140"/>
      <c r="L140" s="27" t="s">
        <v>7</v>
      </c>
      <c r="M140" s="27" t="s">
        <v>8</v>
      </c>
      <c r="N140" s="27" t="s">
        <v>7</v>
      </c>
      <c r="S140" s="27" t="s">
        <v>8</v>
      </c>
      <c r="T140" s="27" t="s">
        <v>7</v>
      </c>
      <c r="V140" s="18" t="s">
        <v>7</v>
      </c>
      <c r="W140" s="27" t="s">
        <v>8</v>
      </c>
      <c r="AD140" s="27" t="s">
        <v>7</v>
      </c>
      <c r="AE140" s="27" t="s">
        <v>8</v>
      </c>
      <c r="AF140" s="27" t="s">
        <v>7</v>
      </c>
      <c r="AT140" s="27" t="s">
        <v>7</v>
      </c>
    </row>
    <row r="141" spans="1:46" x14ac:dyDescent="0.25">
      <c r="A141" s="30">
        <v>0.14864362802414322</v>
      </c>
      <c r="C141" s="1">
        <v>1</v>
      </c>
      <c r="E141"/>
      <c r="L141" s="27" t="s">
        <v>7</v>
      </c>
      <c r="M141" s="27" t="s">
        <v>8</v>
      </c>
      <c r="N141" s="27" t="s">
        <v>7</v>
      </c>
      <c r="S141" s="27" t="s">
        <v>8</v>
      </c>
      <c r="V141" s="27" t="s">
        <v>7</v>
      </c>
      <c r="W141" s="27" t="s">
        <v>8</v>
      </c>
      <c r="AD141" s="27" t="s">
        <v>7</v>
      </c>
      <c r="AT141" s="27" t="s">
        <v>7</v>
      </c>
    </row>
    <row r="142" spans="1:46" x14ac:dyDescent="0.25">
      <c r="A142" s="30">
        <v>0.13513057093103928</v>
      </c>
      <c r="C142" s="1">
        <v>2</v>
      </c>
      <c r="E142"/>
      <c r="L142" s="27" t="s">
        <v>7</v>
      </c>
      <c r="M142" s="27" t="s">
        <v>8</v>
      </c>
      <c r="N142" s="27" t="s">
        <v>7</v>
      </c>
      <c r="S142" s="27" t="s">
        <v>8</v>
      </c>
      <c r="V142" s="27" t="s">
        <v>7</v>
      </c>
      <c r="AT142" s="27" t="s">
        <v>7</v>
      </c>
    </row>
    <row r="143" spans="1:46" x14ac:dyDescent="0.25">
      <c r="A143" s="30">
        <v>0.12284597357367205</v>
      </c>
      <c r="C143" s="1">
        <v>3</v>
      </c>
      <c r="E143"/>
      <c r="L143" s="27" t="s">
        <v>7</v>
      </c>
      <c r="N143" s="27" t="s">
        <v>7</v>
      </c>
      <c r="S143" s="27" t="s">
        <v>8</v>
      </c>
      <c r="AT143" s="27" t="s">
        <v>7</v>
      </c>
    </row>
    <row r="144" spans="1:46" x14ac:dyDescent="0.25">
      <c r="A144" s="30">
        <v>0.11167815779424731</v>
      </c>
      <c r="C144" s="1">
        <v>4</v>
      </c>
      <c r="E144"/>
      <c r="N144" s="27" t="s">
        <v>7</v>
      </c>
      <c r="Q144" s="27" t="s">
        <v>8</v>
      </c>
      <c r="S144" s="27" t="s">
        <v>8</v>
      </c>
      <c r="AT144" s="27" t="s">
        <v>7</v>
      </c>
    </row>
    <row r="145" spans="1:46" x14ac:dyDescent="0.25">
      <c r="A145" s="30">
        <v>0.10152559799477026</v>
      </c>
      <c r="B145"/>
      <c r="C145"/>
      <c r="D145"/>
      <c r="E145"/>
      <c r="N145" s="27" t="s">
        <v>7</v>
      </c>
      <c r="Q145" s="27" t="s">
        <v>8</v>
      </c>
      <c r="R145" s="27" t="s">
        <v>7</v>
      </c>
      <c r="S145" s="27" t="s">
        <v>8</v>
      </c>
      <c r="AT145" s="27" t="s">
        <v>7</v>
      </c>
    </row>
    <row r="146" spans="1:46" x14ac:dyDescent="0.25">
      <c r="A146" s="30">
        <v>9.2295998177063854E-2</v>
      </c>
      <c r="B146"/>
      <c r="C146"/>
      <c r="D146"/>
      <c r="E146"/>
      <c r="N146" s="27" t="s">
        <v>7</v>
      </c>
      <c r="O146" s="27" t="s">
        <v>8</v>
      </c>
      <c r="Q146" s="27" t="s">
        <v>8</v>
      </c>
      <c r="R146" s="27" t="s">
        <v>7</v>
      </c>
      <c r="S146" s="27" t="s">
        <v>8</v>
      </c>
      <c r="AT146" s="27" t="s">
        <v>7</v>
      </c>
    </row>
    <row r="147" spans="1:46" x14ac:dyDescent="0.25">
      <c r="A147" s="30">
        <v>8.3905452888239848E-2</v>
      </c>
      <c r="B147"/>
      <c r="C147"/>
      <c r="D147"/>
      <c r="E147"/>
      <c r="N147" s="27" t="s">
        <v>7</v>
      </c>
      <c r="O147" s="27" t="s">
        <v>8</v>
      </c>
      <c r="P147" s="27" t="s">
        <v>7</v>
      </c>
      <c r="Q147" s="27" t="s">
        <v>8</v>
      </c>
      <c r="R147" s="27" t="s">
        <v>7</v>
      </c>
    </row>
    <row r="148" spans="1:46" x14ac:dyDescent="0.25">
      <c r="A148" s="30">
        <v>7.6277684443854396E-2</v>
      </c>
      <c r="B148"/>
      <c r="C148"/>
      <c r="D148"/>
      <c r="E148"/>
      <c r="N148" s="27" t="s">
        <v>7</v>
      </c>
      <c r="O148" s="27" t="s">
        <v>8</v>
      </c>
      <c r="P148" s="27" t="s">
        <v>7</v>
      </c>
      <c r="Q148" s="27" t="s">
        <v>8</v>
      </c>
    </row>
    <row r="149" spans="1:46" x14ac:dyDescent="0.25">
      <c r="A149" s="30">
        <v>6.9343349494413078E-2</v>
      </c>
      <c r="B149"/>
      <c r="C149"/>
      <c r="D149"/>
      <c r="E149"/>
      <c r="N149" s="27" t="s">
        <v>7</v>
      </c>
      <c r="P149" s="27" t="s">
        <v>7</v>
      </c>
    </row>
    <row r="150" spans="1:46" x14ac:dyDescent="0.25">
      <c r="A150" s="30">
        <v>6.3039408631284613E-2</v>
      </c>
      <c r="B150"/>
      <c r="C150"/>
      <c r="D150"/>
      <c r="E150"/>
    </row>
    <row r="151" spans="1:46" x14ac:dyDescent="0.25">
      <c r="A151" s="30">
        <v>5.7308553301167818E-2</v>
      </c>
      <c r="B151"/>
      <c r="C151"/>
      <c r="D151"/>
      <c r="E151"/>
    </row>
    <row r="152" spans="1:46" x14ac:dyDescent="0.25">
      <c r="A152" s="30">
        <v>5.2098684819243464E-2</v>
      </c>
      <c r="B152"/>
      <c r="C152"/>
      <c r="D152"/>
      <c r="E152"/>
    </row>
    <row r="153" spans="1:46" x14ac:dyDescent="0.25">
      <c r="A153" s="30">
        <v>4.7362440744766775E-2</v>
      </c>
      <c r="B153"/>
      <c r="C153"/>
      <c r="D153"/>
      <c r="E153"/>
    </row>
    <row r="154" spans="1:46" x14ac:dyDescent="0.25">
      <c r="A154" s="30">
        <v>4.3056764313424332E-2</v>
      </c>
      <c r="B154"/>
      <c r="C154"/>
      <c r="D154"/>
      <c r="E154"/>
    </row>
    <row r="155" spans="1:46" x14ac:dyDescent="0.25">
      <c r="A155" s="30">
        <v>3.9142513012203929E-2</v>
      </c>
      <c r="B155"/>
      <c r="C155"/>
      <c r="D155"/>
      <c r="E155"/>
    </row>
    <row r="156" spans="1:46" x14ac:dyDescent="0.25">
      <c r="A156" s="30">
        <v>3.55841027383672E-2</v>
      </c>
      <c r="B156"/>
      <c r="C156"/>
      <c r="D156"/>
      <c r="E156"/>
    </row>
    <row r="157" spans="1:46" x14ac:dyDescent="0.25">
      <c r="A157" s="30">
        <v>3.2349184307606541E-2</v>
      </c>
      <c r="B157"/>
      <c r="C157"/>
      <c r="D157"/>
      <c r="E157"/>
    </row>
    <row r="158" spans="1:46" x14ac:dyDescent="0.25">
      <c r="A158" s="30">
        <v>2.9408349370551395E-2</v>
      </c>
      <c r="B158"/>
      <c r="C158"/>
      <c r="D158"/>
      <c r="E158"/>
    </row>
    <row r="159" spans="1:46" x14ac:dyDescent="0.25">
      <c r="A159" s="30">
        <v>2.6734863064137627E-2</v>
      </c>
      <c r="B159"/>
      <c r="C159"/>
      <c r="D159"/>
      <c r="E159"/>
    </row>
    <row r="160" spans="1:46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694" operator="equal">
      <formula>$U$1</formula>
    </cfRule>
    <cfRule type="cellIs" dxfId="30" priority="695" operator="equal">
      <formula>$S$1</formula>
    </cfRule>
  </conditionalFormatting>
  <conditionalFormatting sqref="D136">
    <cfRule type="cellIs" dxfId="29" priority="692" operator="equal">
      <formula>$S$1</formula>
    </cfRule>
    <cfRule type="cellIs" dxfId="28" priority="693" operator="equal">
      <formula>$U$1</formula>
    </cfRule>
  </conditionalFormatting>
  <conditionalFormatting sqref="C102">
    <cfRule type="cellIs" dxfId="27" priority="690" operator="equal">
      <formula>$U$1</formula>
    </cfRule>
    <cfRule type="cellIs" dxfId="26" priority="691" operator="equal">
      <formula>$S$1</formula>
    </cfRule>
  </conditionalFormatting>
  <conditionalFormatting sqref="D102">
    <cfRule type="cellIs" dxfId="25" priority="688" operator="equal">
      <formula>$S$1</formula>
    </cfRule>
    <cfRule type="cellIs" dxfId="24" priority="689" operator="equal">
      <formula>$U$1</formula>
    </cfRule>
  </conditionalFormatting>
  <conditionalFormatting sqref="C77">
    <cfRule type="cellIs" dxfId="23" priority="686" operator="equal">
      <formula>$U$1</formula>
    </cfRule>
    <cfRule type="cellIs" dxfId="22" priority="687" operator="equal">
      <formula>$S$1</formula>
    </cfRule>
  </conditionalFormatting>
  <conditionalFormatting sqref="D77">
    <cfRule type="cellIs" dxfId="21" priority="684" operator="equal">
      <formula>$S$1</formula>
    </cfRule>
    <cfRule type="cellIs" dxfId="20" priority="685" operator="equal">
      <formula>$U$1</formula>
    </cfRule>
  </conditionalFormatting>
  <conditionalFormatting sqref="C52">
    <cfRule type="cellIs" dxfId="19" priority="682" operator="equal">
      <formula>$U$1</formula>
    </cfRule>
    <cfRule type="cellIs" dxfId="18" priority="683" operator="equal">
      <formula>$S$1</formula>
    </cfRule>
  </conditionalFormatting>
  <conditionalFormatting sqref="D52">
    <cfRule type="cellIs" dxfId="17" priority="680" operator="equal">
      <formula>$S$1</formula>
    </cfRule>
    <cfRule type="cellIs" dxfId="16" priority="681" operator="equal">
      <formula>$U$1</formula>
    </cfRule>
  </conditionalFormatting>
  <conditionalFormatting sqref="C26">
    <cfRule type="cellIs" dxfId="15" priority="678" operator="equal">
      <formula>$U$1</formula>
    </cfRule>
    <cfRule type="cellIs" dxfId="14" priority="679" operator="equal">
      <formula>$S$1</formula>
    </cfRule>
  </conditionalFormatting>
  <conditionalFormatting sqref="D26">
    <cfRule type="cellIs" dxfId="13" priority="676" operator="equal">
      <formula>$S$1</formula>
    </cfRule>
    <cfRule type="cellIs" dxfId="12" priority="677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14" sqref="E14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3" t="s">
        <v>17</v>
      </c>
      <c r="C1" s="33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0.13528160219073862</v>
      </c>
      <c r="F3" s="30">
        <v>0.14204568230027562</v>
      </c>
      <c r="G3" s="30">
        <v>0.35894236464094997</v>
      </c>
      <c r="H3" s="25">
        <f>IF(G3="","",(3*(G3-F3))+E3)</f>
        <v>0.78597164921276164</v>
      </c>
      <c r="I3" s="7"/>
      <c r="J3" s="7">
        <f>(E3+G3)/2</f>
        <v>0.24711198341584428</v>
      </c>
      <c r="K3" s="7">
        <f>H3/2</f>
        <v>0.39298582460638082</v>
      </c>
      <c r="M3" s="26">
        <f>IF(OR(J3="",H3=""),"",H3/J3)</f>
        <v>3.1806294391240226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30">
        <v>0.24294632108864825</v>
      </c>
      <c r="F4" s="30">
        <v>0.28124073495024676</v>
      </c>
      <c r="G4" s="30">
        <v>0.39573395701664765</v>
      </c>
      <c r="H4" s="25">
        <f t="shared" ref="H4:H25" si="0">IF(G4="","",(3*(G4-F4))+E4)</f>
        <v>0.58642598728785089</v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2022-01-28T01:22:08Z</dcterms:modified>
</cp:coreProperties>
</file>