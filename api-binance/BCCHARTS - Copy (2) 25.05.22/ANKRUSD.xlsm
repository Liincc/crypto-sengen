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019300BB-EFE2-4837-BDD7-27FD4D2AEF44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16" i="4"/>
  <c r="C122" i="4"/>
  <c r="C133" i="4" s="1"/>
  <c r="C136" i="4" s="1"/>
  <c r="C118" i="3"/>
  <c r="C122" i="3"/>
  <c r="C133" i="3" s="1"/>
  <c r="C136" i="3" s="1"/>
  <c r="R765" i="1"/>
  <c r="D136" i="5" l="1"/>
  <c r="C138" i="5" s="1"/>
  <c r="D136" i="4"/>
  <c r="C138" i="4" s="1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S252" i="1" l="1"/>
  <c r="T252" i="1" s="1"/>
  <c r="R251" i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S204" i="1" l="1"/>
  <c r="T204" i="1" s="1"/>
  <c r="R203" i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S188" i="1" l="1"/>
  <c r="T188" i="1" s="1"/>
  <c r="R187" i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S85" i="1" l="1"/>
  <c r="T85" i="1" s="1"/>
  <c r="R84" i="1"/>
  <c r="S84" i="1" l="1"/>
  <c r="T84" i="1" s="1"/>
  <c r="R83" i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S61" i="1" l="1"/>
  <c r="T61" i="1" s="1"/>
  <c r="R60" i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<sst xmlns="http://schemas.openxmlformats.org/spreadsheetml/2006/main" count="9741" uniqueCount="34">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</sst>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" fillId="7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6.9290000000000004E-2</c:v>
                </c:pt>
                <c:pt idx="1">
                  <c:v>6.8650000000000003E-2</c:v>
                </c:pt>
                <c:pt idx="2">
                  <c:v>6.3579999999999998E-2</c:v>
                </c:pt>
                <c:pt idx="3">
                  <c:v>6.2530000000000002E-2</c:v>
                </c:pt>
                <c:pt idx="4">
                  <c:v>6.5009999999999998E-2</c:v>
                </c:pt>
                <c:pt idx="5">
                  <c:v>6.2590000000000007E-2</c:v>
                </c:pt>
                <c:pt idx="6">
                  <c:v>7.2760000000000005E-2</c:v>
                </c:pt>
                <c:pt idx="7">
                  <c:v>8.1619999999999998E-2</c:v>
                </c:pt>
                <c:pt idx="8">
                  <c:v>8.4570000000000006E-2</c:v>
                </c:pt>
                <c:pt idx="9">
                  <c:v>8.8370000000000004E-2</c:v>
                </c:pt>
                <c:pt idx="10">
                  <c:v>8.8900000000000007E-2</c:v>
                </c:pt>
                <c:pt idx="11">
                  <c:v>9.2560000000000003E-2</c:v>
                </c:pt>
                <c:pt idx="12">
                  <c:v>9.2899999999999996E-2</c:v>
                </c:pt>
                <c:pt idx="13">
                  <c:v>9.3479999999999994E-2</c:v>
                </c:pt>
                <c:pt idx="14">
                  <c:v>9.2039999999999997E-2</c:v>
                </c:pt>
                <c:pt idx="15">
                  <c:v>9.7269999999999995E-2</c:v>
                </c:pt>
                <c:pt idx="16">
                  <c:v>9.1370000000000007E-2</c:v>
                </c:pt>
                <c:pt idx="17">
                  <c:v>8.6910000000000001E-2</c:v>
                </c:pt>
                <c:pt idx="18">
                  <c:v>9.214E-2</c:v>
                </c:pt>
                <c:pt idx="19">
                  <c:v>9.1120000000000007E-2</c:v>
                </c:pt>
                <c:pt idx="20">
                  <c:v>9.4450000000000006E-2</c:v>
                </c:pt>
                <c:pt idx="21">
                  <c:v>0.1011</c:v>
                </c:pt>
                <c:pt idx="22">
                  <c:v>0.10141</c:v>
                </c:pt>
                <c:pt idx="23">
                  <c:v>0.10986</c:v>
                </c:pt>
                <c:pt idx="24">
                  <c:v>0.11108999999999999</c:v>
                </c:pt>
                <c:pt idx="25">
                  <c:v>0.11501</c:v>
                </c:pt>
                <c:pt idx="26">
                  <c:v>0.10329000000000001</c:v>
                </c:pt>
                <c:pt idx="27">
                  <c:v>0.1003</c:v>
                </c:pt>
                <c:pt idx="28">
                  <c:v>0.10085</c:v>
                </c:pt>
                <c:pt idx="29">
                  <c:v>9.9419999999999994E-2</c:v>
                </c:pt>
                <c:pt idx="30">
                  <c:v>0.10238999999999999</c:v>
                </c:pt>
                <c:pt idx="31">
                  <c:v>0.115</c:v>
                </c:pt>
                <c:pt idx="32">
                  <c:v>0.11316</c:v>
                </c:pt>
                <c:pt idx="33">
                  <c:v>0.11208</c:v>
                </c:pt>
                <c:pt idx="34">
                  <c:v>0.1101</c:v>
                </c:pt>
                <c:pt idx="35">
                  <c:v>0.11465</c:v>
                </c:pt>
                <c:pt idx="36">
                  <c:v>0.10568</c:v>
                </c:pt>
                <c:pt idx="37">
                  <c:v>0.1042</c:v>
                </c:pt>
                <c:pt idx="38">
                  <c:v>9.9379999999999996E-2</c:v>
                </c:pt>
                <c:pt idx="39">
                  <c:v>0.10004</c:v>
                </c:pt>
                <c:pt idx="40">
                  <c:v>0.10215</c:v>
                </c:pt>
                <c:pt idx="41">
                  <c:v>0.10162</c:v>
                </c:pt>
                <c:pt idx="42">
                  <c:v>0.10004</c:v>
                </c:pt>
                <c:pt idx="43">
                  <c:v>0.1012</c:v>
                </c:pt>
                <c:pt idx="44">
                  <c:v>9.869E-2</c:v>
                </c:pt>
                <c:pt idx="45">
                  <c:v>9.6329999999999999E-2</c:v>
                </c:pt>
                <c:pt idx="46">
                  <c:v>0.10884000000000001</c:v>
                </c:pt>
                <c:pt idx="47">
                  <c:v>0.10365000000000001</c:v>
                </c:pt>
                <c:pt idx="48">
                  <c:v>0.10299999999999999</c:v>
                </c:pt>
                <c:pt idx="49">
                  <c:v>0.10765</c:v>
                </c:pt>
                <c:pt idx="50">
                  <c:v>0.11634</c:v>
                </c:pt>
                <c:pt idx="51">
                  <c:v>0.11186</c:v>
                </c:pt>
                <c:pt idx="52">
                  <c:v>0.11089</c:v>
                </c:pt>
                <c:pt idx="53">
                  <c:v>0.10752</c:v>
                </c:pt>
                <c:pt idx="54">
                  <c:v>0.1129</c:v>
                </c:pt>
                <c:pt idx="55">
                  <c:v>0.13292000000000001</c:v>
                </c:pt>
                <c:pt idx="56">
                  <c:v>0.14785999999999999</c:v>
                </c:pt>
                <c:pt idx="57">
                  <c:v>0.14660000000000001</c:v>
                </c:pt>
                <c:pt idx="58">
                  <c:v>0.14799999999999999</c:v>
                </c:pt>
                <c:pt idx="59">
                  <c:v>0.15973000000000001</c:v>
                </c:pt>
                <c:pt idx="60">
                  <c:v>0.16123999999999999</c:v>
                </c:pt>
                <c:pt idx="61">
                  <c:v>0.17197000000000001</c:v>
                </c:pt>
                <c:pt idx="62">
                  <c:v>0.17605000000000001</c:v>
                </c:pt>
                <c:pt idx="63">
                  <c:v>0.12458</c:v>
                </c:pt>
                <c:pt idx="64">
                  <c:v>0.12261</c:v>
                </c:pt>
                <c:pt idx="65">
                  <c:v>0.12589</c:v>
                </c:pt>
                <c:pt idx="66">
                  <c:v>0.12623999999999999</c:v>
                </c:pt>
                <c:pt idx="67">
                  <c:v>0.12773000000000001</c:v>
                </c:pt>
                <c:pt idx="68">
                  <c:v>0.13145999999999999</c:v>
                </c:pt>
                <c:pt idx="69">
                  <c:v>0.12851000000000001</c:v>
                </c:pt>
                <c:pt idx="70">
                  <c:v>0.123</c:v>
                </c:pt>
                <c:pt idx="71">
                  <c:v>0.13153000000000001</c:v>
                </c:pt>
                <c:pt idx="72">
                  <c:v>0.12622</c:v>
                </c:pt>
                <c:pt idx="73">
                  <c:v>0.13500999999999999</c:v>
                </c:pt>
                <c:pt idx="74">
                  <c:v>0.13697999999999999</c:v>
                </c:pt>
                <c:pt idx="75">
                  <c:v>0.12408</c:v>
                </c:pt>
                <c:pt idx="76">
                  <c:v>0.12382</c:v>
                </c:pt>
                <c:pt idx="77">
                  <c:v>0.12003</c:v>
                </c:pt>
                <c:pt idx="78">
                  <c:v>0.11749999999999999</c:v>
                </c:pt>
                <c:pt idx="79">
                  <c:v>0.12841</c:v>
                </c:pt>
                <c:pt idx="80">
                  <c:v>0.12869</c:v>
                </c:pt>
                <c:pt idx="81">
                  <c:v>0.12739</c:v>
                </c:pt>
                <c:pt idx="82">
                  <c:v>0.12891</c:v>
                </c:pt>
                <c:pt idx="83">
                  <c:v>0.12722</c:v>
                </c:pt>
                <c:pt idx="84">
                  <c:v>0.12408</c:v>
                </c:pt>
                <c:pt idx="85">
                  <c:v>0.12791</c:v>
                </c:pt>
                <c:pt idx="86">
                  <c:v>0.13958000000000001</c:v>
                </c:pt>
                <c:pt idx="87">
                  <c:v>0.1205</c:v>
                </c:pt>
                <c:pt idx="88">
                  <c:v>0.11989</c:v>
                </c:pt>
                <c:pt idx="89">
                  <c:v>9.987E-2</c:v>
                </c:pt>
                <c:pt idx="90">
                  <c:v>9.4960000000000003E-2</c:v>
                </c:pt>
                <c:pt idx="91">
                  <c:v>8.8200000000000001E-2</c:v>
                </c:pt>
                <c:pt idx="92">
                  <c:v>8.133E-2</c:v>
                </c:pt>
                <c:pt idx="93">
                  <c:v>9.1980000000000006E-2</c:v>
                </c:pt>
                <c:pt idx="94">
                  <c:v>9.3200000000000005E-2</c:v>
                </c:pt>
                <c:pt idx="95">
                  <c:v>9.146E-2</c:v>
                </c:pt>
                <c:pt idx="96">
                  <c:v>9.3420000000000003E-2</c:v>
                </c:pt>
                <c:pt idx="97">
                  <c:v>9.3579999999999997E-2</c:v>
                </c:pt>
                <c:pt idx="98">
                  <c:v>9.3890000000000001E-2</c:v>
                </c:pt>
                <c:pt idx="99">
                  <c:v>9.7930000000000003E-2</c:v>
                </c:pt>
                <c:pt idx="100">
                  <c:v>9.5180000000000001E-2</c:v>
                </c:pt>
                <c:pt idx="101">
                  <c:v>0.10279000000000001</c:v>
                </c:pt>
                <c:pt idx="102">
                  <c:v>8.7800000000000003E-2</c:v>
                </c:pt>
                <c:pt idx="103">
                  <c:v>9.0310000000000001E-2</c:v>
                </c:pt>
                <c:pt idx="104">
                  <c:v>9.0149999999999994E-2</c:v>
                </c:pt>
                <c:pt idx="105">
                  <c:v>9.1259999999999994E-2</c:v>
                </c:pt>
                <c:pt idx="106">
                  <c:v>8.7840000000000001E-2</c:v>
                </c:pt>
                <c:pt idx="107">
                  <c:v>8.5269999999999999E-2</c:v>
                </c:pt>
                <c:pt idx="108">
                  <c:v>8.8700000000000001E-2</c:v>
                </c:pt>
                <c:pt idx="109">
                  <c:v>9.0620000000000006E-2</c:v>
                </c:pt>
                <c:pt idx="110">
                  <c:v>9.2749999999999999E-2</c:v>
                </c:pt>
                <c:pt idx="111">
                  <c:v>9.35E-2</c:v>
                </c:pt>
                <c:pt idx="112">
                  <c:v>8.9899999999999994E-2</c:v>
                </c:pt>
                <c:pt idx="113">
                  <c:v>8.8599999999999998E-2</c:v>
                </c:pt>
                <c:pt idx="114">
                  <c:v>9.2460000000000001E-2</c:v>
                </c:pt>
                <c:pt idx="115">
                  <c:v>8.2930000000000004E-2</c:v>
                </c:pt>
                <c:pt idx="116">
                  <c:v>8.6150000000000004E-2</c:v>
                </c:pt>
                <c:pt idx="117">
                  <c:v>8.5000000000000006E-2</c:v>
                </c:pt>
                <c:pt idx="118">
                  <c:v>8.4970000000000004E-2</c:v>
                </c:pt>
                <c:pt idx="119">
                  <c:v>7.9299999999999995E-2</c:v>
                </c:pt>
                <c:pt idx="120">
                  <c:v>7.4609999999999996E-2</c:v>
                </c:pt>
                <c:pt idx="121">
                  <c:v>7.4120000000000005E-2</c:v>
                </c:pt>
                <c:pt idx="122">
                  <c:v>7.5329999999999994E-2</c:v>
                </c:pt>
                <c:pt idx="123">
                  <c:v>7.8979999999999995E-2</c:v>
                </c:pt>
                <c:pt idx="124">
                  <c:v>8.0879999999999994E-2</c:v>
                </c:pt>
                <c:pt idx="125">
                  <c:v>8.1199999999999994E-2</c:v>
                </c:pt>
                <c:pt idx="126">
                  <c:v>8.7650000000000006E-2</c:v>
                </c:pt>
                <c:pt idx="127">
                  <c:v>8.6190000000000003E-2</c:v>
                </c:pt>
                <c:pt idx="128">
                  <c:v>7.7219999999999997E-2</c:v>
                </c:pt>
                <c:pt idx="129">
                  <c:v>8.7480000000000002E-2</c:v>
                </c:pt>
                <c:pt idx="130">
                  <c:v>9.3659999999999993E-2</c:v>
                </c:pt>
                <c:pt idx="131">
                  <c:v>9.6619999999999998E-2</c:v>
                </c:pt>
                <c:pt idx="132">
                  <c:v>9.5990000000000006E-2</c:v>
                </c:pt>
                <c:pt idx="133">
                  <c:v>9.8239999999999994E-2</c:v>
                </c:pt>
                <c:pt idx="134">
                  <c:v>0.10126</c:v>
                </c:pt>
                <c:pt idx="135">
                  <c:v>9.8419999999999994E-2</c:v>
                </c:pt>
                <c:pt idx="136">
                  <c:v>9.536E-2</c:v>
                </c:pt>
                <c:pt idx="137">
                  <c:v>0.10026</c:v>
                </c:pt>
                <c:pt idx="138">
                  <c:v>9.8379999999999995E-2</c:v>
                </c:pt>
                <c:pt idx="139">
                  <c:v>9.536E-2</c:v>
                </c:pt>
                <c:pt idx="140">
                  <c:v>0.10221</c:v>
                </c:pt>
                <c:pt idx="141">
                  <c:v>0.1002</c:v>
                </c:pt>
                <c:pt idx="142">
                  <c:v>9.9419999999999994E-2</c:v>
                </c:pt>
                <c:pt idx="143">
                  <c:v>0.12425</c:v>
                </c:pt>
                <c:pt idx="144">
                  <c:v>0.12243999999999999</c:v>
                </c:pt>
                <c:pt idx="145">
                  <c:v>0.11483</c:v>
                </c:pt>
                <c:pt idx="146">
                  <c:v>0.10831</c:v>
                </c:pt>
                <c:pt idx="147">
                  <c:v>0.10569000000000001</c:v>
                </c:pt>
                <c:pt idx="148">
                  <c:v>0.10628</c:v>
                </c:pt>
                <c:pt idx="149">
                  <c:v>0.10179000000000001</c:v>
                </c:pt>
                <c:pt idx="150">
                  <c:v>0.10112</c:v>
                </c:pt>
                <c:pt idx="151">
                  <c:v>0.10791000000000001</c:v>
                </c:pt>
                <c:pt idx="152">
                  <c:v>0.11169999999999999</c:v>
                </c:pt>
                <c:pt idx="153">
                  <c:v>0.10698000000000001</c:v>
                </c:pt>
                <c:pt idx="154">
                  <c:v>0.10383000000000001</c:v>
                </c:pt>
                <c:pt idx="155">
                  <c:v>0.10439</c:v>
                </c:pt>
                <c:pt idx="156">
                  <c:v>9.9059999999999995E-2</c:v>
                </c:pt>
                <c:pt idx="157">
                  <c:v>0.10711</c:v>
                </c:pt>
                <c:pt idx="158">
                  <c:v>0.10081</c:v>
                </c:pt>
                <c:pt idx="159">
                  <c:v>0.10002</c:v>
                </c:pt>
                <c:pt idx="160">
                  <c:v>0.10274999999999999</c:v>
                </c:pt>
                <c:pt idx="161">
                  <c:v>9.9750000000000005E-2</c:v>
                </c:pt>
                <c:pt idx="162">
                  <c:v>9.7290000000000001E-2</c:v>
                </c:pt>
                <c:pt idx="163">
                  <c:v>9.5030000000000003E-2</c:v>
                </c:pt>
                <c:pt idx="164">
                  <c:v>0.10179000000000001</c:v>
                </c:pt>
                <c:pt idx="165">
                  <c:v>0.10738</c:v>
                </c:pt>
                <c:pt idx="166">
                  <c:v>0.10299999999999999</c:v>
                </c:pt>
                <c:pt idx="167">
                  <c:v>0.10188</c:v>
                </c:pt>
                <c:pt idx="168">
                  <c:v>9.4659999999999994E-2</c:v>
                </c:pt>
                <c:pt idx="169">
                  <c:v>9.7519999999999996E-2</c:v>
                </c:pt>
                <c:pt idx="170">
                  <c:v>9.6280000000000004E-2</c:v>
                </c:pt>
                <c:pt idx="171">
                  <c:v>9.5159999999999995E-2</c:v>
                </c:pt>
                <c:pt idx="172">
                  <c:v>9.3619999999999995E-2</c:v>
                </c:pt>
                <c:pt idx="173">
                  <c:v>0.10134</c:v>
                </c:pt>
                <c:pt idx="174">
                  <c:v>9.7009999999999999E-2</c:v>
                </c:pt>
                <c:pt idx="175">
                  <c:v>9.6129999999999993E-2</c:v>
                </c:pt>
                <c:pt idx="176">
                  <c:v>9.6449999999999994E-2</c:v>
                </c:pt>
                <c:pt idx="177">
                  <c:v>9.3979999999999994E-2</c:v>
                </c:pt>
                <c:pt idx="178">
                  <c:v>9.819E-2</c:v>
                </c:pt>
                <c:pt idx="179">
                  <c:v>0.10378999999999999</c:v>
                </c:pt>
                <c:pt idx="180">
                  <c:v>8.5019999999999998E-2</c:v>
                </c:pt>
                <c:pt idx="181">
                  <c:v>8.4529999999999994E-2</c:v>
                </c:pt>
                <c:pt idx="182">
                  <c:v>8.3269999999999997E-2</c:v>
                </c:pt>
                <c:pt idx="183">
                  <c:v>8.3280000000000007E-2</c:v>
                </c:pt>
                <c:pt idx="184">
                  <c:v>8.4000000000000005E-2</c:v>
                </c:pt>
                <c:pt idx="185">
                  <c:v>7.2599999999999998E-2</c:v>
                </c:pt>
                <c:pt idx="186">
                  <c:v>6.3899999999999998E-2</c:v>
                </c:pt>
                <c:pt idx="187">
                  <c:v>6.3350000000000004E-2</c:v>
                </c:pt>
                <c:pt idx="188">
                  <c:v>6.1850000000000002E-2</c:v>
                </c:pt>
                <c:pt idx="189">
                  <c:v>6.123E-2</c:v>
                </c:pt>
                <c:pt idx="190">
                  <c:v>5.9029999999999999E-2</c:v>
                </c:pt>
                <c:pt idx="191">
                  <c:v>5.5289999999999999E-2</c:v>
                </c:pt>
                <c:pt idx="192">
                  <c:v>5.8470000000000001E-2</c:v>
                </c:pt>
                <c:pt idx="193">
                  <c:v>6.2190000000000002E-2</c:v>
                </c:pt>
                <c:pt idx="194">
                  <c:v>6.1859999999999998E-2</c:v>
                </c:pt>
                <c:pt idx="195">
                  <c:v>6.1890000000000001E-2</c:v>
                </c:pt>
                <c:pt idx="196">
                  <c:v>6.8000000000000005E-2</c:v>
                </c:pt>
                <c:pt idx="197">
                  <c:v>7.3620000000000005E-2</c:v>
                </c:pt>
                <c:pt idx="198">
                  <c:v>6.8199999999999997E-2</c:v>
                </c:pt>
                <c:pt idx="199">
                  <c:v>6.9849999999999995E-2</c:v>
                </c:pt>
                <c:pt idx="200">
                  <c:v>7.2150000000000006E-2</c:v>
                </c:pt>
                <c:pt idx="201">
                  <c:v>7.0919999999999997E-2</c:v>
                </c:pt>
                <c:pt idx="202">
                  <c:v>7.1790000000000007E-2</c:v>
                </c:pt>
                <c:pt idx="203">
                  <c:v>7.1540000000000006E-2</c:v>
                </c:pt>
                <c:pt idx="204">
                  <c:v>7.8310000000000005E-2</c:v>
                </c:pt>
                <c:pt idx="205">
                  <c:v>7.4249999999999997E-2</c:v>
                </c:pt>
                <c:pt idx="206">
                  <c:v>7.3480000000000004E-2</c:v>
                </c:pt>
                <c:pt idx="207">
                  <c:v>7.6310000000000003E-2</c:v>
                </c:pt>
                <c:pt idx="208">
                  <c:v>7.4859999999999996E-2</c:v>
                </c:pt>
                <c:pt idx="209">
                  <c:v>7.3870000000000005E-2</c:v>
                </c:pt>
                <c:pt idx="210">
                  <c:v>7.4810000000000001E-2</c:v>
                </c:pt>
                <c:pt idx="211">
                  <c:v>7.9310000000000005E-2</c:v>
                </c:pt>
                <c:pt idx="212">
                  <c:v>7.8820000000000001E-2</c:v>
                </c:pt>
                <c:pt idx="213">
                  <c:v>7.3340000000000002E-2</c:v>
                </c:pt>
                <c:pt idx="214">
                  <c:v>7.0879999999999999E-2</c:v>
                </c:pt>
                <c:pt idx="215">
                  <c:v>6.8510000000000001E-2</c:v>
                </c:pt>
                <c:pt idx="216">
                  <c:v>6.7799999999999999E-2</c:v>
                </c:pt>
                <c:pt idx="217">
                  <c:v>7.7579999999999996E-2</c:v>
                </c:pt>
                <c:pt idx="218">
                  <c:v>7.6289999999999997E-2</c:v>
                </c:pt>
                <c:pt idx="219">
                  <c:v>5.4679999999999999E-2</c:v>
                </c:pt>
                <c:pt idx="220">
                  <c:v>5.6599999999999998E-2</c:v>
                </c:pt>
                <c:pt idx="221">
                  <c:v>7.2900000000000006E-2</c:v>
                </c:pt>
                <c:pt idx="222">
                  <c:v>7.1720000000000006E-2</c:v>
                </c:pt>
                <c:pt idx="223">
                  <c:v>7.3639999999999997E-2</c:v>
                </c:pt>
                <c:pt idx="224">
                  <c:v>8.047E-2</c:v>
                </c:pt>
                <c:pt idx="225">
                  <c:v>7.9729999999999995E-2</c:v>
                </c:pt>
                <c:pt idx="226">
                  <c:v>8.5519999999999999E-2</c:v>
                </c:pt>
                <c:pt idx="227">
                  <c:v>8.7179999999999994E-2</c:v>
                </c:pt>
                <c:pt idx="228">
                  <c:v>8.7540000000000007E-2</c:v>
                </c:pt>
                <c:pt idx="229">
                  <c:v>8.4059999999999996E-2</c:v>
                </c:pt>
                <c:pt idx="230">
                  <c:v>8.1909999999999997E-2</c:v>
                </c:pt>
                <c:pt idx="231">
                  <c:v>8.9120000000000005E-2</c:v>
                </c:pt>
                <c:pt idx="232">
                  <c:v>9.5009999999999997E-2</c:v>
                </c:pt>
                <c:pt idx="233">
                  <c:v>9.0319999999999998E-2</c:v>
                </c:pt>
                <c:pt idx="234">
                  <c:v>9.3770000000000006E-2</c:v>
                </c:pt>
                <c:pt idx="235">
                  <c:v>0.10333000000000001</c:v>
                </c:pt>
                <c:pt idx="236">
                  <c:v>0.10136000000000001</c:v>
                </c:pt>
                <c:pt idx="237">
                  <c:v>0.10137</c:v>
                </c:pt>
                <c:pt idx="238">
                  <c:v>0.11149000000000001</c:v>
                </c:pt>
                <c:pt idx="239">
                  <c:v>0.10771</c:v>
                </c:pt>
                <c:pt idx="240">
                  <c:v>0.10718</c:v>
                </c:pt>
                <c:pt idx="241">
                  <c:v>0.10621</c:v>
                </c:pt>
                <c:pt idx="242">
                  <c:v>9.9979999999999999E-2</c:v>
                </c:pt>
                <c:pt idx="243">
                  <c:v>9.4390000000000002E-2</c:v>
                </c:pt>
                <c:pt idx="244">
                  <c:v>0.10027</c:v>
                </c:pt>
                <c:pt idx="245">
                  <c:v>0.10927000000000001</c:v>
                </c:pt>
                <c:pt idx="246">
                  <c:v>0.11441</c:v>
                </c:pt>
                <c:pt idx="247">
                  <c:v>0.10591</c:v>
                </c:pt>
                <c:pt idx="248">
                  <c:v>0.11287</c:v>
                </c:pt>
                <c:pt idx="249">
                  <c:v>0.10085</c:v>
                </c:pt>
                <c:pt idx="250">
                  <c:v>0.11122</c:v>
                </c:pt>
                <c:pt idx="251">
                  <c:v>0.12151000000000001</c:v>
                </c:pt>
                <c:pt idx="252">
                  <c:v>0.12517</c:v>
                </c:pt>
                <c:pt idx="253">
                  <c:v>0.10851</c:v>
                </c:pt>
                <c:pt idx="254">
                  <c:v>0.15518000000000001</c:v>
                </c:pt>
                <c:pt idx="255">
                  <c:v>0.13216</c:v>
                </c:pt>
                <c:pt idx="256">
                  <c:v>0.14088999999999999</c:v>
                </c:pt>
                <c:pt idx="257">
                  <c:v>0.13425000000000001</c:v>
                </c:pt>
                <c:pt idx="258">
                  <c:v>0.14388999999999999</c:v>
                </c:pt>
                <c:pt idx="259">
                  <c:v>0.13531000000000001</c:v>
                </c:pt>
                <c:pt idx="260">
                  <c:v>0.13672000000000001</c:v>
                </c:pt>
                <c:pt idx="261">
                  <c:v>0.15837999999999999</c:v>
                </c:pt>
                <c:pt idx="262">
                  <c:v>0.14287</c:v>
                </c:pt>
                <c:pt idx="263">
                  <c:v>0.15808</c:v>
                </c:pt>
                <c:pt idx="264">
                  <c:v>0.16058</c:v>
                </c:pt>
                <c:pt idx="265">
                  <c:v>0.16245999999999999</c:v>
                </c:pt>
                <c:pt idx="266">
                  <c:v>0.15911</c:v>
                </c:pt>
                <c:pt idx="267">
                  <c:v>0.16359000000000001</c:v>
                </c:pt>
                <c:pt idx="268">
                  <c:v>0.15403</c:v>
                </c:pt>
                <c:pt idx="269">
                  <c:v>0.16986999999999999</c:v>
                </c:pt>
                <c:pt idx="270">
                  <c:v>0.17122999999999999</c:v>
                </c:pt>
                <c:pt idx="271">
                  <c:v>0.17810000000000001</c:v>
                </c:pt>
                <c:pt idx="272">
                  <c:v>0.17705000000000001</c:v>
                </c:pt>
                <c:pt idx="273">
                  <c:v>0.16434000000000001</c:v>
                </c:pt>
                <c:pt idx="274">
                  <c:v>0.17280000000000001</c:v>
                </c:pt>
                <c:pt idx="275">
                  <c:v>0.15348999999999999</c:v>
                </c:pt>
                <c:pt idx="276">
                  <c:v>0.14609</c:v>
                </c:pt>
                <c:pt idx="277">
                  <c:v>0.12597</c:v>
                </c:pt>
                <c:pt idx="278">
                  <c:v>0.124463</c:v>
                </c:pt>
                <c:pt idx="279">
                  <c:v>0.137018</c:v>
                </c:pt>
                <c:pt idx="280">
                  <c:v>0.13261500000000001</c:v>
                </c:pt>
                <c:pt idx="281">
                  <c:v>0.14722499999999999</c:v>
                </c:pt>
                <c:pt idx="282">
                  <c:v>0.1537</c:v>
                </c:pt>
                <c:pt idx="283">
                  <c:v>0.15045500000000001</c:v>
                </c:pt>
                <c:pt idx="284">
                  <c:v>0.16572400000000001</c:v>
                </c:pt>
                <c:pt idx="285">
                  <c:v>0.18590400000000001</c:v>
                </c:pt>
                <c:pt idx="286">
                  <c:v>0.183979</c:v>
                </c:pt>
                <c:pt idx="287">
                  <c:v>0.17238999999999999</c:v>
                </c:pt>
                <c:pt idx="288">
                  <c:v>0.15611700000000001</c:v>
                </c:pt>
                <c:pt idx="289">
                  <c:v>0.16400000000000001</c:v>
                </c:pt>
                <c:pt idx="290">
                  <c:v>0.15925500000000001</c:v>
                </c:pt>
                <c:pt idx="291">
                  <c:v>0.146398</c:v>
                </c:pt>
                <c:pt idx="292">
                  <c:v>0.14954000000000001</c:v>
                </c:pt>
                <c:pt idx="293">
                  <c:v>0.157336</c:v>
                </c:pt>
                <c:pt idx="294">
                  <c:v>0.15438199999999999</c:v>
                </c:pt>
                <c:pt idx="295">
                  <c:v>0.13691800000000001</c:v>
                </c:pt>
                <c:pt idx="296">
                  <c:v>0.14930499999999999</c:v>
                </c:pt>
                <c:pt idx="297">
                  <c:v>0.156807</c:v>
                </c:pt>
                <c:pt idx="298">
                  <c:v>0.16128999999999999</c:v>
                </c:pt>
                <c:pt idx="299">
                  <c:v>0.15235699999999999</c:v>
                </c:pt>
                <c:pt idx="300">
                  <c:v>0.16914100000000001</c:v>
                </c:pt>
                <c:pt idx="301">
                  <c:v>0.16170100000000001</c:v>
                </c:pt>
                <c:pt idx="302">
                  <c:v>0.15751999999999999</c:v>
                </c:pt>
                <c:pt idx="303">
                  <c:v>0.16515299999999999</c:v>
                </c:pt>
                <c:pt idx="304">
                  <c:v>0.16497999999999999</c:v>
                </c:pt>
                <c:pt idx="305">
                  <c:v>0.16641</c:v>
                </c:pt>
                <c:pt idx="306">
                  <c:v>0.19070300000000001</c:v>
                </c:pt>
                <c:pt idx="307">
                  <c:v>0.1331</c:v>
                </c:pt>
                <c:pt idx="308">
                  <c:v>0.11777899999999999</c:v>
                </c:pt>
                <c:pt idx="309">
                  <c:v>8.5072999999999996E-2</c:v>
                </c:pt>
                <c:pt idx="310">
                  <c:v>0.10192900000000001</c:v>
                </c:pt>
                <c:pt idx="311">
                  <c:v>6.9617999999999999E-2</c:v>
                </c:pt>
                <c:pt idx="312">
                  <c:v>7.4798000000000003E-2</c:v>
                </c:pt>
                <c:pt idx="313">
                  <c:v>6.9808999999999996E-2</c:v>
                </c:pt>
                <c:pt idx="314">
                  <c:v>7.4253E-2</c:v>
                </c:pt>
                <c:pt idx="315">
                  <c:v>6.6181000000000004E-2</c:v>
                </c:pt>
                <c:pt idx="316">
                  <c:v>6.8812999999999999E-2</c:v>
                </c:pt>
                <c:pt idx="317">
                  <c:v>7.3874999999999996E-2</c:v>
                </c:pt>
                <c:pt idx="318">
                  <c:v>6.8840999999999999E-2</c:v>
                </c:pt>
                <c:pt idx="319">
                  <c:v>6.8037E-2</c:v>
                </c:pt>
                <c:pt idx="320">
                  <c:v>6.6173999999999997E-2</c:v>
                </c:pt>
                <c:pt idx="321">
                  <c:v>6.2288000000000003E-2</c:v>
                </c:pt>
                <c:pt idx="322">
                  <c:v>4.4729999999999999E-2</c:v>
                </c:pt>
                <c:pt idx="323">
                  <c:v>4.1540000000000001E-2</c:v>
                </c:pt>
                <c:pt idx="324">
                  <c:v>4.0863999999999998E-2</c:v>
                </c:pt>
                <c:pt idx="325">
                  <c:v>3.8847E-2</c:v>
                </c:pt>
                <c:pt idx="326">
                  <c:v>3.5314999999999999E-2</c:v>
                </c:pt>
                <c:pt idx="327">
                  <c:v>3.2922E-2</c:v>
                </c:pt>
                <c:pt idx="328">
                  <c:v>3.3748E-2</c:v>
                </c:pt>
                <c:pt idx="329">
                  <c:v>3.5202999999999998E-2</c:v>
                </c:pt>
                <c:pt idx="330">
                  <c:v>3.2330999999999999E-2</c:v>
                </c:pt>
                <c:pt idx="331">
                  <c:v>2.8993999999999999E-2</c:v>
                </c:pt>
                <c:pt idx="332">
                  <c:v>2.9898999999999998E-2</c:v>
                </c:pt>
                <c:pt idx="333">
                  <c:v>2.6126E-2</c:v>
                </c:pt>
                <c:pt idx="334">
                  <c:v>2.7958E-2</c:v>
                </c:pt>
                <c:pt idx="335">
                  <c:v>2.6325000000000001E-2</c:v>
                </c:pt>
                <c:pt idx="336">
                  <c:v>2.656E-2</c:v>
                </c:pt>
                <c:pt idx="337">
                  <c:v>2.8243999999999998E-2</c:v>
                </c:pt>
                <c:pt idx="338">
                  <c:v>2.4400000000000002E-2</c:v>
                </c:pt>
                <c:pt idx="339">
                  <c:v>3.2343999999999998E-2</c:v>
                </c:pt>
                <c:pt idx="340">
                  <c:v>2.8105000000000002E-2</c:v>
                </c:pt>
                <c:pt idx="341">
                  <c:v>2.7167E-2</c:v>
                </c:pt>
                <c:pt idx="342">
                  <c:v>2.8962000000000002E-2</c:v>
                </c:pt>
                <c:pt idx="343">
                  <c:v>2.7765999999999999E-2</c:v>
                </c:pt>
                <c:pt idx="344">
                  <c:v>2.5937999999999999E-2</c:v>
                </c:pt>
                <c:pt idx="345">
                  <c:v>2.6030000000000001E-2</c:v>
                </c:pt>
                <c:pt idx="346">
                  <c:v>2.6291999999999999E-2</c:v>
                </c:pt>
                <c:pt idx="347">
                  <c:v>2.6963999999999998E-2</c:v>
                </c:pt>
                <c:pt idx="348">
                  <c:v>2.4558E-2</c:v>
                </c:pt>
                <c:pt idx="349">
                  <c:v>2.2394000000000001E-2</c:v>
                </c:pt>
                <c:pt idx="350">
                  <c:v>2.1669000000000001E-2</c:v>
                </c:pt>
                <c:pt idx="351">
                  <c:v>1.8484E-2</c:v>
                </c:pt>
                <c:pt idx="352">
                  <c:v>1.9945999999999998E-2</c:v>
                </c:pt>
                <c:pt idx="353">
                  <c:v>1.8006999999999999E-2</c:v>
                </c:pt>
                <c:pt idx="354">
                  <c:v>1.7340000000000001E-2</c:v>
                </c:pt>
                <c:pt idx="355">
                  <c:v>1.6038E-2</c:v>
                </c:pt>
                <c:pt idx="356">
                  <c:v>1.7288999999999999E-2</c:v>
                </c:pt>
                <c:pt idx="357">
                  <c:v>1.6743000000000001E-2</c:v>
                </c:pt>
                <c:pt idx="358">
                  <c:v>1.4322E-2</c:v>
                </c:pt>
                <c:pt idx="359">
                  <c:v>1.2810999999999999E-2</c:v>
                </c:pt>
                <c:pt idx="360">
                  <c:v>1.1894E-2</c:v>
                </c:pt>
                <c:pt idx="361">
                  <c:v>1.1557E-2</c:v>
                </c:pt>
                <c:pt idx="362">
                  <c:v>1.204E-2</c:v>
                </c:pt>
                <c:pt idx="363">
                  <c:v>1.2492E-2</c:v>
                </c:pt>
                <c:pt idx="364">
                  <c:v>1.1856E-2</c:v>
                </c:pt>
                <c:pt idx="365">
                  <c:v>9.8799999999999999E-3</c:v>
                </c:pt>
                <c:pt idx="366">
                  <c:v>1.0534999999999999E-2</c:v>
                </c:pt>
                <c:pt idx="367">
                  <c:v>1.0800000000000001E-2</c:v>
                </c:pt>
                <c:pt idx="368">
                  <c:v>1.1367E-2</c:v>
                </c:pt>
                <c:pt idx="369">
                  <c:v>1.0499E-2</c:v>
                </c:pt>
                <c:pt idx="370">
                  <c:v>1.0761E-2</c:v>
                </c:pt>
                <c:pt idx="371">
                  <c:v>1.0484E-2</c:v>
                </c:pt>
                <c:pt idx="372">
                  <c:v>1.3428000000000001E-2</c:v>
                </c:pt>
                <c:pt idx="373">
                  <c:v>9.3930000000000003E-3</c:v>
                </c:pt>
                <c:pt idx="374">
                  <c:v>9.6830000000000006E-3</c:v>
                </c:pt>
                <c:pt idx="375">
                  <c:v>9.6439999999999998E-3</c:v>
                </c:pt>
                <c:pt idx="376">
                  <c:v>9.0360000000000006E-3</c:v>
                </c:pt>
                <c:pt idx="377">
                  <c:v>8.8120000000000004E-3</c:v>
                </c:pt>
                <c:pt idx="378">
                  <c:v>8.7880000000000007E-3</c:v>
                </c:pt>
                <c:pt idx="379">
                  <c:v>8.6400000000000001E-3</c:v>
                </c:pt>
                <c:pt idx="380">
                  <c:v>8.0999999999999996E-3</c:v>
                </c:pt>
                <c:pt idx="381">
                  <c:v>8.2240000000000004E-3</c:v>
                </c:pt>
                <c:pt idx="382">
                  <c:v>9.2300000000000004E-3</c:v>
                </c:pt>
                <c:pt idx="383">
                  <c:v>9.5230000000000002E-3</c:v>
                </c:pt>
                <c:pt idx="384">
                  <c:v>8.7889999999999999E-3</c:v>
                </c:pt>
                <c:pt idx="385">
                  <c:v>9.129E-3</c:v>
                </c:pt>
                <c:pt idx="386">
                  <c:v>9.1509999999999994E-3</c:v>
                </c:pt>
                <c:pt idx="387">
                  <c:v>8.4989999999999996E-3</c:v>
                </c:pt>
                <c:pt idx="388">
                  <c:v>8.397E-3</c:v>
                </c:pt>
                <c:pt idx="389">
                  <c:v>8.6099999999999996E-3</c:v>
                </c:pt>
                <c:pt idx="390">
                  <c:v>8.5570000000000004E-3</c:v>
                </c:pt>
                <c:pt idx="391">
                  <c:v>8.9119999999999998E-3</c:v>
                </c:pt>
                <c:pt idx="392">
                  <c:v>8.4250000000000002E-3</c:v>
                </c:pt>
                <c:pt idx="393">
                  <c:v>8.2609999999999992E-3</c:v>
                </c:pt>
                <c:pt idx="394">
                  <c:v>8.4639999999999993E-3</c:v>
                </c:pt>
                <c:pt idx="395">
                  <c:v>8.8870000000000008E-3</c:v>
                </c:pt>
                <c:pt idx="396">
                  <c:v>8.9870000000000002E-3</c:v>
                </c:pt>
                <c:pt idx="397">
                  <c:v>8.4790000000000004E-3</c:v>
                </c:pt>
                <c:pt idx="398">
                  <c:v>8.7299999999999999E-3</c:v>
                </c:pt>
                <c:pt idx="399">
                  <c:v>9.2079999999999992E-3</c:v>
                </c:pt>
                <c:pt idx="400">
                  <c:v>9.2390000000000007E-3</c:v>
                </c:pt>
                <c:pt idx="401">
                  <c:v>1.0743000000000001E-2</c:v>
                </c:pt>
                <c:pt idx="402">
                  <c:v>1.1164E-2</c:v>
                </c:pt>
                <c:pt idx="403">
                  <c:v>1.1313999999999999E-2</c:v>
                </c:pt>
                <c:pt idx="404">
                  <c:v>1.1162E-2</c:v>
                </c:pt>
                <c:pt idx="405">
                  <c:v>1.1139E-2</c:v>
                </c:pt>
                <c:pt idx="406">
                  <c:v>9.273E-3</c:v>
                </c:pt>
                <c:pt idx="407">
                  <c:v>9.8429999999999993E-3</c:v>
                </c:pt>
                <c:pt idx="408">
                  <c:v>1.0397999999999999E-2</c:v>
                </c:pt>
                <c:pt idx="409">
                  <c:v>8.6779999999999999E-3</c:v>
                </c:pt>
                <c:pt idx="410">
                  <c:v>8.763E-3</c:v>
                </c:pt>
                <c:pt idx="411">
                  <c:v>8.4259999999999995E-3</c:v>
                </c:pt>
                <c:pt idx="412">
                  <c:v>7.8670000000000007E-3</c:v>
                </c:pt>
                <c:pt idx="413">
                  <c:v>8.3269999999999993E-3</c:v>
                </c:pt>
                <c:pt idx="414">
                  <c:v>8.5489999999999993E-3</c:v>
                </c:pt>
                <c:pt idx="415">
                  <c:v>8.3269999999999993E-3</c:v>
                </c:pt>
                <c:pt idx="416">
                  <c:v>9.2230000000000003E-3</c:v>
                </c:pt>
                <c:pt idx="417">
                  <c:v>9.018E-3</c:v>
                </c:pt>
                <c:pt idx="418">
                  <c:v>9.2399999999999999E-3</c:v>
                </c:pt>
                <c:pt idx="419">
                  <c:v>8.9379999999999998E-3</c:v>
                </c:pt>
                <c:pt idx="420">
                  <c:v>9.6369999999999997E-3</c:v>
                </c:pt>
                <c:pt idx="421">
                  <c:v>9.9369999999999997E-3</c:v>
                </c:pt>
                <c:pt idx="422">
                  <c:v>9.4380000000000002E-3</c:v>
                </c:pt>
                <c:pt idx="423">
                  <c:v>9.6480000000000003E-3</c:v>
                </c:pt>
                <c:pt idx="424">
                  <c:v>9.4240000000000001E-3</c:v>
                </c:pt>
                <c:pt idx="425">
                  <c:v>9.5289999999999993E-3</c:v>
                </c:pt>
                <c:pt idx="426">
                  <c:v>8.8859999999999998E-3</c:v>
                </c:pt>
                <c:pt idx="427">
                  <c:v>8.9200000000000008E-3</c:v>
                </c:pt>
                <c:pt idx="428">
                  <c:v>1.0241999999999999E-2</c:v>
                </c:pt>
                <c:pt idx="429">
                  <c:v>1.0189999999999999E-2</c:v>
                </c:pt>
                <c:pt idx="430">
                  <c:v>9.5589999999999998E-3</c:v>
                </c:pt>
                <c:pt idx="431">
                  <c:v>9.2499999999999995E-3</c:v>
                </c:pt>
                <c:pt idx="432">
                  <c:v>9.5499999999999995E-3</c:v>
                </c:pt>
                <c:pt idx="433">
                  <c:v>9.7199999999999995E-3</c:v>
                </c:pt>
                <c:pt idx="434">
                  <c:v>8.3870000000000004E-3</c:v>
                </c:pt>
                <c:pt idx="435">
                  <c:v>8.0920000000000002E-3</c:v>
                </c:pt>
                <c:pt idx="436">
                  <c:v>8.4770000000000002E-3</c:v>
                </c:pt>
                <c:pt idx="437">
                  <c:v>8.4329999999999995E-3</c:v>
                </c:pt>
                <c:pt idx="438">
                  <c:v>8.234E-3</c:v>
                </c:pt>
                <c:pt idx="439">
                  <c:v>8.6420000000000004E-3</c:v>
                </c:pt>
                <c:pt idx="440">
                  <c:v>8.6079999999999993E-3</c:v>
                </c:pt>
                <c:pt idx="441">
                  <c:v>8.0269999999999994E-3</c:v>
                </c:pt>
                <c:pt idx="442">
                  <c:v>8.5599999999999999E-3</c:v>
                </c:pt>
                <c:pt idx="443">
                  <c:v>9.2969999999999997E-3</c:v>
                </c:pt>
                <c:pt idx="444">
                  <c:v>8.4419999999999999E-3</c:v>
                </c:pt>
                <c:pt idx="445">
                  <c:v>8.6999999999999994E-3</c:v>
                </c:pt>
                <c:pt idx="446">
                  <c:v>8.3180000000000007E-3</c:v>
                </c:pt>
                <c:pt idx="447">
                  <c:v>9.1649999999999995E-3</c:v>
                </c:pt>
                <c:pt idx="448">
                  <c:v>8.6580000000000008E-3</c:v>
                </c:pt>
                <c:pt idx="449">
                  <c:v>7.2370000000000004E-3</c:v>
                </c:pt>
                <c:pt idx="450">
                  <c:v>6.6559999999999996E-3</c:v>
                </c:pt>
                <c:pt idx="451">
                  <c:v>7.0549999999999996E-3</c:v>
                </c:pt>
                <c:pt idx="452">
                  <c:v>7.3350000000000004E-3</c:v>
                </c:pt>
                <c:pt idx="453">
                  <c:v>7.1669999999999998E-3</c:v>
                </c:pt>
                <c:pt idx="454">
                  <c:v>6.8690000000000001E-3</c:v>
                </c:pt>
                <c:pt idx="455">
                  <c:v>7.3559999999999997E-3</c:v>
                </c:pt>
                <c:pt idx="456">
                  <c:v>8.0610000000000005E-3</c:v>
                </c:pt>
                <c:pt idx="457">
                  <c:v>8.9800000000000001E-3</c:v>
                </c:pt>
                <c:pt idx="458">
                  <c:v>9.2669999999999992E-3</c:v>
                </c:pt>
                <c:pt idx="459">
                  <c:v>9.776E-3</c:v>
                </c:pt>
                <c:pt idx="460">
                  <c:v>9.8110000000000003E-3</c:v>
                </c:pt>
                <c:pt idx="461">
                  <c:v>9.6780000000000008E-3</c:v>
                </c:pt>
                <c:pt idx="462">
                  <c:v>1.0725E-2</c:v>
                </c:pt>
                <c:pt idx="463">
                  <c:v>8.1799999999999998E-3</c:v>
                </c:pt>
                <c:pt idx="464">
                  <c:v>7.8820000000000001E-3</c:v>
                </c:pt>
                <c:pt idx="465">
                  <c:v>8.2410000000000001E-3</c:v>
                </c:pt>
                <c:pt idx="466">
                  <c:v>8.6879999999999995E-3</c:v>
                </c:pt>
                <c:pt idx="467">
                  <c:v>7.979E-3</c:v>
                </c:pt>
                <c:pt idx="468">
                  <c:v>7.4700000000000001E-3</c:v>
                </c:pt>
                <c:pt idx="469">
                  <c:v>7.7580000000000001E-3</c:v>
                </c:pt>
                <c:pt idx="470">
                  <c:v>8.3529999999999993E-3</c:v>
                </c:pt>
                <c:pt idx="471">
                  <c:v>7.9889999999999996E-3</c:v>
                </c:pt>
                <c:pt idx="472">
                  <c:v>7.1459999999999996E-3</c:v>
                </c:pt>
                <c:pt idx="473">
                  <c:v>6.7099999999999998E-3</c:v>
                </c:pt>
                <c:pt idx="474">
                  <c:v>6.9439999999999997E-3</c:v>
                </c:pt>
                <c:pt idx="475">
                  <c:v>6.888E-3</c:v>
                </c:pt>
                <c:pt idx="476">
                  <c:v>6.6649999999999999E-3</c:v>
                </c:pt>
                <c:pt idx="477">
                  <c:v>6.2700000000000004E-3</c:v>
                </c:pt>
                <c:pt idx="478">
                  <c:v>5.9160000000000003E-3</c:v>
                </c:pt>
                <c:pt idx="479">
                  <c:v>7.084E-3</c:v>
                </c:pt>
                <c:pt idx="480">
                  <c:v>7.2430000000000003E-3</c:v>
                </c:pt>
                <c:pt idx="481">
                  <c:v>7.2979999999999998E-3</c:v>
                </c:pt>
                <c:pt idx="482">
                  <c:v>7.2849999999999998E-3</c:v>
                </c:pt>
                <c:pt idx="483">
                  <c:v>7.5399999999999998E-3</c:v>
                </c:pt>
                <c:pt idx="484">
                  <c:v>7.8050000000000003E-3</c:v>
                </c:pt>
                <c:pt idx="485">
                  <c:v>8.0909999999999992E-3</c:v>
                </c:pt>
                <c:pt idx="486">
                  <c:v>6.587E-3</c:v>
                </c:pt>
                <c:pt idx="487">
                  <c:v>6.8960000000000002E-3</c:v>
                </c:pt>
                <c:pt idx="488">
                  <c:v>6.999E-3</c:v>
                </c:pt>
                <c:pt idx="489">
                  <c:v>6.1890000000000001E-3</c:v>
                </c:pt>
                <c:pt idx="490">
                  <c:v>5.9800000000000001E-3</c:v>
                </c:pt>
                <c:pt idx="491">
                  <c:v>4.6519999999999999E-3</c:v>
                </c:pt>
                <c:pt idx="492">
                  <c:v>5.2919999999999998E-3</c:v>
                </c:pt>
                <c:pt idx="493">
                  <c:v>5.2310000000000004E-3</c:v>
                </c:pt>
                <c:pt idx="494">
                  <c:v>6.1529999999999996E-3</c:v>
                </c:pt>
                <c:pt idx="495">
                  <c:v>6.3480000000000003E-3</c:v>
                </c:pt>
                <c:pt idx="496">
                  <c:v>6.2859999999999999E-3</c:v>
                </c:pt>
                <c:pt idx="497">
                  <c:v>6.8890000000000002E-3</c:v>
                </c:pt>
                <c:pt idx="498">
                  <c:v>6.6470000000000001E-3</c:v>
                </c:pt>
                <c:pt idx="499">
                  <c:v>6.8580000000000004E-3</c:v>
                </c:pt>
                <c:pt idx="500">
                  <c:v>7.659E-3</c:v>
                </c:pt>
                <c:pt idx="501">
                  <c:v>7.6519999999999999E-3</c:v>
                </c:pt>
                <c:pt idx="502">
                  <c:v>8.3260000000000001E-3</c:v>
                </c:pt>
                <c:pt idx="503">
                  <c:v>8.3260000000000001E-3</c:v>
                </c:pt>
                <c:pt idx="504">
                  <c:v>8.3789999999999993E-3</c:v>
                </c:pt>
                <c:pt idx="505">
                  <c:v>7.79E-3</c:v>
                </c:pt>
                <c:pt idx="506">
                  <c:v>7.5550000000000001E-3</c:v>
                </c:pt>
                <c:pt idx="507">
                  <c:v>8.2699999999999996E-3</c:v>
                </c:pt>
                <c:pt idx="508">
                  <c:v>8.2749999999999994E-3</c:v>
                </c:pt>
                <c:pt idx="509">
                  <c:v>7.5810000000000001E-3</c:v>
                </c:pt>
                <c:pt idx="510">
                  <c:v>9.1050000000000002E-3</c:v>
                </c:pt>
                <c:pt idx="511">
                  <c:v>8.7969999999999993E-3</c:v>
                </c:pt>
                <c:pt idx="512">
                  <c:v>1.192E-2</c:v>
                </c:pt>
                <c:pt idx="513">
                  <c:v>1.3136E-2</c:v>
                </c:pt>
                <c:pt idx="514">
                  <c:v>1.3370999999999999E-2</c:v>
                </c:pt>
                <c:pt idx="515">
                  <c:v>1.4800000000000001E-2</c:v>
                </c:pt>
                <c:pt idx="516">
                  <c:v>1.3037999999999999E-2</c:v>
                </c:pt>
                <c:pt idx="517">
                  <c:v>1.2728E-2</c:v>
                </c:pt>
                <c:pt idx="518">
                  <c:v>1.1889E-2</c:v>
                </c:pt>
                <c:pt idx="519">
                  <c:v>1.2547000000000001E-2</c:v>
                </c:pt>
                <c:pt idx="520">
                  <c:v>1.2174000000000001E-2</c:v>
                </c:pt>
                <c:pt idx="521">
                  <c:v>1.3727E-2</c:v>
                </c:pt>
                <c:pt idx="522">
                  <c:v>1.3138E-2</c:v>
                </c:pt>
                <c:pt idx="523">
                  <c:v>1.2302E-2</c:v>
                </c:pt>
                <c:pt idx="524">
                  <c:v>1.1502E-2</c:v>
                </c:pt>
                <c:pt idx="525">
                  <c:v>1.2788000000000001E-2</c:v>
                </c:pt>
                <c:pt idx="526">
                  <c:v>1.2186000000000001E-2</c:v>
                </c:pt>
                <c:pt idx="527">
                  <c:v>1.3535E-2</c:v>
                </c:pt>
                <c:pt idx="528">
                  <c:v>1.4751E-2</c:v>
                </c:pt>
                <c:pt idx="529">
                  <c:v>1.4094000000000001E-2</c:v>
                </c:pt>
                <c:pt idx="530">
                  <c:v>1.2904000000000001E-2</c:v>
                </c:pt>
                <c:pt idx="531">
                  <c:v>1.3206000000000001E-2</c:v>
                </c:pt>
                <c:pt idx="532">
                  <c:v>1.3350000000000001E-2</c:v>
                </c:pt>
                <c:pt idx="533">
                  <c:v>1.4546E-2</c:v>
                </c:pt>
                <c:pt idx="534">
                  <c:v>1.3542E-2</c:v>
                </c:pt>
                <c:pt idx="535">
                  <c:v>1.6500000000000001E-2</c:v>
                </c:pt>
                <c:pt idx="536">
                  <c:v>1.3198E-2</c:v>
                </c:pt>
                <c:pt idx="537">
                  <c:v>9.5029999999999993E-3</c:v>
                </c:pt>
                <c:pt idx="538">
                  <c:v>8.1180000000000002E-3</c:v>
                </c:pt>
                <c:pt idx="539">
                  <c:v>7.9880000000000003E-3</c:v>
                </c:pt>
                <c:pt idx="540">
                  <c:v>6.6270000000000001E-3</c:v>
                </c:pt>
                <c:pt idx="541">
                  <c:v>5.7829999999999999E-3</c:v>
                </c:pt>
                <c:pt idx="542">
                  <c:v>5.8589999999999996E-3</c:v>
                </c:pt>
                <c:pt idx="543">
                  <c:v>5.2350000000000001E-3</c:v>
                </c:pt>
                <c:pt idx="544">
                  <c:v>5.5290000000000001E-3</c:v>
                </c:pt>
                <c:pt idx="545">
                  <c:v>5.8520000000000004E-3</c:v>
                </c:pt>
                <c:pt idx="546">
                  <c:v>5.862E-3</c:v>
                </c:pt>
                <c:pt idx="547">
                  <c:v>6.0860000000000003E-3</c:v>
                </c:pt>
                <c:pt idx="548">
                  <c:v>6.0020000000000004E-3</c:v>
                </c:pt>
                <c:pt idx="549">
                  <c:v>5.7959999999999999E-3</c:v>
                </c:pt>
                <c:pt idx="550">
                  <c:v>6.3889999999999997E-3</c:v>
                </c:pt>
                <c:pt idx="551">
                  <c:v>6.5950000000000002E-3</c:v>
                </c:pt>
                <c:pt idx="552">
                  <c:v>6.5440000000000003E-3</c:v>
                </c:pt>
                <c:pt idx="553">
                  <c:v>7.3810000000000004E-3</c:v>
                </c:pt>
                <c:pt idx="554">
                  <c:v>7.5900000000000004E-3</c:v>
                </c:pt>
                <c:pt idx="555">
                  <c:v>6.4689999999999999E-3</c:v>
                </c:pt>
                <c:pt idx="556">
                  <c:v>6.4349999999999997E-3</c:v>
                </c:pt>
                <c:pt idx="557">
                  <c:v>6.123E-3</c:v>
                </c:pt>
                <c:pt idx="558">
                  <c:v>6.4970000000000002E-3</c:v>
                </c:pt>
                <c:pt idx="559">
                  <c:v>5.7970000000000001E-3</c:v>
                </c:pt>
                <c:pt idx="560">
                  <c:v>5.8630000000000002E-3</c:v>
                </c:pt>
                <c:pt idx="561">
                  <c:v>6.8929999999999998E-3</c:v>
                </c:pt>
                <c:pt idx="562">
                  <c:v>6.4599999999999996E-3</c:v>
                </c:pt>
                <c:pt idx="563">
                  <c:v>5.0239999999999998E-3</c:v>
                </c:pt>
                <c:pt idx="564">
                  <c:v>4.2269999999999999E-3</c:v>
                </c:pt>
                <c:pt idx="565">
                  <c:v>4.0470000000000002E-3</c:v>
                </c:pt>
                <c:pt idx="566">
                  <c:v>4.15E-3</c:v>
                </c:pt>
                <c:pt idx="567">
                  <c:v>3.3289999999999999E-3</c:v>
                </c:pt>
                <c:pt idx="568">
                  <c:v>3.493E-3</c:v>
                </c:pt>
                <c:pt idx="569">
                  <c:v>3.4090000000000001E-3</c:v>
                </c:pt>
                <c:pt idx="570">
                  <c:v>3.4359999999999998E-3</c:v>
                </c:pt>
                <c:pt idx="571">
                  <c:v>3.362E-3</c:v>
                </c:pt>
                <c:pt idx="572">
                  <c:v>3.6809999999999998E-3</c:v>
                </c:pt>
                <c:pt idx="573">
                  <c:v>3.5829999999999998E-3</c:v>
                </c:pt>
                <c:pt idx="574">
                  <c:v>3.2030000000000001E-3</c:v>
                </c:pt>
                <c:pt idx="575">
                  <c:v>3.307E-3</c:v>
                </c:pt>
                <c:pt idx="576">
                  <c:v>3.411E-3</c:v>
                </c:pt>
                <c:pt idx="577">
                  <c:v>3.2810000000000001E-3</c:v>
                </c:pt>
                <c:pt idx="578">
                  <c:v>3.0019999999999999E-3</c:v>
                </c:pt>
                <c:pt idx="579">
                  <c:v>2.8E-3</c:v>
                </c:pt>
                <c:pt idx="580">
                  <c:v>2.9859999999999999E-3</c:v>
                </c:pt>
                <c:pt idx="581">
                  <c:v>2.9889999999999999E-3</c:v>
                </c:pt>
                <c:pt idx="582">
                  <c:v>2.8600000000000001E-3</c:v>
                </c:pt>
                <c:pt idx="583">
                  <c:v>3.0270000000000002E-3</c:v>
                </c:pt>
                <c:pt idx="584">
                  <c:v>2.81E-3</c:v>
                </c:pt>
                <c:pt idx="585">
                  <c:v>2.7980000000000001E-3</c:v>
                </c:pt>
                <c:pt idx="586">
                  <c:v>3.1120000000000002E-3</c:v>
                </c:pt>
                <c:pt idx="587">
                  <c:v>2.4659999999999999E-3</c:v>
                </c:pt>
                <c:pt idx="588">
                  <c:v>2.542E-3</c:v>
                </c:pt>
                <c:pt idx="589">
                  <c:v>2.4380000000000001E-3</c:v>
                </c:pt>
                <c:pt idx="590">
                  <c:v>2.3749999999999999E-3</c:v>
                </c:pt>
                <c:pt idx="591">
                  <c:v>2.2859999999999998E-3</c:v>
                </c:pt>
                <c:pt idx="592">
                  <c:v>2.323E-3</c:v>
                </c:pt>
                <c:pt idx="593">
                  <c:v>2.467E-3</c:v>
                </c:pt>
                <c:pt idx="594">
                  <c:v>2.392E-3</c:v>
                </c:pt>
                <c:pt idx="595">
                  <c:v>2.209E-3</c:v>
                </c:pt>
                <c:pt idx="596">
                  <c:v>2.5660000000000001E-3</c:v>
                </c:pt>
                <c:pt idx="597">
                  <c:v>2.539E-3</c:v>
                </c:pt>
                <c:pt idx="598">
                  <c:v>2.3869999999999998E-3</c:v>
                </c:pt>
                <c:pt idx="599">
                  <c:v>2.392E-3</c:v>
                </c:pt>
                <c:pt idx="600">
                  <c:v>2.4550000000000002E-3</c:v>
                </c:pt>
                <c:pt idx="601">
                  <c:v>2.4060000000000002E-3</c:v>
                </c:pt>
                <c:pt idx="602">
                  <c:v>2.5409999999999999E-3</c:v>
                </c:pt>
                <c:pt idx="603">
                  <c:v>2.2209999999999999E-3</c:v>
                </c:pt>
                <c:pt idx="604">
                  <c:v>2.1229999999999999E-3</c:v>
                </c:pt>
                <c:pt idx="605">
                  <c:v>2.2769999999999999E-3</c:v>
                </c:pt>
                <c:pt idx="606">
                  <c:v>2.2039999999999998E-3</c:v>
                </c:pt>
                <c:pt idx="607">
                  <c:v>2.183E-3</c:v>
                </c:pt>
                <c:pt idx="608">
                  <c:v>2.183E-3</c:v>
                </c:pt>
                <c:pt idx="609">
                  <c:v>2.2260000000000001E-3</c:v>
                </c:pt>
                <c:pt idx="610">
                  <c:v>2.4009999999999999E-3</c:v>
                </c:pt>
                <c:pt idx="611">
                  <c:v>2.16E-3</c:v>
                </c:pt>
                <c:pt idx="612">
                  <c:v>2.232E-3</c:v>
                </c:pt>
                <c:pt idx="613">
                  <c:v>1.856E-3</c:v>
                </c:pt>
                <c:pt idx="614">
                  <c:v>1.903E-3</c:v>
                </c:pt>
                <c:pt idx="615">
                  <c:v>1.9849999999999998E-3</c:v>
                </c:pt>
                <c:pt idx="616">
                  <c:v>1.8289999999999999E-3</c:v>
                </c:pt>
                <c:pt idx="617">
                  <c:v>1.702E-3</c:v>
                </c:pt>
                <c:pt idx="618">
                  <c:v>1.766E-3</c:v>
                </c:pt>
                <c:pt idx="619">
                  <c:v>1.848E-3</c:v>
                </c:pt>
                <c:pt idx="620">
                  <c:v>1.676E-3</c:v>
                </c:pt>
                <c:pt idx="621">
                  <c:v>1.6919999999999999E-3</c:v>
                </c:pt>
                <c:pt idx="622">
                  <c:v>1.565E-3</c:v>
                </c:pt>
                <c:pt idx="623">
                  <c:v>1.549E-3</c:v>
                </c:pt>
                <c:pt idx="624">
                  <c:v>1.557E-3</c:v>
                </c:pt>
                <c:pt idx="625">
                  <c:v>1.5100000000000001E-3</c:v>
                </c:pt>
                <c:pt idx="626">
                  <c:v>1.449E-3</c:v>
                </c:pt>
                <c:pt idx="627">
                  <c:v>1.5150000000000001E-3</c:v>
                </c:pt>
                <c:pt idx="628">
                  <c:v>1.653E-3</c:v>
                </c:pt>
                <c:pt idx="629">
                  <c:v>1.6980000000000001E-3</c:v>
                </c:pt>
                <c:pt idx="630">
                  <c:v>1.696E-3</c:v>
                </c:pt>
                <c:pt idx="631">
                  <c:v>1.707E-3</c:v>
                </c:pt>
                <c:pt idx="632">
                  <c:v>1.8240000000000001E-3</c:v>
                </c:pt>
                <c:pt idx="633">
                  <c:v>1.604E-3</c:v>
                </c:pt>
                <c:pt idx="634">
                  <c:v>1.5449999999999999E-3</c:v>
                </c:pt>
                <c:pt idx="635">
                  <c:v>1.5969999999999999E-3</c:v>
                </c:pt>
                <c:pt idx="636">
                  <c:v>1.572E-3</c:v>
                </c:pt>
                <c:pt idx="637">
                  <c:v>1.524E-3</c:v>
                </c:pt>
                <c:pt idx="638">
                  <c:v>1.5629999999999999E-3</c:v>
                </c:pt>
                <c:pt idx="639">
                  <c:v>1.531E-3</c:v>
                </c:pt>
                <c:pt idx="640">
                  <c:v>1.5900000000000001E-3</c:v>
                </c:pt>
                <c:pt idx="641">
                  <c:v>1.488E-3</c:v>
                </c:pt>
                <c:pt idx="642">
                  <c:v>1.415E-3</c:v>
                </c:pt>
                <c:pt idx="643">
                  <c:v>1.3780000000000001E-3</c:v>
                </c:pt>
                <c:pt idx="644">
                  <c:v>1.3669999999999999E-3</c:v>
                </c:pt>
                <c:pt idx="645">
                  <c:v>1.3500000000000001E-3</c:v>
                </c:pt>
                <c:pt idx="646">
                  <c:v>1.3140000000000001E-3</c:v>
                </c:pt>
                <c:pt idx="647">
                  <c:v>1.343E-3</c:v>
                </c:pt>
                <c:pt idx="648">
                  <c:v>1.3810000000000001E-3</c:v>
                </c:pt>
                <c:pt idx="649">
                  <c:v>1.395E-3</c:v>
                </c:pt>
                <c:pt idx="650">
                  <c:v>1.3829999999999999E-3</c:v>
                </c:pt>
                <c:pt idx="651">
                  <c:v>1.3960000000000001E-3</c:v>
                </c:pt>
                <c:pt idx="652">
                  <c:v>1.3359999999999999E-3</c:v>
                </c:pt>
                <c:pt idx="653">
                  <c:v>1.4090000000000001E-3</c:v>
                </c:pt>
                <c:pt idx="654">
                  <c:v>1.3140000000000001E-3</c:v>
                </c:pt>
                <c:pt idx="655">
                  <c:v>1.3780000000000001E-3</c:v>
                </c:pt>
                <c:pt idx="656">
                  <c:v>1.3780000000000001E-3</c:v>
                </c:pt>
                <c:pt idx="657">
                  <c:v>1.338E-3</c:v>
                </c:pt>
                <c:pt idx="658">
                  <c:v>1.475E-3</c:v>
                </c:pt>
                <c:pt idx="659">
                  <c:v>1.49E-3</c:v>
                </c:pt>
                <c:pt idx="660">
                  <c:v>1.469E-3</c:v>
                </c:pt>
                <c:pt idx="661">
                  <c:v>1.5020000000000001E-3</c:v>
                </c:pt>
                <c:pt idx="662">
                  <c:v>1.4450000000000001E-3</c:v>
                </c:pt>
                <c:pt idx="663">
                  <c:v>1.451E-3</c:v>
                </c:pt>
                <c:pt idx="664">
                  <c:v>1.441E-3</c:v>
                </c:pt>
                <c:pt idx="665">
                  <c:v>1.4549999999999999E-3</c:v>
                </c:pt>
                <c:pt idx="666">
                  <c:v>1.4549999999999999E-3</c:v>
                </c:pt>
                <c:pt idx="667">
                  <c:v>1.4649999999999999E-3</c:v>
                </c:pt>
                <c:pt idx="668">
                  <c:v>1.4840000000000001E-3</c:v>
                </c:pt>
                <c:pt idx="669">
                  <c:v>1.3799999999999999E-3</c:v>
                </c:pt>
                <c:pt idx="670">
                  <c:v>1.5659999999999999E-3</c:v>
                </c:pt>
                <c:pt idx="671">
                  <c:v>1.588E-3</c:v>
                </c:pt>
                <c:pt idx="672">
                  <c:v>1.3910000000000001E-3</c:v>
                </c:pt>
                <c:pt idx="673">
                  <c:v>1.2650000000000001E-3</c:v>
                </c:pt>
                <c:pt idx="674">
                  <c:v>1.2800000000000001E-3</c:v>
                </c:pt>
                <c:pt idx="675">
                  <c:v>1.2880000000000001E-3</c:v>
                </c:pt>
                <c:pt idx="676">
                  <c:v>1.201E-3</c:v>
                </c:pt>
                <c:pt idx="677">
                  <c:v>1.2589999999999999E-3</c:v>
                </c:pt>
                <c:pt idx="678">
                  <c:v>1.271E-3</c:v>
                </c:pt>
                <c:pt idx="679">
                  <c:v>1.2620000000000001E-3</c:v>
                </c:pt>
                <c:pt idx="680">
                  <c:v>1.1119999999999999E-3</c:v>
                </c:pt>
                <c:pt idx="681">
                  <c:v>1.1310000000000001E-3</c:v>
                </c:pt>
                <c:pt idx="682">
                  <c:v>1.0610000000000001E-3</c:v>
                </c:pt>
                <c:pt idx="683">
                  <c:v>1.225E-3</c:v>
                </c:pt>
                <c:pt idx="684">
                  <c:v>1.0740000000000001E-3</c:v>
                </c:pt>
                <c:pt idx="685">
                  <c:v>1.044E-3</c:v>
                </c:pt>
                <c:pt idx="686">
                  <c:v>8.8099999999999995E-4</c:v>
                </c:pt>
                <c:pt idx="687">
                  <c:v>1.7769999999999999E-3</c:v>
                </c:pt>
                <c:pt idx="688">
                  <c:v>1.8940000000000001E-3</c:v>
                </c:pt>
                <c:pt idx="689">
                  <c:v>1.9550000000000001E-3</c:v>
                </c:pt>
                <c:pt idx="690">
                  <c:v>1.879E-3</c:v>
                </c:pt>
                <c:pt idx="691">
                  <c:v>2.1580000000000002E-3</c:v>
                </c:pt>
                <c:pt idx="692">
                  <c:v>2.2850000000000001E-3</c:v>
                </c:pt>
                <c:pt idx="693">
                  <c:v>2.2599999999999999E-3</c:v>
                </c:pt>
                <c:pt idx="694">
                  <c:v>1.9499999999999999E-3</c:v>
                </c:pt>
                <c:pt idx="695">
                  <c:v>2.0669999999999998E-3</c:v>
                </c:pt>
                <c:pt idx="696">
                  <c:v>2.1020000000000001E-3</c:v>
                </c:pt>
                <c:pt idx="697">
                  <c:v>2.0209999999999998E-3</c:v>
                </c:pt>
                <c:pt idx="698">
                  <c:v>2.1549999999999998E-3</c:v>
                </c:pt>
                <c:pt idx="699">
                  <c:v>2.124E-3</c:v>
                </c:pt>
                <c:pt idx="700">
                  <c:v>2.0040000000000001E-3</c:v>
                </c:pt>
                <c:pt idx="701">
                  <c:v>1.7459999999999999E-3</c:v>
                </c:pt>
                <c:pt idx="702">
                  <c:v>2.0019999999999999E-3</c:v>
                </c:pt>
                <c:pt idx="703">
                  <c:v>2.1580000000000002E-3</c:v>
                </c:pt>
                <c:pt idx="704">
                  <c:v>2.3479999999999998E-3</c:v>
                </c:pt>
                <c:pt idx="705">
                  <c:v>2.1380000000000001E-3</c:v>
                </c:pt>
                <c:pt idx="706">
                  <c:v>2.2169999999999998E-3</c:v>
                </c:pt>
                <c:pt idx="707">
                  <c:v>2.3500000000000001E-3</c:v>
                </c:pt>
                <c:pt idx="708">
                  <c:v>2.5360000000000001E-3</c:v>
                </c:pt>
                <c:pt idx="709">
                  <c:v>2.8180000000000002E-3</c:v>
                </c:pt>
                <c:pt idx="710">
                  <c:v>2.679E-3</c:v>
                </c:pt>
                <c:pt idx="711">
                  <c:v>2.7750000000000001E-3</c:v>
                </c:pt>
                <c:pt idx="712">
                  <c:v>3.2590000000000002E-3</c:v>
                </c:pt>
                <c:pt idx="713">
                  <c:v>2.7720000000000002E-3</c:v>
                </c:pt>
                <c:pt idx="714">
                  <c:v>2.209E-3</c:v>
                </c:pt>
                <c:pt idx="715">
                  <c:v>1.9350000000000001E-3</c:v>
                </c:pt>
                <c:pt idx="716">
                  <c:v>1.8010000000000001E-3</c:v>
                </c:pt>
                <c:pt idx="717">
                  <c:v>1.6720000000000001E-3</c:v>
                </c:pt>
                <c:pt idx="718">
                  <c:v>1.66E-3</c:v>
                </c:pt>
                <c:pt idx="719">
                  <c:v>1.596E-3</c:v>
                </c:pt>
                <c:pt idx="720">
                  <c:v>1.6440000000000001E-3</c:v>
                </c:pt>
                <c:pt idx="721">
                  <c:v>1.665E-3</c:v>
                </c:pt>
                <c:pt idx="722">
                  <c:v>1.6360000000000001E-3</c:v>
                </c:pt>
                <c:pt idx="723">
                  <c:v>1.578E-3</c:v>
                </c:pt>
                <c:pt idx="724">
                  <c:v>1.413E-3</c:v>
                </c:pt>
                <c:pt idx="725">
                  <c:v>1.3799999999999999E-3</c:v>
                </c:pt>
                <c:pt idx="726">
                  <c:v>1.3749999999999999E-3</c:v>
                </c:pt>
                <c:pt idx="727">
                  <c:v>1.317E-3</c:v>
                </c:pt>
                <c:pt idx="728">
                  <c:v>1.2899999999999999E-3</c:v>
                </c:pt>
                <c:pt idx="729">
                  <c:v>1.3079999999999999E-3</c:v>
                </c:pt>
                <c:pt idx="730">
                  <c:v>1.31E-3</c:v>
                </c:pt>
                <c:pt idx="731">
                  <c:v>1.3110000000000001E-3</c:v>
                </c:pt>
                <c:pt idx="732">
                  <c:v>1.2719999999999999E-3</c:v>
                </c:pt>
                <c:pt idx="733">
                  <c:v>1.276E-3</c:v>
                </c:pt>
                <c:pt idx="734">
                  <c:v>1.235E-3</c:v>
                </c:pt>
                <c:pt idx="735">
                  <c:v>1.2260000000000001E-3</c:v>
                </c:pt>
                <c:pt idx="736">
                  <c:v>1.261E-3</c:v>
                </c:pt>
                <c:pt idx="737">
                  <c:v>1.271E-3</c:v>
                </c:pt>
                <c:pt idx="738">
                  <c:v>1.261E-3</c:v>
                </c:pt>
                <c:pt idx="739">
                  <c:v>1.3079999999999999E-3</c:v>
                </c:pt>
                <c:pt idx="740">
                  <c:v>1.3359999999999999E-3</c:v>
                </c:pt>
                <c:pt idx="741">
                  <c:v>1.3339999999999999E-3</c:v>
                </c:pt>
                <c:pt idx="742">
                  <c:v>1.3029999999999999E-3</c:v>
                </c:pt>
                <c:pt idx="743">
                  <c:v>1.3179999999999999E-3</c:v>
                </c:pt>
                <c:pt idx="744">
                  <c:v>1.3320000000000001E-3</c:v>
                </c:pt>
                <c:pt idx="745">
                  <c:v>1.3110000000000001E-3</c:v>
                </c:pt>
                <c:pt idx="746">
                  <c:v>1.333E-3</c:v>
                </c:pt>
                <c:pt idx="747">
                  <c:v>1.3420000000000001E-3</c:v>
                </c:pt>
                <c:pt idx="748">
                  <c:v>1.3290000000000001E-3</c:v>
                </c:pt>
                <c:pt idx="749">
                  <c:v>1.3209999999999999E-3</c:v>
                </c:pt>
                <c:pt idx="750">
                  <c:v>1.377E-3</c:v>
                </c:pt>
                <c:pt idx="751">
                  <c:v>1.384E-3</c:v>
                </c:pt>
                <c:pt idx="752">
                  <c:v>1.4400000000000001E-3</c:v>
                </c:pt>
                <c:pt idx="753">
                  <c:v>1.41E-3</c:v>
                </c:pt>
                <c:pt idx="754">
                  <c:v>1.4170000000000001E-3</c:v>
                </c:pt>
                <c:pt idx="755">
                  <c:v>1.407E-3</c:v>
                </c:pt>
                <c:pt idx="756">
                  <c:v>1.397E-3</c:v>
                </c:pt>
                <c:pt idx="757">
                  <c:v>1.439E-3</c:v>
                </c:pt>
                <c:pt idx="758">
                  <c:v>1.4419999999999999E-3</c:v>
                </c:pt>
                <c:pt idx="759">
                  <c:v>1.488E-3</c:v>
                </c:pt>
                <c:pt idx="760">
                  <c:v>1.5479999999999999E-3</c:v>
                </c:pt>
                <c:pt idx="761">
                  <c:v>1.547E-3</c:v>
                </c:pt>
                <c:pt idx="762">
                  <c:v>1.5950000000000001E-3</c:v>
                </c:pt>
                <c:pt idx="763">
                  <c:v>1.614E-3</c:v>
                </c:pt>
                <c:pt idx="764">
                  <c:v>1.573E-3</c:v>
                </c:pt>
                <c:pt idx="765">
                  <c:v>1.598E-3</c:v>
                </c:pt>
                <c:pt idx="766">
                  <c:v>1.6000000000000001E-3</c:v>
                </c:pt>
                <c:pt idx="767">
                  <c:v>1.6050000000000001E-3</c:v>
                </c:pt>
                <c:pt idx="768">
                  <c:v>1.5839999999999999E-3</c:v>
                </c:pt>
                <c:pt idx="769">
                  <c:v>1.6639999999999999E-3</c:v>
                </c:pt>
                <c:pt idx="770">
                  <c:v>1.6590000000000001E-3</c:v>
                </c:pt>
                <c:pt idx="771">
                  <c:v>1.678E-3</c:v>
                </c:pt>
                <c:pt idx="772">
                  <c:v>1.573E-3</c:v>
                </c:pt>
                <c:pt idx="773">
                  <c:v>1.658E-3</c:v>
                </c:pt>
                <c:pt idx="774">
                  <c:v>1.7719999999999999E-3</c:v>
                </c:pt>
                <c:pt idx="775">
                  <c:v>1.6949999999999999E-3</c:v>
                </c:pt>
                <c:pt idx="776">
                  <c:v>1.7570000000000001E-3</c:v>
                </c:pt>
                <c:pt idx="777">
                  <c:v>1.737E-3</c:v>
                </c:pt>
                <c:pt idx="778">
                  <c:v>1.7459999999999999E-3</c:v>
                </c:pt>
                <c:pt idx="779">
                  <c:v>1.7700000000000001E-3</c:v>
                </c:pt>
                <c:pt idx="780">
                  <c:v>1.843E-3</c:v>
                </c:pt>
                <c:pt idx="781">
                  <c:v>1.8649999999999999E-3</c:v>
                </c:pt>
                <c:pt idx="782">
                  <c:v>1.843E-3</c:v>
                </c:pt>
                <c:pt idx="783">
                  <c:v>1.81E-3</c:v>
                </c:pt>
                <c:pt idx="784">
                  <c:v>1.8209999999999999E-3</c:v>
                </c:pt>
                <c:pt idx="785">
                  <c:v>1.792E-3</c:v>
                </c:pt>
                <c:pt idx="786">
                  <c:v>1.8259999999999999E-3</c:v>
                </c:pt>
                <c:pt idx="787">
                  <c:v>1.833E-3</c:v>
                </c:pt>
                <c:pt idx="788">
                  <c:v>1.859E-3</c:v>
                </c:pt>
                <c:pt idx="789">
                  <c:v>1.9109999999999999E-3</c:v>
                </c:pt>
                <c:pt idx="790">
                  <c:v>1.9919999999999998E-3</c:v>
                </c:pt>
                <c:pt idx="791">
                  <c:v>1.916E-3</c:v>
                </c:pt>
                <c:pt idx="792">
                  <c:v>1.9430000000000001E-3</c:v>
                </c:pt>
                <c:pt idx="793">
                  <c:v>1.8680000000000001E-3</c:v>
                </c:pt>
                <c:pt idx="794">
                  <c:v>1.8619999999999999E-3</c:v>
                </c:pt>
                <c:pt idx="795">
                  <c:v>1.799E-3</c:v>
                </c:pt>
                <c:pt idx="796">
                  <c:v>1.9910000000000001E-3</c:v>
                </c:pt>
                <c:pt idx="797">
                  <c:v>1.9959999999999999E-3</c:v>
                </c:pt>
                <c:pt idx="798">
                  <c:v>2.0230000000000001E-3</c:v>
                </c:pt>
                <c:pt idx="799">
                  <c:v>2.232E-3</c:v>
                </c:pt>
                <c:pt idx="800">
                  <c:v>2.15E-3</c:v>
                </c:pt>
                <c:pt idx="801">
                  <c:v>2.212E-3</c:v>
                </c:pt>
                <c:pt idx="802">
                  <c:v>2.3E-3</c:v>
                </c:pt>
                <c:pt idx="803">
                  <c:v>2.3540000000000002E-3</c:v>
                </c:pt>
                <c:pt idx="804">
                  <c:v>2.2330000000000002E-3</c:v>
                </c:pt>
                <c:pt idx="805">
                  <c:v>2.2309999999999999E-3</c:v>
                </c:pt>
                <c:pt idx="806">
                  <c:v>2.2629999999999998E-3</c:v>
                </c:pt>
                <c:pt idx="807">
                  <c:v>2.2200000000000002E-3</c:v>
                </c:pt>
                <c:pt idx="808">
                  <c:v>2.2769999999999999E-3</c:v>
                </c:pt>
                <c:pt idx="809">
                  <c:v>2.3149999999999998E-3</c:v>
                </c:pt>
                <c:pt idx="810">
                  <c:v>2.3050000000000002E-3</c:v>
                </c:pt>
                <c:pt idx="811">
                  <c:v>2.2629999999999998E-3</c:v>
                </c:pt>
                <c:pt idx="812">
                  <c:v>2.3900000000000002E-3</c:v>
                </c:pt>
                <c:pt idx="813">
                  <c:v>2.4120000000000001E-3</c:v>
                </c:pt>
                <c:pt idx="814">
                  <c:v>2.3570000000000002E-3</c:v>
                </c:pt>
                <c:pt idx="815">
                  <c:v>2.4039999999999999E-3</c:v>
                </c:pt>
                <c:pt idx="816">
                  <c:v>2.4130000000000002E-3</c:v>
                </c:pt>
                <c:pt idx="817">
                  <c:v>2.5110000000000002E-3</c:v>
                </c:pt>
                <c:pt idx="818">
                  <c:v>2.2880000000000001E-3</c:v>
                </c:pt>
                <c:pt idx="819">
                  <c:v>2.2209999999999999E-3</c:v>
                </c:pt>
                <c:pt idx="820">
                  <c:v>2.1610000000000002E-3</c:v>
                </c:pt>
                <c:pt idx="821">
                  <c:v>2.2780000000000001E-3</c:v>
                </c:pt>
                <c:pt idx="822">
                  <c:v>2.2550000000000001E-3</c:v>
                </c:pt>
                <c:pt idx="823">
                  <c:v>2.1450000000000002E-3</c:v>
                </c:pt>
                <c:pt idx="824">
                  <c:v>2.039E-3</c:v>
                </c:pt>
                <c:pt idx="825">
                  <c:v>2.127E-3</c:v>
                </c:pt>
                <c:pt idx="826">
                  <c:v>2.032E-3</c:v>
                </c:pt>
                <c:pt idx="827">
                  <c:v>2.0049999999999998E-3</c:v>
                </c:pt>
                <c:pt idx="828">
                  <c:v>2.2290000000000001E-3</c:v>
                </c:pt>
                <c:pt idx="829">
                  <c:v>2.281E-3</c:v>
                </c:pt>
                <c:pt idx="830">
                  <c:v>2.2820000000000002E-3</c:v>
                </c:pt>
                <c:pt idx="831">
                  <c:v>2.2490000000000001E-3</c:v>
                </c:pt>
                <c:pt idx="832">
                  <c:v>2.2699999999999999E-3</c:v>
                </c:pt>
                <c:pt idx="833">
                  <c:v>2.4190000000000001E-3</c:v>
                </c:pt>
                <c:pt idx="834">
                  <c:v>2.4710000000000001E-3</c:v>
                </c:pt>
                <c:pt idx="835">
                  <c:v>2.2139999999999998E-3</c:v>
                </c:pt>
                <c:pt idx="836">
                  <c:v>2.3509999999999998E-3</c:v>
                </c:pt>
                <c:pt idx="837">
                  <c:v>2.3800000000000002E-3</c:v>
                </c:pt>
                <c:pt idx="838">
                  <c:v>2.349E-3</c:v>
                </c:pt>
                <c:pt idx="839">
                  <c:v>2.392E-3</c:v>
                </c:pt>
                <c:pt idx="840">
                  <c:v>2.483E-3</c:v>
                </c:pt>
                <c:pt idx="841">
                  <c:v>2.5869999999999999E-3</c:v>
                </c:pt>
                <c:pt idx="842">
                  <c:v>2.5669999999999998E-3</c:v>
                </c:pt>
                <c:pt idx="843">
                  <c:v>2.3149999999999998E-3</c:v>
                </c:pt>
                <c:pt idx="844">
                  <c:v>2.2910000000000001E-3</c:v>
                </c:pt>
                <c:pt idx="845">
                  <c:v>2.4510000000000001E-3</c:v>
                </c:pt>
                <c:pt idx="846">
                  <c:v>2.238E-3</c:v>
                </c:pt>
                <c:pt idx="847">
                  <c:v>2.232E-3</c:v>
                </c:pt>
                <c:pt idx="848">
                  <c:v>2.2230000000000001E-3</c:v>
                </c:pt>
                <c:pt idx="849">
                  <c:v>2.2889999999999998E-3</c:v>
                </c:pt>
                <c:pt idx="850">
                  <c:v>2.2409999999999999E-3</c:v>
                </c:pt>
                <c:pt idx="851">
                  <c:v>2.1380000000000001E-3</c:v>
                </c:pt>
                <c:pt idx="852">
                  <c:v>2.307E-3</c:v>
                </c:pt>
                <c:pt idx="853">
                  <c:v>2.2409999999999999E-3</c:v>
                </c:pt>
                <c:pt idx="854">
                  <c:v>2.0379999999999999E-3</c:v>
                </c:pt>
                <c:pt idx="855">
                  <c:v>2.1870000000000001E-3</c:v>
                </c:pt>
                <c:pt idx="856">
                  <c:v>2.1770000000000001E-3</c:v>
                </c:pt>
                <c:pt idx="857">
                  <c:v>2.6879999999999999E-3</c:v>
                </c:pt>
                <c:pt idx="858">
                  <c:v>2.879E-3</c:v>
                </c:pt>
                <c:pt idx="859">
                  <c:v>2.9859999999999999E-3</c:v>
                </c:pt>
                <c:pt idx="860">
                  <c:v>3.0370000000000002E-3</c:v>
                </c:pt>
                <c:pt idx="861">
                  <c:v>2.9840000000000001E-3</c:v>
                </c:pt>
                <c:pt idx="862">
                  <c:v>3.2190000000000001E-3</c:v>
                </c:pt>
                <c:pt idx="863">
                  <c:v>3.0230000000000001E-3</c:v>
                </c:pt>
                <c:pt idx="864">
                  <c:v>3.0049999999999999E-3</c:v>
                </c:pt>
                <c:pt idx="865">
                  <c:v>2.9949999999999998E-3</c:v>
                </c:pt>
                <c:pt idx="866">
                  <c:v>3.0360000000000001E-3</c:v>
                </c:pt>
                <c:pt idx="867">
                  <c:v>2.9750000000000002E-3</c:v>
                </c:pt>
                <c:pt idx="868">
                  <c:v>3.0349999999999999E-3</c:v>
                </c:pt>
                <c:pt idx="869">
                  <c:v>2.9459999999999998E-3</c:v>
                </c:pt>
                <c:pt idx="870">
                  <c:v>3.107E-3</c:v>
                </c:pt>
                <c:pt idx="871">
                  <c:v>3.0000000000000001E-3</c:v>
                </c:pt>
                <c:pt idx="872">
                  <c:v>3.0070000000000001E-3</c:v>
                </c:pt>
                <c:pt idx="873">
                  <c:v>3.1129999999999999E-3</c:v>
                </c:pt>
                <c:pt idx="874">
                  <c:v>3.0140000000000002E-3</c:v>
                </c:pt>
                <c:pt idx="875">
                  <c:v>3.0860000000000002E-3</c:v>
                </c:pt>
                <c:pt idx="876">
                  <c:v>3.3800000000000002E-3</c:v>
                </c:pt>
                <c:pt idx="877">
                  <c:v>3.0400000000000002E-3</c:v>
                </c:pt>
                <c:pt idx="878">
                  <c:v>3.1700000000000001E-3</c:v>
                </c:pt>
                <c:pt idx="879">
                  <c:v>3.0200000000000001E-3</c:v>
                </c:pt>
                <c:pt idx="880">
                  <c:v>3.0899999999999999E-3</c:v>
                </c:pt>
                <c:pt idx="881">
                  <c:v>3.2100000000000002E-3</c:v>
                </c:pt>
                <c:pt idx="882">
                  <c:v>3.1199999999999999E-3</c:v>
                </c:pt>
                <c:pt idx="883">
                  <c:v>3.5000000000000001E-3</c:v>
                </c:pt>
                <c:pt idx="884">
                  <c:v>3.7299999999999998E-3</c:v>
                </c:pt>
                <c:pt idx="885">
                  <c:v>3.7200000000000002E-3</c:v>
                </c:pt>
                <c:pt idx="886">
                  <c:v>3.7599999999999999E-3</c:v>
                </c:pt>
                <c:pt idx="887">
                  <c:v>3.8E-3</c:v>
                </c:pt>
                <c:pt idx="888">
                  <c:v>3.8800000000000002E-3</c:v>
                </c:pt>
                <c:pt idx="889">
                  <c:v>3.9399999999999999E-3</c:v>
                </c:pt>
                <c:pt idx="890">
                  <c:v>3.9399999999999999E-3</c:v>
                </c:pt>
                <c:pt idx="891">
                  <c:v>4.45E-3</c:v>
                </c:pt>
                <c:pt idx="892">
                  <c:v>4.6699999999999997E-3</c:v>
                </c:pt>
                <c:pt idx="893">
                  <c:v>4.47E-3</c:v>
                </c:pt>
                <c:pt idx="894">
                  <c:v>4.4099999999999999E-3</c:v>
                </c:pt>
                <c:pt idx="895">
                  <c:v>4.45E-3</c:v>
                </c:pt>
                <c:pt idx="896">
                  <c:v>4.9199999999999999E-3</c:v>
                </c:pt>
                <c:pt idx="897">
                  <c:v>4.4400000000000004E-3</c:v>
                </c:pt>
                <c:pt idx="898">
                  <c:v>4.9199999999999999E-3</c:v>
                </c:pt>
                <c:pt idx="899">
                  <c:v>5.2199999999999998E-3</c:v>
                </c:pt>
                <c:pt idx="900">
                  <c:v>4.9100000000000003E-3</c:v>
                </c:pt>
                <c:pt idx="901">
                  <c:v>4.7999999999999996E-3</c:v>
                </c:pt>
                <c:pt idx="902">
                  <c:v>4.8399999999999997E-3</c:v>
                </c:pt>
                <c:pt idx="903">
                  <c:v>6.3499999999999997E-3</c:v>
                </c:pt>
                <c:pt idx="904">
                  <c:v>5.7800000000000004E-3</c:v>
                </c:pt>
                <c:pt idx="905">
                  <c:v>5.8100000000000001E-3</c:v>
                </c:pt>
                <c:pt idx="906">
                  <c:v>6.0899999999999999E-3</c:v>
                </c:pt>
                <c:pt idx="907">
                  <c:v>5.7000000000000002E-3</c:v>
                </c:pt>
                <c:pt idx="908">
                  <c:v>5.8199999999999997E-3</c:v>
                </c:pt>
                <c:pt idx="909">
                  <c:v>5.9199999999999999E-3</c:v>
                </c:pt>
                <c:pt idx="910">
                  <c:v>5.4900000000000001E-3</c:v>
                </c:pt>
                <c:pt idx="911">
                  <c:v>5.8199999999999997E-3</c:v>
                </c:pt>
                <c:pt idx="912">
                  <c:v>5.77E-3</c:v>
                </c:pt>
                <c:pt idx="913">
                  <c:v>5.4200000000000003E-3</c:v>
                </c:pt>
                <c:pt idx="914">
                  <c:v>5.7200000000000003E-3</c:v>
                </c:pt>
                <c:pt idx="915">
                  <c:v>6.5199999999999998E-3</c:v>
                </c:pt>
                <c:pt idx="916">
                  <c:v>6.8999999999999999E-3</c:v>
                </c:pt>
                <c:pt idx="917">
                  <c:v>6.8100000000000001E-3</c:v>
                </c:pt>
                <c:pt idx="918">
                  <c:v>6.6400000000000001E-3</c:v>
                </c:pt>
                <c:pt idx="919">
                  <c:v>8.0499999999999999E-3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BC-4A31-8399-F6E48C5E76A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34.350109818903931</c:v>
                </c:pt>
                <c:pt idx="1">
                  <c:v>34.614240997985206</c:v>
                </c:pt>
                <c:pt idx="2">
                  <c:v>34.247412574796797</c:v>
                </c:pt>
                <c:pt idx="3">
                  <c:v>34.02250529967484</c:v>
                </c:pt>
                <c:pt idx="4">
                  <c:v>33.748129186000952</c:v>
                </c:pt>
                <c:pt idx="5">
                  <c:v>33.462692591203364</c:v>
                </c:pt>
                <c:pt idx="6">
                  <c:v>33.992554314111615</c:v>
                </c:pt>
                <c:pt idx="7">
                  <c:v>34.579721471778278</c:v>
                </c:pt>
                <c:pt idx="8">
                  <c:v>35.151913995993468</c:v>
                </c:pt>
                <c:pt idx="9">
                  <c:v>35.773596744830812</c:v>
                </c:pt>
                <c:pt idx="10">
                  <c:v>35.647484708739299</c:v>
                </c:pt>
                <c:pt idx="11">
                  <c:v>35.972966803889001</c:v>
                </c:pt>
                <c:pt idx="12">
                  <c:v>36.087631999655535</c:v>
                </c:pt>
                <c:pt idx="13">
                  <c:v>36.329660831022927</c:v>
                </c:pt>
                <c:pt idx="14">
                  <c:v>36.033935341734349</c:v>
                </c:pt>
                <c:pt idx="15">
                  <c:v>36.590347367795893</c:v>
                </c:pt>
                <c:pt idx="16">
                  <c:v>36.155028448898818</c:v>
                </c:pt>
                <c:pt idx="17">
                  <c:v>35.389991980911333</c:v>
                </c:pt>
                <c:pt idx="18">
                  <c:v>35.715378651308448</c:v>
                </c:pt>
                <c:pt idx="19">
                  <c:v>35.882992999593434</c:v>
                </c:pt>
                <c:pt idx="20">
                  <c:v>36.194648262672956</c:v>
                </c:pt>
                <c:pt idx="21">
                  <c:v>36.836807184596026</c:v>
                </c:pt>
                <c:pt idx="22">
                  <c:v>36.335359249596024</c:v>
                </c:pt>
                <c:pt idx="23">
                  <c:v>37.358309158302653</c:v>
                </c:pt>
                <c:pt idx="24">
                  <c:v>38.095065443167734</c:v>
                </c:pt>
                <c:pt idx="25">
                  <c:v>38.921590144254687</c:v>
                </c:pt>
                <c:pt idx="26">
                  <c:v>36.856579356172936</c:v>
                </c:pt>
                <c:pt idx="27">
                  <c:v>36.475628329319996</c:v>
                </c:pt>
                <c:pt idx="28">
                  <c:v>36.603879345308151</c:v>
                </c:pt>
                <c:pt idx="29">
                  <c:v>36.337464279954617</c:v>
                </c:pt>
                <c:pt idx="30">
                  <c:v>36.875129383658091</c:v>
                </c:pt>
                <c:pt idx="31">
                  <c:v>38.160362320328602</c:v>
                </c:pt>
                <c:pt idx="32">
                  <c:v>38.7481601408982</c:v>
                </c:pt>
                <c:pt idx="33">
                  <c:v>38.133864255505181</c:v>
                </c:pt>
                <c:pt idx="34">
                  <c:v>37.859114360648036</c:v>
                </c:pt>
                <c:pt idx="35">
                  <c:v>38.742755986304175</c:v>
                </c:pt>
                <c:pt idx="36">
                  <c:v>37.431036048935198</c:v>
                </c:pt>
                <c:pt idx="37">
                  <c:v>37.541613108231196</c:v>
                </c:pt>
                <c:pt idx="38">
                  <c:v>36.895771515392155</c:v>
                </c:pt>
                <c:pt idx="39">
                  <c:v>36.399046037617957</c:v>
                </c:pt>
                <c:pt idx="40">
                  <c:v>37.012031191334529</c:v>
                </c:pt>
                <c:pt idx="41">
                  <c:v>37.036754328099242</c:v>
                </c:pt>
                <c:pt idx="42">
                  <c:v>37.312700178788376</c:v>
                </c:pt>
                <c:pt idx="43">
                  <c:v>38.491672380382241</c:v>
                </c:pt>
                <c:pt idx="44">
                  <c:v>37.59376025081081</c:v>
                </c:pt>
                <c:pt idx="45">
                  <c:v>36.887333862699293</c:v>
                </c:pt>
                <c:pt idx="46">
                  <c:v>37.986653994310544</c:v>
                </c:pt>
                <c:pt idx="47">
                  <c:v>37.663447775142274</c:v>
                </c:pt>
                <c:pt idx="48">
                  <c:v>37.586209495899027</c:v>
                </c:pt>
                <c:pt idx="49">
                  <c:v>38.972824154259335</c:v>
                </c:pt>
                <c:pt idx="50">
                  <c:v>40.557464983366486</c:v>
                </c:pt>
                <c:pt idx="51">
                  <c:v>39.608459479026862</c:v>
                </c:pt>
                <c:pt idx="52">
                  <c:v>41.021133041055307</c:v>
                </c:pt>
                <c:pt idx="53">
                  <c:v>37.930183691713758</c:v>
                </c:pt>
                <c:pt idx="54">
                  <c:v>39.041296523897159</c:v>
                </c:pt>
                <c:pt idx="55">
                  <c:v>38.346944850400497</c:v>
                </c:pt>
                <c:pt idx="56">
                  <c:v>39.371253399522878</c:v>
                </c:pt>
                <c:pt idx="57">
                  <c:v>37.910090113771552</c:v>
                </c:pt>
                <c:pt idx="58">
                  <c:v>38.60070108099309</c:v>
                </c:pt>
                <c:pt idx="59">
                  <c:v>41.978184504269755</c:v>
                </c:pt>
                <c:pt idx="60">
                  <c:v>43.167270132070598</c:v>
                </c:pt>
                <c:pt idx="61">
                  <c:v>44.601095814923305</c:v>
                </c:pt>
                <c:pt idx="62">
                  <c:v>62.333567709767891</c:v>
                </c:pt>
                <c:pt idx="63">
                  <c:v>50.930071072703015</c:v>
                </c:pt>
                <c:pt idx="64">
                  <c:v>49.537874198185591</c:v>
                </c:pt>
                <c:pt idx="65">
                  <c:v>49.786984614031041</c:v>
                </c:pt>
                <c:pt idx="66">
                  <c:v>49.660536021646422</c:v>
                </c:pt>
                <c:pt idx="67">
                  <c:v>50.906633690373539</c:v>
                </c:pt>
                <c:pt idx="68">
                  <c:v>52.809683256064922</c:v>
                </c:pt>
                <c:pt idx="69">
                  <c:v>51.983740027176921</c:v>
                </c:pt>
                <c:pt idx="70">
                  <c:v>50.083715758169816</c:v>
                </c:pt>
                <c:pt idx="71">
                  <c:v>54.931416378408834</c:v>
                </c:pt>
                <c:pt idx="72">
                  <c:v>54.328348227116685</c:v>
                </c:pt>
                <c:pt idx="73">
                  <c:v>54.08521025766585</c:v>
                </c:pt>
                <c:pt idx="74">
                  <c:v>61.739837776956016</c:v>
                </c:pt>
                <c:pt idx="75">
                  <c:v>63.33875068442623</c:v>
                </c:pt>
                <c:pt idx="76">
                  <c:v>65.418548982764619</c:v>
                </c:pt>
                <c:pt idx="77">
                  <c:v>65.181410206815102</c:v>
                </c:pt>
                <c:pt idx="78">
                  <c:v>64.610014076496114</c:v>
                </c:pt>
                <c:pt idx="79">
                  <c:v>64.667998321417556</c:v>
                </c:pt>
                <c:pt idx="80">
                  <c:v>64.8736894683434</c:v>
                </c:pt>
                <c:pt idx="81">
                  <c:v>64.203969741747159</c:v>
                </c:pt>
                <c:pt idx="82">
                  <c:v>65.725655454099169</c:v>
                </c:pt>
                <c:pt idx="83">
                  <c:v>64.84137277164966</c:v>
                </c:pt>
                <c:pt idx="84">
                  <c:v>67.053666928249129</c:v>
                </c:pt>
                <c:pt idx="85">
                  <c:v>68.265333461227158</c:v>
                </c:pt>
                <c:pt idx="86">
                  <c:v>69.585041862187566</c:v>
                </c:pt>
                <c:pt idx="87">
                  <c:v>71.502973157155921</c:v>
                </c:pt>
                <c:pt idx="88">
                  <c:v>70.292410467961759</c:v>
                </c:pt>
                <c:pt idx="89">
                  <c:v>94.050974547354699</c:v>
                </c:pt>
                <c:pt idx="90">
                  <c:v>95.829481473498646</c:v>
                </c:pt>
                <c:pt idx="91">
                  <c:v>93.794792441969236</c:v>
                </c:pt>
                <c:pt idx="92">
                  <c:v>93.863588529544757</c:v>
                </c:pt>
                <c:pt idx="93">
                  <c:v>95.679285134811323</c:v>
                </c:pt>
                <c:pt idx="94">
                  <c:v>96.090453293590116</c:v>
                </c:pt>
                <c:pt idx="95">
                  <c:v>95.944574321040363</c:v>
                </c:pt>
                <c:pt idx="96">
                  <c:v>95.797419192154308</c:v>
                </c:pt>
                <c:pt idx="97">
                  <c:v>95.684335234078006</c:v>
                </c:pt>
                <c:pt idx="98">
                  <c:v>95.926353984504971</c:v>
                </c:pt>
                <c:pt idx="99">
                  <c:v>96.903181766298829</c:v>
                </c:pt>
                <c:pt idx="100">
                  <c:v>96.235217672258642</c:v>
                </c:pt>
                <c:pt idx="101">
                  <c:v>98.494400176086771</c:v>
                </c:pt>
                <c:pt idx="102">
                  <c:v>96.540595708092198</c:v>
                </c:pt>
                <c:pt idx="103">
                  <c:v>96.695469622116576</c:v>
                </c:pt>
                <c:pt idx="104">
                  <c:v>97.281467713879621</c:v>
                </c:pt>
                <c:pt idx="105">
                  <c:v>96.529331578477667</c:v>
                </c:pt>
                <c:pt idx="106">
                  <c:v>96.381751329817632</c:v>
                </c:pt>
                <c:pt idx="107">
                  <c:v>95.685056898705483</c:v>
                </c:pt>
                <c:pt idx="108">
                  <c:v>95.645668737070864</c:v>
                </c:pt>
                <c:pt idx="109">
                  <c:v>95.77532448020672</c:v>
                </c:pt>
                <c:pt idx="110">
                  <c:v>96.323881493304668</c:v>
                </c:pt>
                <c:pt idx="111">
                  <c:v>96.918169917402338</c:v>
                </c:pt>
                <c:pt idx="112">
                  <c:v>96.459353037539927</c:v>
                </c:pt>
                <c:pt idx="113">
                  <c:v>95.205164529100429</c:v>
                </c:pt>
                <c:pt idx="114">
                  <c:v>95.421252644845694</c:v>
                </c:pt>
                <c:pt idx="115">
                  <c:v>93.492992435422039</c:v>
                </c:pt>
                <c:pt idx="116">
                  <c:v>93.585753938233552</c:v>
                </c:pt>
                <c:pt idx="117">
                  <c:v>93.501717145246758</c:v>
                </c:pt>
                <c:pt idx="118">
                  <c:v>93.604854410738568</c:v>
                </c:pt>
                <c:pt idx="119">
                  <c:v>92.409043635619057</c:v>
                </c:pt>
                <c:pt idx="120">
                  <c:v>92.096140615524718</c:v>
                </c:pt>
                <c:pt idx="121">
                  <c:v>92.289414229006596</c:v>
                </c:pt>
                <c:pt idx="122">
                  <c:v>92.770859564634037</c:v>
                </c:pt>
                <c:pt idx="123">
                  <c:v>93.301813154882367</c:v>
                </c:pt>
                <c:pt idx="124">
                  <c:v>92.931123588515121</c:v>
                </c:pt>
                <c:pt idx="125">
                  <c:v>93.038481698021627</c:v>
                </c:pt>
                <c:pt idx="126">
                  <c:v>93.11464256498941</c:v>
                </c:pt>
                <c:pt idx="127">
                  <c:v>91.909151127351919</c:v>
                </c:pt>
                <c:pt idx="128">
                  <c:v>91.422734832262464</c:v>
                </c:pt>
                <c:pt idx="129">
                  <c:v>91.981377321863619</c:v>
                </c:pt>
                <c:pt idx="130">
                  <c:v>92.24390906605089</c:v>
                </c:pt>
                <c:pt idx="131">
                  <c:v>92.551381338528842</c:v>
                </c:pt>
                <c:pt idx="132">
                  <c:v>92.53364022808708</c:v>
                </c:pt>
                <c:pt idx="133">
                  <c:v>92.830456487284792</c:v>
                </c:pt>
                <c:pt idx="134">
                  <c:v>93.021443251439507</c:v>
                </c:pt>
                <c:pt idx="135">
                  <c:v>92.81686446693206</c:v>
                </c:pt>
                <c:pt idx="136">
                  <c:v>92.263127409230123</c:v>
                </c:pt>
                <c:pt idx="137">
                  <c:v>92.187172528365792</c:v>
                </c:pt>
                <c:pt idx="138">
                  <c:v>91.846690005520841</c:v>
                </c:pt>
                <c:pt idx="139">
                  <c:v>91.709441743197829</c:v>
                </c:pt>
                <c:pt idx="140">
                  <c:v>92.362802309767247</c:v>
                </c:pt>
                <c:pt idx="141">
                  <c:v>92.076412342327131</c:v>
                </c:pt>
                <c:pt idx="142">
                  <c:v>90.906624917059403</c:v>
                </c:pt>
                <c:pt idx="143">
                  <c:v>91.70358732579102</c:v>
                </c:pt>
                <c:pt idx="144">
                  <c:v>91.081290426916013</c:v>
                </c:pt>
                <c:pt idx="145">
                  <c:v>91.621152829122678</c:v>
                </c:pt>
                <c:pt idx="146">
                  <c:v>91.198266872503964</c:v>
                </c:pt>
                <c:pt idx="147">
                  <c:v>90.52239186313696</c:v>
                </c:pt>
                <c:pt idx="148">
                  <c:v>90.632359666127456</c:v>
                </c:pt>
                <c:pt idx="149">
                  <c:v>89.599627800133192</c:v>
                </c:pt>
                <c:pt idx="150">
                  <c:v>89.82002719743808</c:v>
                </c:pt>
                <c:pt idx="151">
                  <c:v>90.959995148314079</c:v>
                </c:pt>
                <c:pt idx="152">
                  <c:v>91.019193915982555</c:v>
                </c:pt>
                <c:pt idx="153">
                  <c:v>89.986665344360944</c:v>
                </c:pt>
                <c:pt idx="154">
                  <c:v>88.530586894950645</c:v>
                </c:pt>
                <c:pt idx="155">
                  <c:v>90.78901629774515</c:v>
                </c:pt>
                <c:pt idx="156">
                  <c:v>89.462296271352685</c:v>
                </c:pt>
                <c:pt idx="157">
                  <c:v>90.606042860597526</c:v>
                </c:pt>
                <c:pt idx="158">
                  <c:v>89.965416489776572</c:v>
                </c:pt>
                <c:pt idx="159">
                  <c:v>89.878577054425222</c:v>
                </c:pt>
                <c:pt idx="160">
                  <c:v>90.223395065614611</c:v>
                </c:pt>
                <c:pt idx="161">
                  <c:v>89.223874712411643</c:v>
                </c:pt>
                <c:pt idx="162">
                  <c:v>88.29058556241165</c:v>
                </c:pt>
                <c:pt idx="163">
                  <c:v>87.747369031679952</c:v>
                </c:pt>
                <c:pt idx="164">
                  <c:v>89.332388820708843</c:v>
                </c:pt>
                <c:pt idx="165">
                  <c:v>90.752490825479001</c:v>
                </c:pt>
                <c:pt idx="166">
                  <c:v>89.818303420416584</c:v>
                </c:pt>
                <c:pt idx="167">
                  <c:v>90.114810863853108</c:v>
                </c:pt>
                <c:pt idx="168">
                  <c:v>88.907808578627666</c:v>
                </c:pt>
                <c:pt idx="169">
                  <c:v>89.468253939100279</c:v>
                </c:pt>
                <c:pt idx="170">
                  <c:v>90.100031081286247</c:v>
                </c:pt>
                <c:pt idx="171">
                  <c:v>90.183223850745691</c:v>
                </c:pt>
                <c:pt idx="172">
                  <c:v>89.571538918508509</c:v>
                </c:pt>
                <c:pt idx="173">
                  <c:v>90.313981792818126</c:v>
                </c:pt>
                <c:pt idx="174">
                  <c:v>88.471859324974162</c:v>
                </c:pt>
                <c:pt idx="175">
                  <c:v>87.792005789967064</c:v>
                </c:pt>
                <c:pt idx="176">
                  <c:v>87.013344858937643</c:v>
                </c:pt>
                <c:pt idx="177">
                  <c:v>86.517422201201867</c:v>
                </c:pt>
                <c:pt idx="178">
                  <c:v>88.097036943415489</c:v>
                </c:pt>
                <c:pt idx="179">
                  <c:v>87.712679320944233</c:v>
                </c:pt>
                <c:pt idx="180">
                  <c:v>84.317682794813351</c:v>
                </c:pt>
                <c:pt idx="181">
                  <c:v>83.792905265828196</c:v>
                </c:pt>
                <c:pt idx="182">
                  <c:v>83.033003810749264</c:v>
                </c:pt>
                <c:pt idx="183">
                  <c:v>82.950818636970396</c:v>
                </c:pt>
                <c:pt idx="184">
                  <c:v>84.341530910534019</c:v>
                </c:pt>
                <c:pt idx="185">
                  <c:v>81.377734724923329</c:v>
                </c:pt>
                <c:pt idx="186">
                  <c:v>82.308687260156205</c:v>
                </c:pt>
                <c:pt idx="187">
                  <c:v>81.927311969881558</c:v>
                </c:pt>
                <c:pt idx="188">
                  <c:v>82.112700495766887</c:v>
                </c:pt>
                <c:pt idx="189">
                  <c:v>81.751308769902025</c:v>
                </c:pt>
                <c:pt idx="190">
                  <c:v>81.283130399756317</c:v>
                </c:pt>
                <c:pt idx="191">
                  <c:v>80.990020995190065</c:v>
                </c:pt>
                <c:pt idx="192">
                  <c:v>81.093795702654248</c:v>
                </c:pt>
                <c:pt idx="193">
                  <c:v>81.863421614876927</c:v>
                </c:pt>
                <c:pt idx="194">
                  <c:v>81.883355856512154</c:v>
                </c:pt>
                <c:pt idx="195">
                  <c:v>81.926320292195598</c:v>
                </c:pt>
                <c:pt idx="196">
                  <c:v>82.674130269119402</c:v>
                </c:pt>
                <c:pt idx="197">
                  <c:v>83.369654959729928</c:v>
                </c:pt>
                <c:pt idx="198">
                  <c:v>82.255277479970516</c:v>
                </c:pt>
                <c:pt idx="199">
                  <c:v>82.335047348854729</c:v>
                </c:pt>
                <c:pt idx="200">
                  <c:v>82.39884739334704</c:v>
                </c:pt>
                <c:pt idx="201">
                  <c:v>82.165658734225374</c:v>
                </c:pt>
                <c:pt idx="202">
                  <c:v>82.142339168369304</c:v>
                </c:pt>
                <c:pt idx="203">
                  <c:v>81.693100843158561</c:v>
                </c:pt>
                <c:pt idx="204">
                  <c:v>82.17470798561942</c:v>
                </c:pt>
                <c:pt idx="205">
                  <c:v>81.855955725016869</c:v>
                </c:pt>
                <c:pt idx="206">
                  <c:v>81.836616607855589</c:v>
                </c:pt>
                <c:pt idx="207">
                  <c:v>81.881662206507258</c:v>
                </c:pt>
                <c:pt idx="208">
                  <c:v>81.510470042787489</c:v>
                </c:pt>
                <c:pt idx="209">
                  <c:v>81.277659587122756</c:v>
                </c:pt>
                <c:pt idx="210">
                  <c:v>81.14239949545491</c:v>
                </c:pt>
                <c:pt idx="211">
                  <c:v>81.306788616461461</c:v>
                </c:pt>
                <c:pt idx="212">
                  <c:v>81.117275966521049</c:v>
                </c:pt>
                <c:pt idx="213">
                  <c:v>80.668901075586419</c:v>
                </c:pt>
                <c:pt idx="214">
                  <c:v>79.982121167289009</c:v>
                </c:pt>
                <c:pt idx="215">
                  <c:v>79.54306215922368</c:v>
                </c:pt>
                <c:pt idx="216">
                  <c:v>79.206036259832317</c:v>
                </c:pt>
                <c:pt idx="217">
                  <c:v>80.229990703845914</c:v>
                </c:pt>
                <c:pt idx="218">
                  <c:v>80.896435933972256</c:v>
                </c:pt>
                <c:pt idx="219">
                  <c:v>77.648311600527649</c:v>
                </c:pt>
                <c:pt idx="220">
                  <c:v>77.816581811861212</c:v>
                </c:pt>
                <c:pt idx="221">
                  <c:v>79.200739623154149</c:v>
                </c:pt>
                <c:pt idx="222">
                  <c:v>78.595693123620634</c:v>
                </c:pt>
                <c:pt idx="223">
                  <c:v>78.975538275812582</c:v>
                </c:pt>
                <c:pt idx="224">
                  <c:v>79.246827531265083</c:v>
                </c:pt>
                <c:pt idx="225">
                  <c:v>79.307194330631418</c:v>
                </c:pt>
                <c:pt idx="226">
                  <c:v>80.147323826574933</c:v>
                </c:pt>
                <c:pt idx="227">
                  <c:v>80.672878132434533</c:v>
                </c:pt>
                <c:pt idx="228">
                  <c:v>80.480143156046466</c:v>
                </c:pt>
                <c:pt idx="229">
                  <c:v>79.669041989108976</c:v>
                </c:pt>
                <c:pt idx="230">
                  <c:v>78.770737234332799</c:v>
                </c:pt>
                <c:pt idx="231">
                  <c:v>79.460126965781029</c:v>
                </c:pt>
                <c:pt idx="232">
                  <c:v>80.224668778009161</c:v>
                </c:pt>
                <c:pt idx="233">
                  <c:v>79.443833822511181</c:v>
                </c:pt>
                <c:pt idx="234">
                  <c:v>79.469025036744185</c:v>
                </c:pt>
                <c:pt idx="235">
                  <c:v>80.068642197023493</c:v>
                </c:pt>
                <c:pt idx="236">
                  <c:v>79.868125294370998</c:v>
                </c:pt>
                <c:pt idx="237">
                  <c:v>80.145661847560419</c:v>
                </c:pt>
                <c:pt idx="238">
                  <c:v>80.686984529052665</c:v>
                </c:pt>
                <c:pt idx="239">
                  <c:v>80.473485403104604</c:v>
                </c:pt>
                <c:pt idx="240">
                  <c:v>80.252566155503146</c:v>
                </c:pt>
                <c:pt idx="241">
                  <c:v>80.243824545313657</c:v>
                </c:pt>
                <c:pt idx="242">
                  <c:v>79.56143493513126</c:v>
                </c:pt>
                <c:pt idx="243">
                  <c:v>79.084496553264387</c:v>
                </c:pt>
                <c:pt idx="244">
                  <c:v>79.457237989338296</c:v>
                </c:pt>
                <c:pt idx="245">
                  <c:v>79.916850512331067</c:v>
                </c:pt>
                <c:pt idx="246">
                  <c:v>80.196538160969851</c:v>
                </c:pt>
                <c:pt idx="247">
                  <c:v>78.292161935674386</c:v>
                </c:pt>
                <c:pt idx="248">
                  <c:v>78.819341364333155</c:v>
                </c:pt>
                <c:pt idx="249">
                  <c:v>76.341787240151348</c:v>
                </c:pt>
                <c:pt idx="250">
                  <c:v>75.57871465637578</c:v>
                </c:pt>
                <c:pt idx="251">
                  <c:v>76.39792267425571</c:v>
                </c:pt>
                <c:pt idx="252">
                  <c:v>76.559380112169862</c:v>
                </c:pt>
                <c:pt idx="253">
                  <c:v>74.635698278143721</c:v>
                </c:pt>
                <c:pt idx="254">
                  <c:v>75.649759644416676</c:v>
                </c:pt>
                <c:pt idx="255">
                  <c:v>73.716084829126942</c:v>
                </c:pt>
                <c:pt idx="256">
                  <c:v>73.857206184112911</c:v>
                </c:pt>
                <c:pt idx="257">
                  <c:v>74.055413317769251</c:v>
                </c:pt>
                <c:pt idx="258">
                  <c:v>75.085255950034366</c:v>
                </c:pt>
                <c:pt idx="259">
                  <c:v>74.465082181888903</c:v>
                </c:pt>
                <c:pt idx="260">
                  <c:v>74.956646357332914</c:v>
                </c:pt>
                <c:pt idx="261">
                  <c:v>76.00481738611451</c:v>
                </c:pt>
                <c:pt idx="262">
                  <c:v>74.782148435979792</c:v>
                </c:pt>
                <c:pt idx="263">
                  <c:v>75.968417904606937</c:v>
                </c:pt>
                <c:pt idx="264">
                  <c:v>75.740998010542114</c:v>
                </c:pt>
                <c:pt idx="265">
                  <c:v>76.429470855110011</c:v>
                </c:pt>
                <c:pt idx="266">
                  <c:v>76.519777169345872</c:v>
                </c:pt>
                <c:pt idx="267">
                  <c:v>77.564515761976253</c:v>
                </c:pt>
                <c:pt idx="268">
                  <c:v>76.59671883562163</c:v>
                </c:pt>
                <c:pt idx="269">
                  <c:v>78.030500309339459</c:v>
                </c:pt>
                <c:pt idx="270">
                  <c:v>79.433562231910514</c:v>
                </c:pt>
                <c:pt idx="271">
                  <c:v>79.547479282134731</c:v>
                </c:pt>
                <c:pt idx="272">
                  <c:v>80.408660302205277</c:v>
                </c:pt>
                <c:pt idx="273">
                  <c:v>78.62411695513957</c:v>
                </c:pt>
                <c:pt idx="274">
                  <c:v>78.732479782284926</c:v>
                </c:pt>
                <c:pt idx="275">
                  <c:v>76.887599536185235</c:v>
                </c:pt>
                <c:pt idx="276">
                  <c:v>76.364434295720116</c:v>
                </c:pt>
                <c:pt idx="277">
                  <c:v>74.272764935494379</c:v>
                </c:pt>
                <c:pt idx="278">
                  <c:v>74.302354583774928</c:v>
                </c:pt>
                <c:pt idx="279">
                  <c:v>76.17038336182965</c:v>
                </c:pt>
                <c:pt idx="280">
                  <c:v>71.927306600699708</c:v>
                </c:pt>
                <c:pt idx="281">
                  <c:v>73.832762437979014</c:v>
                </c:pt>
                <c:pt idx="282">
                  <c:v>75.618301170141919</c:v>
                </c:pt>
                <c:pt idx="283">
                  <c:v>73.337122334332392</c:v>
                </c:pt>
                <c:pt idx="284">
                  <c:v>75.592046926477337</c:v>
                </c:pt>
                <c:pt idx="285">
                  <c:v>75.905169232966841</c:v>
                </c:pt>
                <c:pt idx="286">
                  <c:v>77.905660605125874</c:v>
                </c:pt>
                <c:pt idx="287">
                  <c:v>77.562388414569469</c:v>
                </c:pt>
                <c:pt idx="288">
                  <c:v>74.84680606352876</c:v>
                </c:pt>
                <c:pt idx="289">
                  <c:v>75.228069748317225</c:v>
                </c:pt>
                <c:pt idx="290">
                  <c:v>72.322607474015797</c:v>
                </c:pt>
                <c:pt idx="291">
                  <c:v>70.495287704049545</c:v>
                </c:pt>
                <c:pt idx="292">
                  <c:v>70.434481456549236</c:v>
                </c:pt>
                <c:pt idx="293">
                  <c:v>71.834752803132574</c:v>
                </c:pt>
                <c:pt idx="294">
                  <c:v>72.200974128346132</c:v>
                </c:pt>
                <c:pt idx="295">
                  <c:v>68.639304050324156</c:v>
                </c:pt>
                <c:pt idx="296">
                  <c:v>67.755064770598324</c:v>
                </c:pt>
                <c:pt idx="297">
                  <c:v>66.964153505159899</c:v>
                </c:pt>
                <c:pt idx="298">
                  <c:v>68.267297472391377</c:v>
                </c:pt>
                <c:pt idx="299">
                  <c:v>65.60324894796598</c:v>
                </c:pt>
                <c:pt idx="300">
                  <c:v>69.987760525779578</c:v>
                </c:pt>
                <c:pt idx="301">
                  <c:v>72.525781228443336</c:v>
                </c:pt>
                <c:pt idx="302">
                  <c:v>73.723195734487618</c:v>
                </c:pt>
                <c:pt idx="303">
                  <c:v>72.906336866989307</c:v>
                </c:pt>
                <c:pt idx="304">
                  <c:v>75.812048717148627</c:v>
                </c:pt>
                <c:pt idx="305">
                  <c:v>82.648353078489023</c:v>
                </c:pt>
                <c:pt idx="306">
                  <c:v>105.75829845944085</c:v>
                </c:pt>
                <c:pt idx="307">
                  <c:v>83.088498304944395</c:v>
                </c:pt>
                <c:pt idx="308">
                  <c:v>81.182046233277688</c:v>
                </c:pt>
                <c:pt idx="309">
                  <c:v>60.958585559777184</c:v>
                </c:pt>
                <c:pt idx="310">
                  <c:v>73.243099782956889</c:v>
                </c:pt>
                <c:pt idx="311">
                  <c:v>62.378637493233548</c:v>
                </c:pt>
                <c:pt idx="312">
                  <c:v>66.698821278251742</c:v>
                </c:pt>
                <c:pt idx="313">
                  <c:v>65.195559727553359</c:v>
                </c:pt>
                <c:pt idx="314">
                  <c:v>75.641183339790487</c:v>
                </c:pt>
                <c:pt idx="315">
                  <c:v>70.152446570251414</c:v>
                </c:pt>
                <c:pt idx="316">
                  <c:v>72.638692085584978</c:v>
                </c:pt>
                <c:pt idx="317">
                  <c:v>71.215437921678642</c:v>
                </c:pt>
                <c:pt idx="318">
                  <c:v>67.64969607141812</c:v>
                </c:pt>
                <c:pt idx="319">
                  <c:v>68.232949337548547</c:v>
                </c:pt>
                <c:pt idx="320">
                  <c:v>67.851636207638563</c:v>
                </c:pt>
                <c:pt idx="321">
                  <c:v>90.193658343996518</c:v>
                </c:pt>
                <c:pt idx="322">
                  <c:v>75.210399461106107</c:v>
                </c:pt>
                <c:pt idx="323">
                  <c:v>72.795375337672382</c:v>
                </c:pt>
                <c:pt idx="324">
                  <c:v>73.262686532756774</c:v>
                </c:pt>
                <c:pt idx="325">
                  <c:v>69.440217925348264</c:v>
                </c:pt>
                <c:pt idx="326">
                  <c:v>64.438006614692796</c:v>
                </c:pt>
                <c:pt idx="327">
                  <c:v>62.877342296074204</c:v>
                </c:pt>
                <c:pt idx="328">
                  <c:v>62.573199206527292</c:v>
                </c:pt>
                <c:pt idx="329">
                  <c:v>62.350661962030578</c:v>
                </c:pt>
                <c:pt idx="330">
                  <c:v>60.129762677872009</c:v>
                </c:pt>
                <c:pt idx="331">
                  <c:v>56.144461704271684</c:v>
                </c:pt>
                <c:pt idx="332">
                  <c:v>55.855361206079188</c:v>
                </c:pt>
                <c:pt idx="333">
                  <c:v>52.068545577383631</c:v>
                </c:pt>
                <c:pt idx="334">
                  <c:v>55.201080789141521</c:v>
                </c:pt>
                <c:pt idx="335">
                  <c:v>53.81284578796717</c:v>
                </c:pt>
                <c:pt idx="336">
                  <c:v>50.205577996031991</c:v>
                </c:pt>
                <c:pt idx="337">
                  <c:v>60.464244081111417</c:v>
                </c:pt>
                <c:pt idx="338">
                  <c:v>52.050694728232813</c:v>
                </c:pt>
                <c:pt idx="339">
                  <c:v>55.535013485474181</c:v>
                </c:pt>
                <c:pt idx="340">
                  <c:v>60.577951937323029</c:v>
                </c:pt>
                <c:pt idx="341">
                  <c:v>58.487241796968078</c:v>
                </c:pt>
                <c:pt idx="342">
                  <c:v>59.823364363240842</c:v>
                </c:pt>
                <c:pt idx="343">
                  <c:v>58.884523125048531</c:v>
                </c:pt>
                <c:pt idx="344">
                  <c:v>58.004924541309663</c:v>
                </c:pt>
                <c:pt idx="345">
                  <c:v>55.900154525592235</c:v>
                </c:pt>
                <c:pt idx="346">
                  <c:v>57.941323282153093</c:v>
                </c:pt>
                <c:pt idx="347">
                  <c:v>60.452703456853293</c:v>
                </c:pt>
                <c:pt idx="348">
                  <c:v>55.165846536386447</c:v>
                </c:pt>
                <c:pt idx="349">
                  <c:v>55.394309086461519</c:v>
                </c:pt>
                <c:pt idx="350">
                  <c:v>53.159594542347769</c:v>
                </c:pt>
                <c:pt idx="351">
                  <c:v>48.291706197508908</c:v>
                </c:pt>
                <c:pt idx="352">
                  <c:v>48.812756065856803</c:v>
                </c:pt>
                <c:pt idx="353">
                  <c:v>43.561781881612305</c:v>
                </c:pt>
                <c:pt idx="354">
                  <c:v>42.681171826471768</c:v>
                </c:pt>
                <c:pt idx="355">
                  <c:v>34.218362721716993</c:v>
                </c:pt>
                <c:pt idx="356">
                  <c:v>36.147245545446815</c:v>
                </c:pt>
                <c:pt idx="357">
                  <c:v>37.387521261679311</c:v>
                </c:pt>
                <c:pt idx="358">
                  <c:v>39.948451563073348</c:v>
                </c:pt>
                <c:pt idx="359">
                  <c:v>37.677728438445698</c:v>
                </c:pt>
                <c:pt idx="360">
                  <c:v>36.705797656599934</c:v>
                </c:pt>
                <c:pt idx="361">
                  <c:v>34.981016928348822</c:v>
                </c:pt>
                <c:pt idx="362">
                  <c:v>38.416513048488518</c:v>
                </c:pt>
                <c:pt idx="363">
                  <c:v>42.246824368646905</c:v>
                </c:pt>
                <c:pt idx="364">
                  <c:v>50.993224460487404</c:v>
                </c:pt>
                <c:pt idx="365">
                  <c:v>49.918423575540842</c:v>
                </c:pt>
                <c:pt idx="366">
                  <c:v>49.957373172016887</c:v>
                </c:pt>
                <c:pt idx="367">
                  <c:v>49.200065885167326</c:v>
                </c:pt>
                <c:pt idx="368">
                  <c:v>50.744914492414779</c:v>
                </c:pt>
                <c:pt idx="369">
                  <c:v>48.214058538564444</c:v>
                </c:pt>
                <c:pt idx="370">
                  <c:v>47.25333741156529</c:v>
                </c:pt>
                <c:pt idx="371">
                  <c:v>42.822212734020809</c:v>
                </c:pt>
                <c:pt idx="372">
                  <c:v>58.084120907777717</c:v>
                </c:pt>
                <c:pt idx="373">
                  <c:v>49.249085290188901</c:v>
                </c:pt>
                <c:pt idx="374">
                  <c:v>50.126654573009418</c:v>
                </c:pt>
                <c:pt idx="375">
                  <c:v>51.23343824644904</c:v>
                </c:pt>
                <c:pt idx="376">
                  <c:v>50.117797596303973</c:v>
                </c:pt>
                <c:pt idx="377">
                  <c:v>50.691458349157436</c:v>
                </c:pt>
                <c:pt idx="378">
                  <c:v>50.175844185843374</c:v>
                </c:pt>
                <c:pt idx="379">
                  <c:v>49.124253749490428</c:v>
                </c:pt>
                <c:pt idx="380">
                  <c:v>48.018296300772484</c:v>
                </c:pt>
                <c:pt idx="381">
                  <c:v>48.526209450247329</c:v>
                </c:pt>
                <c:pt idx="382">
                  <c:v>48.626228047426309</c:v>
                </c:pt>
                <c:pt idx="383">
                  <c:v>48.027331502679253</c:v>
                </c:pt>
                <c:pt idx="384">
                  <c:v>46.489114181931122</c:v>
                </c:pt>
                <c:pt idx="385">
                  <c:v>46.465298069041346</c:v>
                </c:pt>
                <c:pt idx="386">
                  <c:v>46.007795334083717</c:v>
                </c:pt>
                <c:pt idx="387">
                  <c:v>43.143009634852952</c:v>
                </c:pt>
                <c:pt idx="388">
                  <c:v>41.343682117098389</c:v>
                </c:pt>
                <c:pt idx="389">
                  <c:v>41.919006354194771</c:v>
                </c:pt>
                <c:pt idx="390">
                  <c:v>40.984417408258771</c:v>
                </c:pt>
                <c:pt idx="391">
                  <c:v>41.259593338420849</c:v>
                </c:pt>
                <c:pt idx="392">
                  <c:v>40.317920261929828</c:v>
                </c:pt>
                <c:pt idx="393">
                  <c:v>39.05708703296736</c:v>
                </c:pt>
                <c:pt idx="394">
                  <c:v>40.008664192712409</c:v>
                </c:pt>
                <c:pt idx="395">
                  <c:v>40.923935585569559</c:v>
                </c:pt>
                <c:pt idx="396">
                  <c:v>41.351467965209189</c:v>
                </c:pt>
                <c:pt idx="397">
                  <c:v>42.069873717428507</c:v>
                </c:pt>
                <c:pt idx="398">
                  <c:v>42.80890797212156</c:v>
                </c:pt>
                <c:pt idx="399">
                  <c:v>42.707462265763418</c:v>
                </c:pt>
                <c:pt idx="400">
                  <c:v>38.071166403125275</c:v>
                </c:pt>
                <c:pt idx="401">
                  <c:v>39.393579605265138</c:v>
                </c:pt>
                <c:pt idx="402">
                  <c:v>41.376210758554159</c:v>
                </c:pt>
                <c:pt idx="403">
                  <c:v>40.345075201184059</c:v>
                </c:pt>
                <c:pt idx="404">
                  <c:v>39.391142796325063</c:v>
                </c:pt>
                <c:pt idx="405">
                  <c:v>40.598791732639192</c:v>
                </c:pt>
                <c:pt idx="406">
                  <c:v>38.498857521751162</c:v>
                </c:pt>
                <c:pt idx="407">
                  <c:v>40.484806024150728</c:v>
                </c:pt>
                <c:pt idx="408">
                  <c:v>40.967468318136468</c:v>
                </c:pt>
                <c:pt idx="409">
                  <c:v>35.565383421746517</c:v>
                </c:pt>
                <c:pt idx="410">
                  <c:v>35.162742310780459</c:v>
                </c:pt>
                <c:pt idx="411">
                  <c:v>34.42613803102239</c:v>
                </c:pt>
                <c:pt idx="412">
                  <c:v>34.080314383587002</c:v>
                </c:pt>
                <c:pt idx="413">
                  <c:v>34.969869745227626</c:v>
                </c:pt>
                <c:pt idx="414">
                  <c:v>35.027496668917664</c:v>
                </c:pt>
                <c:pt idx="415">
                  <c:v>33.207880226762825</c:v>
                </c:pt>
                <c:pt idx="416">
                  <c:v>34.700756311353693</c:v>
                </c:pt>
                <c:pt idx="417">
                  <c:v>34.17108942965266</c:v>
                </c:pt>
                <c:pt idx="418">
                  <c:v>34.557282167328346</c:v>
                </c:pt>
                <c:pt idx="419">
                  <c:v>34.057527415223078</c:v>
                </c:pt>
                <c:pt idx="420">
                  <c:v>36.224773437031587</c:v>
                </c:pt>
                <c:pt idx="421">
                  <c:v>37.662849482449921</c:v>
                </c:pt>
                <c:pt idx="422">
                  <c:v>35.923604578284191</c:v>
                </c:pt>
                <c:pt idx="423">
                  <c:v>37.339485314974709</c:v>
                </c:pt>
                <c:pt idx="424">
                  <c:v>35.667209844974693</c:v>
                </c:pt>
                <c:pt idx="425">
                  <c:v>35.516212485045372</c:v>
                </c:pt>
                <c:pt idx="426">
                  <c:v>33.533648036657119</c:v>
                </c:pt>
                <c:pt idx="427">
                  <c:v>32.993720707815868</c:v>
                </c:pt>
                <c:pt idx="428">
                  <c:v>34.725550395645776</c:v>
                </c:pt>
                <c:pt idx="429">
                  <c:v>38.042451921597085</c:v>
                </c:pt>
                <c:pt idx="430">
                  <c:v>37.484428173073312</c:v>
                </c:pt>
                <c:pt idx="431">
                  <c:v>35.792600223008591</c:v>
                </c:pt>
                <c:pt idx="432">
                  <c:v>35.327460945195192</c:v>
                </c:pt>
                <c:pt idx="433">
                  <c:v>37.959784503335271</c:v>
                </c:pt>
                <c:pt idx="434">
                  <c:v>31.748044361280918</c:v>
                </c:pt>
                <c:pt idx="435">
                  <c:v>29.701110920657964</c:v>
                </c:pt>
                <c:pt idx="436">
                  <c:v>30.49860812640264</c:v>
                </c:pt>
                <c:pt idx="437">
                  <c:v>30.234580316970817</c:v>
                </c:pt>
                <c:pt idx="438">
                  <c:v>28.317028007472381</c:v>
                </c:pt>
                <c:pt idx="439">
                  <c:v>29.518452436022315</c:v>
                </c:pt>
                <c:pt idx="440">
                  <c:v>28.253858758022314</c:v>
                </c:pt>
                <c:pt idx="441">
                  <c:v>27.307358795440972</c:v>
                </c:pt>
                <c:pt idx="442">
                  <c:v>28.292856681157041</c:v>
                </c:pt>
                <c:pt idx="443">
                  <c:v>30.926790478008357</c:v>
                </c:pt>
                <c:pt idx="444">
                  <c:v>27.252207958008356</c:v>
                </c:pt>
                <c:pt idx="445">
                  <c:v>27.042310151894817</c:v>
                </c:pt>
                <c:pt idx="446">
                  <c:v>25.980238941437129</c:v>
                </c:pt>
                <c:pt idx="447">
                  <c:v>29.671866570617688</c:v>
                </c:pt>
                <c:pt idx="448">
                  <c:v>25.781225692862176</c:v>
                </c:pt>
                <c:pt idx="449">
                  <c:v>20.021072748059304</c:v>
                </c:pt>
                <c:pt idx="450">
                  <c:v>18.734745986781107</c:v>
                </c:pt>
                <c:pt idx="451">
                  <c:v>18.734745986781114</c:v>
                </c:pt>
                <c:pt idx="452">
                  <c:v>19.247581538399238</c:v>
                </c:pt>
                <c:pt idx="453">
                  <c:v>18.158188255601448</c:v>
                </c:pt>
                <c:pt idx="454">
                  <c:v>17.772038864025603</c:v>
                </c:pt>
                <c:pt idx="455">
                  <c:v>18.143897882702525</c:v>
                </c:pt>
                <c:pt idx="456">
                  <c:v>20.847369828289121</c:v>
                </c:pt>
                <c:pt idx="457">
                  <c:v>23.021104410511338</c:v>
                </c:pt>
                <c:pt idx="458">
                  <c:v>22.515670544158834</c:v>
                </c:pt>
                <c:pt idx="459">
                  <c:v>22.3912337956973</c:v>
                </c:pt>
                <c:pt idx="460">
                  <c:v>19.657521487748941</c:v>
                </c:pt>
                <c:pt idx="461">
                  <c:v>21.518658176563751</c:v>
                </c:pt>
                <c:pt idx="462">
                  <c:v>25.71465987038783</c:v>
                </c:pt>
                <c:pt idx="463">
                  <c:v>19.682746234544513</c:v>
                </c:pt>
                <c:pt idx="464">
                  <c:v>19.637023390719008</c:v>
                </c:pt>
                <c:pt idx="465">
                  <c:v>20.511078839483559</c:v>
                </c:pt>
                <c:pt idx="466">
                  <c:v>21.217420189824114</c:v>
                </c:pt>
                <c:pt idx="467">
                  <c:v>18.99890873531319</c:v>
                </c:pt>
                <c:pt idx="468">
                  <c:v>18.624820018787133</c:v>
                </c:pt>
                <c:pt idx="469">
                  <c:v>19.861839697869701</c:v>
                </c:pt>
                <c:pt idx="470">
                  <c:v>21.928504061546175</c:v>
                </c:pt>
                <c:pt idx="471">
                  <c:v>22.359313128604999</c:v>
                </c:pt>
                <c:pt idx="472">
                  <c:v>20.720526647199733</c:v>
                </c:pt>
                <c:pt idx="473">
                  <c:v>20.777583062105396</c:v>
                </c:pt>
                <c:pt idx="474">
                  <c:v>21.148246856879744</c:v>
                </c:pt>
                <c:pt idx="475">
                  <c:v>21.29482394373689</c:v>
                </c:pt>
                <c:pt idx="476">
                  <c:v>21.087766141366949</c:v>
                </c:pt>
                <c:pt idx="477">
                  <c:v>20.252117978966609</c:v>
                </c:pt>
                <c:pt idx="478">
                  <c:v>17.908928997102624</c:v>
                </c:pt>
                <c:pt idx="479">
                  <c:v>21.301890475348774</c:v>
                </c:pt>
                <c:pt idx="480">
                  <c:v>21.346182819486703</c:v>
                </c:pt>
                <c:pt idx="481">
                  <c:v>21.681331874011843</c:v>
                </c:pt>
                <c:pt idx="482">
                  <c:v>21.708857987673046</c:v>
                </c:pt>
                <c:pt idx="483">
                  <c:v>23.210129460217523</c:v>
                </c:pt>
                <c:pt idx="484">
                  <c:v>24.609773382999215</c:v>
                </c:pt>
                <c:pt idx="485">
                  <c:v>25.370887700642065</c:v>
                </c:pt>
                <c:pt idx="486">
                  <c:v>20.511128252179599</c:v>
                </c:pt>
                <c:pt idx="487">
                  <c:v>22.257533193812254</c:v>
                </c:pt>
                <c:pt idx="488">
                  <c:v>23.226137786688071</c:v>
                </c:pt>
                <c:pt idx="489">
                  <c:v>21.334609243551299</c:v>
                </c:pt>
                <c:pt idx="490">
                  <c:v>22.676820754878662</c:v>
                </c:pt>
                <c:pt idx="491">
                  <c:v>20.949359126923881</c:v>
                </c:pt>
                <c:pt idx="492">
                  <c:v>21.992190329927219</c:v>
                </c:pt>
                <c:pt idx="493">
                  <c:v>21.17360313243319</c:v>
                </c:pt>
                <c:pt idx="494">
                  <c:v>23.560193945204656</c:v>
                </c:pt>
                <c:pt idx="495">
                  <c:v>24.243306968468257</c:v>
                </c:pt>
                <c:pt idx="496">
                  <c:v>24.301428631801588</c:v>
                </c:pt>
                <c:pt idx="497">
                  <c:v>25.916229978768804</c:v>
                </c:pt>
                <c:pt idx="498">
                  <c:v>24.587524025974187</c:v>
                </c:pt>
                <c:pt idx="499">
                  <c:v>23.865704694691694</c:v>
                </c:pt>
                <c:pt idx="500">
                  <c:v>26.383652358707614</c:v>
                </c:pt>
                <c:pt idx="501">
                  <c:v>27.508888147481809</c:v>
                </c:pt>
                <c:pt idx="502">
                  <c:v>29.05104781274418</c:v>
                </c:pt>
                <c:pt idx="503">
                  <c:v>29.426100514815023</c:v>
                </c:pt>
                <c:pt idx="504">
                  <c:v>29.413119840444161</c:v>
                </c:pt>
                <c:pt idx="505">
                  <c:v>28.617212844513933</c:v>
                </c:pt>
                <c:pt idx="506">
                  <c:v>28.497567980149288</c:v>
                </c:pt>
                <c:pt idx="507">
                  <c:v>30.763667304673969</c:v>
                </c:pt>
                <c:pt idx="508">
                  <c:v>28.378960186492158</c:v>
                </c:pt>
                <c:pt idx="509">
                  <c:v>26.547496334597984</c:v>
                </c:pt>
                <c:pt idx="510">
                  <c:v>28.892801999174388</c:v>
                </c:pt>
                <c:pt idx="511">
                  <c:v>23.679346198256955</c:v>
                </c:pt>
                <c:pt idx="512">
                  <c:v>30.488126930775412</c:v>
                </c:pt>
                <c:pt idx="513">
                  <c:v>34.330912783945145</c:v>
                </c:pt>
                <c:pt idx="514">
                  <c:v>34.34884861767064</c:v>
                </c:pt>
                <c:pt idx="515">
                  <c:v>41.134437848392302</c:v>
                </c:pt>
                <c:pt idx="516">
                  <c:v>34.088678618392294</c:v>
                </c:pt>
                <c:pt idx="517">
                  <c:v>34.473164651982806</c:v>
                </c:pt>
                <c:pt idx="518">
                  <c:v>32.800224918243671</c:v>
                </c:pt>
                <c:pt idx="519">
                  <c:v>33.824010980086996</c:v>
                </c:pt>
                <c:pt idx="520">
                  <c:v>32.790846511736987</c:v>
                </c:pt>
                <c:pt idx="521">
                  <c:v>34.228380134737861</c:v>
                </c:pt>
                <c:pt idx="522">
                  <c:v>32.728907168451663</c:v>
                </c:pt>
                <c:pt idx="523">
                  <c:v>31.041199493661473</c:v>
                </c:pt>
                <c:pt idx="524">
                  <c:v>28.792143382985458</c:v>
                </c:pt>
                <c:pt idx="525">
                  <c:v>34.42083040097647</c:v>
                </c:pt>
                <c:pt idx="526">
                  <c:v>33.125804860229188</c:v>
                </c:pt>
                <c:pt idx="527">
                  <c:v>36.104150760718937</c:v>
                </c:pt>
                <c:pt idx="528">
                  <c:v>38.577025686811453</c:v>
                </c:pt>
                <c:pt idx="529">
                  <c:v>37.62141313599178</c:v>
                </c:pt>
                <c:pt idx="530">
                  <c:v>37.057516602246906</c:v>
                </c:pt>
                <c:pt idx="531">
                  <c:v>37.997061718246897</c:v>
                </c:pt>
                <c:pt idx="532">
                  <c:v>39.738132191542348</c:v>
                </c:pt>
                <c:pt idx="533">
                  <c:v>43.822702081529627</c:v>
                </c:pt>
                <c:pt idx="534">
                  <c:v>39.507066793847066</c:v>
                </c:pt>
                <c:pt idx="535">
                  <c:v>49.540873658342328</c:v>
                </c:pt>
                <c:pt idx="536">
                  <c:v>36.207162402847842</c:v>
                </c:pt>
                <c:pt idx="537">
                  <c:v>27.552705315395499</c:v>
                </c:pt>
                <c:pt idx="538">
                  <c:v>22.274365431392081</c:v>
                </c:pt>
                <c:pt idx="539">
                  <c:v>18.595114078844773</c:v>
                </c:pt>
                <c:pt idx="540">
                  <c:v>7.8282762500149889</c:v>
                </c:pt>
                <c:pt idx="541">
                  <c:v>3.4324255171156994</c:v>
                </c:pt>
                <c:pt idx="542">
                  <c:v>4.4247456462540233</c:v>
                </c:pt>
                <c:pt idx="543">
                  <c:v>3.2175411240038003</c:v>
                </c:pt>
                <c:pt idx="544">
                  <c:v>2.8865878417716564</c:v>
                </c:pt>
                <c:pt idx="545">
                  <c:v>4.2301127575144521</c:v>
                </c:pt>
                <c:pt idx="546">
                  <c:v>4.9768534181976793</c:v>
                </c:pt>
                <c:pt idx="547">
                  <c:v>5.5962069571067685</c:v>
                </c:pt>
                <c:pt idx="548">
                  <c:v>5.2406978140614973</c:v>
                </c:pt>
                <c:pt idx="549">
                  <c:v>2.9003950528135229</c:v>
                </c:pt>
                <c:pt idx="550">
                  <c:v>4.4608775124838491</c:v>
                </c:pt>
                <c:pt idx="551">
                  <c:v>3.30432137317904</c:v>
                </c:pt>
                <c:pt idx="552">
                  <c:v>4.7979818305196265</c:v>
                </c:pt>
                <c:pt idx="553">
                  <c:v>8.4430023732349628</c:v>
                </c:pt>
                <c:pt idx="554">
                  <c:v>9.4534631651348082</c:v>
                </c:pt>
                <c:pt idx="555">
                  <c:v>3.5379600913887161</c:v>
                </c:pt>
                <c:pt idx="556">
                  <c:v>4.7220187657183263</c:v>
                </c:pt>
                <c:pt idx="557">
                  <c:v>4.8561577000697547</c:v>
                </c:pt>
                <c:pt idx="558">
                  <c:v>6.7168804104495035</c:v>
                </c:pt>
                <c:pt idx="559">
                  <c:v>3.425005628697436</c:v>
                </c:pt>
                <c:pt idx="560">
                  <c:v>7.8947007736629562</c:v>
                </c:pt>
                <c:pt idx="561">
                  <c:v>15.00169464247611</c:v>
                </c:pt>
                <c:pt idx="562">
                  <c:v>8.1625357866577009</c:v>
                </c:pt>
                <c:pt idx="563">
                  <c:v>-8.7765249761901085</c:v>
                </c:pt>
                <c:pt idx="564">
                  <c:v>-12.283578068451337</c:v>
                </c:pt>
                <c:pt idx="565">
                  <c:v>-12.65551978149837</c:v>
                </c:pt>
                <c:pt idx="566">
                  <c:v>-7.8850491264983749</c:v>
                </c:pt>
                <c:pt idx="567">
                  <c:v>-12.787171551940071</c:v>
                </c:pt>
                <c:pt idx="568">
                  <c:v>-12.430750170496774</c:v>
                </c:pt>
                <c:pt idx="569">
                  <c:v>-13.515843586295095</c:v>
                </c:pt>
                <c:pt idx="570">
                  <c:v>-12.850404895391872</c:v>
                </c:pt>
                <c:pt idx="571">
                  <c:v>-12.571504277867117</c:v>
                </c:pt>
                <c:pt idx="572">
                  <c:v>-11.512810964080709</c:v>
                </c:pt>
                <c:pt idx="573">
                  <c:v>-13.022639309838281</c:v>
                </c:pt>
                <c:pt idx="574">
                  <c:v>-15.125985188336569</c:v>
                </c:pt>
                <c:pt idx="575">
                  <c:v>-14.085746352243275</c:v>
                </c:pt>
                <c:pt idx="576">
                  <c:v>-14.035611606281741</c:v>
                </c:pt>
                <c:pt idx="577">
                  <c:v>-13.895319732333519</c:v>
                </c:pt>
                <c:pt idx="578">
                  <c:v>-14.889478382711737</c:v>
                </c:pt>
                <c:pt idx="579">
                  <c:v>-15.812948513810003</c:v>
                </c:pt>
                <c:pt idx="580">
                  <c:v>-14.665422590246783</c:v>
                </c:pt>
                <c:pt idx="581">
                  <c:v>-13.93588573970256</c:v>
                </c:pt>
                <c:pt idx="582">
                  <c:v>-14.983445211217711</c:v>
                </c:pt>
                <c:pt idx="583">
                  <c:v>-12.048075205165084</c:v>
                </c:pt>
                <c:pt idx="584">
                  <c:v>-11.847360153227102</c:v>
                </c:pt>
                <c:pt idx="585">
                  <c:v>-10.815721177365036</c:v>
                </c:pt>
                <c:pt idx="586">
                  <c:v>-7.1389081873650353</c:v>
                </c:pt>
                <c:pt idx="587">
                  <c:v>-10.923283159576389</c:v>
                </c:pt>
                <c:pt idx="588">
                  <c:v>-10.781434434514658</c:v>
                </c:pt>
                <c:pt idx="589">
                  <c:v>-10.362027402135473</c:v>
                </c:pt>
                <c:pt idx="590">
                  <c:v>-10.803171217322641</c:v>
                </c:pt>
                <c:pt idx="591">
                  <c:v>-11.655718423673004</c:v>
                </c:pt>
                <c:pt idx="592">
                  <c:v>-12.426483124902241</c:v>
                </c:pt>
                <c:pt idx="593">
                  <c:v>-11.622726412771092</c:v>
                </c:pt>
                <c:pt idx="594">
                  <c:v>-11.817255579437758</c:v>
                </c:pt>
                <c:pt idx="595">
                  <c:v>-12.604901173723471</c:v>
                </c:pt>
                <c:pt idx="596">
                  <c:v>-10.215370451347779</c:v>
                </c:pt>
                <c:pt idx="597">
                  <c:v>-10.020818878578554</c:v>
                </c:pt>
                <c:pt idx="598">
                  <c:v>-11.464044785051984</c:v>
                </c:pt>
                <c:pt idx="599">
                  <c:v>-11.423391822688343</c:v>
                </c:pt>
                <c:pt idx="600">
                  <c:v>-11.851979691339508</c:v>
                </c:pt>
                <c:pt idx="601">
                  <c:v>-12.603478246248599</c:v>
                </c:pt>
                <c:pt idx="602">
                  <c:v>-11.471876962789954</c:v>
                </c:pt>
                <c:pt idx="603">
                  <c:v>-13.707487643058903</c:v>
                </c:pt>
                <c:pt idx="604">
                  <c:v>-14.094727675070077</c:v>
                </c:pt>
                <c:pt idx="605">
                  <c:v>-13.366999216791687</c:v>
                </c:pt>
                <c:pt idx="606">
                  <c:v>-13.821154256135948</c:v>
                </c:pt>
                <c:pt idx="607">
                  <c:v>-12.848970835175248</c:v>
                </c:pt>
                <c:pt idx="608">
                  <c:v>-13.309777694508579</c:v>
                </c:pt>
                <c:pt idx="609">
                  <c:v>-14.005667324508579</c:v>
                </c:pt>
                <c:pt idx="610">
                  <c:v>-13.035387775514499</c:v>
                </c:pt>
                <c:pt idx="611">
                  <c:v>-13.587983709416937</c:v>
                </c:pt>
                <c:pt idx="612">
                  <c:v>-13.524290790519304</c:v>
                </c:pt>
                <c:pt idx="613">
                  <c:v>-14.394184157420714</c:v>
                </c:pt>
                <c:pt idx="614">
                  <c:v>-13.048748787733217</c:v>
                </c:pt>
                <c:pt idx="615">
                  <c:v>-12.573739144399884</c:v>
                </c:pt>
                <c:pt idx="616">
                  <c:v>-14.559931514399883</c:v>
                </c:pt>
                <c:pt idx="617">
                  <c:v>-14.64644808004274</c:v>
                </c:pt>
                <c:pt idx="618">
                  <c:v>-14.482442714651434</c:v>
                </c:pt>
                <c:pt idx="619">
                  <c:v>-13.849665135239668</c:v>
                </c:pt>
                <c:pt idx="620">
                  <c:v>-13.800573401925714</c:v>
                </c:pt>
                <c:pt idx="621">
                  <c:v>-13.087287538592381</c:v>
                </c:pt>
                <c:pt idx="622">
                  <c:v>-13.09381571122776</c:v>
                </c:pt>
                <c:pt idx="623">
                  <c:v>-12.953153555162187</c:v>
                </c:pt>
                <c:pt idx="624">
                  <c:v>-12.810918513662186</c:v>
                </c:pt>
                <c:pt idx="625">
                  <c:v>-13.141492305328853</c:v>
                </c:pt>
                <c:pt idx="626">
                  <c:v>-13.48284521239956</c:v>
                </c:pt>
                <c:pt idx="627">
                  <c:v>-13.427329620351369</c:v>
                </c:pt>
                <c:pt idx="628">
                  <c:v>-13.190169231432451</c:v>
                </c:pt>
                <c:pt idx="629">
                  <c:v>-12.936329613832454</c:v>
                </c:pt>
                <c:pt idx="630">
                  <c:v>-12.836321781694522</c:v>
                </c:pt>
                <c:pt idx="631">
                  <c:v>-13.611467765027854</c:v>
                </c:pt>
                <c:pt idx="632">
                  <c:v>-10.439686860101025</c:v>
                </c:pt>
                <c:pt idx="633">
                  <c:v>-9.8774435703469248</c:v>
                </c:pt>
                <c:pt idx="634">
                  <c:v>-10.671956279042577</c:v>
                </c:pt>
                <c:pt idx="635">
                  <c:v>-10.374074769298984</c:v>
                </c:pt>
                <c:pt idx="636">
                  <c:v>-10.555414864298983</c:v>
                </c:pt>
                <c:pt idx="637">
                  <c:v>-10.683760946798984</c:v>
                </c:pt>
                <c:pt idx="638">
                  <c:v>-9.9909912446114824</c:v>
                </c:pt>
                <c:pt idx="639">
                  <c:v>-10.354688762660262</c:v>
                </c:pt>
                <c:pt idx="640">
                  <c:v>-9.7382047538529228</c:v>
                </c:pt>
                <c:pt idx="641">
                  <c:v>-9.8461710580634474</c:v>
                </c:pt>
                <c:pt idx="642">
                  <c:v>-8.4592463234649085</c:v>
                </c:pt>
                <c:pt idx="643">
                  <c:v>-8.2335486996249081</c:v>
                </c:pt>
                <c:pt idx="644">
                  <c:v>-8.2610952172993279</c:v>
                </c:pt>
                <c:pt idx="645">
                  <c:v>-8.4830944343123118</c:v>
                </c:pt>
                <c:pt idx="646">
                  <c:v>-8.6616322902824638</c:v>
                </c:pt>
                <c:pt idx="647">
                  <c:v>-8.7180036179636229</c:v>
                </c:pt>
                <c:pt idx="648">
                  <c:v>-8.5019817439877201</c:v>
                </c:pt>
                <c:pt idx="649">
                  <c:v>-8.311158658987722</c:v>
                </c:pt>
                <c:pt idx="650">
                  <c:v>-8.1976249208796137</c:v>
                </c:pt>
                <c:pt idx="651">
                  <c:v>-8.292459270879613</c:v>
                </c:pt>
                <c:pt idx="652">
                  <c:v>-8.6576521266690865</c:v>
                </c:pt>
                <c:pt idx="653">
                  <c:v>-7.6263284963242608</c:v>
                </c:pt>
                <c:pt idx="654">
                  <c:v>-8.2798392212680803</c:v>
                </c:pt>
                <c:pt idx="655">
                  <c:v>-9.0464390036085067</c:v>
                </c:pt>
                <c:pt idx="656">
                  <c:v>-9.0268022181085072</c:v>
                </c:pt>
                <c:pt idx="657">
                  <c:v>-9.2627575014418415</c:v>
                </c:pt>
                <c:pt idx="658">
                  <c:v>-8.6596022891663917</c:v>
                </c:pt>
                <c:pt idx="659">
                  <c:v>-8.5946310208737078</c:v>
                </c:pt>
                <c:pt idx="660">
                  <c:v>-8.7305359638925761</c:v>
                </c:pt>
                <c:pt idx="661">
                  <c:v>-7.9573600701147988</c:v>
                </c:pt>
                <c:pt idx="662">
                  <c:v>-8.5153417803887734</c:v>
                </c:pt>
                <c:pt idx="663">
                  <c:v>-8.461717808388773</c:v>
                </c:pt>
                <c:pt idx="664">
                  <c:v>-8.4721596500103971</c:v>
                </c:pt>
                <c:pt idx="665">
                  <c:v>-8.4091863385009624</c:v>
                </c:pt>
                <c:pt idx="666">
                  <c:v>-8.1401981535857075</c:v>
                </c:pt>
                <c:pt idx="667">
                  <c:v>-8.4899314473357066</c:v>
                </c:pt>
                <c:pt idx="668">
                  <c:v>-8.4964193324708397</c:v>
                </c:pt>
                <c:pt idx="669">
                  <c:v>-9.3459478902649593</c:v>
                </c:pt>
                <c:pt idx="670">
                  <c:v>-8.0387919002649593</c:v>
                </c:pt>
                <c:pt idx="671">
                  <c:v>-6.566733040496171</c:v>
                </c:pt>
                <c:pt idx="672">
                  <c:v>-4.1369348947855453</c:v>
                </c:pt>
                <c:pt idx="673">
                  <c:v>-1.6455494754739941</c:v>
                </c:pt>
                <c:pt idx="674">
                  <c:v>-1.6949759003628826</c:v>
                </c:pt>
                <c:pt idx="675">
                  <c:v>-1.8751915323999215</c:v>
                </c:pt>
                <c:pt idx="676">
                  <c:v>-2.105178924740347</c:v>
                </c:pt>
                <c:pt idx="677">
                  <c:v>-1.5879091431403476</c:v>
                </c:pt>
                <c:pt idx="678">
                  <c:v>-1.9516093352064632</c:v>
                </c:pt>
                <c:pt idx="679">
                  <c:v>-1.7262553406859156</c:v>
                </c:pt>
                <c:pt idx="680">
                  <c:v>-2.0476736457047853</c:v>
                </c:pt>
                <c:pt idx="681">
                  <c:v>-1.9356240313076207</c:v>
                </c:pt>
                <c:pt idx="682">
                  <c:v>-1.9725437474366541</c:v>
                </c:pt>
                <c:pt idx="683">
                  <c:v>-1.6497193012583113</c:v>
                </c:pt>
                <c:pt idx="684">
                  <c:v>-1.4062467001887913</c:v>
                </c:pt>
                <c:pt idx="685">
                  <c:v>-1.109342183857134</c:v>
                </c:pt>
                <c:pt idx="686">
                  <c:v>-1.6385171227348894</c:v>
                </c:pt>
                <c:pt idx="687">
                  <c:v>-0.30806328563467605</c:v>
                </c:pt>
                <c:pt idx="688">
                  <c:v>-0.15252728101282717</c:v>
                </c:pt>
                <c:pt idx="689">
                  <c:v>1.4313564392577112E-2</c:v>
                </c:pt>
                <c:pt idx="690">
                  <c:v>-0.70622212534426621</c:v>
                </c:pt>
                <c:pt idx="691">
                  <c:v>3.4113902783951104</c:v>
                </c:pt>
                <c:pt idx="692">
                  <c:v>4.0380292004290066</c:v>
                </c:pt>
                <c:pt idx="693">
                  <c:v>4.13383122873089</c:v>
                </c:pt>
                <c:pt idx="694">
                  <c:v>3.2857563136347374</c:v>
                </c:pt>
                <c:pt idx="695">
                  <c:v>3.9914021236347388</c:v>
                </c:pt>
                <c:pt idx="696">
                  <c:v>3.9606182946747408</c:v>
                </c:pt>
                <c:pt idx="697">
                  <c:v>3.7565387357335642</c:v>
                </c:pt>
                <c:pt idx="698">
                  <c:v>4.1665483903808678</c:v>
                </c:pt>
                <c:pt idx="699">
                  <c:v>4.0770240142405187</c:v>
                </c:pt>
                <c:pt idx="700">
                  <c:v>3.2293404042405185</c:v>
                </c:pt>
                <c:pt idx="701">
                  <c:v>2.8940993236216719</c:v>
                </c:pt>
                <c:pt idx="702">
                  <c:v>3.3219817867944772</c:v>
                </c:pt>
                <c:pt idx="703">
                  <c:v>3.5852335074164881</c:v>
                </c:pt>
                <c:pt idx="704">
                  <c:v>3.878516030123254</c:v>
                </c:pt>
                <c:pt idx="705">
                  <c:v>3.3850242007938083</c:v>
                </c:pt>
                <c:pt idx="706">
                  <c:v>3.4842138725179455</c:v>
                </c:pt>
                <c:pt idx="707">
                  <c:v>3.9198324005881213</c:v>
                </c:pt>
                <c:pt idx="708">
                  <c:v>4.0296631428698113</c:v>
                </c:pt>
                <c:pt idx="709">
                  <c:v>4.3742299912569074</c:v>
                </c:pt>
                <c:pt idx="710">
                  <c:v>3.7189769118124625</c:v>
                </c:pt>
                <c:pt idx="711">
                  <c:v>3.2678886113579173</c:v>
                </c:pt>
                <c:pt idx="712">
                  <c:v>3.6687884871510201</c:v>
                </c:pt>
                <c:pt idx="713">
                  <c:v>5.7765005333653505</c:v>
                </c:pt>
                <c:pt idx="714">
                  <c:v>0.79969525993005308</c:v>
                </c:pt>
                <c:pt idx="715">
                  <c:v>-1.1882562953590277</c:v>
                </c:pt>
                <c:pt idx="716">
                  <c:v>-1.5270159333590294</c:v>
                </c:pt>
                <c:pt idx="717">
                  <c:v>-2.2010947672155337</c:v>
                </c:pt>
                <c:pt idx="718">
                  <c:v>-2.5857413935313232</c:v>
                </c:pt>
                <c:pt idx="719">
                  <c:v>-2.9669857537638817</c:v>
                </c:pt>
                <c:pt idx="720">
                  <c:v>-2.5610722393803198</c:v>
                </c:pt>
                <c:pt idx="721">
                  <c:v>-1.9502475987023566</c:v>
                </c:pt>
                <c:pt idx="722">
                  <c:v>-3.4604580579616195</c:v>
                </c:pt>
                <c:pt idx="723">
                  <c:v>-2.2208595893425733</c:v>
                </c:pt>
                <c:pt idx="724">
                  <c:v>-2.7605749846215439</c:v>
                </c:pt>
                <c:pt idx="725">
                  <c:v>-2.9094581296215445</c:v>
                </c:pt>
                <c:pt idx="726">
                  <c:v>-2.3545987275890239</c:v>
                </c:pt>
                <c:pt idx="727">
                  <c:v>-2.6167397696438184</c:v>
                </c:pt>
                <c:pt idx="728">
                  <c:v>-2.658477352720741</c:v>
                </c:pt>
                <c:pt idx="729">
                  <c:v>-2.6962986247962122</c:v>
                </c:pt>
                <c:pt idx="730">
                  <c:v>-2.8908837466143935</c:v>
                </c:pt>
                <c:pt idx="731">
                  <c:v>-3.1373945841654152</c:v>
                </c:pt>
                <c:pt idx="732">
                  <c:v>-3.2778495663876379</c:v>
                </c:pt>
                <c:pt idx="733">
                  <c:v>-3.0192779378162067</c:v>
                </c:pt>
                <c:pt idx="734">
                  <c:v>-3.1897989380202882</c:v>
                </c:pt>
                <c:pt idx="735">
                  <c:v>-3.2911825905734795</c:v>
                </c:pt>
                <c:pt idx="736">
                  <c:v>-3.1312807193613592</c:v>
                </c:pt>
                <c:pt idx="737">
                  <c:v>-3.0475957349863587</c:v>
                </c:pt>
                <c:pt idx="738">
                  <c:v>-3.1957469201863575</c:v>
                </c:pt>
                <c:pt idx="739">
                  <c:v>-2.9944562969076682</c:v>
                </c:pt>
                <c:pt idx="740">
                  <c:v>-3.0986611330129308</c:v>
                </c:pt>
                <c:pt idx="741">
                  <c:v>-3.0703781088024038</c:v>
                </c:pt>
                <c:pt idx="742">
                  <c:v>-3.2397125430881175</c:v>
                </c:pt>
                <c:pt idx="743">
                  <c:v>-3.2397125430881157</c:v>
                </c:pt>
                <c:pt idx="744">
                  <c:v>-3.0282682730881154</c:v>
                </c:pt>
                <c:pt idx="745">
                  <c:v>-3.2948160848165107</c:v>
                </c:pt>
                <c:pt idx="746">
                  <c:v>-3.0632761398165136</c:v>
                </c:pt>
                <c:pt idx="747">
                  <c:v>-3.0632761398165127</c:v>
                </c:pt>
                <c:pt idx="748">
                  <c:v>-3.0226924792450842</c:v>
                </c:pt>
                <c:pt idx="749">
                  <c:v>-2.8712264275501691</c:v>
                </c:pt>
                <c:pt idx="750">
                  <c:v>-2.494783468639278</c:v>
                </c:pt>
                <c:pt idx="751">
                  <c:v>-2.2997614413511429</c:v>
                </c:pt>
                <c:pt idx="752">
                  <c:v>-1.8568478023680917</c:v>
                </c:pt>
                <c:pt idx="753">
                  <c:v>-2.1354887439065564</c:v>
                </c:pt>
                <c:pt idx="754">
                  <c:v>-0.89365039233020183</c:v>
                </c:pt>
                <c:pt idx="755">
                  <c:v>-1.1166938546831453</c:v>
                </c:pt>
                <c:pt idx="756">
                  <c:v>-1.0205372400489989</c:v>
                </c:pt>
                <c:pt idx="757">
                  <c:v>-0.8958805166161633</c:v>
                </c:pt>
                <c:pt idx="758">
                  <c:v>-0.62290027347890808</c:v>
                </c:pt>
                <c:pt idx="759">
                  <c:v>-0.5160322345900189</c:v>
                </c:pt>
                <c:pt idx="760">
                  <c:v>-0.35342953106060743</c:v>
                </c:pt>
                <c:pt idx="761">
                  <c:v>-0.23619438272727278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BC-4A31-8399-F6E48C5E7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8306079"/>
        <c:axId val="448065551"/>
      </c:lineChart>
      <c:dateAx>
        <c:axId val="83830607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065551"/>
        <c:crosses val="autoZero"/>
        <c:auto val="1"/>
        <c:lblOffset val="100"/>
        <c:baseTimeUnit val="days"/>
      </c:dateAx>
      <c:valAx>
        <c:axId val="448065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306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2DD7DD4-B8F4-4FA0-BDC7-D09CE6B7BE3C}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277FFB-C2FE-4CD3-A501-1E763EC5EE2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0.216617</v>
      </c>
      <c r="D2" s="4">
        <f>MIN(D3:D1912)</f>
        <v>6.3699999999999998E-4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8</v>
      </c>
      <c r="M4" t="s">
        <v>8</v>
      </c>
      <c r="N4" t="s">
        <v>7</v>
      </c>
    </row>
    <row r="5" spans="1:20" x14ac:dyDescent="0.25">
      <c r="A5" s="5">
        <v>44588</v>
      </c>
      <c r="B5">
        <v>6.8669999999999995E-2</v>
      </c>
      <c r="C5">
        <v>7.3880000000000001E-2</v>
      </c>
      <c r="D5">
        <v>6.8220000000000003E-2</v>
      </c>
      <c r="E5">
        <v>6.9290000000000004E-2</v>
      </c>
      <c r="F5">
        <v>42471093</v>
      </c>
      <c r="G5">
        <v>6.9290000000000004E-2</v>
      </c>
      <c r="L5" t="s">
        <v>8</v>
      </c>
      <c r="M5" t="s">
        <v>8</v>
      </c>
      <c r="N5" t="s">
        <v>7</v>
      </c>
      <c r="P5">
        <f t="shared" ref="P5" si="0">IF(C5=D5,0,((E5-D5)-(C5-E5))/(C5-D5))</f>
        <v>-0.62190812720847988</v>
      </c>
      <c r="Q5">
        <f t="shared" ref="Q5" si="1">F5*P5</f>
        <v>-26413117.908127178</v>
      </c>
      <c r="R5">
        <f t="shared" ref="R5" si="2">R6+Q5</f>
        <v>3435010981.8903933</v>
      </c>
      <c r="S5">
        <f t="shared" ref="S5" si="3">R5/100000</f>
        <v>34350.109818903933</v>
      </c>
      <c r="T5">
        <f t="shared" ref="T5" si="4">S5/1000</f>
        <v>34.350109818903931</v>
      </c>
    </row>
    <row r="6" spans="1:20" x14ac:dyDescent="0.25">
      <c r="A6" s="5">
        <v>44587</v>
      </c>
      <c r="B6">
        <v>6.3579999999999998E-2</v>
      </c>
      <c r="C6">
        <v>7.2569999999999996E-2</v>
      </c>
      <c r="D6">
        <v>6.2909999999999994E-2</v>
      </c>
      <c r="E6">
        <v>6.8650000000000003E-2</v>
      </c>
      <c r="F6">
        <v>194701240</v>
      </c>
      <c r="G6">
        <v>6.8650000000000003E-2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0.18840579710145089</v>
      </c>
      <c r="Q6">
        <f t="shared" ref="Q6" si="6">F6*P6</f>
        <v>36682842.318840891</v>
      </c>
      <c r="R6">
        <f t="shared" ref="R6" si="7">R7+Q6</f>
        <v>3461424099.7985206</v>
      </c>
      <c r="S6">
        <f t="shared" ref="S6" si="8">R6/100000</f>
        <v>34614.240997985209</v>
      </c>
      <c r="T6">
        <f t="shared" ref="T6" si="9">S6/1000</f>
        <v>34.614240997985206</v>
      </c>
    </row>
    <row r="7" spans="1:20" x14ac:dyDescent="0.25">
      <c r="A7" s="5">
        <v>44586</v>
      </c>
      <c r="B7">
        <v>6.25E-2</v>
      </c>
      <c r="C7">
        <v>6.4689999999999998E-2</v>
      </c>
      <c r="D7">
        <v>6.0999999999999999E-2</v>
      </c>
      <c r="E7">
        <v>6.3579999999999998E-2</v>
      </c>
      <c r="F7">
        <v>56456316</v>
      </c>
      <c r="G7">
        <v>6.3579999999999998E-2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0.39837398373983729</v>
      </c>
      <c r="Q7">
        <f t="shared" ref="Q7" si="11">F7*P7</f>
        <v>22490727.512195114</v>
      </c>
      <c r="R7">
        <f t="shared" ref="R7" si="12">R8+Q7</f>
        <v>3424741257.4796796</v>
      </c>
      <c r="S7">
        <f t="shared" ref="S7" si="13">R7/100000</f>
        <v>34247.412574796799</v>
      </c>
      <c r="T7">
        <f t="shared" ref="T7" si="14">S7/1000</f>
        <v>34.247412574796797</v>
      </c>
    </row>
    <row r="8" spans="1:20" x14ac:dyDescent="0.25">
      <c r="A8" s="5">
        <v>44585</v>
      </c>
      <c r="B8">
        <v>6.4990000000000006E-2</v>
      </c>
      <c r="C8">
        <v>6.6500000000000004E-2</v>
      </c>
      <c r="D8">
        <v>5.6809999999999999E-2</v>
      </c>
      <c r="E8">
        <v>6.2530000000000002E-2</v>
      </c>
      <c r="F8">
        <v>151925973.80000001</v>
      </c>
      <c r="G8">
        <v>6.2530000000000002E-2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0.1805985552115584</v>
      </c>
      <c r="Q8">
        <f t="shared" ref="Q8" si="16">F8*P8</f>
        <v>27437611.367389079</v>
      </c>
      <c r="R8">
        <f t="shared" ref="R8" si="17">R9+Q8</f>
        <v>3402250529.9674845</v>
      </c>
      <c r="S8">
        <f t="shared" ref="S8" si="18">R8/100000</f>
        <v>34022.505299674842</v>
      </c>
      <c r="T8">
        <f t="shared" ref="T8" si="19">S8/1000</f>
        <v>34.02250529967484</v>
      </c>
    </row>
    <row r="9" spans="1:20" x14ac:dyDescent="0.25">
      <c r="A9" s="5">
        <v>44584</v>
      </c>
      <c r="B9">
        <v>6.2590000000000007E-2</v>
      </c>
      <c r="C9">
        <v>6.6710000000000005E-2</v>
      </c>
      <c r="D9">
        <v>6.1719999999999997E-2</v>
      </c>
      <c r="E9">
        <v>6.5009999999999998E-2</v>
      </c>
      <c r="F9">
        <v>89580415.599999994</v>
      </c>
      <c r="G9">
        <v>6.5009999999999998E-2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0.31863727454909652</v>
      </c>
      <c r="Q9">
        <f t="shared" ref="Q9" si="21">F9*P9</f>
        <v>28543659.479759365</v>
      </c>
      <c r="R9">
        <f t="shared" ref="R9" si="22">R10+Q9</f>
        <v>3374812918.6000953</v>
      </c>
      <c r="S9">
        <f t="shared" ref="S9" si="23">R9/100000</f>
        <v>33748.129186000951</v>
      </c>
      <c r="T9">
        <f t="shared" ref="T9" si="24">S9/1000</f>
        <v>33.748129186000952</v>
      </c>
    </row>
    <row r="10" spans="1:20" x14ac:dyDescent="0.25">
      <c r="A10" s="5">
        <v>44583</v>
      </c>
      <c r="B10">
        <v>7.2749999999999995E-2</v>
      </c>
      <c r="C10">
        <v>7.3980000000000004E-2</v>
      </c>
      <c r="D10">
        <v>5.654E-2</v>
      </c>
      <c r="E10">
        <v>6.2590000000000007E-2</v>
      </c>
      <c r="F10">
        <v>173048472.80000001</v>
      </c>
      <c r="G10">
        <v>6.2590000000000007E-2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-0.30619266055045813</v>
      </c>
      <c r="Q10">
        <f t="shared" ref="Q10" si="26">F10*P10</f>
        <v>-52986172.29082559</v>
      </c>
      <c r="R10">
        <f t="shared" ref="R10" si="27">R11+Q10</f>
        <v>3346269259.1203361</v>
      </c>
      <c r="S10">
        <f t="shared" ref="S10" si="28">R10/100000</f>
        <v>33462.692591203362</v>
      </c>
      <c r="T10">
        <f t="shared" ref="T10" si="29">S10/1000</f>
        <v>33.462692591203364</v>
      </c>
    </row>
    <row r="11" spans="1:20" x14ac:dyDescent="0.25">
      <c r="A11" s="5">
        <v>44582</v>
      </c>
      <c r="B11">
        <v>8.1559999999999994E-2</v>
      </c>
      <c r="C11">
        <v>8.2610000000000003E-2</v>
      </c>
      <c r="D11">
        <v>6.794E-2</v>
      </c>
      <c r="E11">
        <v>7.2760000000000005E-2</v>
      </c>
      <c r="F11">
        <v>171247359.90000001</v>
      </c>
      <c r="G11">
        <v>7.2760000000000005E-2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-0.34287661895023802</v>
      </c>
      <c r="Q11">
        <f t="shared" ref="Q11" si="31">F11*P11</f>
        <v>-58716715.766666576</v>
      </c>
      <c r="R11">
        <f t="shared" ref="R11" si="32">R12+Q11</f>
        <v>3399255431.4111614</v>
      </c>
      <c r="S11">
        <f t="shared" ref="S11" si="33">R11/100000</f>
        <v>33992.554314111614</v>
      </c>
      <c r="T11">
        <f t="shared" ref="T11" si="34">S11/1000</f>
        <v>33.992554314111615</v>
      </c>
    </row>
    <row r="12" spans="1:20" x14ac:dyDescent="0.25">
      <c r="A12" s="5">
        <v>44581</v>
      </c>
      <c r="B12">
        <v>8.4779999999999994E-2</v>
      </c>
      <c r="C12">
        <v>8.9020000000000002E-2</v>
      </c>
      <c r="D12">
        <v>8.1119999999999998E-2</v>
      </c>
      <c r="E12">
        <v>8.1619999999999998E-2</v>
      </c>
      <c r="F12">
        <v>65511897.700000003</v>
      </c>
      <c r="G12">
        <v>8.1619999999999998E-2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-0.87341772151898733</v>
      </c>
      <c r="Q12">
        <f t="shared" ref="Q12" si="36">F12*P12</f>
        <v>-57219252.421518989</v>
      </c>
      <c r="R12">
        <f t="shared" ref="R12" si="37">R13+Q12</f>
        <v>3457972147.1778278</v>
      </c>
      <c r="S12">
        <f t="shared" ref="S12" si="38">R12/100000</f>
        <v>34579.721471778277</v>
      </c>
      <c r="T12">
        <f t="shared" ref="T12" si="39">S12/1000</f>
        <v>34.579721471778278</v>
      </c>
    </row>
    <row r="13" spans="1:20" x14ac:dyDescent="0.25">
      <c r="A13" s="5">
        <v>44580</v>
      </c>
      <c r="B13">
        <v>8.8419999999999999E-2</v>
      </c>
      <c r="C13">
        <v>9.0920000000000001E-2</v>
      </c>
      <c r="D13">
        <v>8.4279999999999994E-2</v>
      </c>
      <c r="E13">
        <v>8.4570000000000006E-2</v>
      </c>
      <c r="F13">
        <v>68118373.799999997</v>
      </c>
      <c r="G13">
        <v>8.4570000000000006E-2</v>
      </c>
      <c r="L13" t="s">
        <v>7</v>
      </c>
      <c r="M13" t="s">
        <v>8</v>
      </c>
      <c r="N13" t="s">
        <v>7</v>
      </c>
      <c r="P13">
        <f t="shared" ref="P13" si="40">IF(C13=D13,0,((E13-D13)-(C13-E13))/(C13-D13))</f>
        <v>-0.91265060240963491</v>
      </c>
      <c r="Q13">
        <f t="shared" ref="Q13" si="41">F13*P13</f>
        <v>-62168274.883734688</v>
      </c>
      <c r="R13">
        <f t="shared" ref="R13" si="42">R14+Q13</f>
        <v>3515191399.5993466</v>
      </c>
      <c r="S13">
        <f t="shared" ref="S13" si="43">R13/100000</f>
        <v>35151.913995993469</v>
      </c>
      <c r="T13">
        <f t="shared" ref="T13" si="44">S13/1000</f>
        <v>35.151913995993468</v>
      </c>
    </row>
    <row r="14" spans="1:20" x14ac:dyDescent="0.25">
      <c r="A14" s="5">
        <v>44579</v>
      </c>
      <c r="B14">
        <v>8.8910000000000003E-2</v>
      </c>
      <c r="C14">
        <v>9.0840000000000004E-2</v>
      </c>
      <c r="D14">
        <v>8.4830000000000003E-2</v>
      </c>
      <c r="E14">
        <v>8.8370000000000004E-2</v>
      </c>
      <c r="F14">
        <v>70834891.299999997</v>
      </c>
      <c r="G14">
        <v>8.8370000000000004E-2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0.17803660565723814</v>
      </c>
      <c r="Q14">
        <f t="shared" ref="Q14" si="46">F14*P14</f>
        <v>12611203.609151429</v>
      </c>
      <c r="R14">
        <f t="shared" ref="R14" si="47">R15+Q14</f>
        <v>3577359674.4830813</v>
      </c>
      <c r="S14">
        <f t="shared" ref="S14" si="48">R14/100000</f>
        <v>35773.596744830815</v>
      </c>
      <c r="T14">
        <f t="shared" ref="T14" si="49">S14/1000</f>
        <v>35.773596744830812</v>
      </c>
    </row>
    <row r="15" spans="1:20" x14ac:dyDescent="0.25">
      <c r="A15" s="5">
        <v>44578</v>
      </c>
      <c r="B15">
        <v>9.2590000000000006E-2</v>
      </c>
      <c r="C15">
        <v>9.2829999999999996E-2</v>
      </c>
      <c r="D15">
        <v>8.7819999999999995E-2</v>
      </c>
      <c r="E15">
        <v>8.8900000000000007E-2</v>
      </c>
      <c r="F15">
        <v>57216326.200000003</v>
      </c>
      <c r="G15">
        <v>8.8900000000000007E-2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-0.56886227544909729</v>
      </c>
      <c r="Q15">
        <f t="shared" ref="Q15" si="51">F15*P15</f>
        <v>-32548209.514969803</v>
      </c>
      <c r="R15">
        <f t="shared" ref="R15" si="52">R16+Q15</f>
        <v>3564748470.87393</v>
      </c>
      <c r="S15">
        <f t="shared" ref="S15" si="53">R15/100000</f>
        <v>35647.484708739299</v>
      </c>
      <c r="T15">
        <f t="shared" ref="T15" si="54">S15/1000</f>
        <v>35.647484708739299</v>
      </c>
    </row>
    <row r="16" spans="1:20" x14ac:dyDescent="0.25">
      <c r="A16" s="5">
        <v>44577</v>
      </c>
      <c r="B16">
        <v>9.2859999999999998E-2</v>
      </c>
      <c r="C16">
        <v>9.4130000000000005E-2</v>
      </c>
      <c r="D16">
        <v>9.1560000000000002E-2</v>
      </c>
      <c r="E16">
        <v>9.2560000000000003E-2</v>
      </c>
      <c r="F16">
        <v>51699921.600000001</v>
      </c>
      <c r="G16">
        <v>9.2560000000000003E-2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-0.22178988326848265</v>
      </c>
      <c r="Q16">
        <f t="shared" ref="Q16" si="56">F16*P16</f>
        <v>-11466519.576653704</v>
      </c>
      <c r="R16">
        <f t="shared" ref="R16" si="57">R17+Q16</f>
        <v>3597296680.3888998</v>
      </c>
      <c r="S16">
        <f t="shared" ref="S16" si="58">R16/100000</f>
        <v>35972.966803889001</v>
      </c>
      <c r="T16">
        <f t="shared" ref="T16" si="59">S16/1000</f>
        <v>35.972966803889001</v>
      </c>
    </row>
    <row r="17" spans="1:20" x14ac:dyDescent="0.25">
      <c r="A17" s="5">
        <v>44576</v>
      </c>
      <c r="B17">
        <v>9.3509999999999996E-2</v>
      </c>
      <c r="C17">
        <v>9.597E-2</v>
      </c>
      <c r="D17">
        <v>9.1859999999999997E-2</v>
      </c>
      <c r="E17">
        <v>9.2899999999999996E-2</v>
      </c>
      <c r="F17">
        <v>49001896.399999999</v>
      </c>
      <c r="G17">
        <v>9.2899999999999996E-2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-0.49391727493917342</v>
      </c>
      <c r="Q17">
        <f t="shared" ref="Q17" si="61">F17*P17</f>
        <v>-24202883.13673969</v>
      </c>
      <c r="R17">
        <f t="shared" ref="R17" si="62">R18+Q17</f>
        <v>3608763199.9655533</v>
      </c>
      <c r="S17">
        <f t="shared" ref="S17" si="63">R17/100000</f>
        <v>36087.631999655532</v>
      </c>
      <c r="T17">
        <f t="shared" ref="T17" si="64">S17/1000</f>
        <v>36.087631999655535</v>
      </c>
    </row>
    <row r="18" spans="1:20" x14ac:dyDescent="0.25">
      <c r="A18" s="5">
        <v>44575</v>
      </c>
      <c r="B18">
        <v>9.2060000000000003E-2</v>
      </c>
      <c r="C18">
        <v>9.4640000000000002E-2</v>
      </c>
      <c r="D18">
        <v>8.9649999999999994E-2</v>
      </c>
      <c r="E18">
        <v>9.3479999999999994E-2</v>
      </c>
      <c r="F18">
        <v>55268546.5</v>
      </c>
      <c r="G18">
        <v>9.3479999999999994E-2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0.53507014028055855</v>
      </c>
      <c r="Q18">
        <f t="shared" ref="Q18" si="66">F18*P18</f>
        <v>29572548.928857572</v>
      </c>
      <c r="R18">
        <f t="shared" ref="R18" si="67">R19+Q18</f>
        <v>3632966083.102293</v>
      </c>
      <c r="S18">
        <f t="shared" ref="S18" si="68">R18/100000</f>
        <v>36329.660831022928</v>
      </c>
      <c r="T18">
        <f t="shared" ref="T18" si="69">S18/1000</f>
        <v>36.329660831022927</v>
      </c>
    </row>
    <row r="19" spans="1:20" x14ac:dyDescent="0.25">
      <c r="A19" s="5">
        <v>44574</v>
      </c>
      <c r="B19">
        <v>9.7189999999999999E-2</v>
      </c>
      <c r="C19">
        <v>9.7530000000000006E-2</v>
      </c>
      <c r="D19">
        <v>9.1679999999999998E-2</v>
      </c>
      <c r="E19">
        <v>9.2039999999999997E-2</v>
      </c>
      <c r="F19">
        <v>63450494.200000003</v>
      </c>
      <c r="G19">
        <v>9.2039999999999997E-2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-0.87692307692307736</v>
      </c>
      <c r="Q19">
        <f t="shared" ref="Q19" si="71">F19*P19</f>
        <v>-55641202.606153876</v>
      </c>
      <c r="R19">
        <f t="shared" ref="R19" si="72">R20+Q19</f>
        <v>3603393534.1734352</v>
      </c>
      <c r="S19">
        <f t="shared" ref="S19" si="73">R19/100000</f>
        <v>36033.935341734352</v>
      </c>
      <c r="T19">
        <f t="shared" ref="T19" si="74">S19/1000</f>
        <v>36.033935341734349</v>
      </c>
    </row>
    <row r="20" spans="1:20" x14ac:dyDescent="0.25">
      <c r="A20" s="5">
        <v>44573</v>
      </c>
      <c r="B20">
        <v>9.1310000000000002E-2</v>
      </c>
      <c r="C20">
        <v>9.8919999999999994E-2</v>
      </c>
      <c r="D20">
        <v>9.1050000000000006E-2</v>
      </c>
      <c r="E20">
        <v>9.7269999999999995E-2</v>
      </c>
      <c r="F20">
        <v>74966299.599999994</v>
      </c>
      <c r="G20">
        <v>9.7269999999999995E-2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0.58068614993646728</v>
      </c>
      <c r="Q20">
        <f t="shared" ref="Q20" si="76">F20*P20</f>
        <v>43531891.889707722</v>
      </c>
      <c r="R20">
        <f t="shared" ref="R20" si="77">R21+Q20</f>
        <v>3659034736.7795892</v>
      </c>
      <c r="S20">
        <f t="shared" ref="S20" si="78">R20/100000</f>
        <v>36590.34736779589</v>
      </c>
      <c r="T20">
        <f t="shared" ref="T20" si="79">S20/1000</f>
        <v>36.590347367795893</v>
      </c>
    </row>
    <row r="21" spans="1:20" x14ac:dyDescent="0.25">
      <c r="A21" s="5">
        <v>44572</v>
      </c>
      <c r="B21">
        <v>8.6739999999999998E-2</v>
      </c>
      <c r="C21">
        <v>9.1590000000000005E-2</v>
      </c>
      <c r="D21">
        <v>8.5999999999999993E-2</v>
      </c>
      <c r="E21">
        <v>9.1370000000000007E-2</v>
      </c>
      <c r="F21">
        <v>83039880.700000003</v>
      </c>
      <c r="G21">
        <v>9.1370000000000007E-2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0.92128801431127105</v>
      </c>
      <c r="Q21">
        <f t="shared" ref="Q21" si="81">F21*P21</f>
        <v>76503646.798747838</v>
      </c>
      <c r="R21">
        <f t="shared" ref="R21" si="82">R22+Q21</f>
        <v>3615502844.8898816</v>
      </c>
      <c r="S21">
        <f t="shared" ref="S21" si="83">R21/100000</f>
        <v>36155.028448898818</v>
      </c>
      <c r="T21">
        <f t="shared" ref="T21" si="84">S21/1000</f>
        <v>36.155028448898818</v>
      </c>
    </row>
    <row r="22" spans="1:20" x14ac:dyDescent="0.25">
      <c r="A22" s="5">
        <v>44571</v>
      </c>
      <c r="B22">
        <v>9.2050000000000007E-2</v>
      </c>
      <c r="C22">
        <v>9.3649999999999997E-2</v>
      </c>
      <c r="D22">
        <v>8.2570000000000005E-2</v>
      </c>
      <c r="E22">
        <v>8.6910000000000001E-2</v>
      </c>
      <c r="F22">
        <v>150220179.5</v>
      </c>
      <c r="G22">
        <v>8.6910000000000001E-2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-0.21660649819494593</v>
      </c>
      <c r="Q22">
        <f t="shared" ref="Q22" si="86">F22*P22</f>
        <v>-32538667.039711203</v>
      </c>
      <c r="R22">
        <f t="shared" ref="R22" si="87">R23+Q22</f>
        <v>3538999198.0911336</v>
      </c>
      <c r="S22">
        <f t="shared" ref="S22" si="88">R22/100000</f>
        <v>35389.991980911334</v>
      </c>
      <c r="T22">
        <f t="shared" ref="T22" si="89">S22/1000</f>
        <v>35.389991980911333</v>
      </c>
    </row>
    <row r="23" spans="1:20" x14ac:dyDescent="0.25">
      <c r="A23" s="5">
        <v>44570</v>
      </c>
      <c r="B23">
        <v>9.1079999999999994E-2</v>
      </c>
      <c r="C23">
        <v>9.4589999999999994E-2</v>
      </c>
      <c r="D23">
        <v>9.0660000000000004E-2</v>
      </c>
      <c r="E23">
        <v>9.214E-2</v>
      </c>
      <c r="F23">
        <v>67909730.799999997</v>
      </c>
      <c r="G23">
        <v>9.214E-2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-0.2468193384223922</v>
      </c>
      <c r="Q23">
        <f t="shared" ref="Q23" si="91">F23*P23</f>
        <v>-16761434.828498751</v>
      </c>
      <c r="R23">
        <f t="shared" ref="R23" si="92">R24+Q23</f>
        <v>3571537865.1308446</v>
      </c>
      <c r="S23">
        <f t="shared" ref="S23" si="93">R23/100000</f>
        <v>35715.378651308449</v>
      </c>
      <c r="T23">
        <f t="shared" ref="T23" si="94">S23/1000</f>
        <v>35.715378651308448</v>
      </c>
    </row>
    <row r="24" spans="1:20" x14ac:dyDescent="0.25">
      <c r="A24" s="5">
        <v>44569</v>
      </c>
      <c r="B24">
        <v>9.4500000000000001E-2</v>
      </c>
      <c r="C24">
        <v>9.6850000000000006E-2</v>
      </c>
      <c r="D24">
        <v>8.8550000000000004E-2</v>
      </c>
      <c r="E24">
        <v>9.1120000000000007E-2</v>
      </c>
      <c r="F24">
        <v>81858819.099999994</v>
      </c>
      <c r="G24">
        <v>9.1120000000000007E-2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-0.38072289156626449</v>
      </c>
      <c r="Q24">
        <f t="shared" ref="Q24" si="96">F24*P24</f>
        <v>-31165526.30795176</v>
      </c>
      <c r="R24">
        <f t="shared" ref="R24" si="97">R25+Q24</f>
        <v>3588299299.9593434</v>
      </c>
      <c r="S24">
        <f t="shared" ref="S24" si="98">R24/100000</f>
        <v>35882.992999593436</v>
      </c>
      <c r="T24">
        <f t="shared" ref="T24" si="99">S24/1000</f>
        <v>35.882992999593434</v>
      </c>
    </row>
    <row r="25" spans="1:20" x14ac:dyDescent="0.25">
      <c r="A25" s="5">
        <v>44568</v>
      </c>
      <c r="B25">
        <v>0.10106</v>
      </c>
      <c r="C25">
        <v>0.10135</v>
      </c>
      <c r="D25">
        <v>9.2380000000000004E-2</v>
      </c>
      <c r="E25">
        <v>9.4450000000000006E-2</v>
      </c>
      <c r="F25">
        <v>119258085.5</v>
      </c>
      <c r="G25">
        <v>9.4450000000000006E-2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-0.53846153846153755</v>
      </c>
      <c r="Q25">
        <f t="shared" ref="Q25" si="101">F25*P25</f>
        <v>-64215892.192307584</v>
      </c>
      <c r="R25">
        <f t="shared" ref="R25" si="102">R26+Q25</f>
        <v>3619464826.2672954</v>
      </c>
      <c r="S25">
        <f t="shared" ref="S25" si="103">R25/100000</f>
        <v>36194.648262672956</v>
      </c>
      <c r="T25">
        <f t="shared" ref="T25" si="104">S25/1000</f>
        <v>36.194648262672956</v>
      </c>
    </row>
    <row r="26" spans="1:20" x14ac:dyDescent="0.25">
      <c r="A26" s="5">
        <v>44567</v>
      </c>
      <c r="B26">
        <v>0.10143000000000001</v>
      </c>
      <c r="C26">
        <v>0.10248</v>
      </c>
      <c r="D26">
        <v>9.69E-2</v>
      </c>
      <c r="E26">
        <v>0.1011</v>
      </c>
      <c r="F26">
        <v>99222676.5</v>
      </c>
      <c r="G26">
        <v>0.1011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0.50537634408601939</v>
      </c>
      <c r="Q26">
        <f t="shared" ref="Q26" si="106">F26*P26</f>
        <v>50144793.499999791</v>
      </c>
      <c r="R26">
        <f t="shared" ref="R26" si="107">R27+Q26</f>
        <v>3683680718.4596028</v>
      </c>
      <c r="S26">
        <f t="shared" ref="S26" si="108">R26/100000</f>
        <v>36836.807184596029</v>
      </c>
      <c r="T26">
        <f t="shared" ref="T26" si="109">S26/1000</f>
        <v>36.836807184596026</v>
      </c>
    </row>
    <row r="27" spans="1:20" x14ac:dyDescent="0.25">
      <c r="A27" s="5">
        <v>44566</v>
      </c>
      <c r="B27">
        <v>0.10982</v>
      </c>
      <c r="C27">
        <v>0.11648</v>
      </c>
      <c r="D27">
        <v>9.7460000000000005E-2</v>
      </c>
      <c r="E27">
        <v>0.10141</v>
      </c>
      <c r="F27">
        <v>174968590.5</v>
      </c>
      <c r="G27">
        <v>0.10141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-0.58464773922187208</v>
      </c>
      <c r="Q27">
        <f t="shared" ref="Q27" si="111">F27*P27</f>
        <v>-102294990.87066253</v>
      </c>
      <c r="R27">
        <f t="shared" ref="R27" si="112">R28+Q27</f>
        <v>3633535924.9596028</v>
      </c>
      <c r="S27">
        <f t="shared" ref="S27" si="113">R27/100000</f>
        <v>36335.359249596026</v>
      </c>
      <c r="T27">
        <f t="shared" ref="T27" si="114">S27/1000</f>
        <v>36.335359249596024</v>
      </c>
    </row>
    <row r="28" spans="1:20" x14ac:dyDescent="0.25">
      <c r="A28" s="5">
        <v>44565</v>
      </c>
      <c r="B28">
        <v>0.11106000000000001</v>
      </c>
      <c r="C28">
        <v>0.11541</v>
      </c>
      <c r="D28">
        <v>0.10785</v>
      </c>
      <c r="E28">
        <v>0.10986</v>
      </c>
      <c r="F28">
        <v>157341172.69999999</v>
      </c>
      <c r="G28">
        <v>0.10986</v>
      </c>
      <c r="L28" t="s">
        <v>7</v>
      </c>
      <c r="M28" t="s">
        <v>8</v>
      </c>
      <c r="N28" t="s">
        <v>7</v>
      </c>
      <c r="P28">
        <f t="shared" ref="P28" si="115">IF(C28=D28,0,((E28-D28)-(C28-E28))/(C28-D28))</f>
        <v>-0.46825396825396864</v>
      </c>
      <c r="Q28">
        <f t="shared" ref="Q28" si="116">F28*P28</f>
        <v>-73675628.486507997</v>
      </c>
      <c r="R28">
        <f t="shared" ref="R28" si="117">R29+Q28</f>
        <v>3735830915.8302655</v>
      </c>
      <c r="S28">
        <f t="shared" ref="S28" si="118">R28/100000</f>
        <v>37358.309158302654</v>
      </c>
      <c r="T28">
        <f t="shared" ref="T28" si="119">S28/1000</f>
        <v>37.358309158302653</v>
      </c>
    </row>
    <row r="29" spans="1:20" x14ac:dyDescent="0.25">
      <c r="A29" s="5">
        <v>44564</v>
      </c>
      <c r="B29">
        <v>0.11509999999999999</v>
      </c>
      <c r="C29">
        <v>0.11928999999999999</v>
      </c>
      <c r="D29">
        <v>0.10732999999999999</v>
      </c>
      <c r="E29">
        <v>0.11108999999999999</v>
      </c>
      <c r="F29">
        <v>222640437.5</v>
      </c>
      <c r="G29">
        <v>0.11108999999999999</v>
      </c>
      <c r="L29" t="s">
        <v>8</v>
      </c>
      <c r="M29" t="s">
        <v>8</v>
      </c>
      <c r="N29" t="s">
        <v>7</v>
      </c>
      <c r="P29">
        <f t="shared" ref="P29" si="120">IF(C29=D29,0,((E29-D29)-(C29-E29))/(C29-D29))</f>
        <v>-0.37123745819397996</v>
      </c>
      <c r="Q29">
        <f t="shared" ref="Q29" si="121">F29*P29</f>
        <v>-82652470.108695656</v>
      </c>
      <c r="R29">
        <f t="shared" ref="R29" si="122">R30+Q29</f>
        <v>3809506544.3167734</v>
      </c>
      <c r="S29">
        <f t="shared" ref="S29" si="123">R29/100000</f>
        <v>38095.065443167732</v>
      </c>
      <c r="T29">
        <f t="shared" ref="T29" si="124">S29/1000</f>
        <v>38.095065443167734</v>
      </c>
    </row>
    <row r="30" spans="1:20" x14ac:dyDescent="0.25">
      <c r="A30" s="5">
        <v>44563</v>
      </c>
      <c r="B30">
        <v>0.10329000000000001</v>
      </c>
      <c r="C30">
        <v>0.11589000000000001</v>
      </c>
      <c r="D30">
        <v>0.10219</v>
      </c>
      <c r="E30">
        <v>0.11501</v>
      </c>
      <c r="F30">
        <v>236940098.80000001</v>
      </c>
      <c r="G30">
        <v>0.11501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0.87153284671532771</v>
      </c>
      <c r="Q30">
        <f t="shared" ref="Q30" si="126">F30*P30</f>
        <v>206501078.80817503</v>
      </c>
      <c r="R30">
        <f t="shared" ref="R30" si="127">R31+Q30</f>
        <v>3892159014.4254689</v>
      </c>
      <c r="S30">
        <f t="shared" ref="S30" si="128">R30/100000</f>
        <v>38921.590144254689</v>
      </c>
      <c r="T30">
        <f t="shared" ref="T30" si="129">S30/1000</f>
        <v>38.921590144254687</v>
      </c>
    </row>
    <row r="31" spans="1:20" x14ac:dyDescent="0.25">
      <c r="A31" s="5">
        <v>44562</v>
      </c>
      <c r="B31">
        <v>0.1003</v>
      </c>
      <c r="C31">
        <v>0.1037</v>
      </c>
      <c r="D31">
        <v>0.1003</v>
      </c>
      <c r="E31">
        <v>0.10329000000000001</v>
      </c>
      <c r="F31">
        <v>50202848.5</v>
      </c>
      <c r="G31">
        <v>0.10329000000000001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0.75882352941176845</v>
      </c>
      <c r="Q31">
        <f t="shared" ref="Q31" si="131">F31*P31</f>
        <v>38095102.685294308</v>
      </c>
      <c r="R31">
        <f t="shared" ref="R31" si="132">R32+Q31</f>
        <v>3685657935.6172938</v>
      </c>
      <c r="S31">
        <f t="shared" ref="S31" si="133">R31/100000</f>
        <v>36856.579356172937</v>
      </c>
      <c r="T31">
        <f t="shared" ref="T31" si="134">S31/1000</f>
        <v>36.856579356172936</v>
      </c>
    </row>
    <row r="32" spans="1:20" x14ac:dyDescent="0.25">
      <c r="A32" s="5">
        <v>44561</v>
      </c>
      <c r="B32">
        <v>0.10085</v>
      </c>
      <c r="C32">
        <v>0.10378999999999999</v>
      </c>
      <c r="D32">
        <v>9.7879999999999995E-2</v>
      </c>
      <c r="E32">
        <v>0.1003</v>
      </c>
      <c r="F32">
        <v>70837710.700000003</v>
      </c>
      <c r="G32">
        <v>0.1003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-0.18104906937394041</v>
      </c>
      <c r="Q32">
        <f t="shared" ref="Q32" si="136">F32*P32</f>
        <v>-12825101.598815423</v>
      </c>
      <c r="R32">
        <f t="shared" ref="R32" si="137">R33+Q32</f>
        <v>3647562832.9319997</v>
      </c>
      <c r="S32">
        <f t="shared" ref="S32" si="138">R32/100000</f>
        <v>36475.628329319996</v>
      </c>
      <c r="T32">
        <f t="shared" ref="T32" si="139">S32/1000</f>
        <v>36.475628329319996</v>
      </c>
    </row>
    <row r="33" spans="1:20" x14ac:dyDescent="0.25">
      <c r="A33" s="5">
        <v>44560</v>
      </c>
      <c r="B33">
        <v>9.9430000000000004E-2</v>
      </c>
      <c r="C33">
        <v>0.10277</v>
      </c>
      <c r="D33">
        <v>9.6829999999999999E-2</v>
      </c>
      <c r="E33">
        <v>0.10085</v>
      </c>
      <c r="F33">
        <v>75357404.200000003</v>
      </c>
      <c r="G33">
        <v>0.10085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0.35353535353535193</v>
      </c>
      <c r="Q33">
        <f t="shared" ref="Q33" si="141">F33*P33</f>
        <v>26641506.535353415</v>
      </c>
      <c r="R33">
        <f t="shared" ref="R33" si="142">R34+Q33</f>
        <v>3660387934.5308151</v>
      </c>
      <c r="S33">
        <f t="shared" ref="S33" si="143">R33/100000</f>
        <v>36603.879345308153</v>
      </c>
      <c r="T33">
        <f t="shared" ref="T33" si="144">S33/1000</f>
        <v>36.603879345308151</v>
      </c>
    </row>
    <row r="34" spans="1:20" x14ac:dyDescent="0.25">
      <c r="A34" s="5">
        <v>44559</v>
      </c>
      <c r="B34">
        <v>0.10244</v>
      </c>
      <c r="C34">
        <v>0.1053</v>
      </c>
      <c r="D34">
        <v>9.7509999999999999E-2</v>
      </c>
      <c r="E34">
        <v>9.9419999999999994E-2</v>
      </c>
      <c r="F34">
        <v>105501540.5</v>
      </c>
      <c r="G34">
        <v>9.9419999999999994E-2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-0.50962772785622756</v>
      </c>
      <c r="Q34">
        <f t="shared" ref="Q34" si="146">F34*P34</f>
        <v>-53766510.37034677</v>
      </c>
      <c r="R34">
        <f t="shared" ref="R34" si="147">R35+Q34</f>
        <v>3633746427.9954619</v>
      </c>
      <c r="S34">
        <f t="shared" ref="S34" si="148">R34/100000</f>
        <v>36337.46427995462</v>
      </c>
      <c r="T34">
        <f t="shared" ref="T34" si="149">S34/1000</f>
        <v>36.337464279954617</v>
      </c>
    </row>
    <row r="35" spans="1:20" x14ac:dyDescent="0.25">
      <c r="A35" s="5">
        <v>44558</v>
      </c>
      <c r="B35">
        <v>0.11506</v>
      </c>
      <c r="C35">
        <v>0.11506</v>
      </c>
      <c r="D35">
        <v>0.10206999999999999</v>
      </c>
      <c r="E35">
        <v>0.10238999999999999</v>
      </c>
      <c r="F35">
        <v>135183610.09999999</v>
      </c>
      <c r="G35">
        <v>0.10238999999999999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-0.9507313317936873</v>
      </c>
      <c r="Q35">
        <f t="shared" ref="Q35" si="151">F35*P35</f>
        <v>-128523293.66705155</v>
      </c>
      <c r="R35">
        <f t="shared" ref="R35" si="152">R36+Q35</f>
        <v>3687512938.3658085</v>
      </c>
      <c r="S35">
        <f t="shared" ref="S35" si="153">R35/100000</f>
        <v>36875.129383658088</v>
      </c>
      <c r="T35">
        <f t="shared" ref="T35" si="154">S35/1000</f>
        <v>36.875129383658091</v>
      </c>
    </row>
    <row r="36" spans="1:20" x14ac:dyDescent="0.25">
      <c r="A36" s="5">
        <v>44557</v>
      </c>
      <c r="B36">
        <v>0.11325</v>
      </c>
      <c r="C36">
        <v>0.11941</v>
      </c>
      <c r="D36">
        <v>0.11316</v>
      </c>
      <c r="E36">
        <v>0.115</v>
      </c>
      <c r="F36">
        <v>142946940.80000001</v>
      </c>
      <c r="G36">
        <v>0.115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-0.41119999999999785</v>
      </c>
      <c r="Q36">
        <f t="shared" ref="Q36" si="156">F36*P36</f>
        <v>-58779782.056959696</v>
      </c>
      <c r="R36">
        <f t="shared" ref="R36" si="157">R37+Q36</f>
        <v>3816036232.0328603</v>
      </c>
      <c r="S36">
        <f t="shared" ref="S36" si="158">R36/100000</f>
        <v>38160.362320328604</v>
      </c>
      <c r="T36">
        <f t="shared" ref="T36" si="159">S36/1000</f>
        <v>38.160362320328602</v>
      </c>
    </row>
    <row r="37" spans="1:20" x14ac:dyDescent="0.25">
      <c r="A37" s="5">
        <v>44556</v>
      </c>
      <c r="B37">
        <v>0.11207</v>
      </c>
      <c r="C37">
        <v>0.11439000000000001</v>
      </c>
      <c r="D37">
        <v>0.10780000000000001</v>
      </c>
      <c r="E37">
        <v>0.11316</v>
      </c>
      <c r="F37">
        <v>98019609.799999997</v>
      </c>
      <c r="G37">
        <v>0.11316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0.6267071320182066</v>
      </c>
      <c r="Q37">
        <f t="shared" ref="Q37" si="161">F37*P37</f>
        <v>61429588.539301693</v>
      </c>
      <c r="R37">
        <f t="shared" ref="R37" si="162">R38+Q37</f>
        <v>3874816014.0898199</v>
      </c>
      <c r="S37">
        <f t="shared" ref="S37" si="163">R37/100000</f>
        <v>38748.160140898202</v>
      </c>
      <c r="T37">
        <f t="shared" ref="T37" si="164">S37/1000</f>
        <v>38.7481601408982</v>
      </c>
    </row>
    <row r="38" spans="1:20" x14ac:dyDescent="0.25">
      <c r="A38" s="5">
        <v>44555</v>
      </c>
      <c r="B38">
        <v>0.11011</v>
      </c>
      <c r="C38">
        <v>0.1132</v>
      </c>
      <c r="D38">
        <v>0.10928</v>
      </c>
      <c r="E38">
        <v>0.11208</v>
      </c>
      <c r="F38">
        <v>64108308.799999997</v>
      </c>
      <c r="G38">
        <v>0.11208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0.4285714285714296</v>
      </c>
      <c r="Q38">
        <f t="shared" ref="Q38" si="166">F38*P38</f>
        <v>27474989.48571435</v>
      </c>
      <c r="R38">
        <f t="shared" ref="R38" si="167">R39+Q38</f>
        <v>3813386425.550518</v>
      </c>
      <c r="S38">
        <f t="shared" ref="S38" si="168">R38/100000</f>
        <v>38133.864255505177</v>
      </c>
      <c r="T38">
        <f t="shared" ref="T38" si="169">S38/1000</f>
        <v>38.133864255505181</v>
      </c>
    </row>
    <row r="39" spans="1:20" x14ac:dyDescent="0.25">
      <c r="A39" s="5">
        <v>44554</v>
      </c>
      <c r="B39">
        <v>0.11468</v>
      </c>
      <c r="C39">
        <v>0.11774999999999999</v>
      </c>
      <c r="D39">
        <v>0.10888</v>
      </c>
      <c r="E39">
        <v>0.1101</v>
      </c>
      <c r="F39">
        <v>121895819.90000001</v>
      </c>
      <c r="G39">
        <v>0.1101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-0.72491544532130769</v>
      </c>
      <c r="Q39">
        <f t="shared" ref="Q39" si="171">F39*P39</f>
        <v>-88364162.565614432</v>
      </c>
      <c r="R39">
        <f t="shared" ref="R39" si="172">R40+Q39</f>
        <v>3785911436.0648036</v>
      </c>
      <c r="S39">
        <f t="shared" ref="S39" si="173">R39/100000</f>
        <v>37859.114360648033</v>
      </c>
      <c r="T39">
        <f t="shared" ref="T39" si="174">S39/1000</f>
        <v>37.859114360648036</v>
      </c>
    </row>
    <row r="40" spans="1:20" x14ac:dyDescent="0.25">
      <c r="A40" s="5">
        <v>44553</v>
      </c>
      <c r="B40">
        <v>0.1057</v>
      </c>
      <c r="C40">
        <v>0.11577999999999999</v>
      </c>
      <c r="D40">
        <v>0.10456</v>
      </c>
      <c r="E40">
        <v>0.11465</v>
      </c>
      <c r="F40">
        <v>164257786.80000001</v>
      </c>
      <c r="G40">
        <v>0.11465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0.79857397504456462</v>
      </c>
      <c r="Q40">
        <f t="shared" ref="Q40" si="176">F40*P40</f>
        <v>131171993.73689863</v>
      </c>
      <c r="R40">
        <f t="shared" ref="R40" si="177">R41+Q40</f>
        <v>3874275598.6304178</v>
      </c>
      <c r="S40">
        <f t="shared" ref="S40" si="178">R40/100000</f>
        <v>38742.755986304175</v>
      </c>
      <c r="T40">
        <f t="shared" ref="T40" si="179">S40/1000</f>
        <v>38.742755986304175</v>
      </c>
    </row>
    <row r="41" spans="1:20" x14ac:dyDescent="0.25">
      <c r="A41" s="5">
        <v>44552</v>
      </c>
      <c r="B41">
        <v>0.10416</v>
      </c>
      <c r="C41">
        <v>0.1084</v>
      </c>
      <c r="D41">
        <v>0.10340000000000001</v>
      </c>
      <c r="E41">
        <v>0.10568</v>
      </c>
      <c r="F41">
        <v>125655749.2</v>
      </c>
      <c r="G41">
        <v>0.10568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-8.8000000000002132E-2</v>
      </c>
      <c r="Q41">
        <f t="shared" ref="Q41" si="181">F41*P41</f>
        <v>-11057705.929600269</v>
      </c>
      <c r="R41">
        <f t="shared" ref="R41" si="182">R42+Q41</f>
        <v>3743103604.8935194</v>
      </c>
      <c r="S41">
        <f t="shared" ref="S41" si="183">R41/100000</f>
        <v>37431.036048935195</v>
      </c>
      <c r="T41">
        <f t="shared" ref="T41" si="184">S41/1000</f>
        <v>37.431036048935198</v>
      </c>
    </row>
    <row r="42" spans="1:20" x14ac:dyDescent="0.25">
      <c r="A42" s="5">
        <v>44551</v>
      </c>
      <c r="B42">
        <v>9.9540000000000003E-2</v>
      </c>
      <c r="C42">
        <v>0.10523</v>
      </c>
      <c r="D42">
        <v>9.8519999999999996E-2</v>
      </c>
      <c r="E42">
        <v>0.1042</v>
      </c>
      <c r="F42">
        <v>93195636.299999997</v>
      </c>
      <c r="G42">
        <v>0.1042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0.69299552906110229</v>
      </c>
      <c r="Q42">
        <f t="shared" ref="Q42" si="186">F42*P42</f>
        <v>64584159.283904567</v>
      </c>
      <c r="R42">
        <f t="shared" ref="R42" si="187">R43+Q42</f>
        <v>3754161310.8231196</v>
      </c>
      <c r="S42">
        <f t="shared" ref="S42" si="188">R42/100000</f>
        <v>37541.613108231199</v>
      </c>
      <c r="T42">
        <f t="shared" ref="T42" si="189">S42/1000</f>
        <v>37.541613108231196</v>
      </c>
    </row>
    <row r="43" spans="1:20" x14ac:dyDescent="0.25">
      <c r="A43" s="5">
        <v>44550</v>
      </c>
      <c r="B43">
        <v>9.9919999999999995E-2</v>
      </c>
      <c r="C43">
        <v>0.10153</v>
      </c>
      <c r="D43">
        <v>9.3780000000000002E-2</v>
      </c>
      <c r="E43">
        <v>9.9379999999999996E-2</v>
      </c>
      <c r="F43">
        <v>111583259.5</v>
      </c>
      <c r="G43">
        <v>9.9379999999999996E-2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0.44516129032258039</v>
      </c>
      <c r="Q43">
        <f t="shared" ref="Q43" si="191">F43*P43</f>
        <v>49672547.777419329</v>
      </c>
      <c r="R43">
        <f t="shared" ref="R43" si="192">R44+Q43</f>
        <v>3689577151.5392151</v>
      </c>
      <c r="S43">
        <f t="shared" ref="S43" si="193">R43/100000</f>
        <v>36895.771515392153</v>
      </c>
      <c r="T43">
        <f t="shared" ref="T43" si="194">S43/1000</f>
        <v>36.895771515392155</v>
      </c>
    </row>
    <row r="44" spans="1:20" x14ac:dyDescent="0.25">
      <c r="A44" s="5">
        <v>44549</v>
      </c>
      <c r="B44">
        <v>0.10216</v>
      </c>
      <c r="C44">
        <v>0.10352</v>
      </c>
      <c r="D44">
        <v>9.9779999999999994E-2</v>
      </c>
      <c r="E44">
        <v>0.10004</v>
      </c>
      <c r="F44">
        <v>71197654.5</v>
      </c>
      <c r="G44">
        <v>0.10004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-0.86096256684491457</v>
      </c>
      <c r="Q44">
        <f t="shared" ref="Q44" si="196">F44*P44</f>
        <v>-61298515.371657379</v>
      </c>
      <c r="R44">
        <f t="shared" ref="R44" si="197">R45+Q44</f>
        <v>3639904603.7617955</v>
      </c>
      <c r="S44">
        <f t="shared" ref="S44" si="198">R44/100000</f>
        <v>36399.046037617954</v>
      </c>
      <c r="T44">
        <f t="shared" ref="T44" si="199">S44/1000</f>
        <v>36.399046037617957</v>
      </c>
    </row>
    <row r="45" spans="1:20" x14ac:dyDescent="0.25">
      <c r="A45" s="5">
        <v>44548</v>
      </c>
      <c r="B45">
        <v>0.10162</v>
      </c>
      <c r="C45">
        <v>0.10452</v>
      </c>
      <c r="D45">
        <v>9.9930000000000005E-2</v>
      </c>
      <c r="E45">
        <v>0.10215</v>
      </c>
      <c r="F45">
        <v>75652798.5</v>
      </c>
      <c r="G45">
        <v>0.10215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-3.267973856209095E-2</v>
      </c>
      <c r="Q45">
        <f t="shared" ref="Q45" si="201">F45*P45</f>
        <v>-2472313.6764705465</v>
      </c>
      <c r="R45">
        <f t="shared" ref="R45" si="202">R46+Q45</f>
        <v>3701203119.1334529</v>
      </c>
      <c r="S45">
        <f t="shared" ref="S45" si="203">R45/100000</f>
        <v>37012.031191334529</v>
      </c>
      <c r="T45">
        <f t="shared" ref="T45" si="204">S45/1000</f>
        <v>37.012031191334529</v>
      </c>
    </row>
    <row r="46" spans="1:20" x14ac:dyDescent="0.25">
      <c r="A46" s="5">
        <v>44547</v>
      </c>
      <c r="B46">
        <v>0.10004</v>
      </c>
      <c r="C46">
        <v>0.1066</v>
      </c>
      <c r="D46">
        <v>9.7850000000000006E-2</v>
      </c>
      <c r="E46">
        <v>0.10162</v>
      </c>
      <c r="F46">
        <v>199547619.30000001</v>
      </c>
      <c r="G46">
        <v>0.10162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-0.13828571428571471</v>
      </c>
      <c r="Q46">
        <f t="shared" ref="Q46" si="206">F46*P46</f>
        <v>-27594585.068914372</v>
      </c>
      <c r="R46">
        <f t="shared" ref="R46" si="207">R47+Q46</f>
        <v>3703675432.8099236</v>
      </c>
      <c r="S46">
        <f t="shared" ref="S46" si="208">R46/100000</f>
        <v>37036.75432809924</v>
      </c>
      <c r="T46">
        <f t="shared" ref="T46" si="209">S46/1000</f>
        <v>37.036754328099242</v>
      </c>
    </row>
    <row r="47" spans="1:20" x14ac:dyDescent="0.25">
      <c r="A47" s="5">
        <v>44546</v>
      </c>
      <c r="B47">
        <v>0.10112</v>
      </c>
      <c r="C47">
        <v>0.10782</v>
      </c>
      <c r="D47">
        <v>9.9349999999999994E-2</v>
      </c>
      <c r="E47">
        <v>0.10004</v>
      </c>
      <c r="F47">
        <v>140844775</v>
      </c>
      <c r="G47">
        <v>0.10004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-0.83707201889019844</v>
      </c>
      <c r="Q47">
        <f t="shared" ref="Q47" si="211">F47*P47</f>
        <v>-117897220.15938576</v>
      </c>
      <c r="R47">
        <f t="shared" ref="R47" si="212">R48+Q47</f>
        <v>3731270017.8788381</v>
      </c>
      <c r="S47">
        <f t="shared" ref="S47" si="213">R47/100000</f>
        <v>37312.700178788378</v>
      </c>
      <c r="T47">
        <f t="shared" ref="T47" si="214">S47/1000</f>
        <v>37.312700178788376</v>
      </c>
    </row>
    <row r="48" spans="1:20" x14ac:dyDescent="0.25">
      <c r="A48" s="5">
        <v>44545</v>
      </c>
      <c r="B48">
        <v>9.8629999999999995E-2</v>
      </c>
      <c r="C48">
        <v>0.10348</v>
      </c>
      <c r="D48">
        <v>9.2280000000000001E-2</v>
      </c>
      <c r="E48">
        <v>0.1012</v>
      </c>
      <c r="F48">
        <v>151455058</v>
      </c>
      <c r="G48">
        <v>0.1012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0.59285714285714219</v>
      </c>
      <c r="Q48">
        <f t="shared" ref="Q48" si="216">F48*P48</f>
        <v>89791212.957142755</v>
      </c>
      <c r="R48">
        <f t="shared" ref="R48" si="217">R49+Q48</f>
        <v>3849167238.0382237</v>
      </c>
      <c r="S48">
        <f t="shared" ref="S48" si="218">R48/100000</f>
        <v>38491.672380382239</v>
      </c>
      <c r="T48">
        <f t="shared" ref="T48" si="219">S48/1000</f>
        <v>38.491672380382241</v>
      </c>
    </row>
    <row r="49" spans="1:20" x14ac:dyDescent="0.25">
      <c r="A49" s="5">
        <v>44544</v>
      </c>
      <c r="B49">
        <v>9.6280000000000004E-2</v>
      </c>
      <c r="C49">
        <v>9.9760000000000001E-2</v>
      </c>
      <c r="D49">
        <v>9.4289999999999999E-2</v>
      </c>
      <c r="E49">
        <v>9.869E-2</v>
      </c>
      <c r="F49">
        <v>116040610.90000001</v>
      </c>
      <c r="G49">
        <v>9.869E-2</v>
      </c>
      <c r="L49" t="s">
        <v>7</v>
      </c>
      <c r="M49" t="s">
        <v>7</v>
      </c>
      <c r="N49" t="s">
        <v>8</v>
      </c>
      <c r="P49">
        <f t="shared" ref="P49" si="220">IF(C49=D49,0,((E49-D49)-(C49-E49))/(C49-D49))</f>
        <v>0.60877513711151698</v>
      </c>
      <c r="Q49">
        <f t="shared" ref="Q49" si="221">F49*P49</f>
        <v>70642638.811151698</v>
      </c>
      <c r="R49">
        <f t="shared" ref="R49" si="222">R50+Q49</f>
        <v>3759376025.0810809</v>
      </c>
      <c r="S49">
        <f t="shared" ref="S49" si="223">R49/100000</f>
        <v>37593.76025081081</v>
      </c>
      <c r="T49">
        <f t="shared" ref="T49" si="224">S49/1000</f>
        <v>37.59376025081081</v>
      </c>
    </row>
    <row r="50" spans="1:20" x14ac:dyDescent="0.25">
      <c r="A50" s="5">
        <v>44543</v>
      </c>
      <c r="B50">
        <v>0.10879</v>
      </c>
      <c r="C50">
        <v>0.11005</v>
      </c>
      <c r="D50">
        <v>9.4409999999999994E-2</v>
      </c>
      <c r="E50">
        <v>9.6329999999999999E-2</v>
      </c>
      <c r="F50">
        <v>145706498.80000001</v>
      </c>
      <c r="G50">
        <v>9.6329999999999999E-2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-0.75447570332480751</v>
      </c>
      <c r="Q50">
        <f t="shared" ref="Q50" si="226">F50*P50</f>
        <v>-109932013.16112523</v>
      </c>
      <c r="R50">
        <f t="shared" ref="R50" si="227">R51+Q50</f>
        <v>3688733386.2699294</v>
      </c>
      <c r="S50">
        <f t="shared" ref="S50" si="228">R50/100000</f>
        <v>36887.333862699292</v>
      </c>
      <c r="T50">
        <f t="shared" ref="T50" si="229">S50/1000</f>
        <v>36.887333862699293</v>
      </c>
    </row>
    <row r="51" spans="1:20" x14ac:dyDescent="0.25">
      <c r="A51" s="5">
        <v>44542</v>
      </c>
      <c r="B51">
        <v>0.10614999999999999</v>
      </c>
      <c r="C51">
        <v>0.11174000000000001</v>
      </c>
      <c r="D51">
        <v>0.10342</v>
      </c>
      <c r="E51">
        <v>0.10884000000000001</v>
      </c>
      <c r="F51">
        <v>106709354.90000001</v>
      </c>
      <c r="G51">
        <v>0.10884000000000001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0.30288461538461608</v>
      </c>
      <c r="Q51">
        <f t="shared" ref="Q51" si="231">F51*P51</f>
        <v>32320621.916827001</v>
      </c>
      <c r="R51">
        <f t="shared" ref="R51" si="232">R52+Q51</f>
        <v>3798665399.4310546</v>
      </c>
      <c r="S51">
        <f t="shared" ref="S51" si="233">R51/100000</f>
        <v>37986.653994310545</v>
      </c>
      <c r="T51">
        <f t="shared" ref="T51" si="234">S51/1000</f>
        <v>37.986653994310544</v>
      </c>
    </row>
    <row r="52" spans="1:20" x14ac:dyDescent="0.25">
      <c r="A52" s="5">
        <v>44541</v>
      </c>
      <c r="B52">
        <v>0.10291</v>
      </c>
      <c r="C52">
        <v>0.10435</v>
      </c>
      <c r="D52">
        <v>0.10065</v>
      </c>
      <c r="E52">
        <v>0.10365000000000001</v>
      </c>
      <c r="F52">
        <v>12425288.4</v>
      </c>
      <c r="G52">
        <v>0.10365000000000001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0.62162162162162526</v>
      </c>
      <c r="Q52">
        <f t="shared" ref="Q52" si="236">F52*P52</f>
        <v>7723827.92432437</v>
      </c>
      <c r="R52">
        <f t="shared" ref="R52" si="237">R53+Q52</f>
        <v>3766344777.5142274</v>
      </c>
      <c r="S52">
        <f t="shared" ref="S52" si="238">R52/100000</f>
        <v>37663.447775142275</v>
      </c>
      <c r="T52">
        <f t="shared" ref="T52" si="239">S52/1000</f>
        <v>37.663447775142274</v>
      </c>
    </row>
    <row r="53" spans="1:20" x14ac:dyDescent="0.25">
      <c r="A53" s="5">
        <v>44540</v>
      </c>
      <c r="B53">
        <v>0.10764</v>
      </c>
      <c r="C53">
        <v>0.11287999999999999</v>
      </c>
      <c r="D53">
        <v>0.10249999999999999</v>
      </c>
      <c r="E53">
        <v>0.10299999999999999</v>
      </c>
      <c r="F53">
        <v>153444138.09999999</v>
      </c>
      <c r="G53">
        <v>0.10299999999999999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-0.90366088631984576</v>
      </c>
      <c r="Q53">
        <f t="shared" ref="Q53" si="241">F53*P53</f>
        <v>-138661465.83603081</v>
      </c>
      <c r="R53">
        <f t="shared" ref="R53" si="242">R54+Q53</f>
        <v>3758620949.5899029</v>
      </c>
      <c r="S53">
        <f t="shared" ref="S53" si="243">R53/100000</f>
        <v>37586.209495899027</v>
      </c>
      <c r="T53">
        <f t="shared" ref="T53" si="244">S53/1000</f>
        <v>37.586209495899027</v>
      </c>
    </row>
    <row r="54" spans="1:20" x14ac:dyDescent="0.25">
      <c r="A54" s="5">
        <v>44539</v>
      </c>
      <c r="B54">
        <v>0.11634</v>
      </c>
      <c r="C54">
        <v>0.11898</v>
      </c>
      <c r="D54">
        <v>0.10666</v>
      </c>
      <c r="E54">
        <v>0.10765</v>
      </c>
      <c r="F54">
        <v>188808269</v>
      </c>
      <c r="G54">
        <v>0.10765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-0.83928571428571574</v>
      </c>
      <c r="Q54">
        <f t="shared" ref="Q54" si="246">F54*P54</f>
        <v>-158464082.91071457</v>
      </c>
      <c r="R54">
        <f t="shared" ref="R54" si="247">R55+Q54</f>
        <v>3897282415.4259338</v>
      </c>
      <c r="S54">
        <f t="shared" ref="S54" si="248">R54/100000</f>
        <v>38972.824154259339</v>
      </c>
      <c r="T54">
        <f t="shared" ref="T54" si="249">S54/1000</f>
        <v>38.972824154259335</v>
      </c>
    </row>
    <row r="55" spans="1:20" x14ac:dyDescent="0.25">
      <c r="A55" s="5">
        <v>44538</v>
      </c>
      <c r="B55">
        <v>0.11179</v>
      </c>
      <c r="C55">
        <v>0.12349</v>
      </c>
      <c r="D55">
        <v>0.10388</v>
      </c>
      <c r="E55">
        <v>0.11634</v>
      </c>
      <c r="F55">
        <v>350470771</v>
      </c>
      <c r="G55">
        <v>0.11634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0.27078021417644033</v>
      </c>
      <c r="Q55">
        <f t="shared" ref="Q55" si="251">F55*P55</f>
        <v>94900550.433962166</v>
      </c>
      <c r="R55">
        <f t="shared" ref="R55" si="252">R56+Q55</f>
        <v>4055746498.3366485</v>
      </c>
      <c r="S55">
        <f t="shared" ref="S55" si="253">R55/100000</f>
        <v>40557.464983366488</v>
      </c>
      <c r="T55">
        <f t="shared" ref="T55" si="254">S55/1000</f>
        <v>40.557464983366486</v>
      </c>
    </row>
    <row r="56" spans="1:20" x14ac:dyDescent="0.25">
      <c r="A56" s="5">
        <v>44537</v>
      </c>
      <c r="B56">
        <v>0.11085</v>
      </c>
      <c r="C56">
        <v>0.12085</v>
      </c>
      <c r="D56">
        <v>0.1096</v>
      </c>
      <c r="E56">
        <v>0.11186</v>
      </c>
      <c r="F56">
        <v>236145283.40000001</v>
      </c>
      <c r="G56">
        <v>0.11186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-0.59822222222222243</v>
      </c>
      <c r="Q56">
        <f t="shared" ref="Q56" si="256">F56*P56</f>
        <v>-141267356.2028445</v>
      </c>
      <c r="R56">
        <f t="shared" ref="R56" si="257">R57+Q56</f>
        <v>3960845947.9026861</v>
      </c>
      <c r="S56">
        <f t="shared" ref="S56" si="258">R56/100000</f>
        <v>39608.45947902686</v>
      </c>
      <c r="T56">
        <f t="shared" ref="T56" si="259">S56/1000</f>
        <v>39.608459479026862</v>
      </c>
    </row>
    <row r="57" spans="1:20" x14ac:dyDescent="0.25">
      <c r="A57" s="5">
        <v>44536</v>
      </c>
      <c r="B57">
        <v>0.10750999999999999</v>
      </c>
      <c r="C57">
        <v>0.11168</v>
      </c>
      <c r="D57">
        <v>9.5460000000000003E-2</v>
      </c>
      <c r="E57">
        <v>0.11089</v>
      </c>
      <c r="F57">
        <v>342453541.30000001</v>
      </c>
      <c r="G57">
        <v>0.11089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0.90258939580764497</v>
      </c>
      <c r="Q57">
        <f t="shared" ref="Q57" si="261">F57*P57</f>
        <v>309094934.9341554</v>
      </c>
      <c r="R57">
        <f t="shared" ref="R57" si="262">R58+Q57</f>
        <v>4102113304.1055307</v>
      </c>
      <c r="S57">
        <f t="shared" ref="S57" si="263">R57/100000</f>
        <v>41021.133041055306</v>
      </c>
      <c r="T57">
        <f t="shared" ref="T57" si="264">S57/1000</f>
        <v>41.021133041055307</v>
      </c>
    </row>
    <row r="58" spans="1:20" x14ac:dyDescent="0.25">
      <c r="A58" s="5">
        <v>44535</v>
      </c>
      <c r="B58">
        <v>0.11289</v>
      </c>
      <c r="C58">
        <v>0.1179</v>
      </c>
      <c r="D58">
        <v>0.10416</v>
      </c>
      <c r="E58">
        <v>0.10752</v>
      </c>
      <c r="F58">
        <v>217474221</v>
      </c>
      <c r="G58">
        <v>0.10752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-0.51091703056768545</v>
      </c>
      <c r="Q58">
        <f t="shared" ref="Q58" si="266">F58*P58</f>
        <v>-111111283.21834058</v>
      </c>
      <c r="R58">
        <f t="shared" ref="R58" si="267">R59+Q58</f>
        <v>3793018369.1713753</v>
      </c>
      <c r="S58">
        <f t="shared" ref="S58" si="268">R58/100000</f>
        <v>37930.183691713755</v>
      </c>
      <c r="T58">
        <f t="shared" ref="T58" si="269">S58/1000</f>
        <v>37.930183691713758</v>
      </c>
    </row>
    <row r="59" spans="1:20" x14ac:dyDescent="0.25">
      <c r="A59" s="5">
        <v>44534</v>
      </c>
      <c r="B59">
        <v>0.13283</v>
      </c>
      <c r="C59">
        <v>0.13289999999999999</v>
      </c>
      <c r="D59">
        <v>8.7999999999999995E-2</v>
      </c>
      <c r="E59">
        <v>0.1129</v>
      </c>
      <c r="F59">
        <v>636252860</v>
      </c>
      <c r="G59">
        <v>0.1129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0.10913140311804044</v>
      </c>
      <c r="Q59">
        <f t="shared" ref="Q59" si="271">F59*P59</f>
        <v>69435167.349666148</v>
      </c>
      <c r="R59">
        <f t="shared" ref="R59" si="272">R60+Q59</f>
        <v>3904129652.3897157</v>
      </c>
      <c r="S59">
        <f t="shared" ref="S59" si="273">R59/100000</f>
        <v>39041.296523897159</v>
      </c>
      <c r="T59">
        <f t="shared" ref="T59" si="274">S59/1000</f>
        <v>39.041296523897159</v>
      </c>
    </row>
    <row r="60" spans="1:20" x14ac:dyDescent="0.25">
      <c r="A60" s="5">
        <v>44533</v>
      </c>
      <c r="B60">
        <v>0.14777999999999999</v>
      </c>
      <c r="C60">
        <v>0.14785999999999999</v>
      </c>
      <c r="D60">
        <v>0.12776000000000001</v>
      </c>
      <c r="E60">
        <v>0.13292000000000001</v>
      </c>
      <c r="F60">
        <v>210517401.19999999</v>
      </c>
      <c r="G60">
        <v>0.13292000000000001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-0.48656716417910417</v>
      </c>
      <c r="Q60">
        <f t="shared" ref="Q60" si="276">F60*P60</f>
        <v>-102430854.91223873</v>
      </c>
      <c r="R60">
        <f t="shared" ref="R60" si="277">R61+Q60</f>
        <v>3834694485.0400496</v>
      </c>
      <c r="S60">
        <f t="shared" ref="S60" si="278">R60/100000</f>
        <v>38346.944850400498</v>
      </c>
      <c r="T60">
        <f t="shared" ref="T60" si="279">S60/1000</f>
        <v>38.346944850400497</v>
      </c>
    </row>
    <row r="61" spans="1:20" x14ac:dyDescent="0.25">
      <c r="A61" s="5">
        <v>44532</v>
      </c>
      <c r="B61">
        <v>0.14654</v>
      </c>
      <c r="C61">
        <v>0.14948</v>
      </c>
      <c r="D61">
        <v>0.13822000000000001</v>
      </c>
      <c r="E61">
        <v>0.14785999999999999</v>
      </c>
      <c r="F61">
        <v>205145867.80000001</v>
      </c>
      <c r="G61">
        <v>0.14785999999999999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0.71225577264653439</v>
      </c>
      <c r="Q61">
        <f t="shared" ref="Q61" si="281">F61*P61</f>
        <v>146116328.57513282</v>
      </c>
      <c r="R61">
        <f t="shared" ref="R61" si="282">R62+Q61</f>
        <v>3937125339.9522882</v>
      </c>
      <c r="S61">
        <f t="shared" ref="S61" si="283">R61/100000</f>
        <v>39371.25339952288</v>
      </c>
      <c r="T61">
        <f t="shared" ref="T61" si="284">S61/1000</f>
        <v>39.371253399522878</v>
      </c>
    </row>
    <row r="62" spans="1:20" x14ac:dyDescent="0.25">
      <c r="A62" s="5">
        <v>44531</v>
      </c>
      <c r="B62">
        <v>0.14793000000000001</v>
      </c>
      <c r="C62">
        <v>0.15393000000000001</v>
      </c>
      <c r="D62">
        <v>0.1426</v>
      </c>
      <c r="E62">
        <v>0.14660000000000001</v>
      </c>
      <c r="F62">
        <v>234973641.40000001</v>
      </c>
      <c r="G62">
        <v>0.14660000000000001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-0.29390997352162379</v>
      </c>
      <c r="Q62">
        <f t="shared" ref="Q62" si="286">F62*P62</f>
        <v>-69061096.72215353</v>
      </c>
      <c r="R62">
        <f t="shared" ref="R62" si="287">R63+Q62</f>
        <v>3791009011.3771553</v>
      </c>
      <c r="S62">
        <f t="shared" ref="S62" si="288">R62/100000</f>
        <v>37910.090113771555</v>
      </c>
      <c r="T62">
        <f t="shared" ref="T62" si="289">S62/1000</f>
        <v>37.910090113771552</v>
      </c>
    </row>
    <row r="63" spans="1:20" x14ac:dyDescent="0.25">
      <c r="A63" s="5">
        <v>44530</v>
      </c>
      <c r="B63">
        <v>0.15967999999999999</v>
      </c>
      <c r="C63">
        <v>0.16458999999999999</v>
      </c>
      <c r="D63">
        <v>0.14518</v>
      </c>
      <c r="E63">
        <v>0.14799999999999999</v>
      </c>
      <c r="F63">
        <v>476085354</v>
      </c>
      <c r="G63">
        <v>0.14799999999999999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-0.70942812982998538</v>
      </c>
      <c r="Q63">
        <f t="shared" ref="Q63" si="291">F63*P63</f>
        <v>-337748342.32766652</v>
      </c>
      <c r="R63">
        <f t="shared" ref="R63" si="292">R64+Q63</f>
        <v>3860070108.099309</v>
      </c>
      <c r="S63">
        <f t="shared" ref="S63" si="293">R63/100000</f>
        <v>38600.701080993087</v>
      </c>
      <c r="T63">
        <f t="shared" ref="T63" si="294">S63/1000</f>
        <v>38.60070108099309</v>
      </c>
    </row>
    <row r="64" spans="1:20" x14ac:dyDescent="0.25">
      <c r="A64" s="5">
        <v>44529</v>
      </c>
      <c r="B64">
        <v>0.16120000000000001</v>
      </c>
      <c r="C64">
        <v>0.16908000000000001</v>
      </c>
      <c r="D64">
        <v>0.15501999999999999</v>
      </c>
      <c r="E64">
        <v>0.15973000000000001</v>
      </c>
      <c r="F64">
        <v>360313446.69999999</v>
      </c>
      <c r="G64">
        <v>0.15973000000000001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-0.33001422475106484</v>
      </c>
      <c r="Q64">
        <f t="shared" ref="Q64" si="296">F64*P64</f>
        <v>-118908562.78008462</v>
      </c>
      <c r="R64">
        <f t="shared" ref="R64" si="297">R65+Q64</f>
        <v>4197818450.4269753</v>
      </c>
      <c r="S64">
        <f t="shared" ref="S64" si="298">R64/100000</f>
        <v>41978.184504269753</v>
      </c>
      <c r="T64">
        <f t="shared" ref="T64" si="299">S64/1000</f>
        <v>41.978184504269755</v>
      </c>
    </row>
    <row r="65" spans="1:20" x14ac:dyDescent="0.25">
      <c r="A65" s="5">
        <v>44528</v>
      </c>
      <c r="B65">
        <v>0.17202000000000001</v>
      </c>
      <c r="C65">
        <v>0.18274000000000001</v>
      </c>
      <c r="D65">
        <v>0.14702999999999999</v>
      </c>
      <c r="E65">
        <v>0.16123999999999999</v>
      </c>
      <c r="F65">
        <v>702358232.29999995</v>
      </c>
      <c r="G65">
        <v>0.16123999999999999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-0.20414449733968118</v>
      </c>
      <c r="Q65">
        <f t="shared" ref="Q65" si="301">F65*P65</f>
        <v>-143382568.28527051</v>
      </c>
      <c r="R65">
        <f t="shared" ref="R65" si="302">R66+Q65</f>
        <v>4316727013.2070599</v>
      </c>
      <c r="S65">
        <f t="shared" ref="S65" si="303">R65/100000</f>
        <v>43167.270132070596</v>
      </c>
      <c r="T65">
        <f t="shared" ref="T65" si="304">S65/1000</f>
        <v>43.167270132070598</v>
      </c>
    </row>
    <row r="66" spans="1:20" x14ac:dyDescent="0.25">
      <c r="A66" s="5">
        <v>44527</v>
      </c>
      <c r="B66">
        <v>0.17602999999999999</v>
      </c>
      <c r="C66">
        <v>0.21382000000000001</v>
      </c>
      <c r="D66">
        <v>0.16556000000000001</v>
      </c>
      <c r="E66">
        <v>0.17197000000000001</v>
      </c>
      <c r="F66">
        <v>2414698345.5</v>
      </c>
      <c r="G66">
        <v>0.17197000000000001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-0.73435557397430584</v>
      </c>
      <c r="Q66">
        <f t="shared" ref="Q66" si="306">F66*P66</f>
        <v>-1773247189.4844592</v>
      </c>
      <c r="R66">
        <f t="shared" ref="R66" si="307">R67+Q66</f>
        <v>4460109581.4923306</v>
      </c>
      <c r="S66">
        <f t="shared" ref="S66" si="308">R66/100000</f>
        <v>44601.095814923305</v>
      </c>
      <c r="T66">
        <f t="shared" ref="T66" si="309">S66/1000</f>
        <v>44.601095814923305</v>
      </c>
    </row>
    <row r="67" spans="1:20" x14ac:dyDescent="0.25">
      <c r="A67" s="5">
        <v>44526</v>
      </c>
      <c r="B67">
        <v>0.12459000000000001</v>
      </c>
      <c r="C67">
        <v>0.19633</v>
      </c>
      <c r="D67">
        <v>0.12342</v>
      </c>
      <c r="E67">
        <v>0.17605000000000001</v>
      </c>
      <c r="F67">
        <v>2570104914.4000001</v>
      </c>
      <c r="G67">
        <v>0.17605000000000001</v>
      </c>
      <c r="L67" t="s">
        <v>8</v>
      </c>
      <c r="M67" t="s">
        <v>8</v>
      </c>
      <c r="N67" t="s">
        <v>8</v>
      </c>
      <c r="P67">
        <f t="shared" ref="P67" si="310">IF(C67=D67,0,((E67-D67)-(C67-E67))/(C67-D67))</f>
        <v>0.44369770950486925</v>
      </c>
      <c r="Q67">
        <f t="shared" ref="Q67" si="311">F67*P67</f>
        <v>1140349663.7064881</v>
      </c>
      <c r="R67">
        <f t="shared" ref="R67" si="312">R68+Q67</f>
        <v>6233356770.9767895</v>
      </c>
      <c r="S67">
        <f t="shared" ref="S67" si="313">R67/100000</f>
        <v>62333.567709767893</v>
      </c>
      <c r="T67">
        <f t="shared" ref="T67" si="314">S67/1000</f>
        <v>62.333567709767891</v>
      </c>
    </row>
    <row r="68" spans="1:20" x14ac:dyDescent="0.25">
      <c r="A68" s="5">
        <v>44525</v>
      </c>
      <c r="B68">
        <v>0.12055</v>
      </c>
      <c r="C68">
        <v>0.12586</v>
      </c>
      <c r="D68">
        <v>0.11840000000000001</v>
      </c>
      <c r="E68">
        <v>0.12458</v>
      </c>
      <c r="F68">
        <v>211954871.09999999</v>
      </c>
      <c r="G68">
        <v>0.12458</v>
      </c>
      <c r="L68" t="s">
        <v>7</v>
      </c>
      <c r="M68" t="s">
        <v>8</v>
      </c>
      <c r="N68" t="s">
        <v>8</v>
      </c>
      <c r="P68">
        <f t="shared" ref="P68" si="315">IF(C68=D68,0,((E68-D68)-(C68-E68))/(C68-D68))</f>
        <v>0.65683646112600425</v>
      </c>
      <c r="Q68">
        <f t="shared" ref="Q68" si="316">F68*P68</f>
        <v>139219687.45174238</v>
      </c>
      <c r="R68">
        <f t="shared" ref="R68" si="317">R69+Q68</f>
        <v>5093007107.2703018</v>
      </c>
      <c r="S68">
        <f t="shared" ref="S68" si="318">R68/100000</f>
        <v>50930.071072703016</v>
      </c>
      <c r="T68">
        <f t="shared" ref="T68" si="319">S68/1000</f>
        <v>50.930071072703015</v>
      </c>
    </row>
    <row r="69" spans="1:20" x14ac:dyDescent="0.25">
      <c r="A69" s="5">
        <v>44524</v>
      </c>
      <c r="B69">
        <v>0.12584000000000001</v>
      </c>
      <c r="C69">
        <v>0.12625</v>
      </c>
      <c r="D69">
        <v>0.12088</v>
      </c>
      <c r="E69">
        <v>0.12261</v>
      </c>
      <c r="F69">
        <v>70037849.900000006</v>
      </c>
      <c r="G69">
        <v>0.12261</v>
      </c>
      <c r="L69" t="s">
        <v>7</v>
      </c>
      <c r="M69" t="s">
        <v>8</v>
      </c>
      <c r="N69" t="s">
        <v>8</v>
      </c>
      <c r="P69">
        <f t="shared" ref="P69" si="320">IF(C69=D69,0,((E69-D69)-(C69-E69))/(C69-D69))</f>
        <v>-0.35567970204841881</v>
      </c>
      <c r="Q69">
        <f t="shared" ref="Q69" si="321">F69*P69</f>
        <v>-24911041.58454388</v>
      </c>
      <c r="R69">
        <f t="shared" ref="R69" si="322">R70+Q69</f>
        <v>4953787419.8185596</v>
      </c>
      <c r="S69">
        <f t="shared" ref="S69" si="323">R69/100000</f>
        <v>49537.874198185593</v>
      </c>
      <c r="T69">
        <f t="shared" ref="T69" si="324">S69/1000</f>
        <v>49.537874198185591</v>
      </c>
    </row>
    <row r="70" spans="1:20" x14ac:dyDescent="0.25">
      <c r="A70" s="5">
        <v>44523</v>
      </c>
      <c r="B70">
        <v>0.12620000000000001</v>
      </c>
      <c r="C70">
        <v>0.12847</v>
      </c>
      <c r="D70">
        <v>0.12288</v>
      </c>
      <c r="E70">
        <v>0.12589</v>
      </c>
      <c r="F70">
        <v>164383170.09999999</v>
      </c>
      <c r="G70">
        <v>0.12589</v>
      </c>
      <c r="L70" t="s">
        <v>7</v>
      </c>
      <c r="M70" t="s">
        <v>8</v>
      </c>
      <c r="N70" t="s">
        <v>8</v>
      </c>
      <c r="P70">
        <f t="shared" ref="P70" si="325">IF(C70=D70,0,((E70-D70)-(C70-E70))/(C70-D70))</f>
        <v>7.6923076923076927E-2</v>
      </c>
      <c r="Q70">
        <f t="shared" ref="Q70" si="326">F70*P70</f>
        <v>12644859.238461539</v>
      </c>
      <c r="R70">
        <f t="shared" ref="R70" si="327">R71+Q70</f>
        <v>4978698461.4031038</v>
      </c>
      <c r="S70">
        <f t="shared" ref="S70" si="328">R70/100000</f>
        <v>49786.98461403104</v>
      </c>
      <c r="T70">
        <f t="shared" ref="T70" si="329">S70/1000</f>
        <v>49.786984614031041</v>
      </c>
    </row>
    <row r="71" spans="1:20" x14ac:dyDescent="0.25">
      <c r="A71" s="5">
        <v>44522</v>
      </c>
      <c r="B71">
        <v>0.1278</v>
      </c>
      <c r="C71">
        <v>0.13422000000000001</v>
      </c>
      <c r="D71">
        <v>0.12352</v>
      </c>
      <c r="E71">
        <v>0.12623999999999999</v>
      </c>
      <c r="F71">
        <v>253483746.30000001</v>
      </c>
      <c r="G71">
        <v>0.12623999999999999</v>
      </c>
      <c r="L71" t="s">
        <v>7</v>
      </c>
      <c r="M71" t="s">
        <v>8</v>
      </c>
      <c r="N71" t="s">
        <v>8</v>
      </c>
      <c r="P71">
        <f t="shared" ref="P71" si="330">IF(C71=D71,0,((E71-D71)-(C71-E71))/(C71-D71))</f>
        <v>-0.49158878504673159</v>
      </c>
      <c r="Q71">
        <f t="shared" ref="Q71" si="331">F71*P71</f>
        <v>-124609766.87271094</v>
      </c>
      <c r="R71">
        <f t="shared" ref="R71" si="332">R72+Q71</f>
        <v>4966053602.1646423</v>
      </c>
      <c r="S71">
        <f t="shared" ref="S71" si="333">R71/100000</f>
        <v>49660.536021646425</v>
      </c>
      <c r="T71">
        <f t="shared" ref="T71" si="334">S71/1000</f>
        <v>49.660536021646422</v>
      </c>
    </row>
    <row r="72" spans="1:20" x14ac:dyDescent="0.25">
      <c r="A72" s="5">
        <v>44521</v>
      </c>
      <c r="B72">
        <v>0.13147</v>
      </c>
      <c r="C72">
        <v>0.13668</v>
      </c>
      <c r="D72">
        <v>0.12670000000000001</v>
      </c>
      <c r="E72">
        <v>0.12773000000000001</v>
      </c>
      <c r="F72">
        <v>239803468</v>
      </c>
      <c r="G72">
        <v>0.12773000000000001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-0.79358717434869652</v>
      </c>
      <c r="Q72">
        <f t="shared" ref="Q72" si="336">F72*P72</f>
        <v>-190304956.56913808</v>
      </c>
      <c r="R72">
        <f t="shared" ref="R72" si="337">R73+Q72</f>
        <v>5090663369.0373535</v>
      </c>
      <c r="S72">
        <f t="shared" ref="S72" si="338">R72/100000</f>
        <v>50906.633690373536</v>
      </c>
      <c r="T72">
        <f t="shared" ref="T72" si="339">S72/1000</f>
        <v>50.906633690373539</v>
      </c>
    </row>
    <row r="73" spans="1:20" x14ac:dyDescent="0.25">
      <c r="A73" s="5">
        <v>44520</v>
      </c>
      <c r="B73">
        <v>0.12859999999999999</v>
      </c>
      <c r="C73">
        <v>0.13492000000000001</v>
      </c>
      <c r="D73">
        <v>0.12367</v>
      </c>
      <c r="E73">
        <v>0.13145999999999999</v>
      </c>
      <c r="F73">
        <v>214592640.30000001</v>
      </c>
      <c r="G73">
        <v>0.13145999999999999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0.38488888888888612</v>
      </c>
      <c r="Q73">
        <f t="shared" ref="Q73" si="341">F73*P73</f>
        <v>82594322.888799414</v>
      </c>
      <c r="R73">
        <f t="shared" ref="R73" si="342">R74+Q73</f>
        <v>5280968325.606492</v>
      </c>
      <c r="S73">
        <f t="shared" ref="S73" si="343">R73/100000</f>
        <v>52809.68325606492</v>
      </c>
      <c r="T73">
        <f t="shared" ref="T73" si="344">S73/1000</f>
        <v>52.809683256064922</v>
      </c>
    </row>
    <row r="74" spans="1:20" x14ac:dyDescent="0.25">
      <c r="A74" s="5">
        <v>44519</v>
      </c>
      <c r="B74">
        <v>0.123</v>
      </c>
      <c r="C74">
        <v>0.13159000000000001</v>
      </c>
      <c r="D74">
        <v>0.11469</v>
      </c>
      <c r="E74">
        <v>0.12851000000000001</v>
      </c>
      <c r="F74">
        <v>298979610.30000001</v>
      </c>
      <c r="G74">
        <v>0.12851000000000001</v>
      </c>
      <c r="L74" t="s">
        <v>7</v>
      </c>
      <c r="M74" t="s">
        <v>7</v>
      </c>
      <c r="N74" t="s">
        <v>8</v>
      </c>
      <c r="P74">
        <f t="shared" ref="P74" si="345">IF(C74=D74,0,((E74-D74)-(C74-E74))/(C74-D74))</f>
        <v>0.63550295857988204</v>
      </c>
      <c r="Q74">
        <f t="shared" ref="Q74" si="346">F74*P74</f>
        <v>190002426.9007102</v>
      </c>
      <c r="R74">
        <f t="shared" ref="R74" si="347">R75+Q74</f>
        <v>5198374002.7176924</v>
      </c>
      <c r="S74">
        <f t="shared" ref="S74" si="348">R74/100000</f>
        <v>51983.740027176922</v>
      </c>
      <c r="T74">
        <f t="shared" ref="T74" si="349">S74/1000</f>
        <v>51.983740027176921</v>
      </c>
    </row>
    <row r="75" spans="1:20" x14ac:dyDescent="0.25">
      <c r="A75" s="5">
        <v>44518</v>
      </c>
      <c r="B75">
        <v>0.13150000000000001</v>
      </c>
      <c r="C75">
        <v>0.14299000000000001</v>
      </c>
      <c r="D75">
        <v>0.12207</v>
      </c>
      <c r="E75">
        <v>0.123</v>
      </c>
      <c r="F75">
        <v>532077109</v>
      </c>
      <c r="G75">
        <v>0.123</v>
      </c>
      <c r="L75" t="s">
        <v>8</v>
      </c>
      <c r="M75" t="s">
        <v>8</v>
      </c>
      <c r="N75" t="s">
        <v>8</v>
      </c>
      <c r="P75">
        <f t="shared" ref="P75" si="350">IF(C75=D75,0,((E75-D75)-(C75-E75))/(C75-D75))</f>
        <v>-0.91108986615678778</v>
      </c>
      <c r="Q75">
        <f t="shared" ref="Q75" si="351">F75*P75</f>
        <v>-484770062.02390057</v>
      </c>
      <c r="R75">
        <f t="shared" ref="R75" si="352">R76+Q75</f>
        <v>5008371575.8169823</v>
      </c>
      <c r="S75">
        <f t="shared" ref="S75" si="353">R75/100000</f>
        <v>50083.715758169819</v>
      </c>
      <c r="T75">
        <f t="shared" ref="T75" si="354">S75/1000</f>
        <v>50.083715758169816</v>
      </c>
    </row>
    <row r="76" spans="1:20" x14ac:dyDescent="0.25">
      <c r="A76" s="5">
        <v>44517</v>
      </c>
      <c r="B76">
        <v>0.12620999999999999</v>
      </c>
      <c r="C76">
        <v>0.13549</v>
      </c>
      <c r="D76">
        <v>0.12570000000000001</v>
      </c>
      <c r="E76">
        <v>0.13153000000000001</v>
      </c>
      <c r="F76">
        <v>315723914.5</v>
      </c>
      <c r="G76">
        <v>0.13153000000000001</v>
      </c>
      <c r="L76" t="s">
        <v>8</v>
      </c>
      <c r="M76" t="s">
        <v>8</v>
      </c>
      <c r="N76" t="s">
        <v>8</v>
      </c>
      <c r="P76">
        <f t="shared" ref="P76" si="355">IF(C76=D76,0,((E76-D76)-(C76-E76))/(C76-D76))</f>
        <v>0.1910112359550574</v>
      </c>
      <c r="Q76">
        <f t="shared" ref="Q76" si="356">F76*P76</f>
        <v>60306815.12921387</v>
      </c>
      <c r="R76">
        <f t="shared" ref="R76" si="357">R77+Q76</f>
        <v>5493141637.8408833</v>
      </c>
      <c r="S76">
        <f t="shared" ref="S76" si="358">R76/100000</f>
        <v>54931.41637840883</v>
      </c>
      <c r="T76">
        <f t="shared" ref="T76" si="359">S76/1000</f>
        <v>54.931416378408834</v>
      </c>
    </row>
    <row r="77" spans="1:20" x14ac:dyDescent="0.25">
      <c r="A77" s="5">
        <v>44516</v>
      </c>
      <c r="B77">
        <v>0.13500999999999999</v>
      </c>
      <c r="C77">
        <v>0.13513</v>
      </c>
      <c r="D77">
        <v>0.11601</v>
      </c>
      <c r="E77">
        <v>0.12622</v>
      </c>
      <c r="F77">
        <v>357599844.30000001</v>
      </c>
      <c r="G77">
        <v>0.12622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6.7991631799162955E-2</v>
      </c>
      <c r="Q77">
        <f t="shared" ref="Q77" si="361">F77*P77</f>
        <v>24313796.945083603</v>
      </c>
      <c r="R77">
        <f t="shared" ref="R77" si="362">R78+Q77</f>
        <v>5432834822.711669</v>
      </c>
      <c r="S77">
        <f t="shared" ref="S77" si="363">R77/100000</f>
        <v>54328.348227116687</v>
      </c>
      <c r="T77">
        <f t="shared" ref="T77" si="364">S77/1000</f>
        <v>54.328348227116685</v>
      </c>
    </row>
    <row r="78" spans="1:20" x14ac:dyDescent="0.25">
      <c r="A78" s="5">
        <v>44515</v>
      </c>
      <c r="B78">
        <v>0.13686000000000001</v>
      </c>
      <c r="C78">
        <v>0.1515</v>
      </c>
      <c r="D78">
        <v>0.13413</v>
      </c>
      <c r="E78">
        <v>0.13500999999999999</v>
      </c>
      <c r="F78">
        <v>851767328.70000005</v>
      </c>
      <c r="G78">
        <v>0.13500999999999999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-0.89867587795049031</v>
      </c>
      <c r="Q78">
        <f t="shared" ref="Q78" si="366">F78*P78</f>
        <v>-765462751.92901635</v>
      </c>
      <c r="R78">
        <f t="shared" ref="R78" si="367">R79+Q78</f>
        <v>5408521025.7665854</v>
      </c>
      <c r="S78">
        <f t="shared" ref="S78" si="368">R78/100000</f>
        <v>54085.210257665851</v>
      </c>
      <c r="T78">
        <f t="shared" ref="T78" si="369">S78/1000</f>
        <v>54.08521025766585</v>
      </c>
    </row>
    <row r="79" spans="1:20" x14ac:dyDescent="0.25">
      <c r="A79" s="5">
        <v>44514</v>
      </c>
      <c r="B79">
        <v>0.12395</v>
      </c>
      <c r="C79">
        <v>0.15956000000000001</v>
      </c>
      <c r="D79">
        <v>0.12010999999999999</v>
      </c>
      <c r="E79">
        <v>0.13697999999999999</v>
      </c>
      <c r="F79">
        <v>1104678007</v>
      </c>
      <c r="G79">
        <v>0.13697999999999999</v>
      </c>
      <c r="L79" t="s">
        <v>8</v>
      </c>
      <c r="M79" t="s">
        <v>8</v>
      </c>
      <c r="N79" t="s">
        <v>8</v>
      </c>
      <c r="P79">
        <f t="shared" ref="P79" si="370">IF(C79=D79,0,((E79-D79)-(C79-E79))/(C79-D79))</f>
        <v>-0.1447401774397977</v>
      </c>
      <c r="Q79">
        <f t="shared" ref="Q79" si="371">F79*P79</f>
        <v>-159891290.74702209</v>
      </c>
      <c r="R79">
        <f t="shared" ref="R79" si="372">R80+Q79</f>
        <v>6173983777.6956015</v>
      </c>
      <c r="S79">
        <f t="shared" ref="S79" si="373">R79/100000</f>
        <v>61739.837776956017</v>
      </c>
      <c r="T79">
        <f t="shared" ref="T79" si="374">S79/1000</f>
        <v>61.739837776956016</v>
      </c>
    </row>
    <row r="80" spans="1:20" x14ac:dyDescent="0.25">
      <c r="A80" s="5">
        <v>44513</v>
      </c>
      <c r="B80">
        <v>0.12381</v>
      </c>
      <c r="C80">
        <v>0.13350000000000001</v>
      </c>
      <c r="D80">
        <v>0.12295</v>
      </c>
      <c r="E80">
        <v>0.12408</v>
      </c>
      <c r="F80">
        <v>264678794.30000001</v>
      </c>
      <c r="G80">
        <v>0.12408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-0.78578199052132858</v>
      </c>
      <c r="Q80">
        <f t="shared" ref="Q80" si="376">F80*P80</f>
        <v>-207979829.8338393</v>
      </c>
      <c r="R80">
        <f t="shared" ref="R80" si="377">R81+Q80</f>
        <v>6333875068.4426231</v>
      </c>
      <c r="S80">
        <f t="shared" ref="S80" si="378">R80/100000</f>
        <v>63338.750684426232</v>
      </c>
      <c r="T80">
        <f t="shared" ref="T80" si="379">S80/1000</f>
        <v>63.33875068442623</v>
      </c>
    </row>
    <row r="81" spans="1:20" x14ac:dyDescent="0.25">
      <c r="A81" s="5">
        <v>44512</v>
      </c>
      <c r="B81">
        <v>0.12</v>
      </c>
      <c r="C81">
        <v>0.1298</v>
      </c>
      <c r="D81">
        <v>0.11712</v>
      </c>
      <c r="E81">
        <v>0.12382</v>
      </c>
      <c r="F81">
        <v>417627733.19999999</v>
      </c>
      <c r="G81">
        <v>0.12382</v>
      </c>
      <c r="L81" t="s">
        <v>8</v>
      </c>
      <c r="M81" t="s">
        <v>8</v>
      </c>
      <c r="N81" t="s">
        <v>7</v>
      </c>
      <c r="P81">
        <f t="shared" ref="P81" si="380">IF(C81=D81,0,((E81-D81)-(C81-E81))/(C81-D81))</f>
        <v>5.6782334384857934E-2</v>
      </c>
      <c r="Q81">
        <f t="shared" ref="Q81" si="381">F81*P81</f>
        <v>23713877.594952635</v>
      </c>
      <c r="R81">
        <f t="shared" ref="R81" si="382">R82+Q81</f>
        <v>6541854898.2764626</v>
      </c>
      <c r="S81">
        <f t="shared" ref="S81" si="383">R81/100000</f>
        <v>65418.548982764623</v>
      </c>
      <c r="T81">
        <f t="shared" ref="T81" si="384">S81/1000</f>
        <v>65.418548982764619</v>
      </c>
    </row>
    <row r="82" spans="1:20" x14ac:dyDescent="0.25">
      <c r="A82" s="5">
        <v>44511</v>
      </c>
      <c r="B82">
        <v>0.11741</v>
      </c>
      <c r="C82">
        <v>0.12267</v>
      </c>
      <c r="D82">
        <v>0.11477</v>
      </c>
      <c r="E82">
        <v>0.12003</v>
      </c>
      <c r="F82">
        <v>172291199.59999999</v>
      </c>
      <c r="G82">
        <v>0.12003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0.33164556962025266</v>
      </c>
      <c r="Q82">
        <f t="shared" ref="Q82" si="386">F82*P82</f>
        <v>57139613.031898648</v>
      </c>
      <c r="R82">
        <f t="shared" ref="R82" si="387">R83+Q82</f>
        <v>6518141020.68151</v>
      </c>
      <c r="S82">
        <f t="shared" ref="S82" si="388">R82/100000</f>
        <v>65181.410206815097</v>
      </c>
      <c r="T82">
        <f t="shared" ref="T82" si="389">S82/1000</f>
        <v>65.181410206815102</v>
      </c>
    </row>
    <row r="83" spans="1:20" x14ac:dyDescent="0.25">
      <c r="A83" s="5">
        <v>44510</v>
      </c>
      <c r="B83">
        <v>0.12852</v>
      </c>
      <c r="C83">
        <v>0.12942000000000001</v>
      </c>
      <c r="D83">
        <v>0.106</v>
      </c>
      <c r="E83">
        <v>0.11749999999999999</v>
      </c>
      <c r="F83">
        <v>323331194.30000001</v>
      </c>
      <c r="G83">
        <v>0.11749999999999999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-1.793339026473174E-2</v>
      </c>
      <c r="Q83">
        <f t="shared" ref="Q83" si="391">F83*P83</f>
        <v>-5798424.4921437073</v>
      </c>
      <c r="R83">
        <f t="shared" ref="R83" si="392">R84+Q83</f>
        <v>6461001407.6496115</v>
      </c>
      <c r="S83">
        <f t="shared" ref="S83" si="393">R83/100000</f>
        <v>64610.014076496118</v>
      </c>
      <c r="T83">
        <f t="shared" ref="T83" si="394">S83/1000</f>
        <v>64.610014076496114</v>
      </c>
    </row>
    <row r="84" spans="1:20" x14ac:dyDescent="0.25">
      <c r="A84" s="5">
        <v>44509</v>
      </c>
      <c r="B84">
        <v>0.12869</v>
      </c>
      <c r="C84">
        <v>0.13347999999999999</v>
      </c>
      <c r="D84">
        <v>0.12431</v>
      </c>
      <c r="E84">
        <v>0.12841</v>
      </c>
      <c r="F84">
        <v>194452352.30000001</v>
      </c>
      <c r="G84">
        <v>0.12841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-0.10577971646673941</v>
      </c>
      <c r="Q84">
        <f t="shared" ref="Q84" si="396">F84*P84</f>
        <v>-20569114.692584522</v>
      </c>
      <c r="R84">
        <f t="shared" ref="R84" si="397">R85+Q84</f>
        <v>6466799832.1417551</v>
      </c>
      <c r="S84">
        <f t="shared" ref="S84" si="398">R84/100000</f>
        <v>64667.998321417552</v>
      </c>
      <c r="T84">
        <f t="shared" ref="T84" si="399">S84/1000</f>
        <v>64.667998321417556</v>
      </c>
    </row>
    <row r="85" spans="1:20" x14ac:dyDescent="0.25">
      <c r="A85" s="5">
        <v>44508</v>
      </c>
      <c r="B85">
        <v>0.12737000000000001</v>
      </c>
      <c r="C85">
        <v>0.13092999999999999</v>
      </c>
      <c r="D85">
        <v>0.12402000000000001</v>
      </c>
      <c r="E85">
        <v>0.12869</v>
      </c>
      <c r="F85">
        <v>190442934.59999999</v>
      </c>
      <c r="G85">
        <v>0.12869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0.35166425470332946</v>
      </c>
      <c r="Q85">
        <f t="shared" ref="Q85" si="401">F85*P85</f>
        <v>66971972.659623913</v>
      </c>
      <c r="R85">
        <f t="shared" ref="R85" si="402">R86+Q85</f>
        <v>6487368946.8343401</v>
      </c>
      <c r="S85">
        <f t="shared" ref="S85" si="403">R85/100000</f>
        <v>64873.6894683434</v>
      </c>
      <c r="T85">
        <f t="shared" ref="T85" si="404">S85/1000</f>
        <v>64.8736894683434</v>
      </c>
    </row>
    <row r="86" spans="1:20" x14ac:dyDescent="0.25">
      <c r="A86" s="5">
        <v>44507</v>
      </c>
      <c r="B86">
        <v>0.12903999999999999</v>
      </c>
      <c r="C86">
        <v>0.13647000000000001</v>
      </c>
      <c r="D86">
        <v>0.12647</v>
      </c>
      <c r="E86">
        <v>0.12739</v>
      </c>
      <c r="F86">
        <v>186481092.19999999</v>
      </c>
      <c r="G86">
        <v>0.12739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-0.81599999999999928</v>
      </c>
      <c r="Q86">
        <f t="shared" ref="Q86" si="406">F86*P86</f>
        <v>-152168571.23519987</v>
      </c>
      <c r="R86">
        <f t="shared" ref="R86" si="407">R87+Q86</f>
        <v>6420396974.174716</v>
      </c>
      <c r="S86">
        <f t="shared" ref="S86" si="408">R86/100000</f>
        <v>64203.969741747162</v>
      </c>
      <c r="T86">
        <f t="shared" ref="T86" si="409">S86/1000</f>
        <v>64.203969741747159</v>
      </c>
    </row>
    <row r="87" spans="1:20" x14ac:dyDescent="0.25">
      <c r="A87" s="5">
        <v>44506</v>
      </c>
      <c r="B87">
        <v>0.12719</v>
      </c>
      <c r="C87">
        <v>0.13200000000000001</v>
      </c>
      <c r="D87">
        <v>0.12012</v>
      </c>
      <c r="E87">
        <v>0.12891</v>
      </c>
      <c r="F87">
        <v>184303127.5</v>
      </c>
      <c r="G87">
        <v>0.12891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0.47979797979797828</v>
      </c>
      <c r="Q87">
        <f t="shared" ref="Q87" si="411">F87*P87</f>
        <v>88428268.244949222</v>
      </c>
      <c r="R87">
        <f t="shared" ref="R87" si="412">R88+Q87</f>
        <v>6572565545.4099159</v>
      </c>
      <c r="S87">
        <f t="shared" ref="S87" si="413">R87/100000</f>
        <v>65725.655454099164</v>
      </c>
      <c r="T87">
        <f t="shared" ref="T87" si="414">S87/1000</f>
        <v>65.725655454099169</v>
      </c>
    </row>
    <row r="88" spans="1:20" x14ac:dyDescent="0.25">
      <c r="A88" s="5">
        <v>44505</v>
      </c>
      <c r="B88">
        <v>0.12396</v>
      </c>
      <c r="C88">
        <v>0.13880999999999999</v>
      </c>
      <c r="D88">
        <v>0.12393</v>
      </c>
      <c r="E88">
        <v>0.12722</v>
      </c>
      <c r="F88">
        <v>396613699.39999998</v>
      </c>
      <c r="G88">
        <v>0.12722</v>
      </c>
      <c r="L88" t="s">
        <v>8</v>
      </c>
      <c r="M88" t="s">
        <v>7</v>
      </c>
      <c r="N88" t="s">
        <v>7</v>
      </c>
      <c r="P88">
        <f t="shared" ref="P88" si="415">IF(C88=D88,0,((E88-D88)-(C88-E88))/(C88-D88))</f>
        <v>-0.55779569892473069</v>
      </c>
      <c r="Q88">
        <f t="shared" ref="Q88" si="416">F88*P88</f>
        <v>-221229415.65994602</v>
      </c>
      <c r="R88">
        <f t="shared" ref="R88" si="417">R89+Q88</f>
        <v>6484137277.1649666</v>
      </c>
      <c r="S88">
        <f t="shared" ref="S88" si="418">R88/100000</f>
        <v>64841.372771649665</v>
      </c>
      <c r="T88">
        <f t="shared" ref="T88" si="419">S88/1000</f>
        <v>64.84137277164966</v>
      </c>
    </row>
    <row r="89" spans="1:20" x14ac:dyDescent="0.25">
      <c r="A89" s="5">
        <v>44504</v>
      </c>
      <c r="B89">
        <v>0.12794</v>
      </c>
      <c r="C89">
        <v>0.13494999999999999</v>
      </c>
      <c r="D89">
        <v>0.11902</v>
      </c>
      <c r="E89">
        <v>0.12408</v>
      </c>
      <c r="F89">
        <v>332217691.39999998</v>
      </c>
      <c r="G89">
        <v>0.12408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-0.36472065285624611</v>
      </c>
      <c r="Q89">
        <f t="shared" ref="Q89" si="421">F89*P89</f>
        <v>-121166653.2978029</v>
      </c>
      <c r="R89">
        <f t="shared" ref="R89" si="422">R90+Q89</f>
        <v>6705366692.824913</v>
      </c>
      <c r="S89">
        <f t="shared" ref="S89" si="423">R89/100000</f>
        <v>67053.666928249135</v>
      </c>
      <c r="T89">
        <f t="shared" ref="T89" si="424">S89/1000</f>
        <v>67.053666928249129</v>
      </c>
    </row>
    <row r="90" spans="1:20" x14ac:dyDescent="0.25">
      <c r="A90" s="5">
        <v>44503</v>
      </c>
      <c r="B90">
        <v>0.13950000000000001</v>
      </c>
      <c r="C90">
        <v>0.13983999999999999</v>
      </c>
      <c r="D90">
        <v>0.12216</v>
      </c>
      <c r="E90">
        <v>0.12791</v>
      </c>
      <c r="F90">
        <v>377547646.10000002</v>
      </c>
      <c r="G90">
        <v>0.12791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-0.34954751131221773</v>
      </c>
      <c r="Q90">
        <f t="shared" ref="Q90" si="426">F90*P90</f>
        <v>-131970840.09604093</v>
      </c>
      <c r="R90">
        <f t="shared" ref="R90" si="427">R91+Q90</f>
        <v>6826533346.122716</v>
      </c>
      <c r="S90">
        <f t="shared" ref="S90" si="428">R90/100000</f>
        <v>68265.333461227157</v>
      </c>
      <c r="T90">
        <f t="shared" ref="T90" si="429">S90/1000</f>
        <v>68.265333461227158</v>
      </c>
    </row>
    <row r="91" spans="1:20" x14ac:dyDescent="0.25">
      <c r="A91" s="5">
        <v>44502</v>
      </c>
      <c r="B91">
        <v>0.12042</v>
      </c>
      <c r="C91">
        <v>0.16400000000000001</v>
      </c>
      <c r="D91">
        <v>0.12038</v>
      </c>
      <c r="E91">
        <v>0.13958000000000001</v>
      </c>
      <c r="F91">
        <v>1602685116.5999999</v>
      </c>
      <c r="G91">
        <v>0.13958000000000001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-0.11966987620357607</v>
      </c>
      <c r="Q91">
        <f t="shared" ref="Q91" si="431">F91*P91</f>
        <v>-191793129.49683586</v>
      </c>
      <c r="R91">
        <f t="shared" ref="R91" si="432">R92+Q91</f>
        <v>6958504186.2187567</v>
      </c>
      <c r="S91">
        <f t="shared" ref="S91" si="433">R91/100000</f>
        <v>69585.041862187572</v>
      </c>
      <c r="T91">
        <f t="shared" ref="T91" si="434">S91/1000</f>
        <v>69.585041862187566</v>
      </c>
    </row>
    <row r="92" spans="1:20" x14ac:dyDescent="0.25">
      <c r="A92" s="5">
        <v>44501</v>
      </c>
      <c r="B92">
        <v>0.11992999999999999</v>
      </c>
      <c r="C92">
        <v>0.13225000000000001</v>
      </c>
      <c r="D92">
        <v>0.1065</v>
      </c>
      <c r="E92">
        <v>0.1205</v>
      </c>
      <c r="F92">
        <v>1385421744.3</v>
      </c>
      <c r="G92">
        <v>0.1205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8.7378640776698532E-2</v>
      </c>
      <c r="Q92">
        <f t="shared" ref="Q92" si="436">F92*P92</f>
        <v>121056268.91941679</v>
      </c>
      <c r="R92">
        <f t="shared" ref="R92" si="437">R93+Q92</f>
        <v>7150297315.7155924</v>
      </c>
      <c r="S92">
        <f t="shared" ref="S92" si="438">R92/100000</f>
        <v>71502.973157155924</v>
      </c>
      <c r="T92">
        <f t="shared" ref="T92" si="439">S92/1000</f>
        <v>71.502973157155921</v>
      </c>
    </row>
    <row r="93" spans="1:20" x14ac:dyDescent="0.25">
      <c r="A93" s="5">
        <v>44500</v>
      </c>
      <c r="B93">
        <v>9.9979999999999999E-2</v>
      </c>
      <c r="C93">
        <v>0.18206</v>
      </c>
      <c r="D93">
        <v>9.7210000000000005E-2</v>
      </c>
      <c r="E93">
        <v>0.11989</v>
      </c>
      <c r="F93">
        <v>5104872530.1000004</v>
      </c>
      <c r="G93">
        <v>0.11989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-0.46540954625810271</v>
      </c>
      <c r="Q93">
        <f t="shared" ref="Q93" si="441">F93*P93</f>
        <v>-2375856407.9392939</v>
      </c>
      <c r="R93">
        <f t="shared" ref="R93" si="442">R94+Q93</f>
        <v>7029241046.796176</v>
      </c>
      <c r="S93">
        <f t="shared" ref="S93" si="443">R93/100000</f>
        <v>70292.410467961759</v>
      </c>
      <c r="T93">
        <f t="shared" ref="T93" si="444">S93/1000</f>
        <v>70.292410467961759</v>
      </c>
    </row>
    <row r="94" spans="1:20" x14ac:dyDescent="0.25">
      <c r="A94" s="5">
        <v>44499</v>
      </c>
      <c r="B94">
        <v>9.4960000000000003E-2</v>
      </c>
      <c r="C94">
        <v>0.11675000000000001</v>
      </c>
      <c r="D94">
        <v>9.042E-2</v>
      </c>
      <c r="E94">
        <v>9.987E-2</v>
      </c>
      <c r="F94">
        <v>630256895.89999998</v>
      </c>
      <c r="G94">
        <v>9.987E-2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-0.28218761868590975</v>
      </c>
      <c r="Q94">
        <f t="shared" ref="Q94" si="446">F94*P94</f>
        <v>-177850692.61439431</v>
      </c>
      <c r="R94">
        <f t="shared" ref="R94" si="447">R95+Q94</f>
        <v>9405097454.7354698</v>
      </c>
      <c r="S94">
        <f t="shared" ref="S94" si="448">R94/100000</f>
        <v>94050.974547354694</v>
      </c>
      <c r="T94">
        <f t="shared" ref="T94" si="449">S94/1000</f>
        <v>94.050974547354699</v>
      </c>
    </row>
    <row r="95" spans="1:20" x14ac:dyDescent="0.25">
      <c r="A95" s="5">
        <v>44498</v>
      </c>
      <c r="B95">
        <v>8.8200000000000001E-2</v>
      </c>
      <c r="C95">
        <v>9.5339999999999994E-2</v>
      </c>
      <c r="D95">
        <v>8.7859999999999994E-2</v>
      </c>
      <c r="E95">
        <v>9.4960000000000003E-2</v>
      </c>
      <c r="F95">
        <v>226480267.19999999</v>
      </c>
      <c r="G95">
        <v>9.4960000000000003E-2</v>
      </c>
      <c r="L95" t="s">
        <v>7</v>
      </c>
      <c r="M95" t="s">
        <v>7</v>
      </c>
      <c r="N95" t="s">
        <v>7</v>
      </c>
      <c r="P95">
        <f t="shared" ref="P95" si="450">IF(C95=D95,0,((E95-D95)-(C95-E95))/(C95-D95))</f>
        <v>0.89839572192513595</v>
      </c>
      <c r="Q95">
        <f t="shared" ref="Q95" si="451">F95*P95</f>
        <v>203468903.15294167</v>
      </c>
      <c r="R95">
        <f t="shared" ref="R95" si="452">R96+Q95</f>
        <v>9582948147.349865</v>
      </c>
      <c r="S95">
        <f t="shared" ref="S95" si="453">R95/100000</f>
        <v>95829.481473498643</v>
      </c>
      <c r="T95">
        <f t="shared" ref="T95" si="454">S95/1000</f>
        <v>95.829481473498646</v>
      </c>
    </row>
    <row r="96" spans="1:20" x14ac:dyDescent="0.25">
      <c r="A96" s="5">
        <v>44497</v>
      </c>
      <c r="B96">
        <v>8.1449999999999995E-2</v>
      </c>
      <c r="C96">
        <v>9.5710000000000003E-2</v>
      </c>
      <c r="D96">
        <v>8.1009999999999999E-2</v>
      </c>
      <c r="E96">
        <v>8.8200000000000001E-2</v>
      </c>
      <c r="F96">
        <v>316032027.30000001</v>
      </c>
      <c r="G96">
        <v>8.8200000000000001E-2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-2.1768707482993248E-2</v>
      </c>
      <c r="Q96">
        <f t="shared" ref="Q96" si="456">F96*P96</f>
        <v>-6879608.7575510368</v>
      </c>
      <c r="R96">
        <f t="shared" ref="R96" si="457">R97+Q96</f>
        <v>9379479244.1969242</v>
      </c>
      <c r="S96">
        <f t="shared" ref="S96" si="458">R96/100000</f>
        <v>93794.792441969243</v>
      </c>
      <c r="T96">
        <f t="shared" ref="T96" si="459">S96/1000</f>
        <v>93.794792441969236</v>
      </c>
    </row>
    <row r="97" spans="1:20" x14ac:dyDescent="0.25">
      <c r="A97" s="5">
        <v>44496</v>
      </c>
      <c r="B97">
        <v>9.2009999999999995E-2</v>
      </c>
      <c r="C97">
        <v>9.2939999999999995E-2</v>
      </c>
      <c r="D97">
        <v>8.0110000000000001E-2</v>
      </c>
      <c r="E97">
        <v>8.133E-2</v>
      </c>
      <c r="F97">
        <v>224209696.30000001</v>
      </c>
      <c r="G97">
        <v>8.133E-2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-0.80982073265783328</v>
      </c>
      <c r="Q97">
        <f t="shared" ref="Q97" si="461">F97*P97</f>
        <v>-181569660.5266563</v>
      </c>
      <c r="R97">
        <f t="shared" ref="R97" si="462">R98+Q97</f>
        <v>9386358852.9544754</v>
      </c>
      <c r="S97">
        <f t="shared" ref="S97" si="463">R97/100000</f>
        <v>93863.588529544752</v>
      </c>
      <c r="T97">
        <f t="shared" ref="T97" si="464">S97/1000</f>
        <v>93.863588529544757</v>
      </c>
    </row>
    <row r="98" spans="1:20" x14ac:dyDescent="0.25">
      <c r="A98" s="5">
        <v>44495</v>
      </c>
      <c r="B98">
        <v>9.332E-2</v>
      </c>
      <c r="C98">
        <v>9.5000000000000001E-2</v>
      </c>
      <c r="D98">
        <v>9.0660000000000004E-2</v>
      </c>
      <c r="E98">
        <v>9.1980000000000006E-2</v>
      </c>
      <c r="F98">
        <v>104968812.3</v>
      </c>
      <c r="G98">
        <v>9.1980000000000006E-2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-0.39170506912442271</v>
      </c>
      <c r="Q98">
        <f t="shared" ref="Q98" si="466">F98*P98</f>
        <v>-41116815.877880052</v>
      </c>
      <c r="R98">
        <f t="shared" ref="R98" si="467">R99+Q98</f>
        <v>9567928513.4811325</v>
      </c>
      <c r="S98">
        <f t="shared" ref="S98" si="468">R98/100000</f>
        <v>95679.285134811318</v>
      </c>
      <c r="T98">
        <f t="shared" ref="T98" si="469">S98/1000</f>
        <v>95.679285134811323</v>
      </c>
    </row>
    <row r="99" spans="1:20" x14ac:dyDescent="0.25">
      <c r="A99" s="5">
        <v>44494</v>
      </c>
      <c r="B99">
        <v>9.153E-2</v>
      </c>
      <c r="C99">
        <v>9.5000000000000001E-2</v>
      </c>
      <c r="D99">
        <v>9.078E-2</v>
      </c>
      <c r="E99">
        <v>9.3200000000000005E-2</v>
      </c>
      <c r="F99">
        <v>99291816.799999997</v>
      </c>
      <c r="G99">
        <v>9.3200000000000005E-2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0.14691943127962304</v>
      </c>
      <c r="Q99">
        <f t="shared" ref="Q99" si="471">F99*P99</f>
        <v>14587897.25497652</v>
      </c>
      <c r="R99">
        <f t="shared" ref="R99" si="472">R100+Q99</f>
        <v>9609045329.3590126</v>
      </c>
      <c r="S99">
        <f t="shared" ref="S99" si="473">R99/100000</f>
        <v>96090.453293590122</v>
      </c>
      <c r="T99">
        <f t="shared" ref="T99" si="474">S99/1000</f>
        <v>96.090453293590116</v>
      </c>
    </row>
    <row r="100" spans="1:20" x14ac:dyDescent="0.25">
      <c r="A100" s="5">
        <v>44493</v>
      </c>
      <c r="B100">
        <v>9.3420000000000003E-2</v>
      </c>
      <c r="C100">
        <v>9.3600000000000003E-2</v>
      </c>
      <c r="D100">
        <v>8.8510000000000005E-2</v>
      </c>
      <c r="E100">
        <v>9.146E-2</v>
      </c>
      <c r="F100">
        <v>92471556.299999997</v>
      </c>
      <c r="G100">
        <v>9.146E-2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0.1591355599214129</v>
      </c>
      <c r="Q100">
        <f t="shared" ref="Q100" si="476">F100*P100</f>
        <v>14715512.888604956</v>
      </c>
      <c r="R100">
        <f t="shared" ref="R100" si="477">R101+Q100</f>
        <v>9594457432.1040363</v>
      </c>
      <c r="S100">
        <f t="shared" ref="S100" si="478">R100/100000</f>
        <v>95944.57432104036</v>
      </c>
      <c r="T100">
        <f t="shared" ref="T100" si="479">S100/1000</f>
        <v>95.944574321040363</v>
      </c>
    </row>
    <row r="101" spans="1:20" x14ac:dyDescent="0.25">
      <c r="A101" s="5">
        <v>44492</v>
      </c>
      <c r="B101">
        <v>9.3579999999999997E-2</v>
      </c>
      <c r="C101">
        <v>9.4399999999999998E-2</v>
      </c>
      <c r="D101">
        <v>9.1910000000000006E-2</v>
      </c>
      <c r="E101">
        <v>9.3420000000000003E-2</v>
      </c>
      <c r="F101">
        <v>53128123.700000003</v>
      </c>
      <c r="G101">
        <v>9.3420000000000003E-2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0.21285140562249172</v>
      </c>
      <c r="Q101">
        <f t="shared" ref="Q101" si="481">F101*P101</f>
        <v>11308395.807630615</v>
      </c>
      <c r="R101">
        <f t="shared" ref="R101" si="482">R102+Q101</f>
        <v>9579741919.2154312</v>
      </c>
      <c r="S101">
        <f t="shared" ref="S101" si="483">R101/100000</f>
        <v>95797.41919215431</v>
      </c>
      <c r="T101">
        <f t="shared" ref="T101" si="484">S101/1000</f>
        <v>95.797419192154308</v>
      </c>
    </row>
    <row r="102" spans="1:20" x14ac:dyDescent="0.25">
      <c r="A102" s="5">
        <v>44491</v>
      </c>
      <c r="B102">
        <v>9.3820000000000001E-2</v>
      </c>
      <c r="C102">
        <v>9.6790000000000001E-2</v>
      </c>
      <c r="D102">
        <v>9.1450000000000004E-2</v>
      </c>
      <c r="E102">
        <v>9.3579999999999997E-2</v>
      </c>
      <c r="F102">
        <v>119664826.59999999</v>
      </c>
      <c r="G102">
        <v>9.3579999999999997E-2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-0.2022471910112382</v>
      </c>
      <c r="Q102">
        <f t="shared" ref="Q102" si="486">F102*P102</f>
        <v>-24201875.042696897</v>
      </c>
      <c r="R102">
        <f t="shared" ref="R102" si="487">R103+Q102</f>
        <v>9568433523.4078007</v>
      </c>
      <c r="S102">
        <f t="shared" ref="S102" si="488">R102/100000</f>
        <v>95684.335234078011</v>
      </c>
      <c r="T102">
        <f t="shared" ref="T102" si="489">S102/1000</f>
        <v>95.684335234078006</v>
      </c>
    </row>
    <row r="103" spans="1:20" x14ac:dyDescent="0.25">
      <c r="A103" s="5">
        <v>44490</v>
      </c>
      <c r="B103">
        <v>9.7890000000000005E-2</v>
      </c>
      <c r="C103">
        <v>0.10161000000000001</v>
      </c>
      <c r="D103">
        <v>9.1520000000000004E-2</v>
      </c>
      <c r="E103">
        <v>9.3890000000000001E-2</v>
      </c>
      <c r="F103">
        <v>184227893.80000001</v>
      </c>
      <c r="G103">
        <v>9.3890000000000001E-2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-0.53022794846382626</v>
      </c>
      <c r="Q103">
        <f t="shared" ref="Q103" si="491">F103*P103</f>
        <v>-97682778.179385662</v>
      </c>
      <c r="R103">
        <f t="shared" ref="R103" si="492">R104+Q103</f>
        <v>9592635398.4504967</v>
      </c>
      <c r="S103">
        <f t="shared" ref="S103" si="493">R103/100000</f>
        <v>95926.353984504967</v>
      </c>
      <c r="T103">
        <f t="shared" ref="T103" si="494">S103/1000</f>
        <v>95.926353984504971</v>
      </c>
    </row>
    <row r="104" spans="1:20" x14ac:dyDescent="0.25">
      <c r="A104" s="5">
        <v>44489</v>
      </c>
      <c r="B104">
        <v>9.5200000000000007E-2</v>
      </c>
      <c r="C104">
        <v>9.9140000000000006E-2</v>
      </c>
      <c r="D104">
        <v>9.4909999999999994E-2</v>
      </c>
      <c r="E104">
        <v>9.7930000000000003E-2</v>
      </c>
      <c r="F104">
        <v>156104315.90000001</v>
      </c>
      <c r="G104">
        <v>9.7930000000000003E-2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0.42789598108747073</v>
      </c>
      <c r="Q104">
        <f t="shared" ref="Q104" si="496">F104*P104</f>
        <v>66796409.404018961</v>
      </c>
      <c r="R104">
        <f t="shared" ref="R104" si="497">R105+Q104</f>
        <v>9690318176.6298828</v>
      </c>
      <c r="S104">
        <f t="shared" ref="S104" si="498">R104/100000</f>
        <v>96903.181766298832</v>
      </c>
      <c r="T104">
        <f t="shared" ref="T104" si="499">S104/1000</f>
        <v>96.903181766298829</v>
      </c>
    </row>
    <row r="105" spans="1:20" x14ac:dyDescent="0.25">
      <c r="A105" s="5">
        <v>44488</v>
      </c>
      <c r="B105">
        <v>0.10281999999999999</v>
      </c>
      <c r="C105">
        <v>0.10390000000000001</v>
      </c>
      <c r="D105">
        <v>9.3659999999999993E-2</v>
      </c>
      <c r="E105">
        <v>9.5180000000000001E-2</v>
      </c>
      <c r="F105">
        <v>321305956.10000002</v>
      </c>
      <c r="G105">
        <v>9.5180000000000001E-2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-0.70312499999999889</v>
      </c>
      <c r="Q105">
        <f t="shared" ref="Q105" si="501">F105*P105</f>
        <v>-225918250.38281217</v>
      </c>
      <c r="R105">
        <f t="shared" ref="R105" si="502">R106+Q105</f>
        <v>9623521767.2258644</v>
      </c>
      <c r="S105">
        <f t="shared" ref="S105" si="503">R105/100000</f>
        <v>96235.217672258645</v>
      </c>
      <c r="T105">
        <f t="shared" ref="T105" si="504">S105/1000</f>
        <v>96.235217672258642</v>
      </c>
    </row>
    <row r="106" spans="1:20" x14ac:dyDescent="0.25">
      <c r="A106" s="5">
        <v>44487</v>
      </c>
      <c r="B106">
        <v>8.8010000000000005E-2</v>
      </c>
      <c r="C106">
        <v>0.11333</v>
      </c>
      <c r="D106">
        <v>8.7559999999999999E-2</v>
      </c>
      <c r="E106">
        <v>0.10279000000000001</v>
      </c>
      <c r="F106">
        <v>1073550983.8</v>
      </c>
      <c r="G106">
        <v>0.10279000000000001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0.181994567326349</v>
      </c>
      <c r="Q106">
        <f t="shared" ref="Q106" si="506">F106*P106</f>
        <v>195380446.79945728</v>
      </c>
      <c r="R106">
        <f t="shared" ref="R106" si="507">R107+Q106</f>
        <v>9849440017.6086769</v>
      </c>
      <c r="S106">
        <f t="shared" ref="S106" si="508">R106/100000</f>
        <v>98494.400176086769</v>
      </c>
      <c r="T106">
        <f t="shared" ref="T106" si="509">S106/1000</f>
        <v>98.494400176086771</v>
      </c>
    </row>
    <row r="107" spans="1:20" x14ac:dyDescent="0.25">
      <c r="A107" s="5">
        <v>44486</v>
      </c>
      <c r="B107">
        <v>9.0279999999999999E-2</v>
      </c>
      <c r="C107">
        <v>9.1499999999999998E-2</v>
      </c>
      <c r="D107">
        <v>8.5349999999999995E-2</v>
      </c>
      <c r="E107">
        <v>8.7800000000000003E-2</v>
      </c>
      <c r="F107">
        <v>76197965.700000003</v>
      </c>
      <c r="G107">
        <v>8.7800000000000003E-2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-0.20325203252032303</v>
      </c>
      <c r="Q107">
        <f t="shared" ref="Q107" si="511">F107*P107</f>
        <v>-15487391.40243886</v>
      </c>
      <c r="R107">
        <f t="shared" ref="R107" si="512">R108+Q107</f>
        <v>9654059570.8092194</v>
      </c>
      <c r="S107">
        <f t="shared" ref="S107" si="513">R107/100000</f>
        <v>96540.595708092194</v>
      </c>
      <c r="T107">
        <f t="shared" ref="T107" si="514">S107/1000</f>
        <v>96.540595708092198</v>
      </c>
    </row>
    <row r="108" spans="1:20" x14ac:dyDescent="0.25">
      <c r="A108" s="5">
        <v>44485</v>
      </c>
      <c r="B108">
        <v>9.0219999999999995E-2</v>
      </c>
      <c r="C108">
        <v>9.3399999999999997E-2</v>
      </c>
      <c r="D108">
        <v>8.9179999999999995E-2</v>
      </c>
      <c r="E108">
        <v>9.0310000000000001E-2</v>
      </c>
      <c r="F108">
        <v>126168976.90000001</v>
      </c>
      <c r="G108">
        <v>9.0310000000000001E-2</v>
      </c>
      <c r="L108" t="s">
        <v>8</v>
      </c>
      <c r="M108" t="s">
        <v>7</v>
      </c>
      <c r="N108" t="s">
        <v>7</v>
      </c>
      <c r="P108">
        <f t="shared" ref="P108" si="515">IF(C108=D108,0,((E108-D108)-(C108-E108))/(C108-D108))</f>
        <v>-0.46445497630331489</v>
      </c>
      <c r="Q108">
        <f t="shared" ref="Q108" si="516">F108*P108</f>
        <v>-58599809.176302984</v>
      </c>
      <c r="R108">
        <f t="shared" ref="R108" si="517">R109+Q108</f>
        <v>9669546962.2116585</v>
      </c>
      <c r="S108">
        <f t="shared" ref="S108" si="518">R108/100000</f>
        <v>96695.46962211658</v>
      </c>
      <c r="T108">
        <f t="shared" ref="T108" si="519">S108/1000</f>
        <v>96.695469622116576</v>
      </c>
    </row>
    <row r="109" spans="1:20" x14ac:dyDescent="0.25">
      <c r="A109" s="5">
        <v>44484</v>
      </c>
      <c r="B109">
        <v>9.1340000000000005E-2</v>
      </c>
      <c r="C109">
        <v>9.1999999999999998E-2</v>
      </c>
      <c r="D109">
        <v>8.4809999999999997E-2</v>
      </c>
      <c r="E109">
        <v>9.0149999999999994E-2</v>
      </c>
      <c r="F109">
        <v>154952974.59999999</v>
      </c>
      <c r="G109">
        <v>9.0149999999999994E-2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0.48539638386648015</v>
      </c>
      <c r="Q109">
        <f t="shared" ref="Q109" si="521">F109*P109</f>
        <v>75213613.540194541</v>
      </c>
      <c r="R109">
        <f t="shared" ref="R109" si="522">R110+Q109</f>
        <v>9728146771.3879623</v>
      </c>
      <c r="S109">
        <f t="shared" ref="S109" si="523">R109/100000</f>
        <v>97281.467713879625</v>
      </c>
      <c r="T109">
        <f t="shared" ref="T109" si="524">S109/1000</f>
        <v>97.281467713879621</v>
      </c>
    </row>
    <row r="110" spans="1:20" x14ac:dyDescent="0.25">
      <c r="A110" s="5">
        <v>44483</v>
      </c>
      <c r="B110">
        <v>8.7840000000000001E-2</v>
      </c>
      <c r="C110">
        <v>9.4390000000000002E-2</v>
      </c>
      <c r="D110">
        <v>8.7359999999999993E-2</v>
      </c>
      <c r="E110">
        <v>9.1259999999999994E-2</v>
      </c>
      <c r="F110">
        <v>134738850.40000001</v>
      </c>
      <c r="G110">
        <v>9.1259999999999994E-2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0.1095305832147926</v>
      </c>
      <c r="Q110">
        <f t="shared" ref="Q110" si="526">F110*P110</f>
        <v>14758024.866002692</v>
      </c>
      <c r="R110">
        <f t="shared" ref="R110" si="527">R111+Q110</f>
        <v>9652933157.8477669</v>
      </c>
      <c r="S110">
        <f t="shared" ref="S110" si="528">R110/100000</f>
        <v>96529.331578477664</v>
      </c>
      <c r="T110">
        <f t="shared" ref="T110" si="529">S110/1000</f>
        <v>96.529331578477667</v>
      </c>
    </row>
    <row r="111" spans="1:20" x14ac:dyDescent="0.25">
      <c r="A111" s="5">
        <v>44482</v>
      </c>
      <c r="B111">
        <v>8.5389999999999994E-2</v>
      </c>
      <c r="C111">
        <v>8.7889999999999996E-2</v>
      </c>
      <c r="D111">
        <v>8.3610000000000004E-2</v>
      </c>
      <c r="E111">
        <v>8.7840000000000001E-2</v>
      </c>
      <c r="F111">
        <v>71336176.200000003</v>
      </c>
      <c r="G111">
        <v>8.7840000000000001E-2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0.97663551401869408</v>
      </c>
      <c r="Q111">
        <f t="shared" ref="Q111" si="531">F111*P111</f>
        <v>69669443.111215129</v>
      </c>
      <c r="R111">
        <f t="shared" ref="R111" si="532">R112+Q111</f>
        <v>9638175132.9817638</v>
      </c>
      <c r="S111">
        <f t="shared" ref="S111" si="533">R111/100000</f>
        <v>96381.751329817635</v>
      </c>
      <c r="T111">
        <f t="shared" ref="T111" si="534">S111/1000</f>
        <v>96.381751329817632</v>
      </c>
    </row>
    <row r="112" spans="1:20" x14ac:dyDescent="0.25">
      <c r="A112" s="5">
        <v>44481</v>
      </c>
      <c r="B112">
        <v>8.8739999999999999E-2</v>
      </c>
      <c r="C112">
        <v>8.8760000000000006E-2</v>
      </c>
      <c r="D112">
        <v>8.1479999999999997E-2</v>
      </c>
      <c r="E112">
        <v>8.5269999999999999E-2</v>
      </c>
      <c r="F112">
        <v>95581938.900000006</v>
      </c>
      <c r="G112">
        <v>8.5269999999999999E-2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4.1208791208790431E-2</v>
      </c>
      <c r="Q112">
        <f t="shared" ref="Q112" si="536">F112*P112</f>
        <v>3938816.1634614645</v>
      </c>
      <c r="R112">
        <f t="shared" ref="R112" si="537">R113+Q112</f>
        <v>9568505689.8705482</v>
      </c>
      <c r="S112">
        <f t="shared" ref="S112" si="538">R112/100000</f>
        <v>95685.056898705487</v>
      </c>
      <c r="T112">
        <f t="shared" ref="T112" si="539">S112/1000</f>
        <v>95.685056898705483</v>
      </c>
    </row>
    <row r="113" spans="1:20" x14ac:dyDescent="0.25">
      <c r="A113" s="5">
        <v>44480</v>
      </c>
      <c r="B113">
        <v>9.0509999999999993E-2</v>
      </c>
      <c r="C113">
        <v>9.2369999999999994E-2</v>
      </c>
      <c r="D113">
        <v>8.6040000000000005E-2</v>
      </c>
      <c r="E113">
        <v>8.8700000000000001E-2</v>
      </c>
      <c r="F113">
        <v>81259490.5</v>
      </c>
      <c r="G113">
        <v>8.8700000000000001E-2</v>
      </c>
      <c r="L113" t="s">
        <v>7</v>
      </c>
      <c r="M113" t="s">
        <v>8</v>
      </c>
      <c r="N113" t="s">
        <v>7</v>
      </c>
      <c r="P113">
        <f t="shared" ref="P113" si="540">IF(C113=D113,0,((E113-D113)-(C113-E113))/(C113-D113))</f>
        <v>-0.15955766192732998</v>
      </c>
      <c r="Q113">
        <f t="shared" ref="Q113" si="541">F113*P113</f>
        <v>-12965574.313586082</v>
      </c>
      <c r="R113">
        <f t="shared" ref="R113" si="542">R114+Q113</f>
        <v>9564566873.7070866</v>
      </c>
      <c r="S113">
        <f t="shared" ref="S113" si="543">R113/100000</f>
        <v>95645.668737070868</v>
      </c>
      <c r="T113">
        <f t="shared" ref="T113" si="544">S113/1000</f>
        <v>95.645668737070864</v>
      </c>
    </row>
    <row r="114" spans="1:20" x14ac:dyDescent="0.25">
      <c r="A114" s="5">
        <v>44479</v>
      </c>
      <c r="B114">
        <v>9.2730000000000007E-2</v>
      </c>
      <c r="C114">
        <v>9.4200000000000006E-2</v>
      </c>
      <c r="D114">
        <v>8.9810000000000001E-2</v>
      </c>
      <c r="E114">
        <v>9.0620000000000006E-2</v>
      </c>
      <c r="F114">
        <v>86937375</v>
      </c>
      <c r="G114">
        <v>9.0620000000000006E-2</v>
      </c>
      <c r="L114" t="s">
        <v>8</v>
      </c>
      <c r="M114" t="s">
        <v>8</v>
      </c>
      <c r="N114" t="s">
        <v>7</v>
      </c>
      <c r="P114">
        <f t="shared" ref="P114" si="545">IF(C114=D114,0,((E114-D114)-(C114-E114))/(C114-D114))</f>
        <v>-0.63097949886104587</v>
      </c>
      <c r="Q114">
        <f t="shared" ref="Q114" si="546">F114*P114</f>
        <v>-54855701.309794821</v>
      </c>
      <c r="R114">
        <f t="shared" ref="R114" si="547">R115+Q114</f>
        <v>9577532448.0206718</v>
      </c>
      <c r="S114">
        <f t="shared" ref="S114" si="548">R114/100000</f>
        <v>95775.32448020672</v>
      </c>
      <c r="T114">
        <f t="shared" ref="T114" si="549">S114/1000</f>
        <v>95.77532448020672</v>
      </c>
    </row>
    <row r="115" spans="1:20" x14ac:dyDescent="0.25">
      <c r="A115" s="5">
        <v>44478</v>
      </c>
      <c r="B115">
        <v>9.3600000000000003E-2</v>
      </c>
      <c r="C115">
        <v>9.6339999999999995E-2</v>
      </c>
      <c r="D115">
        <v>9.1630000000000003E-2</v>
      </c>
      <c r="E115">
        <v>9.2749999999999999E-2</v>
      </c>
      <c r="F115">
        <v>113323825</v>
      </c>
      <c r="G115">
        <v>9.2749999999999999E-2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-0.52441613588110492</v>
      </c>
      <c r="Q115">
        <f t="shared" ref="Q115" si="551">F115*P115</f>
        <v>-59428842.409766555</v>
      </c>
      <c r="R115">
        <f t="shared" ref="R115" si="552">R116+Q115</f>
        <v>9632388149.3304672</v>
      </c>
      <c r="S115">
        <f t="shared" ref="S115" si="553">R115/100000</f>
        <v>96323.881493304667</v>
      </c>
      <c r="T115">
        <f t="shared" ref="T115" si="554">S115/1000</f>
        <v>96.323881493304668</v>
      </c>
    </row>
    <row r="116" spans="1:20" x14ac:dyDescent="0.25">
      <c r="A116" s="5">
        <v>44477</v>
      </c>
      <c r="B116">
        <v>8.9899999999999994E-2</v>
      </c>
      <c r="C116">
        <v>9.6589999999999995E-2</v>
      </c>
      <c r="D116">
        <v>8.8739999999999999E-2</v>
      </c>
      <c r="E116">
        <v>9.35E-2</v>
      </c>
      <c r="F116">
        <v>215671407.59999999</v>
      </c>
      <c r="G116">
        <v>9.35E-2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0.21273885350318544</v>
      </c>
      <c r="Q116">
        <f t="shared" ref="Q116" si="556">F116*P116</f>
        <v>45881687.986242197</v>
      </c>
      <c r="R116">
        <f t="shared" ref="R116" si="557">R117+Q116</f>
        <v>9691816991.7402344</v>
      </c>
      <c r="S116">
        <f t="shared" ref="S116" si="558">R116/100000</f>
        <v>96918.169917402338</v>
      </c>
      <c r="T116">
        <f t="shared" ref="T116" si="559">S116/1000</f>
        <v>96.918169917402338</v>
      </c>
    </row>
    <row r="117" spans="1:20" x14ac:dyDescent="0.25">
      <c r="A117" s="5">
        <v>44476</v>
      </c>
      <c r="B117">
        <v>8.8590000000000002E-2</v>
      </c>
      <c r="C117">
        <v>9.0090000000000003E-2</v>
      </c>
      <c r="D117">
        <v>8.5129999999999997E-2</v>
      </c>
      <c r="E117">
        <v>8.9899999999999994E-2</v>
      </c>
      <c r="F117">
        <v>135824781.69999999</v>
      </c>
      <c r="G117">
        <v>8.9899999999999994E-2</v>
      </c>
      <c r="L117" t="s">
        <v>7</v>
      </c>
      <c r="M117" t="s">
        <v>8</v>
      </c>
      <c r="N117" t="s">
        <v>7</v>
      </c>
      <c r="P117">
        <f t="shared" ref="P117" si="560">IF(C117=D117,0,((E117-D117)-(C117-E117))/(C117-D117))</f>
        <v>0.92338709677418973</v>
      </c>
      <c r="Q117">
        <f t="shared" ref="Q117" si="561">F117*P117</f>
        <v>125418850.84395108</v>
      </c>
      <c r="R117">
        <f t="shared" ref="R117" si="562">R118+Q117</f>
        <v>9645935303.7539921</v>
      </c>
      <c r="S117">
        <f t="shared" ref="S117" si="563">R117/100000</f>
        <v>96459.353037539928</v>
      </c>
      <c r="T117">
        <f t="shared" ref="T117" si="564">S117/1000</f>
        <v>96.459353037539927</v>
      </c>
    </row>
    <row r="118" spans="1:20" x14ac:dyDescent="0.25">
      <c r="A118" s="5">
        <v>44475</v>
      </c>
      <c r="B118">
        <v>9.2499999999999999E-2</v>
      </c>
      <c r="C118">
        <v>9.3350000000000002E-2</v>
      </c>
      <c r="D118">
        <v>8.4870000000000001E-2</v>
      </c>
      <c r="E118">
        <v>8.8599999999999998E-2</v>
      </c>
      <c r="F118">
        <v>179649727.59999999</v>
      </c>
      <c r="G118">
        <v>8.8599999999999998E-2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-0.12028301886792533</v>
      </c>
      <c r="Q118">
        <f t="shared" ref="Q118" si="566">F118*P118</f>
        <v>-21608811.574528445</v>
      </c>
      <c r="R118">
        <f t="shared" ref="R118" si="567">R119+Q118</f>
        <v>9520516452.9100418</v>
      </c>
      <c r="S118">
        <f t="shared" ref="S118" si="568">R118/100000</f>
        <v>95205.164529100424</v>
      </c>
      <c r="T118">
        <f t="shared" ref="T118" si="569">S118/1000</f>
        <v>95.205164529100429</v>
      </c>
    </row>
    <row r="119" spans="1:20" x14ac:dyDescent="0.25">
      <c r="A119" s="5">
        <v>44474</v>
      </c>
      <c r="B119">
        <v>8.276E-2</v>
      </c>
      <c r="C119">
        <v>9.3130000000000004E-2</v>
      </c>
      <c r="D119">
        <v>8.1799999999999998E-2</v>
      </c>
      <c r="E119">
        <v>9.2460000000000001E-2</v>
      </c>
      <c r="F119">
        <v>218690572.30000001</v>
      </c>
      <c r="G119">
        <v>9.2460000000000001E-2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0.88172992056487143</v>
      </c>
      <c r="Q119">
        <f t="shared" ref="Q119" si="571">F119*P119</f>
        <v>192826020.94236529</v>
      </c>
      <c r="R119">
        <f t="shared" ref="R119" si="572">R120+Q119</f>
        <v>9542125264.4845695</v>
      </c>
      <c r="S119">
        <f t="shared" ref="S119" si="573">R119/100000</f>
        <v>95421.252644845692</v>
      </c>
      <c r="T119">
        <f t="shared" ref="T119" si="574">S119/1000</f>
        <v>95.421252644845694</v>
      </c>
    </row>
    <row r="120" spans="1:20" x14ac:dyDescent="0.25">
      <c r="A120" s="5">
        <v>44473</v>
      </c>
      <c r="B120">
        <v>8.6379999999999998E-2</v>
      </c>
      <c r="C120">
        <v>8.6410000000000001E-2</v>
      </c>
      <c r="D120">
        <v>8.0149999999999999E-2</v>
      </c>
      <c r="E120">
        <v>8.2930000000000004E-2</v>
      </c>
      <c r="F120">
        <v>82955286.799999997</v>
      </c>
      <c r="G120">
        <v>8.2930000000000004E-2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-0.11182108626197956</v>
      </c>
      <c r="Q120">
        <f t="shared" ref="Q120" si="576">F120*P120</f>
        <v>-9276150.2811500542</v>
      </c>
      <c r="R120">
        <f t="shared" ref="R120" si="577">R121+Q120</f>
        <v>9349299243.5422039</v>
      </c>
      <c r="S120">
        <f t="shared" ref="S120" si="578">R120/100000</f>
        <v>93492.992435422042</v>
      </c>
      <c r="T120">
        <f t="shared" ref="T120" si="579">S120/1000</f>
        <v>93.492992435422039</v>
      </c>
    </row>
    <row r="121" spans="1:20" x14ac:dyDescent="0.25">
      <c r="A121" s="5">
        <v>44472</v>
      </c>
      <c r="B121">
        <v>8.4959999999999994E-2</v>
      </c>
      <c r="C121">
        <v>8.8139999999999996E-2</v>
      </c>
      <c r="D121">
        <v>8.3599999999999994E-2</v>
      </c>
      <c r="E121">
        <v>8.6150000000000004E-2</v>
      </c>
      <c r="F121">
        <v>68129828.599999994</v>
      </c>
      <c r="G121">
        <v>8.6150000000000004E-2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0.12334801762114946</v>
      </c>
      <c r="Q121">
        <f t="shared" ref="Q121" si="581">F121*P121</f>
        <v>8403679.2986786906</v>
      </c>
      <c r="R121">
        <f t="shared" ref="R121" si="582">R122+Q121</f>
        <v>9358575393.8233547</v>
      </c>
      <c r="S121">
        <f t="shared" ref="S121" si="583">R121/100000</f>
        <v>93585.753938233553</v>
      </c>
      <c r="T121">
        <f t="shared" ref="T121" si="584">S121/1000</f>
        <v>93.585753938233552</v>
      </c>
    </row>
    <row r="122" spans="1:20" x14ac:dyDescent="0.25">
      <c r="A122" s="5">
        <v>44471</v>
      </c>
      <c r="B122">
        <v>8.4919999999999995E-2</v>
      </c>
      <c r="C122">
        <v>8.8090000000000002E-2</v>
      </c>
      <c r="D122">
        <v>8.2600000000000007E-2</v>
      </c>
      <c r="E122">
        <v>8.5000000000000006E-2</v>
      </c>
      <c r="F122">
        <v>82061389.5</v>
      </c>
      <c r="G122">
        <v>8.5000000000000006E-2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-0.12568306010928904</v>
      </c>
      <c r="Q122">
        <f t="shared" ref="Q122" si="586">F122*P122</f>
        <v>-10313726.54918028</v>
      </c>
      <c r="R122">
        <f t="shared" ref="R122" si="587">R123+Q122</f>
        <v>9350171714.5246754</v>
      </c>
      <c r="S122">
        <f t="shared" ref="S122" si="588">R122/100000</f>
        <v>93501.717145246759</v>
      </c>
      <c r="T122">
        <f t="shared" ref="T122" si="589">S122/1000</f>
        <v>93.501717145246758</v>
      </c>
    </row>
    <row r="123" spans="1:20" x14ac:dyDescent="0.25">
      <c r="A123" s="5">
        <v>44470</v>
      </c>
      <c r="B123">
        <v>7.9320000000000002E-2</v>
      </c>
      <c r="C123">
        <v>8.5190000000000002E-2</v>
      </c>
      <c r="D123">
        <v>7.8829999999999997E-2</v>
      </c>
      <c r="E123">
        <v>8.4970000000000004E-2</v>
      </c>
      <c r="F123">
        <v>128468860.3</v>
      </c>
      <c r="G123">
        <v>8.4970000000000004E-2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0.93081761006289376</v>
      </c>
      <c r="Q123">
        <f t="shared" ref="Q123" si="591">F123*P123</f>
        <v>119581077.51194978</v>
      </c>
      <c r="R123">
        <f t="shared" ref="R123" si="592">R124+Q123</f>
        <v>9360485441.0738564</v>
      </c>
      <c r="S123">
        <f t="shared" ref="S123" si="593">R123/100000</f>
        <v>93604.854410738568</v>
      </c>
      <c r="T123">
        <f t="shared" ref="T123" si="594">S123/1000</f>
        <v>93.604854410738568</v>
      </c>
    </row>
    <row r="124" spans="1:20" x14ac:dyDescent="0.25">
      <c r="A124" s="5">
        <v>44469</v>
      </c>
      <c r="B124">
        <v>7.4660000000000004E-2</v>
      </c>
      <c r="C124">
        <v>8.2150000000000001E-2</v>
      </c>
      <c r="D124">
        <v>7.4200000000000002E-2</v>
      </c>
      <c r="E124">
        <v>7.9299999999999995E-2</v>
      </c>
      <c r="F124">
        <v>110559067.09999999</v>
      </c>
      <c r="G124">
        <v>7.9299999999999995E-2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0.28301886792452685</v>
      </c>
      <c r="Q124">
        <f t="shared" ref="Q124" si="596">F124*P124</f>
        <v>31290302.009433798</v>
      </c>
      <c r="R124">
        <f t="shared" ref="R124" si="597">R125+Q124</f>
        <v>9240904363.5619068</v>
      </c>
      <c r="S124">
        <f t="shared" ref="S124" si="598">R124/100000</f>
        <v>92409.043635619062</v>
      </c>
      <c r="T124">
        <f t="shared" ref="T124" si="599">S124/1000</f>
        <v>92.409043635619057</v>
      </c>
    </row>
    <row r="125" spans="1:20" x14ac:dyDescent="0.25">
      <c r="A125" s="5">
        <v>44468</v>
      </c>
      <c r="B125">
        <v>7.4029999999999999E-2</v>
      </c>
      <c r="C125">
        <v>7.8670000000000004E-2</v>
      </c>
      <c r="D125">
        <v>7.288E-2</v>
      </c>
      <c r="E125">
        <v>7.4609999999999996E-2</v>
      </c>
      <c r="F125">
        <v>48028078.200000003</v>
      </c>
      <c r="G125">
        <v>7.4609999999999996E-2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-0.40241796200345614</v>
      </c>
      <c r="Q125">
        <f t="shared" ref="Q125" si="601">F125*P125</f>
        <v>-19327361.348186623</v>
      </c>
      <c r="R125">
        <f t="shared" ref="R125" si="602">R126+Q125</f>
        <v>9209614061.5524731</v>
      </c>
      <c r="S125">
        <f t="shared" ref="S125" si="603">R125/100000</f>
        <v>92096.140615524724</v>
      </c>
      <c r="T125">
        <f t="shared" ref="T125" si="604">S125/1000</f>
        <v>92.096140615524718</v>
      </c>
    </row>
    <row r="126" spans="1:20" x14ac:dyDescent="0.25">
      <c r="A126" s="5">
        <v>44467</v>
      </c>
      <c r="B126">
        <v>7.5310000000000002E-2</v>
      </c>
      <c r="C126">
        <v>7.8960000000000002E-2</v>
      </c>
      <c r="D126">
        <v>7.3349999999999999E-2</v>
      </c>
      <c r="E126">
        <v>7.4120000000000005E-2</v>
      </c>
      <c r="F126">
        <v>66361384.100000001</v>
      </c>
      <c r="G126">
        <v>7.4120000000000005E-2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-0.72549019607842913</v>
      </c>
      <c r="Q126">
        <f t="shared" ref="Q126" si="606">F126*P126</f>
        <v>-48144533.562744953</v>
      </c>
      <c r="R126">
        <f t="shared" ref="R126" si="607">R127+Q126</f>
        <v>9228941422.9006596</v>
      </c>
      <c r="S126">
        <f t="shared" ref="S126" si="608">R126/100000</f>
        <v>92289.414229006594</v>
      </c>
      <c r="T126">
        <f t="shared" ref="T126" si="609">S126/1000</f>
        <v>92.289414229006596</v>
      </c>
    </row>
    <row r="127" spans="1:20" x14ac:dyDescent="0.25">
      <c r="A127" s="5">
        <v>44466</v>
      </c>
      <c r="B127">
        <v>7.8759999999999997E-2</v>
      </c>
      <c r="C127">
        <v>8.1299999999999997E-2</v>
      </c>
      <c r="D127">
        <v>7.5259999999999994E-2</v>
      </c>
      <c r="E127">
        <v>7.5329999999999994E-2</v>
      </c>
      <c r="F127">
        <v>54355248.899999999</v>
      </c>
      <c r="G127">
        <v>7.5329999999999994E-2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-0.9768211920529799</v>
      </c>
      <c r="Q127">
        <f t="shared" ref="Q127" si="611">F127*P127</f>
        <v>-53095359.024834424</v>
      </c>
      <c r="R127">
        <f t="shared" ref="R127" si="612">R128+Q127</f>
        <v>9277085956.4634037</v>
      </c>
      <c r="S127">
        <f t="shared" ref="S127" si="613">R127/100000</f>
        <v>92770.85956463404</v>
      </c>
      <c r="T127">
        <f t="shared" ref="T127" si="614">S127/1000</f>
        <v>92.770859564634037</v>
      </c>
    </row>
    <row r="128" spans="1:20" x14ac:dyDescent="0.25">
      <c r="A128" s="5">
        <v>44465</v>
      </c>
      <c r="B128">
        <v>8.0860000000000001E-2</v>
      </c>
      <c r="C128">
        <v>8.0869999999999997E-2</v>
      </c>
      <c r="D128">
        <v>7.3300000000000004E-2</v>
      </c>
      <c r="E128">
        <v>7.8979999999999995E-2</v>
      </c>
      <c r="F128">
        <v>74040106</v>
      </c>
      <c r="G128">
        <v>7.8979999999999995E-2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0.5006605019815048</v>
      </c>
      <c r="Q128">
        <f t="shared" ref="Q128" si="616">F128*P128</f>
        <v>37068956.636723824</v>
      </c>
      <c r="R128">
        <f t="shared" ref="R128" si="617">R129+Q128</f>
        <v>9330181315.4882374</v>
      </c>
      <c r="S128">
        <f t="shared" ref="S128" si="618">R128/100000</f>
        <v>93301.813154882373</v>
      </c>
      <c r="T128">
        <f t="shared" ref="T128" si="619">S128/1000</f>
        <v>93.301813154882367</v>
      </c>
    </row>
    <row r="129" spans="1:20" x14ac:dyDescent="0.25">
      <c r="A129" s="5">
        <v>44464</v>
      </c>
      <c r="B129">
        <v>8.1170000000000006E-2</v>
      </c>
      <c r="C129">
        <v>8.3510000000000001E-2</v>
      </c>
      <c r="D129">
        <v>7.8890000000000002E-2</v>
      </c>
      <c r="E129">
        <v>8.0879999999999994E-2</v>
      </c>
      <c r="F129">
        <v>77499135.299999997</v>
      </c>
      <c r="G129">
        <v>8.0879999999999994E-2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-0.13852813852814191</v>
      </c>
      <c r="Q129">
        <f t="shared" ref="Q129" si="621">F129*P129</f>
        <v>-10735810.950649614</v>
      </c>
      <c r="R129">
        <f t="shared" ref="R129" si="622">R130+Q129</f>
        <v>9293112358.8515129</v>
      </c>
      <c r="S129">
        <f t="shared" ref="S129" si="623">R129/100000</f>
        <v>92931.123588515125</v>
      </c>
      <c r="T129">
        <f t="shared" ref="T129" si="624">S129/1000</f>
        <v>92.931123588515121</v>
      </c>
    </row>
    <row r="130" spans="1:20" x14ac:dyDescent="0.25">
      <c r="A130" s="5">
        <v>44463</v>
      </c>
      <c r="B130">
        <v>8.7580000000000005E-2</v>
      </c>
      <c r="C130">
        <v>8.8029999999999997E-2</v>
      </c>
      <c r="D130">
        <v>7.5300000000000006E-2</v>
      </c>
      <c r="E130">
        <v>8.1199999999999994E-2</v>
      </c>
      <c r="F130">
        <v>104250305</v>
      </c>
      <c r="G130">
        <v>8.1199999999999994E-2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-7.3055773762766285E-2</v>
      </c>
      <c r="Q130">
        <f t="shared" ref="Q130" si="626">F130*P130</f>
        <v>-7616086.6967793824</v>
      </c>
      <c r="R130">
        <f t="shared" ref="R130" si="627">R131+Q130</f>
        <v>9303848169.8021622</v>
      </c>
      <c r="S130">
        <f t="shared" ref="S130" si="628">R130/100000</f>
        <v>93038.481698021627</v>
      </c>
      <c r="T130">
        <f t="shared" ref="T130" si="629">S130/1000</f>
        <v>93.038481698021627</v>
      </c>
    </row>
    <row r="131" spans="1:20" x14ac:dyDescent="0.25">
      <c r="A131" s="5">
        <v>44462</v>
      </c>
      <c r="B131">
        <v>8.6069999999999994E-2</v>
      </c>
      <c r="C131">
        <v>8.8660000000000003E-2</v>
      </c>
      <c r="D131">
        <v>8.226E-2</v>
      </c>
      <c r="E131">
        <v>8.7650000000000006E-2</v>
      </c>
      <c r="F131">
        <v>176144867.59999999</v>
      </c>
      <c r="G131">
        <v>8.7650000000000006E-2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0.68437500000000107</v>
      </c>
      <c r="Q131">
        <f t="shared" ref="Q131" si="631">F131*P131</f>
        <v>120549143.76375018</v>
      </c>
      <c r="R131">
        <f t="shared" ref="R131" si="632">R132+Q131</f>
        <v>9311464256.4989414</v>
      </c>
      <c r="S131">
        <f t="shared" ref="S131" si="633">R131/100000</f>
        <v>93114.642564989408</v>
      </c>
      <c r="T131">
        <f t="shared" ref="T131" si="634">S131/1000</f>
        <v>93.11464256498941</v>
      </c>
    </row>
    <row r="132" spans="1:20" x14ac:dyDescent="0.25">
      <c r="A132" s="5">
        <v>44461</v>
      </c>
      <c r="B132">
        <v>7.6969999999999997E-2</v>
      </c>
      <c r="C132">
        <v>8.8550000000000004E-2</v>
      </c>
      <c r="D132">
        <v>7.4800000000000005E-2</v>
      </c>
      <c r="E132">
        <v>8.6190000000000003E-2</v>
      </c>
      <c r="F132">
        <v>74066711.599999994</v>
      </c>
      <c r="G132">
        <v>8.6190000000000003E-2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0.65672727272727249</v>
      </c>
      <c r="Q132">
        <f t="shared" ref="Q132" si="636">F132*P132</f>
        <v>48641629.508945435</v>
      </c>
      <c r="R132">
        <f t="shared" ref="R132" si="637">R133+Q132</f>
        <v>9190915112.7351913</v>
      </c>
      <c r="S132">
        <f t="shared" ref="S132" si="638">R132/100000</f>
        <v>91909.151127351914</v>
      </c>
      <c r="T132">
        <f t="shared" ref="T132" si="639">S132/1000</f>
        <v>91.909151127351919</v>
      </c>
    </row>
    <row r="133" spans="1:20" x14ac:dyDescent="0.25">
      <c r="A133" s="5">
        <v>44460</v>
      </c>
      <c r="B133">
        <v>8.0879999999999994E-2</v>
      </c>
      <c r="C133">
        <v>8.5169999999999996E-2</v>
      </c>
      <c r="D133">
        <v>7.4740000000000001E-2</v>
      </c>
      <c r="E133">
        <v>7.7219999999999997E-2</v>
      </c>
      <c r="F133">
        <v>106519948.2</v>
      </c>
      <c r="G133">
        <v>7.7219999999999997E-2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-0.52444870565675983</v>
      </c>
      <c r="Q133">
        <f t="shared" ref="Q133" si="641">F133*P133</f>
        <v>-55864248.960115105</v>
      </c>
      <c r="R133">
        <f t="shared" ref="R133" si="642">R134+Q133</f>
        <v>9142273483.2262459</v>
      </c>
      <c r="S133">
        <f t="shared" ref="S133" si="643">R133/100000</f>
        <v>91422.73483226246</v>
      </c>
      <c r="T133">
        <f t="shared" ref="T133" si="644">S133/1000</f>
        <v>91.422734832262464</v>
      </c>
    </row>
    <row r="134" spans="1:20" x14ac:dyDescent="0.25">
      <c r="A134" s="5">
        <v>44459</v>
      </c>
      <c r="B134">
        <v>9.3670000000000003E-2</v>
      </c>
      <c r="C134">
        <v>9.375E-2</v>
      </c>
      <c r="D134">
        <v>8.5260000000000002E-2</v>
      </c>
      <c r="E134">
        <v>8.7480000000000002E-2</v>
      </c>
      <c r="F134">
        <v>55034432.299999997</v>
      </c>
      <c r="G134">
        <v>8.7480000000000002E-2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-0.47703180212014124</v>
      </c>
      <c r="Q134">
        <f t="shared" ref="Q134" si="646">F134*P134</f>
        <v>-26253174.418727908</v>
      </c>
      <c r="R134">
        <f t="shared" ref="R134" si="647">R135+Q134</f>
        <v>9198137732.1863613</v>
      </c>
      <c r="S134">
        <f t="shared" ref="S134" si="648">R134/100000</f>
        <v>91981.37732186362</v>
      </c>
      <c r="T134">
        <f t="shared" ref="T134" si="649">S134/1000</f>
        <v>91.981377321863619</v>
      </c>
    </row>
    <row r="135" spans="1:20" x14ac:dyDescent="0.25">
      <c r="A135" s="5">
        <v>44458</v>
      </c>
      <c r="B135">
        <v>9.6519999999999995E-2</v>
      </c>
      <c r="C135">
        <v>9.8119999999999999E-2</v>
      </c>
      <c r="D135">
        <v>9.2679999999999998E-2</v>
      </c>
      <c r="E135">
        <v>9.3659999999999993E-2</v>
      </c>
      <c r="F135">
        <v>48064631.100000001</v>
      </c>
      <c r="G135">
        <v>9.3659999999999993E-2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-0.63970588235294312</v>
      </c>
      <c r="Q135">
        <f t="shared" ref="Q135" si="651">F135*P135</f>
        <v>-30747227.247794211</v>
      </c>
      <c r="R135">
        <f t="shared" ref="R135" si="652">R136+Q135</f>
        <v>9224390906.6050892</v>
      </c>
      <c r="S135">
        <f t="shared" ref="S135" si="653">R135/100000</f>
        <v>92243.909066050895</v>
      </c>
      <c r="T135">
        <f t="shared" ref="T135" si="654">S135/1000</f>
        <v>92.24390906605089</v>
      </c>
    </row>
    <row r="136" spans="1:20" x14ac:dyDescent="0.25">
      <c r="A136" s="5">
        <v>44457</v>
      </c>
      <c r="B136">
        <v>9.6049999999999996E-2</v>
      </c>
      <c r="C136">
        <v>9.8809999999999995E-2</v>
      </c>
      <c r="D136">
        <v>9.4259999999999997E-2</v>
      </c>
      <c r="E136">
        <v>9.6619999999999998E-2</v>
      </c>
      <c r="F136">
        <v>47483560.299999997</v>
      </c>
      <c r="G136">
        <v>9.6619999999999998E-2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3.7362637362638139E-2</v>
      </c>
      <c r="Q136">
        <f t="shared" ref="Q136" si="656">F136*P136</f>
        <v>1774111.0441758609</v>
      </c>
      <c r="R136">
        <f t="shared" ref="R136" si="657">R137+Q136</f>
        <v>9255138133.8528843</v>
      </c>
      <c r="S136">
        <f t="shared" ref="S136" si="658">R136/100000</f>
        <v>92551.381338528838</v>
      </c>
      <c r="T136">
        <f t="shared" ref="T136" si="659">S136/1000</f>
        <v>92.551381338528842</v>
      </c>
    </row>
    <row r="137" spans="1:20" x14ac:dyDescent="0.25">
      <c r="A137" s="5">
        <v>44456</v>
      </c>
      <c r="B137">
        <v>9.8159999999999997E-2</v>
      </c>
      <c r="C137">
        <v>9.9510000000000001E-2</v>
      </c>
      <c r="D137">
        <v>9.425E-2</v>
      </c>
      <c r="E137">
        <v>9.5990000000000006E-2</v>
      </c>
      <c r="F137">
        <v>87710872.099999994</v>
      </c>
      <c r="G137">
        <v>9.5990000000000006E-2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-0.33840304182509306</v>
      </c>
      <c r="Q137">
        <f t="shared" ref="Q137" si="661">F137*P137</f>
        <v>-29681625.919771686</v>
      </c>
      <c r="R137">
        <f t="shared" ref="R137" si="662">R138+Q137</f>
        <v>9253364022.8087082</v>
      </c>
      <c r="S137">
        <f t="shared" ref="S137" si="663">R137/100000</f>
        <v>92533.640228087083</v>
      </c>
      <c r="T137">
        <f t="shared" ref="T137" si="664">S137/1000</f>
        <v>92.53364022808708</v>
      </c>
    </row>
    <row r="138" spans="1:20" x14ac:dyDescent="0.25">
      <c r="A138" s="5">
        <v>44455</v>
      </c>
      <c r="B138">
        <v>0.10131999999999999</v>
      </c>
      <c r="C138">
        <v>0.10199999999999999</v>
      </c>
      <c r="D138">
        <v>9.5729999999999996E-2</v>
      </c>
      <c r="E138">
        <v>9.8239999999999994E-2</v>
      </c>
      <c r="F138">
        <v>95798960.900000006</v>
      </c>
      <c r="G138">
        <v>9.8239999999999994E-2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-0.19936204146730488</v>
      </c>
      <c r="Q138">
        <f t="shared" ref="Q138" si="666">F138*P138</f>
        <v>-19098676.415470518</v>
      </c>
      <c r="R138">
        <f t="shared" ref="R138" si="667">R139+Q138</f>
        <v>9283045648.7284794</v>
      </c>
      <c r="S138">
        <f t="shared" ref="S138" si="668">R138/100000</f>
        <v>92830.456487284799</v>
      </c>
      <c r="T138">
        <f t="shared" ref="T138" si="669">S138/1000</f>
        <v>92.830456487284792</v>
      </c>
    </row>
    <row r="139" spans="1:20" x14ac:dyDescent="0.25">
      <c r="A139" s="5">
        <v>44454</v>
      </c>
      <c r="B139">
        <v>9.8390000000000005E-2</v>
      </c>
      <c r="C139">
        <v>0.104</v>
      </c>
      <c r="D139">
        <v>9.7259999999999999E-2</v>
      </c>
      <c r="E139">
        <v>0.10126</v>
      </c>
      <c r="F139">
        <v>109433413.3</v>
      </c>
      <c r="G139">
        <v>0.10126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0.18694362017804331</v>
      </c>
      <c r="Q139">
        <f t="shared" ref="Q139" si="671">F139*P139</f>
        <v>20457878.450742032</v>
      </c>
      <c r="R139">
        <f t="shared" ref="R139" si="672">R140+Q139</f>
        <v>9302144325.1439495</v>
      </c>
      <c r="S139">
        <f t="shared" ref="S139" si="673">R139/100000</f>
        <v>93021.443251439501</v>
      </c>
      <c r="T139">
        <f t="shared" ref="T139" si="674">S139/1000</f>
        <v>93.021443251439507</v>
      </c>
    </row>
    <row r="140" spans="1:20" x14ac:dyDescent="0.25">
      <c r="A140" s="5">
        <v>44453</v>
      </c>
      <c r="B140">
        <v>9.5439999999999997E-2</v>
      </c>
      <c r="C140">
        <v>9.9159999999999998E-2</v>
      </c>
      <c r="D140">
        <v>9.4060000000000005E-2</v>
      </c>
      <c r="E140">
        <v>9.8419999999999994E-2</v>
      </c>
      <c r="F140">
        <v>78012679.400000006</v>
      </c>
      <c r="G140">
        <v>9.8419999999999994E-2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0.70980392156862526</v>
      </c>
      <c r="Q140">
        <f t="shared" ref="Q140" si="676">F140*P140</f>
        <v>55373705.770195909</v>
      </c>
      <c r="R140">
        <f t="shared" ref="R140" si="677">R141+Q140</f>
        <v>9281686446.6932068</v>
      </c>
      <c r="S140">
        <f t="shared" ref="S140" si="678">R140/100000</f>
        <v>92816.864466932064</v>
      </c>
      <c r="T140">
        <f t="shared" ref="T140" si="679">S140/1000</f>
        <v>92.81686446693206</v>
      </c>
    </row>
    <row r="141" spans="1:20" x14ac:dyDescent="0.25">
      <c r="A141" s="5">
        <v>44452</v>
      </c>
      <c r="B141">
        <v>0.10024</v>
      </c>
      <c r="C141">
        <v>0.10108</v>
      </c>
      <c r="D141">
        <v>8.8770000000000002E-2</v>
      </c>
      <c r="E141">
        <v>9.536E-2</v>
      </c>
      <c r="F141">
        <v>107471791.2</v>
      </c>
      <c r="G141">
        <v>9.536E-2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7.0674248578391205E-2</v>
      </c>
      <c r="Q141">
        <f t="shared" ref="Q141" si="681">F141*P141</f>
        <v>7595488.0864337562</v>
      </c>
      <c r="R141">
        <f t="shared" ref="R141" si="682">R142+Q141</f>
        <v>9226312740.9230118</v>
      </c>
      <c r="S141">
        <f t="shared" ref="S141" si="683">R141/100000</f>
        <v>92263.127409230117</v>
      </c>
      <c r="T141">
        <f t="shared" ref="T141" si="684">S141/1000</f>
        <v>92.263127409230123</v>
      </c>
    </row>
    <row r="142" spans="1:20" x14ac:dyDescent="0.25">
      <c r="A142" s="5">
        <v>44451</v>
      </c>
      <c r="B142">
        <v>9.8339999999999997E-2</v>
      </c>
      <c r="C142">
        <v>0.10213</v>
      </c>
      <c r="D142">
        <v>9.5810000000000006E-2</v>
      </c>
      <c r="E142">
        <v>0.10026</v>
      </c>
      <c r="F142">
        <v>83405021.099999994</v>
      </c>
      <c r="G142">
        <v>0.10026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0.40822784810126617</v>
      </c>
      <c r="Q142">
        <f t="shared" ref="Q142" si="686">F142*P142</f>
        <v>34048252.2844937</v>
      </c>
      <c r="R142">
        <f t="shared" ref="R142" si="687">R143+Q142</f>
        <v>9218717252.8365784</v>
      </c>
      <c r="S142">
        <f t="shared" ref="S142" si="688">R142/100000</f>
        <v>92187.172528365787</v>
      </c>
      <c r="T142">
        <f t="shared" ref="T142" si="689">S142/1000</f>
        <v>92.187172528365792</v>
      </c>
    </row>
    <row r="143" spans="1:20" x14ac:dyDescent="0.25">
      <c r="A143" s="5">
        <v>44450</v>
      </c>
      <c r="B143">
        <v>9.5380000000000006E-2</v>
      </c>
      <c r="C143">
        <v>0.10235</v>
      </c>
      <c r="D143">
        <v>9.3310000000000004E-2</v>
      </c>
      <c r="E143">
        <v>9.8379999999999995E-2</v>
      </c>
      <c r="F143">
        <v>112793117.40000001</v>
      </c>
      <c r="G143">
        <v>9.8379999999999995E-2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0.12168141592920252</v>
      </c>
      <c r="Q143">
        <f t="shared" ref="Q143" si="691">F143*P143</f>
        <v>13724826.232300771</v>
      </c>
      <c r="R143">
        <f t="shared" ref="R143" si="692">R144+Q143</f>
        <v>9184669000.552084</v>
      </c>
      <c r="S143">
        <f t="shared" ref="S143" si="693">R143/100000</f>
        <v>91846.690005520839</v>
      </c>
      <c r="T143">
        <f t="shared" ref="T143" si="694">S143/1000</f>
        <v>91.846690005520841</v>
      </c>
    </row>
    <row r="144" spans="1:20" x14ac:dyDescent="0.25">
      <c r="A144" s="5">
        <v>44449</v>
      </c>
      <c r="B144">
        <v>0.10213999999999999</v>
      </c>
      <c r="C144">
        <v>0.10589999999999999</v>
      </c>
      <c r="D144">
        <v>9.3079999999999996E-2</v>
      </c>
      <c r="E144">
        <v>9.536E-2</v>
      </c>
      <c r="F144">
        <v>101405356.7</v>
      </c>
      <c r="G144">
        <v>9.536E-2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-0.64430577223088847</v>
      </c>
      <c r="Q144">
        <f t="shared" ref="Q144" si="696">F144*P144</f>
        <v>-65336056.656942204</v>
      </c>
      <c r="R144">
        <f t="shared" ref="R144" si="697">R145+Q144</f>
        <v>9170944174.3197823</v>
      </c>
      <c r="S144">
        <f t="shared" ref="S144" si="698">R144/100000</f>
        <v>91709.441743197822</v>
      </c>
      <c r="T144">
        <f t="shared" ref="T144" si="699">S144/1000</f>
        <v>91.709441743197829</v>
      </c>
    </row>
    <row r="145" spans="1:20" x14ac:dyDescent="0.25">
      <c r="A145" s="5">
        <v>44448</v>
      </c>
      <c r="B145">
        <v>0.10023</v>
      </c>
      <c r="C145">
        <v>0.10499</v>
      </c>
      <c r="D145">
        <v>9.7559999999999994E-2</v>
      </c>
      <c r="E145">
        <v>0.10221</v>
      </c>
      <c r="F145">
        <v>113790238.40000001</v>
      </c>
      <c r="G145">
        <v>0.10221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0.25168236877523487</v>
      </c>
      <c r="Q145">
        <f t="shared" ref="Q145" si="701">F145*P145</f>
        <v>28638996.744010694</v>
      </c>
      <c r="R145">
        <f t="shared" ref="R145" si="702">R146+Q145</f>
        <v>9236280230.9767246</v>
      </c>
      <c r="S145">
        <f t="shared" ref="S145" si="703">R145/100000</f>
        <v>92362.802309767241</v>
      </c>
      <c r="T145">
        <f t="shared" ref="T145" si="704">S145/1000</f>
        <v>92.362802309767247</v>
      </c>
    </row>
    <row r="146" spans="1:20" x14ac:dyDescent="0.25">
      <c r="A146" s="5">
        <v>44447</v>
      </c>
      <c r="B146">
        <v>9.9460000000000007E-2</v>
      </c>
      <c r="C146">
        <v>0.10309</v>
      </c>
      <c r="D146">
        <v>8.7440000000000004E-2</v>
      </c>
      <c r="E146">
        <v>0.1002</v>
      </c>
      <c r="F146">
        <v>185483011.19999999</v>
      </c>
      <c r="G146">
        <v>0.1002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0.6306709265175714</v>
      </c>
      <c r="Q146">
        <f t="shared" ref="Q146" si="706">F146*P146</f>
        <v>116978742.52677307</v>
      </c>
      <c r="R146">
        <f t="shared" ref="R146" si="707">R147+Q146</f>
        <v>9207641234.2327137</v>
      </c>
      <c r="S146">
        <f t="shared" ref="S146" si="708">R146/100000</f>
        <v>92076.412342327138</v>
      </c>
      <c r="T146">
        <f t="shared" ref="T146" si="709">S146/1000</f>
        <v>92.076412342327131</v>
      </c>
    </row>
    <row r="147" spans="1:20" x14ac:dyDescent="0.25">
      <c r="A147" s="5">
        <v>44446</v>
      </c>
      <c r="B147">
        <v>0.12425</v>
      </c>
      <c r="C147">
        <v>0.12656999999999999</v>
      </c>
      <c r="D147">
        <v>8.2530000000000006E-2</v>
      </c>
      <c r="E147">
        <v>9.9419999999999994E-2</v>
      </c>
      <c r="F147">
        <v>342087957.89999998</v>
      </c>
      <c r="G147">
        <v>9.9419999999999994E-2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-0.23297002724795662</v>
      </c>
      <c r="Q147">
        <f t="shared" ref="Q147" si="711">F147*P147</f>
        <v>-79696240.873160839</v>
      </c>
      <c r="R147">
        <f t="shared" ref="R147" si="712">R148+Q147</f>
        <v>9090662491.7059402</v>
      </c>
      <c r="S147">
        <f t="shared" ref="S147" si="713">R147/100000</f>
        <v>90906.624917059409</v>
      </c>
      <c r="T147">
        <f t="shared" ref="T147" si="714">S147/1000</f>
        <v>90.906624917059403</v>
      </c>
    </row>
    <row r="148" spans="1:20" x14ac:dyDescent="0.25">
      <c r="A148" s="5">
        <v>44445</v>
      </c>
      <c r="B148">
        <v>0.12250999999999999</v>
      </c>
      <c r="C148">
        <v>0.13</v>
      </c>
      <c r="D148">
        <v>0.114</v>
      </c>
      <c r="E148">
        <v>0.12425</v>
      </c>
      <c r="F148">
        <v>221261119.59999999</v>
      </c>
      <c r="G148">
        <v>0.12425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0.28124999999999939</v>
      </c>
      <c r="Q148">
        <f t="shared" ref="Q148" si="716">F148*P148</f>
        <v>62229689.887499861</v>
      </c>
      <c r="R148">
        <f t="shared" ref="R148" si="717">R149+Q148</f>
        <v>9170358732.5791016</v>
      </c>
      <c r="S148">
        <f t="shared" ref="S148" si="718">R148/100000</f>
        <v>91703.587325791013</v>
      </c>
      <c r="T148">
        <f t="shared" ref="T148" si="719">S148/1000</f>
        <v>91.70358732579102</v>
      </c>
    </row>
    <row r="149" spans="1:20" x14ac:dyDescent="0.25">
      <c r="A149" s="5">
        <v>44444</v>
      </c>
      <c r="B149">
        <v>0.1148</v>
      </c>
      <c r="C149">
        <v>0.13500000000000001</v>
      </c>
      <c r="D149">
        <v>0.11279</v>
      </c>
      <c r="E149">
        <v>0.12243999999999999</v>
      </c>
      <c r="F149">
        <v>412039311.10000002</v>
      </c>
      <c r="G149">
        <v>0.12243999999999999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-0.1310220621341748</v>
      </c>
      <c r="Q149">
        <f t="shared" ref="Q149" si="721">F149*P149</f>
        <v>-53986240.220666789</v>
      </c>
      <c r="R149">
        <f t="shared" ref="R149" si="722">R150+Q149</f>
        <v>9108129042.6916008</v>
      </c>
      <c r="S149">
        <f t="shared" ref="S149" si="723">R149/100000</f>
        <v>91081.290426916006</v>
      </c>
      <c r="T149">
        <f t="shared" ref="T149" si="724">S149/1000</f>
        <v>91.081290426916013</v>
      </c>
    </row>
    <row r="150" spans="1:20" x14ac:dyDescent="0.25">
      <c r="A150" s="5">
        <v>44443</v>
      </c>
      <c r="B150">
        <v>0.10832</v>
      </c>
      <c r="C150">
        <v>0.12023</v>
      </c>
      <c r="D150">
        <v>0.10772</v>
      </c>
      <c r="E150">
        <v>0.11483</v>
      </c>
      <c r="F150">
        <v>309374463</v>
      </c>
      <c r="G150">
        <v>0.11483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0.13669064748201457</v>
      </c>
      <c r="Q150">
        <f t="shared" ref="Q150" si="726">F150*P150</f>
        <v>42288595.661870562</v>
      </c>
      <c r="R150">
        <f t="shared" ref="R150" si="727">R151+Q150</f>
        <v>9162115282.9122677</v>
      </c>
      <c r="S150">
        <f t="shared" ref="S150" si="728">R150/100000</f>
        <v>91621.152829122671</v>
      </c>
      <c r="T150">
        <f t="shared" ref="T150" si="729">S150/1000</f>
        <v>91.621152829122678</v>
      </c>
    </row>
    <row r="151" spans="1:20" x14ac:dyDescent="0.25">
      <c r="A151" s="5">
        <v>44442</v>
      </c>
      <c r="B151">
        <v>0.10569000000000001</v>
      </c>
      <c r="C151">
        <v>0.1103</v>
      </c>
      <c r="D151">
        <v>0.10327</v>
      </c>
      <c r="E151">
        <v>0.10831</v>
      </c>
      <c r="F151">
        <v>155783649.69999999</v>
      </c>
      <c r="G151">
        <v>0.10831</v>
      </c>
      <c r="L151" t="s">
        <v>8</v>
      </c>
      <c r="M151" t="s">
        <v>7</v>
      </c>
      <c r="N151" t="s">
        <v>8</v>
      </c>
      <c r="P151">
        <f t="shared" ref="P151" si="730">IF(C151=D151,0,((E151-D151)-(C151-E151))/(C151-D151))</f>
        <v>0.43385490753911998</v>
      </c>
      <c r="Q151">
        <f t="shared" ref="Q151" si="731">F151*P151</f>
        <v>67587500.93670015</v>
      </c>
      <c r="R151">
        <f t="shared" ref="R151" si="732">R152+Q151</f>
        <v>9119826687.2503967</v>
      </c>
      <c r="S151">
        <f t="shared" ref="S151" si="733">R151/100000</f>
        <v>91198.266872503969</v>
      </c>
      <c r="T151">
        <f t="shared" ref="T151" si="734">S151/1000</f>
        <v>91.198266872503964</v>
      </c>
    </row>
    <row r="152" spans="1:20" x14ac:dyDescent="0.25">
      <c r="A152" s="5">
        <v>44441</v>
      </c>
      <c r="B152">
        <v>0.10630000000000001</v>
      </c>
      <c r="C152">
        <v>0.10800999999999999</v>
      </c>
      <c r="D152">
        <v>0.1038</v>
      </c>
      <c r="E152">
        <v>0.10569000000000001</v>
      </c>
      <c r="F152">
        <v>107666151.3</v>
      </c>
      <c r="G152">
        <v>0.10569000000000001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-0.10213776722089948</v>
      </c>
      <c r="Q152">
        <f t="shared" ref="Q152" si="736">F152*P152</f>
        <v>-10996780.299049543</v>
      </c>
      <c r="R152">
        <f t="shared" ref="R152" si="737">R153+Q152</f>
        <v>9052239186.3136959</v>
      </c>
      <c r="S152">
        <f t="shared" ref="S152" si="738">R152/100000</f>
        <v>90522.39186313696</v>
      </c>
      <c r="T152">
        <f t="shared" ref="T152" si="739">S152/1000</f>
        <v>90.52239186313696</v>
      </c>
    </row>
    <row r="153" spans="1:20" x14ac:dyDescent="0.25">
      <c r="A153" s="5">
        <v>44440</v>
      </c>
      <c r="B153">
        <v>0.10178</v>
      </c>
      <c r="C153">
        <v>0.1069</v>
      </c>
      <c r="D153">
        <v>9.9919999999999995E-2</v>
      </c>
      <c r="E153">
        <v>0.10628</v>
      </c>
      <c r="F153">
        <v>125583073.59999999</v>
      </c>
      <c r="G153">
        <v>0.10628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0.82234957020057431</v>
      </c>
      <c r="Q153">
        <f t="shared" ref="Q153" si="741">F153*P153</f>
        <v>103273186.59942709</v>
      </c>
      <c r="R153">
        <f t="shared" ref="R153" si="742">R154+Q153</f>
        <v>9063235966.6127453</v>
      </c>
      <c r="S153">
        <f t="shared" ref="S153" si="743">R153/100000</f>
        <v>90632.35966612745</v>
      </c>
      <c r="T153">
        <f t="shared" ref="T153" si="744">S153/1000</f>
        <v>90.632359666127456</v>
      </c>
    </row>
    <row r="154" spans="1:20" x14ac:dyDescent="0.25">
      <c r="A154" s="5">
        <v>44439</v>
      </c>
      <c r="B154">
        <v>0.10116</v>
      </c>
      <c r="C154">
        <v>0.10559</v>
      </c>
      <c r="D154">
        <v>9.9030000000000007E-2</v>
      </c>
      <c r="E154">
        <v>0.10179000000000001</v>
      </c>
      <c r="F154">
        <v>139021158.30000001</v>
      </c>
      <c r="G154">
        <v>0.10179000000000001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-0.15853658536585363</v>
      </c>
      <c r="Q154">
        <f t="shared" ref="Q154" si="746">F154*P154</f>
        <v>-22039939.730487805</v>
      </c>
      <c r="R154">
        <f t="shared" ref="R154" si="747">R155+Q154</f>
        <v>8959962780.013319</v>
      </c>
      <c r="S154">
        <f t="shared" ref="S154" si="748">R154/100000</f>
        <v>89599.627800133196</v>
      </c>
      <c r="T154">
        <f t="shared" ref="T154" si="749">S154/1000</f>
        <v>89.599627800133192</v>
      </c>
    </row>
    <row r="155" spans="1:20" x14ac:dyDescent="0.25">
      <c r="A155" s="5">
        <v>44438</v>
      </c>
      <c r="B155">
        <v>0.10775</v>
      </c>
      <c r="C155">
        <v>0.108</v>
      </c>
      <c r="D155">
        <v>0.10058</v>
      </c>
      <c r="E155">
        <v>0.10112</v>
      </c>
      <c r="F155">
        <v>133415807.5</v>
      </c>
      <c r="G155">
        <v>0.10112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-0.85444743935309997</v>
      </c>
      <c r="Q155">
        <f t="shared" ref="Q155" si="751">F155*P155</f>
        <v>-113996795.08760111</v>
      </c>
      <c r="R155">
        <f t="shared" ref="R155" si="752">R156+Q155</f>
        <v>8982002719.7438068</v>
      </c>
      <c r="S155">
        <f t="shared" ref="S155" si="753">R155/100000</f>
        <v>89820.027197438074</v>
      </c>
      <c r="T155">
        <f t="shared" ref="T155" si="754">S155/1000</f>
        <v>89.82002719743808</v>
      </c>
    </row>
    <row r="156" spans="1:20" x14ac:dyDescent="0.25">
      <c r="A156" s="5">
        <v>44437</v>
      </c>
      <c r="B156">
        <v>0.11172</v>
      </c>
      <c r="C156">
        <v>0.11176</v>
      </c>
      <c r="D156">
        <v>0.10440000000000001</v>
      </c>
      <c r="E156">
        <v>0.10791000000000001</v>
      </c>
      <c r="F156">
        <v>128147920.59999999</v>
      </c>
      <c r="G156">
        <v>0.10791000000000001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-4.6195652173912159E-2</v>
      </c>
      <c r="Q156">
        <f t="shared" ref="Q156" si="756">F156*P156</f>
        <v>-5919876.7668477129</v>
      </c>
      <c r="R156">
        <f t="shared" ref="R156" si="757">R157+Q156</f>
        <v>9095999514.8314075</v>
      </c>
      <c r="S156">
        <f t="shared" ref="S156" si="758">R156/100000</f>
        <v>90959.995148314076</v>
      </c>
      <c r="T156">
        <f t="shared" ref="T156" si="759">S156/1000</f>
        <v>90.959995148314079</v>
      </c>
    </row>
    <row r="157" spans="1:20" x14ac:dyDescent="0.25">
      <c r="A157" s="5">
        <v>44436</v>
      </c>
      <c r="B157">
        <v>0.10697</v>
      </c>
      <c r="C157">
        <v>0.115</v>
      </c>
      <c r="D157">
        <v>0.10390000000000001</v>
      </c>
      <c r="E157">
        <v>0.11169999999999999</v>
      </c>
      <c r="F157">
        <v>254690381</v>
      </c>
      <c r="G157">
        <v>0.11169999999999999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0.40540540540540332</v>
      </c>
      <c r="Q157">
        <f t="shared" ref="Q157" si="761">F157*P157</f>
        <v>103252857.16216163</v>
      </c>
      <c r="R157">
        <f t="shared" ref="R157" si="762">R158+Q157</f>
        <v>9101919391.5982552</v>
      </c>
      <c r="S157">
        <f t="shared" ref="S157" si="763">R157/100000</f>
        <v>91019.193915982556</v>
      </c>
      <c r="T157">
        <f t="shared" ref="T157" si="764">S157/1000</f>
        <v>91.019193915982555</v>
      </c>
    </row>
    <row r="158" spans="1:20" x14ac:dyDescent="0.25">
      <c r="A158" s="5">
        <v>44435</v>
      </c>
      <c r="B158">
        <v>0.10377</v>
      </c>
      <c r="C158">
        <v>0.1071</v>
      </c>
      <c r="D158">
        <v>9.7009999999999999E-2</v>
      </c>
      <c r="E158">
        <v>0.10698000000000001</v>
      </c>
      <c r="F158">
        <v>149155650.30000001</v>
      </c>
      <c r="G158">
        <v>0.10698000000000001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0.97621407333994148</v>
      </c>
      <c r="Q158">
        <f t="shared" ref="Q158" si="766">F158*P158</f>
        <v>145607844.94103089</v>
      </c>
      <c r="R158">
        <f t="shared" ref="R158" si="767">R159+Q158</f>
        <v>8998666534.4360943</v>
      </c>
      <c r="S158">
        <f t="shared" ref="S158" si="768">R158/100000</f>
        <v>89986.665344360939</v>
      </c>
      <c r="T158">
        <f t="shared" ref="T158" si="769">S158/1000</f>
        <v>89.986665344360944</v>
      </c>
    </row>
    <row r="159" spans="1:20" x14ac:dyDescent="0.25">
      <c r="A159" s="5">
        <v>44434</v>
      </c>
      <c r="B159">
        <v>0.10441</v>
      </c>
      <c r="C159">
        <v>0.11787</v>
      </c>
      <c r="D159">
        <v>0.10034999999999999</v>
      </c>
      <c r="E159">
        <v>0.10383000000000001</v>
      </c>
      <c r="F159">
        <v>374693969.10000002</v>
      </c>
      <c r="G159">
        <v>0.10383000000000001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-0.60273972602739623</v>
      </c>
      <c r="Q159">
        <f t="shared" ref="Q159" si="771">F159*P159</f>
        <v>-225842940.27945167</v>
      </c>
      <c r="R159">
        <f t="shared" ref="R159" si="772">R160+Q159</f>
        <v>8853058689.4950638</v>
      </c>
      <c r="S159">
        <f t="shared" ref="S159" si="773">R159/100000</f>
        <v>88530.58689495064</v>
      </c>
      <c r="T159">
        <f t="shared" ref="T159" si="774">S159/1000</f>
        <v>88.530586894950645</v>
      </c>
    </row>
    <row r="160" spans="1:20" x14ac:dyDescent="0.25">
      <c r="A160" s="5">
        <v>44433</v>
      </c>
      <c r="B160">
        <v>9.9010000000000001E-2</v>
      </c>
      <c r="C160">
        <v>0.10478999999999999</v>
      </c>
      <c r="D160">
        <v>9.5210000000000003E-2</v>
      </c>
      <c r="E160">
        <v>0.10439</v>
      </c>
      <c r="F160">
        <v>144760567.80000001</v>
      </c>
      <c r="G160">
        <v>0.10439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0.91649269311064763</v>
      </c>
      <c r="Q160">
        <f t="shared" ref="Q160" si="776">F160*P160</f>
        <v>132672002.63924851</v>
      </c>
      <c r="R160">
        <f t="shared" ref="R160" si="777">R161+Q160</f>
        <v>9078901629.7745152</v>
      </c>
      <c r="S160">
        <f t="shared" ref="S160" si="778">R160/100000</f>
        <v>90789.016297745155</v>
      </c>
      <c r="T160">
        <f t="shared" ref="T160" si="779">S160/1000</f>
        <v>90.78901629774515</v>
      </c>
    </row>
    <row r="161" spans="1:20" x14ac:dyDescent="0.25">
      <c r="A161" s="5">
        <v>44432</v>
      </c>
      <c r="B161">
        <v>0.10728</v>
      </c>
      <c r="C161">
        <v>0.10975</v>
      </c>
      <c r="D161">
        <v>9.7089999999999996E-2</v>
      </c>
      <c r="E161">
        <v>9.9059999999999995E-2</v>
      </c>
      <c r="F161">
        <v>166053117.19999999</v>
      </c>
      <c r="G161">
        <v>9.9059999999999995E-2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-0.68878357030015813</v>
      </c>
      <c r="Q161">
        <f t="shared" ref="Q161" si="781">F161*P161</f>
        <v>-114374658.92448659</v>
      </c>
      <c r="R161">
        <f t="shared" ref="R161" si="782">R162+Q161</f>
        <v>8946229627.1352673</v>
      </c>
      <c r="S161">
        <f t="shared" ref="S161" si="783">R161/100000</f>
        <v>89462.296271352679</v>
      </c>
      <c r="T161">
        <f t="shared" ref="T161" si="784">S161/1000</f>
        <v>89.462296271352685</v>
      </c>
    </row>
    <row r="162" spans="1:20" x14ac:dyDescent="0.25">
      <c r="A162" s="5">
        <v>44431</v>
      </c>
      <c r="B162">
        <v>0.10013</v>
      </c>
      <c r="C162">
        <v>0.11168</v>
      </c>
      <c r="D162">
        <v>9.9279999999999993E-2</v>
      </c>
      <c r="E162">
        <v>0.10711</v>
      </c>
      <c r="F162">
        <v>243673834.30000001</v>
      </c>
      <c r="G162">
        <v>0.10711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0.26290322580645137</v>
      </c>
      <c r="Q162">
        <f t="shared" ref="Q162" si="786">F162*P162</f>
        <v>64062637.082096718</v>
      </c>
      <c r="R162">
        <f t="shared" ref="R162" si="787">R163+Q162</f>
        <v>9060604286.0597534</v>
      </c>
      <c r="S162">
        <f t="shared" ref="S162" si="788">R162/100000</f>
        <v>90606.042860597532</v>
      </c>
      <c r="T162">
        <f t="shared" ref="T162" si="789">S162/1000</f>
        <v>90.606042860597526</v>
      </c>
    </row>
    <row r="163" spans="1:20" x14ac:dyDescent="0.25">
      <c r="A163" s="5">
        <v>44430</v>
      </c>
      <c r="B163">
        <v>9.9930000000000005E-2</v>
      </c>
      <c r="C163">
        <v>0.1013</v>
      </c>
      <c r="D163">
        <v>9.9080000000000001E-2</v>
      </c>
      <c r="E163">
        <v>0.10081</v>
      </c>
      <c r="F163">
        <v>15547060.199999999</v>
      </c>
      <c r="G163">
        <v>0.10081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0.55855855855855463</v>
      </c>
      <c r="Q163">
        <f t="shared" ref="Q163" si="791">F163*P163</f>
        <v>8683943.5351350736</v>
      </c>
      <c r="R163">
        <f t="shared" ref="R163" si="792">R164+Q163</f>
        <v>8996541648.9776573</v>
      </c>
      <c r="S163">
        <f t="shared" ref="S163" si="793">R163/100000</f>
        <v>89965.416489776573</v>
      </c>
      <c r="T163">
        <f t="shared" ref="T163" si="794">S163/1000</f>
        <v>89.965416489776572</v>
      </c>
    </row>
    <row r="164" spans="1:20" x14ac:dyDescent="0.25">
      <c r="A164" s="5">
        <v>44429</v>
      </c>
      <c r="B164">
        <v>0.10274</v>
      </c>
      <c r="C164">
        <v>0.10296</v>
      </c>
      <c r="D164">
        <v>9.8629999999999995E-2</v>
      </c>
      <c r="E164">
        <v>0.10002</v>
      </c>
      <c r="F164">
        <v>96326579.900000006</v>
      </c>
      <c r="G164">
        <v>0.10002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-0.35796766743648861</v>
      </c>
      <c r="Q164">
        <f t="shared" ref="Q164" si="796">F164*P164</f>
        <v>-34481801.118937552</v>
      </c>
      <c r="R164">
        <f t="shared" ref="R164" si="797">R165+Q164</f>
        <v>8987857705.442522</v>
      </c>
      <c r="S164">
        <f t="shared" ref="S164" si="798">R164/100000</f>
        <v>89878.577054425215</v>
      </c>
      <c r="T164">
        <f t="shared" ref="T164" si="799">S164/1000</f>
        <v>89.878577054425222</v>
      </c>
    </row>
    <row r="165" spans="1:20" x14ac:dyDescent="0.25">
      <c r="A165" s="5">
        <v>44428</v>
      </c>
      <c r="B165">
        <v>9.9739999999999995E-2</v>
      </c>
      <c r="C165">
        <v>0.10332</v>
      </c>
      <c r="D165">
        <v>9.7900000000000001E-2</v>
      </c>
      <c r="E165">
        <v>0.10274999999999999</v>
      </c>
      <c r="F165">
        <v>126574773.7</v>
      </c>
      <c r="G165">
        <v>0.10274999999999999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0.7896678966789662</v>
      </c>
      <c r="Q165">
        <f t="shared" ref="Q165" si="801">F165*P165</f>
        <v>99952035.320295125</v>
      </c>
      <c r="R165">
        <f t="shared" ref="R165" si="802">R166+Q165</f>
        <v>9022339506.5614605</v>
      </c>
      <c r="S165">
        <f t="shared" ref="S165" si="803">R165/100000</f>
        <v>90223.395065614604</v>
      </c>
      <c r="T165">
        <f t="shared" ref="T165" si="804">S165/1000</f>
        <v>90.223395065614611</v>
      </c>
    </row>
    <row r="166" spans="1:20" x14ac:dyDescent="0.25">
      <c r="A166" s="5">
        <v>44427</v>
      </c>
      <c r="B166">
        <v>9.7369999999999998E-2</v>
      </c>
      <c r="C166">
        <v>9.9750000000000005E-2</v>
      </c>
      <c r="D166">
        <v>9.3200000000000005E-2</v>
      </c>
      <c r="E166">
        <v>9.9750000000000005E-2</v>
      </c>
      <c r="F166">
        <v>93328915</v>
      </c>
      <c r="G166">
        <v>9.9750000000000005E-2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1</v>
      </c>
      <c r="Q166">
        <f t="shared" ref="Q166" si="806">F166*P166</f>
        <v>93328915</v>
      </c>
      <c r="R166">
        <f t="shared" ref="R166" si="807">R167+Q166</f>
        <v>8922387471.2411652</v>
      </c>
      <c r="S166">
        <f t="shared" ref="S166" si="808">R166/100000</f>
        <v>89223.874712411649</v>
      </c>
      <c r="T166">
        <f t="shared" ref="T166" si="809">S166/1000</f>
        <v>89.223874712411643</v>
      </c>
    </row>
    <row r="167" spans="1:20" x14ac:dyDescent="0.25">
      <c r="A167" s="5">
        <v>44426</v>
      </c>
      <c r="B167">
        <v>9.5130000000000006E-2</v>
      </c>
      <c r="C167">
        <v>0.10086000000000001</v>
      </c>
      <c r="D167">
        <v>9.0200000000000002E-2</v>
      </c>
      <c r="E167">
        <v>9.7290000000000001E-2</v>
      </c>
      <c r="F167">
        <v>164508188</v>
      </c>
      <c r="G167">
        <v>9.7290000000000001E-2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0.33020637898686628</v>
      </c>
      <c r="Q167">
        <f t="shared" ref="Q167" si="811">F167*P167</f>
        <v>54321653.073170647</v>
      </c>
      <c r="R167">
        <f t="shared" ref="R167" si="812">R168+Q167</f>
        <v>8829058556.2411652</v>
      </c>
      <c r="S167">
        <f t="shared" ref="S167" si="813">R167/100000</f>
        <v>88290.585562411652</v>
      </c>
      <c r="T167">
        <f t="shared" ref="T167" si="814">S167/1000</f>
        <v>88.29058556241165</v>
      </c>
    </row>
    <row r="168" spans="1:20" x14ac:dyDescent="0.25">
      <c r="A168" s="5">
        <v>44425</v>
      </c>
      <c r="B168">
        <v>0.10176</v>
      </c>
      <c r="C168">
        <v>0.10582999999999999</v>
      </c>
      <c r="D168">
        <v>9.3719999999999998E-2</v>
      </c>
      <c r="E168">
        <v>9.5030000000000003E-2</v>
      </c>
      <c r="F168">
        <v>202261218.59999999</v>
      </c>
      <c r="G168">
        <v>9.5030000000000003E-2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-0.78364987613542425</v>
      </c>
      <c r="Q168">
        <f t="shared" ref="Q168" si="816">F168*P168</f>
        <v>-158501978.90288997</v>
      </c>
      <c r="R168">
        <f t="shared" ref="R168" si="817">R169+Q168</f>
        <v>8774736903.1679955</v>
      </c>
      <c r="S168">
        <f t="shared" ref="S168" si="818">R168/100000</f>
        <v>87747.369031679948</v>
      </c>
      <c r="T168">
        <f t="shared" ref="T168" si="819">S168/1000</f>
        <v>87.747369031679952</v>
      </c>
    </row>
    <row r="169" spans="1:20" x14ac:dyDescent="0.25">
      <c r="A169" s="5">
        <v>44424</v>
      </c>
      <c r="B169">
        <v>0.10724</v>
      </c>
      <c r="C169">
        <v>0.11021</v>
      </c>
      <c r="D169">
        <v>0.10042</v>
      </c>
      <c r="E169">
        <v>0.10179000000000001</v>
      </c>
      <c r="F169">
        <v>197202817.40000001</v>
      </c>
      <c r="G169">
        <v>0.10179000000000001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-0.72012257405515645</v>
      </c>
      <c r="Q169">
        <f t="shared" ref="Q169" si="821">F169*P169</f>
        <v>-142010200.47701699</v>
      </c>
      <c r="R169">
        <f t="shared" ref="R169" si="822">R170+Q169</f>
        <v>8933238882.0708847</v>
      </c>
      <c r="S169">
        <f t="shared" ref="S169" si="823">R169/100000</f>
        <v>89332.388820708846</v>
      </c>
      <c r="T169">
        <f t="shared" ref="T169" si="824">S169/1000</f>
        <v>89.332388820708843</v>
      </c>
    </row>
    <row r="170" spans="1:20" x14ac:dyDescent="0.25">
      <c r="A170" s="5">
        <v>44423</v>
      </c>
      <c r="B170">
        <v>0.10298</v>
      </c>
      <c r="C170">
        <v>0.10981</v>
      </c>
      <c r="D170">
        <v>0.10100000000000001</v>
      </c>
      <c r="E170">
        <v>0.10738</v>
      </c>
      <c r="F170">
        <v>208359266.80000001</v>
      </c>
      <c r="G170">
        <v>0.10738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0.44835414301929577</v>
      </c>
      <c r="Q170">
        <f t="shared" ref="Q170" si="826">F170*P170</f>
        <v>93418740.506242812</v>
      </c>
      <c r="R170">
        <f t="shared" ref="R170" si="827">R171+Q170</f>
        <v>9075249082.5479012</v>
      </c>
      <c r="S170">
        <f t="shared" ref="S170" si="828">R170/100000</f>
        <v>90752.490825479006</v>
      </c>
      <c r="T170">
        <f t="shared" ref="T170" si="829">S170/1000</f>
        <v>90.752490825479001</v>
      </c>
    </row>
    <row r="171" spans="1:20" x14ac:dyDescent="0.25">
      <c r="A171" s="5">
        <v>44422</v>
      </c>
      <c r="B171">
        <v>0.10188</v>
      </c>
      <c r="C171">
        <v>0.10849</v>
      </c>
      <c r="D171">
        <v>9.8960000000000006E-2</v>
      </c>
      <c r="E171">
        <v>0.10299999999999999</v>
      </c>
      <c r="F171">
        <v>194876961.09999999</v>
      </c>
      <c r="G171">
        <v>0.10299999999999999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-0.15215110178384272</v>
      </c>
      <c r="Q171">
        <f t="shared" ref="Q171" si="831">F171*P171</f>
        <v>-29650744.343652058</v>
      </c>
      <c r="R171">
        <f t="shared" ref="R171" si="832">R172+Q171</f>
        <v>8981830342.0416584</v>
      </c>
      <c r="S171">
        <f t="shared" ref="S171" si="833">R171/100000</f>
        <v>89818.303420416589</v>
      </c>
      <c r="T171">
        <f t="shared" ref="T171" si="834">S171/1000</f>
        <v>89.818303420416584</v>
      </c>
    </row>
    <row r="172" spans="1:20" x14ac:dyDescent="0.25">
      <c r="A172" s="5">
        <v>44421</v>
      </c>
      <c r="B172">
        <v>9.4509999999999997E-2</v>
      </c>
      <c r="C172">
        <v>0.10235</v>
      </c>
      <c r="D172">
        <v>9.3390000000000001E-2</v>
      </c>
      <c r="E172">
        <v>0.10188</v>
      </c>
      <c r="F172">
        <v>134847138.09999999</v>
      </c>
      <c r="G172">
        <v>0.10188</v>
      </c>
      <c r="L172" t="s">
        <v>8</v>
      </c>
      <c r="M172" t="s">
        <v>7</v>
      </c>
      <c r="N172" t="s">
        <v>8</v>
      </c>
      <c r="P172">
        <f t="shared" ref="P172" si="835">IF(C172=D172,0,((E172-D172)-(C172-E172))/(C172-D172))</f>
        <v>0.89508928571428603</v>
      </c>
      <c r="Q172">
        <f t="shared" ref="Q172" si="836">F172*P172</f>
        <v>120700228.52254468</v>
      </c>
      <c r="R172">
        <f t="shared" ref="R172" si="837">R173+Q172</f>
        <v>9011481086.3853111</v>
      </c>
      <c r="S172">
        <f t="shared" ref="S172" si="838">R172/100000</f>
        <v>90114.810863853112</v>
      </c>
      <c r="T172">
        <f t="shared" ref="T172" si="839">S172/1000</f>
        <v>90.114810863853108</v>
      </c>
    </row>
    <row r="173" spans="1:20" x14ac:dyDescent="0.25">
      <c r="A173" s="5">
        <v>44420</v>
      </c>
      <c r="B173">
        <v>9.7479999999999997E-2</v>
      </c>
      <c r="C173">
        <v>0.10168000000000001</v>
      </c>
      <c r="D173">
        <v>9.1270000000000004E-2</v>
      </c>
      <c r="E173">
        <v>9.4659999999999994E-2</v>
      </c>
      <c r="F173">
        <v>160722760.40000001</v>
      </c>
      <c r="G173">
        <v>9.4659999999999994E-2</v>
      </c>
      <c r="L173" t="s">
        <v>7</v>
      </c>
      <c r="M173" t="s">
        <v>7</v>
      </c>
      <c r="N173" t="s">
        <v>8</v>
      </c>
      <c r="P173">
        <f t="shared" ref="P173" si="840">IF(C173=D173,0,((E173-D173)-(C173-E173))/(C173-D173))</f>
        <v>-0.34870317002882045</v>
      </c>
      <c r="Q173">
        <f t="shared" ref="Q173" si="841">F173*P173</f>
        <v>-56044536.047262572</v>
      </c>
      <c r="R173">
        <f t="shared" ref="R173" si="842">R174+Q173</f>
        <v>8890780857.8627663</v>
      </c>
      <c r="S173">
        <f t="shared" ref="S173" si="843">R173/100000</f>
        <v>88907.808578627664</v>
      </c>
      <c r="T173">
        <f t="shared" ref="T173" si="844">S173/1000</f>
        <v>88.907808578627666</v>
      </c>
    </row>
    <row r="174" spans="1:20" x14ac:dyDescent="0.25">
      <c r="A174" s="5">
        <v>44419</v>
      </c>
      <c r="B174">
        <v>9.6299999999999997E-2</v>
      </c>
      <c r="C174">
        <v>0.10369</v>
      </c>
      <c r="D174">
        <v>9.3579999999999997E-2</v>
      </c>
      <c r="E174">
        <v>9.7519999999999996E-2</v>
      </c>
      <c r="F174">
        <v>286424525</v>
      </c>
      <c r="G174">
        <v>9.7519999999999996E-2</v>
      </c>
      <c r="L174" t="s">
        <v>8</v>
      </c>
      <c r="M174" t="s">
        <v>7</v>
      </c>
      <c r="N174" t="s">
        <v>8</v>
      </c>
      <c r="P174">
        <f t="shared" ref="P174" si="845">IF(C174=D174,0,((E174-D174)-(C174-E174))/(C174-D174))</f>
        <v>-0.22057368941642019</v>
      </c>
      <c r="Q174">
        <f t="shared" ref="Q174" si="846">F174*P174</f>
        <v>-63177714.218595684</v>
      </c>
      <c r="R174">
        <f t="shared" ref="R174" si="847">R175+Q174</f>
        <v>8946825393.9100285</v>
      </c>
      <c r="S174">
        <f t="shared" ref="S174" si="848">R174/100000</f>
        <v>89468.253939100279</v>
      </c>
      <c r="T174">
        <f t="shared" ref="T174" si="849">S174/1000</f>
        <v>89.468253939100279</v>
      </c>
    </row>
    <row r="175" spans="1:20" x14ac:dyDescent="0.25">
      <c r="A175" s="5">
        <v>44418</v>
      </c>
      <c r="B175">
        <v>9.5159999999999995E-2</v>
      </c>
      <c r="C175">
        <v>0.10034</v>
      </c>
      <c r="D175">
        <v>9.257E-2</v>
      </c>
      <c r="E175">
        <v>9.6280000000000004E-2</v>
      </c>
      <c r="F175">
        <v>184687948.19999999</v>
      </c>
      <c r="G175">
        <v>9.6280000000000004E-2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-4.5045045045043662E-2</v>
      </c>
      <c r="Q175">
        <f t="shared" ref="Q175" si="851">F175*P175</f>
        <v>-8319276.9459456904</v>
      </c>
      <c r="R175">
        <f t="shared" ref="R175" si="852">R176+Q175</f>
        <v>9010003108.128624</v>
      </c>
      <c r="S175">
        <f t="shared" ref="S175" si="853">R175/100000</f>
        <v>90100.031081286244</v>
      </c>
      <c r="T175">
        <f t="shared" ref="T175" si="854">S175/1000</f>
        <v>90.100031081286247</v>
      </c>
    </row>
    <row r="176" spans="1:20" x14ac:dyDescent="0.25">
      <c r="A176" s="5">
        <v>44417</v>
      </c>
      <c r="B176">
        <v>9.3609999999999999E-2</v>
      </c>
      <c r="C176">
        <v>9.6460000000000004E-2</v>
      </c>
      <c r="D176">
        <v>8.9039999999999994E-2</v>
      </c>
      <c r="E176">
        <v>9.5159999999999995E-2</v>
      </c>
      <c r="F176">
        <v>94163946</v>
      </c>
      <c r="G176">
        <v>9.5159999999999995E-2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0.64959568733153428</v>
      </c>
      <c r="Q176">
        <f t="shared" ref="Q176" si="856">F176*P176</f>
        <v>61168493.223719478</v>
      </c>
      <c r="R176">
        <f t="shared" ref="R176" si="857">R177+Q176</f>
        <v>9018322385.0745697</v>
      </c>
      <c r="S176">
        <f t="shared" ref="S176" si="858">R176/100000</f>
        <v>90183.223850745693</v>
      </c>
      <c r="T176">
        <f t="shared" ref="T176" si="859">S176/1000</f>
        <v>90.183223850745691</v>
      </c>
    </row>
    <row r="177" spans="1:20" x14ac:dyDescent="0.25">
      <c r="A177" s="5">
        <v>44416</v>
      </c>
      <c r="B177">
        <v>0.10144</v>
      </c>
      <c r="C177">
        <v>0.10144</v>
      </c>
      <c r="D177">
        <v>9.1880000000000003E-2</v>
      </c>
      <c r="E177">
        <v>9.3619999999999995E-2</v>
      </c>
      <c r="F177">
        <v>116739373</v>
      </c>
      <c r="G177">
        <v>9.3619999999999995E-2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-0.63598326359832813</v>
      </c>
      <c r="Q177">
        <f t="shared" ref="Q177" si="861">F177*P177</f>
        <v>-74244287.430962548</v>
      </c>
      <c r="R177">
        <f t="shared" ref="R177" si="862">R178+Q177</f>
        <v>8957153891.8508511</v>
      </c>
      <c r="S177">
        <f t="shared" ref="S177" si="863">R177/100000</f>
        <v>89571.538918508508</v>
      </c>
      <c r="T177">
        <f t="shared" ref="T177" si="864">S177/1000</f>
        <v>89.571538918508509</v>
      </c>
    </row>
    <row r="178" spans="1:20" x14ac:dyDescent="0.25">
      <c r="A178" s="5">
        <v>44415</v>
      </c>
      <c r="B178">
        <v>9.7110000000000002E-2</v>
      </c>
      <c r="C178">
        <v>0.10145</v>
      </c>
      <c r="D178">
        <v>9.5170000000000005E-2</v>
      </c>
      <c r="E178">
        <v>0.10134</v>
      </c>
      <c r="F178">
        <v>190899820.09999999</v>
      </c>
      <c r="G178">
        <v>0.10134</v>
      </c>
      <c r="L178" t="s">
        <v>8</v>
      </c>
      <c r="M178" t="s">
        <v>7</v>
      </c>
      <c r="N178" t="s">
        <v>8</v>
      </c>
      <c r="P178">
        <f t="shared" ref="P178" si="865">IF(C178=D178,0,((E178-D178)-(C178-E178))/(C178-D178))</f>
        <v>0.96496815286624238</v>
      </c>
      <c r="Q178">
        <f t="shared" ref="Q178" si="866">F178*P178</f>
        <v>184212246.78439495</v>
      </c>
      <c r="R178">
        <f t="shared" ref="R178" si="867">R179+Q178</f>
        <v>9031398179.2818127</v>
      </c>
      <c r="S178">
        <f t="shared" ref="S178" si="868">R178/100000</f>
        <v>90313.981792818129</v>
      </c>
      <c r="T178">
        <f t="shared" ref="T178" si="869">S178/1000</f>
        <v>90.313981792818126</v>
      </c>
    </row>
    <row r="179" spans="1:20" x14ac:dyDescent="0.25">
      <c r="A179" s="5">
        <v>44414</v>
      </c>
      <c r="B179">
        <v>9.6140000000000003E-2</v>
      </c>
      <c r="C179">
        <v>9.8000000000000004E-2</v>
      </c>
      <c r="D179">
        <v>9.3789999999999998E-2</v>
      </c>
      <c r="E179">
        <v>9.7009999999999999E-2</v>
      </c>
      <c r="F179">
        <v>128349030.59999999</v>
      </c>
      <c r="G179">
        <v>9.7009999999999999E-2</v>
      </c>
      <c r="L179" t="s">
        <v>8</v>
      </c>
      <c r="M179" t="s">
        <v>7</v>
      </c>
      <c r="N179" t="s">
        <v>8</v>
      </c>
      <c r="P179">
        <f t="shared" ref="P179" si="870">IF(C179=D179,0,((E179-D179)-(C179-E179))/(C179-D179))</f>
        <v>0.5296912114014235</v>
      </c>
      <c r="Q179">
        <f t="shared" ref="Q179" si="871">F179*P179</f>
        <v>67985353.500712365</v>
      </c>
      <c r="R179">
        <f t="shared" ref="R179" si="872">R180+Q179</f>
        <v>8847185932.4974174</v>
      </c>
      <c r="S179">
        <f t="shared" ref="S179" si="873">R179/100000</f>
        <v>88471.859324974168</v>
      </c>
      <c r="T179">
        <f t="shared" ref="T179" si="874">S179/1000</f>
        <v>88.471859324974162</v>
      </c>
    </row>
    <row r="180" spans="1:20" x14ac:dyDescent="0.25">
      <c r="A180" s="5">
        <v>44413</v>
      </c>
      <c r="B180">
        <v>9.6420000000000006E-2</v>
      </c>
      <c r="C180">
        <v>9.7119999999999998E-2</v>
      </c>
      <c r="D180">
        <v>9.0999999999999998E-2</v>
      </c>
      <c r="E180">
        <v>9.6129999999999993E-2</v>
      </c>
      <c r="F180">
        <v>115106398.5</v>
      </c>
      <c r="G180">
        <v>9.6129999999999993E-2</v>
      </c>
      <c r="L180" t="s">
        <v>7</v>
      </c>
      <c r="M180" t="s">
        <v>7</v>
      </c>
      <c r="N180" t="s">
        <v>8</v>
      </c>
      <c r="P180">
        <f t="shared" ref="P180" si="875">IF(C180=D180,0,((E180-D180)-(C180-E180))/(C180-D180))</f>
        <v>0.6764705882352926</v>
      </c>
      <c r="Q180">
        <f t="shared" ref="Q180" si="876">F180*P180</f>
        <v>77866093.102941006</v>
      </c>
      <c r="R180">
        <f t="shared" ref="R180" si="877">R181+Q180</f>
        <v>8779200578.996706</v>
      </c>
      <c r="S180">
        <f t="shared" ref="S180" si="878">R180/100000</f>
        <v>87792.005789967065</v>
      </c>
      <c r="T180">
        <f t="shared" ref="T180" si="879">S180/1000</f>
        <v>87.792005789967064</v>
      </c>
    </row>
    <row r="181" spans="1:20" x14ac:dyDescent="0.25">
      <c r="A181" s="5">
        <v>44412</v>
      </c>
      <c r="B181">
        <v>9.3950000000000006E-2</v>
      </c>
      <c r="C181">
        <v>9.8640000000000005E-2</v>
      </c>
      <c r="D181">
        <v>9.1789999999999997E-2</v>
      </c>
      <c r="E181">
        <v>9.6449999999999994E-2</v>
      </c>
      <c r="F181">
        <v>137533206.69999999</v>
      </c>
      <c r="G181">
        <v>9.6449999999999994E-2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0.3605839416058369</v>
      </c>
      <c r="Q181">
        <f t="shared" ref="Q181" si="881">F181*P181</f>
        <v>49592265.773576289</v>
      </c>
      <c r="R181">
        <f t="shared" ref="R181" si="882">R182+Q181</f>
        <v>8701334485.8937645</v>
      </c>
      <c r="S181">
        <f t="shared" ref="S181" si="883">R181/100000</f>
        <v>87013.344858937649</v>
      </c>
      <c r="T181">
        <f t="shared" ref="T181" si="884">S181/1000</f>
        <v>87.013344858937643</v>
      </c>
    </row>
    <row r="182" spans="1:20" x14ac:dyDescent="0.25">
      <c r="A182" s="5">
        <v>44411</v>
      </c>
      <c r="B182">
        <v>9.8159999999999997E-2</v>
      </c>
      <c r="C182">
        <v>0.10376000000000001</v>
      </c>
      <c r="D182">
        <v>9.2289999999999997E-2</v>
      </c>
      <c r="E182">
        <v>9.3979999999999994E-2</v>
      </c>
      <c r="F182">
        <v>223957739.09999999</v>
      </c>
      <c r="G182">
        <v>9.3979999999999994E-2</v>
      </c>
      <c r="L182" t="s">
        <v>8</v>
      </c>
      <c r="M182" t="s">
        <v>7</v>
      </c>
      <c r="N182" t="s">
        <v>8</v>
      </c>
      <c r="P182">
        <f t="shared" ref="P182" si="885">IF(C182=D182,0,((E182-D182)-(C182-E182))/(C182-D182))</f>
        <v>-0.70531822144725442</v>
      </c>
      <c r="Q182">
        <f t="shared" ref="Q182" si="886">F182*P182</f>
        <v>-157961474.22136024</v>
      </c>
      <c r="R182">
        <f t="shared" ref="R182" si="887">R183+Q182</f>
        <v>8651742220.1201878</v>
      </c>
      <c r="S182">
        <f t="shared" ref="S182" si="888">R182/100000</f>
        <v>86517.422201201873</v>
      </c>
      <c r="T182">
        <f t="shared" ref="T182" si="889">S182/1000</f>
        <v>86.517422201201867</v>
      </c>
    </row>
    <row r="183" spans="1:20" x14ac:dyDescent="0.25">
      <c r="A183" s="5">
        <v>44410</v>
      </c>
      <c r="B183">
        <v>0.10387</v>
      </c>
      <c r="C183">
        <v>0.10499</v>
      </c>
      <c r="D183">
        <v>9.0200000000000002E-2</v>
      </c>
      <c r="E183">
        <v>9.819E-2</v>
      </c>
      <c r="F183">
        <v>477701616.5</v>
      </c>
      <c r="G183">
        <v>9.819E-2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8.0459770114942319E-2</v>
      </c>
      <c r="Q183">
        <f t="shared" ref="Q183" si="891">F183*P183</f>
        <v>38435762.247126333</v>
      </c>
      <c r="R183">
        <f t="shared" ref="R183" si="892">R184+Q183</f>
        <v>8809703694.3415489</v>
      </c>
      <c r="S183">
        <f t="shared" ref="S183" si="893">R183/100000</f>
        <v>88097.036943415485</v>
      </c>
      <c r="T183">
        <f t="shared" ref="T183" si="894">S183/1000</f>
        <v>88.097036943415489</v>
      </c>
    </row>
    <row r="184" spans="1:20" x14ac:dyDescent="0.25">
      <c r="A184" s="5">
        <v>44409</v>
      </c>
      <c r="B184">
        <v>8.5180000000000006E-2</v>
      </c>
      <c r="C184">
        <v>0.10727</v>
      </c>
      <c r="D184">
        <v>8.3430000000000004E-2</v>
      </c>
      <c r="E184">
        <v>0.10378999999999999</v>
      </c>
      <c r="F184">
        <v>479482921.69999999</v>
      </c>
      <c r="G184">
        <v>0.10378999999999999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0.70805369127516693</v>
      </c>
      <c r="Q184">
        <f t="shared" ref="Q184" si="896">F184*P184</f>
        <v>339499652.61308682</v>
      </c>
      <c r="R184">
        <f t="shared" ref="R184" si="897">R185+Q184</f>
        <v>8771267932.0944233</v>
      </c>
      <c r="S184">
        <f t="shared" ref="S184" si="898">R184/100000</f>
        <v>87712.679320944226</v>
      </c>
      <c r="T184">
        <f t="shared" ref="T184" si="899">S184/1000</f>
        <v>87.712679320944233</v>
      </c>
    </row>
    <row r="185" spans="1:20" x14ac:dyDescent="0.25">
      <c r="A185" s="5">
        <v>44408</v>
      </c>
      <c r="B185">
        <v>8.4610000000000005E-2</v>
      </c>
      <c r="C185">
        <v>8.5690000000000002E-2</v>
      </c>
      <c r="D185">
        <v>8.165E-2</v>
      </c>
      <c r="E185">
        <v>8.5019999999999998E-2</v>
      </c>
      <c r="F185">
        <v>78522267.299999997</v>
      </c>
      <c r="G185">
        <v>8.5019999999999998E-2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0.66831683168316658</v>
      </c>
      <c r="Q185">
        <f t="shared" ref="Q185" si="901">F185*P185</f>
        <v>52477752.89851471</v>
      </c>
      <c r="R185">
        <f t="shared" ref="R185" si="902">R186+Q185</f>
        <v>8431768279.4813356</v>
      </c>
      <c r="S185">
        <f t="shared" ref="S185" si="903">R185/100000</f>
        <v>84317.682794813358</v>
      </c>
      <c r="T185">
        <f t="shared" ref="T185" si="904">S185/1000</f>
        <v>84.317682794813351</v>
      </c>
    </row>
    <row r="186" spans="1:20" x14ac:dyDescent="0.25">
      <c r="A186" s="5">
        <v>44407</v>
      </c>
      <c r="B186">
        <v>8.3290000000000003E-2</v>
      </c>
      <c r="C186">
        <v>8.48E-2</v>
      </c>
      <c r="D186">
        <v>7.8719999999999998E-2</v>
      </c>
      <c r="E186">
        <v>8.4529999999999994E-2</v>
      </c>
      <c r="F186">
        <v>83397127.200000003</v>
      </c>
      <c r="G186">
        <v>8.4529999999999994E-2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0.91118421052631371</v>
      </c>
      <c r="Q186">
        <f t="shared" ref="Q186" si="906">F186*P186</f>
        <v>75990145.507894561</v>
      </c>
      <c r="R186">
        <f t="shared" ref="R186" si="907">R187+Q186</f>
        <v>8379290526.5828209</v>
      </c>
      <c r="S186">
        <f t="shared" ref="S186" si="908">R186/100000</f>
        <v>83792.905265828202</v>
      </c>
      <c r="T186">
        <f t="shared" ref="T186" si="909">S186/1000</f>
        <v>83.792905265828196</v>
      </c>
    </row>
    <row r="187" spans="1:20" x14ac:dyDescent="0.25">
      <c r="A187" s="5">
        <v>44406</v>
      </c>
      <c r="B187">
        <v>8.3349999999999994E-2</v>
      </c>
      <c r="C187">
        <v>8.6110000000000006E-2</v>
      </c>
      <c r="D187">
        <v>8.0049999999999996E-2</v>
      </c>
      <c r="E187">
        <v>8.3269999999999997E-2</v>
      </c>
      <c r="F187">
        <v>131063724.5</v>
      </c>
      <c r="G187">
        <v>8.3269999999999997E-2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6.2706270627061189E-2</v>
      </c>
      <c r="Q187">
        <f t="shared" ref="Q187" si="911">F187*P187</f>
        <v>8218517.3778875899</v>
      </c>
      <c r="R187">
        <f t="shared" ref="R187" si="912">R188+Q187</f>
        <v>8303300381.0749264</v>
      </c>
      <c r="S187">
        <f t="shared" ref="S187" si="913">R187/100000</f>
        <v>83033.003810749258</v>
      </c>
      <c r="T187">
        <f t="shared" ref="T187" si="914">S187/1000</f>
        <v>83.033003810749264</v>
      </c>
    </row>
    <row r="188" spans="1:20" x14ac:dyDescent="0.25">
      <c r="A188" s="5">
        <v>44405</v>
      </c>
      <c r="B188">
        <v>8.3919999999999995E-2</v>
      </c>
      <c r="C188">
        <v>8.9800000000000005E-2</v>
      </c>
      <c r="D188">
        <v>8.1000000000000003E-2</v>
      </c>
      <c r="E188">
        <v>8.3280000000000007E-2</v>
      </c>
      <c r="F188">
        <v>288638396.39999998</v>
      </c>
      <c r="G188">
        <v>8.3280000000000007E-2</v>
      </c>
      <c r="L188" t="s">
        <v>7</v>
      </c>
      <c r="M188" t="s">
        <v>8</v>
      </c>
      <c r="N188" t="s">
        <v>8</v>
      </c>
      <c r="P188">
        <f t="shared" ref="P188" si="915">IF(C188=D188,0,((E188-D188)-(C188-E188))/(C188-D188))</f>
        <v>-0.48181818181818098</v>
      </c>
      <c r="Q188">
        <f t="shared" ref="Q188" si="916">F188*P188</f>
        <v>-139071227.35636339</v>
      </c>
      <c r="R188">
        <f t="shared" ref="R188" si="917">R189+Q188</f>
        <v>8295081863.6970387</v>
      </c>
      <c r="S188">
        <f t="shared" ref="S188" si="918">R188/100000</f>
        <v>82950.818636970391</v>
      </c>
      <c r="T188">
        <f t="shared" ref="T188" si="919">S188/1000</f>
        <v>82.950818636970396</v>
      </c>
    </row>
    <row r="189" spans="1:20" x14ac:dyDescent="0.25">
      <c r="A189" s="5">
        <v>44404</v>
      </c>
      <c r="B189">
        <v>7.2539999999999993E-2</v>
      </c>
      <c r="C189">
        <v>8.992E-2</v>
      </c>
      <c r="D189">
        <v>6.6699999999999995E-2</v>
      </c>
      <c r="E189">
        <v>8.4000000000000005E-2</v>
      </c>
      <c r="F189">
        <v>604739432.60000002</v>
      </c>
      <c r="G189">
        <v>8.4000000000000005E-2</v>
      </c>
      <c r="L189" t="s">
        <v>8</v>
      </c>
      <c r="M189" t="s">
        <v>8</v>
      </c>
      <c r="N189" t="s">
        <v>8</v>
      </c>
      <c r="P189">
        <f t="shared" ref="P189" si="920">IF(C189=D189,0,((E189-D189)-(C189-E189))/(C189-D189))</f>
        <v>0.49009474590869995</v>
      </c>
      <c r="Q189">
        <f t="shared" ref="Q189" si="921">F189*P189</f>
        <v>296379618.56106842</v>
      </c>
      <c r="R189">
        <f t="shared" ref="R189" si="922">R190+Q189</f>
        <v>8434153091.0534019</v>
      </c>
      <c r="S189">
        <f t="shared" ref="S189" si="923">R189/100000</f>
        <v>84341.530910534013</v>
      </c>
      <c r="T189">
        <f t="shared" ref="T189" si="924">S189/1000</f>
        <v>84.341530910534019</v>
      </c>
    </row>
    <row r="190" spans="1:20" x14ac:dyDescent="0.25">
      <c r="A190" s="5">
        <v>44403</v>
      </c>
      <c r="B190">
        <v>6.3850000000000004E-2</v>
      </c>
      <c r="C190">
        <v>8.5500000000000007E-2</v>
      </c>
      <c r="D190">
        <v>6.3600000000000004E-2</v>
      </c>
      <c r="E190">
        <v>7.2599999999999998E-2</v>
      </c>
      <c r="F190">
        <v>522765654.39999998</v>
      </c>
      <c r="G190">
        <v>7.2599999999999998E-2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-0.17808219178082257</v>
      </c>
      <c r="Q190">
        <f t="shared" ref="Q190" si="926">F190*P190</f>
        <v>-93095253.523288012</v>
      </c>
      <c r="R190">
        <f t="shared" ref="R190" si="927">R191+Q190</f>
        <v>8137773472.4923334</v>
      </c>
      <c r="S190">
        <f t="shared" ref="S190" si="928">R190/100000</f>
        <v>81377.734724923328</v>
      </c>
      <c r="T190">
        <f t="shared" ref="T190" si="929">S190/1000</f>
        <v>81.377734724923329</v>
      </c>
    </row>
    <row r="191" spans="1:20" x14ac:dyDescent="0.25">
      <c r="A191" s="5">
        <v>44402</v>
      </c>
      <c r="B191">
        <v>6.3409999999999994E-2</v>
      </c>
      <c r="C191">
        <v>6.4250000000000002E-2</v>
      </c>
      <c r="D191">
        <v>6.1409999999999999E-2</v>
      </c>
      <c r="E191">
        <v>6.3899999999999998E-2</v>
      </c>
      <c r="F191">
        <v>50612421.700000003</v>
      </c>
      <c r="G191">
        <v>6.3899999999999998E-2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0.75352112676056138</v>
      </c>
      <c r="Q191">
        <f t="shared" ref="Q191" si="931">F191*P191</f>
        <v>38137529.027464688</v>
      </c>
      <c r="R191">
        <f t="shared" ref="R191" si="932">R192+Q191</f>
        <v>8230868726.0156212</v>
      </c>
      <c r="S191">
        <f t="shared" ref="S191" si="933">R191/100000</f>
        <v>82308.687260156206</v>
      </c>
      <c r="T191">
        <f t="shared" ref="T191:T197" si="934">S191/1000</f>
        <v>82.308687260156205</v>
      </c>
    </row>
    <row r="192" spans="1:20" x14ac:dyDescent="0.25">
      <c r="A192" s="5">
        <v>44401</v>
      </c>
      <c r="B192">
        <v>6.1899999999999997E-2</v>
      </c>
      <c r="C192">
        <v>6.719E-2</v>
      </c>
      <c r="D192">
        <v>6.1260000000000002E-2</v>
      </c>
      <c r="E192">
        <v>6.3350000000000004E-2</v>
      </c>
      <c r="F192">
        <v>62820226.200000003</v>
      </c>
      <c r="G192">
        <v>6.3350000000000004E-2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-0.29510961214165182</v>
      </c>
      <c r="Q192">
        <f t="shared" ref="Q192" si="936">F192*P192</f>
        <v>-18538852.588532835</v>
      </c>
      <c r="R192">
        <f t="shared" ref="R192" si="937">R193+Q192</f>
        <v>8192731196.9881563</v>
      </c>
      <c r="S192">
        <f t="shared" ref="S192" si="938">R192/100000</f>
        <v>81927.311969881557</v>
      </c>
      <c r="T192">
        <f t="shared" si="934"/>
        <v>81.927311969881558</v>
      </c>
    </row>
    <row r="193" spans="1:20" x14ac:dyDescent="0.25">
      <c r="A193" s="5">
        <v>44400</v>
      </c>
      <c r="B193">
        <v>6.1219999999999997E-2</v>
      </c>
      <c r="C193">
        <v>6.2129999999999998E-2</v>
      </c>
      <c r="D193">
        <v>5.8799999999999998E-2</v>
      </c>
      <c r="E193">
        <v>6.1850000000000002E-2</v>
      </c>
      <c r="F193">
        <v>43445286.899999999</v>
      </c>
      <c r="G193">
        <v>6.1850000000000002E-2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0.83183183183183451</v>
      </c>
      <c r="Q193">
        <f t="shared" ref="Q193" si="940">F193*P193</f>
        <v>36139172.5864866</v>
      </c>
      <c r="R193">
        <f t="shared" ref="R193" si="941">R194+Q193</f>
        <v>8211270049.5766888</v>
      </c>
      <c r="S193">
        <f t="shared" ref="S193" si="942">R193/100000</f>
        <v>82112.700495766883</v>
      </c>
      <c r="T193">
        <f t="shared" si="934"/>
        <v>82.112700495766887</v>
      </c>
    </row>
    <row r="194" spans="1:20" x14ac:dyDescent="0.25">
      <c r="A194" s="5">
        <v>44399</v>
      </c>
      <c r="B194">
        <v>5.9069999999999998E-2</v>
      </c>
      <c r="C194">
        <v>6.1420000000000002E-2</v>
      </c>
      <c r="D194">
        <v>5.8400000000000001E-2</v>
      </c>
      <c r="E194">
        <v>6.123E-2</v>
      </c>
      <c r="F194">
        <v>53556768.100000001</v>
      </c>
      <c r="G194">
        <v>6.123E-2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0.87417218543046193</v>
      </c>
      <c r="Q194">
        <f t="shared" ref="Q194" si="944">F194*P194</f>
        <v>46817837.014569446</v>
      </c>
      <c r="R194">
        <f t="shared" ref="R194" si="945">R195+Q194</f>
        <v>8175130876.990202</v>
      </c>
      <c r="S194">
        <f t="shared" ref="S194" si="946">R194/100000</f>
        <v>81751.308769902025</v>
      </c>
      <c r="T194">
        <f t="shared" si="934"/>
        <v>81.751308769902025</v>
      </c>
    </row>
    <row r="195" spans="1:20" x14ac:dyDescent="0.25">
      <c r="A195" s="5">
        <v>44398</v>
      </c>
      <c r="B195">
        <v>5.5239999999999997E-2</v>
      </c>
      <c r="C195">
        <v>6.1530000000000001E-2</v>
      </c>
      <c r="D195">
        <v>5.323E-2</v>
      </c>
      <c r="E195">
        <v>5.9029999999999999E-2</v>
      </c>
      <c r="F195">
        <v>73721456.299999997</v>
      </c>
      <c r="G195">
        <v>5.9029999999999999E-2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0.39759036144578275</v>
      </c>
      <c r="Q195">
        <f t="shared" ref="Q195" si="948">F195*P195</f>
        <v>29310940.456626475</v>
      </c>
      <c r="R195">
        <f t="shared" ref="R195" si="949">R196+Q195</f>
        <v>8128313039.9756327</v>
      </c>
      <c r="S195">
        <f t="shared" ref="S195" si="950">R195/100000</f>
        <v>81283.130399756323</v>
      </c>
      <c r="T195">
        <f t="shared" si="934"/>
        <v>81.283130399756317</v>
      </c>
    </row>
    <row r="196" spans="1:20" x14ac:dyDescent="0.25">
      <c r="A196" s="5">
        <v>44397</v>
      </c>
      <c r="B196">
        <v>5.8479999999999997E-2</v>
      </c>
      <c r="C196">
        <v>5.9130000000000002E-2</v>
      </c>
      <c r="D196">
        <v>5.2150000000000002E-2</v>
      </c>
      <c r="E196">
        <v>5.5289999999999999E-2</v>
      </c>
      <c r="F196">
        <v>103478208.3</v>
      </c>
      <c r="G196">
        <v>5.5289999999999999E-2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-0.10028653295129028</v>
      </c>
      <c r="Q196">
        <f t="shared" ref="Q196" si="952">F196*P196</f>
        <v>-10377470.74641843</v>
      </c>
      <c r="R196">
        <f t="shared" ref="R196" si="953">R197+Q196</f>
        <v>8099002099.5190058</v>
      </c>
      <c r="S196">
        <f t="shared" ref="S196" si="954">R196/100000</f>
        <v>80990.020995190062</v>
      </c>
      <c r="T196">
        <f t="shared" si="934"/>
        <v>80.990020995190065</v>
      </c>
    </row>
    <row r="197" spans="1:20" x14ac:dyDescent="0.25">
      <c r="A197" s="5">
        <v>44396</v>
      </c>
      <c r="B197">
        <v>6.2190000000000002E-2</v>
      </c>
      <c r="C197">
        <v>6.5199999999999994E-2</v>
      </c>
      <c r="D197">
        <v>5.815E-2</v>
      </c>
      <c r="E197">
        <v>5.8470000000000001E-2</v>
      </c>
      <c r="F197">
        <v>84646843.700000003</v>
      </c>
      <c r="G197">
        <v>-5.98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-0.90921985815602802</v>
      </c>
      <c r="Q197">
        <f t="shared" ref="Q197" si="956">F197*P197</f>
        <v>-76962591.222269475</v>
      </c>
      <c r="R197">
        <f t="shared" ref="R197" si="957">R198+Q197</f>
        <v>8109379570.2654238</v>
      </c>
      <c r="S197">
        <f t="shared" ref="S197" si="958">R197/100000</f>
        <v>81093.795702654243</v>
      </c>
      <c r="T197">
        <f t="shared" si="934"/>
        <v>81.093795702654248</v>
      </c>
    </row>
    <row r="198" spans="1:20" x14ac:dyDescent="0.25">
      <c r="A198" s="5">
        <v>44395</v>
      </c>
      <c r="B198">
        <v>6.1859999999999998E-2</v>
      </c>
      <c r="C198">
        <v>6.3920000000000005E-2</v>
      </c>
      <c r="D198">
        <v>6.0740000000000002E-2</v>
      </c>
      <c r="E198">
        <v>6.2190000000000002E-2</v>
      </c>
      <c r="F198">
        <v>22639603</v>
      </c>
      <c r="G198">
        <v>0.53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-8.8050314465409521E-2</v>
      </c>
      <c r="Q198">
        <f t="shared" ref="Q198:Q261" si="960">F198*P198</f>
        <v>-1993424.1635220288</v>
      </c>
      <c r="R198">
        <f t="shared" ref="R198:R261" si="961">R199+Q198</f>
        <v>8186342161.4876928</v>
      </c>
      <c r="S198">
        <f t="shared" ref="S198:S261" si="962">R198/100000</f>
        <v>81863.421614876934</v>
      </c>
      <c r="T198">
        <f t="shared" ref="T198:T261" si="963">S198/1000</f>
        <v>81.863421614876927</v>
      </c>
    </row>
    <row r="199" spans="1:20" x14ac:dyDescent="0.25">
      <c r="A199" s="5">
        <v>44394</v>
      </c>
      <c r="B199">
        <v>6.1890000000000001E-2</v>
      </c>
      <c r="C199">
        <v>6.3399999999999998E-2</v>
      </c>
      <c r="D199">
        <v>6.062E-2</v>
      </c>
      <c r="E199">
        <v>6.1859999999999998E-2</v>
      </c>
      <c r="F199">
        <v>39813710.399999999</v>
      </c>
      <c r="G199">
        <v>-0.05</v>
      </c>
      <c r="L199" t="s">
        <v>7</v>
      </c>
      <c r="M199" t="s">
        <v>7</v>
      </c>
      <c r="N199" t="s">
        <v>7</v>
      </c>
      <c r="P199">
        <f t="shared" si="959"/>
        <v>-0.10791366906474889</v>
      </c>
      <c r="Q199">
        <f t="shared" si="960"/>
        <v>-4296443.5683453511</v>
      </c>
      <c r="R199">
        <f t="shared" si="961"/>
        <v>8188335585.6512146</v>
      </c>
      <c r="S199">
        <f t="shared" si="962"/>
        <v>81883.355856512149</v>
      </c>
      <c r="T199">
        <f t="shared" si="963"/>
        <v>81.883355856512154</v>
      </c>
    </row>
    <row r="200" spans="1:20" x14ac:dyDescent="0.25">
      <c r="A200" s="5">
        <v>44393</v>
      </c>
      <c r="B200">
        <v>6.8000000000000005E-2</v>
      </c>
      <c r="C200">
        <v>6.8129999999999996E-2</v>
      </c>
      <c r="D200">
        <v>6.1830000000000003E-2</v>
      </c>
      <c r="E200">
        <v>6.1890000000000001E-2</v>
      </c>
      <c r="F200">
        <v>76233055.900000006</v>
      </c>
      <c r="G200">
        <v>-8.99</v>
      </c>
      <c r="L200" t="s">
        <v>7</v>
      </c>
      <c r="M200" t="s">
        <v>7</v>
      </c>
      <c r="N200" t="s">
        <v>7</v>
      </c>
      <c r="P200">
        <f t="shared" si="959"/>
        <v>-0.98095238095238169</v>
      </c>
      <c r="Q200">
        <f t="shared" si="960"/>
        <v>-74780997.692381009</v>
      </c>
      <c r="R200">
        <f t="shared" si="961"/>
        <v>8192632029.2195597</v>
      </c>
      <c r="S200">
        <f t="shared" si="962"/>
        <v>81926.320292195596</v>
      </c>
      <c r="T200">
        <f t="shared" si="963"/>
        <v>81.926320292195598</v>
      </c>
    </row>
    <row r="201" spans="1:20" x14ac:dyDescent="0.25">
      <c r="A201" s="5">
        <v>44392</v>
      </c>
      <c r="B201">
        <v>7.3690000000000005E-2</v>
      </c>
      <c r="C201">
        <v>7.3789999999999994E-2</v>
      </c>
      <c r="D201">
        <v>6.7140000000000005E-2</v>
      </c>
      <c r="E201">
        <v>6.8000000000000005E-2</v>
      </c>
      <c r="F201">
        <v>93818239.200000003</v>
      </c>
      <c r="G201">
        <v>-7.72</v>
      </c>
      <c r="L201" t="s">
        <v>7</v>
      </c>
      <c r="M201" t="s">
        <v>7</v>
      </c>
      <c r="N201" t="s">
        <v>8</v>
      </c>
      <c r="P201">
        <f t="shared" si="959"/>
        <v>-0.74135338345864632</v>
      </c>
      <c r="Q201">
        <f t="shared" si="960"/>
        <v>-69552469.061052606</v>
      </c>
      <c r="R201">
        <f t="shared" si="961"/>
        <v>8267413026.9119406</v>
      </c>
      <c r="S201">
        <f t="shared" si="962"/>
        <v>82674.1302691194</v>
      </c>
      <c r="T201">
        <f t="shared" si="963"/>
        <v>82.674130269119402</v>
      </c>
    </row>
    <row r="202" spans="1:20" x14ac:dyDescent="0.25">
      <c r="A202" s="5">
        <v>44391</v>
      </c>
      <c r="B202">
        <v>6.8220000000000003E-2</v>
      </c>
      <c r="C202">
        <v>7.5829999999999995E-2</v>
      </c>
      <c r="D202">
        <v>6.7849999999999994E-2</v>
      </c>
      <c r="E202">
        <v>7.3620000000000005E-2</v>
      </c>
      <c r="F202">
        <v>249795850.80000001</v>
      </c>
      <c r="G202">
        <v>7.92</v>
      </c>
      <c r="L202" t="s">
        <v>8</v>
      </c>
      <c r="M202" t="s">
        <v>7</v>
      </c>
      <c r="N202" t="s">
        <v>8</v>
      </c>
      <c r="P202">
        <f t="shared" si="959"/>
        <v>0.44611528822055402</v>
      </c>
      <c r="Q202">
        <f t="shared" si="960"/>
        <v>111437747.97594051</v>
      </c>
      <c r="R202">
        <f t="shared" si="961"/>
        <v>8336965495.9729929</v>
      </c>
      <c r="S202">
        <f t="shared" si="962"/>
        <v>83369.654959729931</v>
      </c>
      <c r="T202">
        <f t="shared" si="963"/>
        <v>83.369654959729928</v>
      </c>
    </row>
    <row r="203" spans="1:20" x14ac:dyDescent="0.25">
      <c r="A203" s="5">
        <v>44390</v>
      </c>
      <c r="B203">
        <v>6.9779999999999995E-2</v>
      </c>
      <c r="C203">
        <v>7.0580000000000004E-2</v>
      </c>
      <c r="D203">
        <v>6.6780000000000006E-2</v>
      </c>
      <c r="E203">
        <v>6.8199999999999997E-2</v>
      </c>
      <c r="F203">
        <v>31575573.100000001</v>
      </c>
      <c r="G203">
        <v>-2.2599999999999998</v>
      </c>
      <c r="L203" t="s">
        <v>7</v>
      </c>
      <c r="M203" t="s">
        <v>7</v>
      </c>
      <c r="N203" t="s">
        <v>8</v>
      </c>
      <c r="P203">
        <f t="shared" si="959"/>
        <v>-0.25263157894737287</v>
      </c>
      <c r="Q203">
        <f t="shared" si="960"/>
        <v>-7976986.8884211937</v>
      </c>
      <c r="R203">
        <f t="shared" si="961"/>
        <v>8225527747.9970522</v>
      </c>
      <c r="S203">
        <f t="shared" si="962"/>
        <v>82255.277479970522</v>
      </c>
      <c r="T203">
        <f t="shared" si="963"/>
        <v>82.255277479970516</v>
      </c>
    </row>
    <row r="204" spans="1:20" x14ac:dyDescent="0.25">
      <c r="A204" s="5">
        <v>44389</v>
      </c>
      <c r="B204">
        <v>7.2150000000000006E-2</v>
      </c>
      <c r="C204">
        <v>7.2639999999999996E-2</v>
      </c>
      <c r="D204">
        <v>6.8089999999999998E-2</v>
      </c>
      <c r="E204">
        <v>6.9849999999999995E-2</v>
      </c>
      <c r="F204">
        <v>28183514.800000001</v>
      </c>
      <c r="G204">
        <v>-3.19</v>
      </c>
      <c r="L204" t="s">
        <v>8</v>
      </c>
      <c r="M204" t="s">
        <v>7</v>
      </c>
      <c r="N204" t="s">
        <v>8</v>
      </c>
      <c r="P204">
        <f t="shared" si="959"/>
        <v>-0.22637362637362715</v>
      </c>
      <c r="Q204">
        <f t="shared" si="960"/>
        <v>-6380004.4492307911</v>
      </c>
      <c r="R204">
        <f t="shared" si="961"/>
        <v>8233504734.8854733</v>
      </c>
      <c r="S204">
        <f t="shared" si="962"/>
        <v>82335.047348854729</v>
      </c>
      <c r="T204">
        <f t="shared" si="963"/>
        <v>82.335047348854729</v>
      </c>
    </row>
    <row r="205" spans="1:20" x14ac:dyDescent="0.25">
      <c r="A205" s="5">
        <v>44388</v>
      </c>
      <c r="B205">
        <v>7.0849999999999996E-2</v>
      </c>
      <c r="C205">
        <v>7.2340000000000002E-2</v>
      </c>
      <c r="D205">
        <v>6.8970000000000004E-2</v>
      </c>
      <c r="E205">
        <v>7.2150000000000006E-2</v>
      </c>
      <c r="F205">
        <v>26282467.600000001</v>
      </c>
      <c r="G205">
        <v>1.83</v>
      </c>
      <c r="L205" t="s">
        <v>8</v>
      </c>
      <c r="M205" t="s">
        <v>7</v>
      </c>
      <c r="N205" t="s">
        <v>8</v>
      </c>
      <c r="P205">
        <f t="shared" si="959"/>
        <v>0.88724035608308849</v>
      </c>
      <c r="Q205">
        <f t="shared" si="960"/>
        <v>23318865.912166238</v>
      </c>
      <c r="R205">
        <f t="shared" si="961"/>
        <v>8239884739.3347044</v>
      </c>
      <c r="S205">
        <f t="shared" si="962"/>
        <v>82398.847393347038</v>
      </c>
      <c r="T205">
        <f t="shared" si="963"/>
        <v>82.39884739334704</v>
      </c>
    </row>
    <row r="206" spans="1:20" x14ac:dyDescent="0.25">
      <c r="A206" s="5">
        <v>44387</v>
      </c>
      <c r="B206">
        <v>7.1859999999999993E-2</v>
      </c>
      <c r="C206">
        <v>7.2760000000000005E-2</v>
      </c>
      <c r="D206">
        <v>6.8729999999999999E-2</v>
      </c>
      <c r="E206">
        <v>7.0919999999999997E-2</v>
      </c>
      <c r="F206">
        <v>26850814.399999999</v>
      </c>
      <c r="G206">
        <v>-1.31</v>
      </c>
      <c r="L206" t="s">
        <v>8</v>
      </c>
      <c r="M206" t="s">
        <v>7</v>
      </c>
      <c r="N206" t="s">
        <v>8</v>
      </c>
      <c r="P206">
        <f t="shared" si="959"/>
        <v>8.6848635235729207E-2</v>
      </c>
      <c r="Q206">
        <f t="shared" si="960"/>
        <v>2331956.5856078649</v>
      </c>
      <c r="R206">
        <f t="shared" si="961"/>
        <v>8216565873.4225378</v>
      </c>
      <c r="S206">
        <f t="shared" si="962"/>
        <v>82165.658734225377</v>
      </c>
      <c r="T206">
        <f t="shared" si="963"/>
        <v>82.165658734225374</v>
      </c>
    </row>
    <row r="207" spans="1:20" x14ac:dyDescent="0.25">
      <c r="A207" s="5">
        <v>44386</v>
      </c>
      <c r="B207">
        <v>7.1529999999999996E-2</v>
      </c>
      <c r="C207">
        <v>7.2249999999999995E-2</v>
      </c>
      <c r="D207">
        <v>6.7030000000000006E-2</v>
      </c>
      <c r="E207">
        <v>7.1790000000000007E-2</v>
      </c>
      <c r="F207">
        <v>54535443.200000003</v>
      </c>
      <c r="G207">
        <v>0.36</v>
      </c>
      <c r="L207" t="s">
        <v>7</v>
      </c>
      <c r="M207" t="s">
        <v>7</v>
      </c>
      <c r="N207" t="s">
        <v>8</v>
      </c>
      <c r="P207">
        <f t="shared" si="959"/>
        <v>0.82375478927203483</v>
      </c>
      <c r="Q207">
        <f t="shared" si="960"/>
        <v>44923832.521073028</v>
      </c>
      <c r="R207">
        <f t="shared" si="961"/>
        <v>8214233916.8369303</v>
      </c>
      <c r="S207">
        <f t="shared" si="962"/>
        <v>82142.339168369304</v>
      </c>
      <c r="T207">
        <f t="shared" si="963"/>
        <v>82.142339168369304</v>
      </c>
    </row>
    <row r="208" spans="1:20" x14ac:dyDescent="0.25">
      <c r="A208" s="5">
        <v>44385</v>
      </c>
      <c r="B208">
        <v>7.8289999999999998E-2</v>
      </c>
      <c r="C208">
        <v>7.8479999999999994E-2</v>
      </c>
      <c r="D208">
        <v>6.9540000000000005E-2</v>
      </c>
      <c r="E208">
        <v>7.1540000000000006E-2</v>
      </c>
      <c r="F208">
        <v>87157244</v>
      </c>
      <c r="G208">
        <v>-8.6199999999999992</v>
      </c>
      <c r="L208" t="s">
        <v>7</v>
      </c>
      <c r="M208" t="s">
        <v>7</v>
      </c>
      <c r="N208" t="s">
        <v>8</v>
      </c>
      <c r="P208">
        <f t="shared" si="959"/>
        <v>-0.55257270693512217</v>
      </c>
      <c r="Q208">
        <f t="shared" si="960"/>
        <v>-48160714.246084936</v>
      </c>
      <c r="R208">
        <f t="shared" si="961"/>
        <v>8169310084.3158569</v>
      </c>
      <c r="S208">
        <f t="shared" si="962"/>
        <v>81693.100843158565</v>
      </c>
      <c r="T208">
        <f t="shared" si="963"/>
        <v>81.693100843158561</v>
      </c>
    </row>
    <row r="209" spans="1:20" x14ac:dyDescent="0.25">
      <c r="A209" s="5">
        <v>44384</v>
      </c>
      <c r="B209">
        <v>7.424E-2</v>
      </c>
      <c r="C209">
        <v>8.1500000000000003E-2</v>
      </c>
      <c r="D209">
        <v>7.2870000000000004E-2</v>
      </c>
      <c r="E209">
        <v>7.8310000000000005E-2</v>
      </c>
      <c r="F209">
        <v>122259200.40000001</v>
      </c>
      <c r="G209">
        <v>5.48</v>
      </c>
      <c r="L209" t="s">
        <v>8</v>
      </c>
      <c r="M209" t="s">
        <v>7</v>
      </c>
      <c r="N209" t="s">
        <v>8</v>
      </c>
      <c r="P209">
        <f t="shared" si="959"/>
        <v>0.26071842410197016</v>
      </c>
      <c r="Q209">
        <f t="shared" si="960"/>
        <v>31875226.060254961</v>
      </c>
      <c r="R209">
        <f t="shared" si="961"/>
        <v>8217470798.5619421</v>
      </c>
      <c r="S209">
        <f t="shared" si="962"/>
        <v>82174.707985619418</v>
      </c>
      <c r="T209">
        <f t="shared" si="963"/>
        <v>82.17470798561942</v>
      </c>
    </row>
    <row r="210" spans="1:20" x14ac:dyDescent="0.25">
      <c r="A210" s="5">
        <v>44383</v>
      </c>
      <c r="B210">
        <v>7.3630000000000001E-2</v>
      </c>
      <c r="C210">
        <v>7.6200000000000004E-2</v>
      </c>
      <c r="D210">
        <v>7.2169999999999998E-2</v>
      </c>
      <c r="E210">
        <v>7.4249999999999997E-2</v>
      </c>
      <c r="F210">
        <v>59951263.200000003</v>
      </c>
      <c r="G210">
        <v>0.84</v>
      </c>
      <c r="L210" t="s">
        <v>7</v>
      </c>
      <c r="M210" t="s">
        <v>7</v>
      </c>
      <c r="N210" t="s">
        <v>8</v>
      </c>
      <c r="P210">
        <f t="shared" si="959"/>
        <v>3.2258064516126811E-2</v>
      </c>
      <c r="Q210">
        <f t="shared" si="960"/>
        <v>1933911.7161288993</v>
      </c>
      <c r="R210">
        <f t="shared" si="961"/>
        <v>8185595572.501687</v>
      </c>
      <c r="S210">
        <f t="shared" si="962"/>
        <v>81855.955725016873</v>
      </c>
      <c r="T210">
        <f t="shared" si="963"/>
        <v>81.855955725016869</v>
      </c>
    </row>
    <row r="211" spans="1:20" x14ac:dyDescent="0.25">
      <c r="A211" s="5">
        <v>44382</v>
      </c>
      <c r="B211">
        <v>7.6270000000000004E-2</v>
      </c>
      <c r="C211">
        <v>7.6350000000000001E-2</v>
      </c>
      <c r="D211">
        <v>7.1010000000000004E-2</v>
      </c>
      <c r="E211">
        <v>7.3480000000000004E-2</v>
      </c>
      <c r="F211">
        <v>60135874.200000003</v>
      </c>
      <c r="G211">
        <v>-3.66</v>
      </c>
      <c r="L211" t="s">
        <v>7</v>
      </c>
      <c r="M211" t="s">
        <v>7</v>
      </c>
      <c r="N211" t="s">
        <v>8</v>
      </c>
      <c r="P211">
        <f t="shared" si="959"/>
        <v>-7.4906367041198088E-2</v>
      </c>
      <c r="Q211">
        <f t="shared" si="960"/>
        <v>-4504559.8651685147</v>
      </c>
      <c r="R211">
        <f t="shared" si="961"/>
        <v>8183661660.7855577</v>
      </c>
      <c r="S211">
        <f t="shared" si="962"/>
        <v>81836.616607855583</v>
      </c>
      <c r="T211">
        <f t="shared" si="963"/>
        <v>81.836616607855589</v>
      </c>
    </row>
    <row r="212" spans="1:20" x14ac:dyDescent="0.25">
      <c r="A212" s="5">
        <v>44381</v>
      </c>
      <c r="B212">
        <v>7.485E-2</v>
      </c>
      <c r="C212">
        <v>7.7249999999999999E-2</v>
      </c>
      <c r="D212">
        <v>7.2040000000000007E-2</v>
      </c>
      <c r="E212">
        <v>7.6310000000000003E-2</v>
      </c>
      <c r="F212">
        <v>58075410.600000001</v>
      </c>
      <c r="G212">
        <v>1.95</v>
      </c>
      <c r="L212" t="s">
        <v>8</v>
      </c>
      <c r="M212" t="s">
        <v>7</v>
      </c>
      <c r="N212" t="s">
        <v>8</v>
      </c>
      <c r="P212">
        <f t="shared" si="959"/>
        <v>0.63915547024952102</v>
      </c>
      <c r="Q212">
        <f t="shared" si="960"/>
        <v>37119216.371977016</v>
      </c>
      <c r="R212">
        <f t="shared" si="961"/>
        <v>8188166220.6507263</v>
      </c>
      <c r="S212">
        <f t="shared" si="962"/>
        <v>81881.662206507259</v>
      </c>
      <c r="T212">
        <f t="shared" si="963"/>
        <v>81.881662206507258</v>
      </c>
    </row>
    <row r="213" spans="1:20" x14ac:dyDescent="0.25">
      <c r="A213" s="5">
        <v>44380</v>
      </c>
      <c r="B213">
        <v>7.3779999999999998E-2</v>
      </c>
      <c r="C213">
        <v>7.5289999999999996E-2</v>
      </c>
      <c r="D213">
        <v>7.1830000000000005E-2</v>
      </c>
      <c r="E213">
        <v>7.4859999999999996E-2</v>
      </c>
      <c r="F213">
        <v>30981699.100000001</v>
      </c>
      <c r="G213">
        <v>1.46</v>
      </c>
      <c r="L213" t="s">
        <v>8</v>
      </c>
      <c r="M213" t="s">
        <v>7</v>
      </c>
      <c r="N213" t="s">
        <v>8</v>
      </c>
      <c r="P213">
        <f t="shared" si="959"/>
        <v>0.75144508670520171</v>
      </c>
      <c r="Q213">
        <f t="shared" si="960"/>
        <v>23281045.566473972</v>
      </c>
      <c r="R213">
        <f t="shared" si="961"/>
        <v>8151047004.2787495</v>
      </c>
      <c r="S213">
        <f t="shared" si="962"/>
        <v>81510.470042787492</v>
      </c>
      <c r="T213">
        <f t="shared" si="963"/>
        <v>81.510470042787489</v>
      </c>
    </row>
    <row r="214" spans="1:20" x14ac:dyDescent="0.25">
      <c r="A214" s="5">
        <v>44379</v>
      </c>
      <c r="B214">
        <v>7.4829999999999994E-2</v>
      </c>
      <c r="C214">
        <v>7.5889999999999999E-2</v>
      </c>
      <c r="D214">
        <v>7.0230000000000001E-2</v>
      </c>
      <c r="E214">
        <v>7.3870000000000005E-2</v>
      </c>
      <c r="F214">
        <v>47257538.200000003</v>
      </c>
      <c r="G214">
        <v>-1.28</v>
      </c>
      <c r="L214" t="s">
        <v>7</v>
      </c>
      <c r="M214" t="s">
        <v>7</v>
      </c>
      <c r="N214" t="s">
        <v>8</v>
      </c>
      <c r="P214">
        <f t="shared" si="959"/>
        <v>0.28621908127208673</v>
      </c>
      <c r="Q214">
        <f t="shared" si="960"/>
        <v>13526009.166784544</v>
      </c>
      <c r="R214">
        <f t="shared" si="961"/>
        <v>8127765958.7122755</v>
      </c>
      <c r="S214">
        <f t="shared" si="962"/>
        <v>81277.659587122762</v>
      </c>
      <c r="T214">
        <f t="shared" si="963"/>
        <v>81.277659587122756</v>
      </c>
    </row>
    <row r="215" spans="1:20" x14ac:dyDescent="0.25">
      <c r="A215" s="5">
        <v>44378</v>
      </c>
      <c r="B215">
        <v>7.9399999999999998E-2</v>
      </c>
      <c r="C215">
        <v>7.9579999999999998E-2</v>
      </c>
      <c r="D215">
        <v>7.195E-2</v>
      </c>
      <c r="E215">
        <v>7.4810000000000001E-2</v>
      </c>
      <c r="F215">
        <v>65669580.799999997</v>
      </c>
      <c r="G215">
        <v>-5.78</v>
      </c>
      <c r="L215" t="s">
        <v>7</v>
      </c>
      <c r="M215" t="s">
        <v>8</v>
      </c>
      <c r="N215" t="s">
        <v>8</v>
      </c>
      <c r="P215">
        <f t="shared" si="959"/>
        <v>-0.25032765399737816</v>
      </c>
      <c r="Q215">
        <f t="shared" si="960"/>
        <v>-16438912.100655267</v>
      </c>
      <c r="R215">
        <f t="shared" si="961"/>
        <v>8114239949.5454912</v>
      </c>
      <c r="S215">
        <f t="shared" si="962"/>
        <v>81142.399495454913</v>
      </c>
      <c r="T215">
        <f t="shared" si="963"/>
        <v>81.14239949545491</v>
      </c>
    </row>
    <row r="216" spans="1:20" x14ac:dyDescent="0.25">
      <c r="A216" s="5">
        <v>44377</v>
      </c>
      <c r="B216">
        <v>7.8839999999999993E-2</v>
      </c>
      <c r="C216">
        <v>8.3489999999999995E-2</v>
      </c>
      <c r="D216">
        <v>7.2580000000000006E-2</v>
      </c>
      <c r="E216">
        <v>7.9310000000000005E-2</v>
      </c>
      <c r="F216">
        <v>81081686.700000003</v>
      </c>
      <c r="G216">
        <v>0.6</v>
      </c>
      <c r="L216" t="s">
        <v>8</v>
      </c>
      <c r="M216" t="s">
        <v>8</v>
      </c>
      <c r="N216" t="s">
        <v>8</v>
      </c>
      <c r="P216">
        <f t="shared" si="959"/>
        <v>0.23373052245646317</v>
      </c>
      <c r="Q216">
        <f t="shared" si="960"/>
        <v>18951264.994042262</v>
      </c>
      <c r="R216">
        <f t="shared" si="961"/>
        <v>8130678861.6461468</v>
      </c>
      <c r="S216">
        <f t="shared" si="962"/>
        <v>81306.788616461461</v>
      </c>
      <c r="T216">
        <f t="shared" si="963"/>
        <v>81.306788616461461</v>
      </c>
    </row>
    <row r="217" spans="1:20" x14ac:dyDescent="0.25">
      <c r="A217" s="5">
        <v>44376</v>
      </c>
      <c r="B217">
        <v>7.331E-2</v>
      </c>
      <c r="C217">
        <v>8.2089999999999996E-2</v>
      </c>
      <c r="D217">
        <v>7.2300000000000003E-2</v>
      </c>
      <c r="E217">
        <v>7.8820000000000001E-2</v>
      </c>
      <c r="F217">
        <v>135064313.30000001</v>
      </c>
      <c r="G217">
        <v>7.52</v>
      </c>
      <c r="L217" t="s">
        <v>8</v>
      </c>
      <c r="M217" t="s">
        <v>8</v>
      </c>
      <c r="N217" t="s">
        <v>8</v>
      </c>
      <c r="P217">
        <f t="shared" si="959"/>
        <v>0.33197139938713027</v>
      </c>
      <c r="Q217">
        <f t="shared" si="960"/>
        <v>44837489.093462795</v>
      </c>
      <c r="R217">
        <f t="shared" si="961"/>
        <v>8111727596.6521044</v>
      </c>
      <c r="S217">
        <f t="shared" si="962"/>
        <v>81117.275966521047</v>
      </c>
      <c r="T217">
        <f t="shared" si="963"/>
        <v>81.117275966521049</v>
      </c>
    </row>
    <row r="218" spans="1:20" x14ac:dyDescent="0.25">
      <c r="A218" s="5">
        <v>44375</v>
      </c>
      <c r="B218">
        <v>7.0889999999999995E-2</v>
      </c>
      <c r="C218">
        <v>7.3370000000000005E-2</v>
      </c>
      <c r="D218">
        <v>6.8729999999999999E-2</v>
      </c>
      <c r="E218">
        <v>7.3340000000000002E-2</v>
      </c>
      <c r="F218">
        <v>69577702.5</v>
      </c>
      <c r="G218">
        <v>3.46</v>
      </c>
      <c r="L218" t="s">
        <v>8</v>
      </c>
      <c r="M218" t="s">
        <v>7</v>
      </c>
      <c r="N218" t="s">
        <v>8</v>
      </c>
      <c r="P218">
        <f t="shared" si="959"/>
        <v>0.98706896551724044</v>
      </c>
      <c r="Q218">
        <f t="shared" si="960"/>
        <v>68677990.829741314</v>
      </c>
      <c r="R218">
        <f t="shared" si="961"/>
        <v>8066890107.5586414</v>
      </c>
      <c r="S218">
        <f t="shared" si="962"/>
        <v>80668.901075586415</v>
      </c>
      <c r="T218">
        <f t="shared" si="963"/>
        <v>80.668901075586419</v>
      </c>
    </row>
    <row r="219" spans="1:20" x14ac:dyDescent="0.25">
      <c r="A219" s="5">
        <v>44374</v>
      </c>
      <c r="B219">
        <v>6.8519999999999998E-2</v>
      </c>
      <c r="C219">
        <v>7.1489999999999998E-2</v>
      </c>
      <c r="D219">
        <v>6.6589999999999996E-2</v>
      </c>
      <c r="E219">
        <v>7.0879999999999999E-2</v>
      </c>
      <c r="F219">
        <v>58461661.399999999</v>
      </c>
      <c r="G219">
        <v>3.44</v>
      </c>
      <c r="L219" t="s">
        <v>8</v>
      </c>
      <c r="M219" t="s">
        <v>7</v>
      </c>
      <c r="N219" t="s">
        <v>8</v>
      </c>
      <c r="P219">
        <f t="shared" si="959"/>
        <v>0.75102040816326565</v>
      </c>
      <c r="Q219">
        <f t="shared" si="960"/>
        <v>43905900.806530632</v>
      </c>
      <c r="R219">
        <f t="shared" si="961"/>
        <v>7998212116.7289</v>
      </c>
      <c r="S219">
        <f t="shared" si="962"/>
        <v>79982.121167289006</v>
      </c>
      <c r="T219">
        <f t="shared" si="963"/>
        <v>79.982121167289009</v>
      </c>
    </row>
    <row r="220" spans="1:20" x14ac:dyDescent="0.25">
      <c r="A220" s="5">
        <v>44373</v>
      </c>
      <c r="B220">
        <v>6.7699999999999996E-2</v>
      </c>
      <c r="C220">
        <v>7.0330000000000004E-2</v>
      </c>
      <c r="D220">
        <v>6.3839999999999994E-2</v>
      </c>
      <c r="E220">
        <v>6.8510000000000001E-2</v>
      </c>
      <c r="F220">
        <v>76747301.299999997</v>
      </c>
      <c r="G220">
        <v>1.2</v>
      </c>
      <c r="L220" t="s">
        <v>7</v>
      </c>
      <c r="M220" t="s">
        <v>7</v>
      </c>
      <c r="N220" t="s">
        <v>8</v>
      </c>
      <c r="P220">
        <f t="shared" si="959"/>
        <v>0.43913713405238847</v>
      </c>
      <c r="Q220">
        <f t="shared" si="960"/>
        <v>33702589.939137146</v>
      </c>
      <c r="R220">
        <f t="shared" si="961"/>
        <v>7954306215.922369</v>
      </c>
      <c r="S220">
        <f t="shared" si="962"/>
        <v>79543.062159223686</v>
      </c>
      <c r="T220">
        <f t="shared" si="963"/>
        <v>79.54306215922368</v>
      </c>
    </row>
    <row r="221" spans="1:20" x14ac:dyDescent="0.25">
      <c r="A221" s="5">
        <v>44372</v>
      </c>
      <c r="B221">
        <v>7.7520000000000006E-2</v>
      </c>
      <c r="C221">
        <v>7.7920000000000003E-2</v>
      </c>
      <c r="D221">
        <v>6.6159999999999997E-2</v>
      </c>
      <c r="E221">
        <v>6.7799999999999999E-2</v>
      </c>
      <c r="F221">
        <v>142001229.5</v>
      </c>
      <c r="G221">
        <v>-12.54</v>
      </c>
      <c r="L221" t="s">
        <v>7</v>
      </c>
      <c r="M221" t="s">
        <v>7</v>
      </c>
      <c r="N221" t="s">
        <v>8</v>
      </c>
      <c r="P221">
        <f t="shared" si="959"/>
        <v>-0.72108843537414935</v>
      </c>
      <c r="Q221">
        <f t="shared" si="960"/>
        <v>-102395444.4013605</v>
      </c>
      <c r="R221">
        <f t="shared" si="961"/>
        <v>7920603625.9832315</v>
      </c>
      <c r="S221">
        <f t="shared" si="962"/>
        <v>79206.036259832312</v>
      </c>
      <c r="T221">
        <f t="shared" si="963"/>
        <v>79.206036259832317</v>
      </c>
    </row>
    <row r="222" spans="1:20" x14ac:dyDescent="0.25">
      <c r="A222" s="5">
        <v>44371</v>
      </c>
      <c r="B222">
        <v>7.6359999999999997E-2</v>
      </c>
      <c r="C222">
        <v>8.4000000000000005E-2</v>
      </c>
      <c r="D222">
        <v>7.3630000000000001E-2</v>
      </c>
      <c r="E222">
        <v>7.7579999999999996E-2</v>
      </c>
      <c r="F222">
        <v>279799070.30000001</v>
      </c>
      <c r="G222">
        <v>1.6</v>
      </c>
      <c r="L222" t="s">
        <v>8</v>
      </c>
      <c r="M222" t="s">
        <v>8</v>
      </c>
      <c r="N222" t="s">
        <v>8</v>
      </c>
      <c r="P222">
        <f t="shared" si="959"/>
        <v>-0.23818707810993373</v>
      </c>
      <c r="Q222">
        <f t="shared" si="960"/>
        <v>-66644523.012632944</v>
      </c>
      <c r="R222">
        <f t="shared" si="961"/>
        <v>8022999070.3845921</v>
      </c>
      <c r="S222">
        <f t="shared" si="962"/>
        <v>80229.990703845921</v>
      </c>
      <c r="T222">
        <f t="shared" si="963"/>
        <v>80.229990703845914</v>
      </c>
    </row>
    <row r="223" spans="1:20" x14ac:dyDescent="0.25">
      <c r="A223" s="5">
        <v>44370</v>
      </c>
      <c r="B223">
        <v>5.4789999999999998E-2</v>
      </c>
      <c r="C223">
        <v>8.1670000000000006E-2</v>
      </c>
      <c r="D223">
        <v>5.3060000000000003E-2</v>
      </c>
      <c r="E223">
        <v>7.6289999999999997E-2</v>
      </c>
      <c r="F223">
        <v>520609732.10000002</v>
      </c>
      <c r="G223">
        <v>39.24</v>
      </c>
      <c r="L223" t="s">
        <v>8</v>
      </c>
      <c r="M223" t="s">
        <v>8</v>
      </c>
      <c r="N223" t="s">
        <v>8</v>
      </c>
      <c r="P223">
        <f t="shared" si="959"/>
        <v>0.62390772457182742</v>
      </c>
      <c r="Q223">
        <f t="shared" si="960"/>
        <v>324812433.34445965</v>
      </c>
      <c r="R223">
        <f t="shared" si="961"/>
        <v>8089643593.3972254</v>
      </c>
      <c r="S223">
        <f t="shared" si="962"/>
        <v>80896.435933972258</v>
      </c>
      <c r="T223">
        <f t="shared" si="963"/>
        <v>80.896435933972256</v>
      </c>
    </row>
    <row r="224" spans="1:20" x14ac:dyDescent="0.25">
      <c r="A224" s="5">
        <v>44369</v>
      </c>
      <c r="B224">
        <v>5.6619999999999997E-2</v>
      </c>
      <c r="C224">
        <v>6.2960000000000002E-2</v>
      </c>
      <c r="D224">
        <v>4.761E-2</v>
      </c>
      <c r="E224">
        <v>5.4679999999999999E-2</v>
      </c>
      <c r="F224">
        <v>213466755.69999999</v>
      </c>
      <c r="G224">
        <v>-3.43</v>
      </c>
      <c r="L224" t="s">
        <v>7</v>
      </c>
      <c r="M224" t="s">
        <v>7</v>
      </c>
      <c r="N224" t="s">
        <v>7</v>
      </c>
      <c r="P224">
        <f t="shared" si="959"/>
        <v>-7.8827361563518078E-2</v>
      </c>
      <c r="Q224">
        <f t="shared" si="960"/>
        <v>-16827021.133355081</v>
      </c>
      <c r="R224">
        <f t="shared" si="961"/>
        <v>7764831160.0527658</v>
      </c>
      <c r="S224">
        <f t="shared" si="962"/>
        <v>77648.311600527653</v>
      </c>
      <c r="T224">
        <f t="shared" si="963"/>
        <v>77.648311600527649</v>
      </c>
    </row>
    <row r="225" spans="1:20" x14ac:dyDescent="0.25">
      <c r="A225" s="5">
        <v>44368</v>
      </c>
      <c r="B225">
        <v>7.2929999999999995E-2</v>
      </c>
      <c r="C225">
        <v>7.3289999999999994E-2</v>
      </c>
      <c r="D225">
        <v>5.629E-2</v>
      </c>
      <c r="E225">
        <v>5.6599999999999998E-2</v>
      </c>
      <c r="F225">
        <v>143654962.09999999</v>
      </c>
      <c r="G225">
        <v>-22.39</v>
      </c>
      <c r="L225" t="s">
        <v>7</v>
      </c>
      <c r="M225" t="s">
        <v>7</v>
      </c>
      <c r="N225" t="s">
        <v>7</v>
      </c>
      <c r="P225">
        <f t="shared" si="959"/>
        <v>-0.96352941176470608</v>
      </c>
      <c r="Q225">
        <f t="shared" si="960"/>
        <v>-138415781.12929413</v>
      </c>
      <c r="R225">
        <f t="shared" si="961"/>
        <v>7781658181.186121</v>
      </c>
      <c r="S225">
        <f t="shared" si="962"/>
        <v>77816.581811861208</v>
      </c>
      <c r="T225">
        <f t="shared" si="963"/>
        <v>77.816581811861212</v>
      </c>
    </row>
    <row r="226" spans="1:20" x14ac:dyDescent="0.25">
      <c r="A226" s="5">
        <v>44367</v>
      </c>
      <c r="B226">
        <v>7.1639999999999995E-2</v>
      </c>
      <c r="C226">
        <v>7.3520000000000002E-2</v>
      </c>
      <c r="D226">
        <v>6.6809999999999994E-2</v>
      </c>
      <c r="E226">
        <v>7.2900000000000006E-2</v>
      </c>
      <c r="F226">
        <v>74220512.099999994</v>
      </c>
      <c r="G226">
        <v>1.76</v>
      </c>
      <c r="L226" t="s">
        <v>7</v>
      </c>
      <c r="M226" t="s">
        <v>7</v>
      </c>
      <c r="N226" t="s">
        <v>7</v>
      </c>
      <c r="P226">
        <f t="shared" si="959"/>
        <v>0.81520119225037413</v>
      </c>
      <c r="Q226">
        <f t="shared" si="960"/>
        <v>60504649.953353316</v>
      </c>
      <c r="R226">
        <f t="shared" si="961"/>
        <v>7920073962.3154154</v>
      </c>
      <c r="S226">
        <f t="shared" si="962"/>
        <v>79200.73962315415</v>
      </c>
      <c r="T226">
        <f t="shared" si="963"/>
        <v>79.200739623154149</v>
      </c>
    </row>
    <row r="227" spans="1:20" x14ac:dyDescent="0.25">
      <c r="A227" s="5">
        <v>44366</v>
      </c>
      <c r="B227">
        <v>7.3609999999999995E-2</v>
      </c>
      <c r="C227">
        <v>7.4770000000000003E-2</v>
      </c>
      <c r="D227">
        <v>7.1540000000000006E-2</v>
      </c>
      <c r="E227">
        <v>7.1720000000000006E-2</v>
      </c>
      <c r="F227">
        <v>42749123.399999999</v>
      </c>
      <c r="G227">
        <v>-2.57</v>
      </c>
      <c r="L227" t="s">
        <v>7</v>
      </c>
      <c r="M227" t="s">
        <v>7</v>
      </c>
      <c r="N227" t="s">
        <v>7</v>
      </c>
      <c r="P227">
        <f t="shared" si="959"/>
        <v>-0.88854489164086703</v>
      </c>
      <c r="Q227">
        <f t="shared" si="960"/>
        <v>-37984515.219195053</v>
      </c>
      <c r="R227">
        <f t="shared" si="961"/>
        <v>7859569312.3620625</v>
      </c>
      <c r="S227">
        <f t="shared" si="962"/>
        <v>78595.693123620629</v>
      </c>
      <c r="T227">
        <f t="shared" si="963"/>
        <v>78.595693123620634</v>
      </c>
    </row>
    <row r="228" spans="1:20" x14ac:dyDescent="0.25">
      <c r="A228" s="5">
        <v>44365</v>
      </c>
      <c r="B228">
        <v>8.0420000000000005E-2</v>
      </c>
      <c r="C228">
        <v>8.0420000000000005E-2</v>
      </c>
      <c r="D228">
        <v>7.0629999999999998E-2</v>
      </c>
      <c r="E228">
        <v>7.3639999999999997E-2</v>
      </c>
      <c r="F228">
        <v>70448854.400000006</v>
      </c>
      <c r="G228">
        <v>-8.43</v>
      </c>
      <c r="L228" t="s">
        <v>7</v>
      </c>
      <c r="M228" t="s">
        <v>7</v>
      </c>
      <c r="N228" t="s">
        <v>7</v>
      </c>
      <c r="P228">
        <f t="shared" si="959"/>
        <v>-0.38508682328907118</v>
      </c>
      <c r="Q228">
        <f t="shared" si="960"/>
        <v>-27128925.545250308</v>
      </c>
      <c r="R228">
        <f t="shared" si="961"/>
        <v>7897553827.5812578</v>
      </c>
      <c r="S228">
        <f t="shared" si="962"/>
        <v>78975.538275812578</v>
      </c>
      <c r="T228">
        <f t="shared" si="963"/>
        <v>78.975538275812582</v>
      </c>
    </row>
    <row r="229" spans="1:20" x14ac:dyDescent="0.25">
      <c r="A229" s="5">
        <v>44364</v>
      </c>
      <c r="B229">
        <v>7.9719999999999999E-2</v>
      </c>
      <c r="C229">
        <v>8.2650000000000001E-2</v>
      </c>
      <c r="D229">
        <v>7.8609999999999999E-2</v>
      </c>
      <c r="E229">
        <v>8.047E-2</v>
      </c>
      <c r="F229">
        <v>76213084.200000003</v>
      </c>
      <c r="G229">
        <v>0.94</v>
      </c>
      <c r="L229" t="s">
        <v>7</v>
      </c>
      <c r="M229" t="s">
        <v>8</v>
      </c>
      <c r="N229" t="s">
        <v>7</v>
      </c>
      <c r="P229">
        <f t="shared" si="959"/>
        <v>-7.9207920792079375E-2</v>
      </c>
      <c r="Q229">
        <f t="shared" si="960"/>
        <v>-6036679.9366336763</v>
      </c>
      <c r="R229">
        <f t="shared" si="961"/>
        <v>7924682753.1265078</v>
      </c>
      <c r="S229">
        <f t="shared" si="962"/>
        <v>79246.82753126508</v>
      </c>
      <c r="T229">
        <f t="shared" si="963"/>
        <v>79.246827531265083</v>
      </c>
    </row>
    <row r="230" spans="1:20" x14ac:dyDescent="0.25">
      <c r="A230" s="5">
        <v>44363</v>
      </c>
      <c r="B230">
        <v>8.5470000000000004E-2</v>
      </c>
      <c r="C230">
        <v>8.6489999999999997E-2</v>
      </c>
      <c r="D230">
        <v>7.8700000000000006E-2</v>
      </c>
      <c r="E230">
        <v>7.9729999999999995E-2</v>
      </c>
      <c r="F230">
        <v>114216558</v>
      </c>
      <c r="G230">
        <v>-6.72</v>
      </c>
      <c r="L230" t="s">
        <v>7</v>
      </c>
      <c r="M230" t="s">
        <v>8</v>
      </c>
      <c r="N230" t="s">
        <v>7</v>
      </c>
      <c r="P230">
        <f t="shared" si="959"/>
        <v>-0.73555840821566354</v>
      </c>
      <c r="Q230">
        <f t="shared" si="960"/>
        <v>-84012949.594352007</v>
      </c>
      <c r="R230">
        <f t="shared" si="961"/>
        <v>7930719433.0631418</v>
      </c>
      <c r="S230">
        <f t="shared" si="962"/>
        <v>79307.194330631421</v>
      </c>
      <c r="T230">
        <f t="shared" si="963"/>
        <v>79.307194330631418</v>
      </c>
    </row>
    <row r="231" spans="1:20" x14ac:dyDescent="0.25">
      <c r="A231" s="5">
        <v>44362</v>
      </c>
      <c r="B231">
        <v>8.7230000000000002E-2</v>
      </c>
      <c r="C231">
        <v>8.9910000000000004E-2</v>
      </c>
      <c r="D231">
        <v>8.4070000000000006E-2</v>
      </c>
      <c r="E231">
        <v>8.5519999999999999E-2</v>
      </c>
      <c r="F231">
        <v>104395821.3</v>
      </c>
      <c r="G231">
        <v>-1.96</v>
      </c>
      <c r="L231" t="s">
        <v>8</v>
      </c>
      <c r="M231" t="s">
        <v>8</v>
      </c>
      <c r="N231" t="s">
        <v>7</v>
      </c>
      <c r="P231">
        <f t="shared" si="959"/>
        <v>-0.50342465753424881</v>
      </c>
      <c r="Q231">
        <f t="shared" si="960"/>
        <v>-52555430.585959136</v>
      </c>
      <c r="R231">
        <f t="shared" si="961"/>
        <v>8014732382.6574936</v>
      </c>
      <c r="S231">
        <f t="shared" si="962"/>
        <v>80147.323826574939</v>
      </c>
      <c r="T231">
        <f t="shared" si="963"/>
        <v>80.147323826574933</v>
      </c>
    </row>
    <row r="232" spans="1:20" x14ac:dyDescent="0.25">
      <c r="A232" s="5">
        <v>44361</v>
      </c>
      <c r="B232">
        <v>8.7599999999999997E-2</v>
      </c>
      <c r="C232">
        <v>8.8679999999999995E-2</v>
      </c>
      <c r="D232">
        <v>8.4659999999999999E-2</v>
      </c>
      <c r="E232">
        <v>8.7179999999999994E-2</v>
      </c>
      <c r="F232">
        <v>75960255.400000006</v>
      </c>
      <c r="G232">
        <v>-0.48</v>
      </c>
      <c r="L232" t="s">
        <v>8</v>
      </c>
      <c r="M232" t="s">
        <v>8</v>
      </c>
      <c r="N232" t="s">
        <v>7</v>
      </c>
      <c r="P232">
        <f t="shared" si="959"/>
        <v>0.25373134328358066</v>
      </c>
      <c r="Q232">
        <f t="shared" si="960"/>
        <v>19273497.638805863</v>
      </c>
      <c r="R232">
        <f t="shared" si="961"/>
        <v>8067287813.243453</v>
      </c>
      <c r="S232">
        <f t="shared" si="962"/>
        <v>80672.878132434533</v>
      </c>
      <c r="T232">
        <f t="shared" si="963"/>
        <v>80.672878132434533</v>
      </c>
    </row>
    <row r="233" spans="1:20" x14ac:dyDescent="0.25">
      <c r="A233" s="5">
        <v>44360</v>
      </c>
      <c r="B233">
        <v>8.4150000000000003E-2</v>
      </c>
      <c r="C233">
        <v>8.8090000000000002E-2</v>
      </c>
      <c r="D233">
        <v>7.8810000000000005E-2</v>
      </c>
      <c r="E233">
        <v>8.7540000000000007E-2</v>
      </c>
      <c r="F233">
        <v>92017345.099999994</v>
      </c>
      <c r="G233">
        <v>4.03</v>
      </c>
      <c r="L233" t="s">
        <v>8</v>
      </c>
      <c r="M233" t="s">
        <v>8</v>
      </c>
      <c r="N233" t="s">
        <v>7</v>
      </c>
      <c r="P233">
        <f t="shared" si="959"/>
        <v>0.88146551724138034</v>
      </c>
      <c r="Q233">
        <f t="shared" si="960"/>
        <v>81110116.693750083</v>
      </c>
      <c r="R233">
        <f t="shared" si="961"/>
        <v>8048014315.6046476</v>
      </c>
      <c r="S233">
        <f t="shared" si="962"/>
        <v>80480.14315604647</v>
      </c>
      <c r="T233">
        <f t="shared" si="963"/>
        <v>80.480143156046466</v>
      </c>
    </row>
    <row r="234" spans="1:20" x14ac:dyDescent="0.25">
      <c r="A234" s="5">
        <v>44359</v>
      </c>
      <c r="B234">
        <v>8.1949999999999995E-2</v>
      </c>
      <c r="C234">
        <v>8.6169999999999997E-2</v>
      </c>
      <c r="D234">
        <v>7.5090000000000004E-2</v>
      </c>
      <c r="E234">
        <v>8.4059999999999996E-2</v>
      </c>
      <c r="F234">
        <v>145090622.19999999</v>
      </c>
      <c r="G234">
        <v>2.57</v>
      </c>
      <c r="L234" t="s">
        <v>7</v>
      </c>
      <c r="M234" t="s">
        <v>7</v>
      </c>
      <c r="N234" t="s">
        <v>7</v>
      </c>
      <c r="P234">
        <f t="shared" si="959"/>
        <v>0.6191335740072198</v>
      </c>
      <c r="Q234">
        <f t="shared" si="960"/>
        <v>89830475.477617264</v>
      </c>
      <c r="R234">
        <f t="shared" si="961"/>
        <v>7966904198.9108973</v>
      </c>
      <c r="S234">
        <f t="shared" si="962"/>
        <v>79669.04198910897</v>
      </c>
      <c r="T234">
        <f t="shared" si="963"/>
        <v>79.669041989108976</v>
      </c>
    </row>
    <row r="235" spans="1:20" x14ac:dyDescent="0.25">
      <c r="A235" s="5">
        <v>44358</v>
      </c>
      <c r="B235">
        <v>8.9120000000000005E-2</v>
      </c>
      <c r="C235">
        <v>9.0630000000000002E-2</v>
      </c>
      <c r="D235">
        <v>8.0680000000000002E-2</v>
      </c>
      <c r="E235">
        <v>8.1909999999999997E-2</v>
      </c>
      <c r="F235">
        <v>91581145.900000006</v>
      </c>
      <c r="G235">
        <v>-8.09</v>
      </c>
      <c r="L235" t="s">
        <v>7</v>
      </c>
      <c r="M235" t="s">
        <v>7</v>
      </c>
      <c r="N235" t="s">
        <v>7</v>
      </c>
      <c r="P235">
        <f t="shared" si="959"/>
        <v>-0.7527638190954784</v>
      </c>
      <c r="Q235">
        <f t="shared" si="960"/>
        <v>-68938973.144824222</v>
      </c>
      <c r="R235">
        <f t="shared" si="961"/>
        <v>7877073723.43328</v>
      </c>
      <c r="S235">
        <f t="shared" si="962"/>
        <v>78770.737234332802</v>
      </c>
      <c r="T235">
        <f t="shared" si="963"/>
        <v>78.770737234332799</v>
      </c>
    </row>
    <row r="236" spans="1:20" x14ac:dyDescent="0.25">
      <c r="A236" s="5">
        <v>44357</v>
      </c>
      <c r="B236">
        <v>9.5079999999999998E-2</v>
      </c>
      <c r="C236">
        <v>9.6159999999999995E-2</v>
      </c>
      <c r="D236">
        <v>8.8620000000000004E-2</v>
      </c>
      <c r="E236">
        <v>8.9120000000000005E-2</v>
      </c>
      <c r="F236">
        <v>88144423</v>
      </c>
      <c r="G236">
        <v>-6.27</v>
      </c>
      <c r="L236" t="s">
        <v>7</v>
      </c>
      <c r="M236" t="s">
        <v>7</v>
      </c>
      <c r="N236" t="s">
        <v>8</v>
      </c>
      <c r="P236">
        <f t="shared" si="959"/>
        <v>-0.8673740053050395</v>
      </c>
      <c r="Q236">
        <f t="shared" si="960"/>
        <v>-76454181.222811639</v>
      </c>
      <c r="R236">
        <f t="shared" si="961"/>
        <v>7946012696.578104</v>
      </c>
      <c r="S236">
        <f t="shared" si="962"/>
        <v>79460.126965781034</v>
      </c>
      <c r="T236">
        <f t="shared" si="963"/>
        <v>79.460126965781029</v>
      </c>
    </row>
    <row r="237" spans="1:20" x14ac:dyDescent="0.25">
      <c r="A237" s="5">
        <v>44356</v>
      </c>
      <c r="B237">
        <v>9.0329999999999994E-2</v>
      </c>
      <c r="C237">
        <v>9.6030000000000004E-2</v>
      </c>
      <c r="D237">
        <v>8.6150000000000004E-2</v>
      </c>
      <c r="E237">
        <v>9.5009999999999997E-2</v>
      </c>
      <c r="F237">
        <v>98401139.799999997</v>
      </c>
      <c r="G237">
        <v>5.18</v>
      </c>
      <c r="L237" t="s">
        <v>8</v>
      </c>
      <c r="M237" t="s">
        <v>7</v>
      </c>
      <c r="N237" t="s">
        <v>8</v>
      </c>
      <c r="P237">
        <f t="shared" si="959"/>
        <v>0.79352226720647634</v>
      </c>
      <c r="Q237">
        <f t="shared" si="960"/>
        <v>78083495.549797431</v>
      </c>
      <c r="R237">
        <f t="shared" si="961"/>
        <v>8022466877.8009157</v>
      </c>
      <c r="S237">
        <f t="shared" si="962"/>
        <v>80224.66877800916</v>
      </c>
      <c r="T237">
        <f t="shared" si="963"/>
        <v>80.224668778009161</v>
      </c>
    </row>
    <row r="238" spans="1:20" x14ac:dyDescent="0.25">
      <c r="A238" s="5">
        <v>44355</v>
      </c>
      <c r="B238">
        <v>9.3820000000000001E-2</v>
      </c>
      <c r="C238">
        <v>9.5570000000000002E-2</v>
      </c>
      <c r="D238">
        <v>8.5269999999999999E-2</v>
      </c>
      <c r="E238">
        <v>9.0319999999999998E-2</v>
      </c>
      <c r="F238">
        <v>129734753.3</v>
      </c>
      <c r="G238">
        <v>-3.73</v>
      </c>
      <c r="L238" t="s">
        <v>7</v>
      </c>
      <c r="M238" t="s">
        <v>7</v>
      </c>
      <c r="N238" t="s">
        <v>8</v>
      </c>
      <c r="P238">
        <f t="shared" si="959"/>
        <v>-1.941747572815589E-2</v>
      </c>
      <c r="Q238">
        <f t="shared" si="960"/>
        <v>-2519121.4233010421</v>
      </c>
      <c r="R238">
        <f t="shared" si="961"/>
        <v>7944383382.2511187</v>
      </c>
      <c r="S238">
        <f t="shared" si="962"/>
        <v>79443.83382251118</v>
      </c>
      <c r="T238">
        <f t="shared" si="963"/>
        <v>79.443833822511181</v>
      </c>
    </row>
    <row r="239" spans="1:20" x14ac:dyDescent="0.25">
      <c r="A239" s="5">
        <v>44354</v>
      </c>
      <c r="B239">
        <v>0.10337</v>
      </c>
      <c r="C239">
        <v>0.10619000000000001</v>
      </c>
      <c r="D239">
        <v>9.3479999999999994E-2</v>
      </c>
      <c r="E239">
        <v>9.3770000000000006E-2</v>
      </c>
      <c r="F239">
        <v>62828805.5</v>
      </c>
      <c r="G239">
        <v>-9.2899999999999991</v>
      </c>
      <c r="L239" t="s">
        <v>7</v>
      </c>
      <c r="M239" t="s">
        <v>7</v>
      </c>
      <c r="N239" t="s">
        <v>8</v>
      </c>
      <c r="P239">
        <f t="shared" si="959"/>
        <v>-0.95436664044059605</v>
      </c>
      <c r="Q239">
        <f t="shared" si="960"/>
        <v>-59961716.02793064</v>
      </c>
      <c r="R239">
        <f t="shared" si="961"/>
        <v>7946902503.6744194</v>
      </c>
      <c r="S239">
        <f t="shared" si="962"/>
        <v>79469.025036744191</v>
      </c>
      <c r="T239">
        <f t="shared" si="963"/>
        <v>79.469025036744185</v>
      </c>
    </row>
    <row r="240" spans="1:20" x14ac:dyDescent="0.25">
      <c r="A240" s="5">
        <v>44353</v>
      </c>
      <c r="B240">
        <v>0.10123</v>
      </c>
      <c r="C240">
        <v>0.10518</v>
      </c>
      <c r="D240">
        <v>9.9769999999999998E-2</v>
      </c>
      <c r="E240">
        <v>0.10333000000000001</v>
      </c>
      <c r="F240">
        <v>63438388.5</v>
      </c>
      <c r="G240">
        <v>2.0699999999999998</v>
      </c>
      <c r="L240" t="s">
        <v>7</v>
      </c>
      <c r="M240" t="s">
        <v>8</v>
      </c>
      <c r="N240" t="s">
        <v>8</v>
      </c>
      <c r="P240">
        <f t="shared" si="959"/>
        <v>0.31608133086876483</v>
      </c>
      <c r="Q240">
        <f t="shared" si="960"/>
        <v>20051690.265249744</v>
      </c>
      <c r="R240">
        <f t="shared" si="961"/>
        <v>8006864219.7023497</v>
      </c>
      <c r="S240">
        <f t="shared" si="962"/>
        <v>80068.642197023495</v>
      </c>
      <c r="T240">
        <f t="shared" si="963"/>
        <v>80.068642197023493</v>
      </c>
    </row>
    <row r="241" spans="1:20" x14ac:dyDescent="0.25">
      <c r="A241" s="5">
        <v>44352</v>
      </c>
      <c r="B241">
        <v>0.10134</v>
      </c>
      <c r="C241">
        <v>0.10746</v>
      </c>
      <c r="D241">
        <v>9.8379999999999995E-2</v>
      </c>
      <c r="E241">
        <v>0.10136000000000001</v>
      </c>
      <c r="F241">
        <v>80770253.299999997</v>
      </c>
      <c r="G241">
        <v>0.02</v>
      </c>
      <c r="L241" t="s">
        <v>8</v>
      </c>
      <c r="M241" t="s">
        <v>8</v>
      </c>
      <c r="N241" t="s">
        <v>8</v>
      </c>
      <c r="P241">
        <f t="shared" si="959"/>
        <v>-0.34361233480176018</v>
      </c>
      <c r="Q241">
        <f t="shared" si="960"/>
        <v>-27753655.318942573</v>
      </c>
      <c r="R241">
        <f t="shared" si="961"/>
        <v>7986812529.4370995</v>
      </c>
      <c r="S241">
        <f t="shared" si="962"/>
        <v>79868.125294370999</v>
      </c>
      <c r="T241">
        <f t="shared" si="963"/>
        <v>79.868125294370998</v>
      </c>
    </row>
    <row r="242" spans="1:20" x14ac:dyDescent="0.25">
      <c r="A242" s="5">
        <v>44351</v>
      </c>
      <c r="B242">
        <v>0.1115</v>
      </c>
      <c r="C242">
        <v>0.11169</v>
      </c>
      <c r="D242">
        <v>9.8140000000000005E-2</v>
      </c>
      <c r="E242">
        <v>0.10137</v>
      </c>
      <c r="F242">
        <v>103454475.8</v>
      </c>
      <c r="G242">
        <v>-9.09</v>
      </c>
      <c r="L242" t="s">
        <v>7</v>
      </c>
      <c r="M242" t="s">
        <v>8</v>
      </c>
      <c r="N242" t="s">
        <v>8</v>
      </c>
      <c r="P242">
        <f t="shared" si="959"/>
        <v>-0.52324723247232496</v>
      </c>
      <c r="Q242">
        <f t="shared" si="960"/>
        <v>-54132268.149225116</v>
      </c>
      <c r="R242">
        <f t="shared" si="961"/>
        <v>8014566184.7560425</v>
      </c>
      <c r="S242">
        <f t="shared" si="962"/>
        <v>80145.661847560419</v>
      </c>
      <c r="T242">
        <f t="shared" si="963"/>
        <v>80.145661847560419</v>
      </c>
    </row>
    <row r="243" spans="1:20" x14ac:dyDescent="0.25">
      <c r="A243" s="5">
        <v>44350</v>
      </c>
      <c r="B243">
        <v>0.10768</v>
      </c>
      <c r="C243">
        <v>0.11487</v>
      </c>
      <c r="D243">
        <v>0.10600999999999999</v>
      </c>
      <c r="E243">
        <v>0.11149000000000001</v>
      </c>
      <c r="F243">
        <v>90076297.900000006</v>
      </c>
      <c r="G243">
        <v>3.54</v>
      </c>
      <c r="L243" t="s">
        <v>8</v>
      </c>
      <c r="M243" t="s">
        <v>8</v>
      </c>
      <c r="N243" t="s">
        <v>8</v>
      </c>
      <c r="P243">
        <f t="shared" si="959"/>
        <v>0.23702031602708995</v>
      </c>
      <c r="Q243">
        <f t="shared" si="960"/>
        <v>21349912.594808299</v>
      </c>
      <c r="R243">
        <f t="shared" si="961"/>
        <v>8068698452.9052677</v>
      </c>
      <c r="S243">
        <f t="shared" si="962"/>
        <v>80686.984529052672</v>
      </c>
      <c r="T243">
        <f t="shared" si="963"/>
        <v>80.686984529052665</v>
      </c>
    </row>
    <row r="244" spans="1:20" x14ac:dyDescent="0.25">
      <c r="A244" s="5">
        <v>44349</v>
      </c>
      <c r="B244">
        <v>0.10718</v>
      </c>
      <c r="C244">
        <v>0.10970000000000001</v>
      </c>
      <c r="D244">
        <v>0.10417999999999999</v>
      </c>
      <c r="E244">
        <v>0.10771</v>
      </c>
      <c r="F244">
        <v>79186639.400000006</v>
      </c>
      <c r="G244">
        <v>0.49</v>
      </c>
      <c r="L244" t="s">
        <v>8</v>
      </c>
      <c r="M244" t="s">
        <v>8</v>
      </c>
      <c r="N244" t="s">
        <v>8</v>
      </c>
      <c r="P244">
        <f t="shared" si="959"/>
        <v>0.27898550724637622</v>
      </c>
      <c r="Q244">
        <f t="shared" si="960"/>
        <v>22091924.760144882</v>
      </c>
      <c r="R244">
        <f t="shared" si="961"/>
        <v>8047348540.3104591</v>
      </c>
      <c r="S244">
        <f t="shared" si="962"/>
        <v>80473.485403104598</v>
      </c>
      <c r="T244">
        <f t="shared" si="963"/>
        <v>80.473485403104604</v>
      </c>
    </row>
    <row r="245" spans="1:20" x14ac:dyDescent="0.25">
      <c r="A245" s="5">
        <v>44348</v>
      </c>
      <c r="B245">
        <v>0.10632</v>
      </c>
      <c r="C245">
        <v>0.11047</v>
      </c>
      <c r="D245">
        <v>0.10382</v>
      </c>
      <c r="E245">
        <v>0.10718</v>
      </c>
      <c r="F245">
        <v>83045296.799999997</v>
      </c>
      <c r="G245">
        <v>0.81</v>
      </c>
      <c r="L245" t="s">
        <v>8</v>
      </c>
      <c r="M245" t="s">
        <v>8</v>
      </c>
      <c r="N245" t="s">
        <v>8</v>
      </c>
      <c r="P245">
        <f t="shared" si="959"/>
        <v>1.0526315789473772E-2</v>
      </c>
      <c r="Q245">
        <f t="shared" si="960"/>
        <v>874161.01894737571</v>
      </c>
      <c r="R245">
        <f t="shared" si="961"/>
        <v>8025256615.5503139</v>
      </c>
      <c r="S245">
        <f t="shared" si="962"/>
        <v>80252.56615550314</v>
      </c>
      <c r="T245">
        <f t="shared" si="963"/>
        <v>80.252566155503146</v>
      </c>
    </row>
    <row r="246" spans="1:20" x14ac:dyDescent="0.25">
      <c r="A246" s="5">
        <v>44347</v>
      </c>
      <c r="B246">
        <v>9.9860000000000004E-2</v>
      </c>
      <c r="C246">
        <v>0.10806</v>
      </c>
      <c r="D246">
        <v>9.5780000000000004E-2</v>
      </c>
      <c r="E246">
        <v>0.10621</v>
      </c>
      <c r="F246">
        <v>97666018.799999997</v>
      </c>
      <c r="G246">
        <v>6.36</v>
      </c>
      <c r="L246" t="s">
        <v>8</v>
      </c>
      <c r="M246" t="s">
        <v>8</v>
      </c>
      <c r="N246" t="s">
        <v>8</v>
      </c>
      <c r="P246">
        <f t="shared" si="959"/>
        <v>0.69869706840390811</v>
      </c>
      <c r="Q246">
        <f t="shared" si="960"/>
        <v>68238961.018240973</v>
      </c>
      <c r="R246">
        <f t="shared" si="961"/>
        <v>8024382454.5313663</v>
      </c>
      <c r="S246">
        <f t="shared" si="962"/>
        <v>80243.824545313662</v>
      </c>
      <c r="T246">
        <f t="shared" si="963"/>
        <v>80.243824545313657</v>
      </c>
    </row>
    <row r="247" spans="1:20" x14ac:dyDescent="0.25">
      <c r="A247" s="5">
        <v>44346</v>
      </c>
      <c r="B247">
        <v>9.4479999999999995E-2</v>
      </c>
      <c r="C247">
        <v>0.10448</v>
      </c>
      <c r="D247">
        <v>8.8330000000000006E-2</v>
      </c>
      <c r="E247">
        <v>9.9979999999999999E-2</v>
      </c>
      <c r="F247">
        <v>107728040.09999999</v>
      </c>
      <c r="G247">
        <v>5.82</v>
      </c>
      <c r="L247" t="s">
        <v>7</v>
      </c>
      <c r="M247" t="s">
        <v>7</v>
      </c>
      <c r="N247" t="s">
        <v>8</v>
      </c>
      <c r="P247">
        <f t="shared" si="959"/>
        <v>0.44272445820433382</v>
      </c>
      <c r="Q247">
        <f t="shared" si="960"/>
        <v>47693838.186687246</v>
      </c>
      <c r="R247">
        <f t="shared" si="961"/>
        <v>7956143493.5131254</v>
      </c>
      <c r="S247">
        <f t="shared" si="962"/>
        <v>79561.434935131256</v>
      </c>
      <c r="T247">
        <f t="shared" si="963"/>
        <v>79.56143493513126</v>
      </c>
    </row>
    <row r="248" spans="1:20" x14ac:dyDescent="0.25">
      <c r="A248" s="5">
        <v>44345</v>
      </c>
      <c r="B248">
        <v>0.10011</v>
      </c>
      <c r="C248">
        <v>0.10465000000000001</v>
      </c>
      <c r="D248">
        <v>8.9359999999999995E-2</v>
      </c>
      <c r="E248">
        <v>9.4390000000000002E-2</v>
      </c>
      <c r="F248">
        <v>108971635.90000001</v>
      </c>
      <c r="G248">
        <v>-5.71</v>
      </c>
      <c r="L248" t="s">
        <v>7</v>
      </c>
      <c r="M248" t="s">
        <v>7</v>
      </c>
      <c r="N248" t="s">
        <v>8</v>
      </c>
      <c r="P248">
        <f t="shared" si="959"/>
        <v>-0.34205362982341364</v>
      </c>
      <c r="Q248">
        <f t="shared" si="960"/>
        <v>-37274143.607390411</v>
      </c>
      <c r="R248">
        <f t="shared" si="961"/>
        <v>7908449655.326438</v>
      </c>
      <c r="S248">
        <f t="shared" si="962"/>
        <v>79084.496553264384</v>
      </c>
      <c r="T248">
        <f t="shared" si="963"/>
        <v>79.084496553264387</v>
      </c>
    </row>
    <row r="249" spans="1:20" x14ac:dyDescent="0.25">
      <c r="A249" s="5">
        <v>44344</v>
      </c>
      <c r="B249">
        <v>0.10921</v>
      </c>
      <c r="C249">
        <v>0.11122</v>
      </c>
      <c r="D249">
        <v>9.4589999999999994E-2</v>
      </c>
      <c r="E249">
        <v>0.10027</v>
      </c>
      <c r="F249">
        <v>145035223.09999999</v>
      </c>
      <c r="G249">
        <v>-8.19</v>
      </c>
      <c r="L249" t="s">
        <v>7</v>
      </c>
      <c r="M249" t="s">
        <v>7</v>
      </c>
      <c r="N249" t="s">
        <v>8</v>
      </c>
      <c r="P249">
        <f t="shared" si="959"/>
        <v>-0.3168971737823208</v>
      </c>
      <c r="Q249">
        <f t="shared" si="960"/>
        <v>-45961252.299278364</v>
      </c>
      <c r="R249">
        <f t="shared" si="961"/>
        <v>7945723798.9338284</v>
      </c>
      <c r="S249">
        <f t="shared" si="962"/>
        <v>79457.237989338289</v>
      </c>
      <c r="T249">
        <f t="shared" si="963"/>
        <v>79.457237989338296</v>
      </c>
    </row>
    <row r="250" spans="1:20" x14ac:dyDescent="0.25">
      <c r="A250" s="5">
        <v>44343</v>
      </c>
      <c r="B250">
        <v>0.11448999999999999</v>
      </c>
      <c r="C250">
        <v>0.11645999999999999</v>
      </c>
      <c r="D250">
        <v>0.1045</v>
      </c>
      <c r="E250">
        <v>0.10927000000000001</v>
      </c>
      <c r="F250">
        <v>138225796.59999999</v>
      </c>
      <c r="G250">
        <v>-4.5599999999999996</v>
      </c>
      <c r="L250" t="s">
        <v>8</v>
      </c>
      <c r="M250" t="s">
        <v>8</v>
      </c>
      <c r="N250" t="s">
        <v>8</v>
      </c>
      <c r="P250">
        <f t="shared" si="959"/>
        <v>-0.20234113712374399</v>
      </c>
      <c r="Q250">
        <f t="shared" si="960"/>
        <v>-27968764.863879345</v>
      </c>
      <c r="R250">
        <f t="shared" si="961"/>
        <v>7991685051.2331066</v>
      </c>
      <c r="S250">
        <f t="shared" si="962"/>
        <v>79916.850512331061</v>
      </c>
      <c r="T250">
        <f t="shared" si="963"/>
        <v>79.916850512331067</v>
      </c>
    </row>
    <row r="251" spans="1:20" x14ac:dyDescent="0.25">
      <c r="A251" s="5">
        <v>44342</v>
      </c>
      <c r="B251">
        <v>0.10582</v>
      </c>
      <c r="C251">
        <v>0.115</v>
      </c>
      <c r="D251">
        <v>0.10373</v>
      </c>
      <c r="E251">
        <v>0.11441</v>
      </c>
      <c r="F251">
        <v>212708821.19999999</v>
      </c>
      <c r="G251">
        <v>8.1199999999999992</v>
      </c>
      <c r="L251" t="s">
        <v>7</v>
      </c>
      <c r="M251" t="s">
        <v>8</v>
      </c>
      <c r="N251" t="s">
        <v>8</v>
      </c>
      <c r="P251">
        <f t="shared" si="959"/>
        <v>0.89529724933451516</v>
      </c>
      <c r="Q251">
        <f t="shared" si="960"/>
        <v>190437622.52954718</v>
      </c>
      <c r="R251">
        <f t="shared" si="961"/>
        <v>8019653816.0969858</v>
      </c>
      <c r="S251">
        <f t="shared" si="962"/>
        <v>80196.538160969852</v>
      </c>
      <c r="T251">
        <f t="shared" si="963"/>
        <v>80.196538160969851</v>
      </c>
    </row>
    <row r="252" spans="1:20" x14ac:dyDescent="0.25">
      <c r="A252" s="5">
        <v>44341</v>
      </c>
      <c r="B252">
        <v>0.11271</v>
      </c>
      <c r="C252">
        <v>0.11584999999999999</v>
      </c>
      <c r="D252">
        <v>9.9379999999999996E-2</v>
      </c>
      <c r="E252">
        <v>0.10591</v>
      </c>
      <c r="F252">
        <v>254623026.09999999</v>
      </c>
      <c r="G252">
        <v>-6.03</v>
      </c>
      <c r="L252" t="s">
        <v>8</v>
      </c>
      <c r="M252" t="s">
        <v>8</v>
      </c>
      <c r="N252" t="s">
        <v>8</v>
      </c>
      <c r="P252">
        <f t="shared" si="959"/>
        <v>-0.2070431086824519</v>
      </c>
      <c r="Q252">
        <f t="shared" si="960"/>
        <v>-52717942.865877084</v>
      </c>
      <c r="R252">
        <f t="shared" si="961"/>
        <v>7829216193.5674391</v>
      </c>
      <c r="S252">
        <f t="shared" si="962"/>
        <v>78292.16193567439</v>
      </c>
      <c r="T252">
        <f t="shared" si="963"/>
        <v>78.292161935674386</v>
      </c>
    </row>
    <row r="253" spans="1:20" x14ac:dyDescent="0.25">
      <c r="A253" s="5">
        <v>44340</v>
      </c>
      <c r="B253">
        <v>0.10092</v>
      </c>
      <c r="C253">
        <v>0.11325</v>
      </c>
      <c r="D253">
        <v>9.6530000000000005E-2</v>
      </c>
      <c r="E253">
        <v>0.11287</v>
      </c>
      <c r="F253">
        <v>259553289.19999999</v>
      </c>
      <c r="G253">
        <v>11.84</v>
      </c>
      <c r="L253" t="s">
        <v>8</v>
      </c>
      <c r="M253" t="s">
        <v>8</v>
      </c>
      <c r="N253" t="s">
        <v>8</v>
      </c>
      <c r="P253">
        <f t="shared" si="959"/>
        <v>0.95454545454545392</v>
      </c>
      <c r="Q253">
        <f t="shared" si="960"/>
        <v>247755412.41818166</v>
      </c>
      <c r="R253">
        <f t="shared" si="961"/>
        <v>7881934136.4333162</v>
      </c>
      <c r="S253">
        <f t="shared" si="962"/>
        <v>78819.341364333159</v>
      </c>
      <c r="T253">
        <f t="shared" si="963"/>
        <v>78.819341364333155</v>
      </c>
    </row>
    <row r="254" spans="1:20" x14ac:dyDescent="0.25">
      <c r="A254" s="5">
        <v>44339</v>
      </c>
      <c r="B254">
        <v>0.11126999999999999</v>
      </c>
      <c r="C254">
        <v>0.1139</v>
      </c>
      <c r="D254">
        <v>7.8700000000000006E-2</v>
      </c>
      <c r="E254">
        <v>0.10085</v>
      </c>
      <c r="F254">
        <v>295166537.89999998</v>
      </c>
      <c r="G254">
        <v>-9.36</v>
      </c>
      <c r="L254" t="s">
        <v>7</v>
      </c>
      <c r="M254" t="s">
        <v>7</v>
      </c>
      <c r="N254" t="s">
        <v>7</v>
      </c>
      <c r="P254">
        <f t="shared" si="959"/>
        <v>0.25852272727272685</v>
      </c>
      <c r="Q254">
        <f t="shared" si="960"/>
        <v>76307258.377556682</v>
      </c>
      <c r="R254">
        <f t="shared" si="961"/>
        <v>7634178724.0151348</v>
      </c>
      <c r="S254">
        <f t="shared" si="962"/>
        <v>76341.787240151345</v>
      </c>
      <c r="T254">
        <f t="shared" si="963"/>
        <v>76.341787240151348</v>
      </c>
    </row>
    <row r="255" spans="1:20" x14ac:dyDescent="0.25">
      <c r="A255" s="5">
        <v>44338</v>
      </c>
      <c r="B255">
        <v>0.12143</v>
      </c>
      <c r="C255">
        <v>0.12615999999999999</v>
      </c>
      <c r="D255">
        <v>0.10484</v>
      </c>
      <c r="E255">
        <v>0.11122</v>
      </c>
      <c r="F255">
        <v>204036389.5</v>
      </c>
      <c r="G255">
        <v>-8.41</v>
      </c>
      <c r="L255" t="s">
        <v>7</v>
      </c>
      <c r="M255" t="s">
        <v>7</v>
      </c>
      <c r="N255" t="s">
        <v>8</v>
      </c>
      <c r="P255">
        <f t="shared" si="959"/>
        <v>-0.40150093808630399</v>
      </c>
      <c r="Q255">
        <f t="shared" si="960"/>
        <v>-81920801.787992507</v>
      </c>
      <c r="R255">
        <f t="shared" si="961"/>
        <v>7557871465.637578</v>
      </c>
      <c r="S255">
        <f t="shared" si="962"/>
        <v>75578.714656375785</v>
      </c>
      <c r="T255">
        <f t="shared" si="963"/>
        <v>75.57871465637578</v>
      </c>
    </row>
    <row r="256" spans="1:20" x14ac:dyDescent="0.25">
      <c r="A256" s="5">
        <v>44337</v>
      </c>
      <c r="B256">
        <v>0.12522</v>
      </c>
      <c r="C256">
        <v>0.14316999999999999</v>
      </c>
      <c r="D256">
        <v>0.1017</v>
      </c>
      <c r="E256">
        <v>0.12151000000000001</v>
      </c>
      <c r="F256">
        <v>361926483.80000001</v>
      </c>
      <c r="G256">
        <v>-2.96</v>
      </c>
      <c r="L256" t="s">
        <v>8</v>
      </c>
      <c r="M256" t="s">
        <v>8</v>
      </c>
      <c r="N256" t="s">
        <v>8</v>
      </c>
      <c r="P256">
        <f t="shared" si="959"/>
        <v>-4.4610561851940608E-2</v>
      </c>
      <c r="Q256">
        <f t="shared" si="960"/>
        <v>-16145743.791415282</v>
      </c>
      <c r="R256">
        <f t="shared" si="961"/>
        <v>7639792267.4255705</v>
      </c>
      <c r="S256">
        <f t="shared" si="962"/>
        <v>76397.922674255708</v>
      </c>
      <c r="T256">
        <f t="shared" si="963"/>
        <v>76.39792267425571</v>
      </c>
    </row>
    <row r="257" spans="1:20" x14ac:dyDescent="0.25">
      <c r="A257" s="5">
        <v>44336</v>
      </c>
      <c r="B257">
        <v>0.10856</v>
      </c>
      <c r="C257">
        <v>0.13142999999999999</v>
      </c>
      <c r="D257">
        <v>9.6210000000000004E-2</v>
      </c>
      <c r="E257">
        <v>0.12517</v>
      </c>
      <c r="F257">
        <v>298467287.19999999</v>
      </c>
      <c r="G257">
        <v>15.3</v>
      </c>
      <c r="L257" t="s">
        <v>8</v>
      </c>
      <c r="M257" t="s">
        <v>8</v>
      </c>
      <c r="N257" t="s">
        <v>8</v>
      </c>
      <c r="P257">
        <f t="shared" si="959"/>
        <v>0.64452015900056847</v>
      </c>
      <c r="Q257">
        <f t="shared" si="960"/>
        <v>192368183.40261233</v>
      </c>
      <c r="R257">
        <f t="shared" si="961"/>
        <v>7655938011.2169857</v>
      </c>
      <c r="S257">
        <f t="shared" si="962"/>
        <v>76559.380112169863</v>
      </c>
      <c r="T257">
        <f t="shared" si="963"/>
        <v>76.559380112169862</v>
      </c>
    </row>
    <row r="258" spans="1:20" x14ac:dyDescent="0.25">
      <c r="A258" s="5">
        <v>44335</v>
      </c>
      <c r="B258">
        <v>0.15526999999999999</v>
      </c>
      <c r="C258">
        <v>0.16300000000000001</v>
      </c>
      <c r="D258">
        <v>7.0230000000000001E-2</v>
      </c>
      <c r="E258">
        <v>0.10851</v>
      </c>
      <c r="F258">
        <v>580348383.39999998</v>
      </c>
      <c r="G258">
        <v>-30.12</v>
      </c>
      <c r="L258" t="s">
        <v>7</v>
      </c>
      <c r="M258" t="s">
        <v>7</v>
      </c>
      <c r="N258" t="s">
        <v>7</v>
      </c>
      <c r="P258">
        <f t="shared" si="959"/>
        <v>-0.17473321116740342</v>
      </c>
      <c r="Q258">
        <f t="shared" si="960"/>
        <v>-101406136.62729339</v>
      </c>
      <c r="R258">
        <f t="shared" si="961"/>
        <v>7463569827.814373</v>
      </c>
      <c r="S258">
        <f t="shared" si="962"/>
        <v>74635.698278143725</v>
      </c>
      <c r="T258">
        <f t="shared" si="963"/>
        <v>74.635698278143721</v>
      </c>
    </row>
    <row r="259" spans="1:20" x14ac:dyDescent="0.25">
      <c r="A259" s="5">
        <v>44334</v>
      </c>
      <c r="B259">
        <v>0.13208</v>
      </c>
      <c r="C259">
        <v>0.16317999999999999</v>
      </c>
      <c r="D259">
        <v>0.13108</v>
      </c>
      <c r="E259">
        <v>0.15518000000000001</v>
      </c>
      <c r="F259">
        <v>385533922.80000001</v>
      </c>
      <c r="G259">
        <v>17.489999999999998</v>
      </c>
      <c r="L259" t="s">
        <v>8</v>
      </c>
      <c r="M259" t="s">
        <v>8</v>
      </c>
      <c r="N259" t="s">
        <v>7</v>
      </c>
      <c r="P259">
        <f t="shared" si="959"/>
        <v>0.50155763239875506</v>
      </c>
      <c r="Q259">
        <f t="shared" si="960"/>
        <v>193367481.52897242</v>
      </c>
      <c r="R259">
        <f t="shared" si="961"/>
        <v>7564975964.4416666</v>
      </c>
      <c r="S259">
        <f t="shared" si="962"/>
        <v>75649.75964441667</v>
      </c>
      <c r="T259">
        <f t="shared" si="963"/>
        <v>75.649759644416676</v>
      </c>
    </row>
    <row r="260" spans="1:20" x14ac:dyDescent="0.25">
      <c r="A260" s="5">
        <v>44333</v>
      </c>
      <c r="B260">
        <v>0.14096</v>
      </c>
      <c r="C260">
        <v>0.1414</v>
      </c>
      <c r="D260">
        <v>0.12429</v>
      </c>
      <c r="E260">
        <v>0.13216</v>
      </c>
      <c r="F260">
        <v>176247181.30000001</v>
      </c>
      <c r="G260">
        <v>-6.24</v>
      </c>
      <c r="L260" t="s">
        <v>7</v>
      </c>
      <c r="M260" t="s">
        <v>7</v>
      </c>
      <c r="N260" t="s">
        <v>7</v>
      </c>
      <c r="P260">
        <f t="shared" si="959"/>
        <v>-8.0070134424313044E-2</v>
      </c>
      <c r="Q260">
        <f t="shared" si="960"/>
        <v>-14112135.498597274</v>
      </c>
      <c r="R260">
        <f t="shared" si="961"/>
        <v>7371608482.912694</v>
      </c>
      <c r="S260">
        <f t="shared" si="962"/>
        <v>73716.084829126936</v>
      </c>
      <c r="T260">
        <f t="shared" si="963"/>
        <v>73.716084829126942</v>
      </c>
    </row>
    <row r="261" spans="1:20" x14ac:dyDescent="0.25">
      <c r="A261" s="5">
        <v>44332</v>
      </c>
      <c r="B261">
        <v>0.13425000000000001</v>
      </c>
      <c r="C261">
        <v>0.15267</v>
      </c>
      <c r="D261">
        <v>0.13102</v>
      </c>
      <c r="E261">
        <v>0.14088999999999999</v>
      </c>
      <c r="F261">
        <v>224669342.59999999</v>
      </c>
      <c r="G261">
        <v>4.95</v>
      </c>
      <c r="L261" t="s">
        <v>8</v>
      </c>
      <c r="M261" t="s">
        <v>8</v>
      </c>
      <c r="N261" t="s">
        <v>7</v>
      </c>
      <c r="P261">
        <f t="shared" si="959"/>
        <v>-8.8221709006929452E-2</v>
      </c>
      <c r="Q261">
        <f t="shared" si="960"/>
        <v>-19820713.365635339</v>
      </c>
      <c r="R261">
        <f t="shared" si="961"/>
        <v>7385720618.4112911</v>
      </c>
      <c r="S261">
        <f t="shared" si="962"/>
        <v>73857.206184112918</v>
      </c>
      <c r="T261">
        <f t="shared" si="963"/>
        <v>73.857206184112911</v>
      </c>
    </row>
    <row r="262" spans="1:20" x14ac:dyDescent="0.25">
      <c r="A262" s="5">
        <v>44331</v>
      </c>
      <c r="B262">
        <v>0.14380999999999999</v>
      </c>
      <c r="C262">
        <v>0.14554</v>
      </c>
      <c r="D262">
        <v>0.13181000000000001</v>
      </c>
      <c r="E262">
        <v>0.13425000000000001</v>
      </c>
      <c r="F262">
        <v>159771066</v>
      </c>
      <c r="G262">
        <v>-6.65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-0.64457392571012395</v>
      </c>
      <c r="Q262">
        <f t="shared" ref="Q262:Q325" si="965">F262*P262</f>
        <v>-102984263.22651131</v>
      </c>
      <c r="R262">
        <f t="shared" ref="R262:R325" si="966">R263+Q262</f>
        <v>7405541331.776926</v>
      </c>
      <c r="S262">
        <f t="shared" ref="S262:S325" si="967">R262/100000</f>
        <v>74055.413317769257</v>
      </c>
      <c r="T262">
        <f t="shared" ref="T262:T325" si="968">S262/1000</f>
        <v>74.055413317769251</v>
      </c>
    </row>
    <row r="263" spans="1:20" x14ac:dyDescent="0.25">
      <c r="A263" s="5">
        <v>44330</v>
      </c>
      <c r="B263">
        <v>0.13522999999999999</v>
      </c>
      <c r="C263">
        <v>0.14737</v>
      </c>
      <c r="D263">
        <v>0.13417000000000001</v>
      </c>
      <c r="E263">
        <v>0.14388999999999999</v>
      </c>
      <c r="F263">
        <v>131190604.8</v>
      </c>
      <c r="G263">
        <v>6.4</v>
      </c>
      <c r="L263" t="s">
        <v>8</v>
      </c>
      <c r="M263" t="s">
        <v>7</v>
      </c>
      <c r="N263" t="s">
        <v>7</v>
      </c>
      <c r="P263">
        <f t="shared" si="964"/>
        <v>0.47272727272727066</v>
      </c>
      <c r="Q263">
        <f t="shared" si="965"/>
        <v>62017376.814545184</v>
      </c>
      <c r="R263">
        <f t="shared" si="966"/>
        <v>7508525595.003437</v>
      </c>
      <c r="S263">
        <f t="shared" si="967"/>
        <v>75085.255950034363</v>
      </c>
      <c r="T263">
        <f t="shared" si="968"/>
        <v>75.085255950034366</v>
      </c>
    </row>
    <row r="264" spans="1:20" x14ac:dyDescent="0.25">
      <c r="A264" s="5">
        <v>44329</v>
      </c>
      <c r="B264">
        <v>0.13650000000000001</v>
      </c>
      <c r="C264">
        <v>0.15</v>
      </c>
      <c r="D264">
        <v>0.125</v>
      </c>
      <c r="E264">
        <v>0.13531000000000001</v>
      </c>
      <c r="F264">
        <v>280573159.5</v>
      </c>
      <c r="G264">
        <v>-0.87</v>
      </c>
      <c r="L264" t="s">
        <v>7</v>
      </c>
      <c r="M264" t="s">
        <v>7</v>
      </c>
      <c r="N264" t="s">
        <v>7</v>
      </c>
      <c r="P264">
        <f t="shared" si="964"/>
        <v>-0.17519999999999872</v>
      </c>
      <c r="Q264">
        <f t="shared" si="965"/>
        <v>-49156417.544399641</v>
      </c>
      <c r="R264">
        <f t="shared" si="966"/>
        <v>7446508218.1888914</v>
      </c>
      <c r="S264">
        <f t="shared" si="967"/>
        <v>74465.082181888909</v>
      </c>
      <c r="T264">
        <f t="shared" si="968"/>
        <v>74.465082181888903</v>
      </c>
    </row>
    <row r="265" spans="1:20" x14ac:dyDescent="0.25">
      <c r="A265" s="5">
        <v>44328</v>
      </c>
      <c r="B265">
        <v>0.15837000000000001</v>
      </c>
      <c r="C265">
        <v>0.16239000000000001</v>
      </c>
      <c r="D265">
        <v>0.13098000000000001</v>
      </c>
      <c r="E265">
        <v>0.13672000000000001</v>
      </c>
      <c r="F265">
        <v>165193437.09999999</v>
      </c>
      <c r="G265">
        <v>-13.67</v>
      </c>
      <c r="L265" t="s">
        <v>8</v>
      </c>
      <c r="M265" t="s">
        <v>7</v>
      </c>
      <c r="N265" t="s">
        <v>7</v>
      </c>
      <c r="P265">
        <f t="shared" si="964"/>
        <v>-0.63451130213307882</v>
      </c>
      <c r="Q265">
        <f t="shared" si="965"/>
        <v>-104817102.87815985</v>
      </c>
      <c r="R265">
        <f t="shared" si="966"/>
        <v>7495664635.7332907</v>
      </c>
      <c r="S265">
        <f t="shared" si="967"/>
        <v>74956.646357332909</v>
      </c>
      <c r="T265">
        <f t="shared" si="968"/>
        <v>74.956646357332914</v>
      </c>
    </row>
    <row r="266" spans="1:20" x14ac:dyDescent="0.25">
      <c r="A266" s="5">
        <v>44327</v>
      </c>
      <c r="B266">
        <v>0.14287</v>
      </c>
      <c r="C266">
        <v>0.1595</v>
      </c>
      <c r="D266">
        <v>0.14019999999999999</v>
      </c>
      <c r="E266">
        <v>0.15837999999999999</v>
      </c>
      <c r="F266">
        <v>138320696</v>
      </c>
      <c r="G266">
        <v>10.86</v>
      </c>
      <c r="L266" t="s">
        <v>8</v>
      </c>
      <c r="M266" t="s">
        <v>7</v>
      </c>
      <c r="N266" t="s">
        <v>8</v>
      </c>
      <c r="P266">
        <f t="shared" si="964"/>
        <v>0.88393782383419595</v>
      </c>
      <c r="Q266">
        <f t="shared" si="965"/>
        <v>122266895.01347136</v>
      </c>
      <c r="R266">
        <f t="shared" si="966"/>
        <v>7600481738.6114502</v>
      </c>
      <c r="S266">
        <f t="shared" si="967"/>
        <v>76004.817386114504</v>
      </c>
      <c r="T266">
        <f t="shared" si="968"/>
        <v>76.00481738611451</v>
      </c>
    </row>
    <row r="267" spans="1:20" x14ac:dyDescent="0.25">
      <c r="A267" s="5">
        <v>44326</v>
      </c>
      <c r="B267">
        <v>0.15809000000000001</v>
      </c>
      <c r="C267">
        <v>0.16274</v>
      </c>
      <c r="D267">
        <v>0.1371</v>
      </c>
      <c r="E267">
        <v>0.14287</v>
      </c>
      <c r="F267">
        <v>215715951.59999999</v>
      </c>
      <c r="G267">
        <v>-9.6300000000000008</v>
      </c>
      <c r="L267" t="s">
        <v>7</v>
      </c>
      <c r="M267" t="s">
        <v>7</v>
      </c>
      <c r="N267" t="s">
        <v>8</v>
      </c>
      <c r="P267">
        <f t="shared" si="964"/>
        <v>-0.54992199687987531</v>
      </c>
      <c r="Q267">
        <f t="shared" si="965"/>
        <v>-118626946.86271453</v>
      </c>
      <c r="R267">
        <f t="shared" si="966"/>
        <v>7478214843.5979786</v>
      </c>
      <c r="S267">
        <f t="shared" si="967"/>
        <v>74782.148435979791</v>
      </c>
      <c r="T267">
        <f t="shared" si="968"/>
        <v>74.782148435979792</v>
      </c>
    </row>
    <row r="268" spans="1:20" x14ac:dyDescent="0.25">
      <c r="A268" s="5">
        <v>44325</v>
      </c>
      <c r="B268">
        <v>0.16058</v>
      </c>
      <c r="C268">
        <v>0.16199</v>
      </c>
      <c r="D268">
        <v>0.15257999999999999</v>
      </c>
      <c r="E268">
        <v>0.15808</v>
      </c>
      <c r="F268">
        <v>134592528.5</v>
      </c>
      <c r="G268">
        <v>-1.56</v>
      </c>
      <c r="L268" t="s">
        <v>7</v>
      </c>
      <c r="M268" t="s">
        <v>7</v>
      </c>
      <c r="N268" t="s">
        <v>8</v>
      </c>
      <c r="P268">
        <f t="shared" si="964"/>
        <v>0.16896918172157363</v>
      </c>
      <c r="Q268">
        <f t="shared" si="965"/>
        <v>22741989.406482577</v>
      </c>
      <c r="R268">
        <f t="shared" si="966"/>
        <v>7596841790.4606934</v>
      </c>
      <c r="S268">
        <f t="shared" si="967"/>
        <v>75968.417904606933</v>
      </c>
      <c r="T268">
        <f t="shared" si="968"/>
        <v>75.968417904606937</v>
      </c>
    </row>
    <row r="269" spans="1:20" x14ac:dyDescent="0.25">
      <c r="A269" s="5">
        <v>44324</v>
      </c>
      <c r="B269">
        <v>0.16259000000000001</v>
      </c>
      <c r="C269">
        <v>0.16761999999999999</v>
      </c>
      <c r="D269">
        <v>0.15870999999999999</v>
      </c>
      <c r="E269">
        <v>0.16058</v>
      </c>
      <c r="F269">
        <v>118651703</v>
      </c>
      <c r="G269">
        <v>-1.24</v>
      </c>
      <c r="L269" t="s">
        <v>7</v>
      </c>
      <c r="M269" t="s">
        <v>7</v>
      </c>
      <c r="N269" t="s">
        <v>8</v>
      </c>
      <c r="P269">
        <f t="shared" si="964"/>
        <v>-0.58024691358024461</v>
      </c>
      <c r="Q269">
        <f t="shared" si="965"/>
        <v>-68847284.456789851</v>
      </c>
      <c r="R269">
        <f t="shared" si="966"/>
        <v>7574099801.0542107</v>
      </c>
      <c r="S269">
        <f t="shared" si="967"/>
        <v>75740.998010542113</v>
      </c>
      <c r="T269">
        <f t="shared" si="968"/>
        <v>75.740998010542114</v>
      </c>
    </row>
    <row r="270" spans="1:20" x14ac:dyDescent="0.25">
      <c r="A270" s="5">
        <v>44323</v>
      </c>
      <c r="B270">
        <v>0.15905</v>
      </c>
      <c r="C270">
        <v>0.17</v>
      </c>
      <c r="D270">
        <v>0.15567</v>
      </c>
      <c r="E270">
        <v>0.16245999999999999</v>
      </c>
      <c r="F270">
        <v>172545264.40000001</v>
      </c>
      <c r="G270">
        <v>2.14</v>
      </c>
      <c r="L270" t="s">
        <v>7</v>
      </c>
      <c r="M270" t="s">
        <v>7</v>
      </c>
      <c r="N270" t="s">
        <v>8</v>
      </c>
      <c r="P270">
        <f t="shared" si="964"/>
        <v>-5.2337752965807949E-2</v>
      </c>
      <c r="Q270">
        <f t="shared" si="965"/>
        <v>-9030631.4235872161</v>
      </c>
      <c r="R270">
        <f t="shared" si="966"/>
        <v>7642947085.5110006</v>
      </c>
      <c r="S270">
        <f t="shared" si="967"/>
        <v>76429.470855110005</v>
      </c>
      <c r="T270">
        <f t="shared" si="968"/>
        <v>76.429470855110011</v>
      </c>
    </row>
    <row r="271" spans="1:20" x14ac:dyDescent="0.25">
      <c r="A271" s="5">
        <v>44322</v>
      </c>
      <c r="B271">
        <v>0.16345000000000001</v>
      </c>
      <c r="C271">
        <v>0.17399999999999999</v>
      </c>
      <c r="D271">
        <v>0.15490000000000001</v>
      </c>
      <c r="E271">
        <v>0.15911</v>
      </c>
      <c r="F271">
        <v>186839954.30000001</v>
      </c>
      <c r="G271">
        <v>-2.66</v>
      </c>
      <c r="L271" t="s">
        <v>8</v>
      </c>
      <c r="M271" t="s">
        <v>7</v>
      </c>
      <c r="N271" t="s">
        <v>8</v>
      </c>
      <c r="P271">
        <f t="shared" si="964"/>
        <v>-0.55916230366492181</v>
      </c>
      <c r="Q271">
        <f t="shared" si="965"/>
        <v>-104473859.26303671</v>
      </c>
      <c r="R271">
        <f t="shared" si="966"/>
        <v>7651977716.9345875</v>
      </c>
      <c r="S271">
        <f t="shared" si="967"/>
        <v>76519.777169345878</v>
      </c>
      <c r="T271">
        <f t="shared" si="968"/>
        <v>76.519777169345872</v>
      </c>
    </row>
    <row r="272" spans="1:20" x14ac:dyDescent="0.25">
      <c r="A272" s="5">
        <v>44321</v>
      </c>
      <c r="B272">
        <v>0.15390999999999999</v>
      </c>
      <c r="C272">
        <v>0.16628999999999999</v>
      </c>
      <c r="D272">
        <v>0.1525</v>
      </c>
      <c r="E272">
        <v>0.16359000000000001</v>
      </c>
      <c r="F272">
        <v>159069363.69999999</v>
      </c>
      <c r="G272">
        <v>6.29</v>
      </c>
      <c r="L272" t="s">
        <v>8</v>
      </c>
      <c r="M272" t="s">
        <v>7</v>
      </c>
      <c r="N272" t="s">
        <v>8</v>
      </c>
      <c r="P272">
        <f t="shared" si="964"/>
        <v>0.60841189267585483</v>
      </c>
      <c r="Q272">
        <f t="shared" si="965"/>
        <v>96779692.635460913</v>
      </c>
      <c r="R272">
        <f t="shared" si="966"/>
        <v>7756451576.1976242</v>
      </c>
      <c r="S272">
        <f t="shared" si="967"/>
        <v>77564.515761976247</v>
      </c>
      <c r="T272">
        <f t="shared" si="968"/>
        <v>77.564515761976253</v>
      </c>
    </row>
    <row r="273" spans="1:20" x14ac:dyDescent="0.25">
      <c r="A273" s="5">
        <v>44320</v>
      </c>
      <c r="B273">
        <v>0.16997999999999999</v>
      </c>
      <c r="C273">
        <v>0.17354</v>
      </c>
      <c r="D273">
        <v>0.151</v>
      </c>
      <c r="E273">
        <v>0.15403</v>
      </c>
      <c r="F273">
        <v>196100937</v>
      </c>
      <c r="G273">
        <v>-9.3800000000000008</v>
      </c>
      <c r="L273" t="s">
        <v>7</v>
      </c>
      <c r="M273" t="s">
        <v>7</v>
      </c>
      <c r="N273" t="s">
        <v>8</v>
      </c>
      <c r="P273">
        <f t="shared" si="964"/>
        <v>-0.7311446317657494</v>
      </c>
      <c r="Q273">
        <f t="shared" si="965"/>
        <v>-143378147.37178344</v>
      </c>
      <c r="R273">
        <f t="shared" si="966"/>
        <v>7659671883.5621634</v>
      </c>
      <c r="S273">
        <f t="shared" si="967"/>
        <v>76596.718835621636</v>
      </c>
      <c r="T273">
        <f t="shared" si="968"/>
        <v>76.59671883562163</v>
      </c>
    </row>
    <row r="274" spans="1:20" x14ac:dyDescent="0.25">
      <c r="A274" s="5">
        <v>44319</v>
      </c>
      <c r="B274">
        <v>0.17130999999999999</v>
      </c>
      <c r="C274">
        <v>0.18043000000000001</v>
      </c>
      <c r="D274">
        <v>0.16924</v>
      </c>
      <c r="E274">
        <v>0.16986999999999999</v>
      </c>
      <c r="F274">
        <v>158109394.90000001</v>
      </c>
      <c r="G274">
        <v>-0.84</v>
      </c>
      <c r="L274" t="s">
        <v>8</v>
      </c>
      <c r="M274" t="s">
        <v>8</v>
      </c>
      <c r="N274" t="s">
        <v>8</v>
      </c>
      <c r="P274">
        <f t="shared" si="964"/>
        <v>-0.8873994638069721</v>
      </c>
      <c r="Q274">
        <f t="shared" si="965"/>
        <v>-140306192.25710481</v>
      </c>
      <c r="R274">
        <f t="shared" si="966"/>
        <v>7803050030.9339466</v>
      </c>
      <c r="S274">
        <f t="shared" si="967"/>
        <v>78030.500309339463</v>
      </c>
      <c r="T274">
        <f t="shared" si="968"/>
        <v>78.030500309339459</v>
      </c>
    </row>
    <row r="275" spans="1:20" x14ac:dyDescent="0.25">
      <c r="A275" s="5">
        <v>44318</v>
      </c>
      <c r="B275">
        <v>0.17805000000000001</v>
      </c>
      <c r="C275">
        <v>0.17852000000000001</v>
      </c>
      <c r="D275">
        <v>0.16514000000000001</v>
      </c>
      <c r="E275">
        <v>0.17122999999999999</v>
      </c>
      <c r="F275">
        <v>127017511</v>
      </c>
      <c r="G275">
        <v>-3.83</v>
      </c>
      <c r="L275" t="s">
        <v>7</v>
      </c>
      <c r="M275" t="s">
        <v>8</v>
      </c>
      <c r="N275" t="s">
        <v>8</v>
      </c>
      <c r="P275">
        <f t="shared" si="964"/>
        <v>-8.9686098654711069E-2</v>
      </c>
      <c r="Q275">
        <f t="shared" si="965"/>
        <v>-11391705.022421848</v>
      </c>
      <c r="R275">
        <f t="shared" si="966"/>
        <v>7943356223.1910515</v>
      </c>
      <c r="S275">
        <f t="shared" si="967"/>
        <v>79433.562231910517</v>
      </c>
      <c r="T275">
        <f t="shared" si="968"/>
        <v>79.433562231910514</v>
      </c>
    </row>
    <row r="276" spans="1:20" x14ac:dyDescent="0.25">
      <c r="A276" s="5">
        <v>44317</v>
      </c>
      <c r="B276">
        <v>0.17705000000000001</v>
      </c>
      <c r="C276">
        <v>0.19</v>
      </c>
      <c r="D276">
        <v>0.17213999999999999</v>
      </c>
      <c r="E276">
        <v>0.17810000000000001</v>
      </c>
      <c r="F276">
        <v>258934225.90000001</v>
      </c>
      <c r="G276">
        <v>0.59</v>
      </c>
      <c r="L276" t="s">
        <v>8</v>
      </c>
      <c r="M276" t="s">
        <v>8</v>
      </c>
      <c r="N276" t="s">
        <v>8</v>
      </c>
      <c r="P276">
        <f t="shared" si="964"/>
        <v>-0.33258678611421993</v>
      </c>
      <c r="Q276">
        <f t="shared" si="965"/>
        <v>-86118102.007054403</v>
      </c>
      <c r="R276">
        <f t="shared" si="966"/>
        <v>7954747928.2134733</v>
      </c>
      <c r="S276">
        <f t="shared" si="967"/>
        <v>79547.479282134736</v>
      </c>
      <c r="T276">
        <f t="shared" si="968"/>
        <v>79.547479282134731</v>
      </c>
    </row>
    <row r="277" spans="1:20" x14ac:dyDescent="0.25">
      <c r="A277" s="5">
        <v>44316</v>
      </c>
      <c r="B277">
        <v>0.16446</v>
      </c>
      <c r="C277">
        <v>0.17774000000000001</v>
      </c>
      <c r="D277">
        <v>0.16039</v>
      </c>
      <c r="E277">
        <v>0.17705000000000001</v>
      </c>
      <c r="F277">
        <v>193874934.69999999</v>
      </c>
      <c r="G277">
        <v>7.66</v>
      </c>
      <c r="L277" t="s">
        <v>8</v>
      </c>
      <c r="M277" t="s">
        <v>7</v>
      </c>
      <c r="N277" t="s">
        <v>8</v>
      </c>
      <c r="P277">
        <f t="shared" si="964"/>
        <v>0.92046109510086505</v>
      </c>
      <c r="Q277">
        <f t="shared" si="965"/>
        <v>178454334.70657068</v>
      </c>
      <c r="R277">
        <f t="shared" si="966"/>
        <v>8040866030.2205276</v>
      </c>
      <c r="S277">
        <f t="shared" si="967"/>
        <v>80408.660302205273</v>
      </c>
      <c r="T277">
        <f t="shared" si="968"/>
        <v>80.408660302205277</v>
      </c>
    </row>
    <row r="278" spans="1:20" x14ac:dyDescent="0.25">
      <c r="A278" s="5">
        <v>44315</v>
      </c>
      <c r="B278">
        <v>0.17299</v>
      </c>
      <c r="C278">
        <v>0.17327999999999999</v>
      </c>
      <c r="D278">
        <v>0.15615000000000001</v>
      </c>
      <c r="E278">
        <v>0.16434000000000001</v>
      </c>
      <c r="F278">
        <v>247500697.19999999</v>
      </c>
      <c r="G278">
        <v>-5</v>
      </c>
      <c r="L278" t="s">
        <v>7</v>
      </c>
      <c r="M278" t="s">
        <v>7</v>
      </c>
      <c r="N278" t="s">
        <v>8</v>
      </c>
      <c r="P278">
        <f t="shared" si="964"/>
        <v>-4.3782837127844358E-2</v>
      </c>
      <c r="Q278">
        <f t="shared" si="965"/>
        <v>-10836282.714535523</v>
      </c>
      <c r="R278">
        <f t="shared" si="966"/>
        <v>7862411695.513957</v>
      </c>
      <c r="S278">
        <f t="shared" si="967"/>
        <v>78624.116955139572</v>
      </c>
      <c r="T278">
        <f t="shared" si="968"/>
        <v>78.62411695513957</v>
      </c>
    </row>
    <row r="279" spans="1:20" x14ac:dyDescent="0.25">
      <c r="A279" s="5">
        <v>44314</v>
      </c>
      <c r="B279">
        <v>0.15353</v>
      </c>
      <c r="C279">
        <v>0.18229999999999999</v>
      </c>
      <c r="D279">
        <v>0.15321000000000001</v>
      </c>
      <c r="E279">
        <v>0.17280000000000001</v>
      </c>
      <c r="F279">
        <v>531888665.60000002</v>
      </c>
      <c r="G279">
        <v>12.55</v>
      </c>
      <c r="L279" t="s">
        <v>8</v>
      </c>
      <c r="M279" t="s">
        <v>8</v>
      </c>
      <c r="N279" t="s">
        <v>8</v>
      </c>
      <c r="P279">
        <f t="shared" si="964"/>
        <v>0.3468545892059135</v>
      </c>
      <c r="Q279">
        <f t="shared" si="965"/>
        <v>184488024.6099695</v>
      </c>
      <c r="R279">
        <f t="shared" si="966"/>
        <v>7873247978.2284927</v>
      </c>
      <c r="S279">
        <f t="shared" si="967"/>
        <v>78732.479782284921</v>
      </c>
      <c r="T279">
        <f t="shared" si="968"/>
        <v>78.732479782284926</v>
      </c>
    </row>
    <row r="280" spans="1:20" x14ac:dyDescent="0.25">
      <c r="A280" s="5">
        <v>44313</v>
      </c>
      <c r="B280">
        <v>0.14581</v>
      </c>
      <c r="C280">
        <v>0.16</v>
      </c>
      <c r="D280">
        <v>0.14194000000000001</v>
      </c>
      <c r="E280">
        <v>0.15348999999999999</v>
      </c>
      <c r="F280">
        <v>187467544.5</v>
      </c>
      <c r="G280">
        <v>5.27</v>
      </c>
      <c r="L280" t="s">
        <v>8</v>
      </c>
      <c r="M280" t="s">
        <v>8</v>
      </c>
      <c r="N280" t="s">
        <v>8</v>
      </c>
      <c r="P280">
        <f t="shared" si="964"/>
        <v>0.27906976744185841</v>
      </c>
      <c r="Q280">
        <f t="shared" si="965"/>
        <v>52316524.04651124</v>
      </c>
      <c r="R280">
        <f t="shared" si="966"/>
        <v>7688759953.6185236</v>
      </c>
      <c r="S280">
        <f t="shared" si="967"/>
        <v>76887.59953618524</v>
      </c>
      <c r="T280">
        <f t="shared" si="968"/>
        <v>76.887599536185235</v>
      </c>
    </row>
    <row r="281" spans="1:20" x14ac:dyDescent="0.25">
      <c r="A281" s="5">
        <v>44312</v>
      </c>
      <c r="B281">
        <v>0.12590999999999999</v>
      </c>
      <c r="C281">
        <v>0.14738999999999999</v>
      </c>
      <c r="D281">
        <v>0.124</v>
      </c>
      <c r="E281">
        <v>0.14609</v>
      </c>
      <c r="F281">
        <v>235325379.19999999</v>
      </c>
      <c r="G281">
        <v>16.03</v>
      </c>
      <c r="L281" t="s">
        <v>8</v>
      </c>
      <c r="M281" t="s">
        <v>8</v>
      </c>
      <c r="N281" t="s">
        <v>7</v>
      </c>
      <c r="P281">
        <f t="shared" si="964"/>
        <v>0.8888413852073539</v>
      </c>
      <c r="Q281">
        <f t="shared" si="965"/>
        <v>209166936.02257383</v>
      </c>
      <c r="R281">
        <f t="shared" si="966"/>
        <v>7636443429.5720119</v>
      </c>
      <c r="S281">
        <f t="shared" si="967"/>
        <v>76364.434295720115</v>
      </c>
      <c r="T281">
        <f t="shared" si="968"/>
        <v>76.364434295720116</v>
      </c>
    </row>
    <row r="282" spans="1:20" x14ac:dyDescent="0.25">
      <c r="A282" s="5">
        <v>44311</v>
      </c>
      <c r="B282">
        <v>0.124206</v>
      </c>
      <c r="C282">
        <v>0.13500000000000001</v>
      </c>
      <c r="D282">
        <v>0.11731999999999999</v>
      </c>
      <c r="E282">
        <v>0.12597</v>
      </c>
      <c r="F282">
        <v>137669732</v>
      </c>
      <c r="G282">
        <v>1.42</v>
      </c>
      <c r="L282" t="s">
        <v>7</v>
      </c>
      <c r="M282" t="s">
        <v>8</v>
      </c>
      <c r="N282" t="s">
        <v>7</v>
      </c>
      <c r="P282">
        <f t="shared" si="964"/>
        <v>-2.1493212669683542E-2</v>
      </c>
      <c r="Q282">
        <f t="shared" si="965"/>
        <v>-2958964.8280543378</v>
      </c>
      <c r="R282">
        <f t="shared" si="966"/>
        <v>7427276493.5494385</v>
      </c>
      <c r="S282">
        <f t="shared" si="967"/>
        <v>74272.764935494386</v>
      </c>
      <c r="T282">
        <f t="shared" si="968"/>
        <v>74.272764935494379</v>
      </c>
    </row>
    <row r="283" spans="1:20" x14ac:dyDescent="0.25">
      <c r="A283" s="5">
        <v>44310</v>
      </c>
      <c r="B283">
        <v>0.136911</v>
      </c>
      <c r="C283">
        <v>0.13841400000000001</v>
      </c>
      <c r="D283">
        <v>0.123501</v>
      </c>
      <c r="E283">
        <v>0.124463</v>
      </c>
      <c r="F283">
        <v>214473117</v>
      </c>
      <c r="G283">
        <v>-9.09</v>
      </c>
      <c r="L283" t="s">
        <v>8</v>
      </c>
      <c r="M283" t="s">
        <v>8</v>
      </c>
      <c r="N283" t="s">
        <v>7</v>
      </c>
      <c r="P283">
        <f t="shared" si="964"/>
        <v>-0.87098504660363385</v>
      </c>
      <c r="Q283">
        <f t="shared" si="965"/>
        <v>-186802877.80547163</v>
      </c>
      <c r="R283">
        <f t="shared" si="966"/>
        <v>7430235458.3774929</v>
      </c>
      <c r="S283">
        <f t="shared" si="967"/>
        <v>74302.354583774926</v>
      </c>
      <c r="T283">
        <f t="shared" si="968"/>
        <v>74.302354583774928</v>
      </c>
    </row>
    <row r="284" spans="1:20" x14ac:dyDescent="0.25">
      <c r="A284" s="5">
        <v>44309</v>
      </c>
      <c r="B284">
        <v>0.13261700000000001</v>
      </c>
      <c r="C284">
        <v>0.138657</v>
      </c>
      <c r="D284">
        <v>0.10199999999999999</v>
      </c>
      <c r="E284">
        <v>0.137018</v>
      </c>
      <c r="F284">
        <v>465977006</v>
      </c>
      <c r="G284">
        <v>3.32</v>
      </c>
      <c r="L284" t="s">
        <v>7</v>
      </c>
      <c r="M284" t="s">
        <v>7</v>
      </c>
      <c r="N284" t="s">
        <v>7</v>
      </c>
      <c r="P284">
        <f t="shared" si="964"/>
        <v>0.91057642469378286</v>
      </c>
      <c r="Q284">
        <f t="shared" si="965"/>
        <v>424307676.11299342</v>
      </c>
      <c r="R284">
        <f t="shared" si="966"/>
        <v>7617038336.1829643</v>
      </c>
      <c r="S284">
        <f t="shared" si="967"/>
        <v>76170.383361829648</v>
      </c>
      <c r="T284">
        <f t="shared" si="968"/>
        <v>76.17038336182965</v>
      </c>
    </row>
    <row r="285" spans="1:20" x14ac:dyDescent="0.25">
      <c r="A285" s="5">
        <v>44308</v>
      </c>
      <c r="B285">
        <v>0.147289</v>
      </c>
      <c r="C285">
        <v>0.15286</v>
      </c>
      <c r="D285">
        <v>0.12820100000000001</v>
      </c>
      <c r="E285">
        <v>0.13261500000000001</v>
      </c>
      <c r="F285">
        <v>296801437</v>
      </c>
      <c r="G285">
        <v>-9.9600000000000009</v>
      </c>
      <c r="L285" t="s">
        <v>7</v>
      </c>
      <c r="M285" t="s">
        <v>7</v>
      </c>
      <c r="N285" t="s">
        <v>7</v>
      </c>
      <c r="P285">
        <f t="shared" si="964"/>
        <v>-0.64199683685469777</v>
      </c>
      <c r="Q285">
        <f t="shared" si="965"/>
        <v>-190545583.72792885</v>
      </c>
      <c r="R285">
        <f t="shared" si="966"/>
        <v>7192730660.0699711</v>
      </c>
      <c r="S285">
        <f t="shared" si="967"/>
        <v>71927.306600699711</v>
      </c>
      <c r="T285">
        <f t="shared" si="968"/>
        <v>71.927306600699708</v>
      </c>
    </row>
    <row r="286" spans="1:20" x14ac:dyDescent="0.25">
      <c r="A286" s="5">
        <v>44307</v>
      </c>
      <c r="B286">
        <v>0.153471</v>
      </c>
      <c r="C286">
        <v>0.15939999999999999</v>
      </c>
      <c r="D286">
        <v>0.146117</v>
      </c>
      <c r="E286">
        <v>0.14722499999999999</v>
      </c>
      <c r="F286">
        <v>214306596</v>
      </c>
      <c r="G286">
        <v>-4.07</v>
      </c>
      <c r="L286" t="s">
        <v>8</v>
      </c>
      <c r="M286" t="s">
        <v>8</v>
      </c>
      <c r="N286" t="s">
        <v>7</v>
      </c>
      <c r="P286">
        <f t="shared" si="964"/>
        <v>-0.83317021757133192</v>
      </c>
      <c r="Q286">
        <f t="shared" si="965"/>
        <v>-178553873.21629152</v>
      </c>
      <c r="R286">
        <f t="shared" si="966"/>
        <v>7383276243.7979002</v>
      </c>
      <c r="S286">
        <f t="shared" si="967"/>
        <v>73832.762437979007</v>
      </c>
      <c r="T286">
        <f t="shared" si="968"/>
        <v>73.832762437979014</v>
      </c>
    </row>
    <row r="287" spans="1:20" x14ac:dyDescent="0.25">
      <c r="A287" s="5">
        <v>44306</v>
      </c>
      <c r="B287">
        <v>0.150732</v>
      </c>
      <c r="C287">
        <v>0.156</v>
      </c>
      <c r="D287">
        <v>0.13500000000000001</v>
      </c>
      <c r="E287">
        <v>0.1537</v>
      </c>
      <c r="F287">
        <v>292102168</v>
      </c>
      <c r="G287">
        <v>1.97</v>
      </c>
      <c r="L287" t="s">
        <v>7</v>
      </c>
      <c r="M287" t="s">
        <v>7</v>
      </c>
      <c r="N287" t="s">
        <v>7</v>
      </c>
      <c r="P287">
        <f t="shared" si="964"/>
        <v>0.78095238095238118</v>
      </c>
      <c r="Q287">
        <f t="shared" si="965"/>
        <v>228117883.58095244</v>
      </c>
      <c r="R287">
        <f t="shared" si="966"/>
        <v>7561830117.0141916</v>
      </c>
      <c r="S287">
        <f t="shared" si="967"/>
        <v>75618.301170141916</v>
      </c>
      <c r="T287">
        <f t="shared" si="968"/>
        <v>75.618301170141919</v>
      </c>
    </row>
    <row r="288" spans="1:20" x14ac:dyDescent="0.25">
      <c r="A288" s="5">
        <v>44305</v>
      </c>
      <c r="B288">
        <v>0.16584199999999999</v>
      </c>
      <c r="C288">
        <v>0.17</v>
      </c>
      <c r="D288">
        <v>0.148228</v>
      </c>
      <c r="E288">
        <v>0.15045500000000001</v>
      </c>
      <c r="F288">
        <v>283486651</v>
      </c>
      <c r="G288">
        <v>-9.2799999999999994</v>
      </c>
      <c r="L288" t="s">
        <v>8</v>
      </c>
      <c r="M288" t="s">
        <v>7</v>
      </c>
      <c r="N288" t="s">
        <v>7</v>
      </c>
      <c r="P288">
        <f t="shared" si="964"/>
        <v>-0.7954253169208152</v>
      </c>
      <c r="Q288">
        <f t="shared" si="965"/>
        <v>-225492459.21449554</v>
      </c>
      <c r="R288">
        <f t="shared" si="966"/>
        <v>7333712233.433239</v>
      </c>
      <c r="S288">
        <f t="shared" si="967"/>
        <v>73337.122334332395</v>
      </c>
      <c r="T288">
        <f t="shared" si="968"/>
        <v>73.337122334332392</v>
      </c>
    </row>
    <row r="289" spans="1:20" x14ac:dyDescent="0.25">
      <c r="A289" s="5">
        <v>44304</v>
      </c>
      <c r="B289">
        <v>0.18589700000000001</v>
      </c>
      <c r="C289">
        <v>0.192216</v>
      </c>
      <c r="D289">
        <v>0.14254500000000001</v>
      </c>
      <c r="E289">
        <v>0.16572400000000001</v>
      </c>
      <c r="F289">
        <v>469456628</v>
      </c>
      <c r="G289">
        <v>-10.85</v>
      </c>
      <c r="L289" t="s">
        <v>7</v>
      </c>
      <c r="M289" t="s">
        <v>7</v>
      </c>
      <c r="N289" t="s">
        <v>7</v>
      </c>
      <c r="P289">
        <f t="shared" si="964"/>
        <v>-6.6698878621328006E-2</v>
      </c>
      <c r="Q289">
        <f t="shared" si="965"/>
        <v>-31312230.648949936</v>
      </c>
      <c r="R289">
        <f t="shared" si="966"/>
        <v>7559204692.6477346</v>
      </c>
      <c r="S289">
        <f t="shared" si="967"/>
        <v>75592.046926477342</v>
      </c>
      <c r="T289">
        <f t="shared" si="968"/>
        <v>75.592046926477337</v>
      </c>
    </row>
    <row r="290" spans="1:20" x14ac:dyDescent="0.25">
      <c r="A290" s="5">
        <v>44303</v>
      </c>
      <c r="B290">
        <v>0.183977</v>
      </c>
      <c r="C290">
        <v>0.205896</v>
      </c>
      <c r="D290">
        <v>0.17635500000000001</v>
      </c>
      <c r="E290">
        <v>0.18590400000000001</v>
      </c>
      <c r="F290">
        <v>565895965</v>
      </c>
      <c r="G290">
        <v>1.05</v>
      </c>
      <c r="L290" t="s">
        <v>7</v>
      </c>
      <c r="M290" t="s">
        <v>8</v>
      </c>
      <c r="N290" t="s">
        <v>8</v>
      </c>
      <c r="P290">
        <f t="shared" si="964"/>
        <v>-0.35350868284756731</v>
      </c>
      <c r="Q290">
        <f t="shared" si="965"/>
        <v>-200049137.21590304</v>
      </c>
      <c r="R290">
        <f t="shared" si="966"/>
        <v>7590516923.2966843</v>
      </c>
      <c r="S290">
        <f t="shared" si="967"/>
        <v>75905.169232966844</v>
      </c>
      <c r="T290">
        <f t="shared" si="968"/>
        <v>75.905169232966841</v>
      </c>
    </row>
    <row r="291" spans="1:20" x14ac:dyDescent="0.25">
      <c r="A291" s="5">
        <v>44302</v>
      </c>
      <c r="B291">
        <v>0.17226</v>
      </c>
      <c r="C291">
        <v>0.20599899999999999</v>
      </c>
      <c r="D291">
        <v>0.160635</v>
      </c>
      <c r="E291">
        <v>0.183979</v>
      </c>
      <c r="F291">
        <v>1176148010</v>
      </c>
      <c r="G291">
        <v>6.8</v>
      </c>
      <c r="L291" t="s">
        <v>8</v>
      </c>
      <c r="M291" t="s">
        <v>8</v>
      </c>
      <c r="N291" t="s">
        <v>8</v>
      </c>
      <c r="P291">
        <f t="shared" si="964"/>
        <v>2.9186138788467066E-2</v>
      </c>
      <c r="Q291">
        <f t="shared" si="965"/>
        <v>34327219.055639349</v>
      </c>
      <c r="R291">
        <f t="shared" si="966"/>
        <v>7790566060.5125875</v>
      </c>
      <c r="S291">
        <f t="shared" si="967"/>
        <v>77905.660605125871</v>
      </c>
      <c r="T291">
        <f t="shared" si="968"/>
        <v>77.905660605125874</v>
      </c>
    </row>
    <row r="292" spans="1:20" x14ac:dyDescent="0.25">
      <c r="A292" s="5">
        <v>44301</v>
      </c>
      <c r="B292">
        <v>0.15598100000000001</v>
      </c>
      <c r="C292">
        <v>0.17399999999999999</v>
      </c>
      <c r="D292">
        <v>0.153668</v>
      </c>
      <c r="E292">
        <v>0.17238999999999999</v>
      </c>
      <c r="F292">
        <v>322657903</v>
      </c>
      <c r="G292">
        <v>10.52</v>
      </c>
      <c r="L292" t="s">
        <v>8</v>
      </c>
      <c r="M292" t="s">
        <v>8</v>
      </c>
      <c r="N292" t="s">
        <v>8</v>
      </c>
      <c r="P292">
        <f t="shared" si="964"/>
        <v>0.841628959276018</v>
      </c>
      <c r="Q292">
        <f t="shared" si="965"/>
        <v>271558235.10407239</v>
      </c>
      <c r="R292">
        <f t="shared" si="966"/>
        <v>7756238841.4569483</v>
      </c>
      <c r="S292">
        <f t="shared" si="967"/>
        <v>77562.388414569476</v>
      </c>
      <c r="T292">
        <f t="shared" si="968"/>
        <v>77.562388414569469</v>
      </c>
    </row>
    <row r="293" spans="1:20" x14ac:dyDescent="0.25">
      <c r="A293" s="5">
        <v>44300</v>
      </c>
      <c r="B293">
        <v>0.16399900000000001</v>
      </c>
      <c r="C293">
        <v>0.16500000000000001</v>
      </c>
      <c r="D293">
        <v>0.149446</v>
      </c>
      <c r="E293">
        <v>0.15611700000000001</v>
      </c>
      <c r="F293">
        <v>268091110</v>
      </c>
      <c r="G293">
        <v>-4.8099999999999996</v>
      </c>
      <c r="L293" t="s">
        <v>8</v>
      </c>
      <c r="M293" t="s">
        <v>8</v>
      </c>
      <c r="N293" t="s">
        <v>8</v>
      </c>
      <c r="P293">
        <f t="shared" si="964"/>
        <v>-0.14221422142214157</v>
      </c>
      <c r="Q293">
        <f t="shared" si="965"/>
        <v>-38126368.478847712</v>
      </c>
      <c r="R293">
        <f t="shared" si="966"/>
        <v>7484680606.3528757</v>
      </c>
      <c r="S293">
        <f t="shared" si="967"/>
        <v>74846.806063528755</v>
      </c>
      <c r="T293">
        <f t="shared" si="968"/>
        <v>74.84680606352876</v>
      </c>
    </row>
    <row r="294" spans="1:20" x14ac:dyDescent="0.25">
      <c r="A294" s="5">
        <v>44299</v>
      </c>
      <c r="B294">
        <v>0.159326</v>
      </c>
      <c r="C294">
        <v>0.164989</v>
      </c>
      <c r="D294">
        <v>0.150445</v>
      </c>
      <c r="E294">
        <v>0.16400000000000001</v>
      </c>
      <c r="F294">
        <v>336280784</v>
      </c>
      <c r="G294">
        <v>2.93</v>
      </c>
      <c r="L294" t="s">
        <v>7</v>
      </c>
      <c r="M294" t="s">
        <v>8</v>
      </c>
      <c r="N294" t="s">
        <v>8</v>
      </c>
      <c r="P294">
        <f t="shared" si="964"/>
        <v>0.86399889988999046</v>
      </c>
      <c r="Q294">
        <f t="shared" si="965"/>
        <v>290546227.43014348</v>
      </c>
      <c r="R294">
        <f t="shared" si="966"/>
        <v>7522806974.8317232</v>
      </c>
      <c r="S294">
        <f t="shared" si="967"/>
        <v>75228.069748317226</v>
      </c>
      <c r="T294">
        <f t="shared" si="968"/>
        <v>75.228069748317225</v>
      </c>
    </row>
    <row r="295" spans="1:20" x14ac:dyDescent="0.25">
      <c r="A295" s="5">
        <v>44298</v>
      </c>
      <c r="B295">
        <v>0.146505</v>
      </c>
      <c r="C295">
        <v>0.16500000000000001</v>
      </c>
      <c r="D295">
        <v>0.146039</v>
      </c>
      <c r="E295">
        <v>0.15925500000000001</v>
      </c>
      <c r="F295">
        <v>463764023</v>
      </c>
      <c r="G295">
        <v>8.6999999999999993</v>
      </c>
      <c r="L295" t="s">
        <v>8</v>
      </c>
      <c r="M295" t="s">
        <v>8</v>
      </c>
      <c r="N295" t="s">
        <v>8</v>
      </c>
      <c r="P295">
        <f t="shared" si="964"/>
        <v>0.39401930277938946</v>
      </c>
      <c r="Q295">
        <f t="shared" si="965"/>
        <v>182731976.99662474</v>
      </c>
      <c r="R295">
        <f t="shared" si="966"/>
        <v>7232260747.4015799</v>
      </c>
      <c r="S295">
        <f t="shared" si="967"/>
        <v>72322.607474015793</v>
      </c>
      <c r="T295">
        <f t="shared" si="968"/>
        <v>72.322607474015797</v>
      </c>
    </row>
    <row r="296" spans="1:20" x14ac:dyDescent="0.25">
      <c r="A296" s="5">
        <v>44297</v>
      </c>
      <c r="B296">
        <v>0.149642</v>
      </c>
      <c r="C296">
        <v>0.15026100000000001</v>
      </c>
      <c r="D296">
        <v>0.142316</v>
      </c>
      <c r="E296">
        <v>0.146398</v>
      </c>
      <c r="F296">
        <v>220596181</v>
      </c>
      <c r="G296">
        <v>-2.17</v>
      </c>
      <c r="L296" t="s">
        <v>7</v>
      </c>
      <c r="M296" t="s">
        <v>8</v>
      </c>
      <c r="N296" t="s">
        <v>8</v>
      </c>
      <c r="P296">
        <f t="shared" si="964"/>
        <v>2.7564505978602487E-2</v>
      </c>
      <c r="Q296">
        <f t="shared" si="965"/>
        <v>6080624.7500313763</v>
      </c>
      <c r="R296">
        <f t="shared" si="966"/>
        <v>7049528770.4049549</v>
      </c>
      <c r="S296">
        <f t="shared" si="967"/>
        <v>70495.287704049551</v>
      </c>
      <c r="T296">
        <f t="shared" si="968"/>
        <v>70.495287704049545</v>
      </c>
    </row>
    <row r="297" spans="1:20" x14ac:dyDescent="0.25">
      <c r="A297" s="5">
        <v>44296</v>
      </c>
      <c r="B297">
        <v>0.157531</v>
      </c>
      <c r="C297">
        <v>0.16126799999999999</v>
      </c>
      <c r="D297">
        <v>0.14490700000000001</v>
      </c>
      <c r="E297">
        <v>0.14954000000000001</v>
      </c>
      <c r="F297">
        <v>322901191</v>
      </c>
      <c r="G297">
        <v>-5.07</v>
      </c>
      <c r="L297" t="s">
        <v>7</v>
      </c>
      <c r="M297" t="s">
        <v>8</v>
      </c>
      <c r="N297" t="s">
        <v>8</v>
      </c>
      <c r="P297">
        <f t="shared" si="964"/>
        <v>-0.43365319968217075</v>
      </c>
      <c r="Q297">
        <f t="shared" si="965"/>
        <v>-140027134.65833375</v>
      </c>
      <c r="R297">
        <f t="shared" si="966"/>
        <v>7043448145.6549234</v>
      </c>
      <c r="S297">
        <f t="shared" si="967"/>
        <v>70434.481456549242</v>
      </c>
      <c r="T297">
        <f t="shared" si="968"/>
        <v>70.434481456549236</v>
      </c>
    </row>
    <row r="298" spans="1:20" x14ac:dyDescent="0.25">
      <c r="A298" s="5">
        <v>44295</v>
      </c>
      <c r="B298">
        <v>0.15442400000000001</v>
      </c>
      <c r="C298">
        <v>0.169401</v>
      </c>
      <c r="D298">
        <v>0.14669099999999999</v>
      </c>
      <c r="E298">
        <v>0.157336</v>
      </c>
      <c r="F298">
        <v>585696218</v>
      </c>
      <c r="G298">
        <v>1.89</v>
      </c>
      <c r="L298" t="s">
        <v>8</v>
      </c>
      <c r="M298" t="s">
        <v>8</v>
      </c>
      <c r="N298" t="s">
        <v>8</v>
      </c>
      <c r="P298">
        <f t="shared" si="964"/>
        <v>-6.2527520915895043E-2</v>
      </c>
      <c r="Q298">
        <f t="shared" si="965"/>
        <v>-36622132.521355622</v>
      </c>
      <c r="R298">
        <f t="shared" si="966"/>
        <v>7183475280.3132572</v>
      </c>
      <c r="S298">
        <f t="shared" si="967"/>
        <v>71834.752803132578</v>
      </c>
      <c r="T298">
        <f t="shared" si="968"/>
        <v>71.834752803132574</v>
      </c>
    </row>
    <row r="299" spans="1:20" x14ac:dyDescent="0.25">
      <c r="A299" s="5">
        <v>44294</v>
      </c>
      <c r="B299">
        <v>0.136878</v>
      </c>
      <c r="C299">
        <v>0.156249</v>
      </c>
      <c r="D299">
        <v>0.13550599999999999</v>
      </c>
      <c r="E299">
        <v>0.15438199999999999</v>
      </c>
      <c r="F299">
        <v>434356649</v>
      </c>
      <c r="G299">
        <v>12.79</v>
      </c>
      <c r="L299" t="s">
        <v>8</v>
      </c>
      <c r="M299" t="s">
        <v>8</v>
      </c>
      <c r="N299" t="s">
        <v>7</v>
      </c>
      <c r="P299">
        <f t="shared" si="964"/>
        <v>0.8199874656510624</v>
      </c>
      <c r="Q299">
        <f t="shared" si="965"/>
        <v>356167007.80219805</v>
      </c>
      <c r="R299">
        <f t="shared" si="966"/>
        <v>7220097412.8346128</v>
      </c>
      <c r="S299">
        <f t="shared" si="967"/>
        <v>72200.974128346134</v>
      </c>
      <c r="T299">
        <f t="shared" si="968"/>
        <v>72.200974128346132</v>
      </c>
    </row>
    <row r="300" spans="1:20" x14ac:dyDescent="0.25">
      <c r="A300" s="5">
        <v>44293</v>
      </c>
      <c r="B300">
        <v>0.14952099999999999</v>
      </c>
      <c r="C300">
        <v>0.150672</v>
      </c>
      <c r="D300">
        <v>0.119016</v>
      </c>
      <c r="E300">
        <v>0.13691800000000001</v>
      </c>
      <c r="F300">
        <v>674818675</v>
      </c>
      <c r="G300">
        <v>-8.43</v>
      </c>
      <c r="L300" t="s">
        <v>7</v>
      </c>
      <c r="M300" t="s">
        <v>7</v>
      </c>
      <c r="N300" t="s">
        <v>7</v>
      </c>
      <c r="P300">
        <f t="shared" si="964"/>
        <v>0.13103361132170918</v>
      </c>
      <c r="Q300">
        <f t="shared" si="965"/>
        <v>88423927.972580791</v>
      </c>
      <c r="R300">
        <f t="shared" si="966"/>
        <v>6863930405.0324144</v>
      </c>
      <c r="S300">
        <f t="shared" si="967"/>
        <v>68639.30405032415</v>
      </c>
      <c r="T300">
        <f t="shared" si="968"/>
        <v>68.639304050324156</v>
      </c>
    </row>
    <row r="301" spans="1:20" x14ac:dyDescent="0.25">
      <c r="A301" s="5">
        <v>44292</v>
      </c>
      <c r="B301">
        <v>0.156807</v>
      </c>
      <c r="C301">
        <v>0.15743099999999999</v>
      </c>
      <c r="D301">
        <v>0.13787199999999999</v>
      </c>
      <c r="E301">
        <v>0.14930499999999999</v>
      </c>
      <c r="F301">
        <v>467778453</v>
      </c>
      <c r="G301">
        <v>-4.78</v>
      </c>
      <c r="L301" t="s">
        <v>7</v>
      </c>
      <c r="M301" t="s">
        <v>7</v>
      </c>
      <c r="N301" t="s">
        <v>7</v>
      </c>
      <c r="P301">
        <f t="shared" si="964"/>
        <v>0.16907817373076361</v>
      </c>
      <c r="Q301">
        <f t="shared" si="965"/>
        <v>79091126.543841839</v>
      </c>
      <c r="R301">
        <f t="shared" si="966"/>
        <v>6775506477.0598335</v>
      </c>
      <c r="S301">
        <f t="shared" si="967"/>
        <v>67755.064770598328</v>
      </c>
      <c r="T301">
        <f t="shared" si="968"/>
        <v>67.755064770598324</v>
      </c>
    </row>
    <row r="302" spans="1:20" x14ac:dyDescent="0.25">
      <c r="A302" s="5">
        <v>44291</v>
      </c>
      <c r="B302">
        <v>0.16131899999999999</v>
      </c>
      <c r="C302">
        <v>0.165796</v>
      </c>
      <c r="D302">
        <v>0.151785</v>
      </c>
      <c r="E302">
        <v>0.156807</v>
      </c>
      <c r="F302">
        <v>460255864</v>
      </c>
      <c r="G302">
        <v>-2.8</v>
      </c>
      <c r="L302" t="s">
        <v>8</v>
      </c>
      <c r="M302" t="s">
        <v>7</v>
      </c>
      <c r="N302" t="s">
        <v>7</v>
      </c>
      <c r="P302">
        <f t="shared" si="964"/>
        <v>-0.28313467989436869</v>
      </c>
      <c r="Q302">
        <f t="shared" si="965"/>
        <v>-130314396.7231461</v>
      </c>
      <c r="R302">
        <f t="shared" si="966"/>
        <v>6696415350.5159912</v>
      </c>
      <c r="S302">
        <f t="shared" si="967"/>
        <v>66964.153505159906</v>
      </c>
      <c r="T302">
        <f t="shared" si="968"/>
        <v>66.964153505159899</v>
      </c>
    </row>
    <row r="303" spans="1:20" x14ac:dyDescent="0.25">
      <c r="A303" s="5">
        <v>44290</v>
      </c>
      <c r="B303">
        <v>0.15248300000000001</v>
      </c>
      <c r="C303">
        <v>0.16337199999999999</v>
      </c>
      <c r="D303">
        <v>0.149197</v>
      </c>
      <c r="E303">
        <v>0.16128999999999999</v>
      </c>
      <c r="F303">
        <v>377213943</v>
      </c>
      <c r="G303">
        <v>5.78</v>
      </c>
      <c r="L303" t="s">
        <v>7</v>
      </c>
      <c r="M303" t="s">
        <v>7</v>
      </c>
      <c r="N303" t="s">
        <v>7</v>
      </c>
      <c r="P303">
        <f t="shared" si="964"/>
        <v>0.70624338624338601</v>
      </c>
      <c r="Q303">
        <f t="shared" si="965"/>
        <v>266404852.4425396</v>
      </c>
      <c r="R303">
        <f t="shared" si="966"/>
        <v>6826729747.2391376</v>
      </c>
      <c r="S303">
        <f t="shared" si="967"/>
        <v>68267.297472391379</v>
      </c>
      <c r="T303">
        <f t="shared" si="968"/>
        <v>68.267297472391377</v>
      </c>
    </row>
    <row r="304" spans="1:20" x14ac:dyDescent="0.25">
      <c r="A304" s="5">
        <v>44289</v>
      </c>
      <c r="B304">
        <v>0.169097</v>
      </c>
      <c r="C304">
        <v>0.17611199999999999</v>
      </c>
      <c r="D304">
        <v>0.15210000000000001</v>
      </c>
      <c r="E304">
        <v>0.15235699999999999</v>
      </c>
      <c r="F304">
        <v>448041927</v>
      </c>
      <c r="G304">
        <v>-9.9</v>
      </c>
      <c r="L304" t="s">
        <v>7</v>
      </c>
      <c r="M304" t="s">
        <v>7</v>
      </c>
      <c r="N304" t="s">
        <v>7</v>
      </c>
      <c r="P304">
        <f t="shared" si="964"/>
        <v>-0.97859403631517738</v>
      </c>
      <c r="Q304">
        <f t="shared" si="965"/>
        <v>-438451157.78136003</v>
      </c>
      <c r="R304">
        <f t="shared" si="966"/>
        <v>6560324894.7965984</v>
      </c>
      <c r="S304">
        <f t="shared" si="967"/>
        <v>65603.248947965985</v>
      </c>
      <c r="T304">
        <f t="shared" si="968"/>
        <v>65.60324894796598</v>
      </c>
    </row>
    <row r="305" spans="1:20" x14ac:dyDescent="0.25">
      <c r="A305" s="5">
        <v>44288</v>
      </c>
      <c r="B305">
        <v>0.161604</v>
      </c>
      <c r="C305">
        <v>0.186391</v>
      </c>
      <c r="D305">
        <v>0.159857</v>
      </c>
      <c r="E305">
        <v>0.16914100000000001</v>
      </c>
      <c r="F305">
        <v>845390928</v>
      </c>
      <c r="G305">
        <v>4.66</v>
      </c>
      <c r="L305" t="s">
        <v>8</v>
      </c>
      <c r="M305" t="s">
        <v>8</v>
      </c>
      <c r="N305" t="s">
        <v>7</v>
      </c>
      <c r="P305">
        <f t="shared" si="964"/>
        <v>-0.30021858747267555</v>
      </c>
      <c r="Q305">
        <f t="shared" si="965"/>
        <v>-253802070.26637435</v>
      </c>
      <c r="R305">
        <f t="shared" si="966"/>
        <v>6998776052.5779581</v>
      </c>
      <c r="S305">
        <f t="shared" si="967"/>
        <v>69987.76052577958</v>
      </c>
      <c r="T305">
        <f t="shared" si="968"/>
        <v>69.987760525779578</v>
      </c>
    </row>
    <row r="306" spans="1:20" x14ac:dyDescent="0.25">
      <c r="A306" s="5">
        <v>44287</v>
      </c>
      <c r="B306">
        <v>0.15750900000000001</v>
      </c>
      <c r="C306">
        <v>0.172489</v>
      </c>
      <c r="D306">
        <v>0.15420400000000001</v>
      </c>
      <c r="E306">
        <v>0.16170100000000001</v>
      </c>
      <c r="F306">
        <v>665290922</v>
      </c>
      <c r="G306">
        <v>2.66</v>
      </c>
      <c r="L306" t="s">
        <v>8</v>
      </c>
      <c r="M306" t="s">
        <v>7</v>
      </c>
      <c r="N306" t="s">
        <v>7</v>
      </c>
      <c r="P306">
        <f t="shared" si="964"/>
        <v>-0.17998359310910522</v>
      </c>
      <c r="Q306">
        <f t="shared" si="965"/>
        <v>-119741450.60442945</v>
      </c>
      <c r="R306">
        <f t="shared" si="966"/>
        <v>7252578122.8443327</v>
      </c>
      <c r="S306">
        <f t="shared" si="967"/>
        <v>72525.781228443331</v>
      </c>
      <c r="T306">
        <f t="shared" si="968"/>
        <v>72.525781228443336</v>
      </c>
    </row>
    <row r="307" spans="1:20" x14ac:dyDescent="0.25">
      <c r="A307" s="5">
        <v>44286</v>
      </c>
      <c r="B307">
        <v>0.16515199999999999</v>
      </c>
      <c r="C307">
        <v>0.16515199999999999</v>
      </c>
      <c r="D307">
        <v>0.14749999999999999</v>
      </c>
      <c r="E307">
        <v>0.15751999999999999</v>
      </c>
      <c r="F307">
        <v>603818791</v>
      </c>
      <c r="G307">
        <v>-4.62</v>
      </c>
      <c r="L307" t="s">
        <v>7</v>
      </c>
      <c r="M307" t="s">
        <v>7</v>
      </c>
      <c r="N307" t="s">
        <v>7</v>
      </c>
      <c r="P307">
        <f t="shared" si="964"/>
        <v>0.13528212100611836</v>
      </c>
      <c r="Q307">
        <f t="shared" si="965"/>
        <v>81685886.749830097</v>
      </c>
      <c r="R307">
        <f t="shared" si="966"/>
        <v>7372319573.4487619</v>
      </c>
      <c r="S307">
        <f t="shared" si="967"/>
        <v>73723.195734487614</v>
      </c>
      <c r="T307">
        <f t="shared" si="968"/>
        <v>73.723195734487618</v>
      </c>
    </row>
    <row r="308" spans="1:20" x14ac:dyDescent="0.25">
      <c r="A308" s="5">
        <v>44285</v>
      </c>
      <c r="B308">
        <v>0.16489799999999999</v>
      </c>
      <c r="C308">
        <v>0.1741</v>
      </c>
      <c r="D308">
        <v>0.16091800000000001</v>
      </c>
      <c r="E308">
        <v>0.16515299999999999</v>
      </c>
      <c r="F308">
        <v>812883990</v>
      </c>
      <c r="G308">
        <v>0.15</v>
      </c>
      <c r="L308" t="s">
        <v>8</v>
      </c>
      <c r="M308" t="s">
        <v>7</v>
      </c>
      <c r="N308" t="s">
        <v>8</v>
      </c>
      <c r="P308">
        <f t="shared" si="964"/>
        <v>-0.35745713852222893</v>
      </c>
      <c r="Q308">
        <f t="shared" si="965"/>
        <v>-290571185.01593214</v>
      </c>
      <c r="R308">
        <f t="shared" si="966"/>
        <v>7290633686.6989317</v>
      </c>
      <c r="S308">
        <f t="shared" si="967"/>
        <v>72906.33686698931</v>
      </c>
      <c r="T308">
        <f t="shared" si="968"/>
        <v>72.906336866989307</v>
      </c>
    </row>
    <row r="309" spans="1:20" x14ac:dyDescent="0.25">
      <c r="A309" s="5">
        <v>44284</v>
      </c>
      <c r="B309">
        <v>0.16640199999999999</v>
      </c>
      <c r="C309">
        <v>0.187975</v>
      </c>
      <c r="D309">
        <v>0.15768499999999999</v>
      </c>
      <c r="E309">
        <v>0.16497999999999999</v>
      </c>
      <c r="F309">
        <v>1318927765</v>
      </c>
      <c r="G309">
        <v>-0.85</v>
      </c>
      <c r="L309" t="s">
        <v>7</v>
      </c>
      <c r="M309" t="s">
        <v>7</v>
      </c>
      <c r="N309" t="s">
        <v>8</v>
      </c>
      <c r="P309">
        <f t="shared" si="964"/>
        <v>-0.51832287883790074</v>
      </c>
      <c r="Q309">
        <f t="shared" si="965"/>
        <v>-683630436.13403821</v>
      </c>
      <c r="R309">
        <f t="shared" si="966"/>
        <v>7581204871.7148638</v>
      </c>
      <c r="S309">
        <f t="shared" si="967"/>
        <v>75812.048717148631</v>
      </c>
      <c r="T309">
        <f t="shared" si="968"/>
        <v>75.812048717148627</v>
      </c>
    </row>
    <row r="310" spans="1:20" x14ac:dyDescent="0.25">
      <c r="A310" s="5">
        <v>44283</v>
      </c>
      <c r="B310">
        <v>0.19075500000000001</v>
      </c>
      <c r="C310">
        <v>0.216617</v>
      </c>
      <c r="D310">
        <v>0.16211100000000001</v>
      </c>
      <c r="E310">
        <v>0.16641</v>
      </c>
      <c r="F310">
        <v>2743815202</v>
      </c>
      <c r="G310">
        <v>-12.76</v>
      </c>
      <c r="L310" t="s">
        <v>8</v>
      </c>
      <c r="M310" t="s">
        <v>8</v>
      </c>
      <c r="N310" t="s">
        <v>8</v>
      </c>
      <c r="P310">
        <f t="shared" si="964"/>
        <v>-0.84225589843320015</v>
      </c>
      <c r="Q310">
        <f t="shared" si="965"/>
        <v>-2310994538.0951824</v>
      </c>
      <c r="R310">
        <f t="shared" si="966"/>
        <v>8264835307.8489017</v>
      </c>
      <c r="S310">
        <f t="shared" si="967"/>
        <v>82648.353078489017</v>
      </c>
      <c r="T310">
        <f t="shared" si="968"/>
        <v>82.648353078489023</v>
      </c>
    </row>
    <row r="311" spans="1:20" x14ac:dyDescent="0.25">
      <c r="A311" s="5">
        <v>44282</v>
      </c>
      <c r="B311">
        <v>0.13314300000000001</v>
      </c>
      <c r="C311">
        <v>0.19697999999999999</v>
      </c>
      <c r="D311">
        <v>0.12823899999999999</v>
      </c>
      <c r="E311">
        <v>0.19070300000000001</v>
      </c>
      <c r="F311">
        <v>2773496952</v>
      </c>
      <c r="G311">
        <v>43.23</v>
      </c>
      <c r="L311" t="s">
        <v>8</v>
      </c>
      <c r="M311" t="s">
        <v>8</v>
      </c>
      <c r="N311" t="s">
        <v>8</v>
      </c>
      <c r="P311">
        <f t="shared" si="964"/>
        <v>0.81737245603060826</v>
      </c>
      <c r="Q311">
        <f t="shared" si="965"/>
        <v>2266980015.449646</v>
      </c>
      <c r="R311">
        <f t="shared" si="966"/>
        <v>10575829845.944084</v>
      </c>
      <c r="S311">
        <f t="shared" si="967"/>
        <v>105758.29845944085</v>
      </c>
      <c r="T311">
        <f t="shared" si="968"/>
        <v>105.75829845944085</v>
      </c>
    </row>
    <row r="312" spans="1:20" x14ac:dyDescent="0.25">
      <c r="A312" s="5">
        <v>44281</v>
      </c>
      <c r="B312">
        <v>0.11762</v>
      </c>
      <c r="C312">
        <v>0.15178900000000001</v>
      </c>
      <c r="D312">
        <v>0.11212999999999999</v>
      </c>
      <c r="E312">
        <v>0.1331</v>
      </c>
      <c r="F312">
        <v>3314685783</v>
      </c>
      <c r="G312">
        <v>13.16</v>
      </c>
      <c r="L312" t="s">
        <v>8</v>
      </c>
      <c r="M312" t="s">
        <v>8</v>
      </c>
      <c r="N312" t="s">
        <v>8</v>
      </c>
      <c r="P312">
        <f t="shared" si="964"/>
        <v>5.7515318086688784E-2</v>
      </c>
      <c r="Q312">
        <f t="shared" si="965"/>
        <v>190645207.16667008</v>
      </c>
      <c r="R312">
        <f t="shared" si="966"/>
        <v>8308849830.4944391</v>
      </c>
      <c r="S312">
        <f t="shared" si="967"/>
        <v>83088.498304944398</v>
      </c>
      <c r="T312">
        <f t="shared" si="968"/>
        <v>83.088498304944395</v>
      </c>
    </row>
    <row r="313" spans="1:20" x14ac:dyDescent="0.25">
      <c r="A313" s="5">
        <v>44280</v>
      </c>
      <c r="B313">
        <v>8.5063E-2</v>
      </c>
      <c r="C313">
        <v>0.12695000000000001</v>
      </c>
      <c r="D313">
        <v>7.9500000000000001E-2</v>
      </c>
      <c r="E313">
        <v>0.11777899999999999</v>
      </c>
      <c r="F313">
        <v>3296699220</v>
      </c>
      <c r="G313">
        <v>38.46</v>
      </c>
      <c r="L313" t="s">
        <v>8</v>
      </c>
      <c r="M313" t="s">
        <v>8</v>
      </c>
      <c r="N313" t="s">
        <v>8</v>
      </c>
      <c r="P313">
        <f t="shared" si="964"/>
        <v>0.61344573234984145</v>
      </c>
      <c r="Q313">
        <f t="shared" si="965"/>
        <v>2022346067.3500512</v>
      </c>
      <c r="R313">
        <f t="shared" si="966"/>
        <v>8118204623.3277693</v>
      </c>
      <c r="S313">
        <f t="shared" si="967"/>
        <v>81182.046233277695</v>
      </c>
      <c r="T313">
        <f t="shared" si="968"/>
        <v>81.182046233277688</v>
      </c>
    </row>
    <row r="314" spans="1:20" x14ac:dyDescent="0.25">
      <c r="A314" s="5">
        <v>44279</v>
      </c>
      <c r="B314">
        <v>0.10184600000000001</v>
      </c>
      <c r="C314">
        <v>0.10568900000000001</v>
      </c>
      <c r="D314">
        <v>8.0781000000000006E-2</v>
      </c>
      <c r="E314">
        <v>8.5072999999999996E-2</v>
      </c>
      <c r="F314">
        <v>1874434454</v>
      </c>
      <c r="G314">
        <v>-16.47</v>
      </c>
      <c r="L314" t="s">
        <v>7</v>
      </c>
      <c r="M314" t="s">
        <v>7</v>
      </c>
      <c r="N314" t="s">
        <v>7</v>
      </c>
      <c r="P314">
        <f t="shared" si="964"/>
        <v>-0.65537176810663322</v>
      </c>
      <c r="Q314">
        <f t="shared" si="965"/>
        <v>-1228451422.3179717</v>
      </c>
      <c r="R314">
        <f t="shared" si="966"/>
        <v>6095858555.9777184</v>
      </c>
      <c r="S314">
        <f t="shared" si="967"/>
        <v>60958.585559777181</v>
      </c>
      <c r="T314">
        <f t="shared" si="968"/>
        <v>60.958585559777184</v>
      </c>
    </row>
    <row r="315" spans="1:20" x14ac:dyDescent="0.25">
      <c r="A315" s="5">
        <v>44278</v>
      </c>
      <c r="B315">
        <v>6.9555000000000006E-2</v>
      </c>
      <c r="C315">
        <v>0.12</v>
      </c>
      <c r="D315">
        <v>6.8420999999999996E-2</v>
      </c>
      <c r="E315">
        <v>0.10192900000000001</v>
      </c>
      <c r="F315">
        <v>3630097172</v>
      </c>
      <c r="G315">
        <v>46.54</v>
      </c>
      <c r="L315" t="s">
        <v>8</v>
      </c>
      <c r="M315" t="s">
        <v>8</v>
      </c>
      <c r="N315" t="s">
        <v>8</v>
      </c>
      <c r="P315">
        <f t="shared" si="964"/>
        <v>0.29928847011380638</v>
      </c>
      <c r="Q315">
        <f t="shared" si="965"/>
        <v>1086446228.9723351</v>
      </c>
      <c r="R315">
        <f t="shared" si="966"/>
        <v>7324309978.2956896</v>
      </c>
      <c r="S315">
        <f t="shared" si="967"/>
        <v>73243.099782956895</v>
      </c>
      <c r="T315">
        <f t="shared" si="968"/>
        <v>73.243099782956889</v>
      </c>
    </row>
    <row r="316" spans="1:20" x14ac:dyDescent="0.25">
      <c r="A316" s="5">
        <v>44277</v>
      </c>
      <c r="B316">
        <v>7.4827000000000005E-2</v>
      </c>
      <c r="C316">
        <v>7.9000000000000001E-2</v>
      </c>
      <c r="D316">
        <v>6.8000000000000005E-2</v>
      </c>
      <c r="E316">
        <v>6.9617999999999999E-2</v>
      </c>
      <c r="F316">
        <v>612081680</v>
      </c>
      <c r="G316">
        <v>-6.96</v>
      </c>
      <c r="L316" t="s">
        <v>8</v>
      </c>
      <c r="M316" t="s">
        <v>7</v>
      </c>
      <c r="N316" t="s">
        <v>8</v>
      </c>
      <c r="P316">
        <f t="shared" si="964"/>
        <v>-0.70581818181818268</v>
      </c>
      <c r="Q316">
        <f t="shared" si="965"/>
        <v>-432018378.50181872</v>
      </c>
      <c r="R316">
        <f t="shared" si="966"/>
        <v>6237863749.3233547</v>
      </c>
      <c r="S316">
        <f t="shared" si="967"/>
        <v>62378.637493233546</v>
      </c>
      <c r="T316">
        <f t="shared" si="968"/>
        <v>62.378637493233548</v>
      </c>
    </row>
    <row r="317" spans="1:20" x14ac:dyDescent="0.25">
      <c r="A317" s="5">
        <v>44276</v>
      </c>
      <c r="B317">
        <v>6.9814000000000001E-2</v>
      </c>
      <c r="C317">
        <v>7.9329999999999998E-2</v>
      </c>
      <c r="D317">
        <v>6.8160999999999999E-2</v>
      </c>
      <c r="E317">
        <v>7.4798000000000003E-2</v>
      </c>
      <c r="F317">
        <v>797621295</v>
      </c>
      <c r="G317">
        <v>7.14</v>
      </c>
      <c r="L317" t="s">
        <v>7</v>
      </c>
      <c r="M317" t="s">
        <v>7</v>
      </c>
      <c r="N317" t="s">
        <v>8</v>
      </c>
      <c r="P317">
        <f t="shared" si="964"/>
        <v>0.1884680812964464</v>
      </c>
      <c r="Q317">
        <f t="shared" si="965"/>
        <v>150326155.06983685</v>
      </c>
      <c r="R317">
        <f t="shared" si="966"/>
        <v>6669882127.8251734</v>
      </c>
      <c r="S317">
        <f t="shared" si="967"/>
        <v>66698.821278251737</v>
      </c>
      <c r="T317">
        <f t="shared" si="968"/>
        <v>66.698821278251742</v>
      </c>
    </row>
    <row r="318" spans="1:20" x14ac:dyDescent="0.25">
      <c r="A318" s="5">
        <v>44275</v>
      </c>
      <c r="B318">
        <v>7.4246000000000006E-2</v>
      </c>
      <c r="C318">
        <v>8.5010000000000002E-2</v>
      </c>
      <c r="D318">
        <v>6.9320000000000007E-2</v>
      </c>
      <c r="E318">
        <v>6.9808999999999996E-2</v>
      </c>
      <c r="F318">
        <v>1114001050</v>
      </c>
      <c r="G318">
        <v>-5.98</v>
      </c>
      <c r="L318" t="s">
        <v>8</v>
      </c>
      <c r="M318" t="s">
        <v>8</v>
      </c>
      <c r="N318" t="s">
        <v>8</v>
      </c>
      <c r="P318">
        <f t="shared" si="964"/>
        <v>-0.93766730401529774</v>
      </c>
      <c r="Q318">
        <f t="shared" si="965"/>
        <v>-1044562361.2237109</v>
      </c>
      <c r="R318">
        <f t="shared" si="966"/>
        <v>6519555972.7553368</v>
      </c>
      <c r="S318">
        <f t="shared" si="967"/>
        <v>65195.559727553366</v>
      </c>
      <c r="T318">
        <f t="shared" si="968"/>
        <v>65.195559727553359</v>
      </c>
    </row>
    <row r="319" spans="1:20" x14ac:dyDescent="0.25">
      <c r="A319" s="5">
        <v>44274</v>
      </c>
      <c r="B319">
        <v>6.6187999999999997E-2</v>
      </c>
      <c r="C319">
        <v>7.5736999999999999E-2</v>
      </c>
      <c r="D319">
        <v>6.4000000000000001E-2</v>
      </c>
      <c r="E319">
        <v>7.4253E-2</v>
      </c>
      <c r="F319">
        <v>734648232</v>
      </c>
      <c r="G319">
        <v>12.18</v>
      </c>
      <c r="L319" t="s">
        <v>8</v>
      </c>
      <c r="M319" t="s">
        <v>8</v>
      </c>
      <c r="N319" t="s">
        <v>7</v>
      </c>
      <c r="P319">
        <f t="shared" si="964"/>
        <v>0.747124478146034</v>
      </c>
      <c r="Q319">
        <f t="shared" si="965"/>
        <v>548873676.95390654</v>
      </c>
      <c r="R319">
        <f t="shared" si="966"/>
        <v>7564118333.9790478</v>
      </c>
      <c r="S319">
        <f t="shared" si="967"/>
        <v>75641.183339790485</v>
      </c>
      <c r="T319">
        <f t="shared" si="968"/>
        <v>75.641183339790487</v>
      </c>
    </row>
    <row r="320" spans="1:20" x14ac:dyDescent="0.25">
      <c r="A320" s="5">
        <v>44273</v>
      </c>
      <c r="B320">
        <v>6.8768999999999997E-2</v>
      </c>
      <c r="C320">
        <v>7.0499999999999993E-2</v>
      </c>
      <c r="D320">
        <v>6.4654000000000003E-2</v>
      </c>
      <c r="E320">
        <v>6.6181000000000004E-2</v>
      </c>
      <c r="F320">
        <v>520579917</v>
      </c>
      <c r="G320">
        <v>-3.76</v>
      </c>
      <c r="L320" t="s">
        <v>8</v>
      </c>
      <c r="M320" t="s">
        <v>7</v>
      </c>
      <c r="N320" t="s">
        <v>7</v>
      </c>
      <c r="P320">
        <f t="shared" si="964"/>
        <v>-0.477591515566198</v>
      </c>
      <c r="Q320">
        <f t="shared" si="965"/>
        <v>-248624551.53335556</v>
      </c>
      <c r="R320">
        <f t="shared" si="966"/>
        <v>7015244657.0251417</v>
      </c>
      <c r="S320">
        <f t="shared" si="967"/>
        <v>70152.446570251414</v>
      </c>
      <c r="T320">
        <f t="shared" si="968"/>
        <v>70.152446570251414</v>
      </c>
    </row>
    <row r="321" spans="1:20" x14ac:dyDescent="0.25">
      <c r="A321" s="5">
        <v>44272</v>
      </c>
      <c r="B321">
        <v>7.3876999999999998E-2</v>
      </c>
      <c r="C321">
        <v>7.4026999999999996E-2</v>
      </c>
      <c r="D321">
        <v>6.1601000000000003E-2</v>
      </c>
      <c r="E321">
        <v>6.8812999999999999E-2</v>
      </c>
      <c r="F321">
        <v>885152965</v>
      </c>
      <c r="G321">
        <v>-6.85</v>
      </c>
      <c r="L321" t="s">
        <v>7</v>
      </c>
      <c r="M321" t="s">
        <v>7</v>
      </c>
      <c r="N321" t="s">
        <v>7</v>
      </c>
      <c r="P321">
        <f t="shared" si="964"/>
        <v>0.16079188797682287</v>
      </c>
      <c r="Q321">
        <f t="shared" si="965"/>
        <v>142325416.3906326</v>
      </c>
      <c r="R321">
        <f t="shared" si="966"/>
        <v>7263869208.5584974</v>
      </c>
      <c r="S321">
        <f t="shared" si="967"/>
        <v>72638.692085584975</v>
      </c>
      <c r="T321">
        <f t="shared" si="968"/>
        <v>72.638692085584978</v>
      </c>
    </row>
    <row r="322" spans="1:20" x14ac:dyDescent="0.25">
      <c r="A322" s="5">
        <v>44271</v>
      </c>
      <c r="B322">
        <v>6.8853999999999999E-2</v>
      </c>
      <c r="C322">
        <v>8.0458000000000002E-2</v>
      </c>
      <c r="D322">
        <v>6.2302999999999997E-2</v>
      </c>
      <c r="E322">
        <v>7.3874999999999996E-2</v>
      </c>
      <c r="F322">
        <v>1297575532</v>
      </c>
      <c r="G322">
        <v>7.29</v>
      </c>
      <c r="L322" t="s">
        <v>8</v>
      </c>
      <c r="M322" t="s">
        <v>8</v>
      </c>
      <c r="N322" t="s">
        <v>7</v>
      </c>
      <c r="P322">
        <f t="shared" si="964"/>
        <v>0.2748003304874686</v>
      </c>
      <c r="Q322">
        <f t="shared" si="965"/>
        <v>356574185.02605289</v>
      </c>
      <c r="R322">
        <f t="shared" si="966"/>
        <v>7121543792.1678648</v>
      </c>
      <c r="S322">
        <f t="shared" si="967"/>
        <v>71215.437921678647</v>
      </c>
      <c r="T322">
        <f t="shared" si="968"/>
        <v>71.215437921678642</v>
      </c>
    </row>
    <row r="323" spans="1:20" x14ac:dyDescent="0.25">
      <c r="A323" s="5">
        <v>44270</v>
      </c>
      <c r="B323">
        <v>6.8037E-2</v>
      </c>
      <c r="C323">
        <v>7.7298000000000006E-2</v>
      </c>
      <c r="D323">
        <v>6.1105E-2</v>
      </c>
      <c r="E323">
        <v>6.8840999999999999E-2</v>
      </c>
      <c r="F323">
        <v>1309933445</v>
      </c>
      <c r="G323">
        <v>1.18</v>
      </c>
      <c r="L323" t="s">
        <v>8</v>
      </c>
      <c r="M323" t="s">
        <v>8</v>
      </c>
      <c r="N323" t="s">
        <v>7</v>
      </c>
      <c r="P323">
        <f t="shared" si="964"/>
        <v>-4.4525412215155075E-2</v>
      </c>
      <c r="Q323">
        <f t="shared" si="965"/>
        <v>-58325326.613043167</v>
      </c>
      <c r="R323">
        <f t="shared" si="966"/>
        <v>6764969607.1418123</v>
      </c>
      <c r="S323">
        <f t="shared" si="967"/>
        <v>67649.696071418119</v>
      </c>
      <c r="T323">
        <f t="shared" si="968"/>
        <v>67.64969607141812</v>
      </c>
    </row>
    <row r="324" spans="1:20" x14ac:dyDescent="0.25">
      <c r="A324" s="5">
        <v>44269</v>
      </c>
      <c r="B324">
        <v>6.6174999999999998E-2</v>
      </c>
      <c r="C324">
        <v>7.6613000000000001E-2</v>
      </c>
      <c r="D324">
        <v>5.9060000000000001E-2</v>
      </c>
      <c r="E324">
        <v>6.8037E-2</v>
      </c>
      <c r="F324">
        <v>1669124531</v>
      </c>
      <c r="G324">
        <v>2.81</v>
      </c>
      <c r="L324" t="s">
        <v>7</v>
      </c>
      <c r="M324" t="s">
        <v>7</v>
      </c>
      <c r="N324" t="s">
        <v>7</v>
      </c>
      <c r="P324">
        <f t="shared" si="964"/>
        <v>2.2845097704096085E-2</v>
      </c>
      <c r="Q324">
        <f t="shared" si="965"/>
        <v>38131312.990998559</v>
      </c>
      <c r="R324">
        <f t="shared" si="966"/>
        <v>6823294933.7548552</v>
      </c>
      <c r="S324">
        <f t="shared" si="967"/>
        <v>68232.949337548547</v>
      </c>
      <c r="T324">
        <f t="shared" si="968"/>
        <v>68.232949337548547</v>
      </c>
    </row>
    <row r="325" spans="1:20" x14ac:dyDescent="0.25">
      <c r="A325" s="5">
        <v>44268</v>
      </c>
      <c r="B325">
        <v>6.2116999999999999E-2</v>
      </c>
      <c r="C325">
        <v>8.7325E-2</v>
      </c>
      <c r="D325">
        <v>6.207E-2</v>
      </c>
      <c r="E325">
        <v>6.6173999999999997E-2</v>
      </c>
      <c r="F325">
        <v>3309953476</v>
      </c>
      <c r="G325">
        <v>6.53</v>
      </c>
      <c r="L325" t="s">
        <v>8</v>
      </c>
      <c r="M325" t="s">
        <v>8</v>
      </c>
      <c r="N325" t="s">
        <v>8</v>
      </c>
      <c r="P325">
        <f t="shared" si="964"/>
        <v>-0.67499505048505271</v>
      </c>
      <c r="Q325">
        <f t="shared" si="965"/>
        <v>-2234202213.6357956</v>
      </c>
      <c r="R325">
        <f t="shared" si="966"/>
        <v>6785163620.7638569</v>
      </c>
      <c r="S325">
        <f t="shared" si="967"/>
        <v>67851.63620763857</v>
      </c>
      <c r="T325">
        <f t="shared" si="968"/>
        <v>67.851636207638563</v>
      </c>
    </row>
    <row r="326" spans="1:20" x14ac:dyDescent="0.25">
      <c r="A326" s="5">
        <v>44267</v>
      </c>
      <c r="B326">
        <v>4.4734000000000003E-2</v>
      </c>
      <c r="C326">
        <v>6.7400000000000002E-2</v>
      </c>
      <c r="D326">
        <v>4.4732000000000001E-2</v>
      </c>
      <c r="E326">
        <v>6.2288000000000003E-2</v>
      </c>
      <c r="F326">
        <v>2729351594</v>
      </c>
      <c r="G326">
        <v>39.24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0.5489677077818953</v>
      </c>
      <c r="Q326">
        <f t="shared" ref="Q326:Q389" si="970">F326*P326</f>
        <v>1498325888.2890422</v>
      </c>
      <c r="R326">
        <f t="shared" ref="R326:R389" si="971">R327+Q326</f>
        <v>9019365834.3996525</v>
      </c>
      <c r="S326">
        <f t="shared" ref="S326:S389" si="972">R326/100000</f>
        <v>90193.658343996518</v>
      </c>
      <c r="T326">
        <f t="shared" ref="T326:T389" si="973">S326/1000</f>
        <v>90.193658343996518</v>
      </c>
    </row>
    <row r="327" spans="1:20" x14ac:dyDescent="0.25">
      <c r="A327" s="5">
        <v>44266</v>
      </c>
      <c r="B327">
        <v>4.1562000000000002E-2</v>
      </c>
      <c r="C327">
        <v>4.6796999999999998E-2</v>
      </c>
      <c r="D327">
        <v>4.0156999999999998E-2</v>
      </c>
      <c r="E327">
        <v>4.4729999999999999E-2</v>
      </c>
      <c r="F327">
        <v>639894660</v>
      </c>
      <c r="G327">
        <v>7.62</v>
      </c>
      <c r="L327" t="s">
        <v>7</v>
      </c>
      <c r="M327" t="s">
        <v>8</v>
      </c>
      <c r="N327" t="s">
        <v>8</v>
      </c>
      <c r="P327">
        <f t="shared" si="969"/>
        <v>0.37740963855421705</v>
      </c>
      <c r="Q327">
        <f t="shared" si="970"/>
        <v>241502412.34337363</v>
      </c>
      <c r="R327">
        <f t="shared" si="971"/>
        <v>7521039946.110611</v>
      </c>
      <c r="S327">
        <f t="shared" si="972"/>
        <v>75210.399461106106</v>
      </c>
      <c r="T327">
        <f t="shared" si="973"/>
        <v>75.210399461106107</v>
      </c>
    </row>
    <row r="328" spans="1:20" x14ac:dyDescent="0.25">
      <c r="A328" s="5">
        <v>44265</v>
      </c>
      <c r="B328">
        <v>4.0848000000000002E-2</v>
      </c>
      <c r="C328">
        <v>4.7369000000000001E-2</v>
      </c>
      <c r="D328">
        <v>3.6291999999999998E-2</v>
      </c>
      <c r="E328">
        <v>4.1540000000000001E-2</v>
      </c>
      <c r="F328">
        <v>890947695</v>
      </c>
      <c r="G328">
        <v>1.69</v>
      </c>
      <c r="L328" t="s">
        <v>8</v>
      </c>
      <c r="M328" t="s">
        <v>8</v>
      </c>
      <c r="N328" t="s">
        <v>8</v>
      </c>
      <c r="P328">
        <f t="shared" si="969"/>
        <v>-5.2451024645662002E-2</v>
      </c>
      <c r="Q328">
        <f t="shared" si="970"/>
        <v>-46731119.508440755</v>
      </c>
      <c r="R328">
        <f t="shared" si="971"/>
        <v>7279537533.7672377</v>
      </c>
      <c r="S328">
        <f t="shared" si="972"/>
        <v>72795.375337672376</v>
      </c>
      <c r="T328">
        <f t="shared" si="973"/>
        <v>72.795375337672382</v>
      </c>
    </row>
    <row r="329" spans="1:20" x14ac:dyDescent="0.25">
      <c r="A329" s="5">
        <v>44264</v>
      </c>
      <c r="B329">
        <v>3.8945E-2</v>
      </c>
      <c r="C329">
        <v>4.1359E-2</v>
      </c>
      <c r="D329">
        <v>3.8079000000000002E-2</v>
      </c>
      <c r="E329">
        <v>4.0863999999999998E-2</v>
      </c>
      <c r="F329">
        <v>547497687</v>
      </c>
      <c r="G329">
        <v>4.93</v>
      </c>
      <c r="L329" t="s">
        <v>8</v>
      </c>
      <c r="M329" t="s">
        <v>8</v>
      </c>
      <c r="N329" t="s">
        <v>8</v>
      </c>
      <c r="P329">
        <f t="shared" si="969"/>
        <v>0.69817073170731547</v>
      </c>
      <c r="Q329">
        <f t="shared" si="970"/>
        <v>382246860.74085277</v>
      </c>
      <c r="R329">
        <f t="shared" si="971"/>
        <v>7326268653.2756786</v>
      </c>
      <c r="S329">
        <f t="shared" si="972"/>
        <v>73262.686532756779</v>
      </c>
      <c r="T329">
        <f t="shared" si="973"/>
        <v>73.262686532756774</v>
      </c>
    </row>
    <row r="330" spans="1:20" x14ac:dyDescent="0.25">
      <c r="A330" s="5">
        <v>44263</v>
      </c>
      <c r="B330">
        <v>3.5313999999999998E-2</v>
      </c>
      <c r="C330">
        <v>3.95E-2</v>
      </c>
      <c r="D330">
        <v>3.3550000000000003E-2</v>
      </c>
      <c r="E330">
        <v>3.8847E-2</v>
      </c>
      <c r="F330">
        <v>640894860</v>
      </c>
      <c r="G330">
        <v>10</v>
      </c>
      <c r="L330" t="s">
        <v>8</v>
      </c>
      <c r="M330" t="s">
        <v>8</v>
      </c>
      <c r="N330" t="s">
        <v>8</v>
      </c>
      <c r="P330">
        <f t="shared" si="969"/>
        <v>0.78050420168067192</v>
      </c>
      <c r="Q330">
        <f t="shared" si="970"/>
        <v>500221131.06554598</v>
      </c>
      <c r="R330">
        <f t="shared" si="971"/>
        <v>6944021792.5348263</v>
      </c>
      <c r="S330">
        <f t="shared" si="972"/>
        <v>69440.217925348261</v>
      </c>
      <c r="T330">
        <f t="shared" si="973"/>
        <v>69.440217925348264</v>
      </c>
    </row>
    <row r="331" spans="1:20" x14ac:dyDescent="0.25">
      <c r="A331" s="5">
        <v>44262</v>
      </c>
      <c r="B331">
        <v>3.2922E-2</v>
      </c>
      <c r="C331">
        <v>3.7400000000000003E-2</v>
      </c>
      <c r="D331">
        <v>3.1767999999999998E-2</v>
      </c>
      <c r="E331">
        <v>3.5314999999999999E-2</v>
      </c>
      <c r="F331">
        <v>601208033</v>
      </c>
      <c r="G331">
        <v>7.27</v>
      </c>
      <c r="L331" t="s">
        <v>8</v>
      </c>
      <c r="M331" t="s">
        <v>8</v>
      </c>
      <c r="N331" t="s">
        <v>8</v>
      </c>
      <c r="P331">
        <f t="shared" si="969"/>
        <v>0.25958806818181762</v>
      </c>
      <c r="Q331">
        <f t="shared" si="970"/>
        <v>156066431.86186045</v>
      </c>
      <c r="R331">
        <f t="shared" si="971"/>
        <v>6443800661.4692802</v>
      </c>
      <c r="S331">
        <f t="shared" si="972"/>
        <v>64438.0066146928</v>
      </c>
      <c r="T331">
        <f t="shared" si="973"/>
        <v>64.438006614692796</v>
      </c>
    </row>
    <row r="332" spans="1:20" x14ac:dyDescent="0.25">
      <c r="A332" s="5">
        <v>44261</v>
      </c>
      <c r="B332">
        <v>3.3690999999999999E-2</v>
      </c>
      <c r="C332">
        <v>3.4724999999999999E-2</v>
      </c>
      <c r="D332">
        <v>3.0664E-2</v>
      </c>
      <c r="E332">
        <v>3.2922E-2</v>
      </c>
      <c r="F332">
        <v>271456063</v>
      </c>
      <c r="G332">
        <v>-2.2799999999999998</v>
      </c>
      <c r="L332" t="s">
        <v>7</v>
      </c>
      <c r="M332" t="s">
        <v>7</v>
      </c>
      <c r="N332" t="s">
        <v>8</v>
      </c>
      <c r="P332">
        <f t="shared" si="969"/>
        <v>0.11204136912090636</v>
      </c>
      <c r="Q332">
        <f t="shared" si="970"/>
        <v>30414308.954691011</v>
      </c>
      <c r="R332">
        <f t="shared" si="971"/>
        <v>6287734229.60742</v>
      </c>
      <c r="S332">
        <f t="shared" si="972"/>
        <v>62877.342296074203</v>
      </c>
      <c r="T332">
        <f t="shared" si="973"/>
        <v>62.877342296074204</v>
      </c>
    </row>
    <row r="333" spans="1:20" x14ac:dyDescent="0.25">
      <c r="A333" s="5">
        <v>44260</v>
      </c>
      <c r="B333">
        <v>3.5203999999999999E-2</v>
      </c>
      <c r="C333">
        <v>3.5257999999999998E-2</v>
      </c>
      <c r="D333">
        <v>3.2069E-2</v>
      </c>
      <c r="E333">
        <v>3.3748E-2</v>
      </c>
      <c r="F333">
        <v>419923830</v>
      </c>
      <c r="G333">
        <v>-4.1399999999999997</v>
      </c>
      <c r="L333" t="s">
        <v>7</v>
      </c>
      <c r="M333" t="s">
        <v>8</v>
      </c>
      <c r="N333" t="s">
        <v>8</v>
      </c>
      <c r="P333">
        <f t="shared" si="969"/>
        <v>5.299466917529088E-2</v>
      </c>
      <c r="Q333">
        <f t="shared" si="970"/>
        <v>22253724.44967109</v>
      </c>
      <c r="R333">
        <f t="shared" si="971"/>
        <v>6257319920.652729</v>
      </c>
      <c r="S333">
        <f t="shared" si="972"/>
        <v>62573.199206527293</v>
      </c>
      <c r="T333">
        <f t="shared" si="973"/>
        <v>62.573199206527292</v>
      </c>
    </row>
    <row r="334" spans="1:20" x14ac:dyDescent="0.25">
      <c r="A334" s="5">
        <v>44259</v>
      </c>
      <c r="B334">
        <v>3.2329999999999998E-2</v>
      </c>
      <c r="C334">
        <v>3.7444999999999999E-2</v>
      </c>
      <c r="D334">
        <v>3.1365999999999998E-2</v>
      </c>
      <c r="E334">
        <v>3.5202999999999998E-2</v>
      </c>
      <c r="F334">
        <v>846448072</v>
      </c>
      <c r="G334">
        <v>8.89</v>
      </c>
      <c r="L334" t="s">
        <v>8</v>
      </c>
      <c r="M334" t="s">
        <v>8</v>
      </c>
      <c r="N334" t="s">
        <v>8</v>
      </c>
      <c r="P334">
        <f t="shared" si="969"/>
        <v>0.26237868070406301</v>
      </c>
      <c r="Q334">
        <f t="shared" si="970"/>
        <v>222089928.41585773</v>
      </c>
      <c r="R334">
        <f t="shared" si="971"/>
        <v>6235066196.2030582</v>
      </c>
      <c r="S334">
        <f t="shared" si="972"/>
        <v>62350.661962030579</v>
      </c>
      <c r="T334">
        <f t="shared" si="973"/>
        <v>62.350661962030578</v>
      </c>
    </row>
    <row r="335" spans="1:20" x14ac:dyDescent="0.25">
      <c r="A335" s="5">
        <v>44258</v>
      </c>
      <c r="B335">
        <v>2.8996000000000001E-2</v>
      </c>
      <c r="C335">
        <v>3.2938000000000002E-2</v>
      </c>
      <c r="D335">
        <v>2.8043999999999999E-2</v>
      </c>
      <c r="E335">
        <v>3.2330999999999999E-2</v>
      </c>
      <c r="F335">
        <v>530001711</v>
      </c>
      <c r="G335">
        <v>11.5</v>
      </c>
      <c r="L335" t="s">
        <v>8</v>
      </c>
      <c r="M335" t="s">
        <v>8</v>
      </c>
      <c r="N335" t="s">
        <v>8</v>
      </c>
      <c r="P335">
        <f t="shared" si="969"/>
        <v>0.75194115243154758</v>
      </c>
      <c r="Q335">
        <f t="shared" si="970"/>
        <v>398530097.36003202</v>
      </c>
      <c r="R335">
        <f t="shared" si="971"/>
        <v>6012976267.7872009</v>
      </c>
      <c r="S335">
        <f t="shared" si="972"/>
        <v>60129.762677872008</v>
      </c>
      <c r="T335">
        <f t="shared" si="973"/>
        <v>60.129762677872009</v>
      </c>
    </row>
    <row r="336" spans="1:20" x14ac:dyDescent="0.25">
      <c r="A336" s="5">
        <v>44257</v>
      </c>
      <c r="B336">
        <v>2.9895999999999999E-2</v>
      </c>
      <c r="C336">
        <v>3.09E-2</v>
      </c>
      <c r="D336">
        <v>2.6817000000000001E-2</v>
      </c>
      <c r="E336">
        <v>2.8993999999999999E-2</v>
      </c>
      <c r="F336">
        <v>435570972</v>
      </c>
      <c r="G336">
        <v>-3.02</v>
      </c>
      <c r="L336" t="s">
        <v>8</v>
      </c>
      <c r="M336" t="s">
        <v>8</v>
      </c>
      <c r="N336" t="s">
        <v>8</v>
      </c>
      <c r="P336">
        <f t="shared" si="969"/>
        <v>6.6372765123682814E-2</v>
      </c>
      <c r="Q336">
        <f t="shared" si="970"/>
        <v>28910049.819250222</v>
      </c>
      <c r="R336">
        <f t="shared" si="971"/>
        <v>5614446170.4271688</v>
      </c>
      <c r="S336">
        <f t="shared" si="972"/>
        <v>56144.461704271685</v>
      </c>
      <c r="T336">
        <f t="shared" si="973"/>
        <v>56.144461704271684</v>
      </c>
    </row>
    <row r="337" spans="1:20" x14ac:dyDescent="0.25">
      <c r="A337" s="5">
        <v>44256</v>
      </c>
      <c r="B337">
        <v>2.6127000000000001E-2</v>
      </c>
      <c r="C337">
        <v>3.0356999999999999E-2</v>
      </c>
      <c r="D337">
        <v>2.5696E-2</v>
      </c>
      <c r="E337">
        <v>2.9898999999999998E-2</v>
      </c>
      <c r="F337">
        <v>471304343</v>
      </c>
      <c r="G337">
        <v>14.44</v>
      </c>
      <c r="L337" t="s">
        <v>7</v>
      </c>
      <c r="M337" t="s">
        <v>7</v>
      </c>
      <c r="N337" t="s">
        <v>8</v>
      </c>
      <c r="P337">
        <f t="shared" si="969"/>
        <v>0.8034756490023599</v>
      </c>
      <c r="Q337">
        <f t="shared" si="970"/>
        <v>378681562.86955583</v>
      </c>
      <c r="R337">
        <f t="shared" si="971"/>
        <v>5585536120.6079187</v>
      </c>
      <c r="S337">
        <f t="shared" si="972"/>
        <v>55855.361206079186</v>
      </c>
      <c r="T337">
        <f t="shared" si="973"/>
        <v>55.855361206079188</v>
      </c>
    </row>
    <row r="338" spans="1:20" x14ac:dyDescent="0.25">
      <c r="A338" s="5">
        <v>44255</v>
      </c>
      <c r="B338">
        <v>2.7952000000000001E-2</v>
      </c>
      <c r="C338">
        <v>3.1120999999999999E-2</v>
      </c>
      <c r="D338">
        <v>2.3612000000000001E-2</v>
      </c>
      <c r="E338">
        <v>2.6126E-2</v>
      </c>
      <c r="F338">
        <v>948093789</v>
      </c>
      <c r="G338">
        <v>-6.53</v>
      </c>
      <c r="L338" t="s">
        <v>8</v>
      </c>
      <c r="M338" t="s">
        <v>8</v>
      </c>
      <c r="N338" t="s">
        <v>8</v>
      </c>
      <c r="P338">
        <f t="shared" si="969"/>
        <v>-0.33040351578106286</v>
      </c>
      <c r="Q338">
        <f t="shared" si="970"/>
        <v>-313253521.17578918</v>
      </c>
      <c r="R338">
        <f t="shared" si="971"/>
        <v>5206854557.7383633</v>
      </c>
      <c r="S338">
        <f t="shared" si="972"/>
        <v>52068.545577383629</v>
      </c>
      <c r="T338">
        <f t="shared" si="973"/>
        <v>52.068545577383631</v>
      </c>
    </row>
    <row r="339" spans="1:20" x14ac:dyDescent="0.25">
      <c r="A339" s="5">
        <v>44254</v>
      </c>
      <c r="B339">
        <v>2.6294000000000001E-2</v>
      </c>
      <c r="C339">
        <v>2.9489999999999999E-2</v>
      </c>
      <c r="D339">
        <v>2.5607000000000001E-2</v>
      </c>
      <c r="E339">
        <v>2.7958E-2</v>
      </c>
      <c r="F339">
        <v>658182724</v>
      </c>
      <c r="G339">
        <v>6.33</v>
      </c>
      <c r="L339" t="s">
        <v>8</v>
      </c>
      <c r="M339" t="s">
        <v>8</v>
      </c>
      <c r="N339" t="s">
        <v>8</v>
      </c>
      <c r="P339">
        <f t="shared" si="969"/>
        <v>0.21091939222250858</v>
      </c>
      <c r="Q339">
        <f t="shared" si="970"/>
        <v>138823500.1174351</v>
      </c>
      <c r="R339">
        <f t="shared" si="971"/>
        <v>5520108078.9141521</v>
      </c>
      <c r="S339">
        <f t="shared" si="972"/>
        <v>55201.080789141524</v>
      </c>
      <c r="T339">
        <f t="shared" si="973"/>
        <v>55.201080789141521</v>
      </c>
    </row>
    <row r="340" spans="1:20" x14ac:dyDescent="0.25">
      <c r="A340" s="5">
        <v>44253</v>
      </c>
      <c r="B340">
        <v>2.6523999999999999E-2</v>
      </c>
      <c r="C340">
        <v>2.7555E-2</v>
      </c>
      <c r="D340">
        <v>2.3359000000000001E-2</v>
      </c>
      <c r="E340">
        <v>2.6325000000000001E-2</v>
      </c>
      <c r="F340">
        <v>871894911</v>
      </c>
      <c r="G340">
        <v>-0.75</v>
      </c>
      <c r="L340" t="s">
        <v>7</v>
      </c>
      <c r="M340" t="s">
        <v>7</v>
      </c>
      <c r="N340" t="s">
        <v>8</v>
      </c>
      <c r="P340">
        <f t="shared" si="969"/>
        <v>0.41372735938989563</v>
      </c>
      <c r="Q340">
        <f t="shared" si="970"/>
        <v>360726779.19351804</v>
      </c>
      <c r="R340">
        <f t="shared" si="971"/>
        <v>5381284578.7967167</v>
      </c>
      <c r="S340">
        <f t="shared" si="972"/>
        <v>53812.84578796717</v>
      </c>
      <c r="T340">
        <f t="shared" si="973"/>
        <v>53.81284578796717</v>
      </c>
    </row>
    <row r="341" spans="1:20" x14ac:dyDescent="0.25">
      <c r="A341" s="5">
        <v>44252</v>
      </c>
      <c r="B341">
        <v>2.8236000000000001E-2</v>
      </c>
      <c r="C341">
        <v>3.2319000000000001E-2</v>
      </c>
      <c r="D341">
        <v>2.6086000000000002E-2</v>
      </c>
      <c r="E341">
        <v>2.656E-2</v>
      </c>
      <c r="F341">
        <v>1209882038</v>
      </c>
      <c r="G341">
        <v>-5.94</v>
      </c>
      <c r="L341" t="s">
        <v>8</v>
      </c>
      <c r="M341" t="s">
        <v>8</v>
      </c>
      <c r="N341" t="s">
        <v>8</v>
      </c>
      <c r="P341">
        <f t="shared" si="969"/>
        <v>-0.84790630515000842</v>
      </c>
      <c r="Q341">
        <f t="shared" si="970"/>
        <v>-1025866608.5079421</v>
      </c>
      <c r="R341">
        <f t="shared" si="971"/>
        <v>5020557799.603199</v>
      </c>
      <c r="S341">
        <f t="shared" si="972"/>
        <v>50205.577996031992</v>
      </c>
      <c r="T341">
        <f t="shared" si="973"/>
        <v>50.205577996031991</v>
      </c>
    </row>
    <row r="342" spans="1:20" x14ac:dyDescent="0.25">
      <c r="A342" s="5">
        <v>44251</v>
      </c>
      <c r="B342">
        <v>2.4400000000000002E-2</v>
      </c>
      <c r="C342">
        <v>0.03</v>
      </c>
      <c r="D342">
        <v>2.2610999999999999E-2</v>
      </c>
      <c r="E342">
        <v>2.8243999999999998E-2</v>
      </c>
      <c r="F342">
        <v>1603500546</v>
      </c>
      <c r="G342">
        <v>15.75</v>
      </c>
      <c r="L342" t="s">
        <v>8</v>
      </c>
      <c r="M342" t="s">
        <v>8</v>
      </c>
      <c r="N342" t="s">
        <v>8</v>
      </c>
      <c r="P342">
        <f t="shared" si="969"/>
        <v>0.5246988767086207</v>
      </c>
      <c r="Q342">
        <f t="shared" si="970"/>
        <v>841354935.28785992</v>
      </c>
      <c r="R342">
        <f t="shared" si="971"/>
        <v>6046424408.1111412</v>
      </c>
      <c r="S342">
        <f t="shared" si="972"/>
        <v>60464.244081111414</v>
      </c>
      <c r="T342">
        <f t="shared" si="973"/>
        <v>60.464244081111417</v>
      </c>
    </row>
    <row r="343" spans="1:20" x14ac:dyDescent="0.25">
      <c r="A343" s="5">
        <v>44250</v>
      </c>
      <c r="B343">
        <v>3.2344999999999999E-2</v>
      </c>
      <c r="C343">
        <v>3.2719999999999999E-2</v>
      </c>
      <c r="D343">
        <v>1.8800000000000001E-2</v>
      </c>
      <c r="E343">
        <v>2.4400000000000002E-2</v>
      </c>
      <c r="F343">
        <v>1783151364</v>
      </c>
      <c r="G343">
        <v>-24.56</v>
      </c>
      <c r="L343" t="s">
        <v>7</v>
      </c>
      <c r="M343" t="s">
        <v>7</v>
      </c>
      <c r="N343" t="s">
        <v>7</v>
      </c>
      <c r="P343">
        <f t="shared" si="969"/>
        <v>-0.1954022988505745</v>
      </c>
      <c r="Q343">
        <f t="shared" si="970"/>
        <v>-348431875.72413754</v>
      </c>
      <c r="R343">
        <f t="shared" si="971"/>
        <v>5205069472.8232813</v>
      </c>
      <c r="S343">
        <f t="shared" si="972"/>
        <v>52050.694728232811</v>
      </c>
      <c r="T343">
        <f t="shared" si="973"/>
        <v>52.050694728232813</v>
      </c>
    </row>
    <row r="344" spans="1:20" x14ac:dyDescent="0.25">
      <c r="A344" s="5">
        <v>44249</v>
      </c>
      <c r="B344">
        <v>2.8157999999999999E-2</v>
      </c>
      <c r="C344">
        <v>4.1350999999999999E-2</v>
      </c>
      <c r="D344">
        <v>2.5395000000000001E-2</v>
      </c>
      <c r="E344">
        <v>3.2343999999999998E-2</v>
      </c>
      <c r="F344">
        <v>3909870065</v>
      </c>
      <c r="G344">
        <v>14.87</v>
      </c>
      <c r="L344" t="s">
        <v>8</v>
      </c>
      <c r="M344" t="s">
        <v>8</v>
      </c>
      <c r="N344" t="s">
        <v>8</v>
      </c>
      <c r="P344">
        <f t="shared" si="969"/>
        <v>-0.12897969415893737</v>
      </c>
      <c r="Q344">
        <f t="shared" si="970"/>
        <v>-504293845.18488455</v>
      </c>
      <c r="R344">
        <f t="shared" si="971"/>
        <v>5553501348.5474186</v>
      </c>
      <c r="S344">
        <f t="shared" si="972"/>
        <v>55535.013485474185</v>
      </c>
      <c r="T344">
        <f t="shared" si="973"/>
        <v>55.535013485474181</v>
      </c>
    </row>
    <row r="345" spans="1:20" x14ac:dyDescent="0.25">
      <c r="A345" s="5">
        <v>44248</v>
      </c>
      <c r="B345">
        <v>2.7167E-2</v>
      </c>
      <c r="C345">
        <v>2.8437E-2</v>
      </c>
      <c r="D345">
        <v>2.6324E-2</v>
      </c>
      <c r="E345">
        <v>2.8105000000000002E-2</v>
      </c>
      <c r="F345">
        <v>304877193</v>
      </c>
      <c r="G345">
        <v>3.45</v>
      </c>
      <c r="L345" t="s">
        <v>8</v>
      </c>
      <c r="M345" t="s">
        <v>7</v>
      </c>
      <c r="N345" t="s">
        <v>8</v>
      </c>
      <c r="P345">
        <f t="shared" si="969"/>
        <v>0.68575485092285948</v>
      </c>
      <c r="Q345">
        <f t="shared" si="970"/>
        <v>209071014.03549486</v>
      </c>
      <c r="R345">
        <f t="shared" si="971"/>
        <v>6057795193.7323027</v>
      </c>
      <c r="S345">
        <f t="shared" si="972"/>
        <v>60577.951937323029</v>
      </c>
      <c r="T345">
        <f t="shared" si="973"/>
        <v>60.577951937323029</v>
      </c>
    </row>
    <row r="346" spans="1:20" x14ac:dyDescent="0.25">
      <c r="A346" s="5">
        <v>44247</v>
      </c>
      <c r="B346">
        <v>2.8974E-2</v>
      </c>
      <c r="C346">
        <v>3.1099999999999999E-2</v>
      </c>
      <c r="D346">
        <v>2.4566999999999999E-2</v>
      </c>
      <c r="E346">
        <v>2.7167E-2</v>
      </c>
      <c r="F346">
        <v>654830362</v>
      </c>
      <c r="G346">
        <v>-6.24</v>
      </c>
      <c r="L346" t="s">
        <v>7</v>
      </c>
      <c r="M346" t="s">
        <v>7</v>
      </c>
      <c r="N346" t="s">
        <v>8</v>
      </c>
      <c r="P346">
        <f t="shared" si="969"/>
        <v>-0.20404102250114758</v>
      </c>
      <c r="Q346">
        <f t="shared" si="970"/>
        <v>-133612256.62727661</v>
      </c>
      <c r="R346">
        <f t="shared" si="971"/>
        <v>5848724179.6968079</v>
      </c>
      <c r="S346">
        <f t="shared" si="972"/>
        <v>58487.241796968076</v>
      </c>
      <c r="T346">
        <f t="shared" si="973"/>
        <v>58.487241796968078</v>
      </c>
    </row>
    <row r="347" spans="1:20" x14ac:dyDescent="0.25">
      <c r="A347" s="5">
        <v>44246</v>
      </c>
      <c r="B347">
        <v>2.7810000000000001E-2</v>
      </c>
      <c r="C347">
        <v>3.0720000000000001E-2</v>
      </c>
      <c r="D347">
        <v>2.656E-2</v>
      </c>
      <c r="E347">
        <v>2.8962000000000002E-2</v>
      </c>
      <c r="F347">
        <v>606456452</v>
      </c>
      <c r="G347">
        <v>4.1399999999999997</v>
      </c>
      <c r="L347" t="s">
        <v>8</v>
      </c>
      <c r="M347" t="s">
        <v>8</v>
      </c>
      <c r="N347" t="s">
        <v>8</v>
      </c>
      <c r="P347">
        <f t="shared" si="969"/>
        <v>0.15480769230769281</v>
      </c>
      <c r="Q347">
        <f t="shared" si="970"/>
        <v>93884123.819231078</v>
      </c>
      <c r="R347">
        <f t="shared" si="971"/>
        <v>5982336436.3240843</v>
      </c>
      <c r="S347">
        <f t="shared" si="972"/>
        <v>59823.364363240842</v>
      </c>
      <c r="T347">
        <f t="shared" si="973"/>
        <v>59.823364363240842</v>
      </c>
    </row>
    <row r="348" spans="1:20" x14ac:dyDescent="0.25">
      <c r="A348" s="5">
        <v>44245</v>
      </c>
      <c r="B348">
        <v>2.5936000000000001E-2</v>
      </c>
      <c r="C348">
        <v>2.8954000000000001E-2</v>
      </c>
      <c r="D348">
        <v>2.5921E-2</v>
      </c>
      <c r="E348">
        <v>2.7765999999999999E-2</v>
      </c>
      <c r="F348">
        <v>406061264</v>
      </c>
      <c r="G348">
        <v>7.06</v>
      </c>
      <c r="L348" t="s">
        <v>8</v>
      </c>
      <c r="M348" t="s">
        <v>8</v>
      </c>
      <c r="N348" t="s">
        <v>8</v>
      </c>
      <c r="P348">
        <f t="shared" si="969"/>
        <v>0.21661721068249182</v>
      </c>
      <c r="Q348">
        <f t="shared" si="970"/>
        <v>87959858.373886928</v>
      </c>
      <c r="R348">
        <f t="shared" si="971"/>
        <v>5888452312.5048532</v>
      </c>
      <c r="S348">
        <f t="shared" si="972"/>
        <v>58884.52312504853</v>
      </c>
      <c r="T348">
        <f t="shared" si="973"/>
        <v>58.884523125048531</v>
      </c>
    </row>
    <row r="349" spans="1:20" x14ac:dyDescent="0.25">
      <c r="A349" s="5">
        <v>44244</v>
      </c>
      <c r="B349">
        <v>2.6030000000000001E-2</v>
      </c>
      <c r="C349">
        <v>2.7137999999999999E-2</v>
      </c>
      <c r="D349">
        <v>2.35E-2</v>
      </c>
      <c r="E349">
        <v>2.5937999999999999E-2</v>
      </c>
      <c r="F349">
        <v>618509961</v>
      </c>
      <c r="G349">
        <v>-0.35</v>
      </c>
      <c r="L349" t="s">
        <v>7</v>
      </c>
      <c r="M349" t="s">
        <v>7</v>
      </c>
      <c r="N349" t="s">
        <v>8</v>
      </c>
      <c r="P349">
        <f t="shared" si="969"/>
        <v>0.34029686641011542</v>
      </c>
      <c r="Q349">
        <f t="shared" si="970"/>
        <v>210477001.57174268</v>
      </c>
      <c r="R349">
        <f t="shared" si="971"/>
        <v>5800492454.1309662</v>
      </c>
      <c r="S349">
        <f t="shared" si="972"/>
        <v>58004.924541309665</v>
      </c>
      <c r="T349">
        <f t="shared" si="973"/>
        <v>58.004924541309663</v>
      </c>
    </row>
    <row r="350" spans="1:20" x14ac:dyDescent="0.25">
      <c r="A350" s="5">
        <v>44243</v>
      </c>
      <c r="B350">
        <v>2.6383E-2</v>
      </c>
      <c r="C350">
        <v>2.8750999999999999E-2</v>
      </c>
      <c r="D350">
        <v>2.4750000000000001E-2</v>
      </c>
      <c r="E350">
        <v>2.6030000000000001E-2</v>
      </c>
      <c r="F350">
        <v>566739500</v>
      </c>
      <c r="G350">
        <v>-1.34</v>
      </c>
      <c r="L350" t="s">
        <v>7</v>
      </c>
      <c r="M350" t="s">
        <v>7</v>
      </c>
      <c r="N350" t="s">
        <v>8</v>
      </c>
      <c r="P350">
        <f t="shared" si="969"/>
        <v>-0.36015996000999717</v>
      </c>
      <c r="Q350">
        <f t="shared" si="970"/>
        <v>-204116875.65608579</v>
      </c>
      <c r="R350">
        <f t="shared" si="971"/>
        <v>5590015452.5592232</v>
      </c>
      <c r="S350">
        <f t="shared" si="972"/>
        <v>55900.154525592232</v>
      </c>
      <c r="T350">
        <f t="shared" si="973"/>
        <v>55.900154525592235</v>
      </c>
    </row>
    <row r="351" spans="1:20" x14ac:dyDescent="0.25">
      <c r="A351" s="5">
        <v>44242</v>
      </c>
      <c r="B351">
        <v>2.6956000000000001E-2</v>
      </c>
      <c r="C351">
        <v>3.0972E-2</v>
      </c>
      <c r="D351">
        <v>2.2700000000000001E-2</v>
      </c>
      <c r="E351">
        <v>2.6291999999999999E-2</v>
      </c>
      <c r="F351">
        <v>1909387574</v>
      </c>
      <c r="G351">
        <v>-2.46</v>
      </c>
      <c r="L351" t="s">
        <v>8</v>
      </c>
      <c r="M351" t="s">
        <v>8</v>
      </c>
      <c r="N351" t="s">
        <v>8</v>
      </c>
      <c r="P351">
        <f t="shared" si="969"/>
        <v>-0.13152804642166374</v>
      </c>
      <c r="Q351">
        <f t="shared" si="970"/>
        <v>-251138017.47001991</v>
      </c>
      <c r="R351">
        <f t="shared" si="971"/>
        <v>5794132328.2153091</v>
      </c>
      <c r="S351">
        <f t="shared" si="972"/>
        <v>57941.323282153091</v>
      </c>
      <c r="T351">
        <f t="shared" si="973"/>
        <v>57.941323282153093</v>
      </c>
    </row>
    <row r="352" spans="1:20" x14ac:dyDescent="0.25">
      <c r="A352" s="5">
        <v>44241</v>
      </c>
      <c r="B352">
        <v>2.4611999999999998E-2</v>
      </c>
      <c r="C352">
        <v>2.9448999999999999E-2</v>
      </c>
      <c r="D352">
        <v>2.1995000000000001E-2</v>
      </c>
      <c r="E352">
        <v>2.6963999999999998E-2</v>
      </c>
      <c r="F352">
        <v>1586482749</v>
      </c>
      <c r="G352">
        <v>9.56</v>
      </c>
      <c r="L352" t="s">
        <v>8</v>
      </c>
      <c r="M352" t="s">
        <v>8</v>
      </c>
      <c r="N352" t="s">
        <v>8</v>
      </c>
      <c r="P352">
        <f t="shared" si="969"/>
        <v>0.33324389589482117</v>
      </c>
      <c r="Q352">
        <f t="shared" si="970"/>
        <v>528685692.0466857</v>
      </c>
      <c r="R352">
        <f t="shared" si="971"/>
        <v>6045270345.6853294</v>
      </c>
      <c r="S352">
        <f t="shared" si="972"/>
        <v>60452.703456853291</v>
      </c>
      <c r="T352">
        <f t="shared" si="973"/>
        <v>60.452703456853293</v>
      </c>
    </row>
    <row r="353" spans="1:20" x14ac:dyDescent="0.25">
      <c r="A353" s="5">
        <v>44240</v>
      </c>
      <c r="B353">
        <v>2.2395999999999999E-2</v>
      </c>
      <c r="C353">
        <v>2.6869000000000001E-2</v>
      </c>
      <c r="D353">
        <v>2.2339999999999999E-2</v>
      </c>
      <c r="E353">
        <v>2.4558E-2</v>
      </c>
      <c r="F353">
        <v>1112588053</v>
      </c>
      <c r="G353">
        <v>9.65</v>
      </c>
      <c r="L353" t="s">
        <v>8</v>
      </c>
      <c r="M353" t="s">
        <v>8</v>
      </c>
      <c r="N353" t="s">
        <v>8</v>
      </c>
      <c r="P353">
        <f t="shared" si="969"/>
        <v>-2.0534334290130116E-2</v>
      </c>
      <c r="Q353">
        <f t="shared" si="970"/>
        <v>-22846255.007507004</v>
      </c>
      <c r="R353">
        <f t="shared" si="971"/>
        <v>5516584653.6386442</v>
      </c>
      <c r="S353">
        <f t="shared" si="972"/>
        <v>55165.846536386445</v>
      </c>
      <c r="T353">
        <f t="shared" si="973"/>
        <v>55.165846536386447</v>
      </c>
    </row>
    <row r="354" spans="1:20" x14ac:dyDescent="0.25">
      <c r="A354" s="5">
        <v>44239</v>
      </c>
      <c r="B354">
        <v>2.1679E-2</v>
      </c>
      <c r="C354">
        <v>2.35E-2</v>
      </c>
      <c r="D354">
        <v>2.0177E-2</v>
      </c>
      <c r="E354">
        <v>2.2394000000000001E-2</v>
      </c>
      <c r="F354">
        <v>668402919</v>
      </c>
      <c r="G354">
        <v>3.3</v>
      </c>
      <c r="L354" t="s">
        <v>8</v>
      </c>
      <c r="M354" t="s">
        <v>8</v>
      </c>
      <c r="N354" t="s">
        <v>8</v>
      </c>
      <c r="P354">
        <f t="shared" si="969"/>
        <v>0.3343364429732173</v>
      </c>
      <c r="Q354">
        <f t="shared" si="970"/>
        <v>223471454.41137549</v>
      </c>
      <c r="R354">
        <f t="shared" si="971"/>
        <v>5539430908.6461515</v>
      </c>
      <c r="S354">
        <f t="shared" si="972"/>
        <v>55394.309086461515</v>
      </c>
      <c r="T354">
        <f t="shared" si="973"/>
        <v>55.394309086461519</v>
      </c>
    </row>
    <row r="355" spans="1:20" x14ac:dyDescent="0.25">
      <c r="A355" s="5">
        <v>44238</v>
      </c>
      <c r="B355">
        <v>1.8484E-2</v>
      </c>
      <c r="C355">
        <v>2.2599999999999999E-2</v>
      </c>
      <c r="D355">
        <v>1.8038999999999999E-2</v>
      </c>
      <c r="E355">
        <v>2.1669000000000001E-2</v>
      </c>
      <c r="F355">
        <v>822617219</v>
      </c>
      <c r="G355">
        <v>17.23</v>
      </c>
      <c r="L355" t="s">
        <v>8</v>
      </c>
      <c r="M355" t="s">
        <v>8</v>
      </c>
      <c r="N355" t="s">
        <v>8</v>
      </c>
      <c r="P355">
        <f t="shared" si="969"/>
        <v>0.59175619381714628</v>
      </c>
      <c r="Q355">
        <f t="shared" si="970"/>
        <v>486788834.48388588</v>
      </c>
      <c r="R355">
        <f t="shared" si="971"/>
        <v>5315959454.2347765</v>
      </c>
      <c r="S355">
        <f t="shared" si="972"/>
        <v>53159.594542347768</v>
      </c>
      <c r="T355">
        <f t="shared" si="973"/>
        <v>53.159594542347769</v>
      </c>
    </row>
    <row r="356" spans="1:20" x14ac:dyDescent="0.25">
      <c r="A356" s="5">
        <v>44237</v>
      </c>
      <c r="B356">
        <v>1.9945999999999998E-2</v>
      </c>
      <c r="C356">
        <v>2.0500000000000001E-2</v>
      </c>
      <c r="D356">
        <v>1.6722999999999998E-2</v>
      </c>
      <c r="E356">
        <v>1.8484E-2</v>
      </c>
      <c r="F356">
        <v>771766805</v>
      </c>
      <c r="G356">
        <v>-7.33</v>
      </c>
      <c r="L356" t="s">
        <v>7</v>
      </c>
      <c r="M356" t="s">
        <v>7</v>
      </c>
      <c r="N356" t="s">
        <v>8</v>
      </c>
      <c r="P356">
        <f t="shared" si="969"/>
        <v>-6.7513899920571385E-2</v>
      </c>
      <c r="Q356">
        <f t="shared" si="970"/>
        <v>-52104986.834789135</v>
      </c>
      <c r="R356">
        <f t="shared" si="971"/>
        <v>4829170619.7508907</v>
      </c>
      <c r="S356">
        <f t="shared" si="972"/>
        <v>48291.706197508909</v>
      </c>
      <c r="T356">
        <f t="shared" si="973"/>
        <v>48.291706197508908</v>
      </c>
    </row>
    <row r="357" spans="1:20" x14ac:dyDescent="0.25">
      <c r="A357" s="5">
        <v>44236</v>
      </c>
      <c r="B357">
        <v>1.8006999999999999E-2</v>
      </c>
      <c r="C357">
        <v>2.0327000000000001E-2</v>
      </c>
      <c r="D357">
        <v>1.8003999999999999E-2</v>
      </c>
      <c r="E357">
        <v>1.9945999999999998E-2</v>
      </c>
      <c r="F357">
        <v>781423000</v>
      </c>
      <c r="G357">
        <v>10.77</v>
      </c>
      <c r="L357" t="s">
        <v>8</v>
      </c>
      <c r="M357" t="s">
        <v>8</v>
      </c>
      <c r="N357" t="s">
        <v>8</v>
      </c>
      <c r="P357">
        <f t="shared" si="969"/>
        <v>0.67197589324149587</v>
      </c>
      <c r="Q357">
        <f t="shared" si="970"/>
        <v>525097418.42444944</v>
      </c>
      <c r="R357">
        <f t="shared" si="971"/>
        <v>4881275606.58568</v>
      </c>
      <c r="S357">
        <f t="shared" si="972"/>
        <v>48812.756065856804</v>
      </c>
      <c r="T357">
        <f t="shared" si="973"/>
        <v>48.812756065856803</v>
      </c>
    </row>
    <row r="358" spans="1:20" x14ac:dyDescent="0.25">
      <c r="A358" s="5">
        <v>44235</v>
      </c>
      <c r="B358">
        <v>1.7364999999999998E-2</v>
      </c>
      <c r="C358">
        <v>1.9449999999999999E-2</v>
      </c>
      <c r="D358">
        <v>1.6247999999999999E-2</v>
      </c>
      <c r="E358">
        <v>1.8006999999999999E-2</v>
      </c>
      <c r="F358">
        <v>892314366</v>
      </c>
      <c r="G358">
        <v>3.7</v>
      </c>
      <c r="L358" t="s">
        <v>8</v>
      </c>
      <c r="M358" t="s">
        <v>8</v>
      </c>
      <c r="N358" t="s">
        <v>8</v>
      </c>
      <c r="P358">
        <f t="shared" si="969"/>
        <v>9.8688319800125018E-2</v>
      </c>
      <c r="Q358">
        <f t="shared" si="970"/>
        <v>88061005.514053807</v>
      </c>
      <c r="R358">
        <f t="shared" si="971"/>
        <v>4356178188.1612301</v>
      </c>
      <c r="S358">
        <f t="shared" si="972"/>
        <v>43561.781881612304</v>
      </c>
      <c r="T358">
        <f t="shared" si="973"/>
        <v>43.561781881612305</v>
      </c>
    </row>
    <row r="359" spans="1:20" x14ac:dyDescent="0.25">
      <c r="A359" s="5">
        <v>44234</v>
      </c>
      <c r="B359">
        <v>1.6036999999999999E-2</v>
      </c>
      <c r="C359">
        <v>1.8495999999999999E-2</v>
      </c>
      <c r="D359">
        <v>1.4500000000000001E-2</v>
      </c>
      <c r="E359">
        <v>1.7340000000000001E-2</v>
      </c>
      <c r="F359">
        <v>2008158265</v>
      </c>
      <c r="G359">
        <v>8.1199999999999992</v>
      </c>
      <c r="L359" t="s">
        <v>7</v>
      </c>
      <c r="M359" t="s">
        <v>7</v>
      </c>
      <c r="N359" t="s">
        <v>8</v>
      </c>
      <c r="P359">
        <f t="shared" si="969"/>
        <v>0.42142142142142247</v>
      </c>
      <c r="Q359">
        <f t="shared" si="970"/>
        <v>846280910.47547758</v>
      </c>
      <c r="R359">
        <f t="shared" si="971"/>
        <v>4268117182.6471767</v>
      </c>
      <c r="S359">
        <f t="shared" si="972"/>
        <v>42681.171826471771</v>
      </c>
      <c r="T359">
        <f t="shared" si="973"/>
        <v>42.681171826471768</v>
      </c>
    </row>
    <row r="360" spans="1:20" x14ac:dyDescent="0.25">
      <c r="A360" s="5">
        <v>44233</v>
      </c>
      <c r="B360">
        <v>1.7226999999999999E-2</v>
      </c>
      <c r="C360">
        <v>1.7382999999999999E-2</v>
      </c>
      <c r="D360">
        <v>1.5214E-2</v>
      </c>
      <c r="E360">
        <v>1.6038E-2</v>
      </c>
      <c r="F360">
        <v>803022427</v>
      </c>
      <c r="G360">
        <v>-6.9</v>
      </c>
      <c r="L360" t="s">
        <v>7</v>
      </c>
      <c r="M360" t="s">
        <v>7</v>
      </c>
      <c r="N360" t="s">
        <v>8</v>
      </c>
      <c r="P360">
        <f t="shared" si="969"/>
        <v>-0.24020285846011946</v>
      </c>
      <c r="Q360">
        <f t="shared" si="970"/>
        <v>-192888282.37298262</v>
      </c>
      <c r="R360">
        <f t="shared" si="971"/>
        <v>3421836272.171699</v>
      </c>
      <c r="S360">
        <f t="shared" si="972"/>
        <v>34218.362721716992</v>
      </c>
      <c r="T360">
        <f t="shared" si="973"/>
        <v>34.218362721716993</v>
      </c>
    </row>
    <row r="361" spans="1:20" x14ac:dyDescent="0.25">
      <c r="A361" s="5">
        <v>44232</v>
      </c>
      <c r="B361">
        <v>1.6737999999999999E-2</v>
      </c>
      <c r="C361">
        <v>1.8598E-2</v>
      </c>
      <c r="D361">
        <v>1.6240999999999998E-2</v>
      </c>
      <c r="E361">
        <v>1.7288999999999999E-2</v>
      </c>
      <c r="F361">
        <v>1120049756</v>
      </c>
      <c r="G361">
        <v>3.29</v>
      </c>
      <c r="L361" t="s">
        <v>7</v>
      </c>
      <c r="M361" t="s">
        <v>7</v>
      </c>
      <c r="N361" t="s">
        <v>8</v>
      </c>
      <c r="P361">
        <f t="shared" si="969"/>
        <v>-0.11073398387781105</v>
      </c>
      <c r="Q361">
        <f t="shared" si="970"/>
        <v>-124027571.6232502</v>
      </c>
      <c r="R361">
        <f t="shared" si="971"/>
        <v>3614724554.5446815</v>
      </c>
      <c r="S361">
        <f t="shared" si="972"/>
        <v>36147.245545446815</v>
      </c>
      <c r="T361">
        <f t="shared" si="973"/>
        <v>36.147245545446815</v>
      </c>
    </row>
    <row r="362" spans="1:20" x14ac:dyDescent="0.25">
      <c r="A362" s="5">
        <v>44231</v>
      </c>
      <c r="B362">
        <v>1.4344000000000001E-2</v>
      </c>
      <c r="C362">
        <v>1.9900000000000001E-2</v>
      </c>
      <c r="D362">
        <v>1.4189999999999999E-2</v>
      </c>
      <c r="E362">
        <v>1.6743000000000001E-2</v>
      </c>
      <c r="F362">
        <v>2421011924</v>
      </c>
      <c r="G362">
        <v>16.72</v>
      </c>
      <c r="L362" t="s">
        <v>8</v>
      </c>
      <c r="M362" t="s">
        <v>8</v>
      </c>
      <c r="N362" t="s">
        <v>8</v>
      </c>
      <c r="P362">
        <f t="shared" si="969"/>
        <v>-0.10577933450087539</v>
      </c>
      <c r="Q362">
        <f t="shared" si="970"/>
        <v>-256093030.13940391</v>
      </c>
      <c r="R362">
        <f t="shared" si="971"/>
        <v>3738752126.1679316</v>
      </c>
      <c r="S362">
        <f t="shared" si="972"/>
        <v>37387.521261679314</v>
      </c>
      <c r="T362">
        <f t="shared" si="973"/>
        <v>37.387521261679311</v>
      </c>
    </row>
    <row r="363" spans="1:20" x14ac:dyDescent="0.25">
      <c r="A363" s="5">
        <v>44230</v>
      </c>
      <c r="B363">
        <v>1.2841999999999999E-2</v>
      </c>
      <c r="C363">
        <v>1.5509999999999999E-2</v>
      </c>
      <c r="D363">
        <v>1.2501999999999999E-2</v>
      </c>
      <c r="E363">
        <v>1.4322E-2</v>
      </c>
      <c r="F363">
        <v>1080749234</v>
      </c>
      <c r="G363">
        <v>11.52</v>
      </c>
      <c r="L363" t="s">
        <v>8</v>
      </c>
      <c r="M363" t="s">
        <v>8</v>
      </c>
      <c r="N363" t="s">
        <v>8</v>
      </c>
      <c r="P363">
        <f t="shared" si="969"/>
        <v>0.21010638297872358</v>
      </c>
      <c r="Q363">
        <f t="shared" si="970"/>
        <v>227072312.46276614</v>
      </c>
      <c r="R363">
        <f t="shared" si="971"/>
        <v>3994845156.3073354</v>
      </c>
      <c r="S363">
        <f t="shared" si="972"/>
        <v>39948.451563073351</v>
      </c>
      <c r="T363">
        <f t="shared" si="973"/>
        <v>39.948451563073348</v>
      </c>
    </row>
    <row r="364" spans="1:20" x14ac:dyDescent="0.25">
      <c r="A364" s="5">
        <v>44229</v>
      </c>
      <c r="B364">
        <v>1.1875999999999999E-2</v>
      </c>
      <c r="C364">
        <v>1.3416000000000001E-2</v>
      </c>
      <c r="D364">
        <v>1.1834000000000001E-2</v>
      </c>
      <c r="E364">
        <v>1.2810999999999999E-2</v>
      </c>
      <c r="F364">
        <v>413331854</v>
      </c>
      <c r="G364">
        <v>7.87</v>
      </c>
      <c r="L364" t="s">
        <v>8</v>
      </c>
      <c r="M364" t="s">
        <v>8</v>
      </c>
      <c r="N364" t="s">
        <v>8</v>
      </c>
      <c r="P364">
        <f t="shared" si="969"/>
        <v>0.23514538558786177</v>
      </c>
      <c r="Q364">
        <f t="shared" si="970"/>
        <v>97193078.184575781</v>
      </c>
      <c r="R364">
        <f t="shared" si="971"/>
        <v>3767772843.8445692</v>
      </c>
      <c r="S364">
        <f t="shared" si="972"/>
        <v>37677.728438445694</v>
      </c>
      <c r="T364">
        <f t="shared" si="973"/>
        <v>37.677728438445698</v>
      </c>
    </row>
    <row r="365" spans="1:20" x14ac:dyDescent="0.25">
      <c r="A365" s="5">
        <v>44228</v>
      </c>
      <c r="B365">
        <v>1.1573E-2</v>
      </c>
      <c r="C365">
        <v>1.2229E-2</v>
      </c>
      <c r="D365">
        <v>1.1114000000000001E-2</v>
      </c>
      <c r="E365">
        <v>1.1894E-2</v>
      </c>
      <c r="F365">
        <v>432164160</v>
      </c>
      <c r="G365">
        <v>2.77</v>
      </c>
      <c r="L365" t="s">
        <v>7</v>
      </c>
      <c r="M365" t="s">
        <v>7</v>
      </c>
      <c r="N365" t="s">
        <v>8</v>
      </c>
      <c r="P365">
        <f t="shared" si="969"/>
        <v>0.39910313901345235</v>
      </c>
      <c r="Q365">
        <f t="shared" si="970"/>
        <v>172478072.82511187</v>
      </c>
      <c r="R365">
        <f t="shared" si="971"/>
        <v>3670579765.6599936</v>
      </c>
      <c r="S365">
        <f t="shared" si="972"/>
        <v>36705.797656599934</v>
      </c>
      <c r="T365">
        <f t="shared" si="973"/>
        <v>36.705797656599934</v>
      </c>
    </row>
    <row r="366" spans="1:20" x14ac:dyDescent="0.25">
      <c r="A366" s="5">
        <v>44227</v>
      </c>
      <c r="B366">
        <v>1.204E-2</v>
      </c>
      <c r="C366">
        <v>1.2999999999999999E-2</v>
      </c>
      <c r="D366">
        <v>1.1282E-2</v>
      </c>
      <c r="E366">
        <v>1.1557E-2</v>
      </c>
      <c r="F366">
        <v>505323830</v>
      </c>
      <c r="G366">
        <v>-4.01</v>
      </c>
      <c r="L366" t="s">
        <v>7</v>
      </c>
      <c r="M366" t="s">
        <v>7</v>
      </c>
      <c r="N366" t="s">
        <v>8</v>
      </c>
      <c r="P366">
        <f t="shared" si="969"/>
        <v>-0.67986030267753272</v>
      </c>
      <c r="Q366">
        <f t="shared" si="970"/>
        <v>-343549612.01397008</v>
      </c>
      <c r="R366">
        <f t="shared" si="971"/>
        <v>3498101692.8348818</v>
      </c>
      <c r="S366">
        <f t="shared" si="972"/>
        <v>34981.016928348821</v>
      </c>
      <c r="T366">
        <f t="shared" si="973"/>
        <v>34.981016928348822</v>
      </c>
    </row>
    <row r="367" spans="1:20" x14ac:dyDescent="0.25">
      <c r="A367" s="5">
        <v>44226</v>
      </c>
      <c r="B367">
        <v>1.2547000000000001E-2</v>
      </c>
      <c r="C367">
        <v>1.35E-2</v>
      </c>
      <c r="D367">
        <v>1.1606E-2</v>
      </c>
      <c r="E367">
        <v>1.204E-2</v>
      </c>
      <c r="F367">
        <v>707076963</v>
      </c>
      <c r="G367">
        <v>-4.04</v>
      </c>
      <c r="L367" t="s">
        <v>7</v>
      </c>
      <c r="M367" t="s">
        <v>7</v>
      </c>
      <c r="N367" t="s">
        <v>8</v>
      </c>
      <c r="P367">
        <f t="shared" si="969"/>
        <v>-0.54171066525871125</v>
      </c>
      <c r="Q367">
        <f t="shared" si="970"/>
        <v>-383031132.01583916</v>
      </c>
      <c r="R367">
        <f t="shared" si="971"/>
        <v>3841651304.8488517</v>
      </c>
      <c r="S367">
        <f t="shared" si="972"/>
        <v>38416.513048488516</v>
      </c>
      <c r="T367">
        <f t="shared" si="973"/>
        <v>38.416513048488518</v>
      </c>
    </row>
    <row r="368" spans="1:20" x14ac:dyDescent="0.25">
      <c r="A368" s="5">
        <v>44225</v>
      </c>
      <c r="B368">
        <v>1.1856E-2</v>
      </c>
      <c r="C368">
        <v>1.4789999999999999E-2</v>
      </c>
      <c r="D368">
        <v>1.1856E-2</v>
      </c>
      <c r="E368">
        <v>1.2492E-2</v>
      </c>
      <c r="F368">
        <v>1544039583</v>
      </c>
      <c r="G368">
        <v>5.36</v>
      </c>
      <c r="L368" t="s">
        <v>8</v>
      </c>
      <c r="M368" t="s">
        <v>8</v>
      </c>
      <c r="N368" t="s">
        <v>8</v>
      </c>
      <c r="P368">
        <f t="shared" si="969"/>
        <v>-0.5664621676891618</v>
      </c>
      <c r="Q368">
        <f t="shared" si="970"/>
        <v>-874640009.18404949</v>
      </c>
      <c r="R368">
        <f t="shared" si="971"/>
        <v>4224682436.8646908</v>
      </c>
      <c r="S368">
        <f t="shared" si="972"/>
        <v>42246.824368646907</v>
      </c>
      <c r="T368">
        <f t="shared" si="973"/>
        <v>42.246824368646905</v>
      </c>
    </row>
    <row r="369" spans="1:20" x14ac:dyDescent="0.25">
      <c r="A369" s="5">
        <v>44224</v>
      </c>
      <c r="B369">
        <v>9.8919999999999998E-3</v>
      </c>
      <c r="C369">
        <v>1.3776999999999999E-2</v>
      </c>
      <c r="D369">
        <v>9.6609999999999994E-3</v>
      </c>
      <c r="E369">
        <v>1.1856E-2</v>
      </c>
      <c r="F369">
        <v>1614554906</v>
      </c>
      <c r="G369">
        <v>19.850000000000001</v>
      </c>
      <c r="L369" t="s">
        <v>8</v>
      </c>
      <c r="M369" t="s">
        <v>8</v>
      </c>
      <c r="N369" t="s">
        <v>8</v>
      </c>
      <c r="P369">
        <f t="shared" si="969"/>
        <v>6.6569484936832291E-2</v>
      </c>
      <c r="Q369">
        <f t="shared" si="970"/>
        <v>107480088.49465567</v>
      </c>
      <c r="R369">
        <f t="shared" si="971"/>
        <v>5099322446.0487404</v>
      </c>
      <c r="S369">
        <f t="shared" si="972"/>
        <v>50993.224460487407</v>
      </c>
      <c r="T369">
        <f t="shared" si="973"/>
        <v>50.993224460487404</v>
      </c>
    </row>
    <row r="370" spans="1:20" x14ac:dyDescent="0.25">
      <c r="A370" s="5">
        <v>44223</v>
      </c>
      <c r="B370">
        <v>1.0514000000000001E-2</v>
      </c>
      <c r="C370">
        <v>1.0534E-2</v>
      </c>
      <c r="D370">
        <v>9.2399999999999999E-3</v>
      </c>
      <c r="E370">
        <v>9.8799999999999999E-3</v>
      </c>
      <c r="F370">
        <v>360005556</v>
      </c>
      <c r="G370">
        <v>-6.03</v>
      </c>
      <c r="L370" t="s">
        <v>7</v>
      </c>
      <c r="M370" t="s">
        <v>7</v>
      </c>
      <c r="N370" t="s">
        <v>7</v>
      </c>
      <c r="P370">
        <f t="shared" si="969"/>
        <v>-1.0819165378670883E-2</v>
      </c>
      <c r="Q370">
        <f t="shared" si="970"/>
        <v>-3894959.6476043616</v>
      </c>
      <c r="R370">
        <f t="shared" si="971"/>
        <v>4991842357.5540848</v>
      </c>
      <c r="S370">
        <f t="shared" si="972"/>
        <v>49918.423575540844</v>
      </c>
      <c r="T370">
        <f t="shared" si="973"/>
        <v>49.918423575540842</v>
      </c>
    </row>
    <row r="371" spans="1:20" x14ac:dyDescent="0.25">
      <c r="A371" s="5">
        <v>44222</v>
      </c>
      <c r="B371">
        <v>1.0800000000000001E-2</v>
      </c>
      <c r="C371">
        <v>1.0943E-2</v>
      </c>
      <c r="D371">
        <v>9.8130000000000005E-3</v>
      </c>
      <c r="E371">
        <v>1.0534999999999999E-2</v>
      </c>
      <c r="F371">
        <v>272534151</v>
      </c>
      <c r="G371">
        <v>-2.4500000000000002</v>
      </c>
      <c r="L371" t="s">
        <v>7</v>
      </c>
      <c r="M371" t="s">
        <v>8</v>
      </c>
      <c r="N371" t="s">
        <v>7</v>
      </c>
      <c r="P371">
        <f t="shared" si="969"/>
        <v>0.277876106194689</v>
      </c>
      <c r="Q371">
        <f t="shared" si="970"/>
        <v>75730728.684955403</v>
      </c>
      <c r="R371">
        <f t="shared" si="971"/>
        <v>4995737317.2016888</v>
      </c>
      <c r="S371">
        <f t="shared" si="972"/>
        <v>49957.373172016887</v>
      </c>
      <c r="T371">
        <f t="shared" si="973"/>
        <v>49.957373172016887</v>
      </c>
    </row>
    <row r="372" spans="1:20" x14ac:dyDescent="0.25">
      <c r="A372" s="5">
        <v>44221</v>
      </c>
      <c r="B372">
        <v>1.1322E-2</v>
      </c>
      <c r="C372">
        <v>1.1625E-2</v>
      </c>
      <c r="D372">
        <v>1.0546E-2</v>
      </c>
      <c r="E372">
        <v>1.0800000000000001E-2</v>
      </c>
      <c r="F372">
        <v>291924982</v>
      </c>
      <c r="G372">
        <v>-4.6100000000000003</v>
      </c>
      <c r="L372" t="s">
        <v>7</v>
      </c>
      <c r="M372" t="s">
        <v>8</v>
      </c>
      <c r="N372" t="s">
        <v>7</v>
      </c>
      <c r="P372">
        <f t="shared" si="969"/>
        <v>-0.52919369786839532</v>
      </c>
      <c r="Q372">
        <f t="shared" si="970"/>
        <v>-154484860.72474474</v>
      </c>
      <c r="R372">
        <f t="shared" si="971"/>
        <v>4920006588.5167332</v>
      </c>
      <c r="S372">
        <f t="shared" si="972"/>
        <v>49200.065885167329</v>
      </c>
      <c r="T372">
        <f t="shared" si="973"/>
        <v>49.200065885167326</v>
      </c>
    </row>
    <row r="373" spans="1:20" x14ac:dyDescent="0.25">
      <c r="A373" s="5">
        <v>44220</v>
      </c>
      <c r="B373">
        <v>1.051E-2</v>
      </c>
      <c r="C373">
        <v>1.1683000000000001E-2</v>
      </c>
      <c r="D373">
        <v>1.0213E-2</v>
      </c>
      <c r="E373">
        <v>1.1367E-2</v>
      </c>
      <c r="F373">
        <v>443956832</v>
      </c>
      <c r="G373">
        <v>8.15</v>
      </c>
      <c r="L373" t="s">
        <v>8</v>
      </c>
      <c r="M373" t="s">
        <v>8</v>
      </c>
      <c r="N373" t="s">
        <v>7</v>
      </c>
      <c r="P373">
        <f t="shared" si="969"/>
        <v>0.57006802721088412</v>
      </c>
      <c r="Q373">
        <f t="shared" si="970"/>
        <v>253085595.38503391</v>
      </c>
      <c r="R373">
        <f t="shared" si="971"/>
        <v>5074491449.241478</v>
      </c>
      <c r="S373">
        <f t="shared" si="972"/>
        <v>50744.914492414777</v>
      </c>
      <c r="T373">
        <f t="shared" si="973"/>
        <v>50.744914492414779</v>
      </c>
    </row>
    <row r="374" spans="1:20" x14ac:dyDescent="0.25">
      <c r="A374" s="5">
        <v>44219</v>
      </c>
      <c r="B374">
        <v>1.0782999999999999E-2</v>
      </c>
      <c r="C374">
        <v>1.09E-2</v>
      </c>
      <c r="D374">
        <v>9.7269999999999995E-3</v>
      </c>
      <c r="E374">
        <v>1.0499E-2</v>
      </c>
      <c r="F374">
        <v>303753607</v>
      </c>
      <c r="G374">
        <v>-2.63</v>
      </c>
      <c r="L374" t="s">
        <v>8</v>
      </c>
      <c r="M374" t="s">
        <v>8</v>
      </c>
      <c r="N374" t="s">
        <v>7</v>
      </c>
      <c r="P374">
        <f t="shared" si="969"/>
        <v>0.31628303495311139</v>
      </c>
      <c r="Q374">
        <f t="shared" si="970"/>
        <v>96072112.699914664</v>
      </c>
      <c r="R374">
        <f t="shared" si="971"/>
        <v>4821405853.8564444</v>
      </c>
      <c r="S374">
        <f t="shared" si="972"/>
        <v>48214.058538564444</v>
      </c>
      <c r="T374">
        <f t="shared" si="973"/>
        <v>48.214058538564444</v>
      </c>
    </row>
    <row r="375" spans="1:20" x14ac:dyDescent="0.25">
      <c r="A375" s="5">
        <v>44218</v>
      </c>
      <c r="B375">
        <v>1.0485E-2</v>
      </c>
      <c r="C375">
        <v>1.0999E-2</v>
      </c>
      <c r="D375">
        <v>9.0320000000000001E-3</v>
      </c>
      <c r="E375">
        <v>1.0761E-2</v>
      </c>
      <c r="F375">
        <v>584575603</v>
      </c>
      <c r="G375">
        <v>2.63</v>
      </c>
      <c r="L375" t="s">
        <v>7</v>
      </c>
      <c r="M375" t="s">
        <v>7</v>
      </c>
      <c r="N375" t="s">
        <v>7</v>
      </c>
      <c r="P375">
        <f t="shared" si="969"/>
        <v>0.75800711743772209</v>
      </c>
      <c r="Q375">
        <f t="shared" si="970"/>
        <v>443112467.75444818</v>
      </c>
      <c r="R375">
        <f t="shared" si="971"/>
        <v>4725333741.1565294</v>
      </c>
      <c r="S375">
        <f t="shared" si="972"/>
        <v>47253.337411565291</v>
      </c>
      <c r="T375">
        <f t="shared" si="973"/>
        <v>47.25333741156529</v>
      </c>
    </row>
    <row r="376" spans="1:20" x14ac:dyDescent="0.25">
      <c r="A376" s="5">
        <v>44217</v>
      </c>
      <c r="B376">
        <v>1.3429E-2</v>
      </c>
      <c r="C376">
        <v>1.3883E-2</v>
      </c>
      <c r="D376">
        <v>1.0082000000000001E-2</v>
      </c>
      <c r="E376">
        <v>1.0484E-2</v>
      </c>
      <c r="F376">
        <v>1935619385</v>
      </c>
      <c r="G376">
        <v>-21.93</v>
      </c>
      <c r="L376" t="s">
        <v>8</v>
      </c>
      <c r="M376" t="s">
        <v>7</v>
      </c>
      <c r="N376" t="s">
        <v>7</v>
      </c>
      <c r="P376">
        <f t="shared" si="969"/>
        <v>-0.78847671665351238</v>
      </c>
      <c r="Q376">
        <f t="shared" si="970"/>
        <v>-1526190817.3756909</v>
      </c>
      <c r="R376">
        <f t="shared" si="971"/>
        <v>4282221273.402081</v>
      </c>
      <c r="S376">
        <f t="shared" si="972"/>
        <v>42822.21273402081</v>
      </c>
      <c r="T376">
        <f t="shared" si="973"/>
        <v>42.822212734020809</v>
      </c>
    </row>
    <row r="377" spans="1:20" x14ac:dyDescent="0.25">
      <c r="A377" s="5">
        <v>44216</v>
      </c>
      <c r="B377">
        <v>9.3930000000000003E-3</v>
      </c>
      <c r="C377">
        <v>1.4461999999999999E-2</v>
      </c>
      <c r="D377">
        <v>8.6350000000000003E-3</v>
      </c>
      <c r="E377">
        <v>1.3428000000000001E-2</v>
      </c>
      <c r="F377">
        <v>1369559791</v>
      </c>
      <c r="G377">
        <v>42.96</v>
      </c>
      <c r="L377" t="s">
        <v>7</v>
      </c>
      <c r="M377" t="s">
        <v>8</v>
      </c>
      <c r="N377" t="s">
        <v>8</v>
      </c>
      <c r="P377">
        <f t="shared" si="969"/>
        <v>0.64510039471426162</v>
      </c>
      <c r="Q377">
        <f t="shared" si="970"/>
        <v>883503561.75888169</v>
      </c>
      <c r="R377">
        <f t="shared" si="971"/>
        <v>5808412090.7777719</v>
      </c>
      <c r="S377">
        <f t="shared" si="972"/>
        <v>58084.120907777717</v>
      </c>
      <c r="T377">
        <f t="shared" si="973"/>
        <v>58.084120907777717</v>
      </c>
    </row>
    <row r="378" spans="1:20" x14ac:dyDescent="0.25">
      <c r="A378" s="5">
        <v>44215</v>
      </c>
      <c r="B378">
        <v>9.7149999999999997E-3</v>
      </c>
      <c r="C378">
        <v>9.7450000000000002E-3</v>
      </c>
      <c r="D378">
        <v>9.2379999999999997E-3</v>
      </c>
      <c r="E378">
        <v>9.3930000000000003E-3</v>
      </c>
      <c r="F378">
        <v>225851587</v>
      </c>
      <c r="G378">
        <v>-3.31</v>
      </c>
      <c r="L378" t="s">
        <v>7</v>
      </c>
      <c r="M378" t="s">
        <v>8</v>
      </c>
      <c r="N378" t="s">
        <v>8</v>
      </c>
      <c r="P378">
        <f t="shared" si="969"/>
        <v>-0.38856015779092518</v>
      </c>
      <c r="Q378">
        <f t="shared" si="970"/>
        <v>-87756928.282050863</v>
      </c>
      <c r="R378">
        <f t="shared" si="971"/>
        <v>4924908529.0188904</v>
      </c>
      <c r="S378">
        <f t="shared" si="972"/>
        <v>49249.085290188901</v>
      </c>
      <c r="T378">
        <f t="shared" si="973"/>
        <v>49.249085290188901</v>
      </c>
    </row>
    <row r="379" spans="1:20" x14ac:dyDescent="0.25">
      <c r="A379" s="5">
        <v>44214</v>
      </c>
      <c r="B379">
        <v>9.6319999999999999E-3</v>
      </c>
      <c r="C379">
        <v>1.027E-2</v>
      </c>
      <c r="D379">
        <v>9.3919999999999993E-3</v>
      </c>
      <c r="E379">
        <v>9.6830000000000006E-3</v>
      </c>
      <c r="F379">
        <v>328295968</v>
      </c>
      <c r="G379">
        <v>0.53</v>
      </c>
      <c r="L379" t="s">
        <v>7</v>
      </c>
      <c r="M379" t="s">
        <v>8</v>
      </c>
      <c r="N379" t="s">
        <v>8</v>
      </c>
      <c r="P379">
        <f t="shared" si="969"/>
        <v>-0.33712984054669426</v>
      </c>
      <c r="Q379">
        <f t="shared" si="970"/>
        <v>-110678367.34396264</v>
      </c>
      <c r="R379">
        <f t="shared" si="971"/>
        <v>5012665457.3009415</v>
      </c>
      <c r="S379">
        <f t="shared" si="972"/>
        <v>50126.654573009415</v>
      </c>
      <c r="T379">
        <f t="shared" si="973"/>
        <v>50.126654573009418</v>
      </c>
    </row>
    <row r="380" spans="1:20" x14ac:dyDescent="0.25">
      <c r="A380" s="5">
        <v>44213</v>
      </c>
      <c r="B380">
        <v>9.0279999999999996E-3</v>
      </c>
      <c r="C380">
        <v>1.039E-2</v>
      </c>
      <c r="D380">
        <v>8.4600000000000005E-3</v>
      </c>
      <c r="E380">
        <v>9.6439999999999998E-3</v>
      </c>
      <c r="F380">
        <v>491595081</v>
      </c>
      <c r="G380">
        <v>6.82</v>
      </c>
      <c r="L380" t="s">
        <v>8</v>
      </c>
      <c r="M380" t="s">
        <v>8</v>
      </c>
      <c r="N380" t="s">
        <v>8</v>
      </c>
      <c r="P380">
        <f t="shared" si="969"/>
        <v>0.22694300518134677</v>
      </c>
      <c r="Q380">
        <f t="shared" si="970"/>
        <v>111564065.01450759</v>
      </c>
      <c r="R380">
        <f t="shared" si="971"/>
        <v>5123343824.6449041</v>
      </c>
      <c r="S380">
        <f t="shared" si="972"/>
        <v>51233.438246449041</v>
      </c>
      <c r="T380">
        <f t="shared" si="973"/>
        <v>51.23343824644904</v>
      </c>
    </row>
    <row r="381" spans="1:20" x14ac:dyDescent="0.25">
      <c r="A381" s="5">
        <v>44212</v>
      </c>
      <c r="B381">
        <v>8.7930000000000005E-3</v>
      </c>
      <c r="C381">
        <v>9.5060000000000006E-3</v>
      </c>
      <c r="D381">
        <v>8.7279999999999996E-3</v>
      </c>
      <c r="E381">
        <v>9.0360000000000006E-3</v>
      </c>
      <c r="F381">
        <v>275498806</v>
      </c>
      <c r="G381">
        <v>2.76</v>
      </c>
      <c r="L381" t="s">
        <v>8</v>
      </c>
      <c r="M381" t="s">
        <v>8</v>
      </c>
      <c r="N381" t="s">
        <v>7</v>
      </c>
      <c r="P381">
        <f t="shared" si="969"/>
        <v>-0.20822622107968991</v>
      </c>
      <c r="Q381">
        <f t="shared" si="970"/>
        <v>-57366075.285346605</v>
      </c>
      <c r="R381">
        <f t="shared" si="971"/>
        <v>5011779759.6303968</v>
      </c>
      <c r="S381">
        <f t="shared" si="972"/>
        <v>50117.797596303972</v>
      </c>
      <c r="T381">
        <f t="shared" si="973"/>
        <v>50.117797596303973</v>
      </c>
    </row>
    <row r="382" spans="1:20" x14ac:dyDescent="0.25">
      <c r="A382" s="5">
        <v>44211</v>
      </c>
      <c r="B382">
        <v>8.7980000000000003E-3</v>
      </c>
      <c r="C382">
        <v>9.1920000000000005E-3</v>
      </c>
      <c r="D382">
        <v>8.1539999999999998E-3</v>
      </c>
      <c r="E382">
        <v>8.8120000000000004E-3</v>
      </c>
      <c r="F382">
        <v>192520684</v>
      </c>
      <c r="G382">
        <v>0.16</v>
      </c>
      <c r="L382" t="s">
        <v>8</v>
      </c>
      <c r="M382" t="s">
        <v>8</v>
      </c>
      <c r="N382" t="s">
        <v>7</v>
      </c>
      <c r="P382">
        <f t="shared" si="969"/>
        <v>0.26782273603082879</v>
      </c>
      <c r="Q382">
        <f t="shared" si="970"/>
        <v>51561416.331406601</v>
      </c>
      <c r="R382">
        <f t="shared" si="971"/>
        <v>5069145834.9157438</v>
      </c>
      <c r="S382">
        <f t="shared" si="972"/>
        <v>50691.458349157438</v>
      </c>
      <c r="T382">
        <f t="shared" si="973"/>
        <v>50.691458349157436</v>
      </c>
    </row>
    <row r="383" spans="1:20" x14ac:dyDescent="0.25">
      <c r="A383" s="5">
        <v>44210</v>
      </c>
      <c r="B383">
        <v>8.6470000000000002E-3</v>
      </c>
      <c r="C383">
        <v>8.8330000000000006E-3</v>
      </c>
      <c r="D383">
        <v>8.4080000000000005E-3</v>
      </c>
      <c r="E383">
        <v>8.7880000000000007E-3</v>
      </c>
      <c r="F383">
        <v>133410727</v>
      </c>
      <c r="G383">
        <v>1.63</v>
      </c>
      <c r="L383" t="s">
        <v>8</v>
      </c>
      <c r="M383" t="s">
        <v>8</v>
      </c>
      <c r="N383" t="s">
        <v>7</v>
      </c>
      <c r="P383">
        <f t="shared" si="969"/>
        <v>0.78823529411764759</v>
      </c>
      <c r="Q383">
        <f t="shared" si="970"/>
        <v>105159043.63529418</v>
      </c>
      <c r="R383">
        <f t="shared" si="971"/>
        <v>5017584418.5843372</v>
      </c>
      <c r="S383">
        <f t="shared" si="972"/>
        <v>50175.844185843373</v>
      </c>
      <c r="T383">
        <f t="shared" si="973"/>
        <v>50.175844185843374</v>
      </c>
    </row>
    <row r="384" spans="1:20" x14ac:dyDescent="0.25">
      <c r="A384" s="5">
        <v>44209</v>
      </c>
      <c r="B384">
        <v>8.0789999999999994E-3</v>
      </c>
      <c r="C384">
        <v>8.6999999999999994E-3</v>
      </c>
      <c r="D384">
        <v>7.7640000000000001E-3</v>
      </c>
      <c r="E384">
        <v>8.6400000000000001E-3</v>
      </c>
      <c r="F384">
        <v>126859825</v>
      </c>
      <c r="G384">
        <v>6.94</v>
      </c>
      <c r="L384" t="s">
        <v>7</v>
      </c>
      <c r="M384" t="s">
        <v>8</v>
      </c>
      <c r="N384" t="s">
        <v>7</v>
      </c>
      <c r="P384">
        <f t="shared" si="969"/>
        <v>0.87179487179487325</v>
      </c>
      <c r="Q384">
        <f t="shared" si="970"/>
        <v>110595744.87179506</v>
      </c>
      <c r="R384">
        <f t="shared" si="971"/>
        <v>4912425374.9490433</v>
      </c>
      <c r="S384">
        <f t="shared" si="972"/>
        <v>49124.253749490432</v>
      </c>
      <c r="T384">
        <f t="shared" si="973"/>
        <v>49.124253749490428</v>
      </c>
    </row>
    <row r="385" spans="1:20" x14ac:dyDescent="0.25">
      <c r="A385" s="5">
        <v>44208</v>
      </c>
      <c r="B385">
        <v>8.2100000000000003E-3</v>
      </c>
      <c r="C385">
        <v>8.7139999999999995E-3</v>
      </c>
      <c r="D385">
        <v>7.7999999999999996E-3</v>
      </c>
      <c r="E385">
        <v>8.0999999999999996E-3</v>
      </c>
      <c r="F385">
        <v>147844783</v>
      </c>
      <c r="G385">
        <v>-1.34</v>
      </c>
      <c r="L385" t="s">
        <v>8</v>
      </c>
      <c r="M385" t="s">
        <v>8</v>
      </c>
      <c r="N385" t="s">
        <v>7</v>
      </c>
      <c r="P385">
        <f t="shared" si="969"/>
        <v>-0.3435448577680526</v>
      </c>
      <c r="Q385">
        <f t="shared" si="970"/>
        <v>-50791314.947483599</v>
      </c>
      <c r="R385">
        <f t="shared" si="971"/>
        <v>4801829630.0772486</v>
      </c>
      <c r="S385">
        <f t="shared" si="972"/>
        <v>48018.296300772483</v>
      </c>
      <c r="T385">
        <f t="shared" si="973"/>
        <v>48.018296300772484</v>
      </c>
    </row>
    <row r="386" spans="1:20" x14ac:dyDescent="0.25">
      <c r="A386" s="5">
        <v>44207</v>
      </c>
      <c r="B386">
        <v>9.1780000000000004E-3</v>
      </c>
      <c r="C386">
        <v>9.2820000000000003E-3</v>
      </c>
      <c r="D386">
        <v>7.2259999999999998E-3</v>
      </c>
      <c r="E386">
        <v>8.2240000000000004E-3</v>
      </c>
      <c r="F386">
        <v>342730393</v>
      </c>
      <c r="G386">
        <v>-10.39</v>
      </c>
      <c r="L386" t="s">
        <v>7</v>
      </c>
      <c r="M386" t="s">
        <v>7</v>
      </c>
      <c r="N386" t="s">
        <v>7</v>
      </c>
      <c r="P386">
        <f t="shared" si="969"/>
        <v>-2.9182879377431553E-2</v>
      </c>
      <c r="Q386">
        <f t="shared" si="970"/>
        <v>-10001859.717898712</v>
      </c>
      <c r="R386">
        <f t="shared" si="971"/>
        <v>4852620945.0247326</v>
      </c>
      <c r="S386">
        <f t="shared" si="972"/>
        <v>48526.209450247326</v>
      </c>
      <c r="T386">
        <f t="shared" si="973"/>
        <v>48.526209450247329</v>
      </c>
    </row>
    <row r="387" spans="1:20" x14ac:dyDescent="0.25">
      <c r="A387" s="5">
        <v>44206</v>
      </c>
      <c r="B387">
        <v>9.4900000000000002E-3</v>
      </c>
      <c r="C387">
        <v>9.8200000000000006E-3</v>
      </c>
      <c r="D387">
        <v>8.3770000000000008E-3</v>
      </c>
      <c r="E387">
        <v>9.2300000000000004E-3</v>
      </c>
      <c r="F387">
        <v>328596089</v>
      </c>
      <c r="G387">
        <v>-2.74</v>
      </c>
      <c r="L387" t="s">
        <v>7</v>
      </c>
      <c r="M387" t="s">
        <v>7</v>
      </c>
      <c r="N387" t="s">
        <v>7</v>
      </c>
      <c r="P387">
        <f t="shared" si="969"/>
        <v>0.18225918225918183</v>
      </c>
      <c r="Q387">
        <f t="shared" si="970"/>
        <v>59889654.474705338</v>
      </c>
      <c r="R387">
        <f t="shared" si="971"/>
        <v>4862622804.742631</v>
      </c>
      <c r="S387">
        <f t="shared" si="972"/>
        <v>48626.22804742631</v>
      </c>
      <c r="T387">
        <f t="shared" si="973"/>
        <v>48.626228047426309</v>
      </c>
    </row>
    <row r="388" spans="1:20" x14ac:dyDescent="0.25">
      <c r="A388" s="5">
        <v>44205</v>
      </c>
      <c r="B388">
        <v>8.8090000000000009E-3</v>
      </c>
      <c r="C388">
        <v>9.9000000000000008E-3</v>
      </c>
      <c r="D388">
        <v>8.6969999999999999E-3</v>
      </c>
      <c r="E388">
        <v>9.5230000000000002E-3</v>
      </c>
      <c r="F388">
        <v>412132614</v>
      </c>
      <c r="G388">
        <v>8.11</v>
      </c>
      <c r="L388" t="s">
        <v>8</v>
      </c>
      <c r="M388" t="s">
        <v>8</v>
      </c>
      <c r="N388" t="s">
        <v>7</v>
      </c>
      <c r="P388">
        <f t="shared" si="969"/>
        <v>0.37323358270989143</v>
      </c>
      <c r="Q388">
        <f t="shared" si="970"/>
        <v>153821732.07481277</v>
      </c>
      <c r="R388">
        <f t="shared" si="971"/>
        <v>4802733150.2679253</v>
      </c>
      <c r="S388">
        <f t="shared" si="972"/>
        <v>48027.331502679255</v>
      </c>
      <c r="T388">
        <f t="shared" si="973"/>
        <v>48.027331502679253</v>
      </c>
    </row>
    <row r="389" spans="1:20" x14ac:dyDescent="0.25">
      <c r="A389" s="5">
        <v>44204</v>
      </c>
      <c r="B389">
        <v>9.1690000000000001E-3</v>
      </c>
      <c r="C389">
        <v>9.2870000000000001E-3</v>
      </c>
      <c r="D389">
        <v>8.2799999999999992E-3</v>
      </c>
      <c r="E389">
        <v>8.7889999999999999E-3</v>
      </c>
      <c r="F389">
        <v>218025688</v>
      </c>
      <c r="G389">
        <v>-4.1399999999999997</v>
      </c>
      <c r="L389" t="s">
        <v>7</v>
      </c>
      <c r="M389" t="s">
        <v>8</v>
      </c>
      <c r="N389" t="s">
        <v>7</v>
      </c>
      <c r="P389">
        <f t="shared" si="969"/>
        <v>1.0923535253227987E-2</v>
      </c>
      <c r="Q389">
        <f t="shared" si="970"/>
        <v>2381611.2889772863</v>
      </c>
      <c r="R389">
        <f t="shared" si="971"/>
        <v>4648911418.1931124</v>
      </c>
      <c r="S389">
        <f t="shared" si="972"/>
        <v>46489.114181931123</v>
      </c>
      <c r="T389">
        <f t="shared" si="973"/>
        <v>46.489114181931122</v>
      </c>
    </row>
    <row r="390" spans="1:20" x14ac:dyDescent="0.25">
      <c r="A390" s="5">
        <v>44203</v>
      </c>
      <c r="B390">
        <v>9.1529999999999997E-3</v>
      </c>
      <c r="C390">
        <v>9.5440000000000004E-3</v>
      </c>
      <c r="D390">
        <v>8.6E-3</v>
      </c>
      <c r="E390">
        <v>9.129E-3</v>
      </c>
      <c r="F390">
        <v>378844370</v>
      </c>
      <c r="G390">
        <v>-0.26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0.12076271186440622</v>
      </c>
      <c r="Q390">
        <f t="shared" ref="Q390:Q453" si="975">F390*P390</f>
        <v>45750273.495762497</v>
      </c>
      <c r="R390">
        <f t="shared" ref="R390:R453" si="976">R391+Q390</f>
        <v>4646529806.9041348</v>
      </c>
      <c r="S390">
        <f t="shared" ref="S390:S453" si="977">R390/100000</f>
        <v>46465.298069041346</v>
      </c>
      <c r="T390">
        <f t="shared" ref="T390:T453" si="978">S390/1000</f>
        <v>46.465298069041346</v>
      </c>
    </row>
    <row r="391" spans="1:20" x14ac:dyDescent="0.25">
      <c r="A391" s="5">
        <v>44202</v>
      </c>
      <c r="B391">
        <v>8.5120000000000005E-3</v>
      </c>
      <c r="C391">
        <v>9.1809999999999999E-3</v>
      </c>
      <c r="D391">
        <v>8.4530000000000004E-3</v>
      </c>
      <c r="E391">
        <v>9.1509999999999994E-3</v>
      </c>
      <c r="F391">
        <v>312210178</v>
      </c>
      <c r="G391">
        <v>7.51</v>
      </c>
      <c r="L391" t="s">
        <v>8</v>
      </c>
      <c r="M391" t="s">
        <v>7</v>
      </c>
      <c r="N391" t="s">
        <v>7</v>
      </c>
      <c r="P391">
        <f t="shared" si="974"/>
        <v>0.9175824175824161</v>
      </c>
      <c r="Q391">
        <f t="shared" si="975"/>
        <v>286478569.92307645</v>
      </c>
      <c r="R391">
        <f t="shared" si="976"/>
        <v>4600779533.4083719</v>
      </c>
      <c r="S391">
        <f t="shared" si="977"/>
        <v>46007.795334083719</v>
      </c>
      <c r="T391">
        <f t="shared" si="978"/>
        <v>46.007795334083717</v>
      </c>
    </row>
    <row r="392" spans="1:20" x14ac:dyDescent="0.25">
      <c r="A392" s="5">
        <v>44201</v>
      </c>
      <c r="B392">
        <v>8.3949999999999997E-3</v>
      </c>
      <c r="C392">
        <v>8.6160000000000004E-3</v>
      </c>
      <c r="D392">
        <v>7.8499999999999993E-3</v>
      </c>
      <c r="E392">
        <v>8.4989999999999996E-3</v>
      </c>
      <c r="F392">
        <v>259076105</v>
      </c>
      <c r="G392">
        <v>1.24</v>
      </c>
      <c r="L392" t="s">
        <v>8</v>
      </c>
      <c r="M392" t="s">
        <v>7</v>
      </c>
      <c r="N392" t="s">
        <v>7</v>
      </c>
      <c r="P392">
        <f t="shared" si="974"/>
        <v>0.69451697127937173</v>
      </c>
      <c r="Q392">
        <f t="shared" si="975"/>
        <v>179932751.77545649</v>
      </c>
      <c r="R392">
        <f t="shared" si="976"/>
        <v>4314300963.4852953</v>
      </c>
      <c r="S392">
        <f t="shared" si="977"/>
        <v>43143.009634852955</v>
      </c>
      <c r="T392">
        <f t="shared" si="978"/>
        <v>43.143009634852952</v>
      </c>
    </row>
    <row r="393" spans="1:20" x14ac:dyDescent="0.25">
      <c r="A393" s="5">
        <v>44200</v>
      </c>
      <c r="B393">
        <v>8.6420000000000004E-3</v>
      </c>
      <c r="C393">
        <v>9.3500000000000007E-3</v>
      </c>
      <c r="D393">
        <v>7.7210000000000004E-3</v>
      </c>
      <c r="E393">
        <v>8.397E-3</v>
      </c>
      <c r="F393">
        <v>338340499</v>
      </c>
      <c r="G393">
        <v>-2.83</v>
      </c>
      <c r="L393" t="s">
        <v>7</v>
      </c>
      <c r="M393" t="s">
        <v>7</v>
      </c>
      <c r="N393" t="s">
        <v>7</v>
      </c>
      <c r="P393">
        <f t="shared" si="974"/>
        <v>-0.17004297114794423</v>
      </c>
      <c r="Q393">
        <f t="shared" si="975"/>
        <v>-57532423.709638052</v>
      </c>
      <c r="R393">
        <f t="shared" si="976"/>
        <v>4134368211.7098389</v>
      </c>
      <c r="S393">
        <f t="shared" si="977"/>
        <v>41343.682117098389</v>
      </c>
      <c r="T393">
        <f t="shared" si="978"/>
        <v>41.343682117098389</v>
      </c>
    </row>
    <row r="394" spans="1:20" x14ac:dyDescent="0.25">
      <c r="A394" s="5">
        <v>44199</v>
      </c>
      <c r="B394">
        <v>8.5349999999999992E-3</v>
      </c>
      <c r="C394">
        <v>8.7969999999999993E-3</v>
      </c>
      <c r="D394">
        <v>8.1720000000000004E-3</v>
      </c>
      <c r="E394">
        <v>8.6099999999999996E-3</v>
      </c>
      <c r="F394">
        <v>232716371</v>
      </c>
      <c r="G394">
        <v>0.88</v>
      </c>
      <c r="L394" t="s">
        <v>7</v>
      </c>
      <c r="M394" t="s">
        <v>7</v>
      </c>
      <c r="N394" t="s">
        <v>7</v>
      </c>
      <c r="P394">
        <f t="shared" si="974"/>
        <v>0.40159999999999996</v>
      </c>
      <c r="Q394">
        <f t="shared" si="975"/>
        <v>93458894.59359999</v>
      </c>
      <c r="R394">
        <f t="shared" si="976"/>
        <v>4191900635.419477</v>
      </c>
      <c r="S394">
        <f t="shared" si="977"/>
        <v>41919.006354194767</v>
      </c>
      <c r="T394">
        <f t="shared" si="978"/>
        <v>41.919006354194771</v>
      </c>
    </row>
    <row r="395" spans="1:20" x14ac:dyDescent="0.25">
      <c r="A395" s="5">
        <v>44198</v>
      </c>
      <c r="B395">
        <v>8.9060000000000007E-3</v>
      </c>
      <c r="C395">
        <v>8.9169999999999996E-3</v>
      </c>
      <c r="D395">
        <v>8.3000000000000001E-3</v>
      </c>
      <c r="E395">
        <v>8.5570000000000004E-3</v>
      </c>
      <c r="F395">
        <v>164838397</v>
      </c>
      <c r="G395">
        <v>-3.92</v>
      </c>
      <c r="L395" t="s">
        <v>7</v>
      </c>
      <c r="M395" t="s">
        <v>7</v>
      </c>
      <c r="N395" t="s">
        <v>7</v>
      </c>
      <c r="P395">
        <f t="shared" si="974"/>
        <v>-0.16693679092382335</v>
      </c>
      <c r="Q395">
        <f t="shared" si="975"/>
        <v>-27517593.016207192</v>
      </c>
      <c r="R395">
        <f t="shared" si="976"/>
        <v>4098441740.8258772</v>
      </c>
      <c r="S395">
        <f t="shared" si="977"/>
        <v>40984.417408258771</v>
      </c>
      <c r="T395">
        <f t="shared" si="978"/>
        <v>40.984417408258771</v>
      </c>
    </row>
    <row r="396" spans="1:20" x14ac:dyDescent="0.25">
      <c r="A396" s="5">
        <v>44197</v>
      </c>
      <c r="B396">
        <v>8.4259999999999995E-3</v>
      </c>
      <c r="C396">
        <v>9.1479999999999999E-3</v>
      </c>
      <c r="D396">
        <v>8.3129999999999992E-3</v>
      </c>
      <c r="E396">
        <v>8.9119999999999998E-3</v>
      </c>
      <c r="F396">
        <v>216610749</v>
      </c>
      <c r="G396">
        <v>5.77</v>
      </c>
      <c r="L396" t="s">
        <v>8</v>
      </c>
      <c r="M396" t="s">
        <v>7</v>
      </c>
      <c r="N396" t="s">
        <v>7</v>
      </c>
      <c r="P396">
        <f t="shared" si="974"/>
        <v>0.43473053892215591</v>
      </c>
      <c r="Q396">
        <f t="shared" si="975"/>
        <v>94167307.649101838</v>
      </c>
      <c r="R396">
        <f t="shared" si="976"/>
        <v>4125959333.8420844</v>
      </c>
      <c r="S396">
        <f t="shared" si="977"/>
        <v>41259.593338420847</v>
      </c>
      <c r="T396">
        <f t="shared" si="978"/>
        <v>41.259593338420849</v>
      </c>
    </row>
    <row r="397" spans="1:20" x14ac:dyDescent="0.25">
      <c r="A397" s="5">
        <v>44196</v>
      </c>
      <c r="B397">
        <v>8.2760000000000004E-3</v>
      </c>
      <c r="C397">
        <v>8.4530000000000004E-3</v>
      </c>
      <c r="D397">
        <v>8.0000000000000002E-3</v>
      </c>
      <c r="E397">
        <v>8.4250000000000002E-3</v>
      </c>
      <c r="F397">
        <v>143868376</v>
      </c>
      <c r="G397">
        <v>1.8</v>
      </c>
      <c r="L397" t="s">
        <v>7</v>
      </c>
      <c r="M397" t="s">
        <v>7</v>
      </c>
      <c r="N397" t="s">
        <v>7</v>
      </c>
      <c r="P397">
        <f t="shared" si="974"/>
        <v>0.87637969094922641</v>
      </c>
      <c r="Q397">
        <f t="shared" si="975"/>
        <v>126083322.8962471</v>
      </c>
      <c r="R397">
        <f t="shared" si="976"/>
        <v>4031792026.1929827</v>
      </c>
      <c r="S397">
        <f t="shared" si="977"/>
        <v>40317.92026192983</v>
      </c>
      <c r="T397">
        <f t="shared" si="978"/>
        <v>40.317920261929828</v>
      </c>
    </row>
    <row r="398" spans="1:20" x14ac:dyDescent="0.25">
      <c r="A398" s="5">
        <v>44195</v>
      </c>
      <c r="B398">
        <v>8.4829999999999992E-3</v>
      </c>
      <c r="C398">
        <v>8.5190000000000005E-3</v>
      </c>
      <c r="D398">
        <v>8.1659999999999996E-3</v>
      </c>
      <c r="E398">
        <v>8.2609999999999992E-3</v>
      </c>
      <c r="F398">
        <v>206077753</v>
      </c>
      <c r="G398">
        <v>-2.62</v>
      </c>
      <c r="L398" t="s">
        <v>7</v>
      </c>
      <c r="M398" t="s">
        <v>7</v>
      </c>
      <c r="N398" t="s">
        <v>7</v>
      </c>
      <c r="P398">
        <f t="shared" si="974"/>
        <v>-0.46175637393768065</v>
      </c>
      <c r="Q398">
        <f t="shared" si="975"/>
        <v>-95157715.974504992</v>
      </c>
      <c r="R398">
        <f t="shared" si="976"/>
        <v>3905708703.2967358</v>
      </c>
      <c r="S398">
        <f t="shared" si="977"/>
        <v>39057.087032967356</v>
      </c>
      <c r="T398">
        <f t="shared" si="978"/>
        <v>39.05708703296736</v>
      </c>
    </row>
    <row r="399" spans="1:20" x14ac:dyDescent="0.25">
      <c r="A399" s="5">
        <v>44194</v>
      </c>
      <c r="B399">
        <v>8.8649999999999996E-3</v>
      </c>
      <c r="C399">
        <v>8.9560000000000004E-3</v>
      </c>
      <c r="D399">
        <v>8.2000000000000007E-3</v>
      </c>
      <c r="E399">
        <v>8.4639999999999993E-3</v>
      </c>
      <c r="F399">
        <v>303484725</v>
      </c>
      <c r="G399">
        <v>-4.5199999999999996</v>
      </c>
      <c r="L399" t="s">
        <v>7</v>
      </c>
      <c r="M399" t="s">
        <v>7</v>
      </c>
      <c r="N399" t="s">
        <v>7</v>
      </c>
      <c r="P399">
        <f t="shared" si="974"/>
        <v>-0.30158730158730501</v>
      </c>
      <c r="Q399">
        <f t="shared" si="975"/>
        <v>-91527139.285715327</v>
      </c>
      <c r="R399">
        <f t="shared" si="976"/>
        <v>4000866419.2712407</v>
      </c>
      <c r="S399">
        <f t="shared" si="977"/>
        <v>40008.664192712407</v>
      </c>
      <c r="T399">
        <f t="shared" si="978"/>
        <v>40.008664192712409</v>
      </c>
    </row>
    <row r="400" spans="1:20" x14ac:dyDescent="0.25">
      <c r="A400" s="5">
        <v>44193</v>
      </c>
      <c r="B400">
        <v>8.9990000000000001E-3</v>
      </c>
      <c r="C400">
        <v>9.2099999999999994E-3</v>
      </c>
      <c r="D400">
        <v>8.6549999999999995E-3</v>
      </c>
      <c r="E400">
        <v>8.8870000000000008E-3</v>
      </c>
      <c r="F400">
        <v>260747770</v>
      </c>
      <c r="G400">
        <v>-1.24</v>
      </c>
      <c r="L400" t="s">
        <v>7</v>
      </c>
      <c r="M400" t="s">
        <v>8</v>
      </c>
      <c r="N400" t="s">
        <v>7</v>
      </c>
      <c r="P400">
        <f t="shared" si="974"/>
        <v>-0.16396396396395918</v>
      </c>
      <c r="Q400">
        <f t="shared" si="975"/>
        <v>-42753237.963962719</v>
      </c>
      <c r="R400">
        <f t="shared" si="976"/>
        <v>4092393558.5569558</v>
      </c>
      <c r="S400">
        <f t="shared" si="977"/>
        <v>40923.935585569561</v>
      </c>
      <c r="T400">
        <f t="shared" si="978"/>
        <v>40.923935585569559</v>
      </c>
    </row>
    <row r="401" spans="1:20" x14ac:dyDescent="0.25">
      <c r="A401" s="5">
        <v>44192</v>
      </c>
      <c r="B401">
        <v>8.4840000000000002E-3</v>
      </c>
      <c r="C401">
        <v>9.8309999999999995E-3</v>
      </c>
      <c r="D401">
        <v>8.2990000000000008E-3</v>
      </c>
      <c r="E401">
        <v>8.9870000000000002E-3</v>
      </c>
      <c r="F401">
        <v>705511290</v>
      </c>
      <c r="G401">
        <v>5.93</v>
      </c>
      <c r="L401" t="s">
        <v>8</v>
      </c>
      <c r="M401" t="s">
        <v>8</v>
      </c>
      <c r="N401" t="s">
        <v>7</v>
      </c>
      <c r="P401">
        <f t="shared" si="974"/>
        <v>-0.1018276762402089</v>
      </c>
      <c r="Q401">
        <f t="shared" si="975"/>
        <v>-71840575.221932128</v>
      </c>
      <c r="R401">
        <f t="shared" si="976"/>
        <v>4135146796.5209184</v>
      </c>
      <c r="S401">
        <f t="shared" si="977"/>
        <v>41351.467965209187</v>
      </c>
      <c r="T401">
        <f t="shared" si="978"/>
        <v>41.351467965209189</v>
      </c>
    </row>
    <row r="402" spans="1:20" x14ac:dyDescent="0.25">
      <c r="A402" s="5">
        <v>44191</v>
      </c>
      <c r="B402">
        <v>8.7340000000000004E-3</v>
      </c>
      <c r="C402">
        <v>8.8199999999999997E-3</v>
      </c>
      <c r="D402">
        <v>8.3149999999999995E-3</v>
      </c>
      <c r="E402">
        <v>8.4790000000000004E-3</v>
      </c>
      <c r="F402">
        <v>210854406</v>
      </c>
      <c r="G402">
        <v>-2.92</v>
      </c>
      <c r="L402" t="s">
        <v>7</v>
      </c>
      <c r="M402" t="s">
        <v>7</v>
      </c>
      <c r="N402" t="s">
        <v>7</v>
      </c>
      <c r="P402">
        <f t="shared" si="974"/>
        <v>-0.35049504950494703</v>
      </c>
      <c r="Q402">
        <f t="shared" si="975"/>
        <v>-73903425.469306201</v>
      </c>
      <c r="R402">
        <f t="shared" si="976"/>
        <v>4206987371.7428503</v>
      </c>
      <c r="S402">
        <f t="shared" si="977"/>
        <v>42069.873717428505</v>
      </c>
      <c r="T402">
        <f t="shared" si="978"/>
        <v>42.069873717428507</v>
      </c>
    </row>
    <row r="403" spans="1:20" x14ac:dyDescent="0.25">
      <c r="A403" s="5">
        <v>44190</v>
      </c>
      <c r="B403">
        <v>9.1970000000000003E-3</v>
      </c>
      <c r="C403">
        <v>9.2160000000000002E-3</v>
      </c>
      <c r="D403">
        <v>8.2220000000000001E-3</v>
      </c>
      <c r="E403">
        <v>8.7299999999999999E-3</v>
      </c>
      <c r="F403">
        <v>458350146</v>
      </c>
      <c r="G403">
        <v>-5.08</v>
      </c>
      <c r="L403" t="s">
        <v>8</v>
      </c>
      <c r="M403" t="s">
        <v>7</v>
      </c>
      <c r="N403" t="s">
        <v>7</v>
      </c>
      <c r="P403">
        <f t="shared" si="974"/>
        <v>2.2132796780683549E-2</v>
      </c>
      <c r="Q403">
        <f t="shared" si="975"/>
        <v>10144570.635814635</v>
      </c>
      <c r="R403">
        <f t="shared" si="976"/>
        <v>4280890797.2121563</v>
      </c>
      <c r="S403">
        <f t="shared" si="977"/>
        <v>42808.90797212156</v>
      </c>
      <c r="T403">
        <f t="shared" si="978"/>
        <v>42.80890797212156</v>
      </c>
    </row>
    <row r="404" spans="1:20" x14ac:dyDescent="0.25">
      <c r="A404" s="5">
        <v>44189</v>
      </c>
      <c r="B404">
        <v>9.2429999999999995E-3</v>
      </c>
      <c r="C404">
        <v>9.4190000000000003E-3</v>
      </c>
      <c r="D404">
        <v>7.7359999999999998E-3</v>
      </c>
      <c r="E404">
        <v>9.2079999999999992E-3</v>
      </c>
      <c r="F404">
        <v>618785562</v>
      </c>
      <c r="G404">
        <v>-0.38</v>
      </c>
      <c r="L404" t="s">
        <v>7</v>
      </c>
      <c r="M404" t="s">
        <v>7</v>
      </c>
      <c r="N404" t="s">
        <v>7</v>
      </c>
      <c r="P404">
        <f t="shared" si="974"/>
        <v>0.74925727866904213</v>
      </c>
      <c r="Q404">
        <f t="shared" si="975"/>
        <v>463629586.26381385</v>
      </c>
      <c r="R404">
        <f t="shared" si="976"/>
        <v>4270746226.5763416</v>
      </c>
      <c r="S404">
        <f t="shared" si="977"/>
        <v>42707.462265763417</v>
      </c>
      <c r="T404">
        <f t="shared" si="978"/>
        <v>42.707462265763418</v>
      </c>
    </row>
    <row r="405" spans="1:20" x14ac:dyDescent="0.25">
      <c r="A405" s="5">
        <v>44188</v>
      </c>
      <c r="B405">
        <v>1.0716E-2</v>
      </c>
      <c r="C405">
        <v>1.073E-2</v>
      </c>
      <c r="D405">
        <v>8.5850000000000006E-3</v>
      </c>
      <c r="E405">
        <v>9.2390000000000007E-3</v>
      </c>
      <c r="F405">
        <v>338898007</v>
      </c>
      <c r="G405">
        <v>-13.78</v>
      </c>
      <c r="L405" t="s">
        <v>7</v>
      </c>
      <c r="M405" t="s">
        <v>7</v>
      </c>
      <c r="N405" t="s">
        <v>7</v>
      </c>
      <c r="P405">
        <f t="shared" si="974"/>
        <v>-0.39020979020978996</v>
      </c>
      <c r="Q405">
        <f t="shared" si="975"/>
        <v>-132241320.21398593</v>
      </c>
      <c r="R405">
        <f t="shared" si="976"/>
        <v>3807116640.3125277</v>
      </c>
      <c r="S405">
        <f t="shared" si="977"/>
        <v>38071.166403125273</v>
      </c>
      <c r="T405">
        <f t="shared" si="978"/>
        <v>38.071166403125275</v>
      </c>
    </row>
    <row r="406" spans="1:20" x14ac:dyDescent="0.25">
      <c r="A406" s="5">
        <v>44187</v>
      </c>
      <c r="B406">
        <v>1.1183999999999999E-2</v>
      </c>
      <c r="C406">
        <v>1.2263E-2</v>
      </c>
      <c r="D406">
        <v>9.8549999999999992E-3</v>
      </c>
      <c r="E406">
        <v>1.0743000000000001E-2</v>
      </c>
      <c r="F406">
        <v>755407566</v>
      </c>
      <c r="G406">
        <v>-3.94</v>
      </c>
      <c r="L406" t="s">
        <v>7</v>
      </c>
      <c r="M406" t="s">
        <v>8</v>
      </c>
      <c r="N406" t="s">
        <v>8</v>
      </c>
      <c r="P406">
        <f t="shared" si="974"/>
        <v>-0.26245847176079612</v>
      </c>
      <c r="Q406">
        <f t="shared" si="975"/>
        <v>-198263115.32890272</v>
      </c>
      <c r="R406">
        <f t="shared" si="976"/>
        <v>3939357960.5265136</v>
      </c>
      <c r="S406">
        <f t="shared" si="977"/>
        <v>39393.579605265135</v>
      </c>
      <c r="T406">
        <f t="shared" si="978"/>
        <v>39.393579605265138</v>
      </c>
    </row>
    <row r="407" spans="1:20" x14ac:dyDescent="0.25">
      <c r="A407" s="5">
        <v>44186</v>
      </c>
      <c r="B407">
        <v>1.1316E-2</v>
      </c>
      <c r="C407">
        <v>1.2215999999999999E-2</v>
      </c>
      <c r="D407">
        <v>9.7140000000000004E-3</v>
      </c>
      <c r="E407">
        <v>1.1164E-2</v>
      </c>
      <c r="F407">
        <v>648216373</v>
      </c>
      <c r="G407">
        <v>-1.34</v>
      </c>
      <c r="L407" t="s">
        <v>8</v>
      </c>
      <c r="M407" t="s">
        <v>7</v>
      </c>
      <c r="N407" t="s">
        <v>8</v>
      </c>
      <c r="P407">
        <f t="shared" si="974"/>
        <v>0.15907274180655515</v>
      </c>
      <c r="Q407">
        <f t="shared" si="975"/>
        <v>103113555.73701064</v>
      </c>
      <c r="R407">
        <f t="shared" si="976"/>
        <v>4137621075.8554163</v>
      </c>
      <c r="S407">
        <f t="shared" si="977"/>
        <v>41376.21075855416</v>
      </c>
      <c r="T407">
        <f t="shared" si="978"/>
        <v>41.376210758554159</v>
      </c>
    </row>
    <row r="408" spans="1:20" x14ac:dyDescent="0.25">
      <c r="A408" s="5">
        <v>44185</v>
      </c>
      <c r="B408">
        <v>1.1186E-2</v>
      </c>
      <c r="C408">
        <v>1.1623E-2</v>
      </c>
      <c r="D408">
        <v>1.0701E-2</v>
      </c>
      <c r="E408">
        <v>1.1313999999999999E-2</v>
      </c>
      <c r="F408">
        <v>289317657</v>
      </c>
      <c r="G408">
        <v>1.1399999999999999</v>
      </c>
      <c r="L408" t="s">
        <v>8</v>
      </c>
      <c r="M408" t="s">
        <v>7</v>
      </c>
      <c r="N408" t="s">
        <v>8</v>
      </c>
      <c r="P408">
        <f t="shared" si="974"/>
        <v>0.32971800433839371</v>
      </c>
      <c r="Q408">
        <f t="shared" si="975"/>
        <v>95393240.48589991</v>
      </c>
      <c r="R408">
        <f t="shared" si="976"/>
        <v>4034507520.1184058</v>
      </c>
      <c r="S408">
        <f t="shared" si="977"/>
        <v>40345.07520118406</v>
      </c>
      <c r="T408">
        <f t="shared" si="978"/>
        <v>40.345075201184059</v>
      </c>
    </row>
    <row r="409" spans="1:20" x14ac:dyDescent="0.25">
      <c r="A409" s="5">
        <v>44184</v>
      </c>
      <c r="B409">
        <v>1.1134E-2</v>
      </c>
      <c r="C409">
        <v>1.1944E-2</v>
      </c>
      <c r="D409">
        <v>1.0677000000000001E-2</v>
      </c>
      <c r="E409">
        <v>1.1162E-2</v>
      </c>
      <c r="F409">
        <v>515182223</v>
      </c>
      <c r="G409">
        <v>0.25</v>
      </c>
      <c r="L409" t="s">
        <v>7</v>
      </c>
      <c r="M409" t="s">
        <v>7</v>
      </c>
      <c r="N409" t="s">
        <v>8</v>
      </c>
      <c r="P409">
        <f t="shared" si="974"/>
        <v>-0.23441199684293657</v>
      </c>
      <c r="Q409">
        <f t="shared" si="975"/>
        <v>-120764893.63141304</v>
      </c>
      <c r="R409">
        <f t="shared" si="976"/>
        <v>3939114279.6325059</v>
      </c>
      <c r="S409">
        <f t="shared" si="977"/>
        <v>39391.142796325061</v>
      </c>
      <c r="T409">
        <f t="shared" si="978"/>
        <v>39.391142796325063</v>
      </c>
    </row>
    <row r="410" spans="1:20" x14ac:dyDescent="0.25">
      <c r="A410" s="5">
        <v>44183</v>
      </c>
      <c r="B410">
        <v>9.2720000000000007E-3</v>
      </c>
      <c r="C410">
        <v>1.2685999999999999E-2</v>
      </c>
      <c r="D410">
        <v>9.0600000000000003E-3</v>
      </c>
      <c r="E410">
        <v>1.1139E-2</v>
      </c>
      <c r="F410">
        <v>1431270949</v>
      </c>
      <c r="G410">
        <v>20.14</v>
      </c>
      <c r="L410" t="s">
        <v>8</v>
      </c>
      <c r="M410" t="s">
        <v>8</v>
      </c>
      <c r="N410" t="s">
        <v>8</v>
      </c>
      <c r="P410">
        <f t="shared" si="974"/>
        <v>0.14671814671814662</v>
      </c>
      <c r="Q410">
        <f t="shared" si="975"/>
        <v>209993421.08880293</v>
      </c>
      <c r="R410">
        <f t="shared" si="976"/>
        <v>4059879173.2639189</v>
      </c>
      <c r="S410">
        <f t="shared" si="977"/>
        <v>40598.791732639191</v>
      </c>
      <c r="T410">
        <f t="shared" si="978"/>
        <v>40.598791732639192</v>
      </c>
    </row>
    <row r="411" spans="1:20" x14ac:dyDescent="0.25">
      <c r="A411" s="5">
        <v>44182</v>
      </c>
      <c r="B411">
        <v>9.8519999999999996E-3</v>
      </c>
      <c r="C411">
        <v>9.9319999999999999E-3</v>
      </c>
      <c r="D411">
        <v>9.0109999999999999E-3</v>
      </c>
      <c r="E411">
        <v>9.273E-3</v>
      </c>
      <c r="F411">
        <v>460720043</v>
      </c>
      <c r="G411">
        <v>-5.88</v>
      </c>
      <c r="L411" t="s">
        <v>8</v>
      </c>
      <c r="M411" t="s">
        <v>8</v>
      </c>
      <c r="N411" t="s">
        <v>7</v>
      </c>
      <c r="P411">
        <f t="shared" si="974"/>
        <v>-0.43105320304017353</v>
      </c>
      <c r="Q411">
        <f t="shared" si="975"/>
        <v>-198594850.23995647</v>
      </c>
      <c r="R411">
        <f t="shared" si="976"/>
        <v>3849885752.1751161</v>
      </c>
      <c r="S411">
        <f t="shared" si="977"/>
        <v>38498.857521751161</v>
      </c>
      <c r="T411">
        <f t="shared" si="978"/>
        <v>38.498857521751162</v>
      </c>
    </row>
    <row r="412" spans="1:20" x14ac:dyDescent="0.25">
      <c r="A412" s="5">
        <v>44181</v>
      </c>
      <c r="B412">
        <v>1.0368E-2</v>
      </c>
      <c r="C412">
        <v>1.0694E-2</v>
      </c>
      <c r="D412">
        <v>9.1509999999999994E-3</v>
      </c>
      <c r="E412">
        <v>9.8429999999999993E-3</v>
      </c>
      <c r="F412">
        <v>468394918</v>
      </c>
      <c r="G412">
        <v>-5.0599999999999996</v>
      </c>
      <c r="L412" t="s">
        <v>7</v>
      </c>
      <c r="M412" t="s">
        <v>8</v>
      </c>
      <c r="N412" t="s">
        <v>7</v>
      </c>
      <c r="P412">
        <f t="shared" si="974"/>
        <v>-0.10304601425793976</v>
      </c>
      <c r="Q412">
        <f t="shared" si="975"/>
        <v>-48266229.398574524</v>
      </c>
      <c r="R412">
        <f t="shared" si="976"/>
        <v>4048480602.4150724</v>
      </c>
      <c r="S412">
        <f t="shared" si="977"/>
        <v>40484.806024150726</v>
      </c>
      <c r="T412">
        <f t="shared" si="978"/>
        <v>40.484806024150728</v>
      </c>
    </row>
    <row r="413" spans="1:20" x14ac:dyDescent="0.25">
      <c r="A413" s="5">
        <v>44180</v>
      </c>
      <c r="B413">
        <v>8.6800000000000002E-3</v>
      </c>
      <c r="C413">
        <v>1.0696000000000001E-2</v>
      </c>
      <c r="D413">
        <v>8.6239999999999997E-3</v>
      </c>
      <c r="E413">
        <v>1.0397999999999999E-2</v>
      </c>
      <c r="F413">
        <v>758341457</v>
      </c>
      <c r="G413">
        <v>19.79</v>
      </c>
      <c r="L413" t="s">
        <v>8</v>
      </c>
      <c r="M413" t="s">
        <v>8</v>
      </c>
      <c r="N413" t="s">
        <v>7</v>
      </c>
      <c r="P413">
        <f t="shared" si="974"/>
        <v>0.71235521235521115</v>
      </c>
      <c r="Q413">
        <f t="shared" si="975"/>
        <v>540208489.63899517</v>
      </c>
      <c r="R413">
        <f t="shared" si="976"/>
        <v>4096746831.8136468</v>
      </c>
      <c r="S413">
        <f t="shared" si="977"/>
        <v>40967.468318136467</v>
      </c>
      <c r="T413">
        <f t="shared" si="978"/>
        <v>40.967468318136468</v>
      </c>
    </row>
    <row r="414" spans="1:20" x14ac:dyDescent="0.25">
      <c r="A414" s="5">
        <v>44179</v>
      </c>
      <c r="B414">
        <v>8.763E-3</v>
      </c>
      <c r="C414">
        <v>8.7969999999999993E-3</v>
      </c>
      <c r="D414">
        <v>8.4139999999999996E-3</v>
      </c>
      <c r="E414">
        <v>8.6779999999999999E-3</v>
      </c>
      <c r="F414">
        <v>106352790</v>
      </c>
      <c r="G414">
        <v>-0.97</v>
      </c>
      <c r="L414" t="s">
        <v>8</v>
      </c>
      <c r="M414" t="s">
        <v>7</v>
      </c>
      <c r="N414" t="s">
        <v>7</v>
      </c>
      <c r="P414">
        <f t="shared" si="974"/>
        <v>0.37859007832898472</v>
      </c>
      <c r="Q414">
        <f t="shared" si="975"/>
        <v>40264111.096606061</v>
      </c>
      <c r="R414">
        <f t="shared" si="976"/>
        <v>3556538342.1746516</v>
      </c>
      <c r="S414">
        <f t="shared" si="977"/>
        <v>35565.383421746519</v>
      </c>
      <c r="T414">
        <f t="shared" si="978"/>
        <v>35.565383421746517</v>
      </c>
    </row>
    <row r="415" spans="1:20" x14ac:dyDescent="0.25">
      <c r="A415" s="5">
        <v>44178</v>
      </c>
      <c r="B415">
        <v>8.4169999999999991E-3</v>
      </c>
      <c r="C415">
        <v>8.9130000000000008E-3</v>
      </c>
      <c r="D415">
        <v>8.4169999999999991E-3</v>
      </c>
      <c r="E415">
        <v>8.763E-3</v>
      </c>
      <c r="F415">
        <v>186405981</v>
      </c>
      <c r="G415">
        <v>4.1100000000000003</v>
      </c>
      <c r="L415" t="s">
        <v>8</v>
      </c>
      <c r="M415" t="s">
        <v>7</v>
      </c>
      <c r="N415" t="s">
        <v>7</v>
      </c>
      <c r="P415">
        <f t="shared" si="974"/>
        <v>0.39516129032257929</v>
      </c>
      <c r="Q415">
        <f t="shared" si="975"/>
        <v>73660427.975806206</v>
      </c>
      <c r="R415">
        <f t="shared" si="976"/>
        <v>3516274231.0780454</v>
      </c>
      <c r="S415">
        <f t="shared" si="977"/>
        <v>35162.742310780457</v>
      </c>
      <c r="T415">
        <f t="shared" si="978"/>
        <v>35.162742310780459</v>
      </c>
    </row>
    <row r="416" spans="1:20" x14ac:dyDescent="0.25">
      <c r="A416" s="5">
        <v>44177</v>
      </c>
      <c r="B416">
        <v>7.8799999999999999E-3</v>
      </c>
      <c r="C416">
        <v>8.8419999999999992E-3</v>
      </c>
      <c r="D416">
        <v>7.8359999999999992E-3</v>
      </c>
      <c r="E416">
        <v>8.4259999999999995E-3</v>
      </c>
      <c r="F416">
        <v>199941718</v>
      </c>
      <c r="G416">
        <v>6.93</v>
      </c>
      <c r="L416" t="s">
        <v>8</v>
      </c>
      <c r="M416" t="s">
        <v>7</v>
      </c>
      <c r="N416" t="s">
        <v>7</v>
      </c>
      <c r="P416">
        <f t="shared" si="974"/>
        <v>0.17296222664015959</v>
      </c>
      <c r="Q416">
        <f t="shared" si="975"/>
        <v>34582364.743538879</v>
      </c>
      <c r="R416">
        <f t="shared" si="976"/>
        <v>3442613803.1022391</v>
      </c>
      <c r="S416">
        <f t="shared" si="977"/>
        <v>34426.13803102239</v>
      </c>
      <c r="T416">
        <f t="shared" si="978"/>
        <v>34.42613803102239</v>
      </c>
    </row>
    <row r="417" spans="1:20" x14ac:dyDescent="0.25">
      <c r="A417" s="5">
        <v>44176</v>
      </c>
      <c r="B417">
        <v>8.3250000000000008E-3</v>
      </c>
      <c r="C417">
        <v>8.3250000000000008E-3</v>
      </c>
      <c r="D417">
        <v>7.8130000000000005E-3</v>
      </c>
      <c r="E417">
        <v>7.8670000000000007E-3</v>
      </c>
      <c r="F417">
        <v>112735729</v>
      </c>
      <c r="G417">
        <v>-5.5</v>
      </c>
      <c r="L417" t="s">
        <v>7</v>
      </c>
      <c r="M417" t="s">
        <v>7</v>
      </c>
      <c r="N417" t="s">
        <v>7</v>
      </c>
      <c r="P417">
        <f t="shared" si="974"/>
        <v>-0.78906249999999922</v>
      </c>
      <c r="Q417">
        <f t="shared" si="975"/>
        <v>-88955536.164062411</v>
      </c>
      <c r="R417">
        <f t="shared" si="976"/>
        <v>3408031438.3587003</v>
      </c>
      <c r="S417">
        <f t="shared" si="977"/>
        <v>34080.314383587</v>
      </c>
      <c r="T417">
        <f t="shared" si="978"/>
        <v>34.080314383587002</v>
      </c>
    </row>
    <row r="418" spans="1:20" x14ac:dyDescent="0.25">
      <c r="A418" s="5">
        <v>44175</v>
      </c>
      <c r="B418">
        <v>8.5509999999999996E-3</v>
      </c>
      <c r="C418">
        <v>8.6140000000000001E-3</v>
      </c>
      <c r="D418">
        <v>8.0719999999999993E-3</v>
      </c>
      <c r="E418">
        <v>8.3269999999999993E-3</v>
      </c>
      <c r="F418">
        <v>97605602</v>
      </c>
      <c r="G418">
        <v>-2.62</v>
      </c>
      <c r="L418" t="s">
        <v>8</v>
      </c>
      <c r="M418" t="s">
        <v>7</v>
      </c>
      <c r="N418" t="s">
        <v>7</v>
      </c>
      <c r="P418">
        <f t="shared" si="974"/>
        <v>-5.9040590405905403E-2</v>
      </c>
      <c r="Q418">
        <f t="shared" si="975"/>
        <v>-5762692.3690038212</v>
      </c>
      <c r="R418">
        <f t="shared" si="976"/>
        <v>3496986974.5227628</v>
      </c>
      <c r="S418">
        <f t="shared" si="977"/>
        <v>34969.869745227625</v>
      </c>
      <c r="T418">
        <f t="shared" si="978"/>
        <v>34.969869745227626</v>
      </c>
    </row>
    <row r="419" spans="1:20" x14ac:dyDescent="0.25">
      <c r="A419" s="5">
        <v>44174</v>
      </c>
      <c r="B419">
        <v>8.3269999999999993E-3</v>
      </c>
      <c r="C419">
        <v>8.5629999999999994E-3</v>
      </c>
      <c r="D419">
        <v>7.7879999999999998E-3</v>
      </c>
      <c r="E419">
        <v>8.5489999999999993E-3</v>
      </c>
      <c r="F419">
        <v>188782161</v>
      </c>
      <c r="G419">
        <v>2.67</v>
      </c>
      <c r="L419" t="s">
        <v>7</v>
      </c>
      <c r="M419" t="s">
        <v>7</v>
      </c>
      <c r="N419" t="s">
        <v>7</v>
      </c>
      <c r="P419">
        <f t="shared" si="974"/>
        <v>0.96387096774193515</v>
      </c>
      <c r="Q419">
        <f t="shared" si="975"/>
        <v>181961644.21548381</v>
      </c>
      <c r="R419">
        <f t="shared" si="976"/>
        <v>3502749666.8917665</v>
      </c>
      <c r="S419">
        <f t="shared" si="977"/>
        <v>35027.496668917665</v>
      </c>
      <c r="T419">
        <f t="shared" si="978"/>
        <v>35.027496668917664</v>
      </c>
    </row>
    <row r="420" spans="1:20" x14ac:dyDescent="0.25">
      <c r="A420" s="5">
        <v>44173</v>
      </c>
      <c r="B420">
        <v>9.2230000000000003E-3</v>
      </c>
      <c r="C420">
        <v>9.2399999999999999E-3</v>
      </c>
      <c r="D420">
        <v>8.2990000000000008E-3</v>
      </c>
      <c r="E420">
        <v>8.3269999999999993E-3</v>
      </c>
      <c r="F420">
        <v>158734056</v>
      </c>
      <c r="G420">
        <v>-9.7100000000000009</v>
      </c>
      <c r="L420" t="s">
        <v>7</v>
      </c>
      <c r="M420" t="s">
        <v>7</v>
      </c>
      <c r="N420" t="s">
        <v>7</v>
      </c>
      <c r="P420">
        <f t="shared" si="974"/>
        <v>-0.94048884165781399</v>
      </c>
      <c r="Q420">
        <f t="shared" si="975"/>
        <v>-149287608.45908657</v>
      </c>
      <c r="R420">
        <f t="shared" si="976"/>
        <v>3320788022.6762829</v>
      </c>
      <c r="S420">
        <f t="shared" si="977"/>
        <v>33207.880226762827</v>
      </c>
      <c r="T420">
        <f t="shared" si="978"/>
        <v>33.207880226762825</v>
      </c>
    </row>
    <row r="421" spans="1:20" x14ac:dyDescent="0.25">
      <c r="A421" s="5">
        <v>44172</v>
      </c>
      <c r="B421">
        <v>9.0500000000000008E-3</v>
      </c>
      <c r="C421">
        <v>9.3380000000000008E-3</v>
      </c>
      <c r="D421">
        <v>8.9499999999999996E-3</v>
      </c>
      <c r="E421">
        <v>9.2230000000000003E-3</v>
      </c>
      <c r="F421">
        <v>130070095</v>
      </c>
      <c r="G421">
        <v>1.91</v>
      </c>
      <c r="L421" t="s">
        <v>7</v>
      </c>
      <c r="M421" t="s">
        <v>7</v>
      </c>
      <c r="N421" t="s">
        <v>7</v>
      </c>
      <c r="P421">
        <f t="shared" si="974"/>
        <v>0.40721649484535999</v>
      </c>
      <c r="Q421">
        <f t="shared" si="975"/>
        <v>52966688.170102984</v>
      </c>
      <c r="R421">
        <f t="shared" si="976"/>
        <v>3470075631.1353693</v>
      </c>
      <c r="S421">
        <f t="shared" si="977"/>
        <v>34700.756311353696</v>
      </c>
      <c r="T421">
        <f t="shared" si="978"/>
        <v>34.700756311353693</v>
      </c>
    </row>
    <row r="422" spans="1:20" x14ac:dyDescent="0.25">
      <c r="A422" s="5">
        <v>44171</v>
      </c>
      <c r="B422">
        <v>9.2390000000000007E-3</v>
      </c>
      <c r="C422">
        <v>9.2639999999999997E-3</v>
      </c>
      <c r="D422">
        <v>8.8940000000000009E-3</v>
      </c>
      <c r="E422">
        <v>9.018E-3</v>
      </c>
      <c r="F422">
        <v>117124027</v>
      </c>
      <c r="G422">
        <v>-2.39</v>
      </c>
      <c r="L422" t="s">
        <v>7</v>
      </c>
      <c r="M422" t="s">
        <v>7</v>
      </c>
      <c r="N422" t="s">
        <v>7</v>
      </c>
      <c r="P422">
        <f t="shared" si="974"/>
        <v>-0.32972972972973236</v>
      </c>
      <c r="Q422">
        <f t="shared" si="975"/>
        <v>-38619273.767567873</v>
      </c>
      <c r="R422">
        <f t="shared" si="976"/>
        <v>3417108942.9652662</v>
      </c>
      <c r="S422">
        <f t="shared" si="977"/>
        <v>34171.08942965266</v>
      </c>
      <c r="T422">
        <f t="shared" si="978"/>
        <v>34.17108942965266</v>
      </c>
    </row>
    <row r="423" spans="1:20" x14ac:dyDescent="0.25">
      <c r="A423" s="5">
        <v>44170</v>
      </c>
      <c r="B423">
        <v>8.9110000000000005E-3</v>
      </c>
      <c r="C423">
        <v>9.4199999999999996E-3</v>
      </c>
      <c r="D423">
        <v>8.7360000000000007E-3</v>
      </c>
      <c r="E423">
        <v>9.2399999999999999E-3</v>
      </c>
      <c r="F423">
        <v>105503781</v>
      </c>
      <c r="G423">
        <v>3.69</v>
      </c>
      <c r="L423" t="s">
        <v>7</v>
      </c>
      <c r="M423" t="s">
        <v>7</v>
      </c>
      <c r="N423" t="s">
        <v>7</v>
      </c>
      <c r="P423">
        <f t="shared" si="974"/>
        <v>0.47368421052631604</v>
      </c>
      <c r="Q423">
        <f t="shared" si="975"/>
        <v>49975475.21052634</v>
      </c>
      <c r="R423">
        <f t="shared" si="976"/>
        <v>3455728216.7328343</v>
      </c>
      <c r="S423">
        <f t="shared" si="977"/>
        <v>34557.282167328347</v>
      </c>
      <c r="T423">
        <f t="shared" si="978"/>
        <v>34.557282167328346</v>
      </c>
    </row>
    <row r="424" spans="1:20" x14ac:dyDescent="0.25">
      <c r="A424" s="5">
        <v>44169</v>
      </c>
      <c r="B424">
        <v>9.6369999999999997E-3</v>
      </c>
      <c r="C424">
        <v>9.6520000000000009E-3</v>
      </c>
      <c r="D424">
        <v>8.8999999999999999E-3</v>
      </c>
      <c r="E424">
        <v>8.9379999999999998E-3</v>
      </c>
      <c r="F424">
        <v>241090090</v>
      </c>
      <c r="G424">
        <v>-7.25</v>
      </c>
      <c r="L424" t="s">
        <v>7</v>
      </c>
      <c r="M424" t="s">
        <v>8</v>
      </c>
      <c r="N424" t="s">
        <v>7</v>
      </c>
      <c r="P424">
        <f t="shared" si="974"/>
        <v>-0.89893617021276651</v>
      </c>
      <c r="Q424">
        <f t="shared" si="975"/>
        <v>-216724602.18085119</v>
      </c>
      <c r="R424">
        <f t="shared" si="976"/>
        <v>3405752741.5223079</v>
      </c>
      <c r="S424">
        <f t="shared" si="977"/>
        <v>34057.527415223078</v>
      </c>
      <c r="T424">
        <f t="shared" si="978"/>
        <v>34.057527415223078</v>
      </c>
    </row>
    <row r="425" spans="1:20" x14ac:dyDescent="0.25">
      <c r="A425" s="5">
        <v>44168</v>
      </c>
      <c r="B425">
        <v>9.9410000000000002E-3</v>
      </c>
      <c r="C425">
        <v>1.0241E-2</v>
      </c>
      <c r="D425">
        <v>9.4879999999999999E-3</v>
      </c>
      <c r="E425">
        <v>9.6369999999999997E-3</v>
      </c>
      <c r="F425">
        <v>237993684</v>
      </c>
      <c r="G425">
        <v>-3.06</v>
      </c>
      <c r="L425" t="s">
        <v>8</v>
      </c>
      <c r="M425" t="s">
        <v>8</v>
      </c>
      <c r="N425" t="s">
        <v>7</v>
      </c>
      <c r="P425">
        <f t="shared" si="974"/>
        <v>-0.60424966799468849</v>
      </c>
      <c r="Q425">
        <f t="shared" si="975"/>
        <v>-143807604.5418328</v>
      </c>
      <c r="R425">
        <f t="shared" si="976"/>
        <v>3622477343.7031589</v>
      </c>
      <c r="S425">
        <f t="shared" si="977"/>
        <v>36224.773437031588</v>
      </c>
      <c r="T425">
        <f t="shared" si="978"/>
        <v>36.224773437031587</v>
      </c>
    </row>
    <row r="426" spans="1:20" x14ac:dyDescent="0.25">
      <c r="A426" s="5">
        <v>44167</v>
      </c>
      <c r="B426">
        <v>9.4079999999999997E-3</v>
      </c>
      <c r="C426">
        <v>1.0118E-2</v>
      </c>
      <c r="D426">
        <v>9.2250000000000006E-3</v>
      </c>
      <c r="E426">
        <v>9.9369999999999997E-3</v>
      </c>
      <c r="F426">
        <v>292494482</v>
      </c>
      <c r="G426">
        <v>5.62</v>
      </c>
      <c r="L426" t="s">
        <v>7</v>
      </c>
      <c r="M426" t="s">
        <v>8</v>
      </c>
      <c r="N426" t="s">
        <v>7</v>
      </c>
      <c r="P426">
        <f t="shared" si="974"/>
        <v>0.5946248600223949</v>
      </c>
      <c r="Q426">
        <f t="shared" si="975"/>
        <v>173924490.4165729</v>
      </c>
      <c r="R426">
        <f t="shared" si="976"/>
        <v>3766284948.2449918</v>
      </c>
      <c r="S426">
        <f t="shared" si="977"/>
        <v>37662.849482449921</v>
      </c>
      <c r="T426">
        <f t="shared" si="978"/>
        <v>37.662849482449921</v>
      </c>
    </row>
    <row r="427" spans="1:20" x14ac:dyDescent="0.25">
      <c r="A427" s="5">
        <v>44166</v>
      </c>
      <c r="B427">
        <v>9.6399999999999993E-3</v>
      </c>
      <c r="C427">
        <v>1.0534999999999999E-2</v>
      </c>
      <c r="D427">
        <v>8.8579999999999996E-3</v>
      </c>
      <c r="E427">
        <v>9.4380000000000002E-3</v>
      </c>
      <c r="F427">
        <v>459271179</v>
      </c>
      <c r="G427">
        <v>-2.1</v>
      </c>
      <c r="L427" t="s">
        <v>8</v>
      </c>
      <c r="M427" t="s">
        <v>8</v>
      </c>
      <c r="N427" t="s">
        <v>7</v>
      </c>
      <c r="P427">
        <f t="shared" si="974"/>
        <v>-0.30828861061419111</v>
      </c>
      <c r="Q427">
        <f t="shared" si="975"/>
        <v>-141588073.66905147</v>
      </c>
      <c r="R427">
        <f t="shared" si="976"/>
        <v>3592360457.8284187</v>
      </c>
      <c r="S427">
        <f t="shared" si="977"/>
        <v>35923.60457828419</v>
      </c>
      <c r="T427">
        <f t="shared" si="978"/>
        <v>35.923604578284191</v>
      </c>
    </row>
    <row r="428" spans="1:20" x14ac:dyDescent="0.25">
      <c r="A428" s="5">
        <v>44165</v>
      </c>
      <c r="B428">
        <v>9.4249999999999994E-3</v>
      </c>
      <c r="C428">
        <v>9.8099999999999993E-3</v>
      </c>
      <c r="D428">
        <v>9.162E-3</v>
      </c>
      <c r="E428">
        <v>9.6480000000000003E-3</v>
      </c>
      <c r="F428">
        <v>334455094</v>
      </c>
      <c r="G428">
        <v>2.37</v>
      </c>
      <c r="L428" t="s">
        <v>8</v>
      </c>
      <c r="M428" t="s">
        <v>8</v>
      </c>
      <c r="N428" t="s">
        <v>7</v>
      </c>
      <c r="P428">
        <f t="shared" si="974"/>
        <v>0.50000000000000266</v>
      </c>
      <c r="Q428">
        <f t="shared" si="975"/>
        <v>167227547.00000089</v>
      </c>
      <c r="R428">
        <f t="shared" si="976"/>
        <v>3733948531.4974704</v>
      </c>
      <c r="S428">
        <f t="shared" si="977"/>
        <v>37339.485314974707</v>
      </c>
      <c r="T428">
        <f t="shared" si="978"/>
        <v>37.339485314974709</v>
      </c>
    </row>
    <row r="429" spans="1:20" x14ac:dyDescent="0.25">
      <c r="A429" s="5">
        <v>44164</v>
      </c>
      <c r="B429">
        <v>9.5239999999999995E-3</v>
      </c>
      <c r="C429">
        <v>9.6880000000000004E-3</v>
      </c>
      <c r="D429">
        <v>9.1219999999999999E-3</v>
      </c>
      <c r="E429">
        <v>9.4240000000000001E-3</v>
      </c>
      <c r="F429">
        <v>224906594</v>
      </c>
      <c r="G429">
        <v>-1.05</v>
      </c>
      <c r="L429" t="s">
        <v>7</v>
      </c>
      <c r="M429" t="s">
        <v>8</v>
      </c>
      <c r="N429" t="s">
        <v>7</v>
      </c>
      <c r="P429">
        <f t="shared" si="974"/>
        <v>6.713780918727881E-2</v>
      </c>
      <c r="Q429">
        <f t="shared" si="975"/>
        <v>15099735.992932785</v>
      </c>
      <c r="R429">
        <f t="shared" si="976"/>
        <v>3566720984.4974694</v>
      </c>
      <c r="S429">
        <f t="shared" si="977"/>
        <v>35667.209844974692</v>
      </c>
      <c r="T429">
        <f t="shared" si="978"/>
        <v>35.667209844974693</v>
      </c>
    </row>
    <row r="430" spans="1:20" x14ac:dyDescent="0.25">
      <c r="A430" s="5">
        <v>44163</v>
      </c>
      <c r="B430">
        <v>8.8629999999999994E-3</v>
      </c>
      <c r="C430">
        <v>9.7699999999999992E-3</v>
      </c>
      <c r="D430">
        <v>8.6470000000000002E-3</v>
      </c>
      <c r="E430">
        <v>9.5289999999999993E-3</v>
      </c>
      <c r="F430">
        <v>347335394</v>
      </c>
      <c r="G430">
        <v>7.51</v>
      </c>
      <c r="L430" t="s">
        <v>8</v>
      </c>
      <c r="M430" t="s">
        <v>8</v>
      </c>
      <c r="N430" t="s">
        <v>7</v>
      </c>
      <c r="P430">
        <f t="shared" si="974"/>
        <v>0.57079252003561864</v>
      </c>
      <c r="Q430">
        <f t="shared" si="975"/>
        <v>198256444.83882451</v>
      </c>
      <c r="R430">
        <f t="shared" si="976"/>
        <v>3551621248.5045366</v>
      </c>
      <c r="S430">
        <f t="shared" si="977"/>
        <v>35516.212485045369</v>
      </c>
      <c r="T430">
        <f t="shared" si="978"/>
        <v>35.516212485045372</v>
      </c>
    </row>
    <row r="431" spans="1:20" x14ac:dyDescent="0.25">
      <c r="A431" s="5">
        <v>44162</v>
      </c>
      <c r="B431">
        <v>8.8800000000000007E-3</v>
      </c>
      <c r="C431">
        <v>9.1839999999999995E-3</v>
      </c>
      <c r="D431">
        <v>8.3210000000000003E-3</v>
      </c>
      <c r="E431">
        <v>8.8859999999999998E-3</v>
      </c>
      <c r="F431">
        <v>174515837</v>
      </c>
      <c r="G431">
        <v>7.0000000000000007E-2</v>
      </c>
      <c r="L431" t="s">
        <v>8</v>
      </c>
      <c r="M431" t="s">
        <v>7</v>
      </c>
      <c r="N431" t="s">
        <v>7</v>
      </c>
      <c r="P431">
        <f t="shared" si="974"/>
        <v>0.30938586326767109</v>
      </c>
      <c r="Q431">
        <f t="shared" si="975"/>
        <v>53992732.884125173</v>
      </c>
      <c r="R431">
        <f t="shared" si="976"/>
        <v>3353364803.6657119</v>
      </c>
      <c r="S431">
        <f t="shared" si="977"/>
        <v>33533.64803665712</v>
      </c>
      <c r="T431">
        <f t="shared" si="978"/>
        <v>33.533648036657119</v>
      </c>
    </row>
    <row r="432" spans="1:20" x14ac:dyDescent="0.25">
      <c r="A432" s="5">
        <v>44161</v>
      </c>
      <c r="B432">
        <v>1.0241E-2</v>
      </c>
      <c r="C432">
        <v>1.0688E-2</v>
      </c>
      <c r="D432">
        <v>7.9600000000000001E-3</v>
      </c>
      <c r="E432">
        <v>8.9200000000000008E-3</v>
      </c>
      <c r="F432">
        <v>584706855</v>
      </c>
      <c r="G432">
        <v>-12.9</v>
      </c>
      <c r="L432" t="s">
        <v>7</v>
      </c>
      <c r="M432" t="s">
        <v>7</v>
      </c>
      <c r="N432" t="s">
        <v>7</v>
      </c>
      <c r="P432">
        <f t="shared" si="974"/>
        <v>-0.29618768328445677</v>
      </c>
      <c r="Q432">
        <f t="shared" si="975"/>
        <v>-173182968.78299078</v>
      </c>
      <c r="R432">
        <f t="shared" si="976"/>
        <v>3299372070.7815866</v>
      </c>
      <c r="S432">
        <f t="shared" si="977"/>
        <v>32993.720707815868</v>
      </c>
      <c r="T432">
        <f t="shared" si="978"/>
        <v>32.993720707815868</v>
      </c>
    </row>
    <row r="433" spans="1:20" x14ac:dyDescent="0.25">
      <c r="A433" s="5">
        <v>44160</v>
      </c>
      <c r="B433">
        <v>1.018E-2</v>
      </c>
      <c r="C433">
        <v>1.1887999999999999E-2</v>
      </c>
      <c r="D433">
        <v>9.6699999999999998E-3</v>
      </c>
      <c r="E433">
        <v>1.0241999999999999E-2</v>
      </c>
      <c r="F433">
        <v>684998844</v>
      </c>
      <c r="G433">
        <v>0.61</v>
      </c>
      <c r="L433" t="s">
        <v>8</v>
      </c>
      <c r="M433" t="s">
        <v>8</v>
      </c>
      <c r="N433" t="s">
        <v>8</v>
      </c>
      <c r="P433">
        <f t="shared" si="974"/>
        <v>-0.48422001803426534</v>
      </c>
      <c r="Q433">
        <f t="shared" si="975"/>
        <v>-331690152.59513092</v>
      </c>
      <c r="R433">
        <f t="shared" si="976"/>
        <v>3472555039.5645776</v>
      </c>
      <c r="S433">
        <f t="shared" si="977"/>
        <v>34725.550395645776</v>
      </c>
      <c r="T433">
        <f t="shared" si="978"/>
        <v>34.725550395645776</v>
      </c>
    </row>
    <row r="434" spans="1:20" x14ac:dyDescent="0.25">
      <c r="A434" s="5">
        <v>44159</v>
      </c>
      <c r="B434">
        <v>9.5650000000000006E-3</v>
      </c>
      <c r="C434">
        <v>1.0943E-2</v>
      </c>
      <c r="D434">
        <v>9.3240000000000007E-3</v>
      </c>
      <c r="E434">
        <v>1.0189999999999999E-2</v>
      </c>
      <c r="F434">
        <v>799504822</v>
      </c>
      <c r="G434">
        <v>6.53</v>
      </c>
      <c r="L434" t="s">
        <v>8</v>
      </c>
      <c r="M434" t="s">
        <v>8</v>
      </c>
      <c r="N434" t="s">
        <v>8</v>
      </c>
      <c r="P434">
        <f t="shared" si="974"/>
        <v>6.9796170475601355E-2</v>
      </c>
      <c r="Q434">
        <f t="shared" si="975"/>
        <v>55802374.852377318</v>
      </c>
      <c r="R434">
        <f t="shared" si="976"/>
        <v>3804245192.1597085</v>
      </c>
      <c r="S434">
        <f t="shared" si="977"/>
        <v>38042.451921597087</v>
      </c>
      <c r="T434">
        <f t="shared" si="978"/>
        <v>38.042451921597085</v>
      </c>
    </row>
    <row r="435" spans="1:20" x14ac:dyDescent="0.25">
      <c r="A435" s="5">
        <v>44158</v>
      </c>
      <c r="B435">
        <v>9.273E-3</v>
      </c>
      <c r="C435">
        <v>9.8790000000000006E-3</v>
      </c>
      <c r="D435">
        <v>8.9519999999999999E-3</v>
      </c>
      <c r="E435">
        <v>9.5589999999999998E-3</v>
      </c>
      <c r="F435">
        <v>546454533</v>
      </c>
      <c r="G435">
        <v>3.08</v>
      </c>
      <c r="L435" t="s">
        <v>8</v>
      </c>
      <c r="M435" t="s">
        <v>7</v>
      </c>
      <c r="N435" t="s">
        <v>8</v>
      </c>
      <c r="P435">
        <f t="shared" si="974"/>
        <v>0.30960086299891998</v>
      </c>
      <c r="Q435">
        <f t="shared" si="975"/>
        <v>169182795.00647178</v>
      </c>
      <c r="R435">
        <f t="shared" si="976"/>
        <v>3748442817.3073311</v>
      </c>
      <c r="S435">
        <f t="shared" si="977"/>
        <v>37484.428173073313</v>
      </c>
      <c r="T435">
        <f t="shared" si="978"/>
        <v>37.484428173073312</v>
      </c>
    </row>
    <row r="436" spans="1:20" x14ac:dyDescent="0.25">
      <c r="A436" s="5">
        <v>44157</v>
      </c>
      <c r="B436">
        <v>9.5429999999999994E-3</v>
      </c>
      <c r="C436">
        <v>9.7000000000000003E-3</v>
      </c>
      <c r="D436">
        <v>8.6709999999999999E-3</v>
      </c>
      <c r="E436">
        <v>9.2499999999999995E-3</v>
      </c>
      <c r="F436">
        <v>371029703</v>
      </c>
      <c r="G436">
        <v>-3.07</v>
      </c>
      <c r="L436" t="s">
        <v>7</v>
      </c>
      <c r="M436" t="s">
        <v>7</v>
      </c>
      <c r="N436" t="s">
        <v>8</v>
      </c>
      <c r="P436">
        <f t="shared" si="974"/>
        <v>0.12536443148687937</v>
      </c>
      <c r="Q436">
        <f t="shared" si="975"/>
        <v>46513927.781340703</v>
      </c>
      <c r="R436">
        <f t="shared" si="976"/>
        <v>3579260022.3008595</v>
      </c>
      <c r="S436">
        <f t="shared" si="977"/>
        <v>35792.600223008594</v>
      </c>
      <c r="T436">
        <f t="shared" si="978"/>
        <v>35.792600223008591</v>
      </c>
    </row>
    <row r="437" spans="1:20" x14ac:dyDescent="0.25">
      <c r="A437" s="5">
        <v>44156</v>
      </c>
      <c r="B437">
        <v>9.7339999999999996E-3</v>
      </c>
      <c r="C437">
        <v>1.0699E-2</v>
      </c>
      <c r="D437">
        <v>8.9999999999999993E-3</v>
      </c>
      <c r="E437">
        <v>9.5499999999999995E-3</v>
      </c>
      <c r="F437">
        <v>746630672</v>
      </c>
      <c r="G437">
        <v>-1.89</v>
      </c>
      <c r="L437" t="s">
        <v>8</v>
      </c>
      <c r="M437" t="s">
        <v>8</v>
      </c>
      <c r="N437" t="s">
        <v>8</v>
      </c>
      <c r="P437">
        <f t="shared" si="974"/>
        <v>-0.35256032960565054</v>
      </c>
      <c r="Q437">
        <f t="shared" si="975"/>
        <v>-263232355.81400836</v>
      </c>
      <c r="R437">
        <f t="shared" si="976"/>
        <v>3532746094.5195189</v>
      </c>
      <c r="S437">
        <f t="shared" si="977"/>
        <v>35327.460945195191</v>
      </c>
      <c r="T437">
        <f t="shared" si="978"/>
        <v>35.327460945195192</v>
      </c>
    </row>
    <row r="438" spans="1:20" x14ac:dyDescent="0.25">
      <c r="A438" s="5">
        <v>44155</v>
      </c>
      <c r="B438">
        <v>8.3850000000000001E-3</v>
      </c>
      <c r="C438">
        <v>1.0089000000000001E-2</v>
      </c>
      <c r="D438">
        <v>8.1759999999999992E-3</v>
      </c>
      <c r="E438">
        <v>9.7199999999999995E-3</v>
      </c>
      <c r="F438">
        <v>1011324161</v>
      </c>
      <c r="G438">
        <v>15.92</v>
      </c>
      <c r="L438" t="s">
        <v>8</v>
      </c>
      <c r="M438" t="s">
        <v>8</v>
      </c>
      <c r="N438" t="s">
        <v>8</v>
      </c>
      <c r="P438">
        <f t="shared" si="974"/>
        <v>0.61421850496602093</v>
      </c>
      <c r="Q438">
        <f t="shared" si="975"/>
        <v>621174014.2054354</v>
      </c>
      <c r="R438">
        <f t="shared" si="976"/>
        <v>3795978450.3335271</v>
      </c>
      <c r="S438">
        <f t="shared" si="977"/>
        <v>37959.784503335271</v>
      </c>
      <c r="T438">
        <f t="shared" si="978"/>
        <v>37.959784503335271</v>
      </c>
    </row>
    <row r="439" spans="1:20" x14ac:dyDescent="0.25">
      <c r="A439" s="5">
        <v>44154</v>
      </c>
      <c r="B439">
        <v>8.1099999999999992E-3</v>
      </c>
      <c r="C439">
        <v>8.6E-3</v>
      </c>
      <c r="D439">
        <v>7.685E-3</v>
      </c>
      <c r="E439">
        <v>8.3870000000000004E-3</v>
      </c>
      <c r="F439">
        <v>383015153</v>
      </c>
      <c r="G439">
        <v>3.42</v>
      </c>
      <c r="L439" t="s">
        <v>8</v>
      </c>
      <c r="M439" t="s">
        <v>7</v>
      </c>
      <c r="N439" t="s">
        <v>8</v>
      </c>
      <c r="P439">
        <f t="shared" si="974"/>
        <v>0.53442622950819751</v>
      </c>
      <c r="Q439">
        <f t="shared" si="975"/>
        <v>204693344.06229538</v>
      </c>
      <c r="R439">
        <f t="shared" si="976"/>
        <v>3174804436.1280918</v>
      </c>
      <c r="S439">
        <f t="shared" si="977"/>
        <v>31748.044361280918</v>
      </c>
      <c r="T439">
        <f t="shared" si="978"/>
        <v>31.748044361280918</v>
      </c>
    </row>
    <row r="440" spans="1:20" x14ac:dyDescent="0.25">
      <c r="A440" s="5">
        <v>44153</v>
      </c>
      <c r="B440">
        <v>8.4740000000000006E-3</v>
      </c>
      <c r="C440">
        <v>8.5959999999999995E-3</v>
      </c>
      <c r="D440">
        <v>7.7499999999999999E-3</v>
      </c>
      <c r="E440">
        <v>8.0920000000000002E-3</v>
      </c>
      <c r="F440">
        <v>416470763</v>
      </c>
      <c r="G440">
        <v>-4.51</v>
      </c>
      <c r="L440" t="s">
        <v>7</v>
      </c>
      <c r="M440" t="s">
        <v>7</v>
      </c>
      <c r="N440" t="s">
        <v>8</v>
      </c>
      <c r="P440">
        <f t="shared" si="974"/>
        <v>-0.19148936170212652</v>
      </c>
      <c r="Q440">
        <f t="shared" si="975"/>
        <v>-79749720.574467614</v>
      </c>
      <c r="R440">
        <f t="shared" si="976"/>
        <v>2970111092.0657964</v>
      </c>
      <c r="S440">
        <f t="shared" si="977"/>
        <v>29701.110920657964</v>
      </c>
      <c r="T440">
        <f t="shared" si="978"/>
        <v>29.701110920657964</v>
      </c>
    </row>
    <row r="441" spans="1:20" x14ac:dyDescent="0.25">
      <c r="A441" s="5">
        <v>44152</v>
      </c>
      <c r="B441">
        <v>8.4209999999999997E-3</v>
      </c>
      <c r="C441">
        <v>8.6359999999999996E-3</v>
      </c>
      <c r="D441">
        <v>8.2839999999999997E-3</v>
      </c>
      <c r="E441">
        <v>8.4770000000000002E-3</v>
      </c>
      <c r="F441">
        <v>273346438</v>
      </c>
      <c r="G441">
        <v>0.67</v>
      </c>
      <c r="L441" t="s">
        <v>8</v>
      </c>
      <c r="M441" t="s">
        <v>7</v>
      </c>
      <c r="N441" t="s">
        <v>8</v>
      </c>
      <c r="P441">
        <f t="shared" si="974"/>
        <v>9.6590909090912086E-2</v>
      </c>
      <c r="Q441">
        <f t="shared" si="975"/>
        <v>26402780.943182636</v>
      </c>
      <c r="R441">
        <f t="shared" si="976"/>
        <v>3049860812.640264</v>
      </c>
      <c r="S441">
        <f t="shared" si="977"/>
        <v>30498.60812640264</v>
      </c>
      <c r="T441">
        <f t="shared" si="978"/>
        <v>30.49860812640264</v>
      </c>
    </row>
    <row r="442" spans="1:20" x14ac:dyDescent="0.25">
      <c r="A442" s="5">
        <v>44151</v>
      </c>
      <c r="B442">
        <v>8.2330000000000007E-3</v>
      </c>
      <c r="C442">
        <v>8.4589999999999995E-3</v>
      </c>
      <c r="D442">
        <v>8.1399999999999997E-3</v>
      </c>
      <c r="E442">
        <v>8.4329999999999995E-3</v>
      </c>
      <c r="F442">
        <v>229100819</v>
      </c>
      <c r="G442">
        <v>2.4300000000000002</v>
      </c>
      <c r="L442" t="s">
        <v>7</v>
      </c>
      <c r="M442" t="s">
        <v>7</v>
      </c>
      <c r="N442" t="s">
        <v>8</v>
      </c>
      <c r="P442">
        <f t="shared" si="974"/>
        <v>0.8369905956112853</v>
      </c>
      <c r="Q442">
        <f t="shared" si="975"/>
        <v>191755230.94984326</v>
      </c>
      <c r="R442">
        <f t="shared" si="976"/>
        <v>3023458031.6970816</v>
      </c>
      <c r="S442">
        <f t="shared" si="977"/>
        <v>30234.580316970816</v>
      </c>
      <c r="T442">
        <f t="shared" si="978"/>
        <v>30.234580316970817</v>
      </c>
    </row>
    <row r="443" spans="1:20" x14ac:dyDescent="0.25">
      <c r="A443" s="5">
        <v>44150</v>
      </c>
      <c r="B443">
        <v>8.6420000000000004E-3</v>
      </c>
      <c r="C443">
        <v>8.7489999999999998E-3</v>
      </c>
      <c r="D443">
        <v>8.0180000000000008E-3</v>
      </c>
      <c r="E443">
        <v>8.234E-3</v>
      </c>
      <c r="F443">
        <v>293726173</v>
      </c>
      <c r="G443">
        <v>-4.72</v>
      </c>
      <c r="L443" t="s">
        <v>7</v>
      </c>
      <c r="M443" t="s">
        <v>7</v>
      </c>
      <c r="N443" t="s">
        <v>8</v>
      </c>
      <c r="P443">
        <f t="shared" si="974"/>
        <v>-0.40902872777017929</v>
      </c>
      <c r="Q443">
        <f t="shared" si="975"/>
        <v>-120142442.85499358</v>
      </c>
      <c r="R443">
        <f t="shared" si="976"/>
        <v>2831702800.7472382</v>
      </c>
      <c r="S443">
        <f t="shared" si="977"/>
        <v>28317.028007472381</v>
      </c>
      <c r="T443">
        <f t="shared" si="978"/>
        <v>28.317028007472381</v>
      </c>
    </row>
    <row r="444" spans="1:20" x14ac:dyDescent="0.25">
      <c r="A444" s="5">
        <v>44149</v>
      </c>
      <c r="B444">
        <v>8.5780000000000006E-3</v>
      </c>
      <c r="C444">
        <v>8.6940000000000003E-3</v>
      </c>
      <c r="D444">
        <v>8.1340000000000006E-3</v>
      </c>
      <c r="E444">
        <v>8.6420000000000004E-3</v>
      </c>
      <c r="F444">
        <v>155300978</v>
      </c>
      <c r="G444">
        <v>0.75</v>
      </c>
      <c r="L444" t="s">
        <v>7</v>
      </c>
      <c r="M444" t="s">
        <v>7</v>
      </c>
      <c r="N444" t="s">
        <v>8</v>
      </c>
      <c r="P444">
        <f t="shared" si="974"/>
        <v>0.81428571428571428</v>
      </c>
      <c r="Q444">
        <f t="shared" si="975"/>
        <v>126459367.8</v>
      </c>
      <c r="R444">
        <f t="shared" si="976"/>
        <v>2951845243.6022315</v>
      </c>
      <c r="S444">
        <f t="shared" si="977"/>
        <v>29518.452436022315</v>
      </c>
      <c r="T444">
        <f t="shared" si="978"/>
        <v>29.518452436022315</v>
      </c>
    </row>
    <row r="445" spans="1:20" x14ac:dyDescent="0.25">
      <c r="A445" s="5">
        <v>44148</v>
      </c>
      <c r="B445">
        <v>8.0280000000000004E-3</v>
      </c>
      <c r="C445">
        <v>8.8940000000000009E-3</v>
      </c>
      <c r="D445">
        <v>7.9719999999999999E-3</v>
      </c>
      <c r="E445">
        <v>8.6079999999999993E-3</v>
      </c>
      <c r="F445">
        <v>249335133</v>
      </c>
      <c r="G445">
        <v>7.22</v>
      </c>
      <c r="L445" t="s">
        <v>8</v>
      </c>
      <c r="M445" t="s">
        <v>7</v>
      </c>
      <c r="N445" t="s">
        <v>8</v>
      </c>
      <c r="P445">
        <f t="shared" si="974"/>
        <v>0.37960954446854395</v>
      </c>
      <c r="Q445">
        <f t="shared" si="975"/>
        <v>94649996.258133814</v>
      </c>
      <c r="R445">
        <f t="shared" si="976"/>
        <v>2825385875.8022313</v>
      </c>
      <c r="S445">
        <f t="shared" si="977"/>
        <v>28253.858758022314</v>
      </c>
      <c r="T445">
        <f t="shared" si="978"/>
        <v>28.253858758022314</v>
      </c>
    </row>
    <row r="446" spans="1:20" x14ac:dyDescent="0.25">
      <c r="A446" s="5">
        <v>44147</v>
      </c>
      <c r="B446">
        <v>8.5710000000000005E-3</v>
      </c>
      <c r="C446">
        <v>8.6029999999999995E-3</v>
      </c>
      <c r="D446">
        <v>7.7999999999999996E-3</v>
      </c>
      <c r="E446">
        <v>8.0269999999999994E-3</v>
      </c>
      <c r="F446">
        <v>226749227</v>
      </c>
      <c r="G446">
        <v>-6.35</v>
      </c>
      <c r="L446" t="s">
        <v>7</v>
      </c>
      <c r="M446" t="s">
        <v>7</v>
      </c>
      <c r="N446" t="s">
        <v>8</v>
      </c>
      <c r="P446">
        <f t="shared" si="974"/>
        <v>-0.43462017434620226</v>
      </c>
      <c r="Q446">
        <f t="shared" si="975"/>
        <v>-98549788.571606591</v>
      </c>
      <c r="R446">
        <f t="shared" si="976"/>
        <v>2730735879.5440974</v>
      </c>
      <c r="S446">
        <f t="shared" si="977"/>
        <v>27307.358795440974</v>
      </c>
      <c r="T446">
        <f t="shared" si="978"/>
        <v>27.307358795440972</v>
      </c>
    </row>
    <row r="447" spans="1:20" x14ac:dyDescent="0.25">
      <c r="A447" s="5">
        <v>44146</v>
      </c>
      <c r="B447">
        <v>9.2860000000000009E-3</v>
      </c>
      <c r="C447">
        <v>9.4889999999999992E-3</v>
      </c>
      <c r="D447">
        <v>8.4600000000000005E-3</v>
      </c>
      <c r="E447">
        <v>8.5599999999999999E-3</v>
      </c>
      <c r="F447">
        <v>326938224</v>
      </c>
      <c r="G447">
        <v>-7.82</v>
      </c>
      <c r="L447" t="s">
        <v>8</v>
      </c>
      <c r="M447" t="s">
        <v>8</v>
      </c>
      <c r="N447" t="s">
        <v>8</v>
      </c>
      <c r="P447">
        <f t="shared" si="974"/>
        <v>-0.80563654033041876</v>
      </c>
      <c r="Q447">
        <f t="shared" si="975"/>
        <v>-263393379.68513149</v>
      </c>
      <c r="R447">
        <f t="shared" si="976"/>
        <v>2829285668.1157041</v>
      </c>
      <c r="S447">
        <f t="shared" si="977"/>
        <v>28292.856681157042</v>
      </c>
      <c r="T447">
        <f t="shared" si="978"/>
        <v>28.292856681157041</v>
      </c>
    </row>
    <row r="448" spans="1:20" x14ac:dyDescent="0.25">
      <c r="A448" s="5">
        <v>44145</v>
      </c>
      <c r="B448">
        <v>8.4259999999999995E-3</v>
      </c>
      <c r="C448">
        <v>9.2969999999999997E-3</v>
      </c>
      <c r="D448">
        <v>8.2450000000000006E-3</v>
      </c>
      <c r="E448">
        <v>9.2969999999999997E-3</v>
      </c>
      <c r="F448">
        <v>367458252</v>
      </c>
      <c r="G448">
        <v>10.34</v>
      </c>
      <c r="L448" t="s">
        <v>8</v>
      </c>
      <c r="M448" t="s">
        <v>8</v>
      </c>
      <c r="N448" t="s">
        <v>8</v>
      </c>
      <c r="P448">
        <f t="shared" si="974"/>
        <v>1</v>
      </c>
      <c r="Q448">
        <f t="shared" si="975"/>
        <v>367458252</v>
      </c>
      <c r="R448">
        <f t="shared" si="976"/>
        <v>3092679047.8008356</v>
      </c>
      <c r="S448">
        <f t="shared" si="977"/>
        <v>30926.790478008355</v>
      </c>
      <c r="T448">
        <f t="shared" si="978"/>
        <v>30.926790478008357</v>
      </c>
    </row>
    <row r="449" spans="1:20" x14ac:dyDescent="0.25">
      <c r="A449" s="5">
        <v>44144</v>
      </c>
      <c r="B449">
        <v>8.6879999999999995E-3</v>
      </c>
      <c r="C449">
        <v>8.8699999999999994E-3</v>
      </c>
      <c r="D449">
        <v>7.9539999999999993E-3</v>
      </c>
      <c r="E449">
        <v>8.4419999999999999E-3</v>
      </c>
      <c r="F449">
        <v>320443984</v>
      </c>
      <c r="G449">
        <v>-2.83</v>
      </c>
      <c r="L449" t="s">
        <v>7</v>
      </c>
      <c r="M449" t="s">
        <v>7</v>
      </c>
      <c r="N449" t="s">
        <v>8</v>
      </c>
      <c r="P449">
        <f t="shared" si="974"/>
        <v>6.5502183406114647E-2</v>
      </c>
      <c r="Q449">
        <f t="shared" si="975"/>
        <v>20989780.611354068</v>
      </c>
      <c r="R449">
        <f t="shared" si="976"/>
        <v>2725220795.8008356</v>
      </c>
      <c r="S449">
        <f t="shared" si="977"/>
        <v>27252.207958008355</v>
      </c>
      <c r="T449">
        <f t="shared" si="978"/>
        <v>27.252207958008356</v>
      </c>
    </row>
    <row r="450" spans="1:20" x14ac:dyDescent="0.25">
      <c r="A450" s="5">
        <v>44143</v>
      </c>
      <c r="B450">
        <v>8.3090000000000004E-3</v>
      </c>
      <c r="C450">
        <v>8.9460000000000008E-3</v>
      </c>
      <c r="D450">
        <v>8.2249999999999997E-3</v>
      </c>
      <c r="E450">
        <v>8.6999999999999994E-3</v>
      </c>
      <c r="F450">
        <v>334390106</v>
      </c>
      <c r="G450">
        <v>4.71</v>
      </c>
      <c r="L450" t="s">
        <v>7</v>
      </c>
      <c r="M450" t="s">
        <v>7</v>
      </c>
      <c r="N450" t="s">
        <v>8</v>
      </c>
      <c r="P450">
        <f t="shared" si="974"/>
        <v>0.31761442441053805</v>
      </c>
      <c r="Q450">
        <f t="shared" si="975"/>
        <v>106207121.04576881</v>
      </c>
      <c r="R450">
        <f t="shared" si="976"/>
        <v>2704231015.1894817</v>
      </c>
      <c r="S450">
        <f t="shared" si="977"/>
        <v>27042.310151894817</v>
      </c>
      <c r="T450">
        <f t="shared" si="978"/>
        <v>27.042310151894817</v>
      </c>
    </row>
    <row r="451" spans="1:20" x14ac:dyDescent="0.25">
      <c r="A451" s="5">
        <v>44142</v>
      </c>
      <c r="B451">
        <v>9.1610000000000007E-3</v>
      </c>
      <c r="C451">
        <v>0.01</v>
      </c>
      <c r="D451">
        <v>7.901E-3</v>
      </c>
      <c r="E451">
        <v>8.3180000000000007E-3</v>
      </c>
      <c r="F451">
        <v>612547541</v>
      </c>
      <c r="G451">
        <v>-9.1999999999999993</v>
      </c>
      <c r="L451" t="s">
        <v>8</v>
      </c>
      <c r="M451" t="s">
        <v>8</v>
      </c>
      <c r="N451" t="s">
        <v>8</v>
      </c>
      <c r="P451">
        <f t="shared" si="974"/>
        <v>-0.60266793711291022</v>
      </c>
      <c r="Q451">
        <f t="shared" si="975"/>
        <v>-369162762.91805577</v>
      </c>
      <c r="R451">
        <f t="shared" si="976"/>
        <v>2598023894.143713</v>
      </c>
      <c r="S451">
        <f t="shared" si="977"/>
        <v>25980.238941437128</v>
      </c>
      <c r="T451">
        <f t="shared" si="978"/>
        <v>25.980238941437129</v>
      </c>
    </row>
    <row r="452" spans="1:20" x14ac:dyDescent="0.25">
      <c r="A452" s="5">
        <v>44141</v>
      </c>
      <c r="B452">
        <v>8.659E-3</v>
      </c>
      <c r="C452">
        <v>9.3489999999999997E-3</v>
      </c>
      <c r="D452">
        <v>8.3510000000000008E-3</v>
      </c>
      <c r="E452">
        <v>9.1649999999999995E-3</v>
      </c>
      <c r="F452">
        <v>616326920</v>
      </c>
      <c r="G452">
        <v>5.84</v>
      </c>
      <c r="L452" t="s">
        <v>8</v>
      </c>
      <c r="M452" t="s">
        <v>8</v>
      </c>
      <c r="N452" t="s">
        <v>8</v>
      </c>
      <c r="P452">
        <f t="shared" si="974"/>
        <v>0.6312625250500995</v>
      </c>
      <c r="Q452">
        <f t="shared" si="975"/>
        <v>389064087.77555066</v>
      </c>
      <c r="R452">
        <f t="shared" si="976"/>
        <v>2967186657.0617685</v>
      </c>
      <c r="S452">
        <f t="shared" si="977"/>
        <v>29671.866570617687</v>
      </c>
      <c r="T452">
        <f t="shared" si="978"/>
        <v>29.671866570617688</v>
      </c>
    </row>
    <row r="453" spans="1:20" x14ac:dyDescent="0.25">
      <c r="A453" s="5">
        <v>44140</v>
      </c>
      <c r="B453">
        <v>7.2360000000000002E-3</v>
      </c>
      <c r="C453">
        <v>8.8999999999999999E-3</v>
      </c>
      <c r="D453">
        <v>7.2259999999999998E-3</v>
      </c>
      <c r="E453">
        <v>8.6580000000000008E-3</v>
      </c>
      <c r="F453">
        <v>810293784</v>
      </c>
      <c r="G453">
        <v>19.649999999999999</v>
      </c>
      <c r="L453" t="s">
        <v>8</v>
      </c>
      <c r="M453" t="s">
        <v>8</v>
      </c>
      <c r="N453" t="s">
        <v>8</v>
      </c>
      <c r="P453">
        <f t="shared" si="974"/>
        <v>0.71087216248506668</v>
      </c>
      <c r="Q453">
        <f t="shared" si="975"/>
        <v>576015294.48028755</v>
      </c>
      <c r="R453">
        <f t="shared" si="976"/>
        <v>2578122569.2862177</v>
      </c>
      <c r="S453">
        <f t="shared" si="977"/>
        <v>25781.225692862175</v>
      </c>
      <c r="T453">
        <f t="shared" si="978"/>
        <v>25.781225692862176</v>
      </c>
    </row>
    <row r="454" spans="1:20" x14ac:dyDescent="0.25">
      <c r="A454" s="5">
        <v>44139</v>
      </c>
      <c r="B454">
        <v>6.6550000000000003E-3</v>
      </c>
      <c r="C454">
        <v>7.5430000000000002E-3</v>
      </c>
      <c r="D454">
        <v>6.3460000000000001E-3</v>
      </c>
      <c r="E454">
        <v>7.2370000000000004E-3</v>
      </c>
      <c r="F454">
        <v>263202245</v>
      </c>
      <c r="G454">
        <v>8.75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0.4887218045112785</v>
      </c>
      <c r="Q454">
        <f t="shared" ref="Q454:Q517" si="980">F454*P454</f>
        <v>128632676.12781963</v>
      </c>
      <c r="R454">
        <f t="shared" ref="R454:R517" si="981">R455+Q454</f>
        <v>2002107274.8059304</v>
      </c>
      <c r="S454">
        <f t="shared" ref="S454:S517" si="982">R454/100000</f>
        <v>20021.072748059305</v>
      </c>
      <c r="T454">
        <f t="shared" ref="T454:T517" si="983">S454/1000</f>
        <v>20.021072748059304</v>
      </c>
    </row>
    <row r="455" spans="1:20" x14ac:dyDescent="0.25">
      <c r="A455" s="5">
        <v>44138</v>
      </c>
      <c r="B455">
        <v>7.0549999999999996E-3</v>
      </c>
      <c r="C455">
        <v>7.0549999999999996E-3</v>
      </c>
      <c r="D455">
        <v>6.2570000000000004E-3</v>
      </c>
      <c r="E455">
        <v>6.6559999999999996E-3</v>
      </c>
      <c r="F455">
        <v>151107301</v>
      </c>
      <c r="G455">
        <v>-5.66</v>
      </c>
      <c r="L455" t="s">
        <v>7</v>
      </c>
      <c r="M455" t="s">
        <v>7</v>
      </c>
      <c r="N455" t="s">
        <v>7</v>
      </c>
      <c r="P455">
        <f t="shared" si="979"/>
        <v>-1.0869194711634141E-15</v>
      </c>
      <c r="Q455">
        <f t="shared" si="980"/>
        <v>-1.6424146769185082E-7</v>
      </c>
      <c r="R455">
        <f t="shared" si="981"/>
        <v>1873474598.6781108</v>
      </c>
      <c r="S455">
        <f t="shared" si="982"/>
        <v>18734.745986781109</v>
      </c>
      <c r="T455">
        <f t="shared" si="983"/>
        <v>18.734745986781107</v>
      </c>
    </row>
    <row r="456" spans="1:20" x14ac:dyDescent="0.25">
      <c r="A456" s="5">
        <v>44137</v>
      </c>
      <c r="B456">
        <v>7.3119999999999999E-3</v>
      </c>
      <c r="C456">
        <v>7.4469999999999996E-3</v>
      </c>
      <c r="D456">
        <v>6.829E-3</v>
      </c>
      <c r="E456">
        <v>7.0549999999999996E-3</v>
      </c>
      <c r="F456">
        <v>190923115</v>
      </c>
      <c r="G456">
        <v>-3.51</v>
      </c>
      <c r="L456" t="s">
        <v>7</v>
      </c>
      <c r="M456" t="s">
        <v>7</v>
      </c>
      <c r="N456" t="s">
        <v>7</v>
      </c>
      <c r="P456">
        <f t="shared" si="979"/>
        <v>-0.26860841423948295</v>
      </c>
      <c r="Q456">
        <f t="shared" si="980"/>
        <v>-51283555.16181244</v>
      </c>
      <c r="R456">
        <f t="shared" si="981"/>
        <v>1873474598.6781111</v>
      </c>
      <c r="S456">
        <f t="shared" si="982"/>
        <v>18734.745986781112</v>
      </c>
      <c r="T456">
        <f t="shared" si="983"/>
        <v>18.734745986781114</v>
      </c>
    </row>
    <row r="457" spans="1:20" x14ac:dyDescent="0.25">
      <c r="A457" s="5">
        <v>44136</v>
      </c>
      <c r="B457">
        <v>7.1609999999999998E-3</v>
      </c>
      <c r="C457">
        <v>7.3369999999999998E-3</v>
      </c>
      <c r="D457">
        <v>6.9760000000000004E-3</v>
      </c>
      <c r="E457">
        <v>7.3350000000000004E-3</v>
      </c>
      <c r="F457">
        <v>110159937</v>
      </c>
      <c r="G457">
        <v>2.4300000000000002</v>
      </c>
      <c r="L457" t="s">
        <v>8</v>
      </c>
      <c r="M457" t="s">
        <v>7</v>
      </c>
      <c r="N457" t="s">
        <v>7</v>
      </c>
      <c r="P457">
        <f t="shared" si="979"/>
        <v>0.98891966759003103</v>
      </c>
      <c r="Q457">
        <f t="shared" si="980"/>
        <v>108939328.27977876</v>
      </c>
      <c r="R457">
        <f t="shared" si="981"/>
        <v>1924758153.8399236</v>
      </c>
      <c r="S457">
        <f t="shared" si="982"/>
        <v>19247.581538399238</v>
      </c>
      <c r="T457">
        <f t="shared" si="983"/>
        <v>19.247581538399238</v>
      </c>
    </row>
    <row r="458" spans="1:20" x14ac:dyDescent="0.25">
      <c r="A458" s="5">
        <v>44135</v>
      </c>
      <c r="B458">
        <v>6.8950000000000001E-3</v>
      </c>
      <c r="C458">
        <v>7.4479999999999998E-3</v>
      </c>
      <c r="D458">
        <v>6.7689999999999998E-3</v>
      </c>
      <c r="E458">
        <v>7.1669999999999998E-3</v>
      </c>
      <c r="F458">
        <v>224098664</v>
      </c>
      <c r="G458">
        <v>3.94</v>
      </c>
      <c r="L458" t="s">
        <v>8</v>
      </c>
      <c r="M458" t="s">
        <v>7</v>
      </c>
      <c r="N458" t="s">
        <v>7</v>
      </c>
      <c r="P458">
        <f t="shared" si="979"/>
        <v>0.1723122238586155</v>
      </c>
      <c r="Q458">
        <f t="shared" si="980"/>
        <v>38614939.15758466</v>
      </c>
      <c r="R458">
        <f t="shared" si="981"/>
        <v>1815818825.5601449</v>
      </c>
      <c r="S458">
        <f t="shared" si="982"/>
        <v>18158.18825560145</v>
      </c>
      <c r="T458">
        <f t="shared" si="983"/>
        <v>18.158188255601448</v>
      </c>
    </row>
    <row r="459" spans="1:20" x14ac:dyDescent="0.25">
      <c r="A459" s="5">
        <v>44134</v>
      </c>
      <c r="B459">
        <v>7.3670000000000003E-3</v>
      </c>
      <c r="C459">
        <v>7.4029999999999999E-3</v>
      </c>
      <c r="D459">
        <v>6.4279999999999997E-3</v>
      </c>
      <c r="E459">
        <v>6.8690000000000001E-3</v>
      </c>
      <c r="F459">
        <v>389852197</v>
      </c>
      <c r="G459">
        <v>-6.76</v>
      </c>
      <c r="L459" t="s">
        <v>7</v>
      </c>
      <c r="M459" t="s">
        <v>7</v>
      </c>
      <c r="N459" t="s">
        <v>7</v>
      </c>
      <c r="P459">
        <f t="shared" si="979"/>
        <v>-9.5384615384614679E-2</v>
      </c>
      <c r="Q459">
        <f t="shared" si="980"/>
        <v>-37185901.867692031</v>
      </c>
      <c r="R459">
        <f t="shared" si="981"/>
        <v>1777203886.4025602</v>
      </c>
      <c r="S459">
        <f t="shared" si="982"/>
        <v>17772.038864025602</v>
      </c>
      <c r="T459">
        <f t="shared" si="983"/>
        <v>17.772038864025603</v>
      </c>
    </row>
    <row r="460" spans="1:20" x14ac:dyDescent="0.25">
      <c r="A460" s="5">
        <v>44133</v>
      </c>
      <c r="B460">
        <v>8.0330000000000002E-3</v>
      </c>
      <c r="C460">
        <v>8.1060000000000004E-3</v>
      </c>
      <c r="D460">
        <v>7.2110000000000004E-3</v>
      </c>
      <c r="E460">
        <v>7.3559999999999997E-3</v>
      </c>
      <c r="F460">
        <v>399935106</v>
      </c>
      <c r="G460">
        <v>-8.43</v>
      </c>
      <c r="L460" t="s">
        <v>7</v>
      </c>
      <c r="M460" t="s">
        <v>7</v>
      </c>
      <c r="N460" t="s">
        <v>7</v>
      </c>
      <c r="P460">
        <f t="shared" si="979"/>
        <v>-0.67597765363128648</v>
      </c>
      <c r="Q460">
        <f t="shared" si="980"/>
        <v>-270347194.55865985</v>
      </c>
      <c r="R460">
        <f t="shared" si="981"/>
        <v>1814389788.2702522</v>
      </c>
      <c r="S460">
        <f t="shared" si="982"/>
        <v>18143.897882702524</v>
      </c>
      <c r="T460">
        <f t="shared" si="983"/>
        <v>18.143897882702525</v>
      </c>
    </row>
    <row r="461" spans="1:20" x14ac:dyDescent="0.25">
      <c r="A461" s="5">
        <v>44132</v>
      </c>
      <c r="B461">
        <v>8.9759999999999996E-3</v>
      </c>
      <c r="C461">
        <v>9.1000000000000004E-3</v>
      </c>
      <c r="D461">
        <v>7.8490000000000001E-3</v>
      </c>
      <c r="E461">
        <v>8.0610000000000005E-3</v>
      </c>
      <c r="F461">
        <v>328820068</v>
      </c>
      <c r="G461">
        <v>-10.19</v>
      </c>
      <c r="L461" t="s">
        <v>7</v>
      </c>
      <c r="M461" t="s">
        <v>7</v>
      </c>
      <c r="N461" t="s">
        <v>8</v>
      </c>
      <c r="P461">
        <f t="shared" si="979"/>
        <v>-0.66107114308553105</v>
      </c>
      <c r="Q461">
        <f t="shared" si="980"/>
        <v>-217373458.22222206</v>
      </c>
      <c r="R461">
        <f t="shared" si="981"/>
        <v>2084736982.828912</v>
      </c>
      <c r="S461">
        <f t="shared" si="982"/>
        <v>20847.36982828912</v>
      </c>
      <c r="T461">
        <f t="shared" si="983"/>
        <v>20.847369828289121</v>
      </c>
    </row>
    <row r="462" spans="1:20" x14ac:dyDescent="0.25">
      <c r="A462" s="5">
        <v>44131</v>
      </c>
      <c r="B462">
        <v>9.2449999999999997E-3</v>
      </c>
      <c r="C462">
        <v>9.3050000000000008E-3</v>
      </c>
      <c r="D462">
        <v>8.4880000000000008E-3</v>
      </c>
      <c r="E462">
        <v>8.9800000000000001E-3</v>
      </c>
      <c r="F462">
        <v>247269143</v>
      </c>
      <c r="G462">
        <v>-2.87</v>
      </c>
      <c r="L462" t="s">
        <v>7</v>
      </c>
      <c r="M462" t="s">
        <v>7</v>
      </c>
      <c r="N462" t="s">
        <v>8</v>
      </c>
      <c r="P462">
        <f t="shared" si="979"/>
        <v>0.20440636474908047</v>
      </c>
      <c r="Q462">
        <f t="shared" si="980"/>
        <v>50543386.635250539</v>
      </c>
      <c r="R462">
        <f t="shared" si="981"/>
        <v>2302110441.0511341</v>
      </c>
      <c r="S462">
        <f t="shared" si="982"/>
        <v>23021.10441051134</v>
      </c>
      <c r="T462">
        <f t="shared" si="983"/>
        <v>23.021104410511338</v>
      </c>
    </row>
    <row r="463" spans="1:20" x14ac:dyDescent="0.25">
      <c r="A463" s="5">
        <v>44130</v>
      </c>
      <c r="B463">
        <v>9.776E-3</v>
      </c>
      <c r="C463">
        <v>9.8119999999999995E-3</v>
      </c>
      <c r="D463">
        <v>8.6680000000000004E-3</v>
      </c>
      <c r="E463">
        <v>9.2669999999999992E-3</v>
      </c>
      <c r="F463">
        <v>263621556</v>
      </c>
      <c r="G463">
        <v>-5.21</v>
      </c>
      <c r="L463" t="s">
        <v>7</v>
      </c>
      <c r="M463" t="s">
        <v>7</v>
      </c>
      <c r="N463" t="s">
        <v>8</v>
      </c>
      <c r="P463">
        <f t="shared" si="979"/>
        <v>4.7202797202795917E-2</v>
      </c>
      <c r="Q463">
        <f t="shared" si="980"/>
        <v>12443674.846153507</v>
      </c>
      <c r="R463">
        <f t="shared" si="981"/>
        <v>2251567054.4158835</v>
      </c>
      <c r="S463">
        <f t="shared" si="982"/>
        <v>22515.670544158835</v>
      </c>
      <c r="T463">
        <f t="shared" si="983"/>
        <v>22.515670544158834</v>
      </c>
    </row>
    <row r="464" spans="1:20" x14ac:dyDescent="0.25">
      <c r="A464" s="5">
        <v>44129</v>
      </c>
      <c r="B464">
        <v>9.8099999999999993E-3</v>
      </c>
      <c r="C464">
        <v>9.8499999999999994E-3</v>
      </c>
      <c r="D464">
        <v>9.1529999999999997E-3</v>
      </c>
      <c r="E464">
        <v>9.776E-3</v>
      </c>
      <c r="F464">
        <v>347066936</v>
      </c>
      <c r="G464">
        <v>-0.35</v>
      </c>
      <c r="L464" t="s">
        <v>7</v>
      </c>
      <c r="M464" t="s">
        <v>7</v>
      </c>
      <c r="N464" t="s">
        <v>8</v>
      </c>
      <c r="P464">
        <f t="shared" si="979"/>
        <v>0.78766140602582657</v>
      </c>
      <c r="Q464">
        <f t="shared" si="980"/>
        <v>273371230.79483557</v>
      </c>
      <c r="R464">
        <f t="shared" si="981"/>
        <v>2239123379.5697298</v>
      </c>
      <c r="S464">
        <f t="shared" si="982"/>
        <v>22391.233795697299</v>
      </c>
      <c r="T464">
        <f t="shared" si="983"/>
        <v>22.3912337956973</v>
      </c>
    </row>
    <row r="465" spans="1:20" x14ac:dyDescent="0.25">
      <c r="A465" s="5">
        <v>44128</v>
      </c>
      <c r="B465">
        <v>9.7129999999999994E-3</v>
      </c>
      <c r="C465">
        <v>1.0612999999999999E-2</v>
      </c>
      <c r="D465">
        <v>9.5329999999999998E-3</v>
      </c>
      <c r="E465">
        <v>9.8110000000000003E-3</v>
      </c>
      <c r="F465">
        <v>383593058</v>
      </c>
      <c r="G465">
        <v>1.01</v>
      </c>
      <c r="L465" t="s">
        <v>8</v>
      </c>
      <c r="M465" t="s">
        <v>7</v>
      </c>
      <c r="N465" t="s">
        <v>8</v>
      </c>
      <c r="P465">
        <f t="shared" si="979"/>
        <v>-0.485185185185184</v>
      </c>
      <c r="Q465">
        <f t="shared" si="980"/>
        <v>-186113668.88148102</v>
      </c>
      <c r="R465">
        <f t="shared" si="981"/>
        <v>1965752148.774894</v>
      </c>
      <c r="S465">
        <f t="shared" si="982"/>
        <v>19657.521487748942</v>
      </c>
      <c r="T465">
        <f t="shared" si="983"/>
        <v>19.657521487748941</v>
      </c>
    </row>
    <row r="466" spans="1:20" x14ac:dyDescent="0.25">
      <c r="A466" s="5">
        <v>44127</v>
      </c>
      <c r="B466">
        <v>1.0758999999999999E-2</v>
      </c>
      <c r="C466">
        <v>1.0977000000000001E-2</v>
      </c>
      <c r="D466">
        <v>9.4079999999999997E-3</v>
      </c>
      <c r="E466">
        <v>9.6780000000000008E-3</v>
      </c>
      <c r="F466">
        <v>639798509</v>
      </c>
      <c r="G466">
        <v>-10.050000000000001</v>
      </c>
      <c r="L466" t="s">
        <v>7</v>
      </c>
      <c r="M466" t="s">
        <v>7</v>
      </c>
      <c r="N466" t="s">
        <v>8</v>
      </c>
      <c r="P466">
        <f t="shared" si="979"/>
        <v>-0.65583173996175781</v>
      </c>
      <c r="Q466">
        <f t="shared" si="980"/>
        <v>-419600169.38240838</v>
      </c>
      <c r="R466">
        <f t="shared" si="981"/>
        <v>2151865817.6563749</v>
      </c>
      <c r="S466">
        <f t="shared" si="982"/>
        <v>21518.658176563749</v>
      </c>
      <c r="T466">
        <f t="shared" si="983"/>
        <v>21.518658176563751</v>
      </c>
    </row>
    <row r="467" spans="1:20" x14ac:dyDescent="0.25">
      <c r="A467" s="5">
        <v>44126</v>
      </c>
      <c r="B467">
        <v>8.201E-3</v>
      </c>
      <c r="C467">
        <v>1.129E-2</v>
      </c>
      <c r="D467">
        <v>8.201E-3</v>
      </c>
      <c r="E467">
        <v>1.0725E-2</v>
      </c>
      <c r="F467">
        <v>951127168</v>
      </c>
      <c r="G467">
        <v>30.78</v>
      </c>
      <c r="L467" t="s">
        <v>8</v>
      </c>
      <c r="M467" t="s">
        <v>8</v>
      </c>
      <c r="N467" t="s">
        <v>8</v>
      </c>
      <c r="P467">
        <f t="shared" si="979"/>
        <v>0.63418582065393359</v>
      </c>
      <c r="Q467">
        <f t="shared" si="980"/>
        <v>603191363.58433175</v>
      </c>
      <c r="R467">
        <f t="shared" si="981"/>
        <v>2571465987.0387831</v>
      </c>
      <c r="S467">
        <f t="shared" si="982"/>
        <v>25714.65987038783</v>
      </c>
      <c r="T467">
        <f t="shared" si="983"/>
        <v>25.71465987038783</v>
      </c>
    </row>
    <row r="468" spans="1:20" x14ac:dyDescent="0.25">
      <c r="A468" s="5">
        <v>44125</v>
      </c>
      <c r="B468">
        <v>7.8810000000000009E-3</v>
      </c>
      <c r="C468">
        <v>8.6199999999999992E-3</v>
      </c>
      <c r="D468">
        <v>7.7260000000000002E-3</v>
      </c>
      <c r="E468">
        <v>8.1799999999999998E-3</v>
      </c>
      <c r="F468">
        <v>291973017</v>
      </c>
      <c r="G468">
        <v>3.79</v>
      </c>
      <c r="L468" t="s">
        <v>8</v>
      </c>
      <c r="M468" t="s">
        <v>7</v>
      </c>
      <c r="N468" t="s">
        <v>8</v>
      </c>
      <c r="P468">
        <f t="shared" si="979"/>
        <v>1.565995525727085E-2</v>
      </c>
      <c r="Q468">
        <f t="shared" si="980"/>
        <v>4572284.3825503811</v>
      </c>
      <c r="R468">
        <f t="shared" si="981"/>
        <v>1968274623.4544513</v>
      </c>
      <c r="S468">
        <f t="shared" si="982"/>
        <v>19682.746234544513</v>
      </c>
      <c r="T468">
        <f t="shared" si="983"/>
        <v>19.682746234544513</v>
      </c>
    </row>
    <row r="469" spans="1:20" x14ac:dyDescent="0.25">
      <c r="A469" s="5">
        <v>44124</v>
      </c>
      <c r="B469">
        <v>8.2590000000000007E-3</v>
      </c>
      <c r="C469">
        <v>8.6470000000000002E-3</v>
      </c>
      <c r="D469">
        <v>7.5300000000000002E-3</v>
      </c>
      <c r="E469">
        <v>7.8820000000000001E-3</v>
      </c>
      <c r="F469">
        <v>236397079</v>
      </c>
      <c r="G469">
        <v>-4.5599999999999996</v>
      </c>
      <c r="L469" t="s">
        <v>7</v>
      </c>
      <c r="M469" t="s">
        <v>7</v>
      </c>
      <c r="N469" t="s">
        <v>8</v>
      </c>
      <c r="P469">
        <f t="shared" si="979"/>
        <v>-0.3697403760071622</v>
      </c>
      <c r="Q469">
        <f t="shared" si="980"/>
        <v>-87405544.87645483</v>
      </c>
      <c r="R469">
        <f t="shared" si="981"/>
        <v>1963702339.0719008</v>
      </c>
      <c r="S469">
        <f t="shared" si="982"/>
        <v>19637.023390719009</v>
      </c>
      <c r="T469">
        <f t="shared" si="983"/>
        <v>19.637023390719008</v>
      </c>
    </row>
    <row r="470" spans="1:20" x14ac:dyDescent="0.25">
      <c r="A470" s="5">
        <v>44123</v>
      </c>
      <c r="B470">
        <v>8.6569999999999998E-3</v>
      </c>
      <c r="C470">
        <v>8.7080000000000005E-3</v>
      </c>
      <c r="D470">
        <v>8.0619999999999997E-3</v>
      </c>
      <c r="E470">
        <v>8.2410000000000001E-3</v>
      </c>
      <c r="F470">
        <v>158436289</v>
      </c>
      <c r="G470">
        <v>-4.8099999999999996</v>
      </c>
      <c r="L470" t="s">
        <v>7</v>
      </c>
      <c r="M470" t="s">
        <v>8</v>
      </c>
      <c r="N470" t="s">
        <v>8</v>
      </c>
      <c r="P470">
        <f t="shared" si="979"/>
        <v>-0.4458204334365321</v>
      </c>
      <c r="Q470">
        <f t="shared" si="980"/>
        <v>-70634135.034055665</v>
      </c>
      <c r="R470">
        <f t="shared" si="981"/>
        <v>2051107883.9483557</v>
      </c>
      <c r="S470">
        <f t="shared" si="982"/>
        <v>20511.078839483558</v>
      </c>
      <c r="T470">
        <f t="shared" si="983"/>
        <v>20.511078839483559</v>
      </c>
    </row>
    <row r="471" spans="1:20" x14ac:dyDescent="0.25">
      <c r="A471" s="5">
        <v>44122</v>
      </c>
      <c r="B471">
        <v>7.979E-3</v>
      </c>
      <c r="C471">
        <v>8.8190000000000004E-3</v>
      </c>
      <c r="D471">
        <v>7.9500000000000005E-3</v>
      </c>
      <c r="E471">
        <v>8.6879999999999995E-3</v>
      </c>
      <c r="F471">
        <v>317608971</v>
      </c>
      <c r="G471">
        <v>8.89</v>
      </c>
      <c r="L471" t="s">
        <v>8</v>
      </c>
      <c r="M471" t="s">
        <v>8</v>
      </c>
      <c r="N471" t="s">
        <v>8</v>
      </c>
      <c r="P471">
        <f t="shared" si="979"/>
        <v>0.69850402761794961</v>
      </c>
      <c r="Q471">
        <f t="shared" si="980"/>
        <v>221851145.45109254</v>
      </c>
      <c r="R471">
        <f t="shared" si="981"/>
        <v>2121742018.9824114</v>
      </c>
      <c r="S471">
        <f t="shared" si="982"/>
        <v>21217.420189824115</v>
      </c>
      <c r="T471">
        <f t="shared" si="983"/>
        <v>21.217420189824114</v>
      </c>
    </row>
    <row r="472" spans="1:20" x14ac:dyDescent="0.25">
      <c r="A472" s="5">
        <v>44121</v>
      </c>
      <c r="B472">
        <v>7.4939999999999998E-3</v>
      </c>
      <c r="C472">
        <v>8.3000000000000001E-3</v>
      </c>
      <c r="D472">
        <v>7.4939999999999998E-3</v>
      </c>
      <c r="E472">
        <v>7.979E-3</v>
      </c>
      <c r="F472">
        <v>183850918</v>
      </c>
      <c r="G472">
        <v>6.47</v>
      </c>
      <c r="L472" t="s">
        <v>8</v>
      </c>
      <c r="M472" t="s">
        <v>7</v>
      </c>
      <c r="N472" t="s">
        <v>8</v>
      </c>
      <c r="P472">
        <f t="shared" si="979"/>
        <v>0.20347394540942931</v>
      </c>
      <c r="Q472">
        <f t="shared" si="980"/>
        <v>37408871.652605467</v>
      </c>
      <c r="R472">
        <f t="shared" si="981"/>
        <v>1899890873.5313189</v>
      </c>
      <c r="S472">
        <f t="shared" si="982"/>
        <v>18998.908735313191</v>
      </c>
      <c r="T472">
        <f t="shared" si="983"/>
        <v>18.99890873531319</v>
      </c>
    </row>
    <row r="473" spans="1:20" x14ac:dyDescent="0.25">
      <c r="A473" s="5">
        <v>44120</v>
      </c>
      <c r="B473">
        <v>7.7580000000000001E-3</v>
      </c>
      <c r="C473">
        <v>8.1180000000000002E-3</v>
      </c>
      <c r="D473">
        <v>7.2459999999999998E-3</v>
      </c>
      <c r="E473">
        <v>7.4700000000000001E-3</v>
      </c>
      <c r="F473">
        <v>254405934</v>
      </c>
      <c r="G473">
        <v>-3.71</v>
      </c>
      <c r="L473" t="s">
        <v>7</v>
      </c>
      <c r="M473" t="s">
        <v>7</v>
      </c>
      <c r="N473" t="s">
        <v>8</v>
      </c>
      <c r="P473">
        <f t="shared" si="979"/>
        <v>-0.48623853211009144</v>
      </c>
      <c r="Q473">
        <f t="shared" si="980"/>
        <v>-123701967.9082568</v>
      </c>
      <c r="R473">
        <f t="shared" si="981"/>
        <v>1862482001.8787134</v>
      </c>
      <c r="S473">
        <f t="shared" si="982"/>
        <v>18624.820018787133</v>
      </c>
      <c r="T473">
        <f t="shared" si="983"/>
        <v>18.624820018787133</v>
      </c>
    </row>
    <row r="474" spans="1:20" x14ac:dyDescent="0.25">
      <c r="A474" s="5">
        <v>44119</v>
      </c>
      <c r="B474">
        <v>8.3549999999999996E-3</v>
      </c>
      <c r="C474">
        <v>8.3850000000000001E-3</v>
      </c>
      <c r="D474">
        <v>7.5690000000000002E-3</v>
      </c>
      <c r="E474">
        <v>7.7580000000000001E-3</v>
      </c>
      <c r="F474">
        <v>385022402</v>
      </c>
      <c r="G474">
        <v>-7.15</v>
      </c>
      <c r="L474" t="s">
        <v>7</v>
      </c>
      <c r="M474" t="s">
        <v>7</v>
      </c>
      <c r="N474" t="s">
        <v>8</v>
      </c>
      <c r="P474">
        <f t="shared" si="979"/>
        <v>-0.53676470588235303</v>
      </c>
      <c r="Q474">
        <f t="shared" si="980"/>
        <v>-206666436.36764708</v>
      </c>
      <c r="R474">
        <f t="shared" si="981"/>
        <v>1986183969.7869701</v>
      </c>
      <c r="S474">
        <f t="shared" si="982"/>
        <v>19861.839697869702</v>
      </c>
      <c r="T474">
        <f t="shared" si="983"/>
        <v>19.861839697869701</v>
      </c>
    </row>
    <row r="475" spans="1:20" x14ac:dyDescent="0.25">
      <c r="A475" s="5">
        <v>44118</v>
      </c>
      <c r="B475">
        <v>8.0140000000000003E-3</v>
      </c>
      <c r="C475">
        <v>8.9899999999999997E-3</v>
      </c>
      <c r="D475">
        <v>7.7999999999999996E-3</v>
      </c>
      <c r="E475">
        <v>8.3529999999999993E-3</v>
      </c>
      <c r="F475">
        <v>610312845</v>
      </c>
      <c r="G475">
        <v>4.2300000000000004</v>
      </c>
      <c r="L475" t="s">
        <v>8</v>
      </c>
      <c r="M475" t="s">
        <v>8</v>
      </c>
      <c r="N475" t="s">
        <v>8</v>
      </c>
      <c r="P475">
        <f t="shared" si="979"/>
        <v>-7.0588235294118271E-2</v>
      </c>
      <c r="Q475">
        <f t="shared" si="980"/>
        <v>-43080906.705882736</v>
      </c>
      <c r="R475">
        <f t="shared" si="981"/>
        <v>2192850406.1546173</v>
      </c>
      <c r="S475">
        <f t="shared" si="982"/>
        <v>21928.504061546173</v>
      </c>
      <c r="T475">
        <f t="shared" si="983"/>
        <v>21.928504061546175</v>
      </c>
    </row>
    <row r="476" spans="1:20" x14ac:dyDescent="0.25">
      <c r="A476" s="5">
        <v>44117</v>
      </c>
      <c r="B476">
        <v>7.1479999999999998E-3</v>
      </c>
      <c r="C476">
        <v>8.6020000000000003E-3</v>
      </c>
      <c r="D476">
        <v>7.0080000000000003E-3</v>
      </c>
      <c r="E476">
        <v>7.9889999999999996E-3</v>
      </c>
      <c r="F476">
        <v>709843927</v>
      </c>
      <c r="G476">
        <v>11.77</v>
      </c>
      <c r="L476" t="s">
        <v>8</v>
      </c>
      <c r="M476" t="s">
        <v>8</v>
      </c>
      <c r="N476" t="s">
        <v>8</v>
      </c>
      <c r="P476">
        <f t="shared" si="979"/>
        <v>0.23086574654955994</v>
      </c>
      <c r="Q476">
        <f t="shared" si="980"/>
        <v>163878648.14052632</v>
      </c>
      <c r="R476">
        <f t="shared" si="981"/>
        <v>2235931312.8604999</v>
      </c>
      <c r="S476">
        <f t="shared" si="982"/>
        <v>22359.313128604997</v>
      </c>
      <c r="T476">
        <f t="shared" si="983"/>
        <v>22.359313128604999</v>
      </c>
    </row>
    <row r="477" spans="1:20" x14ac:dyDescent="0.25">
      <c r="A477" s="5">
        <v>44116</v>
      </c>
      <c r="B477">
        <v>6.711E-3</v>
      </c>
      <c r="C477">
        <v>7.7130000000000002E-3</v>
      </c>
      <c r="D477">
        <v>6.6E-3</v>
      </c>
      <c r="E477">
        <v>7.1459999999999996E-3</v>
      </c>
      <c r="F477">
        <v>302398999</v>
      </c>
      <c r="G477">
        <v>6.48</v>
      </c>
      <c r="L477" t="s">
        <v>8</v>
      </c>
      <c r="M477" t="s">
        <v>8</v>
      </c>
      <c r="N477" t="s">
        <v>7</v>
      </c>
      <c r="P477">
        <f t="shared" si="979"/>
        <v>-1.8867924528302826E-2</v>
      </c>
      <c r="Q477">
        <f t="shared" si="980"/>
        <v>-5705641.4905663216</v>
      </c>
      <c r="R477">
        <f t="shared" si="981"/>
        <v>2072052664.7199733</v>
      </c>
      <c r="S477">
        <f t="shared" si="982"/>
        <v>20720.526647199735</v>
      </c>
      <c r="T477">
        <f t="shared" si="983"/>
        <v>20.720526647199733</v>
      </c>
    </row>
    <row r="478" spans="1:20" x14ac:dyDescent="0.25">
      <c r="A478" s="5">
        <v>44115</v>
      </c>
      <c r="B478">
        <v>6.9230000000000003E-3</v>
      </c>
      <c r="C478">
        <v>6.9750000000000003E-3</v>
      </c>
      <c r="D478">
        <v>6.5539999999999999E-3</v>
      </c>
      <c r="E478">
        <v>6.7099999999999998E-3</v>
      </c>
      <c r="F478">
        <v>143164640</v>
      </c>
      <c r="G478">
        <v>-3.08</v>
      </c>
      <c r="L478" t="s">
        <v>7</v>
      </c>
      <c r="M478" t="s">
        <v>8</v>
      </c>
      <c r="N478" t="s">
        <v>7</v>
      </c>
      <c r="P478">
        <f t="shared" si="979"/>
        <v>-0.25890736342042875</v>
      </c>
      <c r="Q478">
        <f t="shared" si="980"/>
        <v>-37066379.477434851</v>
      </c>
      <c r="R478">
        <f t="shared" si="981"/>
        <v>2077758306.2105396</v>
      </c>
      <c r="S478">
        <f t="shared" si="982"/>
        <v>20777.583062105397</v>
      </c>
      <c r="T478">
        <f t="shared" si="983"/>
        <v>20.777583062105396</v>
      </c>
    </row>
    <row r="479" spans="1:20" x14ac:dyDescent="0.25">
      <c r="A479" s="5">
        <v>44114</v>
      </c>
      <c r="B479">
        <v>6.8599999999999998E-3</v>
      </c>
      <c r="C479">
        <v>7.1409999999999998E-3</v>
      </c>
      <c r="D479">
        <v>6.7910000000000002E-3</v>
      </c>
      <c r="E479">
        <v>6.9439999999999997E-3</v>
      </c>
      <c r="F479">
        <v>116595410</v>
      </c>
      <c r="G479">
        <v>1.22</v>
      </c>
      <c r="L479" t="s">
        <v>7</v>
      </c>
      <c r="M479" t="s">
        <v>8</v>
      </c>
      <c r="N479" t="s">
        <v>7</v>
      </c>
      <c r="P479">
        <f t="shared" si="979"/>
        <v>-0.12571428571428767</v>
      </c>
      <c r="Q479">
        <f t="shared" si="980"/>
        <v>-14657708.685714513</v>
      </c>
      <c r="R479">
        <f t="shared" si="981"/>
        <v>2114824685.6879745</v>
      </c>
      <c r="S479">
        <f t="shared" si="982"/>
        <v>21148.246856879745</v>
      </c>
      <c r="T479">
        <f t="shared" si="983"/>
        <v>21.148246856879744</v>
      </c>
    </row>
    <row r="480" spans="1:20" x14ac:dyDescent="0.25">
      <c r="A480" s="5">
        <v>44113</v>
      </c>
      <c r="B480">
        <v>6.6210000000000001E-3</v>
      </c>
      <c r="C480">
        <v>7.2769999999999996E-3</v>
      </c>
      <c r="D480">
        <v>6.4120000000000002E-3</v>
      </c>
      <c r="E480">
        <v>6.888E-3</v>
      </c>
      <c r="F480">
        <v>205867815</v>
      </c>
      <c r="G480">
        <v>4.03</v>
      </c>
      <c r="L480" t="s">
        <v>8</v>
      </c>
      <c r="M480" t="s">
        <v>8</v>
      </c>
      <c r="N480" t="s">
        <v>7</v>
      </c>
      <c r="P480">
        <f t="shared" si="979"/>
        <v>0.1005780346820813</v>
      </c>
      <c r="Q480">
        <f t="shared" si="980"/>
        <v>20705780.236994296</v>
      </c>
      <c r="R480">
        <f t="shared" si="981"/>
        <v>2129482394.3736889</v>
      </c>
      <c r="S480">
        <f t="shared" si="982"/>
        <v>21294.82394373689</v>
      </c>
      <c r="T480">
        <f t="shared" si="983"/>
        <v>21.29482394373689</v>
      </c>
    </row>
    <row r="481" spans="1:20" x14ac:dyDescent="0.25">
      <c r="A481" s="5">
        <v>44112</v>
      </c>
      <c r="B481">
        <v>6.2700000000000004E-3</v>
      </c>
      <c r="C481">
        <v>7.0829999999999999E-3</v>
      </c>
      <c r="D481">
        <v>5.9040000000000004E-3</v>
      </c>
      <c r="E481">
        <v>6.6649999999999999E-3</v>
      </c>
      <c r="F481">
        <v>287238829</v>
      </c>
      <c r="G481">
        <v>6.3</v>
      </c>
      <c r="L481" t="s">
        <v>8</v>
      </c>
      <c r="M481" t="s">
        <v>8</v>
      </c>
      <c r="N481" t="s">
        <v>7</v>
      </c>
      <c r="P481">
        <f t="shared" si="979"/>
        <v>0.29092451229855787</v>
      </c>
      <c r="Q481">
        <f t="shared" si="980"/>
        <v>83564816.240033865</v>
      </c>
      <c r="R481">
        <f t="shared" si="981"/>
        <v>2108776614.1366947</v>
      </c>
      <c r="S481">
        <f t="shared" si="982"/>
        <v>21087.766141366948</v>
      </c>
      <c r="T481">
        <f t="shared" si="983"/>
        <v>21.087766141366949</v>
      </c>
    </row>
    <row r="482" spans="1:20" x14ac:dyDescent="0.25">
      <c r="A482" s="5">
        <v>44111</v>
      </c>
      <c r="B482">
        <v>5.901E-3</v>
      </c>
      <c r="C482">
        <v>6.2769999999999996E-3</v>
      </c>
      <c r="D482">
        <v>5.483E-3</v>
      </c>
      <c r="E482">
        <v>6.2700000000000004E-3</v>
      </c>
      <c r="F482">
        <v>238524622</v>
      </c>
      <c r="G482">
        <v>6.25</v>
      </c>
      <c r="L482" t="s">
        <v>7</v>
      </c>
      <c r="M482" t="s">
        <v>7</v>
      </c>
      <c r="N482" t="s">
        <v>7</v>
      </c>
      <c r="P482">
        <f t="shared" si="979"/>
        <v>0.98236775818639999</v>
      </c>
      <c r="Q482">
        <f t="shared" si="980"/>
        <v>234318898.18639848</v>
      </c>
      <c r="R482">
        <f t="shared" si="981"/>
        <v>2025211797.8966608</v>
      </c>
      <c r="S482">
        <f t="shared" si="982"/>
        <v>20252.117978966609</v>
      </c>
      <c r="T482">
        <f t="shared" si="983"/>
        <v>20.252117978966609</v>
      </c>
    </row>
    <row r="483" spans="1:20" x14ac:dyDescent="0.25">
      <c r="A483" s="5">
        <v>44110</v>
      </c>
      <c r="B483">
        <v>7.0829999999999999E-3</v>
      </c>
      <c r="C483">
        <v>7.1000000000000004E-3</v>
      </c>
      <c r="D483">
        <v>5.7999999999999996E-3</v>
      </c>
      <c r="E483">
        <v>5.9160000000000003E-3</v>
      </c>
      <c r="F483">
        <v>413000929</v>
      </c>
      <c r="G483">
        <v>-16.48</v>
      </c>
      <c r="L483" t="s">
        <v>7</v>
      </c>
      <c r="M483" t="s">
        <v>7</v>
      </c>
      <c r="N483" t="s">
        <v>7</v>
      </c>
      <c r="P483">
        <f t="shared" si="979"/>
        <v>-0.82153846153846066</v>
      </c>
      <c r="Q483">
        <f t="shared" si="980"/>
        <v>-339296147.824615</v>
      </c>
      <c r="R483">
        <f t="shared" si="981"/>
        <v>1790892899.7102623</v>
      </c>
      <c r="S483">
        <f t="shared" si="982"/>
        <v>17908.928997102623</v>
      </c>
      <c r="T483">
        <f t="shared" si="983"/>
        <v>17.908928997102624</v>
      </c>
    </row>
    <row r="484" spans="1:20" x14ac:dyDescent="0.25">
      <c r="A484" s="5">
        <v>44109</v>
      </c>
      <c r="B484">
        <v>7.2449999999999997E-3</v>
      </c>
      <c r="C484">
        <v>7.339E-3</v>
      </c>
      <c r="D484">
        <v>6.8459999999999997E-3</v>
      </c>
      <c r="E484">
        <v>7.084E-3</v>
      </c>
      <c r="F484">
        <v>128447798</v>
      </c>
      <c r="G484">
        <v>-2.2200000000000002</v>
      </c>
      <c r="L484" t="s">
        <v>7</v>
      </c>
      <c r="M484" t="s">
        <v>7</v>
      </c>
      <c r="N484" t="s">
        <v>8</v>
      </c>
      <c r="P484">
        <f t="shared" si="979"/>
        <v>-3.4482758620688926E-2</v>
      </c>
      <c r="Q484">
        <f t="shared" si="980"/>
        <v>-4429234.4137930097</v>
      </c>
      <c r="R484">
        <f t="shared" si="981"/>
        <v>2130189047.5348773</v>
      </c>
      <c r="S484">
        <f t="shared" si="982"/>
        <v>21301.890475348773</v>
      </c>
      <c r="T484">
        <f t="shared" si="983"/>
        <v>21.301890475348774</v>
      </c>
    </row>
    <row r="485" spans="1:20" x14ac:dyDescent="0.25">
      <c r="A485" s="5">
        <v>44108</v>
      </c>
      <c r="B485">
        <v>7.2950000000000003E-3</v>
      </c>
      <c r="C485">
        <v>7.5799999999999999E-3</v>
      </c>
      <c r="D485">
        <v>7.0429999999999998E-3</v>
      </c>
      <c r="E485">
        <v>7.2430000000000003E-3</v>
      </c>
      <c r="F485">
        <v>131368644</v>
      </c>
      <c r="G485">
        <v>-0.71</v>
      </c>
      <c r="L485" t="s">
        <v>8</v>
      </c>
      <c r="M485" t="s">
        <v>7</v>
      </c>
      <c r="N485" t="s">
        <v>8</v>
      </c>
      <c r="P485">
        <f t="shared" si="979"/>
        <v>-0.25512104283053827</v>
      </c>
      <c r="Q485">
        <f t="shared" si="980"/>
        <v>-33514905.452513736</v>
      </c>
      <c r="R485">
        <f t="shared" si="981"/>
        <v>2134618281.9486704</v>
      </c>
      <c r="S485">
        <f t="shared" si="982"/>
        <v>21346.182819486705</v>
      </c>
      <c r="T485">
        <f t="shared" si="983"/>
        <v>21.346182819486703</v>
      </c>
    </row>
    <row r="486" spans="1:20" x14ac:dyDescent="0.25">
      <c r="A486" s="5">
        <v>44107</v>
      </c>
      <c r="B486">
        <v>7.2839999999999997E-3</v>
      </c>
      <c r="C486">
        <v>7.4850000000000003E-3</v>
      </c>
      <c r="D486">
        <v>7.1190000000000003E-3</v>
      </c>
      <c r="E486">
        <v>7.2979999999999998E-3</v>
      </c>
      <c r="F486">
        <v>125931970</v>
      </c>
      <c r="G486">
        <v>0.19</v>
      </c>
      <c r="L486" t="s">
        <v>8</v>
      </c>
      <c r="M486" t="s">
        <v>7</v>
      </c>
      <c r="N486" t="s">
        <v>8</v>
      </c>
      <c r="P486">
        <f t="shared" si="979"/>
        <v>-2.185792349727066E-2</v>
      </c>
      <c r="Q486">
        <f t="shared" si="980"/>
        <v>-2752611.3661205838</v>
      </c>
      <c r="R486">
        <f t="shared" si="981"/>
        <v>2168133187.4011841</v>
      </c>
      <c r="S486">
        <f t="shared" si="982"/>
        <v>21681.331874011841</v>
      </c>
      <c r="T486">
        <f t="shared" si="983"/>
        <v>21.681331874011843</v>
      </c>
    </row>
    <row r="487" spans="1:20" x14ac:dyDescent="0.25">
      <c r="A487" s="5">
        <v>44106</v>
      </c>
      <c r="B487">
        <v>7.535E-3</v>
      </c>
      <c r="C487">
        <v>8.1440000000000002E-3</v>
      </c>
      <c r="D487">
        <v>6.8510000000000003E-3</v>
      </c>
      <c r="E487">
        <v>7.2849999999999998E-3</v>
      </c>
      <c r="F487">
        <v>456739768</v>
      </c>
      <c r="G487">
        <v>-3.32</v>
      </c>
      <c r="L487" t="s">
        <v>7</v>
      </c>
      <c r="M487" t="s">
        <v>7</v>
      </c>
      <c r="N487" t="s">
        <v>8</v>
      </c>
      <c r="P487">
        <f t="shared" si="979"/>
        <v>-0.32869296210363569</v>
      </c>
      <c r="Q487">
        <f t="shared" si="980"/>
        <v>-150127147.25444737</v>
      </c>
      <c r="R487">
        <f t="shared" si="981"/>
        <v>2170885798.7673049</v>
      </c>
      <c r="S487">
        <f t="shared" si="982"/>
        <v>21708.857987673047</v>
      </c>
      <c r="T487">
        <f t="shared" si="983"/>
        <v>21.708857987673046</v>
      </c>
    </row>
    <row r="488" spans="1:20" x14ac:dyDescent="0.25">
      <c r="A488" s="5">
        <v>44105</v>
      </c>
      <c r="B488">
        <v>7.8050000000000003E-3</v>
      </c>
      <c r="C488">
        <v>8.3859999999999994E-3</v>
      </c>
      <c r="D488">
        <v>7.2500000000000004E-3</v>
      </c>
      <c r="E488">
        <v>7.5399999999999998E-3</v>
      </c>
      <c r="F488">
        <v>285970413</v>
      </c>
      <c r="G488">
        <v>-3.4</v>
      </c>
      <c r="L488" t="s">
        <v>7</v>
      </c>
      <c r="M488" t="s">
        <v>8</v>
      </c>
      <c r="N488" t="s">
        <v>8</v>
      </c>
      <c r="P488">
        <f t="shared" si="979"/>
        <v>-0.48943661971831037</v>
      </c>
      <c r="Q488">
        <f t="shared" si="980"/>
        <v>-139964392.27816916</v>
      </c>
      <c r="R488">
        <f t="shared" si="981"/>
        <v>2321012946.0217524</v>
      </c>
      <c r="S488">
        <f t="shared" si="982"/>
        <v>23210.129460217522</v>
      </c>
      <c r="T488">
        <f t="shared" si="983"/>
        <v>23.210129460217523</v>
      </c>
    </row>
    <row r="489" spans="1:20" x14ac:dyDescent="0.25">
      <c r="A489" s="5">
        <v>44104</v>
      </c>
      <c r="B489">
        <v>8.0999999999999996E-3</v>
      </c>
      <c r="C489">
        <v>8.3219999999999995E-3</v>
      </c>
      <c r="D489">
        <v>7.4819999999999999E-3</v>
      </c>
      <c r="E489">
        <v>7.8050000000000003E-3</v>
      </c>
      <c r="F489">
        <v>329554653</v>
      </c>
      <c r="G489">
        <v>-3.64</v>
      </c>
      <c r="L489" t="s">
        <v>8</v>
      </c>
      <c r="M489" t="s">
        <v>8</v>
      </c>
      <c r="N489" t="s">
        <v>8</v>
      </c>
      <c r="P489">
        <f t="shared" si="979"/>
        <v>-0.23095238095237972</v>
      </c>
      <c r="Q489">
        <f t="shared" si="980"/>
        <v>-76111431.764285311</v>
      </c>
      <c r="R489">
        <f t="shared" si="981"/>
        <v>2460977338.2999215</v>
      </c>
      <c r="S489">
        <f t="shared" si="982"/>
        <v>24609.773382999214</v>
      </c>
      <c r="T489">
        <f t="shared" si="983"/>
        <v>24.609773382999215</v>
      </c>
    </row>
    <row r="490" spans="1:20" x14ac:dyDescent="0.25">
      <c r="A490" s="5">
        <v>44103</v>
      </c>
      <c r="B490">
        <v>6.5880000000000001E-3</v>
      </c>
      <c r="C490">
        <v>8.2140000000000008E-3</v>
      </c>
      <c r="D490">
        <v>6.5750000000000001E-3</v>
      </c>
      <c r="E490">
        <v>8.0909999999999992E-3</v>
      </c>
      <c r="F490">
        <v>571797971</v>
      </c>
      <c r="G490">
        <v>22.81</v>
      </c>
      <c r="L490" t="s">
        <v>8</v>
      </c>
      <c r="M490" t="s">
        <v>8</v>
      </c>
      <c r="N490" t="s">
        <v>8</v>
      </c>
      <c r="P490">
        <f t="shared" si="979"/>
        <v>0.84990848078096215</v>
      </c>
      <c r="Q490">
        <f t="shared" si="980"/>
        <v>485975944.84624666</v>
      </c>
      <c r="R490">
        <f t="shared" si="981"/>
        <v>2537088770.0642066</v>
      </c>
      <c r="S490">
        <f t="shared" si="982"/>
        <v>25370.887700642066</v>
      </c>
      <c r="T490">
        <f t="shared" si="983"/>
        <v>25.370887700642065</v>
      </c>
    </row>
    <row r="491" spans="1:20" x14ac:dyDescent="0.25">
      <c r="A491" s="5">
        <v>44102</v>
      </c>
      <c r="B491">
        <v>6.8859999999999998E-3</v>
      </c>
      <c r="C491">
        <v>6.9519999999999998E-3</v>
      </c>
      <c r="D491">
        <v>6.5110000000000003E-3</v>
      </c>
      <c r="E491">
        <v>6.587E-3</v>
      </c>
      <c r="F491">
        <v>266492934</v>
      </c>
      <c r="G491">
        <v>-4.34</v>
      </c>
      <c r="L491" t="s">
        <v>7</v>
      </c>
      <c r="M491" t="s">
        <v>8</v>
      </c>
      <c r="N491" t="s">
        <v>8</v>
      </c>
      <c r="P491">
        <f t="shared" si="979"/>
        <v>-0.65532879818594214</v>
      </c>
      <c r="Q491">
        <f t="shared" si="980"/>
        <v>-174640494.16326559</v>
      </c>
      <c r="R491">
        <f t="shared" si="981"/>
        <v>2051112825.2179599</v>
      </c>
      <c r="S491">
        <f t="shared" si="982"/>
        <v>20511.128252179598</v>
      </c>
      <c r="T491">
        <f t="shared" si="983"/>
        <v>20.511128252179599</v>
      </c>
    </row>
    <row r="492" spans="1:20" x14ac:dyDescent="0.25">
      <c r="A492" s="5">
        <v>44101</v>
      </c>
      <c r="B492">
        <v>6.9839999999999998E-3</v>
      </c>
      <c r="C492">
        <v>7.4939999999999998E-3</v>
      </c>
      <c r="D492">
        <v>6.5760000000000002E-3</v>
      </c>
      <c r="E492">
        <v>6.8960000000000002E-3</v>
      </c>
      <c r="F492">
        <v>319848567</v>
      </c>
      <c r="G492">
        <v>-1.26</v>
      </c>
      <c r="L492" t="s">
        <v>7</v>
      </c>
      <c r="M492" t="s">
        <v>8</v>
      </c>
      <c r="N492" t="s">
        <v>8</v>
      </c>
      <c r="P492">
        <f t="shared" si="979"/>
        <v>-0.30283224400871434</v>
      </c>
      <c r="Q492">
        <f t="shared" si="980"/>
        <v>-96860459.287581623</v>
      </c>
      <c r="R492">
        <f t="shared" si="981"/>
        <v>2225753319.3812256</v>
      </c>
      <c r="S492">
        <f t="shared" si="982"/>
        <v>22257.533193812254</v>
      </c>
      <c r="T492">
        <f t="shared" si="983"/>
        <v>22.257533193812254</v>
      </c>
    </row>
    <row r="493" spans="1:20" x14ac:dyDescent="0.25">
      <c r="A493" s="5">
        <v>44100</v>
      </c>
      <c r="B493">
        <v>6.1890000000000001E-3</v>
      </c>
      <c r="C493">
        <v>7.3810000000000004E-3</v>
      </c>
      <c r="D493">
        <v>6.1599999999999997E-3</v>
      </c>
      <c r="E493">
        <v>6.999E-3</v>
      </c>
      <c r="F493">
        <v>505373381</v>
      </c>
      <c r="G493">
        <v>13.09</v>
      </c>
      <c r="L493" t="s">
        <v>8</v>
      </c>
      <c r="M493" t="s">
        <v>8</v>
      </c>
      <c r="N493" t="s">
        <v>8</v>
      </c>
      <c r="P493">
        <f t="shared" si="979"/>
        <v>0.37428337428337399</v>
      </c>
      <c r="Q493">
        <f t="shared" si="980"/>
        <v>189152854.31367716</v>
      </c>
      <c r="R493">
        <f t="shared" si="981"/>
        <v>2322613778.668807</v>
      </c>
      <c r="S493">
        <f t="shared" si="982"/>
        <v>23226.137786688072</v>
      </c>
      <c r="T493">
        <f t="shared" si="983"/>
        <v>23.226137786688071</v>
      </c>
    </row>
    <row r="494" spans="1:20" x14ac:dyDescent="0.25">
      <c r="A494" s="5">
        <v>44099</v>
      </c>
      <c r="B494">
        <v>5.9560000000000004E-3</v>
      </c>
      <c r="C494">
        <v>6.9610000000000002E-3</v>
      </c>
      <c r="D494">
        <v>5.62E-3</v>
      </c>
      <c r="E494">
        <v>6.1890000000000001E-3</v>
      </c>
      <c r="F494">
        <v>886653023</v>
      </c>
      <c r="G494">
        <v>3.91</v>
      </c>
      <c r="L494" t="s">
        <v>8</v>
      </c>
      <c r="M494" t="s">
        <v>8</v>
      </c>
      <c r="N494" t="s">
        <v>8</v>
      </c>
      <c r="P494">
        <f t="shared" si="979"/>
        <v>-0.15137956748695006</v>
      </c>
      <c r="Q494">
        <f t="shared" si="980"/>
        <v>-134221151.13273677</v>
      </c>
      <c r="R494">
        <f t="shared" si="981"/>
        <v>2133460924.3551297</v>
      </c>
      <c r="S494">
        <f t="shared" si="982"/>
        <v>21334.609243551298</v>
      </c>
      <c r="T494">
        <f t="shared" si="983"/>
        <v>21.334609243551299</v>
      </c>
    </row>
    <row r="495" spans="1:20" x14ac:dyDescent="0.25">
      <c r="A495" s="5">
        <v>44098</v>
      </c>
      <c r="B495">
        <v>4.6470000000000001E-3</v>
      </c>
      <c r="C495">
        <v>6.489E-3</v>
      </c>
      <c r="D495">
        <v>4.5430000000000002E-3</v>
      </c>
      <c r="E495">
        <v>5.9800000000000001E-3</v>
      </c>
      <c r="F495">
        <v>362245725</v>
      </c>
      <c r="G495">
        <v>28.69</v>
      </c>
      <c r="L495" t="s">
        <v>8</v>
      </c>
      <c r="M495" t="s">
        <v>8</v>
      </c>
      <c r="N495" t="s">
        <v>8</v>
      </c>
      <c r="P495">
        <f t="shared" si="979"/>
        <v>0.47687564234326829</v>
      </c>
      <c r="Q495">
        <f t="shared" si="980"/>
        <v>172746162.79547793</v>
      </c>
      <c r="R495">
        <f t="shared" si="981"/>
        <v>2267682075.4878664</v>
      </c>
      <c r="S495">
        <f t="shared" si="982"/>
        <v>22676.820754878663</v>
      </c>
      <c r="T495">
        <f t="shared" si="983"/>
        <v>22.676820754878662</v>
      </c>
    </row>
    <row r="496" spans="1:20" x14ac:dyDescent="0.25">
      <c r="A496" s="5">
        <v>44097</v>
      </c>
      <c r="B496">
        <v>5.3179999999999998E-3</v>
      </c>
      <c r="C496">
        <v>5.3610000000000003E-3</v>
      </c>
      <c r="D496">
        <v>4.4619999999999998E-3</v>
      </c>
      <c r="E496">
        <v>4.6519999999999999E-3</v>
      </c>
      <c r="F496">
        <v>180636850</v>
      </c>
      <c r="G496">
        <v>-12.52</v>
      </c>
      <c r="L496" t="s">
        <v>7</v>
      </c>
      <c r="M496" t="s">
        <v>7</v>
      </c>
      <c r="N496" t="s">
        <v>7</v>
      </c>
      <c r="P496">
        <f t="shared" si="979"/>
        <v>-0.57730812013348176</v>
      </c>
      <c r="Q496">
        <f t="shared" si="980"/>
        <v>-104283120.30033372</v>
      </c>
      <c r="R496">
        <f t="shared" si="981"/>
        <v>2094935912.6923883</v>
      </c>
      <c r="S496">
        <f t="shared" si="982"/>
        <v>20949.359126923882</v>
      </c>
      <c r="T496">
        <f t="shared" si="983"/>
        <v>20.949359126923881</v>
      </c>
    </row>
    <row r="497" spans="1:20" x14ac:dyDescent="0.25">
      <c r="A497" s="5">
        <v>44096</v>
      </c>
      <c r="B497">
        <v>5.2310000000000004E-3</v>
      </c>
      <c r="C497">
        <v>5.3889999999999997E-3</v>
      </c>
      <c r="D497">
        <v>4.9699999999999996E-3</v>
      </c>
      <c r="E497">
        <v>5.2919999999999998E-3</v>
      </c>
      <c r="F497">
        <v>152439127</v>
      </c>
      <c r="G497">
        <v>1.17</v>
      </c>
      <c r="L497" t="s">
        <v>8</v>
      </c>
      <c r="M497" t="s">
        <v>7</v>
      </c>
      <c r="N497" t="s">
        <v>7</v>
      </c>
      <c r="P497">
        <f t="shared" si="979"/>
        <v>0.53699284009546611</v>
      </c>
      <c r="Q497">
        <f t="shared" si="980"/>
        <v>81858719.749403447</v>
      </c>
      <c r="R497">
        <f t="shared" si="981"/>
        <v>2199219032.992722</v>
      </c>
      <c r="S497">
        <f t="shared" si="982"/>
        <v>21992.19032992722</v>
      </c>
      <c r="T497">
        <f t="shared" si="983"/>
        <v>21.992190329927219</v>
      </c>
    </row>
    <row r="498" spans="1:20" x14ac:dyDescent="0.25">
      <c r="A498" s="5">
        <v>44095</v>
      </c>
      <c r="B498">
        <v>6.1409999999999998E-3</v>
      </c>
      <c r="C498">
        <v>6.2839999999999997E-3</v>
      </c>
      <c r="D498">
        <v>5.0499999999999998E-3</v>
      </c>
      <c r="E498">
        <v>5.2310000000000004E-3</v>
      </c>
      <c r="F498">
        <v>337735443</v>
      </c>
      <c r="G498">
        <v>-14.82</v>
      </c>
      <c r="L498" t="s">
        <v>7</v>
      </c>
      <c r="M498" t="s">
        <v>7</v>
      </c>
      <c r="N498" t="s">
        <v>7</v>
      </c>
      <c r="P498">
        <f t="shared" si="979"/>
        <v>-0.70664505672609301</v>
      </c>
      <c r="Q498">
        <f t="shared" si="980"/>
        <v>-238659081.27714714</v>
      </c>
      <c r="R498">
        <f t="shared" si="981"/>
        <v>2117360313.2433188</v>
      </c>
      <c r="S498">
        <f t="shared" si="982"/>
        <v>21173.603132433189</v>
      </c>
      <c r="T498">
        <f t="shared" si="983"/>
        <v>21.17360313243319</v>
      </c>
    </row>
    <row r="499" spans="1:20" x14ac:dyDescent="0.25">
      <c r="A499" s="5">
        <v>44094</v>
      </c>
      <c r="B499">
        <v>6.3610000000000003E-3</v>
      </c>
      <c r="C499">
        <v>6.4999999999999997E-3</v>
      </c>
      <c r="D499">
        <v>6.0219999999999996E-3</v>
      </c>
      <c r="E499">
        <v>6.1529999999999996E-3</v>
      </c>
      <c r="F499">
        <v>151170382</v>
      </c>
      <c r="G499">
        <v>-3.27</v>
      </c>
      <c r="L499" t="s">
        <v>7</v>
      </c>
      <c r="M499" t="s">
        <v>7</v>
      </c>
      <c r="N499" t="s">
        <v>7</v>
      </c>
      <c r="P499">
        <f t="shared" si="979"/>
        <v>-0.45188284518828448</v>
      </c>
      <c r="Q499">
        <f t="shared" si="980"/>
        <v>-68311302.326359823</v>
      </c>
      <c r="R499">
        <f t="shared" si="981"/>
        <v>2356019394.5204659</v>
      </c>
      <c r="S499">
        <f t="shared" si="982"/>
        <v>23560.193945204657</v>
      </c>
      <c r="T499">
        <f t="shared" si="983"/>
        <v>23.560193945204656</v>
      </c>
    </row>
    <row r="500" spans="1:20" x14ac:dyDescent="0.25">
      <c r="A500" s="5">
        <v>44093</v>
      </c>
      <c r="B500">
        <v>6.2700000000000004E-3</v>
      </c>
      <c r="C500">
        <v>6.4739999999999997E-3</v>
      </c>
      <c r="D500">
        <v>6.2310000000000004E-3</v>
      </c>
      <c r="E500">
        <v>6.3480000000000003E-3</v>
      </c>
      <c r="F500">
        <v>156928491</v>
      </c>
      <c r="G500">
        <v>1.24</v>
      </c>
      <c r="L500" t="s">
        <v>7</v>
      </c>
      <c r="M500" t="s">
        <v>7</v>
      </c>
      <c r="N500" t="s">
        <v>7</v>
      </c>
      <c r="P500">
        <f t="shared" si="979"/>
        <v>-3.7037037037034919E-2</v>
      </c>
      <c r="Q500">
        <f t="shared" si="980"/>
        <v>-5812166.3333330005</v>
      </c>
      <c r="R500">
        <f t="shared" si="981"/>
        <v>2424330696.8468256</v>
      </c>
      <c r="S500">
        <f t="shared" si="982"/>
        <v>24243.306968468256</v>
      </c>
      <c r="T500">
        <f t="shared" si="983"/>
        <v>24.243306968468257</v>
      </c>
    </row>
    <row r="501" spans="1:20" x14ac:dyDescent="0.25">
      <c r="A501" s="5">
        <v>44092</v>
      </c>
      <c r="B501">
        <v>6.8910000000000004E-3</v>
      </c>
      <c r="C501">
        <v>6.8950000000000001E-3</v>
      </c>
      <c r="D501">
        <v>6.1630000000000001E-3</v>
      </c>
      <c r="E501">
        <v>6.2859999999999999E-3</v>
      </c>
      <c r="F501">
        <v>243216993</v>
      </c>
      <c r="G501">
        <v>-8.7799999999999994</v>
      </c>
      <c r="L501" t="s">
        <v>7</v>
      </c>
      <c r="M501" t="s">
        <v>7</v>
      </c>
      <c r="N501" t="s">
        <v>7</v>
      </c>
      <c r="P501">
        <f t="shared" si="979"/>
        <v>-0.6639344262295086</v>
      </c>
      <c r="Q501">
        <f t="shared" si="980"/>
        <v>-161480134.6967214</v>
      </c>
      <c r="R501">
        <f t="shared" si="981"/>
        <v>2430142863.1801586</v>
      </c>
      <c r="S501">
        <f t="shared" si="982"/>
        <v>24301.428631801587</v>
      </c>
      <c r="T501">
        <f t="shared" si="983"/>
        <v>24.301428631801588</v>
      </c>
    </row>
    <row r="502" spans="1:20" x14ac:dyDescent="0.25">
      <c r="A502" s="5">
        <v>44091</v>
      </c>
      <c r="B502">
        <v>6.6249999999999998E-3</v>
      </c>
      <c r="C502">
        <v>7.0280000000000004E-3</v>
      </c>
      <c r="D502">
        <v>6.4339999999999996E-3</v>
      </c>
      <c r="E502">
        <v>6.8890000000000002E-3</v>
      </c>
      <c r="F502">
        <v>249763081</v>
      </c>
      <c r="G502">
        <v>3.98</v>
      </c>
      <c r="L502" t="s">
        <v>8</v>
      </c>
      <c r="M502" t="s">
        <v>7</v>
      </c>
      <c r="N502" t="s">
        <v>7</v>
      </c>
      <c r="P502">
        <f t="shared" si="979"/>
        <v>0.53198653198653179</v>
      </c>
      <c r="Q502">
        <f t="shared" si="980"/>
        <v>132870595.27946123</v>
      </c>
      <c r="R502">
        <f t="shared" si="981"/>
        <v>2591622997.8768802</v>
      </c>
      <c r="S502">
        <f t="shared" si="982"/>
        <v>25916.229978768803</v>
      </c>
      <c r="T502">
        <f t="shared" si="983"/>
        <v>25.916229978768804</v>
      </c>
    </row>
    <row r="503" spans="1:20" x14ac:dyDescent="0.25">
      <c r="A503" s="5">
        <v>44090</v>
      </c>
      <c r="B503">
        <v>6.868E-3</v>
      </c>
      <c r="C503">
        <v>6.868E-3</v>
      </c>
      <c r="D503">
        <v>6.2909999999999997E-3</v>
      </c>
      <c r="E503">
        <v>6.6470000000000001E-3</v>
      </c>
      <c r="F503">
        <v>308510929</v>
      </c>
      <c r="G503">
        <v>-3.22</v>
      </c>
      <c r="L503" t="s">
        <v>7</v>
      </c>
      <c r="M503" t="s">
        <v>7</v>
      </c>
      <c r="N503" t="s">
        <v>7</v>
      </c>
      <c r="P503">
        <f t="shared" si="979"/>
        <v>0.23396880415944629</v>
      </c>
      <c r="Q503">
        <f t="shared" si="980"/>
        <v>72181933.128249839</v>
      </c>
      <c r="R503">
        <f t="shared" si="981"/>
        <v>2458752402.5974188</v>
      </c>
      <c r="S503">
        <f t="shared" si="982"/>
        <v>24587.524025974188</v>
      </c>
      <c r="T503">
        <f t="shared" si="983"/>
        <v>24.587524025974187</v>
      </c>
    </row>
    <row r="504" spans="1:20" x14ac:dyDescent="0.25">
      <c r="A504" s="5">
        <v>44089</v>
      </c>
      <c r="B504">
        <v>7.6490000000000004E-3</v>
      </c>
      <c r="C504">
        <v>7.7120000000000001E-3</v>
      </c>
      <c r="D504">
        <v>6.8329999999999997E-3</v>
      </c>
      <c r="E504">
        <v>6.8580000000000004E-3</v>
      </c>
      <c r="F504">
        <v>266981423</v>
      </c>
      <c r="G504">
        <v>-10.34</v>
      </c>
      <c r="L504" t="s">
        <v>7</v>
      </c>
      <c r="M504" t="s">
        <v>7</v>
      </c>
      <c r="N504" t="s">
        <v>7</v>
      </c>
      <c r="P504">
        <f t="shared" si="979"/>
        <v>-0.94311717861205757</v>
      </c>
      <c r="Q504">
        <f t="shared" si="980"/>
        <v>-251794766.40159228</v>
      </c>
      <c r="R504">
        <f t="shared" si="981"/>
        <v>2386570469.4691691</v>
      </c>
      <c r="S504">
        <f t="shared" si="982"/>
        <v>23865.704694691693</v>
      </c>
      <c r="T504">
        <f t="shared" si="983"/>
        <v>23.865704694691694</v>
      </c>
    </row>
    <row r="505" spans="1:20" x14ac:dyDescent="0.25">
      <c r="A505" s="5">
        <v>44088</v>
      </c>
      <c r="B505">
        <v>7.6870000000000003E-3</v>
      </c>
      <c r="C505">
        <v>8.0820000000000006E-3</v>
      </c>
      <c r="D505">
        <v>7.4619999999999999E-3</v>
      </c>
      <c r="E505">
        <v>7.659E-3</v>
      </c>
      <c r="F505">
        <v>308693004</v>
      </c>
      <c r="G505">
        <v>-0.36</v>
      </c>
      <c r="L505" t="s">
        <v>7</v>
      </c>
      <c r="M505" t="s">
        <v>8</v>
      </c>
      <c r="N505" t="s">
        <v>7</v>
      </c>
      <c r="P505">
        <f t="shared" si="979"/>
        <v>-0.36451612903225844</v>
      </c>
      <c r="Q505">
        <f t="shared" si="980"/>
        <v>-112523578.87741947</v>
      </c>
      <c r="R505">
        <f t="shared" si="981"/>
        <v>2638365235.8707614</v>
      </c>
      <c r="S505">
        <f t="shared" si="982"/>
        <v>26383.652358707615</v>
      </c>
      <c r="T505">
        <f t="shared" si="983"/>
        <v>26.383652358707614</v>
      </c>
    </row>
    <row r="506" spans="1:20" x14ac:dyDescent="0.25">
      <c r="A506" s="5">
        <v>44087</v>
      </c>
      <c r="B506">
        <v>8.3479999999999995E-3</v>
      </c>
      <c r="C506">
        <v>8.6999999999999994E-3</v>
      </c>
      <c r="D506">
        <v>7.3660000000000002E-3</v>
      </c>
      <c r="E506">
        <v>7.6519999999999999E-3</v>
      </c>
      <c r="F506">
        <v>269979133</v>
      </c>
      <c r="G506">
        <v>-8.34</v>
      </c>
      <c r="L506" t="s">
        <v>8</v>
      </c>
      <c r="M506" t="s">
        <v>8</v>
      </c>
      <c r="N506" t="s">
        <v>7</v>
      </c>
      <c r="P506">
        <f t="shared" si="979"/>
        <v>-0.57121439280359831</v>
      </c>
      <c r="Q506">
        <f t="shared" si="980"/>
        <v>-154215966.52623692</v>
      </c>
      <c r="R506">
        <f t="shared" si="981"/>
        <v>2750888814.7481809</v>
      </c>
      <c r="S506">
        <f t="shared" si="982"/>
        <v>27508.888147481808</v>
      </c>
      <c r="T506">
        <f t="shared" si="983"/>
        <v>27.508888147481809</v>
      </c>
    </row>
    <row r="507" spans="1:20" x14ac:dyDescent="0.25">
      <c r="A507" s="5">
        <v>44086</v>
      </c>
      <c r="B507">
        <v>8.2920000000000008E-3</v>
      </c>
      <c r="C507">
        <v>8.5500000000000003E-3</v>
      </c>
      <c r="D507">
        <v>8.1829999999999993E-3</v>
      </c>
      <c r="E507">
        <v>8.3260000000000001E-3</v>
      </c>
      <c r="F507">
        <v>169931286</v>
      </c>
      <c r="G507">
        <v>0.41</v>
      </c>
      <c r="L507" t="s">
        <v>8</v>
      </c>
      <c r="M507" t="s">
        <v>8</v>
      </c>
      <c r="N507" t="s">
        <v>7</v>
      </c>
      <c r="P507">
        <f t="shared" si="979"/>
        <v>-0.22070844686648297</v>
      </c>
      <c r="Q507">
        <f t="shared" si="980"/>
        <v>-37505270.207084119</v>
      </c>
      <c r="R507">
        <f t="shared" si="981"/>
        <v>2905104781.2744179</v>
      </c>
      <c r="S507">
        <f t="shared" si="982"/>
        <v>29051.047812744178</v>
      </c>
      <c r="T507">
        <f t="shared" si="983"/>
        <v>29.05104781274418</v>
      </c>
    </row>
    <row r="508" spans="1:20" x14ac:dyDescent="0.25">
      <c r="A508" s="5">
        <v>44085</v>
      </c>
      <c r="B508">
        <v>8.4100000000000008E-3</v>
      </c>
      <c r="C508">
        <v>8.6999999999999994E-3</v>
      </c>
      <c r="D508">
        <v>7.9450000000000007E-3</v>
      </c>
      <c r="E508">
        <v>8.3260000000000001E-3</v>
      </c>
      <c r="F508">
        <v>140005845</v>
      </c>
      <c r="G508">
        <v>-1</v>
      </c>
      <c r="L508" t="s">
        <v>7</v>
      </c>
      <c r="M508" t="s">
        <v>8</v>
      </c>
      <c r="N508" t="s">
        <v>7</v>
      </c>
      <c r="P508">
        <f t="shared" si="979"/>
        <v>9.271523178808045E-3</v>
      </c>
      <c r="Q508">
        <f t="shared" si="980"/>
        <v>1298067.4370861065</v>
      </c>
      <c r="R508">
        <f t="shared" si="981"/>
        <v>2942610051.4815021</v>
      </c>
      <c r="S508">
        <f t="shared" si="982"/>
        <v>29426.100514815022</v>
      </c>
      <c r="T508">
        <f t="shared" si="983"/>
        <v>29.426100514815023</v>
      </c>
    </row>
    <row r="509" spans="1:20" x14ac:dyDescent="0.25">
      <c r="A509" s="5">
        <v>44084</v>
      </c>
      <c r="B509">
        <v>7.7920000000000003E-3</v>
      </c>
      <c r="C509">
        <v>8.7899999999999992E-3</v>
      </c>
      <c r="D509">
        <v>7.7580000000000001E-3</v>
      </c>
      <c r="E509">
        <v>8.3789999999999993E-3</v>
      </c>
      <c r="F509">
        <v>391131438</v>
      </c>
      <c r="G509">
        <v>7.53</v>
      </c>
      <c r="L509" t="s">
        <v>8</v>
      </c>
      <c r="M509" t="s">
        <v>8</v>
      </c>
      <c r="N509" t="s">
        <v>7</v>
      </c>
      <c r="P509">
        <f t="shared" si="979"/>
        <v>0.2034883720930227</v>
      </c>
      <c r="Q509">
        <f t="shared" si="980"/>
        <v>79590699.593023032</v>
      </c>
      <c r="R509">
        <f t="shared" si="981"/>
        <v>2941311984.044416</v>
      </c>
      <c r="S509">
        <f t="shared" si="982"/>
        <v>29413.11984044416</v>
      </c>
      <c r="T509">
        <f t="shared" si="983"/>
        <v>29.413119840444161</v>
      </c>
    </row>
    <row r="510" spans="1:20" x14ac:dyDescent="0.25">
      <c r="A510" s="5">
        <v>44083</v>
      </c>
      <c r="B510">
        <v>7.5690000000000002E-3</v>
      </c>
      <c r="C510">
        <v>8.3119999999999999E-3</v>
      </c>
      <c r="D510">
        <v>7.2259999999999998E-3</v>
      </c>
      <c r="E510">
        <v>7.79E-3</v>
      </c>
      <c r="F510">
        <v>309367435</v>
      </c>
      <c r="G510">
        <v>2.92</v>
      </c>
      <c r="L510" t="s">
        <v>8</v>
      </c>
      <c r="M510" t="s">
        <v>7</v>
      </c>
      <c r="N510" t="s">
        <v>7</v>
      </c>
      <c r="P510">
        <f t="shared" si="979"/>
        <v>3.8674033149171609E-2</v>
      </c>
      <c r="Q510">
        <f t="shared" si="980"/>
        <v>11964486.436464192</v>
      </c>
      <c r="R510">
        <f t="shared" si="981"/>
        <v>2861721284.4513931</v>
      </c>
      <c r="S510">
        <f t="shared" si="982"/>
        <v>28617.212844513931</v>
      </c>
      <c r="T510">
        <f t="shared" si="983"/>
        <v>28.617212844513933</v>
      </c>
    </row>
    <row r="511" spans="1:20" x14ac:dyDescent="0.25">
      <c r="A511" s="5">
        <v>44082</v>
      </c>
      <c r="B511">
        <v>8.2799999999999992E-3</v>
      </c>
      <c r="C511">
        <v>8.5179999999999995E-3</v>
      </c>
      <c r="D511">
        <v>7.1609999999999998E-3</v>
      </c>
      <c r="E511">
        <v>7.5550000000000001E-3</v>
      </c>
      <c r="F511">
        <v>540438802</v>
      </c>
      <c r="G511">
        <v>-8.76</v>
      </c>
      <c r="L511" t="s">
        <v>7</v>
      </c>
      <c r="M511" t="s">
        <v>7</v>
      </c>
      <c r="N511" t="s">
        <v>7</v>
      </c>
      <c r="P511">
        <f t="shared" si="979"/>
        <v>-0.41930729550478946</v>
      </c>
      <c r="Q511">
        <f t="shared" si="980"/>
        <v>-226609932.4524684</v>
      </c>
      <c r="R511">
        <f t="shared" si="981"/>
        <v>2849756798.0149288</v>
      </c>
      <c r="S511">
        <f t="shared" si="982"/>
        <v>28497.567980149288</v>
      </c>
      <c r="T511">
        <f t="shared" si="983"/>
        <v>28.497567980149288</v>
      </c>
    </row>
    <row r="512" spans="1:20" x14ac:dyDescent="0.25">
      <c r="A512" s="5">
        <v>44081</v>
      </c>
      <c r="B512">
        <v>8.2649999999999998E-3</v>
      </c>
      <c r="C512">
        <v>8.5199999999999998E-3</v>
      </c>
      <c r="D512">
        <v>7.123E-3</v>
      </c>
      <c r="E512">
        <v>8.2699999999999996E-3</v>
      </c>
      <c r="F512">
        <v>371397530</v>
      </c>
      <c r="G512">
        <v>0.06</v>
      </c>
      <c r="L512" t="s">
        <v>8</v>
      </c>
      <c r="M512" t="s">
        <v>8</v>
      </c>
      <c r="N512" t="s">
        <v>7</v>
      </c>
      <c r="P512">
        <f t="shared" si="979"/>
        <v>0.64209019327129524</v>
      </c>
      <c r="Q512">
        <f t="shared" si="980"/>
        <v>238470711.81818166</v>
      </c>
      <c r="R512">
        <f t="shared" si="981"/>
        <v>3076366730.4673972</v>
      </c>
      <c r="S512">
        <f t="shared" si="982"/>
        <v>30763.667304673971</v>
      </c>
      <c r="T512">
        <f t="shared" si="983"/>
        <v>30.763667304673969</v>
      </c>
    </row>
    <row r="513" spans="1:20" x14ac:dyDescent="0.25">
      <c r="A513" s="5">
        <v>44080</v>
      </c>
      <c r="B513">
        <v>7.5820000000000002E-3</v>
      </c>
      <c r="C513">
        <v>8.9990000000000001E-3</v>
      </c>
      <c r="D513">
        <v>6.7499999999999999E-3</v>
      </c>
      <c r="E513">
        <v>8.2749999999999994E-3</v>
      </c>
      <c r="F513">
        <v>514227491</v>
      </c>
      <c r="G513">
        <v>9.14</v>
      </c>
      <c r="L513" t="s">
        <v>7</v>
      </c>
      <c r="M513" t="s">
        <v>7</v>
      </c>
      <c r="N513" t="s">
        <v>7</v>
      </c>
      <c r="P513">
        <f t="shared" si="979"/>
        <v>0.35615829257447695</v>
      </c>
      <c r="Q513">
        <f t="shared" si="980"/>
        <v>183146385.18941721</v>
      </c>
      <c r="R513">
        <f t="shared" si="981"/>
        <v>2837896018.6492157</v>
      </c>
      <c r="S513">
        <f t="shared" si="982"/>
        <v>28378.960186492157</v>
      </c>
      <c r="T513">
        <f t="shared" si="983"/>
        <v>28.378960186492158</v>
      </c>
    </row>
    <row r="514" spans="1:20" x14ac:dyDescent="0.25">
      <c r="A514" s="5">
        <v>44079</v>
      </c>
      <c r="B514">
        <v>9.0360000000000006E-3</v>
      </c>
      <c r="C514">
        <v>9.4439999999999993E-3</v>
      </c>
      <c r="D514">
        <v>6.9769999999999997E-3</v>
      </c>
      <c r="E514">
        <v>7.5810000000000001E-3</v>
      </c>
      <c r="F514">
        <v>459560689</v>
      </c>
      <c r="G514">
        <v>-16.100000000000001</v>
      </c>
      <c r="L514" t="s">
        <v>7</v>
      </c>
      <c r="M514" t="s">
        <v>7</v>
      </c>
      <c r="N514" t="s">
        <v>7</v>
      </c>
      <c r="P514">
        <f t="shared" si="979"/>
        <v>-0.51033644102148323</v>
      </c>
      <c r="Q514">
        <f t="shared" si="980"/>
        <v>-234530566.45764071</v>
      </c>
      <c r="R514">
        <f t="shared" si="981"/>
        <v>2654749633.4597983</v>
      </c>
      <c r="S514">
        <f t="shared" si="982"/>
        <v>26547.496334597985</v>
      </c>
      <c r="T514">
        <f t="shared" si="983"/>
        <v>26.547496334597984</v>
      </c>
    </row>
    <row r="515" spans="1:20" x14ac:dyDescent="0.25">
      <c r="A515" s="5">
        <v>44078</v>
      </c>
      <c r="B515">
        <v>8.7950000000000007E-3</v>
      </c>
      <c r="C515">
        <v>9.1809999999999999E-3</v>
      </c>
      <c r="D515">
        <v>7.8729999999999998E-3</v>
      </c>
      <c r="E515">
        <v>9.1050000000000002E-3</v>
      </c>
      <c r="F515">
        <v>589896210</v>
      </c>
      <c r="G515">
        <v>3.52</v>
      </c>
      <c r="L515" t="s">
        <v>7</v>
      </c>
      <c r="M515" t="s">
        <v>7</v>
      </c>
      <c r="N515" t="s">
        <v>7</v>
      </c>
      <c r="P515">
        <f t="shared" si="979"/>
        <v>0.88379204892966412</v>
      </c>
      <c r="Q515">
        <f t="shared" si="980"/>
        <v>521345580.09174341</v>
      </c>
      <c r="R515">
        <f t="shared" si="981"/>
        <v>2889280199.917439</v>
      </c>
      <c r="S515">
        <f t="shared" si="982"/>
        <v>28892.801999174389</v>
      </c>
      <c r="T515">
        <f t="shared" si="983"/>
        <v>28.892801999174388</v>
      </c>
    </row>
    <row r="516" spans="1:20" x14ac:dyDescent="0.25">
      <c r="A516" s="5">
        <v>44077</v>
      </c>
      <c r="B516">
        <v>1.1926000000000001E-2</v>
      </c>
      <c r="C516">
        <v>1.1967E-2</v>
      </c>
      <c r="D516">
        <v>8.5800000000000008E-3</v>
      </c>
      <c r="E516">
        <v>8.7969999999999993E-3</v>
      </c>
      <c r="F516">
        <v>780946168</v>
      </c>
      <c r="G516">
        <v>-26.24</v>
      </c>
      <c r="L516" t="s">
        <v>7</v>
      </c>
      <c r="M516" t="s">
        <v>7</v>
      </c>
      <c r="N516" t="s">
        <v>7</v>
      </c>
      <c r="P516">
        <f t="shared" si="979"/>
        <v>-0.87186300560968499</v>
      </c>
      <c r="Q516">
        <f t="shared" si="980"/>
        <v>-680878073.25184596</v>
      </c>
      <c r="R516">
        <f t="shared" si="981"/>
        <v>2367934619.8256955</v>
      </c>
      <c r="S516">
        <f t="shared" si="982"/>
        <v>23679.346198256953</v>
      </c>
      <c r="T516">
        <f t="shared" si="983"/>
        <v>23.679346198256955</v>
      </c>
    </row>
    <row r="517" spans="1:20" x14ac:dyDescent="0.25">
      <c r="A517" s="5">
        <v>44076</v>
      </c>
      <c r="B517">
        <v>1.3103999999999999E-2</v>
      </c>
      <c r="C517">
        <v>1.3805E-2</v>
      </c>
      <c r="D517">
        <v>1.136E-2</v>
      </c>
      <c r="E517">
        <v>1.192E-2</v>
      </c>
      <c r="F517">
        <v>709102748</v>
      </c>
      <c r="G517">
        <v>-9.0399999999999991</v>
      </c>
      <c r="L517" t="s">
        <v>7</v>
      </c>
      <c r="M517" t="s">
        <v>7</v>
      </c>
      <c r="N517" t="s">
        <v>7</v>
      </c>
      <c r="P517">
        <f t="shared" si="979"/>
        <v>-0.54192229038854811</v>
      </c>
      <c r="Q517">
        <f t="shared" si="980"/>
        <v>-384278585.31697345</v>
      </c>
      <c r="R517">
        <f t="shared" si="981"/>
        <v>3048812693.0775414</v>
      </c>
      <c r="S517">
        <f t="shared" si="982"/>
        <v>30488.126930775412</v>
      </c>
      <c r="T517">
        <f t="shared" si="983"/>
        <v>30.488126930775412</v>
      </c>
    </row>
    <row r="518" spans="1:20" x14ac:dyDescent="0.25">
      <c r="A518" s="5">
        <v>44075</v>
      </c>
      <c r="B518">
        <v>1.3396999999999999E-2</v>
      </c>
      <c r="C518">
        <v>1.3520000000000001E-2</v>
      </c>
      <c r="D518">
        <v>1.2755000000000001E-2</v>
      </c>
      <c r="E518">
        <v>1.3136E-2</v>
      </c>
      <c r="F518">
        <v>457363760</v>
      </c>
      <c r="G518">
        <v>-1.95</v>
      </c>
      <c r="L518" t="s">
        <v>7</v>
      </c>
      <c r="M518" t="s">
        <v>8</v>
      </c>
      <c r="N518" t="s">
        <v>7</v>
      </c>
      <c r="P518">
        <f t="shared" ref="P518:P581" si="984">IF(C518=D518,0,((E518-D518)-(C518-E518))/(C518-D518))</f>
        <v>-3.9215686274526344E-3</v>
      </c>
      <c r="Q518">
        <f t="shared" ref="Q518:Q581" si="985">F518*P518</f>
        <v>-1793583.372549776</v>
      </c>
      <c r="R518">
        <f t="shared" ref="R518:R581" si="986">R519+Q518</f>
        <v>3433091278.3945146</v>
      </c>
      <c r="S518">
        <f t="shared" ref="S518:S581" si="987">R518/100000</f>
        <v>34330.912783945147</v>
      </c>
      <c r="T518">
        <f t="shared" ref="T518:T581" si="988">S518/1000</f>
        <v>34.330912783945145</v>
      </c>
    </row>
    <row r="519" spans="1:20" x14ac:dyDescent="0.25">
      <c r="A519" s="5">
        <v>44074</v>
      </c>
      <c r="B519">
        <v>1.4799E-2</v>
      </c>
      <c r="C519">
        <v>1.485E-2</v>
      </c>
      <c r="D519">
        <v>1.3200999999999999E-2</v>
      </c>
      <c r="E519">
        <v>1.3370999999999999E-2</v>
      </c>
      <c r="F519">
        <v>854807994</v>
      </c>
      <c r="G519">
        <v>-9.65</v>
      </c>
      <c r="L519" t="s">
        <v>7</v>
      </c>
      <c r="M519" t="s">
        <v>8</v>
      </c>
      <c r="N519" t="s">
        <v>7</v>
      </c>
      <c r="P519">
        <f t="shared" si="984"/>
        <v>-0.7938144329896909</v>
      </c>
      <c r="Q519">
        <f t="shared" si="985"/>
        <v>-678558923.07216513</v>
      </c>
      <c r="R519">
        <f t="shared" si="986"/>
        <v>3434884861.7670646</v>
      </c>
      <c r="S519">
        <f t="shared" si="987"/>
        <v>34348.848617670643</v>
      </c>
      <c r="T519">
        <f t="shared" si="988"/>
        <v>34.34884861767064</v>
      </c>
    </row>
    <row r="520" spans="1:20" x14ac:dyDescent="0.25">
      <c r="A520" s="5">
        <v>44073</v>
      </c>
      <c r="B520">
        <v>1.3003000000000001E-2</v>
      </c>
      <c r="C520">
        <v>1.4800000000000001E-2</v>
      </c>
      <c r="D520">
        <v>1.2540000000000001E-2</v>
      </c>
      <c r="E520">
        <v>1.4800000000000001E-2</v>
      </c>
      <c r="F520">
        <v>704575923</v>
      </c>
      <c r="G520">
        <v>13.82</v>
      </c>
      <c r="L520" t="s">
        <v>8</v>
      </c>
      <c r="M520" t="s">
        <v>8</v>
      </c>
      <c r="N520" t="s">
        <v>7</v>
      </c>
      <c r="P520">
        <f t="shared" si="984"/>
        <v>1</v>
      </c>
      <c r="Q520">
        <f t="shared" si="985"/>
        <v>704575923</v>
      </c>
      <c r="R520">
        <f t="shared" si="986"/>
        <v>4113443784.8392296</v>
      </c>
      <c r="S520">
        <f t="shared" si="987"/>
        <v>41134.437848392299</v>
      </c>
      <c r="T520">
        <f t="shared" si="988"/>
        <v>41.134437848392302</v>
      </c>
    </row>
    <row r="521" spans="1:20" x14ac:dyDescent="0.25">
      <c r="A521" s="5">
        <v>44072</v>
      </c>
      <c r="B521">
        <v>1.2723999999999999E-2</v>
      </c>
      <c r="C521">
        <v>1.3599E-2</v>
      </c>
      <c r="D521">
        <v>1.2588E-2</v>
      </c>
      <c r="E521">
        <v>1.3037999999999999E-2</v>
      </c>
      <c r="F521">
        <v>350194036</v>
      </c>
      <c r="G521">
        <v>2.4700000000000002</v>
      </c>
      <c r="L521" t="s">
        <v>8</v>
      </c>
      <c r="M521" t="s">
        <v>7</v>
      </c>
      <c r="N521" t="s">
        <v>7</v>
      </c>
      <c r="P521">
        <f t="shared" si="984"/>
        <v>-0.10979228486647058</v>
      </c>
      <c r="Q521">
        <f t="shared" si="985"/>
        <v>-38448603.359051056</v>
      </c>
      <c r="R521">
        <f t="shared" si="986"/>
        <v>3408867861.8392296</v>
      </c>
      <c r="S521">
        <f t="shared" si="987"/>
        <v>34088.678618392296</v>
      </c>
      <c r="T521">
        <f t="shared" si="988"/>
        <v>34.088678618392294</v>
      </c>
    </row>
    <row r="522" spans="1:20" x14ac:dyDescent="0.25">
      <c r="A522" s="5">
        <v>44071</v>
      </c>
      <c r="B522">
        <v>1.1842999999999999E-2</v>
      </c>
      <c r="C522">
        <v>1.3221999999999999E-2</v>
      </c>
      <c r="D522">
        <v>1.1727E-2</v>
      </c>
      <c r="E522">
        <v>1.2728E-2</v>
      </c>
      <c r="F522">
        <v>493302742</v>
      </c>
      <c r="G522">
        <v>7.47</v>
      </c>
      <c r="L522" t="s">
        <v>8</v>
      </c>
      <c r="M522" t="s">
        <v>7</v>
      </c>
      <c r="N522" t="s">
        <v>7</v>
      </c>
      <c r="P522">
        <f t="shared" si="984"/>
        <v>0.33913043478260907</v>
      </c>
      <c r="Q522">
        <f t="shared" si="985"/>
        <v>167293973.37391323</v>
      </c>
      <c r="R522">
        <f t="shared" si="986"/>
        <v>3447316465.1982808</v>
      </c>
      <c r="S522">
        <f t="shared" si="987"/>
        <v>34473.164651982806</v>
      </c>
      <c r="T522">
        <f t="shared" si="988"/>
        <v>34.473164651982806</v>
      </c>
    </row>
    <row r="523" spans="1:20" x14ac:dyDescent="0.25">
      <c r="A523" s="5">
        <v>44070</v>
      </c>
      <c r="B523">
        <v>1.2548E-2</v>
      </c>
      <c r="C523">
        <v>1.2714E-2</v>
      </c>
      <c r="D523">
        <v>1.1412E-2</v>
      </c>
      <c r="E523">
        <v>1.1889E-2</v>
      </c>
      <c r="F523">
        <v>383037199</v>
      </c>
      <c r="G523">
        <v>-5.25</v>
      </c>
      <c r="L523" t="s">
        <v>7</v>
      </c>
      <c r="M523" t="s">
        <v>7</v>
      </c>
      <c r="N523" t="s">
        <v>7</v>
      </c>
      <c r="P523">
        <f t="shared" si="984"/>
        <v>-0.26728110599078303</v>
      </c>
      <c r="Q523">
        <f t="shared" si="985"/>
        <v>-102378606.18433166</v>
      </c>
      <c r="R523">
        <f t="shared" si="986"/>
        <v>3280022491.8243675</v>
      </c>
      <c r="S523">
        <f t="shared" si="987"/>
        <v>32800.224918243672</v>
      </c>
      <c r="T523">
        <f t="shared" si="988"/>
        <v>32.800224918243671</v>
      </c>
    </row>
    <row r="524" spans="1:20" x14ac:dyDescent="0.25">
      <c r="A524" s="5">
        <v>44069</v>
      </c>
      <c r="B524">
        <v>1.2174000000000001E-2</v>
      </c>
      <c r="C524">
        <v>1.2999999999999999E-2</v>
      </c>
      <c r="D524">
        <v>1.18E-2</v>
      </c>
      <c r="E524">
        <v>1.2547000000000001E-2</v>
      </c>
      <c r="F524">
        <v>421699783</v>
      </c>
      <c r="G524">
        <v>3.06</v>
      </c>
      <c r="L524" t="s">
        <v>8</v>
      </c>
      <c r="M524" t="s">
        <v>7</v>
      </c>
      <c r="N524" t="s">
        <v>7</v>
      </c>
      <c r="P524">
        <f t="shared" si="984"/>
        <v>0.24500000000000222</v>
      </c>
      <c r="Q524">
        <f t="shared" si="985"/>
        <v>103316446.83500093</v>
      </c>
      <c r="R524">
        <f t="shared" si="986"/>
        <v>3382401098.0086994</v>
      </c>
      <c r="S524">
        <f t="shared" si="987"/>
        <v>33824.010980086998</v>
      </c>
      <c r="T524">
        <f t="shared" si="988"/>
        <v>33.824010980086996</v>
      </c>
    </row>
    <row r="525" spans="1:20" x14ac:dyDescent="0.25">
      <c r="A525" s="5">
        <v>44068</v>
      </c>
      <c r="B525">
        <v>1.3684999999999999E-2</v>
      </c>
      <c r="C525">
        <v>1.3684999999999999E-2</v>
      </c>
      <c r="D525">
        <v>1.1419E-2</v>
      </c>
      <c r="E525">
        <v>1.2174000000000001E-2</v>
      </c>
      <c r="F525">
        <v>430879787</v>
      </c>
      <c r="G525">
        <v>-11.04</v>
      </c>
      <c r="L525" t="s">
        <v>7</v>
      </c>
      <c r="M525" t="s">
        <v>7</v>
      </c>
      <c r="N525" t="s">
        <v>7</v>
      </c>
      <c r="P525">
        <f t="shared" si="984"/>
        <v>-0.33362753751103191</v>
      </c>
      <c r="Q525">
        <f t="shared" si="985"/>
        <v>-143753362.30008793</v>
      </c>
      <c r="R525">
        <f t="shared" si="986"/>
        <v>3279084651.1736984</v>
      </c>
      <c r="S525">
        <f t="shared" si="987"/>
        <v>32790.846511736985</v>
      </c>
      <c r="T525">
        <f t="shared" si="988"/>
        <v>32.790846511736987</v>
      </c>
    </row>
    <row r="526" spans="1:20" x14ac:dyDescent="0.25">
      <c r="A526" s="5">
        <v>44067</v>
      </c>
      <c r="B526">
        <v>1.3138E-2</v>
      </c>
      <c r="C526">
        <v>1.4130999999999999E-2</v>
      </c>
      <c r="D526">
        <v>1.2957E-2</v>
      </c>
      <c r="E526">
        <v>1.3727E-2</v>
      </c>
      <c r="F526">
        <v>480978487</v>
      </c>
      <c r="G526">
        <v>4.4800000000000004</v>
      </c>
      <c r="L526" t="s">
        <v>8</v>
      </c>
      <c r="M526" t="s">
        <v>8</v>
      </c>
      <c r="N526" t="s">
        <v>7</v>
      </c>
      <c r="P526">
        <f t="shared" si="984"/>
        <v>0.31175468483816021</v>
      </c>
      <c r="Q526">
        <f t="shared" si="985"/>
        <v>149947296.62862015</v>
      </c>
      <c r="R526">
        <f t="shared" si="986"/>
        <v>3422838013.4737864</v>
      </c>
      <c r="S526">
        <f t="shared" si="987"/>
        <v>34228.380134737861</v>
      </c>
      <c r="T526">
        <f t="shared" si="988"/>
        <v>34.228380134737861</v>
      </c>
    </row>
    <row r="527" spans="1:20" x14ac:dyDescent="0.25">
      <c r="A527" s="5">
        <v>44066</v>
      </c>
      <c r="B527">
        <v>1.2307E-2</v>
      </c>
      <c r="C527">
        <v>1.3639999999999999E-2</v>
      </c>
      <c r="D527">
        <v>1.2090999999999999E-2</v>
      </c>
      <c r="E527">
        <v>1.3138E-2</v>
      </c>
      <c r="F527">
        <v>479680585</v>
      </c>
      <c r="G527">
        <v>6.75</v>
      </c>
      <c r="L527" t="s">
        <v>8</v>
      </c>
      <c r="M527" t="s">
        <v>8</v>
      </c>
      <c r="N527" t="s">
        <v>7</v>
      </c>
      <c r="P527">
        <f t="shared" si="984"/>
        <v>0.35183989670755461</v>
      </c>
      <c r="Q527">
        <f t="shared" si="985"/>
        <v>168770767.47901937</v>
      </c>
      <c r="R527">
        <f t="shared" si="986"/>
        <v>3272890716.8451662</v>
      </c>
      <c r="S527">
        <f t="shared" si="987"/>
        <v>32728.90716845166</v>
      </c>
      <c r="T527">
        <f t="shared" si="988"/>
        <v>32.728907168451663</v>
      </c>
    </row>
    <row r="528" spans="1:20" x14ac:dyDescent="0.25">
      <c r="A528" s="5">
        <v>44065</v>
      </c>
      <c r="B528">
        <v>1.1504E-2</v>
      </c>
      <c r="C528">
        <v>1.2446E-2</v>
      </c>
      <c r="D528">
        <v>1.1233E-2</v>
      </c>
      <c r="E528">
        <v>1.2302E-2</v>
      </c>
      <c r="F528">
        <v>294930277</v>
      </c>
      <c r="G528">
        <v>6.94</v>
      </c>
      <c r="L528" t="s">
        <v>7</v>
      </c>
      <c r="M528" t="s">
        <v>7</v>
      </c>
      <c r="N528" t="s">
        <v>7</v>
      </c>
      <c r="P528">
        <f t="shared" si="984"/>
        <v>0.76257213520197864</v>
      </c>
      <c r="Q528">
        <f t="shared" si="985"/>
        <v>224905611.06760103</v>
      </c>
      <c r="R528">
        <f t="shared" si="986"/>
        <v>3104119949.366147</v>
      </c>
      <c r="S528">
        <f t="shared" si="987"/>
        <v>31041.199493661472</v>
      </c>
      <c r="T528">
        <f t="shared" si="988"/>
        <v>31.041199493661473</v>
      </c>
    </row>
    <row r="529" spans="1:20" x14ac:dyDescent="0.25">
      <c r="A529" s="5">
        <v>44064</v>
      </c>
      <c r="B529">
        <v>1.2784999999999999E-2</v>
      </c>
      <c r="C529">
        <v>1.35E-2</v>
      </c>
      <c r="D529">
        <v>1.1499000000000001E-2</v>
      </c>
      <c r="E529">
        <v>1.1502E-2</v>
      </c>
      <c r="F529">
        <v>564561540</v>
      </c>
      <c r="G529">
        <v>-10.039999999999999</v>
      </c>
      <c r="L529" t="s">
        <v>8</v>
      </c>
      <c r="M529" t="s">
        <v>8</v>
      </c>
      <c r="N529" t="s">
        <v>7</v>
      </c>
      <c r="P529">
        <f t="shared" si="984"/>
        <v>-0.99700149925037529</v>
      </c>
      <c r="Q529">
        <f t="shared" si="985"/>
        <v>-562868701.79910076</v>
      </c>
      <c r="R529">
        <f t="shared" si="986"/>
        <v>2879214338.2985458</v>
      </c>
      <c r="S529">
        <f t="shared" si="987"/>
        <v>28792.143382985458</v>
      </c>
      <c r="T529">
        <f t="shared" si="988"/>
        <v>28.792143382985458</v>
      </c>
    </row>
    <row r="530" spans="1:20" x14ac:dyDescent="0.25">
      <c r="A530" s="5">
        <v>44063</v>
      </c>
      <c r="B530">
        <v>1.2123E-2</v>
      </c>
      <c r="C530">
        <v>1.315E-2</v>
      </c>
      <c r="D530">
        <v>1.1958999999999999E-2</v>
      </c>
      <c r="E530">
        <v>1.2788000000000001E-2</v>
      </c>
      <c r="F530">
        <v>330273109</v>
      </c>
      <c r="G530">
        <v>5.49</v>
      </c>
      <c r="L530" t="s">
        <v>8</v>
      </c>
      <c r="M530" t="s">
        <v>8</v>
      </c>
      <c r="N530" t="s">
        <v>7</v>
      </c>
      <c r="P530">
        <f t="shared" si="984"/>
        <v>0.39210747271200813</v>
      </c>
      <c r="Q530">
        <f t="shared" si="985"/>
        <v>129502554.07472758</v>
      </c>
      <c r="R530">
        <f t="shared" si="986"/>
        <v>3442083040.0976467</v>
      </c>
      <c r="S530">
        <f t="shared" si="987"/>
        <v>34420.830400976469</v>
      </c>
      <c r="T530">
        <f t="shared" si="988"/>
        <v>34.42083040097647</v>
      </c>
    </row>
    <row r="531" spans="1:20" x14ac:dyDescent="0.25">
      <c r="A531" s="5">
        <v>44062</v>
      </c>
      <c r="B531">
        <v>1.3531E-2</v>
      </c>
      <c r="C531">
        <v>1.4496999999999999E-2</v>
      </c>
      <c r="D531">
        <v>1.123E-2</v>
      </c>
      <c r="E531">
        <v>1.2186000000000001E-2</v>
      </c>
      <c r="F531">
        <v>718100078</v>
      </c>
      <c r="G531">
        <v>-9.94</v>
      </c>
      <c r="L531" t="s">
        <v>7</v>
      </c>
      <c r="M531" t="s">
        <v>7</v>
      </c>
      <c r="N531" t="s">
        <v>7</v>
      </c>
      <c r="P531">
        <f t="shared" si="984"/>
        <v>-0.41475359657177807</v>
      </c>
      <c r="Q531">
        <f t="shared" si="985"/>
        <v>-297834590.04897439</v>
      </c>
      <c r="R531">
        <f t="shared" si="986"/>
        <v>3312580486.0229192</v>
      </c>
      <c r="S531">
        <f t="shared" si="987"/>
        <v>33125.804860229189</v>
      </c>
      <c r="T531">
        <f t="shared" si="988"/>
        <v>33.125804860229188</v>
      </c>
    </row>
    <row r="532" spans="1:20" x14ac:dyDescent="0.25">
      <c r="A532" s="5">
        <v>44061</v>
      </c>
      <c r="B532">
        <v>1.4758E-2</v>
      </c>
      <c r="C532">
        <v>1.5601E-2</v>
      </c>
      <c r="D532">
        <v>1.2942E-2</v>
      </c>
      <c r="E532">
        <v>1.3535E-2</v>
      </c>
      <c r="F532">
        <v>446393376</v>
      </c>
      <c r="G532">
        <v>-8.2899999999999991</v>
      </c>
      <c r="L532" t="s">
        <v>7</v>
      </c>
      <c r="M532" t="s">
        <v>7</v>
      </c>
      <c r="N532" t="s">
        <v>7</v>
      </c>
      <c r="P532">
        <f t="shared" si="984"/>
        <v>-0.55396765701391515</v>
      </c>
      <c r="Q532">
        <f t="shared" si="985"/>
        <v>-247287492.60925165</v>
      </c>
      <c r="R532">
        <f t="shared" si="986"/>
        <v>3610415076.0718937</v>
      </c>
      <c r="S532">
        <f t="shared" si="987"/>
        <v>36104.150760718934</v>
      </c>
      <c r="T532">
        <f t="shared" si="988"/>
        <v>36.104150760718937</v>
      </c>
    </row>
    <row r="533" spans="1:20" x14ac:dyDescent="0.25">
      <c r="A533" s="5">
        <v>44060</v>
      </c>
      <c r="B533">
        <v>1.4094000000000001E-2</v>
      </c>
      <c r="C533">
        <v>1.5769999999999999E-2</v>
      </c>
      <c r="D533">
        <v>1.3452E-2</v>
      </c>
      <c r="E533">
        <v>1.4751E-2</v>
      </c>
      <c r="F533">
        <v>791110676</v>
      </c>
      <c r="G533">
        <v>4.66</v>
      </c>
      <c r="L533" t="s">
        <v>8</v>
      </c>
      <c r="M533" t="s">
        <v>8</v>
      </c>
      <c r="N533" t="s">
        <v>7</v>
      </c>
      <c r="P533">
        <f t="shared" si="984"/>
        <v>0.12079378774805904</v>
      </c>
      <c r="Q533">
        <f t="shared" si="985"/>
        <v>95561255.081967503</v>
      </c>
      <c r="R533">
        <f t="shared" si="986"/>
        <v>3857702568.6811452</v>
      </c>
      <c r="S533">
        <f t="shared" si="987"/>
        <v>38577.025686811452</v>
      </c>
      <c r="T533">
        <f t="shared" si="988"/>
        <v>38.577025686811453</v>
      </c>
    </row>
    <row r="534" spans="1:20" x14ac:dyDescent="0.25">
      <c r="A534" s="5">
        <v>44059</v>
      </c>
      <c r="B534">
        <v>1.2903E-2</v>
      </c>
      <c r="C534">
        <v>1.5341E-2</v>
      </c>
      <c r="D534">
        <v>1.2659999999999999E-2</v>
      </c>
      <c r="E534">
        <v>1.4094000000000001E-2</v>
      </c>
      <c r="F534">
        <v>808452731</v>
      </c>
      <c r="G534">
        <v>9.23</v>
      </c>
      <c r="L534" t="s">
        <v>8</v>
      </c>
      <c r="M534" t="s">
        <v>8</v>
      </c>
      <c r="N534" t="s">
        <v>7</v>
      </c>
      <c r="P534">
        <f t="shared" si="984"/>
        <v>6.9750093248788267E-2</v>
      </c>
      <c r="Q534">
        <f t="shared" si="985"/>
        <v>56389653.374487534</v>
      </c>
      <c r="R534">
        <f t="shared" si="986"/>
        <v>3762141313.5991778</v>
      </c>
      <c r="S534">
        <f t="shared" si="987"/>
        <v>37621.413135991781</v>
      </c>
      <c r="T534">
        <f t="shared" si="988"/>
        <v>37.62141313599178</v>
      </c>
    </row>
    <row r="535" spans="1:20" x14ac:dyDescent="0.25">
      <c r="A535" s="5">
        <v>44058</v>
      </c>
      <c r="B535">
        <v>1.3254999999999999E-2</v>
      </c>
      <c r="C535">
        <v>1.366E-2</v>
      </c>
      <c r="D535">
        <v>1.24E-2</v>
      </c>
      <c r="E535">
        <v>1.2904000000000001E-2</v>
      </c>
      <c r="F535">
        <v>469772558</v>
      </c>
      <c r="G535">
        <v>-2.65</v>
      </c>
      <c r="L535" t="s">
        <v>7</v>
      </c>
      <c r="M535" t="s">
        <v>7</v>
      </c>
      <c r="N535" t="s">
        <v>7</v>
      </c>
      <c r="P535">
        <f t="shared" si="984"/>
        <v>-0.1999999999999989</v>
      </c>
      <c r="Q535">
        <f t="shared" si="985"/>
        <v>-93954511.599999487</v>
      </c>
      <c r="R535">
        <f t="shared" si="986"/>
        <v>3705751660.2246904</v>
      </c>
      <c r="S535">
        <f t="shared" si="987"/>
        <v>37057.516602246906</v>
      </c>
      <c r="T535">
        <f t="shared" si="988"/>
        <v>37.057516602246906</v>
      </c>
    </row>
    <row r="536" spans="1:20" x14ac:dyDescent="0.25">
      <c r="A536" s="5">
        <v>44057</v>
      </c>
      <c r="B536">
        <v>1.3350000000000001E-2</v>
      </c>
      <c r="C536">
        <v>1.41E-2</v>
      </c>
      <c r="D536">
        <v>1.2692E-2</v>
      </c>
      <c r="E536">
        <v>1.3206000000000001E-2</v>
      </c>
      <c r="F536">
        <v>645112428</v>
      </c>
      <c r="G536">
        <v>-1.08</v>
      </c>
      <c r="L536" t="s">
        <v>7</v>
      </c>
      <c r="M536" t="s">
        <v>7</v>
      </c>
      <c r="N536" t="s">
        <v>7</v>
      </c>
      <c r="P536">
        <f t="shared" si="984"/>
        <v>-0.26988636363636259</v>
      </c>
      <c r="Q536">
        <f t="shared" si="985"/>
        <v>-174107047.32954478</v>
      </c>
      <c r="R536">
        <f t="shared" si="986"/>
        <v>3799706171.8246899</v>
      </c>
      <c r="S536">
        <f t="shared" si="987"/>
        <v>37997.0617182469</v>
      </c>
      <c r="T536">
        <f t="shared" si="988"/>
        <v>37.997061718246897</v>
      </c>
    </row>
    <row r="537" spans="1:20" x14ac:dyDescent="0.25">
      <c r="A537" s="5">
        <v>44056</v>
      </c>
      <c r="B537">
        <v>1.4534999999999999E-2</v>
      </c>
      <c r="C537">
        <v>1.515E-2</v>
      </c>
      <c r="D537">
        <v>1.2791E-2</v>
      </c>
      <c r="E537">
        <v>1.3350000000000001E-2</v>
      </c>
      <c r="F537">
        <v>776430328</v>
      </c>
      <c r="G537">
        <v>-8.15</v>
      </c>
      <c r="L537" t="s">
        <v>8</v>
      </c>
      <c r="M537" t="s">
        <v>8</v>
      </c>
      <c r="N537" t="s">
        <v>7</v>
      </c>
      <c r="P537">
        <f t="shared" si="984"/>
        <v>-0.52607036880033875</v>
      </c>
      <c r="Q537">
        <f t="shared" si="985"/>
        <v>-408456988.99872798</v>
      </c>
      <c r="R537">
        <f t="shared" si="986"/>
        <v>3973813219.1542349</v>
      </c>
      <c r="S537">
        <f t="shared" si="987"/>
        <v>39738.132191542347</v>
      </c>
      <c r="T537">
        <f t="shared" si="988"/>
        <v>39.738132191542348</v>
      </c>
    </row>
    <row r="538" spans="1:20" x14ac:dyDescent="0.25">
      <c r="A538" s="5">
        <v>44055</v>
      </c>
      <c r="B538">
        <v>1.3563E-2</v>
      </c>
      <c r="C538">
        <v>1.5708E-2</v>
      </c>
      <c r="D538">
        <v>1.2078999999999999E-2</v>
      </c>
      <c r="E538">
        <v>1.4546E-2</v>
      </c>
      <c r="F538">
        <v>1200110380</v>
      </c>
      <c r="G538">
        <v>7.25</v>
      </c>
      <c r="L538" t="s">
        <v>7</v>
      </c>
      <c r="M538" t="s">
        <v>7</v>
      </c>
      <c r="N538" t="s">
        <v>7</v>
      </c>
      <c r="P538">
        <f t="shared" si="984"/>
        <v>0.35960319647285766</v>
      </c>
      <c r="Q538">
        <f t="shared" si="985"/>
        <v>431563528.76825589</v>
      </c>
      <c r="R538">
        <f t="shared" si="986"/>
        <v>4382270208.1529627</v>
      </c>
      <c r="S538">
        <f t="shared" si="987"/>
        <v>43822.702081529627</v>
      </c>
      <c r="T538">
        <f t="shared" si="988"/>
        <v>43.822702081529627</v>
      </c>
    </row>
    <row r="539" spans="1:20" x14ac:dyDescent="0.25">
      <c r="A539" s="5">
        <v>44054</v>
      </c>
      <c r="B539">
        <v>1.6487999999999999E-2</v>
      </c>
      <c r="C539">
        <v>1.6678999999999999E-2</v>
      </c>
      <c r="D539">
        <v>1.2766E-2</v>
      </c>
      <c r="E539">
        <v>1.3542E-2</v>
      </c>
      <c r="F539">
        <v>1662951557</v>
      </c>
      <c r="G539">
        <v>-17.87</v>
      </c>
      <c r="L539" t="s">
        <v>7</v>
      </c>
      <c r="M539" t="s">
        <v>7</v>
      </c>
      <c r="N539" t="s">
        <v>7</v>
      </c>
      <c r="P539">
        <f t="shared" si="984"/>
        <v>-0.6033733708152309</v>
      </c>
      <c r="Q539">
        <f t="shared" si="985"/>
        <v>-1003380686.4495265</v>
      </c>
      <c r="R539">
        <f t="shared" si="986"/>
        <v>3950706679.3847065</v>
      </c>
      <c r="S539">
        <f t="shared" si="987"/>
        <v>39507.066793847065</v>
      </c>
      <c r="T539">
        <f t="shared" si="988"/>
        <v>39.507066793847066</v>
      </c>
    </row>
    <row r="540" spans="1:20" x14ac:dyDescent="0.25">
      <c r="A540" s="5">
        <v>44053</v>
      </c>
      <c r="B540">
        <v>1.319E-2</v>
      </c>
      <c r="C540">
        <v>1.8634999999999999E-2</v>
      </c>
      <c r="D540">
        <v>1.1391E-2</v>
      </c>
      <c r="E540">
        <v>1.6500000000000001E-2</v>
      </c>
      <c r="F540">
        <v>3247794362.3000002</v>
      </c>
      <c r="G540">
        <v>25.09</v>
      </c>
      <c r="L540" t="s">
        <v>8</v>
      </c>
      <c r="M540" t="s">
        <v>8</v>
      </c>
      <c r="N540" t="s">
        <v>8</v>
      </c>
      <c r="P540">
        <f t="shared" si="984"/>
        <v>0.41054665930425221</v>
      </c>
      <c r="Q540">
        <f t="shared" si="985"/>
        <v>1333371125.5494492</v>
      </c>
      <c r="R540">
        <f t="shared" si="986"/>
        <v>4954087365.8342333</v>
      </c>
      <c r="S540">
        <f t="shared" si="987"/>
        <v>49540.873658342331</v>
      </c>
      <c r="T540">
        <f t="shared" si="988"/>
        <v>49.540873658342328</v>
      </c>
    </row>
    <row r="541" spans="1:20" x14ac:dyDescent="0.25">
      <c r="A541" s="5">
        <v>44052</v>
      </c>
      <c r="B541">
        <v>9.5239999999999995E-3</v>
      </c>
      <c r="C541">
        <v>1.3986999999999999E-2</v>
      </c>
      <c r="D541">
        <v>9.0659999999999994E-3</v>
      </c>
      <c r="E541">
        <v>1.3198E-2</v>
      </c>
      <c r="F541">
        <v>1273963007.0999999</v>
      </c>
      <c r="G541">
        <v>38.58</v>
      </c>
      <c r="L541" t="s">
        <v>8</v>
      </c>
      <c r="M541" t="s">
        <v>8</v>
      </c>
      <c r="N541" t="s">
        <v>8</v>
      </c>
      <c r="P541">
        <f t="shared" si="984"/>
        <v>0.67933346880715306</v>
      </c>
      <c r="Q541">
        <f t="shared" si="985"/>
        <v>865445708.74523473</v>
      </c>
      <c r="R541">
        <f t="shared" si="986"/>
        <v>3620716240.2847843</v>
      </c>
      <c r="S541">
        <f t="shared" si="987"/>
        <v>36207.16240284784</v>
      </c>
      <c r="T541">
        <f t="shared" si="988"/>
        <v>36.207162402847842</v>
      </c>
    </row>
    <row r="542" spans="1:20" x14ac:dyDescent="0.25">
      <c r="A542" s="5">
        <v>44051</v>
      </c>
      <c r="B542">
        <v>8.1139999999999997E-3</v>
      </c>
      <c r="C542">
        <v>9.8499999999999994E-3</v>
      </c>
      <c r="D542">
        <v>8.0940000000000005E-3</v>
      </c>
      <c r="E542">
        <v>9.5029999999999993E-3</v>
      </c>
      <c r="F542">
        <v>872765050.5</v>
      </c>
      <c r="G542">
        <v>17.12</v>
      </c>
      <c r="L542" t="s">
        <v>8</v>
      </c>
      <c r="M542" t="s">
        <v>8</v>
      </c>
      <c r="N542" t="s">
        <v>8</v>
      </c>
      <c r="P542">
        <f t="shared" si="984"/>
        <v>0.60478359908883794</v>
      </c>
      <c r="Q542">
        <f t="shared" si="985"/>
        <v>527833988.40034139</v>
      </c>
      <c r="R542">
        <f t="shared" si="986"/>
        <v>2755270531.5395498</v>
      </c>
      <c r="S542">
        <f t="shared" si="987"/>
        <v>27552.705315395498</v>
      </c>
      <c r="T542">
        <f t="shared" si="988"/>
        <v>27.552705315395499</v>
      </c>
    </row>
    <row r="543" spans="1:20" x14ac:dyDescent="0.25">
      <c r="A543" s="5">
        <v>44050</v>
      </c>
      <c r="B543">
        <v>7.9410000000000001E-3</v>
      </c>
      <c r="C543">
        <v>8.3899999999999999E-3</v>
      </c>
      <c r="D543">
        <v>7.0159999999999997E-3</v>
      </c>
      <c r="E543">
        <v>8.1180000000000002E-3</v>
      </c>
      <c r="F543">
        <v>609071248</v>
      </c>
      <c r="G543">
        <v>2.23</v>
      </c>
      <c r="L543" t="s">
        <v>8</v>
      </c>
      <c r="M543" t="s">
        <v>8</v>
      </c>
      <c r="N543" t="s">
        <v>8</v>
      </c>
      <c r="P543">
        <f t="shared" si="984"/>
        <v>0.60407569141193651</v>
      </c>
      <c r="Q543">
        <f t="shared" si="985"/>
        <v>367925135.25473106</v>
      </c>
      <c r="R543">
        <f t="shared" si="986"/>
        <v>2227436543.1392083</v>
      </c>
      <c r="S543">
        <f t="shared" si="987"/>
        <v>22274.365431392082</v>
      </c>
      <c r="T543">
        <f t="shared" si="988"/>
        <v>22.274365431392081</v>
      </c>
    </row>
    <row r="544" spans="1:20" x14ac:dyDescent="0.25">
      <c r="A544" s="5">
        <v>44049</v>
      </c>
      <c r="B544">
        <v>6.6010000000000001E-3</v>
      </c>
      <c r="C544">
        <v>8.0420000000000005E-3</v>
      </c>
      <c r="D544">
        <v>6.5380000000000004E-3</v>
      </c>
      <c r="E544">
        <v>7.9880000000000003E-3</v>
      </c>
      <c r="F544">
        <v>1159980236</v>
      </c>
      <c r="G544">
        <v>21.01</v>
      </c>
      <c r="L544" t="s">
        <v>8</v>
      </c>
      <c r="M544" t="s">
        <v>8</v>
      </c>
      <c r="N544" t="s">
        <v>8</v>
      </c>
      <c r="P544">
        <f t="shared" si="984"/>
        <v>0.92819148936170182</v>
      </c>
      <c r="Q544">
        <f t="shared" si="985"/>
        <v>1076683782.8829784</v>
      </c>
      <c r="R544">
        <f t="shared" si="986"/>
        <v>1859511407.8844774</v>
      </c>
      <c r="S544">
        <f t="shared" si="987"/>
        <v>18595.114078844774</v>
      </c>
      <c r="T544">
        <f t="shared" si="988"/>
        <v>18.595114078844773</v>
      </c>
    </row>
    <row r="545" spans="1:20" x14ac:dyDescent="0.25">
      <c r="A545" s="5">
        <v>44048</v>
      </c>
      <c r="B545">
        <v>5.7829999999999999E-3</v>
      </c>
      <c r="C545">
        <v>6.6829999999999997E-3</v>
      </c>
      <c r="D545">
        <v>5.7000000000000002E-3</v>
      </c>
      <c r="E545">
        <v>6.6270000000000001E-3</v>
      </c>
      <c r="F545">
        <v>496110364</v>
      </c>
      <c r="G545">
        <v>14.59</v>
      </c>
      <c r="L545" t="s">
        <v>8</v>
      </c>
      <c r="M545" t="s">
        <v>8</v>
      </c>
      <c r="N545" t="s">
        <v>7</v>
      </c>
      <c r="P545">
        <f t="shared" si="984"/>
        <v>0.8860630722278745</v>
      </c>
      <c r="Q545">
        <f t="shared" si="985"/>
        <v>439585073.28992909</v>
      </c>
      <c r="R545">
        <f t="shared" si="986"/>
        <v>782827625.00149894</v>
      </c>
      <c r="S545">
        <f t="shared" si="987"/>
        <v>7828.2762500149893</v>
      </c>
      <c r="T545">
        <f t="shared" si="988"/>
        <v>7.8282762500149889</v>
      </c>
    </row>
    <row r="546" spans="1:20" x14ac:dyDescent="0.25">
      <c r="A546" s="5">
        <v>44047</v>
      </c>
      <c r="B546">
        <v>5.8520000000000004E-3</v>
      </c>
      <c r="C546">
        <v>6.0759999999999998E-3</v>
      </c>
      <c r="D546">
        <v>5.6350000000000003E-3</v>
      </c>
      <c r="E546">
        <v>5.7829999999999999E-3</v>
      </c>
      <c r="F546">
        <v>301802191</v>
      </c>
      <c r="G546">
        <v>-1.18</v>
      </c>
      <c r="L546" t="s">
        <v>7</v>
      </c>
      <c r="M546" t="s">
        <v>8</v>
      </c>
      <c r="N546" t="s">
        <v>7</v>
      </c>
      <c r="P546">
        <f t="shared" si="984"/>
        <v>-0.32879818594104376</v>
      </c>
      <c r="Q546">
        <f t="shared" si="985"/>
        <v>-99232012.913832411</v>
      </c>
      <c r="R546">
        <f t="shared" si="986"/>
        <v>343242551.71156991</v>
      </c>
      <c r="S546">
        <f t="shared" si="987"/>
        <v>3432.4255171156992</v>
      </c>
      <c r="T546">
        <f t="shared" si="988"/>
        <v>3.4324255171156994</v>
      </c>
    </row>
    <row r="547" spans="1:20" x14ac:dyDescent="0.25">
      <c r="A547" s="5">
        <v>44046</v>
      </c>
      <c r="B547">
        <v>5.2350000000000001E-3</v>
      </c>
      <c r="C547">
        <v>6.3109999999999998E-3</v>
      </c>
      <c r="D547">
        <v>5.1999999999999998E-3</v>
      </c>
      <c r="E547">
        <v>5.8589999999999996E-3</v>
      </c>
      <c r="F547">
        <v>647924746</v>
      </c>
      <c r="G547">
        <v>11.92</v>
      </c>
      <c r="L547" t="s">
        <v>8</v>
      </c>
      <c r="M547" t="s">
        <v>8</v>
      </c>
      <c r="N547" t="s">
        <v>7</v>
      </c>
      <c r="P547">
        <f t="shared" si="984"/>
        <v>0.18631863186318606</v>
      </c>
      <c r="Q547">
        <f t="shared" si="985"/>
        <v>120720452.22502233</v>
      </c>
      <c r="R547">
        <f t="shared" si="986"/>
        <v>442474564.62540233</v>
      </c>
      <c r="S547">
        <f t="shared" si="987"/>
        <v>4424.7456462540231</v>
      </c>
      <c r="T547">
        <f t="shared" si="988"/>
        <v>4.4247456462540233</v>
      </c>
    </row>
    <row r="548" spans="1:20" x14ac:dyDescent="0.25">
      <c r="A548" s="5">
        <v>44045</v>
      </c>
      <c r="B548">
        <v>5.5279999999999999E-3</v>
      </c>
      <c r="C548">
        <v>5.5339999999999999E-3</v>
      </c>
      <c r="D548">
        <v>4.862E-3</v>
      </c>
      <c r="E548">
        <v>5.2350000000000001E-3</v>
      </c>
      <c r="F548">
        <v>300541359</v>
      </c>
      <c r="G548">
        <v>-5.3</v>
      </c>
      <c r="L548" t="s">
        <v>7</v>
      </c>
      <c r="M548" t="s">
        <v>7</v>
      </c>
      <c r="N548" t="s">
        <v>7</v>
      </c>
      <c r="P548">
        <f t="shared" si="984"/>
        <v>0.11011904761904806</v>
      </c>
      <c r="Q548">
        <f t="shared" si="985"/>
        <v>33095328.223214418</v>
      </c>
      <c r="R548">
        <f t="shared" si="986"/>
        <v>321754112.40038002</v>
      </c>
      <c r="S548">
        <f t="shared" si="987"/>
        <v>3217.5411240038002</v>
      </c>
      <c r="T548">
        <f t="shared" si="988"/>
        <v>3.2175411240038003</v>
      </c>
    </row>
    <row r="549" spans="1:20" x14ac:dyDescent="0.25">
      <c r="A549" s="5">
        <v>44044</v>
      </c>
      <c r="B549">
        <v>5.8079999999999998E-3</v>
      </c>
      <c r="C549">
        <v>5.8770000000000003E-3</v>
      </c>
      <c r="D549">
        <v>5.4260000000000003E-3</v>
      </c>
      <c r="E549">
        <v>5.5290000000000001E-3</v>
      </c>
      <c r="F549">
        <v>247318260</v>
      </c>
      <c r="G549">
        <v>-4.8</v>
      </c>
      <c r="L549" t="s">
        <v>7</v>
      </c>
      <c r="M549" t="s">
        <v>7</v>
      </c>
      <c r="N549" t="s">
        <v>7</v>
      </c>
      <c r="P549">
        <f t="shared" si="984"/>
        <v>-0.5432372505543247</v>
      </c>
      <c r="Q549">
        <f t="shared" si="985"/>
        <v>-134352491.57427961</v>
      </c>
      <c r="R549">
        <f t="shared" si="986"/>
        <v>288658784.17716563</v>
      </c>
      <c r="S549">
        <f t="shared" si="987"/>
        <v>2886.5878417716563</v>
      </c>
      <c r="T549">
        <f t="shared" si="988"/>
        <v>2.8865878417716564</v>
      </c>
    </row>
    <row r="550" spans="1:20" x14ac:dyDescent="0.25">
      <c r="A550" s="5">
        <v>44043</v>
      </c>
      <c r="B550">
        <v>5.8259999999999996E-3</v>
      </c>
      <c r="C550">
        <v>6.1630000000000001E-3</v>
      </c>
      <c r="D550">
        <v>5.6800000000000002E-3</v>
      </c>
      <c r="E550">
        <v>5.8520000000000004E-3</v>
      </c>
      <c r="F550">
        <v>259478949</v>
      </c>
      <c r="G550">
        <v>0.45</v>
      </c>
      <c r="L550" t="s">
        <v>7</v>
      </c>
      <c r="M550" t="s">
        <v>7</v>
      </c>
      <c r="N550" t="s">
        <v>7</v>
      </c>
      <c r="P550">
        <f t="shared" si="984"/>
        <v>-0.28778467908902566</v>
      </c>
      <c r="Q550">
        <f t="shared" si="985"/>
        <v>-74674066.068322659</v>
      </c>
      <c r="R550">
        <f t="shared" si="986"/>
        <v>423011275.75144523</v>
      </c>
      <c r="S550">
        <f t="shared" si="987"/>
        <v>4230.1127575144519</v>
      </c>
      <c r="T550">
        <f t="shared" si="988"/>
        <v>4.2301127575144521</v>
      </c>
    </row>
    <row r="551" spans="1:20" x14ac:dyDescent="0.25">
      <c r="A551" s="5">
        <v>44042</v>
      </c>
      <c r="B551">
        <v>6.084E-3</v>
      </c>
      <c r="C551">
        <v>6.0990000000000003E-3</v>
      </c>
      <c r="D551">
        <v>5.7689999999999998E-3</v>
      </c>
      <c r="E551">
        <v>5.862E-3</v>
      </c>
      <c r="F551">
        <v>141935186</v>
      </c>
      <c r="G551">
        <v>-3.65</v>
      </c>
      <c r="L551" t="s">
        <v>7</v>
      </c>
      <c r="M551" t="s">
        <v>7</v>
      </c>
      <c r="N551" t="s">
        <v>7</v>
      </c>
      <c r="P551">
        <f t="shared" si="984"/>
        <v>-0.4363636363636359</v>
      </c>
      <c r="Q551">
        <f t="shared" si="985"/>
        <v>-61935353.890909024</v>
      </c>
      <c r="R551">
        <f t="shared" si="986"/>
        <v>497685341.81976789</v>
      </c>
      <c r="S551">
        <f t="shared" si="987"/>
        <v>4976.8534181976793</v>
      </c>
      <c r="T551">
        <f t="shared" si="988"/>
        <v>4.9768534181976793</v>
      </c>
    </row>
    <row r="552" spans="1:20" x14ac:dyDescent="0.25">
      <c r="A552" s="5">
        <v>44041</v>
      </c>
      <c r="B552">
        <v>6.0020000000000004E-3</v>
      </c>
      <c r="C552">
        <v>6.3E-3</v>
      </c>
      <c r="D552">
        <v>5.8139999999999997E-3</v>
      </c>
      <c r="E552">
        <v>6.0860000000000003E-3</v>
      </c>
      <c r="F552">
        <v>297892144</v>
      </c>
      <c r="G552">
        <v>1.4</v>
      </c>
      <c r="L552" t="s">
        <v>8</v>
      </c>
      <c r="M552" t="s">
        <v>7</v>
      </c>
      <c r="N552" t="s">
        <v>7</v>
      </c>
      <c r="P552">
        <f t="shared" si="984"/>
        <v>0.11934156378600971</v>
      </c>
      <c r="Q552">
        <f t="shared" si="985"/>
        <v>35550914.304527193</v>
      </c>
      <c r="R552">
        <f t="shared" si="986"/>
        <v>559620695.71067691</v>
      </c>
      <c r="S552">
        <f t="shared" si="987"/>
        <v>5596.2069571067686</v>
      </c>
      <c r="T552">
        <f t="shared" si="988"/>
        <v>5.5962069571067685</v>
      </c>
    </row>
    <row r="553" spans="1:20" x14ac:dyDescent="0.25">
      <c r="A553" s="5">
        <v>44040</v>
      </c>
      <c r="B553">
        <v>5.7869999999999996E-3</v>
      </c>
      <c r="C553">
        <v>6.1000000000000004E-3</v>
      </c>
      <c r="D553">
        <v>5.483E-3</v>
      </c>
      <c r="E553">
        <v>6.0020000000000004E-3</v>
      </c>
      <c r="F553">
        <v>342984989</v>
      </c>
      <c r="G553">
        <v>3.72</v>
      </c>
      <c r="L553" t="s">
        <v>8</v>
      </c>
      <c r="M553" t="s">
        <v>7</v>
      </c>
      <c r="N553" t="s">
        <v>7</v>
      </c>
      <c r="P553">
        <f t="shared" si="984"/>
        <v>0.68233387358184783</v>
      </c>
      <c r="Q553">
        <f t="shared" si="985"/>
        <v>234030276.12479746</v>
      </c>
      <c r="R553">
        <f t="shared" si="986"/>
        <v>524069781.40614974</v>
      </c>
      <c r="S553">
        <f t="shared" si="987"/>
        <v>5240.6978140614974</v>
      </c>
      <c r="T553">
        <f t="shared" si="988"/>
        <v>5.2406978140614973</v>
      </c>
    </row>
    <row r="554" spans="1:20" x14ac:dyDescent="0.25">
      <c r="A554" s="5">
        <v>44039</v>
      </c>
      <c r="B554">
        <v>6.391E-3</v>
      </c>
      <c r="C554">
        <v>6.4999999999999997E-3</v>
      </c>
      <c r="D554">
        <v>5.4079999999999996E-3</v>
      </c>
      <c r="E554">
        <v>5.7959999999999999E-3</v>
      </c>
      <c r="F554">
        <v>539255331</v>
      </c>
      <c r="G554">
        <v>-9.31</v>
      </c>
      <c r="L554" t="s">
        <v>7</v>
      </c>
      <c r="M554" t="s">
        <v>7</v>
      </c>
      <c r="N554" t="s">
        <v>7</v>
      </c>
      <c r="P554">
        <f t="shared" si="984"/>
        <v>-0.28937728937728885</v>
      </c>
      <c r="Q554">
        <f t="shared" si="985"/>
        <v>-156048245.96703267</v>
      </c>
      <c r="R554">
        <f t="shared" si="986"/>
        <v>290039505.28135228</v>
      </c>
      <c r="S554">
        <f t="shared" si="987"/>
        <v>2900.3950528135229</v>
      </c>
      <c r="T554">
        <f t="shared" si="988"/>
        <v>2.9003950528135229</v>
      </c>
    </row>
    <row r="555" spans="1:20" x14ac:dyDescent="0.25">
      <c r="A555" s="5">
        <v>44038</v>
      </c>
      <c r="B555">
        <v>6.5719999999999997E-3</v>
      </c>
      <c r="C555">
        <v>6.6730000000000001E-3</v>
      </c>
      <c r="D555">
        <v>5.9249999999999997E-3</v>
      </c>
      <c r="E555">
        <v>6.3889999999999997E-3</v>
      </c>
      <c r="F555">
        <v>480613329</v>
      </c>
      <c r="G555">
        <v>-2.78</v>
      </c>
      <c r="L555" t="s">
        <v>7</v>
      </c>
      <c r="M555" t="s">
        <v>7</v>
      </c>
      <c r="N555" t="s">
        <v>8</v>
      </c>
      <c r="P555">
        <f t="shared" si="984"/>
        <v>0.24064171122994588</v>
      </c>
      <c r="Q555">
        <f t="shared" si="985"/>
        <v>115655613.93048097</v>
      </c>
      <c r="R555">
        <f t="shared" si="986"/>
        <v>446087751.24838495</v>
      </c>
      <c r="S555">
        <f t="shared" si="987"/>
        <v>4460.8775124838494</v>
      </c>
      <c r="T555">
        <f t="shared" si="988"/>
        <v>4.4608775124838491</v>
      </c>
    </row>
    <row r="556" spans="1:20" x14ac:dyDescent="0.25">
      <c r="A556" s="5">
        <v>44037</v>
      </c>
      <c r="B556">
        <v>6.5440000000000003E-3</v>
      </c>
      <c r="C556">
        <v>7.071E-3</v>
      </c>
      <c r="D556">
        <v>6.4279999999999997E-3</v>
      </c>
      <c r="E556">
        <v>6.5950000000000002E-3</v>
      </c>
      <c r="F556">
        <v>310816723</v>
      </c>
      <c r="G556">
        <v>0.78</v>
      </c>
      <c r="L556" t="s">
        <v>8</v>
      </c>
      <c r="M556" t="s">
        <v>7</v>
      </c>
      <c r="N556" t="s">
        <v>8</v>
      </c>
      <c r="P556">
        <f t="shared" si="984"/>
        <v>-0.48055987558320251</v>
      </c>
      <c r="Q556">
        <f t="shared" si="985"/>
        <v>-149366045.73405871</v>
      </c>
      <c r="R556">
        <f t="shared" si="986"/>
        <v>330432137.317904</v>
      </c>
      <c r="S556">
        <f t="shared" si="987"/>
        <v>3304.3213731790402</v>
      </c>
      <c r="T556">
        <f t="shared" si="988"/>
        <v>3.30432137317904</v>
      </c>
    </row>
    <row r="557" spans="1:20" x14ac:dyDescent="0.25">
      <c r="A557" s="5">
        <v>44036</v>
      </c>
      <c r="B557">
        <v>7.3810000000000004E-3</v>
      </c>
      <c r="C557">
        <v>7.5189999999999996E-3</v>
      </c>
      <c r="D557">
        <v>6.3E-3</v>
      </c>
      <c r="E557">
        <v>6.5440000000000003E-3</v>
      </c>
      <c r="F557">
        <v>607835847</v>
      </c>
      <c r="G557">
        <v>-11.34</v>
      </c>
      <c r="L557" t="s">
        <v>7</v>
      </c>
      <c r="M557" t="s">
        <v>7</v>
      </c>
      <c r="N557" t="s">
        <v>8</v>
      </c>
      <c r="P557">
        <f t="shared" si="984"/>
        <v>-0.59967186218211588</v>
      </c>
      <c r="Q557">
        <f t="shared" si="985"/>
        <v>-364502054.27153367</v>
      </c>
      <c r="R557">
        <f t="shared" si="986"/>
        <v>479798183.05196267</v>
      </c>
      <c r="S557">
        <f t="shared" si="987"/>
        <v>4797.9818305196268</v>
      </c>
      <c r="T557">
        <f t="shared" si="988"/>
        <v>4.7979818305196265</v>
      </c>
    </row>
    <row r="558" spans="1:20" x14ac:dyDescent="0.25">
      <c r="A558" s="5">
        <v>44035</v>
      </c>
      <c r="B558">
        <v>7.5900000000000004E-3</v>
      </c>
      <c r="C558">
        <v>7.7949999999999998E-3</v>
      </c>
      <c r="D558">
        <v>7.1159999999999999E-3</v>
      </c>
      <c r="E558">
        <v>7.3810000000000004E-3</v>
      </c>
      <c r="F558">
        <v>460471730</v>
      </c>
      <c r="G558">
        <v>-2.75</v>
      </c>
      <c r="L558" t="s">
        <v>7</v>
      </c>
      <c r="M558" t="s">
        <v>8</v>
      </c>
      <c r="N558" t="s">
        <v>8</v>
      </c>
      <c r="P558">
        <f t="shared" si="984"/>
        <v>-0.21944035346097052</v>
      </c>
      <c r="Q558">
        <f t="shared" si="985"/>
        <v>-101046079.18998457</v>
      </c>
      <c r="R558">
        <f t="shared" si="986"/>
        <v>844300237.32349634</v>
      </c>
      <c r="S558">
        <f t="shared" si="987"/>
        <v>8443.0023732349637</v>
      </c>
      <c r="T558">
        <f t="shared" si="988"/>
        <v>8.4430023732349628</v>
      </c>
    </row>
    <row r="559" spans="1:20" x14ac:dyDescent="0.25">
      <c r="A559" s="5">
        <v>44034</v>
      </c>
      <c r="B559">
        <v>6.4599999999999996E-3</v>
      </c>
      <c r="C559">
        <v>7.92E-3</v>
      </c>
      <c r="D559">
        <v>6.4510000000000001E-3</v>
      </c>
      <c r="E559">
        <v>7.5900000000000004E-3</v>
      </c>
      <c r="F559">
        <v>1074150063.7</v>
      </c>
      <c r="G559">
        <v>17.489999999999998</v>
      </c>
      <c r="L559" t="s">
        <v>8</v>
      </c>
      <c r="M559" t="s">
        <v>8</v>
      </c>
      <c r="N559" t="s">
        <v>8</v>
      </c>
      <c r="P559">
        <f t="shared" si="984"/>
        <v>0.55071477195371055</v>
      </c>
      <c r="Q559">
        <f t="shared" si="985"/>
        <v>591550307.37460923</v>
      </c>
      <c r="R559">
        <f t="shared" si="986"/>
        <v>945346316.5134809</v>
      </c>
      <c r="S559">
        <f t="shared" si="987"/>
        <v>9453.4631651348082</v>
      </c>
      <c r="T559">
        <f t="shared" si="988"/>
        <v>9.4534631651348082</v>
      </c>
    </row>
    <row r="560" spans="1:20" x14ac:dyDescent="0.25">
      <c r="A560" s="5">
        <v>44033</v>
      </c>
      <c r="B560">
        <v>6.4349999999999997E-3</v>
      </c>
      <c r="C560">
        <v>6.9560000000000004E-3</v>
      </c>
      <c r="D560">
        <v>6.2399999999999999E-3</v>
      </c>
      <c r="E560">
        <v>6.4689999999999999E-3</v>
      </c>
      <c r="F560">
        <v>328599229</v>
      </c>
      <c r="G560">
        <v>0.53</v>
      </c>
      <c r="L560" t="s">
        <v>8</v>
      </c>
      <c r="M560" t="s">
        <v>8</v>
      </c>
      <c r="N560" t="s">
        <v>8</v>
      </c>
      <c r="P560">
        <f t="shared" si="984"/>
        <v>-0.36033519553072657</v>
      </c>
      <c r="Q560">
        <f t="shared" si="985"/>
        <v>-118405867.432961</v>
      </c>
      <c r="R560">
        <f t="shared" si="986"/>
        <v>353796009.13887161</v>
      </c>
      <c r="S560">
        <f t="shared" si="987"/>
        <v>3537.9600913887161</v>
      </c>
      <c r="T560">
        <f t="shared" si="988"/>
        <v>3.5379600913887161</v>
      </c>
    </row>
    <row r="561" spans="1:104" x14ac:dyDescent="0.25">
      <c r="A561" s="5">
        <v>44032</v>
      </c>
      <c r="B561">
        <v>6.1260000000000004E-3</v>
      </c>
      <c r="C561">
        <v>6.9899999999999997E-3</v>
      </c>
      <c r="D561">
        <v>5.9030000000000003E-3</v>
      </c>
      <c r="E561">
        <v>6.4349999999999997E-3</v>
      </c>
      <c r="F561">
        <v>633952268</v>
      </c>
      <c r="G561">
        <v>5.04</v>
      </c>
      <c r="L561" t="s">
        <v>7</v>
      </c>
      <c r="M561" t="s">
        <v>8</v>
      </c>
      <c r="N561" t="s">
        <v>8</v>
      </c>
      <c r="P561">
        <f t="shared" si="984"/>
        <v>-2.1159153633855073E-2</v>
      </c>
      <c r="Q561">
        <f t="shared" si="985"/>
        <v>-13413893.435142865</v>
      </c>
      <c r="R561">
        <f t="shared" si="986"/>
        <v>472201876.5718326</v>
      </c>
      <c r="S561">
        <f t="shared" si="987"/>
        <v>4722.018765718326</v>
      </c>
      <c r="T561">
        <f t="shared" si="988"/>
        <v>4.7220187657183263</v>
      </c>
      <c r="CZ561" t="s">
        <v>7</v>
      </c>
    </row>
    <row r="562" spans="1:104" x14ac:dyDescent="0.25">
      <c r="A562" s="5">
        <v>44031</v>
      </c>
      <c r="B562">
        <v>6.496E-3</v>
      </c>
      <c r="C562">
        <v>6.633E-3</v>
      </c>
      <c r="D562">
        <v>6.0010000000000003E-3</v>
      </c>
      <c r="E562">
        <v>6.123E-3</v>
      </c>
      <c r="F562">
        <v>303086792</v>
      </c>
      <c r="G562">
        <v>-5.74</v>
      </c>
      <c r="L562" t="s">
        <v>7</v>
      </c>
      <c r="M562" t="s">
        <v>8</v>
      </c>
      <c r="N562" t="s">
        <v>8</v>
      </c>
      <c r="P562">
        <f t="shared" si="984"/>
        <v>-0.61392405063291211</v>
      </c>
      <c r="Q562">
        <f t="shared" si="985"/>
        <v>-186072271.03797489</v>
      </c>
      <c r="R562">
        <f t="shared" si="986"/>
        <v>485615770.00697547</v>
      </c>
      <c r="S562">
        <f t="shared" si="987"/>
        <v>4856.1577000697544</v>
      </c>
      <c r="T562">
        <f t="shared" si="988"/>
        <v>4.8561577000697547</v>
      </c>
      <c r="CZ562" t="s">
        <v>7</v>
      </c>
    </row>
    <row r="563" spans="1:104" x14ac:dyDescent="0.25">
      <c r="A563" s="5">
        <v>44030</v>
      </c>
      <c r="B563">
        <v>5.7980000000000002E-3</v>
      </c>
      <c r="C563">
        <v>6.79E-3</v>
      </c>
      <c r="D563">
        <v>5.5799999999999999E-3</v>
      </c>
      <c r="E563">
        <v>6.4970000000000002E-3</v>
      </c>
      <c r="F563">
        <v>638328283</v>
      </c>
      <c r="G563">
        <v>12.06</v>
      </c>
      <c r="L563" t="s">
        <v>8</v>
      </c>
      <c r="M563" t="s">
        <v>7</v>
      </c>
      <c r="N563" t="s">
        <v>8</v>
      </c>
      <c r="P563">
        <f t="shared" si="984"/>
        <v>0.51570247933884328</v>
      </c>
      <c r="Q563">
        <f t="shared" si="985"/>
        <v>329187478.17520678</v>
      </c>
      <c r="R563">
        <f t="shared" si="986"/>
        <v>671688041.04495037</v>
      </c>
      <c r="S563">
        <f t="shared" si="987"/>
        <v>6716.8804104495039</v>
      </c>
      <c r="T563">
        <f t="shared" si="988"/>
        <v>6.7168804104495035</v>
      </c>
      <c r="CZ563" t="s">
        <v>7</v>
      </c>
    </row>
    <row r="564" spans="1:104" x14ac:dyDescent="0.25">
      <c r="A564" s="5">
        <v>44029</v>
      </c>
      <c r="B564">
        <v>5.8640000000000003E-3</v>
      </c>
      <c r="C564">
        <v>6.3200000000000001E-3</v>
      </c>
      <c r="D564">
        <v>5.7400000000000003E-3</v>
      </c>
      <c r="E564">
        <v>5.7970000000000001E-3</v>
      </c>
      <c r="F564">
        <v>556313988</v>
      </c>
      <c r="G564">
        <v>-1.1399999999999999</v>
      </c>
      <c r="L564" t="s">
        <v>8</v>
      </c>
      <c r="M564" t="s">
        <v>7</v>
      </c>
      <c r="N564" t="s">
        <v>8</v>
      </c>
      <c r="P564">
        <f t="shared" si="984"/>
        <v>-0.80344827586206968</v>
      </c>
      <c r="Q564">
        <f t="shared" si="985"/>
        <v>-446969514.49655211</v>
      </c>
      <c r="R564">
        <f t="shared" si="986"/>
        <v>342500562.86974359</v>
      </c>
      <c r="S564">
        <f t="shared" si="987"/>
        <v>3425.0056286974359</v>
      </c>
      <c r="T564">
        <f t="shared" si="988"/>
        <v>3.425005628697436</v>
      </c>
    </row>
    <row r="565" spans="1:104" x14ac:dyDescent="0.25">
      <c r="A565" s="5">
        <v>44028</v>
      </c>
      <c r="B565">
        <v>6.8929999999999998E-3</v>
      </c>
      <c r="C565">
        <v>7.0000000000000001E-3</v>
      </c>
      <c r="D565">
        <v>5.7530000000000003E-3</v>
      </c>
      <c r="E565">
        <v>5.8630000000000002E-3</v>
      </c>
      <c r="F565">
        <v>862942683</v>
      </c>
      <c r="G565">
        <v>-14.94</v>
      </c>
      <c r="L565" t="s">
        <v>7</v>
      </c>
      <c r="M565" t="s">
        <v>7</v>
      </c>
      <c r="N565" t="s">
        <v>8</v>
      </c>
      <c r="P565">
        <f t="shared" si="984"/>
        <v>-0.82357658380112286</v>
      </c>
      <c r="Q565">
        <f t="shared" si="985"/>
        <v>-710699386.88131535</v>
      </c>
      <c r="R565">
        <f t="shared" si="986"/>
        <v>789470077.3662957</v>
      </c>
      <c r="S565">
        <f t="shared" si="987"/>
        <v>7894.7007736629566</v>
      </c>
      <c r="T565">
        <f t="shared" si="988"/>
        <v>7.8947007736629562</v>
      </c>
    </row>
    <row r="566" spans="1:104" x14ac:dyDescent="0.25">
      <c r="A566" s="5">
        <v>44027</v>
      </c>
      <c r="B566">
        <v>6.4700000000000001E-3</v>
      </c>
      <c r="C566">
        <v>7.3000000000000001E-3</v>
      </c>
      <c r="D566">
        <v>5.7359999999999998E-3</v>
      </c>
      <c r="E566">
        <v>6.8929999999999998E-3</v>
      </c>
      <c r="F566">
        <v>1426192593.4000001</v>
      </c>
      <c r="G566">
        <v>6.54</v>
      </c>
      <c r="L566" t="s">
        <v>8</v>
      </c>
      <c r="M566" t="s">
        <v>8</v>
      </c>
      <c r="N566" t="s">
        <v>8</v>
      </c>
      <c r="P566">
        <f t="shared" si="984"/>
        <v>0.47953964194373377</v>
      </c>
      <c r="Q566">
        <f t="shared" si="985"/>
        <v>683915885.58184111</v>
      </c>
      <c r="R566">
        <f t="shared" si="986"/>
        <v>1500169464.247611</v>
      </c>
      <c r="S566">
        <f t="shared" si="987"/>
        <v>15001.69464247611</v>
      </c>
      <c r="T566">
        <f t="shared" si="988"/>
        <v>15.00169464247611</v>
      </c>
    </row>
    <row r="567" spans="1:104" x14ac:dyDescent="0.25">
      <c r="A567" s="5">
        <v>44026</v>
      </c>
      <c r="B567">
        <v>5.0340000000000003E-3</v>
      </c>
      <c r="C567">
        <v>6.7330000000000003E-3</v>
      </c>
      <c r="D567">
        <v>4.9849999999999998E-3</v>
      </c>
      <c r="E567">
        <v>6.4599999999999996E-3</v>
      </c>
      <c r="F567">
        <v>2463350932.9000001</v>
      </c>
      <c r="G567">
        <v>28.33</v>
      </c>
      <c r="L567" t="s">
        <v>8</v>
      </c>
      <c r="M567" t="s">
        <v>8</v>
      </c>
      <c r="N567" t="s">
        <v>8</v>
      </c>
      <c r="P567">
        <f t="shared" si="984"/>
        <v>0.68764302059496496</v>
      </c>
      <c r="Q567">
        <f t="shared" si="985"/>
        <v>1693906076.284781</v>
      </c>
      <c r="R567">
        <f t="shared" si="986"/>
        <v>816253578.66577005</v>
      </c>
      <c r="S567">
        <f t="shared" si="987"/>
        <v>8162.5357866577006</v>
      </c>
      <c r="T567">
        <f t="shared" si="988"/>
        <v>8.1625357866577009</v>
      </c>
    </row>
    <row r="568" spans="1:104" x14ac:dyDescent="0.25">
      <c r="A568" s="5">
        <v>44025</v>
      </c>
      <c r="B568">
        <v>4.2269999999999999E-3</v>
      </c>
      <c r="C568">
        <v>5.692E-3</v>
      </c>
      <c r="D568">
        <v>3.8890000000000001E-3</v>
      </c>
      <c r="E568">
        <v>5.0239999999999998E-3</v>
      </c>
      <c r="F568">
        <v>1354007864.0999999</v>
      </c>
      <c r="G568">
        <v>18.850000000000001</v>
      </c>
      <c r="L568" t="s">
        <v>7</v>
      </c>
      <c r="M568" t="s">
        <v>8</v>
      </c>
      <c r="N568" t="s">
        <v>8</v>
      </c>
      <c r="P568">
        <f t="shared" si="984"/>
        <v>0.25901275651691602</v>
      </c>
      <c r="Q568">
        <f t="shared" si="985"/>
        <v>350705309.2261228</v>
      </c>
      <c r="R568">
        <f t="shared" si="986"/>
        <v>-877652497.61901093</v>
      </c>
      <c r="S568">
        <f t="shared" si="987"/>
        <v>-8776.5249761901086</v>
      </c>
      <c r="T568">
        <f t="shared" si="988"/>
        <v>-8.7765249761901085</v>
      </c>
    </row>
    <row r="569" spans="1:104" x14ac:dyDescent="0.25">
      <c r="A569" s="5">
        <v>44024</v>
      </c>
      <c r="B569">
        <v>4.0390000000000001E-3</v>
      </c>
      <c r="C569">
        <v>4.45E-3</v>
      </c>
      <c r="D569">
        <v>3.9610000000000001E-3</v>
      </c>
      <c r="E569">
        <v>4.2269999999999999E-3</v>
      </c>
      <c r="F569">
        <v>422975576</v>
      </c>
      <c r="G569">
        <v>4.6500000000000004</v>
      </c>
      <c r="L569" t="s">
        <v>7</v>
      </c>
      <c r="M569" t="s">
        <v>7</v>
      </c>
      <c r="N569" t="s">
        <v>8</v>
      </c>
      <c r="P569">
        <f t="shared" si="984"/>
        <v>8.7934560327197639E-2</v>
      </c>
      <c r="Q569">
        <f t="shared" si="985"/>
        <v>37194171.304703169</v>
      </c>
      <c r="R569">
        <f t="shared" si="986"/>
        <v>-1228357806.8451338</v>
      </c>
      <c r="S569">
        <f t="shared" si="987"/>
        <v>-12283.578068451337</v>
      </c>
      <c r="T569">
        <f t="shared" si="988"/>
        <v>-12.283578068451337</v>
      </c>
    </row>
    <row r="570" spans="1:104" x14ac:dyDescent="0.25">
      <c r="A570" s="5">
        <v>44023</v>
      </c>
      <c r="B570">
        <v>4.15E-3</v>
      </c>
      <c r="C570">
        <v>4.7029999999999997E-3</v>
      </c>
      <c r="D570">
        <v>3.8010000000000001E-3</v>
      </c>
      <c r="E570">
        <v>4.0470000000000002E-3</v>
      </c>
      <c r="F570">
        <v>1049503544.1</v>
      </c>
      <c r="G570">
        <v>-2.48</v>
      </c>
      <c r="L570" t="s">
        <v>8</v>
      </c>
      <c r="M570" t="s">
        <v>8</v>
      </c>
      <c r="N570" t="s">
        <v>8</v>
      </c>
      <c r="P570">
        <f t="shared" si="984"/>
        <v>-0.45454545454545403</v>
      </c>
      <c r="Q570">
        <f t="shared" si="985"/>
        <v>-477047065.49999946</v>
      </c>
      <c r="R570">
        <f t="shared" si="986"/>
        <v>-1265551978.149837</v>
      </c>
      <c r="S570">
        <f t="shared" si="987"/>
        <v>-12655.519781498369</v>
      </c>
      <c r="T570">
        <f t="shared" si="988"/>
        <v>-12.65551978149837</v>
      </c>
    </row>
    <row r="571" spans="1:104" x14ac:dyDescent="0.25">
      <c r="A571" s="5">
        <v>44022</v>
      </c>
      <c r="B571">
        <v>3.3289999999999999E-3</v>
      </c>
      <c r="C571">
        <v>4.3319999999999999E-3</v>
      </c>
      <c r="D571">
        <v>3.2000000000000002E-3</v>
      </c>
      <c r="E571">
        <v>4.15E-3</v>
      </c>
      <c r="F571">
        <v>722552420</v>
      </c>
      <c r="G571">
        <v>24.66</v>
      </c>
      <c r="L571" t="s">
        <v>7</v>
      </c>
      <c r="M571" t="s">
        <v>8</v>
      </c>
      <c r="N571" t="s">
        <v>8</v>
      </c>
      <c r="P571">
        <f t="shared" si="984"/>
        <v>0.67844522968197896</v>
      </c>
      <c r="Q571">
        <f t="shared" si="985"/>
        <v>490212242.54416972</v>
      </c>
      <c r="R571">
        <f t="shared" si="986"/>
        <v>-788504912.64983749</v>
      </c>
      <c r="S571">
        <f t="shared" si="987"/>
        <v>-7885.0491264983748</v>
      </c>
      <c r="T571">
        <f t="shared" si="988"/>
        <v>-7.8850491264983749</v>
      </c>
    </row>
    <row r="572" spans="1:104" x14ac:dyDescent="0.25">
      <c r="A572" s="5">
        <v>44021</v>
      </c>
      <c r="B572">
        <v>3.4840000000000001E-3</v>
      </c>
      <c r="C572">
        <v>3.5119999999999999E-3</v>
      </c>
      <c r="D572">
        <v>3.2209999999999999E-3</v>
      </c>
      <c r="E572">
        <v>3.3289999999999999E-3</v>
      </c>
      <c r="F572">
        <v>138291496</v>
      </c>
      <c r="G572">
        <v>-4.45</v>
      </c>
      <c r="L572" t="s">
        <v>7</v>
      </c>
      <c r="M572" t="s">
        <v>8</v>
      </c>
      <c r="N572" t="s">
        <v>8</v>
      </c>
      <c r="P572">
        <f t="shared" si="984"/>
        <v>-0.25773195876288651</v>
      </c>
      <c r="Q572">
        <f t="shared" si="985"/>
        <v>-35642138.144329883</v>
      </c>
      <c r="R572">
        <f t="shared" si="986"/>
        <v>-1278717155.1940072</v>
      </c>
      <c r="S572">
        <f t="shared" si="987"/>
        <v>-12787.171551940071</v>
      </c>
      <c r="T572">
        <f t="shared" si="988"/>
        <v>-12.787171551940071</v>
      </c>
    </row>
    <row r="573" spans="1:104" x14ac:dyDescent="0.25">
      <c r="A573" s="5">
        <v>44020</v>
      </c>
      <c r="B573">
        <v>3.4199999999999999E-3</v>
      </c>
      <c r="C573">
        <v>3.5479999999999999E-3</v>
      </c>
      <c r="D573">
        <v>3.31E-3</v>
      </c>
      <c r="E573">
        <v>3.493E-3</v>
      </c>
      <c r="F573">
        <v>201759557</v>
      </c>
      <c r="G573">
        <v>2.13</v>
      </c>
      <c r="L573" t="s">
        <v>7</v>
      </c>
      <c r="M573" t="s">
        <v>8</v>
      </c>
      <c r="N573" t="s">
        <v>8</v>
      </c>
      <c r="P573">
        <f t="shared" si="984"/>
        <v>0.53781512605042059</v>
      </c>
      <c r="Q573">
        <f t="shared" si="985"/>
        <v>108509341.57983202</v>
      </c>
      <c r="R573">
        <f t="shared" si="986"/>
        <v>-1243075017.0496774</v>
      </c>
      <c r="S573">
        <f t="shared" si="987"/>
        <v>-12430.750170496774</v>
      </c>
      <c r="T573">
        <f t="shared" si="988"/>
        <v>-12.430750170496774</v>
      </c>
    </row>
    <row r="574" spans="1:104" x14ac:dyDescent="0.25">
      <c r="A574" s="5">
        <v>44019</v>
      </c>
      <c r="B574">
        <v>3.4450000000000001E-3</v>
      </c>
      <c r="C574">
        <v>3.5179999999999999E-3</v>
      </c>
      <c r="D574">
        <v>3.3630000000000001E-3</v>
      </c>
      <c r="E574">
        <v>3.4090000000000001E-3</v>
      </c>
      <c r="F574">
        <v>163719043</v>
      </c>
      <c r="G574">
        <v>-1.04</v>
      </c>
      <c r="L574" t="s">
        <v>8</v>
      </c>
      <c r="M574" t="s">
        <v>8</v>
      </c>
      <c r="N574" t="s">
        <v>8</v>
      </c>
      <c r="P574">
        <f t="shared" si="984"/>
        <v>-0.40645161290322446</v>
      </c>
      <c r="Q574">
        <f t="shared" si="985"/>
        <v>-66543869.09032236</v>
      </c>
      <c r="R574">
        <f t="shared" si="986"/>
        <v>-1351584358.6295094</v>
      </c>
      <c r="S574">
        <f t="shared" si="987"/>
        <v>-13515.843586295094</v>
      </c>
      <c r="T574">
        <f t="shared" si="988"/>
        <v>-13.515843586295095</v>
      </c>
    </row>
    <row r="575" spans="1:104" x14ac:dyDescent="0.25">
      <c r="A575" s="5">
        <v>44018</v>
      </c>
      <c r="B575">
        <v>3.362E-3</v>
      </c>
      <c r="C575">
        <v>3.6020000000000002E-3</v>
      </c>
      <c r="D575">
        <v>3.2989999999999998E-3</v>
      </c>
      <c r="E575">
        <v>3.4359999999999998E-3</v>
      </c>
      <c r="F575">
        <v>291403059</v>
      </c>
      <c r="G575">
        <v>2.2000000000000002</v>
      </c>
      <c r="L575" t="s">
        <v>8</v>
      </c>
      <c r="M575" t="s">
        <v>8</v>
      </c>
      <c r="N575" t="s">
        <v>8</v>
      </c>
      <c r="P575">
        <f t="shared" si="984"/>
        <v>-9.5709570957096868E-2</v>
      </c>
      <c r="Q575">
        <f t="shared" si="985"/>
        <v>-27890061.752475586</v>
      </c>
      <c r="R575">
        <f t="shared" si="986"/>
        <v>-1285040489.5391872</v>
      </c>
      <c r="S575">
        <f t="shared" si="987"/>
        <v>-12850.404895391872</v>
      </c>
      <c r="T575">
        <f t="shared" si="988"/>
        <v>-12.850404895391872</v>
      </c>
    </row>
    <row r="576" spans="1:104" x14ac:dyDescent="0.25">
      <c r="A576" s="5">
        <v>44017</v>
      </c>
      <c r="B576">
        <v>3.6809999999999998E-3</v>
      </c>
      <c r="C576">
        <v>3.7469999999999999E-3</v>
      </c>
      <c r="D576">
        <v>3.2320000000000001E-3</v>
      </c>
      <c r="E576">
        <v>3.362E-3</v>
      </c>
      <c r="F576">
        <v>213814532</v>
      </c>
      <c r="G576">
        <v>-8.67</v>
      </c>
      <c r="L576" t="s">
        <v>7</v>
      </c>
      <c r="M576" t="s">
        <v>8</v>
      </c>
      <c r="N576" t="s">
        <v>8</v>
      </c>
      <c r="P576">
        <f t="shared" si="984"/>
        <v>-0.49514563106796133</v>
      </c>
      <c r="Q576">
        <f t="shared" si="985"/>
        <v>-105869331.37864082</v>
      </c>
      <c r="R576">
        <f t="shared" si="986"/>
        <v>-1257150427.7867117</v>
      </c>
      <c r="S576">
        <f t="shared" si="987"/>
        <v>-12571.504277867118</v>
      </c>
      <c r="T576">
        <f t="shared" si="988"/>
        <v>-12.571504277867117</v>
      </c>
    </row>
    <row r="577" spans="1:20" x14ac:dyDescent="0.25">
      <c r="A577" s="5">
        <v>44016</v>
      </c>
      <c r="B577">
        <v>3.5729999999999998E-3</v>
      </c>
      <c r="C577">
        <v>3.8E-3</v>
      </c>
      <c r="D577">
        <v>3.4039999999999999E-3</v>
      </c>
      <c r="E577">
        <v>3.6809999999999998E-3</v>
      </c>
      <c r="F577">
        <v>378412674</v>
      </c>
      <c r="G577">
        <v>3.02</v>
      </c>
      <c r="L577" t="s">
        <v>8</v>
      </c>
      <c r="M577" t="s">
        <v>8</v>
      </c>
      <c r="N577" t="s">
        <v>8</v>
      </c>
      <c r="P577">
        <f t="shared" si="984"/>
        <v>0.39898989898989817</v>
      </c>
      <c r="Q577">
        <f t="shared" si="985"/>
        <v>150982834.57575727</v>
      </c>
      <c r="R577">
        <f t="shared" si="986"/>
        <v>-1151281096.4080708</v>
      </c>
      <c r="S577">
        <f t="shared" si="987"/>
        <v>-11512.810964080709</v>
      </c>
      <c r="T577">
        <f t="shared" si="988"/>
        <v>-11.512810964080709</v>
      </c>
    </row>
    <row r="578" spans="1:20" x14ac:dyDescent="0.25">
      <c r="A578" s="5">
        <v>44015</v>
      </c>
      <c r="B578">
        <v>3.2030000000000001E-3</v>
      </c>
      <c r="C578">
        <v>3.7160000000000001E-3</v>
      </c>
      <c r="D578">
        <v>3.13E-3</v>
      </c>
      <c r="E578">
        <v>3.5829999999999998E-3</v>
      </c>
      <c r="F578">
        <v>385175214</v>
      </c>
      <c r="G578">
        <v>11.86</v>
      </c>
      <c r="L578" t="s">
        <v>8</v>
      </c>
      <c r="M578" t="s">
        <v>8</v>
      </c>
      <c r="N578" t="s">
        <v>8</v>
      </c>
      <c r="P578">
        <f t="shared" si="984"/>
        <v>0.5460750853242311</v>
      </c>
      <c r="Q578">
        <f t="shared" si="985"/>
        <v>210334587.84982899</v>
      </c>
      <c r="R578">
        <f t="shared" si="986"/>
        <v>-1302263930.9838281</v>
      </c>
      <c r="S578">
        <f t="shared" si="987"/>
        <v>-13022.639309838281</v>
      </c>
      <c r="T578">
        <f t="shared" si="988"/>
        <v>-13.022639309838281</v>
      </c>
    </row>
    <row r="579" spans="1:20" x14ac:dyDescent="0.25">
      <c r="A579" s="5">
        <v>44014</v>
      </c>
      <c r="B579">
        <v>3.31E-3</v>
      </c>
      <c r="C579">
        <v>3.4640000000000001E-3</v>
      </c>
      <c r="D579">
        <v>3.1210000000000001E-3</v>
      </c>
      <c r="E579">
        <v>3.2030000000000001E-3</v>
      </c>
      <c r="F579">
        <v>199330682</v>
      </c>
      <c r="G579">
        <v>-3.23</v>
      </c>
      <c r="L579" t="s">
        <v>7</v>
      </c>
      <c r="M579" t="s">
        <v>8</v>
      </c>
      <c r="N579" t="s">
        <v>8</v>
      </c>
      <c r="P579">
        <f t="shared" si="984"/>
        <v>-0.52186588921282773</v>
      </c>
      <c r="Q579">
        <f t="shared" si="985"/>
        <v>-104023883.60932939</v>
      </c>
      <c r="R579">
        <f t="shared" si="986"/>
        <v>-1512598518.833657</v>
      </c>
      <c r="S579">
        <f t="shared" si="987"/>
        <v>-15125.98518833657</v>
      </c>
      <c r="T579">
        <f t="shared" si="988"/>
        <v>-15.125985188336569</v>
      </c>
    </row>
    <row r="580" spans="1:20" x14ac:dyDescent="0.25">
      <c r="A580" s="5">
        <v>44013</v>
      </c>
      <c r="B580">
        <v>3.4129999999999998E-3</v>
      </c>
      <c r="C580">
        <v>3.4129999999999998E-3</v>
      </c>
      <c r="D580">
        <v>3.2049999999999999E-3</v>
      </c>
      <c r="E580">
        <v>3.307E-3</v>
      </c>
      <c r="F580">
        <v>260700679</v>
      </c>
      <c r="G580">
        <v>-3.11</v>
      </c>
      <c r="L580" t="s">
        <v>7</v>
      </c>
      <c r="M580" t="s">
        <v>8</v>
      </c>
      <c r="N580" t="s">
        <v>8</v>
      </c>
      <c r="P580">
        <f t="shared" si="984"/>
        <v>-1.9230769230767625E-2</v>
      </c>
      <c r="Q580">
        <f t="shared" si="985"/>
        <v>-5013474.5961534278</v>
      </c>
      <c r="R580">
        <f t="shared" si="986"/>
        <v>-1408574635.2243276</v>
      </c>
      <c r="S580">
        <f t="shared" si="987"/>
        <v>-14085.746352243275</v>
      </c>
      <c r="T580">
        <f t="shared" si="988"/>
        <v>-14.085746352243275</v>
      </c>
    </row>
    <row r="581" spans="1:20" x14ac:dyDescent="0.25">
      <c r="A581" s="5">
        <v>44012</v>
      </c>
      <c r="B581">
        <v>3.2820000000000002E-3</v>
      </c>
      <c r="C581">
        <v>3.5690000000000001E-3</v>
      </c>
      <c r="D581">
        <v>3.2599999999999999E-3</v>
      </c>
      <c r="E581">
        <v>3.411E-3</v>
      </c>
      <c r="F581">
        <v>619288415</v>
      </c>
      <c r="G581">
        <v>3.93</v>
      </c>
      <c r="L581" t="s">
        <v>7</v>
      </c>
      <c r="M581" t="s">
        <v>8</v>
      </c>
      <c r="N581" t="s">
        <v>8</v>
      </c>
      <c r="P581">
        <f t="shared" si="984"/>
        <v>-2.2653721682848078E-2</v>
      </c>
      <c r="Q581">
        <f t="shared" si="985"/>
        <v>-14029187.394822119</v>
      </c>
      <c r="R581">
        <f t="shared" si="986"/>
        <v>-1403561160.6281741</v>
      </c>
      <c r="S581">
        <f t="shared" si="987"/>
        <v>-14035.61160628174</v>
      </c>
      <c r="T581">
        <f t="shared" si="988"/>
        <v>-14.035611606281741</v>
      </c>
    </row>
    <row r="582" spans="1:20" x14ac:dyDescent="0.25">
      <c r="A582" s="5">
        <v>44011</v>
      </c>
      <c r="B582">
        <v>2.9989999999999999E-3</v>
      </c>
      <c r="C582">
        <v>3.5750000000000001E-3</v>
      </c>
      <c r="D582">
        <v>2.9139999999999999E-3</v>
      </c>
      <c r="E582">
        <v>3.2810000000000001E-3</v>
      </c>
      <c r="F582">
        <v>900190230</v>
      </c>
      <c r="G582">
        <v>9.4</v>
      </c>
      <c r="L582" t="s">
        <v>8</v>
      </c>
      <c r="M582" t="s">
        <v>8</v>
      </c>
      <c r="N582" t="s">
        <v>8</v>
      </c>
      <c r="P582">
        <f t="shared" ref="P582:P645" si="989">IF(C582=D582,0,((E582-D582)-(C582-E582))/(C582-D582))</f>
        <v>0.11043872919818477</v>
      </c>
      <c r="Q582">
        <f t="shared" ref="Q582:Q645" si="990">F582*P582</f>
        <v>99415865.037821665</v>
      </c>
      <c r="R582">
        <f t="shared" ref="R582:R645" si="991">R583+Q582</f>
        <v>-1389531973.2333519</v>
      </c>
      <c r="S582">
        <f t="shared" ref="S582:S645" si="992">R582/100000</f>
        <v>-13895.319732333519</v>
      </c>
      <c r="T582">
        <f t="shared" ref="T582:T645" si="993">S582/1000</f>
        <v>-13.895319732333519</v>
      </c>
    </row>
    <row r="583" spans="1:20" x14ac:dyDescent="0.25">
      <c r="A583" s="5">
        <v>44010</v>
      </c>
      <c r="B583">
        <v>2.8180000000000002E-3</v>
      </c>
      <c r="C583">
        <v>3.0929999999999998E-3</v>
      </c>
      <c r="D583">
        <v>2.7469999999999999E-3</v>
      </c>
      <c r="E583">
        <v>3.0019999999999999E-3</v>
      </c>
      <c r="F583">
        <v>194829674</v>
      </c>
      <c r="G583">
        <v>6.53</v>
      </c>
      <c r="L583" t="s">
        <v>8</v>
      </c>
      <c r="M583" t="s">
        <v>8</v>
      </c>
      <c r="N583" t="s">
        <v>8</v>
      </c>
      <c r="P583">
        <f t="shared" si="989"/>
        <v>0.4739884393063587</v>
      </c>
      <c r="Q583">
        <f t="shared" si="990"/>
        <v>92347013.109826654</v>
      </c>
      <c r="R583">
        <f t="shared" si="991"/>
        <v>-1488947838.2711737</v>
      </c>
      <c r="S583">
        <f t="shared" si="992"/>
        <v>-14889.478382711737</v>
      </c>
      <c r="T583">
        <f t="shared" si="993"/>
        <v>-14.889478382711737</v>
      </c>
    </row>
    <row r="584" spans="1:20" x14ac:dyDescent="0.25">
      <c r="A584" s="5">
        <v>44009</v>
      </c>
      <c r="B584">
        <v>2.9789999999999999E-3</v>
      </c>
      <c r="C584">
        <v>3.0130000000000001E-3</v>
      </c>
      <c r="D584">
        <v>2.7520000000000001E-3</v>
      </c>
      <c r="E584">
        <v>2.8E-3</v>
      </c>
      <c r="F584">
        <v>181517737</v>
      </c>
      <c r="G584">
        <v>-6.01</v>
      </c>
      <c r="L584" t="s">
        <v>7</v>
      </c>
      <c r="M584" t="s">
        <v>8</v>
      </c>
      <c r="N584" t="s">
        <v>8</v>
      </c>
      <c r="P584">
        <f t="shared" si="989"/>
        <v>-0.63218390804597802</v>
      </c>
      <c r="Q584">
        <f t="shared" si="990"/>
        <v>-114752592.35632202</v>
      </c>
      <c r="R584">
        <f t="shared" si="991"/>
        <v>-1581294851.3810003</v>
      </c>
      <c r="S584">
        <f t="shared" si="992"/>
        <v>-15812.948513810003</v>
      </c>
      <c r="T584">
        <f t="shared" si="993"/>
        <v>-15.812948513810003</v>
      </c>
    </row>
    <row r="585" spans="1:20" x14ac:dyDescent="0.25">
      <c r="A585" s="5">
        <v>44008</v>
      </c>
      <c r="B585">
        <v>2.9789999999999999E-3</v>
      </c>
      <c r="C585">
        <v>3.1700000000000001E-3</v>
      </c>
      <c r="D585">
        <v>2.8760000000000001E-3</v>
      </c>
      <c r="E585">
        <v>2.9859999999999999E-3</v>
      </c>
      <c r="F585">
        <v>289843019</v>
      </c>
      <c r="G585">
        <v>0.23</v>
      </c>
      <c r="L585" t="s">
        <v>8</v>
      </c>
      <c r="M585" t="s">
        <v>8</v>
      </c>
      <c r="N585" t="s">
        <v>8</v>
      </c>
      <c r="P585">
        <f t="shared" si="989"/>
        <v>-0.25170068027210979</v>
      </c>
      <c r="Q585">
        <f t="shared" si="990"/>
        <v>-72953685.054422036</v>
      </c>
      <c r="R585">
        <f t="shared" si="991"/>
        <v>-1466542259.0246782</v>
      </c>
      <c r="S585">
        <f t="shared" si="992"/>
        <v>-14665.422590246782</v>
      </c>
      <c r="T585">
        <f t="shared" si="993"/>
        <v>-14.665422590246783</v>
      </c>
    </row>
    <row r="586" spans="1:20" x14ac:dyDescent="0.25">
      <c r="A586" s="5">
        <v>44007</v>
      </c>
      <c r="B586">
        <v>2.8500000000000001E-3</v>
      </c>
      <c r="C586">
        <v>3.173E-3</v>
      </c>
      <c r="D586">
        <v>2.7109999999999999E-3</v>
      </c>
      <c r="E586">
        <v>2.9889999999999999E-3</v>
      </c>
      <c r="F586">
        <v>514864336</v>
      </c>
      <c r="G586">
        <v>4.88</v>
      </c>
      <c r="L586" t="s">
        <v>7</v>
      </c>
      <c r="M586" t="s">
        <v>7</v>
      </c>
      <c r="N586" t="s">
        <v>8</v>
      </c>
      <c r="P586">
        <f t="shared" si="989"/>
        <v>0.20346320346320318</v>
      </c>
      <c r="Q586">
        <f t="shared" si="990"/>
        <v>104755947.15151501</v>
      </c>
      <c r="R586">
        <f t="shared" si="991"/>
        <v>-1393588573.9702561</v>
      </c>
      <c r="S586">
        <f t="shared" si="992"/>
        <v>-13935.88573970256</v>
      </c>
      <c r="T586">
        <f t="shared" si="993"/>
        <v>-13.93588573970256</v>
      </c>
    </row>
    <row r="587" spans="1:20" x14ac:dyDescent="0.25">
      <c r="A587" s="5">
        <v>44006</v>
      </c>
      <c r="B587">
        <v>3.0270000000000002E-3</v>
      </c>
      <c r="C587">
        <v>3.209E-3</v>
      </c>
      <c r="D587">
        <v>2.8289999999999999E-3</v>
      </c>
      <c r="E587">
        <v>2.8600000000000001E-3</v>
      </c>
      <c r="F587">
        <v>350767485</v>
      </c>
      <c r="G587">
        <v>-5.52</v>
      </c>
      <c r="L587" t="s">
        <v>7</v>
      </c>
      <c r="M587" t="s">
        <v>7</v>
      </c>
      <c r="N587" t="s">
        <v>8</v>
      </c>
      <c r="P587">
        <f t="shared" si="989"/>
        <v>-0.83684210526315683</v>
      </c>
      <c r="Q587">
        <f t="shared" si="990"/>
        <v>-293537000.60526276</v>
      </c>
      <c r="R587">
        <f t="shared" si="991"/>
        <v>-1498344521.1217711</v>
      </c>
      <c r="S587">
        <f t="shared" si="992"/>
        <v>-14983.445211217711</v>
      </c>
      <c r="T587">
        <f t="shared" si="993"/>
        <v>-14.983445211217711</v>
      </c>
    </row>
    <row r="588" spans="1:20" x14ac:dyDescent="0.25">
      <c r="A588" s="5">
        <v>44005</v>
      </c>
      <c r="B588">
        <v>2.826E-3</v>
      </c>
      <c r="C588">
        <v>3.362E-3</v>
      </c>
      <c r="D588">
        <v>2.7169999999999998E-3</v>
      </c>
      <c r="E588">
        <v>3.0270000000000002E-3</v>
      </c>
      <c r="F588">
        <v>517844834</v>
      </c>
      <c r="G588">
        <v>7.11</v>
      </c>
      <c r="L588" t="s">
        <v>8</v>
      </c>
      <c r="M588" t="s">
        <v>8</v>
      </c>
      <c r="N588" t="s">
        <v>8</v>
      </c>
      <c r="P588">
        <f t="shared" si="989"/>
        <v>-3.8759689922479704E-2</v>
      </c>
      <c r="Q588">
        <f t="shared" si="990"/>
        <v>-20071505.193797976</v>
      </c>
      <c r="R588">
        <f t="shared" si="991"/>
        <v>-1204807520.5165083</v>
      </c>
      <c r="S588">
        <f t="shared" si="992"/>
        <v>-12048.075205165083</v>
      </c>
      <c r="T588">
        <f t="shared" si="993"/>
        <v>-12.048075205165084</v>
      </c>
    </row>
    <row r="589" spans="1:20" x14ac:dyDescent="0.25">
      <c r="A589" s="5">
        <v>44004</v>
      </c>
      <c r="B589">
        <v>2.7980000000000001E-3</v>
      </c>
      <c r="C589">
        <v>3.0049999999999999E-3</v>
      </c>
      <c r="D589">
        <v>2.715E-3</v>
      </c>
      <c r="E589">
        <v>2.81E-3</v>
      </c>
      <c r="F589">
        <v>299175303</v>
      </c>
      <c r="G589">
        <v>0.43</v>
      </c>
      <c r="L589" t="s">
        <v>7</v>
      </c>
      <c r="M589" t="s">
        <v>7</v>
      </c>
      <c r="N589" t="s">
        <v>8</v>
      </c>
      <c r="P589">
        <f t="shared" si="989"/>
        <v>-0.34482758620689608</v>
      </c>
      <c r="Q589">
        <f t="shared" si="990"/>
        <v>-103163897.58620675</v>
      </c>
      <c r="R589">
        <f t="shared" si="991"/>
        <v>-1184736015.3227103</v>
      </c>
      <c r="S589">
        <f t="shared" si="992"/>
        <v>-11847.360153227102</v>
      </c>
      <c r="T589">
        <f t="shared" si="993"/>
        <v>-11.847360153227102</v>
      </c>
    </row>
    <row r="590" spans="1:20" x14ac:dyDescent="0.25">
      <c r="A590" s="5">
        <v>44003</v>
      </c>
      <c r="B590">
        <v>3.1120000000000002E-3</v>
      </c>
      <c r="C590">
        <v>3.1419999999999998E-3</v>
      </c>
      <c r="D590">
        <v>2.7980000000000001E-3</v>
      </c>
      <c r="E590">
        <v>2.7980000000000001E-3</v>
      </c>
      <c r="F590">
        <v>367681299</v>
      </c>
      <c r="G590">
        <v>-10.09</v>
      </c>
      <c r="L590" t="s">
        <v>7</v>
      </c>
      <c r="M590" t="s">
        <v>7</v>
      </c>
      <c r="N590" t="s">
        <v>8</v>
      </c>
      <c r="P590">
        <f t="shared" si="989"/>
        <v>-1</v>
      </c>
      <c r="Q590">
        <f t="shared" si="990"/>
        <v>-367681299</v>
      </c>
      <c r="R590">
        <f t="shared" si="991"/>
        <v>-1081572117.7365036</v>
      </c>
      <c r="S590">
        <f t="shared" si="992"/>
        <v>-10815.721177365036</v>
      </c>
      <c r="T590">
        <f t="shared" si="993"/>
        <v>-10.815721177365036</v>
      </c>
    </row>
    <row r="591" spans="1:20" x14ac:dyDescent="0.25">
      <c r="A591" s="5">
        <v>44002</v>
      </c>
      <c r="B591">
        <v>2.4729999999999999E-3</v>
      </c>
      <c r="C591">
        <v>3.4880000000000002E-3</v>
      </c>
      <c r="D591">
        <v>2.4659999999999999E-3</v>
      </c>
      <c r="E591">
        <v>3.1120000000000002E-3</v>
      </c>
      <c r="F591">
        <v>1432456008</v>
      </c>
      <c r="G591">
        <v>25.84</v>
      </c>
      <c r="L591" t="s">
        <v>8</v>
      </c>
      <c r="M591" t="s">
        <v>8</v>
      </c>
      <c r="N591" t="s">
        <v>8</v>
      </c>
      <c r="P591">
        <f t="shared" si="989"/>
        <v>0.26418786692759316</v>
      </c>
      <c r="Q591">
        <f t="shared" si="990"/>
        <v>378437497.22113532</v>
      </c>
      <c r="R591">
        <f t="shared" si="991"/>
        <v>-713890818.7365036</v>
      </c>
      <c r="S591">
        <f t="shared" si="992"/>
        <v>-7138.9081873650357</v>
      </c>
      <c r="T591">
        <f t="shared" si="993"/>
        <v>-7.1389081873650353</v>
      </c>
    </row>
    <row r="592" spans="1:20" x14ac:dyDescent="0.25">
      <c r="A592" s="5">
        <v>44001</v>
      </c>
      <c r="B592">
        <v>2.5409999999999999E-3</v>
      </c>
      <c r="C592">
        <v>2.5579999999999999E-3</v>
      </c>
      <c r="D592">
        <v>2.3960000000000001E-3</v>
      </c>
      <c r="E592">
        <v>2.4659999999999999E-3</v>
      </c>
      <c r="F592">
        <v>104452243</v>
      </c>
      <c r="G592">
        <v>-2.95</v>
      </c>
      <c r="L592" t="s">
        <v>7</v>
      </c>
      <c r="M592" t="s">
        <v>8</v>
      </c>
      <c r="N592" t="s">
        <v>8</v>
      </c>
      <c r="P592">
        <f t="shared" si="989"/>
        <v>-0.13580246913580457</v>
      </c>
      <c r="Q592">
        <f t="shared" si="990"/>
        <v>-14184872.506173059</v>
      </c>
      <c r="R592">
        <f t="shared" si="991"/>
        <v>-1092328315.957639</v>
      </c>
      <c r="S592">
        <f t="shared" si="992"/>
        <v>-10923.283159576389</v>
      </c>
      <c r="T592">
        <f t="shared" si="993"/>
        <v>-10.923283159576389</v>
      </c>
    </row>
    <row r="593" spans="1:20" x14ac:dyDescent="0.25">
      <c r="A593" s="5">
        <v>44000</v>
      </c>
      <c r="B593">
        <v>2.4380000000000001E-3</v>
      </c>
      <c r="C593">
        <v>2.6970000000000002E-3</v>
      </c>
      <c r="D593">
        <v>2.428E-3</v>
      </c>
      <c r="E593">
        <v>2.542E-3</v>
      </c>
      <c r="F593">
        <v>275171931</v>
      </c>
      <c r="G593">
        <v>4.2699999999999996</v>
      </c>
      <c r="L593" t="s">
        <v>8</v>
      </c>
      <c r="M593" t="s">
        <v>8</v>
      </c>
      <c r="N593" t="s">
        <v>8</v>
      </c>
      <c r="P593">
        <f t="shared" si="989"/>
        <v>-0.15241635687732422</v>
      </c>
      <c r="Q593">
        <f t="shared" si="990"/>
        <v>-41940703.237918437</v>
      </c>
      <c r="R593">
        <f t="shared" si="991"/>
        <v>-1078143443.4514658</v>
      </c>
      <c r="S593">
        <f t="shared" si="992"/>
        <v>-10781.434434514658</v>
      </c>
      <c r="T593">
        <f t="shared" si="993"/>
        <v>-10.781434434514658</v>
      </c>
    </row>
    <row r="594" spans="1:20" x14ac:dyDescent="0.25">
      <c r="A594" s="5">
        <v>43999</v>
      </c>
      <c r="B594">
        <v>2.3749999999999999E-3</v>
      </c>
      <c r="C594">
        <v>2.5000000000000001E-3</v>
      </c>
      <c r="D594">
        <v>2.313E-3</v>
      </c>
      <c r="E594">
        <v>2.4380000000000001E-3</v>
      </c>
      <c r="F594">
        <v>130942688</v>
      </c>
      <c r="G594">
        <v>2.65</v>
      </c>
      <c r="L594" t="s">
        <v>8</v>
      </c>
      <c r="M594" t="s">
        <v>8</v>
      </c>
      <c r="N594" t="s">
        <v>8</v>
      </c>
      <c r="P594">
        <f t="shared" si="989"/>
        <v>0.33689839572192559</v>
      </c>
      <c r="Q594">
        <f t="shared" si="990"/>
        <v>44114381.518716641</v>
      </c>
      <c r="R594">
        <f t="shared" si="991"/>
        <v>-1036202740.2135473</v>
      </c>
      <c r="S594">
        <f t="shared" si="992"/>
        <v>-10362.027402135473</v>
      </c>
      <c r="T594">
        <f t="shared" si="993"/>
        <v>-10.362027402135473</v>
      </c>
    </row>
    <row r="595" spans="1:20" x14ac:dyDescent="0.25">
      <c r="A595" s="5">
        <v>43998</v>
      </c>
      <c r="B595">
        <v>2.2820000000000002E-3</v>
      </c>
      <c r="C595">
        <v>2.3779999999999999E-3</v>
      </c>
      <c r="D595">
        <v>2.2409999999999999E-3</v>
      </c>
      <c r="E595">
        <v>2.3749999999999999E-3</v>
      </c>
      <c r="F595">
        <v>89159517</v>
      </c>
      <c r="G595">
        <v>4.08</v>
      </c>
      <c r="L595" t="s">
        <v>8</v>
      </c>
      <c r="M595" t="s">
        <v>7</v>
      </c>
      <c r="N595" t="s">
        <v>8</v>
      </c>
      <c r="P595">
        <f t="shared" si="989"/>
        <v>0.95620437956204429</v>
      </c>
      <c r="Q595">
        <f t="shared" si="990"/>
        <v>85254720.635036543</v>
      </c>
      <c r="R595">
        <f t="shared" si="991"/>
        <v>-1080317121.732264</v>
      </c>
      <c r="S595">
        <f t="shared" si="992"/>
        <v>-10803.171217322641</v>
      </c>
      <c r="T595">
        <f t="shared" si="993"/>
        <v>-10.803171217322641</v>
      </c>
    </row>
    <row r="596" spans="1:20" x14ac:dyDescent="0.25">
      <c r="A596" s="5">
        <v>43997</v>
      </c>
      <c r="B596">
        <v>2.3210000000000001E-3</v>
      </c>
      <c r="C596">
        <v>2.3509999999999998E-3</v>
      </c>
      <c r="D596">
        <v>2.0500000000000002E-3</v>
      </c>
      <c r="E596">
        <v>2.2859999999999998E-3</v>
      </c>
      <c r="F596">
        <v>135672617</v>
      </c>
      <c r="G596">
        <v>-1.51</v>
      </c>
      <c r="L596" t="s">
        <v>7</v>
      </c>
      <c r="M596" t="s">
        <v>7</v>
      </c>
      <c r="N596" t="s">
        <v>8</v>
      </c>
      <c r="P596">
        <f t="shared" si="989"/>
        <v>0.56810631229235853</v>
      </c>
      <c r="Q596">
        <f t="shared" si="990"/>
        <v>77076470.122923553</v>
      </c>
      <c r="R596">
        <f t="shared" si="991"/>
        <v>-1165571842.3673005</v>
      </c>
      <c r="S596">
        <f t="shared" si="992"/>
        <v>-11655.718423673005</v>
      </c>
      <c r="T596">
        <f t="shared" si="993"/>
        <v>-11.655718423673004</v>
      </c>
    </row>
    <row r="597" spans="1:20" x14ac:dyDescent="0.25">
      <c r="A597" s="5">
        <v>43996</v>
      </c>
      <c r="B597">
        <v>2.4499999999999999E-3</v>
      </c>
      <c r="C597">
        <v>2.4940000000000001E-3</v>
      </c>
      <c r="D597">
        <v>2.3110000000000001E-3</v>
      </c>
      <c r="E597">
        <v>2.323E-3</v>
      </c>
      <c r="F597">
        <v>92507848</v>
      </c>
      <c r="G597">
        <v>-5.18</v>
      </c>
      <c r="L597" t="s">
        <v>7</v>
      </c>
      <c r="M597" t="s">
        <v>7</v>
      </c>
      <c r="N597" t="s">
        <v>8</v>
      </c>
      <c r="P597">
        <f t="shared" si="989"/>
        <v>-0.86885245901639496</v>
      </c>
      <c r="Q597">
        <f t="shared" si="990"/>
        <v>-80375671.213114887</v>
      </c>
      <c r="R597">
        <f t="shared" si="991"/>
        <v>-1242648312.4902241</v>
      </c>
      <c r="S597">
        <f t="shared" si="992"/>
        <v>-12426.483124902241</v>
      </c>
      <c r="T597">
        <f t="shared" si="993"/>
        <v>-12.426483124902241</v>
      </c>
    </row>
    <row r="598" spans="1:20" x14ac:dyDescent="0.25">
      <c r="A598" s="5">
        <v>43995</v>
      </c>
      <c r="B598">
        <v>2.3860000000000001E-3</v>
      </c>
      <c r="C598">
        <v>2.5370000000000002E-3</v>
      </c>
      <c r="D598">
        <v>2.3570000000000002E-3</v>
      </c>
      <c r="E598">
        <v>2.467E-3</v>
      </c>
      <c r="F598">
        <v>87538125</v>
      </c>
      <c r="G598">
        <v>3.39</v>
      </c>
      <c r="L598" t="s">
        <v>8</v>
      </c>
      <c r="M598" t="s">
        <v>7</v>
      </c>
      <c r="N598" t="s">
        <v>8</v>
      </c>
      <c r="P598">
        <f t="shared" si="989"/>
        <v>0.22222222222222035</v>
      </c>
      <c r="Q598">
        <f t="shared" si="990"/>
        <v>19452916.666666504</v>
      </c>
      <c r="R598">
        <f t="shared" si="991"/>
        <v>-1162272641.2771091</v>
      </c>
      <c r="S598">
        <f t="shared" si="992"/>
        <v>-11622.726412771091</v>
      </c>
      <c r="T598">
        <f t="shared" si="993"/>
        <v>-11.622726412771092</v>
      </c>
    </row>
    <row r="599" spans="1:20" x14ac:dyDescent="0.25">
      <c r="A599" s="5">
        <v>43994</v>
      </c>
      <c r="B599">
        <v>2.1949999999999999E-3</v>
      </c>
      <c r="C599">
        <v>2.4369999999999999E-3</v>
      </c>
      <c r="D599">
        <v>2.1849999999999999E-3</v>
      </c>
      <c r="E599">
        <v>2.392E-3</v>
      </c>
      <c r="F599">
        <v>122522648</v>
      </c>
      <c r="G599">
        <v>8.9700000000000006</v>
      </c>
      <c r="L599" t="s">
        <v>7</v>
      </c>
      <c r="M599" t="s">
        <v>7</v>
      </c>
      <c r="N599" t="s">
        <v>8</v>
      </c>
      <c r="P599">
        <f t="shared" si="989"/>
        <v>0.64285714285714368</v>
      </c>
      <c r="Q599">
        <f t="shared" si="990"/>
        <v>78764559.428571522</v>
      </c>
      <c r="R599">
        <f t="shared" si="991"/>
        <v>-1181725557.9437757</v>
      </c>
      <c r="S599">
        <f t="shared" si="992"/>
        <v>-11817.255579437757</v>
      </c>
      <c r="T599">
        <f t="shared" si="993"/>
        <v>-11.817255579437758</v>
      </c>
    </row>
    <row r="600" spans="1:20" x14ac:dyDescent="0.25">
      <c r="A600" s="5">
        <v>43993</v>
      </c>
      <c r="B600">
        <v>2.568E-3</v>
      </c>
      <c r="C600">
        <v>2.7430000000000002E-3</v>
      </c>
      <c r="D600">
        <v>2.2000000000000001E-3</v>
      </c>
      <c r="E600">
        <v>2.209E-3</v>
      </c>
      <c r="F600">
        <v>247145749</v>
      </c>
      <c r="G600">
        <v>-13.98</v>
      </c>
      <c r="L600" t="s">
        <v>8</v>
      </c>
      <c r="M600" t="s">
        <v>8</v>
      </c>
      <c r="N600" t="s">
        <v>8</v>
      </c>
      <c r="P600">
        <f t="shared" si="989"/>
        <v>-0.96685082872928219</v>
      </c>
      <c r="Q600">
        <f t="shared" si="990"/>
        <v>-238953072.23756915</v>
      </c>
      <c r="R600">
        <f t="shared" si="991"/>
        <v>-1260490117.3723471</v>
      </c>
      <c r="S600">
        <f t="shared" si="992"/>
        <v>-12604.90117372347</v>
      </c>
      <c r="T600">
        <f t="shared" si="993"/>
        <v>-12.604901173723471</v>
      </c>
    </row>
    <row r="601" spans="1:20" x14ac:dyDescent="0.25">
      <c r="A601" s="5">
        <v>43992</v>
      </c>
      <c r="B601">
        <v>2.5379999999999999E-3</v>
      </c>
      <c r="C601">
        <v>2.6419999999999998E-3</v>
      </c>
      <c r="D601">
        <v>2.5119999999999999E-3</v>
      </c>
      <c r="E601">
        <v>2.5660000000000001E-3</v>
      </c>
      <c r="F601">
        <v>114962293</v>
      </c>
      <c r="G601">
        <v>1.1000000000000001</v>
      </c>
      <c r="L601" t="s">
        <v>8</v>
      </c>
      <c r="M601" t="s">
        <v>8</v>
      </c>
      <c r="N601" t="s">
        <v>8</v>
      </c>
      <c r="P601">
        <f t="shared" si="989"/>
        <v>-0.16923076923076513</v>
      </c>
      <c r="Q601">
        <f t="shared" si="990"/>
        <v>-19455157.276922606</v>
      </c>
      <c r="R601">
        <f t="shared" si="991"/>
        <v>-1021537045.1347779</v>
      </c>
      <c r="S601">
        <f t="shared" si="992"/>
        <v>-10215.370451347779</v>
      </c>
      <c r="T601">
        <f t="shared" si="993"/>
        <v>-10.215370451347779</v>
      </c>
    </row>
    <row r="602" spans="1:20" x14ac:dyDescent="0.25">
      <c r="A602" s="5">
        <v>43991</v>
      </c>
      <c r="B602">
        <v>2.3990000000000001E-3</v>
      </c>
      <c r="C602">
        <v>2.5560000000000001E-3</v>
      </c>
      <c r="D602">
        <v>2.349E-3</v>
      </c>
      <c r="E602">
        <v>2.539E-3</v>
      </c>
      <c r="F602">
        <v>172686568</v>
      </c>
      <c r="G602">
        <v>5.84</v>
      </c>
      <c r="L602" t="s">
        <v>8</v>
      </c>
      <c r="M602" t="s">
        <v>8</v>
      </c>
      <c r="N602" t="s">
        <v>8</v>
      </c>
      <c r="P602">
        <f t="shared" si="989"/>
        <v>0.83574879227053067</v>
      </c>
      <c r="Q602">
        <f t="shared" si="990"/>
        <v>144322590.64734286</v>
      </c>
      <c r="R602">
        <f t="shared" si="991"/>
        <v>-1002081887.8578553</v>
      </c>
      <c r="S602">
        <f t="shared" si="992"/>
        <v>-10020.818878578553</v>
      </c>
      <c r="T602">
        <f t="shared" si="993"/>
        <v>-10.020818878578554</v>
      </c>
    </row>
    <row r="603" spans="1:20" x14ac:dyDescent="0.25">
      <c r="A603" s="5">
        <v>43990</v>
      </c>
      <c r="B603">
        <v>2.392E-3</v>
      </c>
      <c r="C603">
        <v>2.4450000000000001E-3</v>
      </c>
      <c r="D603">
        <v>2.3349999999999998E-3</v>
      </c>
      <c r="E603">
        <v>2.3869999999999998E-3</v>
      </c>
      <c r="F603">
        <v>74530431</v>
      </c>
      <c r="G603">
        <v>-0.21</v>
      </c>
      <c r="L603" t="s">
        <v>8</v>
      </c>
      <c r="M603" t="s">
        <v>8</v>
      </c>
      <c r="N603" t="s">
        <v>8</v>
      </c>
      <c r="P603">
        <f t="shared" si="989"/>
        <v>-5.45454545454577E-2</v>
      </c>
      <c r="Q603">
        <f t="shared" si="990"/>
        <v>-4065296.2363638715</v>
      </c>
      <c r="R603">
        <f t="shared" si="991"/>
        <v>-1146404478.5051982</v>
      </c>
      <c r="S603">
        <f t="shared" si="992"/>
        <v>-11464.044785051983</v>
      </c>
      <c r="T603">
        <f t="shared" si="993"/>
        <v>-11.464044785051984</v>
      </c>
    </row>
    <row r="604" spans="1:20" x14ac:dyDescent="0.25">
      <c r="A604" s="5">
        <v>43989</v>
      </c>
      <c r="B604">
        <v>2.454E-3</v>
      </c>
      <c r="C604">
        <v>2.4659999999999999E-3</v>
      </c>
      <c r="D604">
        <v>2.251E-3</v>
      </c>
      <c r="E604">
        <v>2.392E-3</v>
      </c>
      <c r="F604">
        <v>137531928</v>
      </c>
      <c r="G604">
        <v>-2.5299999999999998</v>
      </c>
      <c r="L604" t="s">
        <v>7</v>
      </c>
      <c r="M604" t="s">
        <v>8</v>
      </c>
      <c r="N604" t="s">
        <v>8</v>
      </c>
      <c r="P604">
        <f t="shared" si="989"/>
        <v>0.31162790697674531</v>
      </c>
      <c r="Q604">
        <f t="shared" si="990"/>
        <v>42858786.865116432</v>
      </c>
      <c r="R604">
        <f t="shared" si="991"/>
        <v>-1142339182.2688344</v>
      </c>
      <c r="S604">
        <f t="shared" si="992"/>
        <v>-11423.391822688343</v>
      </c>
      <c r="T604">
        <f t="shared" si="993"/>
        <v>-11.423391822688343</v>
      </c>
    </row>
    <row r="605" spans="1:20" x14ac:dyDescent="0.25">
      <c r="A605" s="5">
        <v>43988</v>
      </c>
      <c r="B605">
        <v>2.405E-3</v>
      </c>
      <c r="C605">
        <v>2.4940000000000001E-3</v>
      </c>
      <c r="D605">
        <v>2.3289999999999999E-3</v>
      </c>
      <c r="E605">
        <v>2.4550000000000002E-3</v>
      </c>
      <c r="F605">
        <v>142525588</v>
      </c>
      <c r="G605">
        <v>2.08</v>
      </c>
      <c r="L605" t="s">
        <v>7</v>
      </c>
      <c r="M605" t="s">
        <v>8</v>
      </c>
      <c r="N605" t="s">
        <v>8</v>
      </c>
      <c r="P605">
        <f t="shared" si="989"/>
        <v>0.52727272727272823</v>
      </c>
      <c r="Q605">
        <f t="shared" si="990"/>
        <v>75149855.490909234</v>
      </c>
      <c r="R605">
        <f t="shared" si="991"/>
        <v>-1185197969.1339507</v>
      </c>
      <c r="S605">
        <f t="shared" si="992"/>
        <v>-11851.979691339508</v>
      </c>
      <c r="T605">
        <f t="shared" si="993"/>
        <v>-11.851979691339508</v>
      </c>
    </row>
    <row r="606" spans="1:20" x14ac:dyDescent="0.25">
      <c r="A606" s="5">
        <v>43987</v>
      </c>
      <c r="B606">
        <v>2.5300000000000001E-3</v>
      </c>
      <c r="C606">
        <v>2.6289999999999998E-3</v>
      </c>
      <c r="D606">
        <v>2.3630000000000001E-3</v>
      </c>
      <c r="E606">
        <v>2.4060000000000002E-3</v>
      </c>
      <c r="F606">
        <v>167225523</v>
      </c>
      <c r="G606">
        <v>-4.9000000000000004</v>
      </c>
      <c r="L606" t="s">
        <v>7</v>
      </c>
      <c r="M606" t="s">
        <v>8</v>
      </c>
      <c r="N606" t="s">
        <v>8</v>
      </c>
      <c r="P606">
        <f t="shared" si="989"/>
        <v>-0.67669172932330746</v>
      </c>
      <c r="Q606">
        <f t="shared" si="990"/>
        <v>-113160128.34586452</v>
      </c>
      <c r="R606">
        <f t="shared" si="991"/>
        <v>-1260347824.62486</v>
      </c>
      <c r="S606">
        <f t="shared" si="992"/>
        <v>-12603.4782462486</v>
      </c>
      <c r="T606">
        <f t="shared" si="993"/>
        <v>-12.603478246248599</v>
      </c>
    </row>
    <row r="607" spans="1:20" x14ac:dyDescent="0.25">
      <c r="A607" s="5">
        <v>43986</v>
      </c>
      <c r="B607">
        <v>2.2300000000000002E-3</v>
      </c>
      <c r="C607">
        <v>2.6289999999999998E-3</v>
      </c>
      <c r="D607">
        <v>2.2200000000000002E-3</v>
      </c>
      <c r="E607">
        <v>2.5409999999999999E-3</v>
      </c>
      <c r="F607">
        <v>392431231</v>
      </c>
      <c r="G607">
        <v>13.95</v>
      </c>
      <c r="L607" t="s">
        <v>8</v>
      </c>
      <c r="M607" t="s">
        <v>8</v>
      </c>
      <c r="N607" t="s">
        <v>8</v>
      </c>
      <c r="P607">
        <f t="shared" si="989"/>
        <v>0.56968215158924185</v>
      </c>
      <c r="Q607">
        <f t="shared" si="990"/>
        <v>223561068.02689478</v>
      </c>
      <c r="R607">
        <f t="shared" si="991"/>
        <v>-1147187696.2789955</v>
      </c>
      <c r="S607">
        <f t="shared" si="992"/>
        <v>-11471.876962789955</v>
      </c>
      <c r="T607">
        <f t="shared" si="993"/>
        <v>-11.471876962789954</v>
      </c>
    </row>
    <row r="608" spans="1:20" x14ac:dyDescent="0.25">
      <c r="A608" s="5">
        <v>43985</v>
      </c>
      <c r="B608">
        <v>2.1199999999999999E-3</v>
      </c>
      <c r="C608">
        <v>2.261E-3</v>
      </c>
      <c r="D608">
        <v>2.0820000000000001E-3</v>
      </c>
      <c r="E608">
        <v>2.2209999999999999E-3</v>
      </c>
      <c r="F608">
        <v>70016127</v>
      </c>
      <c r="G608">
        <v>4.76</v>
      </c>
      <c r="L608" t="s">
        <v>8</v>
      </c>
      <c r="M608" t="s">
        <v>7</v>
      </c>
      <c r="N608" t="s">
        <v>8</v>
      </c>
      <c r="P608">
        <f t="shared" si="989"/>
        <v>0.55307262569832261</v>
      </c>
      <c r="Q608">
        <f t="shared" si="990"/>
        <v>38724003.201117218</v>
      </c>
      <c r="R608">
        <f t="shared" si="991"/>
        <v>-1370748764.3058903</v>
      </c>
      <c r="S608">
        <f t="shared" si="992"/>
        <v>-13707.487643058903</v>
      </c>
      <c r="T608">
        <f t="shared" si="993"/>
        <v>-13.707487643058903</v>
      </c>
    </row>
    <row r="609" spans="1:20" x14ac:dyDescent="0.25">
      <c r="A609" s="5">
        <v>43984</v>
      </c>
      <c r="B609">
        <v>2.2650000000000001E-3</v>
      </c>
      <c r="C609">
        <v>2.3280000000000002E-3</v>
      </c>
      <c r="D609">
        <v>2.055E-3</v>
      </c>
      <c r="E609">
        <v>2.1229999999999999E-3</v>
      </c>
      <c r="F609">
        <v>145014503</v>
      </c>
      <c r="G609">
        <v>-6.27</v>
      </c>
      <c r="L609" t="s">
        <v>7</v>
      </c>
      <c r="M609" t="s">
        <v>7</v>
      </c>
      <c r="N609" t="s">
        <v>8</v>
      </c>
      <c r="P609">
        <f t="shared" si="989"/>
        <v>-0.50183150183150282</v>
      </c>
      <c r="Q609">
        <f t="shared" si="990"/>
        <v>-72772845.827838972</v>
      </c>
      <c r="R609">
        <f t="shared" si="991"/>
        <v>-1409472767.5070076</v>
      </c>
      <c r="S609">
        <f t="shared" si="992"/>
        <v>-14094.727675070077</v>
      </c>
      <c r="T609">
        <f t="shared" si="993"/>
        <v>-14.094727675070077</v>
      </c>
    </row>
    <row r="610" spans="1:20" x14ac:dyDescent="0.25">
      <c r="A610" s="5">
        <v>43983</v>
      </c>
      <c r="B610">
        <v>2.2230000000000001E-3</v>
      </c>
      <c r="C610">
        <v>2.3080000000000002E-3</v>
      </c>
      <c r="D610">
        <v>2.186E-3</v>
      </c>
      <c r="E610">
        <v>2.2769999999999999E-3</v>
      </c>
      <c r="F610">
        <v>92344858</v>
      </c>
      <c r="G610">
        <v>2.4300000000000002</v>
      </c>
      <c r="L610" t="s">
        <v>7</v>
      </c>
      <c r="M610" t="s">
        <v>7</v>
      </c>
      <c r="N610" t="s">
        <v>8</v>
      </c>
      <c r="P610">
        <f t="shared" si="989"/>
        <v>0.49180327868852175</v>
      </c>
      <c r="Q610">
        <f t="shared" si="990"/>
        <v>45415503.934425965</v>
      </c>
      <c r="R610">
        <f t="shared" si="991"/>
        <v>-1336699921.6791687</v>
      </c>
      <c r="S610">
        <f t="shared" si="992"/>
        <v>-13366.999216791686</v>
      </c>
      <c r="T610">
        <f t="shared" si="993"/>
        <v>-13.366999216791687</v>
      </c>
    </row>
    <row r="611" spans="1:20" x14ac:dyDescent="0.25">
      <c r="A611" s="5">
        <v>43982</v>
      </c>
      <c r="B611">
        <v>2.1789999999999999E-3</v>
      </c>
      <c r="C611">
        <v>2.385E-3</v>
      </c>
      <c r="D611">
        <v>2.1559999999999999E-3</v>
      </c>
      <c r="E611">
        <v>2.2039999999999998E-3</v>
      </c>
      <c r="F611">
        <v>167390980</v>
      </c>
      <c r="G611">
        <v>1.1499999999999999</v>
      </c>
      <c r="L611" t="s">
        <v>8</v>
      </c>
      <c r="M611" t="s">
        <v>7</v>
      </c>
      <c r="N611" t="s">
        <v>8</v>
      </c>
      <c r="P611">
        <f t="shared" si="989"/>
        <v>-0.58078602620087461</v>
      </c>
      <c r="Q611">
        <f t="shared" si="990"/>
        <v>-97218342.096070081</v>
      </c>
      <c r="R611">
        <f t="shared" si="991"/>
        <v>-1382115425.6135948</v>
      </c>
      <c r="S611">
        <f t="shared" si="992"/>
        <v>-13821.154256135947</v>
      </c>
      <c r="T611">
        <f t="shared" si="993"/>
        <v>-13.821154256135948</v>
      </c>
    </row>
    <row r="612" spans="1:20" x14ac:dyDescent="0.25">
      <c r="A612" s="5">
        <v>43981</v>
      </c>
      <c r="B612">
        <v>2.1679999999999998E-3</v>
      </c>
      <c r="C612">
        <v>2.2070000000000002E-3</v>
      </c>
      <c r="D612">
        <v>2.117E-3</v>
      </c>
      <c r="E612">
        <v>2.183E-3</v>
      </c>
      <c r="F612">
        <v>98744327</v>
      </c>
      <c r="G612">
        <v>0.69</v>
      </c>
      <c r="L612" t="s">
        <v>8</v>
      </c>
      <c r="M612" t="s">
        <v>7</v>
      </c>
      <c r="N612" t="s">
        <v>8</v>
      </c>
      <c r="P612">
        <f t="shared" si="989"/>
        <v>0.46666666666666473</v>
      </c>
      <c r="Q612">
        <f t="shared" si="990"/>
        <v>46080685.933333144</v>
      </c>
      <c r="R612">
        <f t="shared" si="991"/>
        <v>-1284897083.5175247</v>
      </c>
      <c r="S612">
        <f t="shared" si="992"/>
        <v>-12848.970835175247</v>
      </c>
      <c r="T612">
        <f t="shared" si="993"/>
        <v>-12.848970835175248</v>
      </c>
    </row>
    <row r="613" spans="1:20" x14ac:dyDescent="0.25">
      <c r="A613" s="5">
        <v>43980</v>
      </c>
      <c r="B613">
        <v>2.2260000000000001E-3</v>
      </c>
      <c r="C613">
        <v>2.2390000000000001E-3</v>
      </c>
      <c r="D613">
        <v>2.0709999999999999E-3</v>
      </c>
      <c r="E613">
        <v>2.183E-3</v>
      </c>
      <c r="F613">
        <v>208766889</v>
      </c>
      <c r="G613">
        <v>-1.93</v>
      </c>
      <c r="L613" t="s">
        <v>7</v>
      </c>
      <c r="M613" t="s">
        <v>7</v>
      </c>
      <c r="N613" t="s">
        <v>8</v>
      </c>
      <c r="P613">
        <f t="shared" si="989"/>
        <v>0.33333333333333331</v>
      </c>
      <c r="Q613">
        <f t="shared" si="990"/>
        <v>69588963</v>
      </c>
      <c r="R613">
        <f t="shared" si="991"/>
        <v>-1330977769.4508579</v>
      </c>
      <c r="S613">
        <f t="shared" si="992"/>
        <v>-13309.777694508579</v>
      </c>
      <c r="T613">
        <f t="shared" si="993"/>
        <v>-13.309777694508579</v>
      </c>
    </row>
    <row r="614" spans="1:20" x14ac:dyDescent="0.25">
      <c r="A614" s="5">
        <v>43979</v>
      </c>
      <c r="B614">
        <v>2.4120000000000001E-3</v>
      </c>
      <c r="C614">
        <v>2.4369999999999999E-3</v>
      </c>
      <c r="D614">
        <v>2.0990000000000002E-3</v>
      </c>
      <c r="E614">
        <v>2.2260000000000001E-3</v>
      </c>
      <c r="F614">
        <v>390422009</v>
      </c>
      <c r="G614">
        <v>-7.71</v>
      </c>
      <c r="L614" t="s">
        <v>7</v>
      </c>
      <c r="M614" t="s">
        <v>7</v>
      </c>
      <c r="N614" t="s">
        <v>8</v>
      </c>
      <c r="P614">
        <f t="shared" si="989"/>
        <v>-0.2485207100591714</v>
      </c>
      <c r="Q614">
        <f t="shared" si="990"/>
        <v>-97027954.899408206</v>
      </c>
      <c r="R614">
        <f t="shared" si="991"/>
        <v>-1400566732.4508579</v>
      </c>
      <c r="S614">
        <f t="shared" si="992"/>
        <v>-14005.667324508579</v>
      </c>
      <c r="T614">
        <f t="shared" si="993"/>
        <v>-14.005667324508579</v>
      </c>
    </row>
    <row r="615" spans="1:20" x14ac:dyDescent="0.25">
      <c r="A615" s="5">
        <v>43978</v>
      </c>
      <c r="B615">
        <v>2.1649999999999998E-3</v>
      </c>
      <c r="C615">
        <v>2.6099999999999999E-3</v>
      </c>
      <c r="D615">
        <v>2.1589999999999999E-3</v>
      </c>
      <c r="E615">
        <v>2.4009999999999999E-3</v>
      </c>
      <c r="F615">
        <v>755214443</v>
      </c>
      <c r="G615">
        <v>10.9</v>
      </c>
      <c r="L615" t="s">
        <v>8</v>
      </c>
      <c r="M615" t="s">
        <v>8</v>
      </c>
      <c r="N615" t="s">
        <v>8</v>
      </c>
      <c r="P615">
        <f t="shared" si="989"/>
        <v>7.3170731707317166E-2</v>
      </c>
      <c r="Q615">
        <f t="shared" si="990"/>
        <v>55259593.39024397</v>
      </c>
      <c r="R615">
        <f t="shared" si="991"/>
        <v>-1303538777.5514498</v>
      </c>
      <c r="S615">
        <f t="shared" si="992"/>
        <v>-13035.387775514499</v>
      </c>
      <c r="T615">
        <f t="shared" si="993"/>
        <v>-13.035387775514499</v>
      </c>
    </row>
    <row r="616" spans="1:20" x14ac:dyDescent="0.25">
      <c r="A616" s="5">
        <v>43977</v>
      </c>
      <c r="B616">
        <v>2.232E-3</v>
      </c>
      <c r="C616">
        <v>2.2889999999999998E-3</v>
      </c>
      <c r="D616">
        <v>2.0349999999999999E-3</v>
      </c>
      <c r="E616">
        <v>2.16E-3</v>
      </c>
      <c r="F616">
        <v>404450035</v>
      </c>
      <c r="G616">
        <v>-3.23</v>
      </c>
      <c r="L616" t="s">
        <v>7</v>
      </c>
      <c r="M616" t="s">
        <v>7</v>
      </c>
      <c r="N616" t="s">
        <v>8</v>
      </c>
      <c r="P616">
        <f t="shared" si="989"/>
        <v>-1.5748031496061674E-2</v>
      </c>
      <c r="Q616">
        <f t="shared" si="990"/>
        <v>-6369291.8897632463</v>
      </c>
      <c r="R616">
        <f t="shared" si="991"/>
        <v>-1358798370.9416938</v>
      </c>
      <c r="S616">
        <f t="shared" si="992"/>
        <v>-13587.983709416938</v>
      </c>
      <c r="T616">
        <f t="shared" si="993"/>
        <v>-13.587983709416937</v>
      </c>
    </row>
    <row r="617" spans="1:20" x14ac:dyDescent="0.25">
      <c r="A617" s="5">
        <v>43976</v>
      </c>
      <c r="B617">
        <v>1.833E-3</v>
      </c>
      <c r="C617">
        <v>2.5339999999999998E-3</v>
      </c>
      <c r="D617">
        <v>1.8240000000000001E-3</v>
      </c>
      <c r="E617">
        <v>2.232E-3</v>
      </c>
      <c r="F617">
        <v>582664425</v>
      </c>
      <c r="G617">
        <v>21.77</v>
      </c>
      <c r="L617" t="s">
        <v>8</v>
      </c>
      <c r="M617" t="s">
        <v>8</v>
      </c>
      <c r="N617" t="s">
        <v>8</v>
      </c>
      <c r="P617">
        <f t="shared" si="989"/>
        <v>0.14929577464788765</v>
      </c>
      <c r="Q617">
        <f t="shared" si="990"/>
        <v>86989336.690141037</v>
      </c>
      <c r="R617">
        <f t="shared" si="991"/>
        <v>-1352429079.0519304</v>
      </c>
      <c r="S617">
        <f t="shared" si="992"/>
        <v>-13524.290790519304</v>
      </c>
      <c r="T617">
        <f t="shared" si="993"/>
        <v>-13.524290790519304</v>
      </c>
    </row>
    <row r="618" spans="1:20" x14ac:dyDescent="0.25">
      <c r="A618" s="5">
        <v>43975</v>
      </c>
      <c r="B618">
        <v>1.8890000000000001E-3</v>
      </c>
      <c r="C618">
        <v>2.0149999999999999E-3</v>
      </c>
      <c r="D618">
        <v>1.823E-3</v>
      </c>
      <c r="E618">
        <v>1.856E-3</v>
      </c>
      <c r="F618">
        <v>205018723</v>
      </c>
      <c r="G618">
        <v>-1.75</v>
      </c>
      <c r="L618" t="s">
        <v>7</v>
      </c>
      <c r="M618" t="s">
        <v>8</v>
      </c>
      <c r="N618" t="s">
        <v>8</v>
      </c>
      <c r="P618">
        <f t="shared" si="989"/>
        <v>-0.65624999999999933</v>
      </c>
      <c r="Q618">
        <f t="shared" si="990"/>
        <v>-134543536.96874985</v>
      </c>
      <c r="R618">
        <f t="shared" si="991"/>
        <v>-1439418415.7420714</v>
      </c>
      <c r="S618">
        <f t="shared" si="992"/>
        <v>-14394.184157420714</v>
      </c>
      <c r="T618">
        <f t="shared" si="993"/>
        <v>-14.394184157420714</v>
      </c>
    </row>
    <row r="619" spans="1:20" x14ac:dyDescent="0.25">
      <c r="A619" s="5">
        <v>43974</v>
      </c>
      <c r="B619">
        <v>1.9849999999999998E-3</v>
      </c>
      <c r="C619">
        <v>2.0330000000000001E-3</v>
      </c>
      <c r="D619">
        <v>1.8439999999999999E-3</v>
      </c>
      <c r="E619">
        <v>1.903E-3</v>
      </c>
      <c r="F619">
        <v>126446229</v>
      </c>
      <c r="G619">
        <v>-4.13</v>
      </c>
      <c r="L619" t="s">
        <v>8</v>
      </c>
      <c r="M619" t="s">
        <v>8</v>
      </c>
      <c r="N619" t="s">
        <v>8</v>
      </c>
      <c r="P619">
        <f t="shared" si="989"/>
        <v>-0.37566137566137592</v>
      </c>
      <c r="Q619">
        <f t="shared" si="990"/>
        <v>-47500964.333333366</v>
      </c>
      <c r="R619">
        <f t="shared" si="991"/>
        <v>-1304874878.7733216</v>
      </c>
      <c r="S619">
        <f t="shared" si="992"/>
        <v>-13048.748787733217</v>
      </c>
      <c r="T619">
        <f t="shared" si="993"/>
        <v>-13.048748787733217</v>
      </c>
    </row>
    <row r="620" spans="1:20" x14ac:dyDescent="0.25">
      <c r="A620" s="5">
        <v>43973</v>
      </c>
      <c r="B620">
        <v>1.8259999999999999E-3</v>
      </c>
      <c r="C620">
        <v>1.9849999999999998E-3</v>
      </c>
      <c r="D620">
        <v>1.781E-3</v>
      </c>
      <c r="E620">
        <v>1.9849999999999998E-3</v>
      </c>
      <c r="F620">
        <v>198619237</v>
      </c>
      <c r="G620">
        <v>8.7100000000000009</v>
      </c>
      <c r="L620" t="s">
        <v>7</v>
      </c>
      <c r="M620" t="s">
        <v>8</v>
      </c>
      <c r="N620" t="s">
        <v>8</v>
      </c>
      <c r="P620">
        <f t="shared" si="989"/>
        <v>1</v>
      </c>
      <c r="Q620">
        <f t="shared" si="990"/>
        <v>198619237</v>
      </c>
      <c r="R620">
        <f t="shared" si="991"/>
        <v>-1257373914.4399884</v>
      </c>
      <c r="S620">
        <f t="shared" si="992"/>
        <v>-12573.739144399884</v>
      </c>
      <c r="T620">
        <f t="shared" si="993"/>
        <v>-12.573739144399884</v>
      </c>
    </row>
    <row r="621" spans="1:20" x14ac:dyDescent="0.25">
      <c r="A621" s="5">
        <v>43972</v>
      </c>
      <c r="B621">
        <v>1.686E-3</v>
      </c>
      <c r="C621">
        <v>1.9659999999999999E-3</v>
      </c>
      <c r="D621">
        <v>1.686E-3</v>
      </c>
      <c r="E621">
        <v>1.8289999999999999E-3</v>
      </c>
      <c r="F621">
        <v>403743973</v>
      </c>
      <c r="G621">
        <v>8.48</v>
      </c>
      <c r="L621" t="s">
        <v>8</v>
      </c>
      <c r="M621" t="s">
        <v>8</v>
      </c>
      <c r="N621" t="s">
        <v>8</v>
      </c>
      <c r="P621">
        <f t="shared" si="989"/>
        <v>2.1428571428571186E-2</v>
      </c>
      <c r="Q621">
        <f t="shared" si="990"/>
        <v>8651656.5642856155</v>
      </c>
      <c r="R621">
        <f t="shared" si="991"/>
        <v>-1455993151.4399884</v>
      </c>
      <c r="S621">
        <f t="shared" si="992"/>
        <v>-14559.931514399883</v>
      </c>
      <c r="T621">
        <f t="shared" si="993"/>
        <v>-14.559931514399883</v>
      </c>
    </row>
    <row r="622" spans="1:20" x14ac:dyDescent="0.25">
      <c r="A622" s="5">
        <v>43971</v>
      </c>
      <c r="B622">
        <v>1.768E-3</v>
      </c>
      <c r="C622">
        <v>1.768E-3</v>
      </c>
      <c r="D622">
        <v>1.653E-3</v>
      </c>
      <c r="E622">
        <v>1.702E-3</v>
      </c>
      <c r="F622">
        <v>110944806</v>
      </c>
      <c r="G622">
        <v>-3.73</v>
      </c>
      <c r="L622" t="s">
        <v>7</v>
      </c>
      <c r="M622" t="s">
        <v>7</v>
      </c>
      <c r="N622" t="s">
        <v>8</v>
      </c>
      <c r="P622">
        <f t="shared" si="989"/>
        <v>-0.14782608695652238</v>
      </c>
      <c r="Q622">
        <f t="shared" si="990"/>
        <v>-16400536.539130507</v>
      </c>
      <c r="R622">
        <f t="shared" si="991"/>
        <v>-1464644808.0042739</v>
      </c>
      <c r="S622">
        <f t="shared" si="992"/>
        <v>-14646.448080042739</v>
      </c>
      <c r="T622">
        <f t="shared" si="993"/>
        <v>-14.64644808004274</v>
      </c>
    </row>
    <row r="623" spans="1:20" x14ac:dyDescent="0.25">
      <c r="A623" s="5">
        <v>43970</v>
      </c>
      <c r="B623">
        <v>1.8550000000000001E-3</v>
      </c>
      <c r="C623">
        <v>1.856E-3</v>
      </c>
      <c r="D623">
        <v>1.737E-3</v>
      </c>
      <c r="E623">
        <v>1.766E-3</v>
      </c>
      <c r="F623">
        <v>123443495</v>
      </c>
      <c r="G623">
        <v>-4.8</v>
      </c>
      <c r="L623" t="s">
        <v>7</v>
      </c>
      <c r="M623" t="s">
        <v>8</v>
      </c>
      <c r="N623" t="s">
        <v>8</v>
      </c>
      <c r="P623">
        <f t="shared" si="989"/>
        <v>-0.51260504201680746</v>
      </c>
      <c r="Q623">
        <f t="shared" si="990"/>
        <v>-63277757.941176564</v>
      </c>
      <c r="R623">
        <f t="shared" si="991"/>
        <v>-1448244271.4651434</v>
      </c>
      <c r="S623">
        <f t="shared" si="992"/>
        <v>-14482.442714651434</v>
      </c>
      <c r="T623">
        <f t="shared" si="993"/>
        <v>-14.482442714651434</v>
      </c>
    </row>
    <row r="624" spans="1:20" x14ac:dyDescent="0.25">
      <c r="A624" s="5">
        <v>43969</v>
      </c>
      <c r="B624">
        <v>1.6789999999999999E-3</v>
      </c>
      <c r="C624">
        <v>2.0230000000000001E-3</v>
      </c>
      <c r="D624">
        <v>1.6789999999999999E-3</v>
      </c>
      <c r="E624">
        <v>1.848E-3</v>
      </c>
      <c r="F624">
        <v>281459271</v>
      </c>
      <c r="G624">
        <v>10.07</v>
      </c>
      <c r="L624" t="s">
        <v>8</v>
      </c>
      <c r="M624" t="s">
        <v>8</v>
      </c>
      <c r="N624" t="s">
        <v>8</v>
      </c>
      <c r="P624">
        <f t="shared" si="989"/>
        <v>-1.7441860465116067E-2</v>
      </c>
      <c r="Q624">
        <f t="shared" si="990"/>
        <v>-4909173.3313952889</v>
      </c>
      <c r="R624">
        <f t="shared" si="991"/>
        <v>-1384966513.5239668</v>
      </c>
      <c r="S624">
        <f t="shared" si="992"/>
        <v>-13849.665135239668</v>
      </c>
      <c r="T624">
        <f t="shared" si="993"/>
        <v>-13.849665135239668</v>
      </c>
    </row>
    <row r="625" spans="1:20" x14ac:dyDescent="0.25">
      <c r="A625" s="5">
        <v>43968</v>
      </c>
      <c r="B625">
        <v>1.696E-3</v>
      </c>
      <c r="C625">
        <v>1.769E-3</v>
      </c>
      <c r="D625">
        <v>1.6609999999999999E-3</v>
      </c>
      <c r="E625">
        <v>1.676E-3</v>
      </c>
      <c r="F625">
        <v>98762658</v>
      </c>
      <c r="G625">
        <v>-1.18</v>
      </c>
      <c r="L625" t="s">
        <v>7</v>
      </c>
      <c r="M625" t="s">
        <v>8</v>
      </c>
      <c r="N625" t="s">
        <v>7</v>
      </c>
      <c r="P625">
        <f t="shared" si="989"/>
        <v>-0.72222222222222154</v>
      </c>
      <c r="Q625">
        <f t="shared" si="990"/>
        <v>-71328586.333333269</v>
      </c>
      <c r="R625">
        <f t="shared" si="991"/>
        <v>-1380057340.1925714</v>
      </c>
      <c r="S625">
        <f t="shared" si="992"/>
        <v>-13800.573401925714</v>
      </c>
      <c r="T625">
        <f t="shared" si="993"/>
        <v>-13.800573401925714</v>
      </c>
    </row>
    <row r="626" spans="1:20" x14ac:dyDescent="0.25">
      <c r="A626" s="5">
        <v>43967</v>
      </c>
      <c r="B626">
        <v>1.565E-3</v>
      </c>
      <c r="C626">
        <v>1.83E-3</v>
      </c>
      <c r="D626">
        <v>1.5529999999999999E-3</v>
      </c>
      <c r="E626">
        <v>1.6919999999999999E-3</v>
      </c>
      <c r="F626">
        <v>180830382</v>
      </c>
      <c r="G626">
        <v>8.1199999999999992</v>
      </c>
      <c r="L626" t="s">
        <v>8</v>
      </c>
      <c r="M626" t="s">
        <v>8</v>
      </c>
      <c r="N626" t="s">
        <v>7</v>
      </c>
      <c r="P626">
        <f t="shared" si="989"/>
        <v>3.6101083032487923E-3</v>
      </c>
      <c r="Q626">
        <f t="shared" si="990"/>
        <v>652817.26353785093</v>
      </c>
      <c r="R626">
        <f t="shared" si="991"/>
        <v>-1308728753.8592381</v>
      </c>
      <c r="S626">
        <f t="shared" si="992"/>
        <v>-13087.287538592382</v>
      </c>
      <c r="T626">
        <f t="shared" si="993"/>
        <v>-13.087287538592381</v>
      </c>
    </row>
    <row r="627" spans="1:20" x14ac:dyDescent="0.25">
      <c r="A627" s="5">
        <v>43966</v>
      </c>
      <c r="B627">
        <v>1.549E-3</v>
      </c>
      <c r="C627">
        <v>1.642E-3</v>
      </c>
      <c r="D627">
        <v>1.5200000000000001E-3</v>
      </c>
      <c r="E627">
        <v>1.565E-3</v>
      </c>
      <c r="F627">
        <v>53627447</v>
      </c>
      <c r="G627">
        <v>1.03</v>
      </c>
      <c r="L627" t="s">
        <v>8</v>
      </c>
      <c r="M627" t="s">
        <v>8</v>
      </c>
      <c r="N627" t="s">
        <v>7</v>
      </c>
      <c r="P627">
        <f t="shared" si="989"/>
        <v>-0.26229508196721429</v>
      </c>
      <c r="Q627">
        <f t="shared" si="990"/>
        <v>-14066215.60655744</v>
      </c>
      <c r="R627">
        <f t="shared" si="991"/>
        <v>-1309381571.122776</v>
      </c>
      <c r="S627">
        <f t="shared" si="992"/>
        <v>-13093.81571122776</v>
      </c>
      <c r="T627">
        <f t="shared" si="993"/>
        <v>-13.09381571122776</v>
      </c>
    </row>
    <row r="628" spans="1:20" x14ac:dyDescent="0.25">
      <c r="A628" s="5">
        <v>43965</v>
      </c>
      <c r="B628">
        <v>1.557E-3</v>
      </c>
      <c r="C628">
        <v>1.5950000000000001E-3</v>
      </c>
      <c r="D628">
        <v>1.5150000000000001E-3</v>
      </c>
      <c r="E628">
        <v>1.549E-3</v>
      </c>
      <c r="F628">
        <v>94823361</v>
      </c>
      <c r="G628">
        <v>-0.51</v>
      </c>
      <c r="L628" t="s">
        <v>8</v>
      </c>
      <c r="M628" t="s">
        <v>7</v>
      </c>
      <c r="N628" t="s">
        <v>7</v>
      </c>
      <c r="P628">
        <f t="shared" si="989"/>
        <v>-0.15000000000000094</v>
      </c>
      <c r="Q628">
        <f t="shared" si="990"/>
        <v>-14223504.15000009</v>
      </c>
      <c r="R628">
        <f t="shared" si="991"/>
        <v>-1295315355.5162187</v>
      </c>
      <c r="S628">
        <f t="shared" si="992"/>
        <v>-12953.153555162187</v>
      </c>
      <c r="T628">
        <f t="shared" si="993"/>
        <v>-12.953153555162187</v>
      </c>
    </row>
    <row r="629" spans="1:20" x14ac:dyDescent="0.25">
      <c r="A629" s="5">
        <v>43964</v>
      </c>
      <c r="B629">
        <v>1.5120000000000001E-3</v>
      </c>
      <c r="C629">
        <v>1.562E-3</v>
      </c>
      <c r="D629">
        <v>1.5020000000000001E-3</v>
      </c>
      <c r="E629">
        <v>1.557E-3</v>
      </c>
      <c r="F629">
        <v>39668855</v>
      </c>
      <c r="G629">
        <v>2.98</v>
      </c>
      <c r="L629" t="s">
        <v>8</v>
      </c>
      <c r="M629" t="s">
        <v>7</v>
      </c>
      <c r="N629" t="s">
        <v>7</v>
      </c>
      <c r="P629">
        <f t="shared" si="989"/>
        <v>0.8333333333333327</v>
      </c>
      <c r="Q629">
        <f t="shared" si="990"/>
        <v>33057379.166666642</v>
      </c>
      <c r="R629">
        <f t="shared" si="991"/>
        <v>-1281091851.3662186</v>
      </c>
      <c r="S629">
        <f t="shared" si="992"/>
        <v>-12810.918513662185</v>
      </c>
      <c r="T629">
        <f t="shared" si="993"/>
        <v>-12.810918513662186</v>
      </c>
    </row>
    <row r="630" spans="1:20" x14ac:dyDescent="0.25">
      <c r="A630" s="5">
        <v>43963</v>
      </c>
      <c r="B630">
        <v>1.4469999999999999E-3</v>
      </c>
      <c r="C630">
        <v>1.5349999999999999E-3</v>
      </c>
      <c r="D630">
        <v>1.436E-3</v>
      </c>
      <c r="E630">
        <v>1.5100000000000001E-3</v>
      </c>
      <c r="F630">
        <v>68967220</v>
      </c>
      <c r="G630">
        <v>4.3499999999999996</v>
      </c>
      <c r="L630" t="s">
        <v>8</v>
      </c>
      <c r="M630" t="s">
        <v>7</v>
      </c>
      <c r="N630" t="s">
        <v>7</v>
      </c>
      <c r="P630">
        <f t="shared" si="989"/>
        <v>0.49494949494949758</v>
      </c>
      <c r="Q630">
        <f t="shared" si="990"/>
        <v>34135290.707070887</v>
      </c>
      <c r="R630">
        <f t="shared" si="991"/>
        <v>-1314149230.5328853</v>
      </c>
      <c r="S630">
        <f t="shared" si="992"/>
        <v>-13141.492305328853</v>
      </c>
      <c r="T630">
        <f t="shared" si="993"/>
        <v>-13.141492305328853</v>
      </c>
    </row>
    <row r="631" spans="1:20" x14ac:dyDescent="0.25">
      <c r="A631" s="5">
        <v>43962</v>
      </c>
      <c r="B631">
        <v>1.529E-3</v>
      </c>
      <c r="C631">
        <v>1.5380000000000001E-3</v>
      </c>
      <c r="D631">
        <v>1.372E-3</v>
      </c>
      <c r="E631">
        <v>1.449E-3</v>
      </c>
      <c r="F631">
        <v>76796569</v>
      </c>
      <c r="G631">
        <v>-5.23</v>
      </c>
      <c r="L631" t="s">
        <v>7</v>
      </c>
      <c r="M631" t="s">
        <v>7</v>
      </c>
      <c r="N631" t="s">
        <v>7</v>
      </c>
      <c r="P631">
        <f t="shared" si="989"/>
        <v>-7.2289156626506423E-2</v>
      </c>
      <c r="Q631">
        <f t="shared" si="990"/>
        <v>-5551559.2048193077</v>
      </c>
      <c r="R631">
        <f t="shared" si="991"/>
        <v>-1348284521.2399561</v>
      </c>
      <c r="S631">
        <f t="shared" si="992"/>
        <v>-13482.845212399561</v>
      </c>
      <c r="T631">
        <f t="shared" si="993"/>
        <v>-13.48284521239956</v>
      </c>
    </row>
    <row r="632" spans="1:20" x14ac:dyDescent="0.25">
      <c r="A632" s="5">
        <v>43961</v>
      </c>
      <c r="B632">
        <v>1.653E-3</v>
      </c>
      <c r="C632">
        <v>1.653E-3</v>
      </c>
      <c r="D632">
        <v>1.431E-3</v>
      </c>
      <c r="E632">
        <v>1.5150000000000001E-3</v>
      </c>
      <c r="F632">
        <v>97499271</v>
      </c>
      <c r="G632">
        <v>-8.35</v>
      </c>
      <c r="L632" t="s">
        <v>7</v>
      </c>
      <c r="M632" t="s">
        <v>7</v>
      </c>
      <c r="N632" t="s">
        <v>7</v>
      </c>
      <c r="P632">
        <f t="shared" si="989"/>
        <v>-0.24324324324324234</v>
      </c>
      <c r="Q632">
        <f t="shared" si="990"/>
        <v>-23716038.891891804</v>
      </c>
      <c r="R632">
        <f t="shared" si="991"/>
        <v>-1342732962.0351369</v>
      </c>
      <c r="S632">
        <f t="shared" si="992"/>
        <v>-13427.329620351369</v>
      </c>
      <c r="T632">
        <f t="shared" si="993"/>
        <v>-13.427329620351369</v>
      </c>
    </row>
    <row r="633" spans="1:20" x14ac:dyDescent="0.25">
      <c r="A633" s="5">
        <v>43960</v>
      </c>
      <c r="B633">
        <v>1.6980000000000001E-3</v>
      </c>
      <c r="C633">
        <v>1.72E-3</v>
      </c>
      <c r="D633">
        <v>1.645E-3</v>
      </c>
      <c r="E633">
        <v>1.653E-3</v>
      </c>
      <c r="F633">
        <v>32267748</v>
      </c>
      <c r="G633">
        <v>-2.65</v>
      </c>
      <c r="L633" t="s">
        <v>7</v>
      </c>
      <c r="M633" t="s">
        <v>7</v>
      </c>
      <c r="N633" t="s">
        <v>8</v>
      </c>
      <c r="P633">
        <f t="shared" si="989"/>
        <v>-0.78666666666666718</v>
      </c>
      <c r="Q633">
        <f t="shared" si="990"/>
        <v>-25383961.760000017</v>
      </c>
      <c r="R633">
        <f t="shared" si="991"/>
        <v>-1319016923.1432452</v>
      </c>
      <c r="S633">
        <f t="shared" si="992"/>
        <v>-13190.169231432452</v>
      </c>
      <c r="T633">
        <f t="shared" si="993"/>
        <v>-13.190169231432451</v>
      </c>
    </row>
    <row r="634" spans="1:20" x14ac:dyDescent="0.25">
      <c r="A634" s="5">
        <v>43959</v>
      </c>
      <c r="B634">
        <v>1.686E-3</v>
      </c>
      <c r="C634">
        <v>1.779E-3</v>
      </c>
      <c r="D634">
        <v>1.634E-3</v>
      </c>
      <c r="E634">
        <v>1.6980000000000001E-3</v>
      </c>
      <c r="F634">
        <v>85300798</v>
      </c>
      <c r="G634">
        <v>0.71</v>
      </c>
      <c r="L634" t="s">
        <v>8</v>
      </c>
      <c r="M634" t="s">
        <v>7</v>
      </c>
      <c r="N634" t="s">
        <v>8</v>
      </c>
      <c r="P634">
        <f t="shared" si="989"/>
        <v>-0.11724137931034398</v>
      </c>
      <c r="Q634">
        <f t="shared" si="990"/>
        <v>-10000783.213793032</v>
      </c>
      <c r="R634">
        <f t="shared" si="991"/>
        <v>-1293632961.3832452</v>
      </c>
      <c r="S634">
        <f t="shared" si="992"/>
        <v>-12936.329613832453</v>
      </c>
      <c r="T634">
        <f t="shared" si="993"/>
        <v>-12.936329613832454</v>
      </c>
    </row>
    <row r="635" spans="1:20" x14ac:dyDescent="0.25">
      <c r="A635" s="5">
        <v>43958</v>
      </c>
      <c r="B635">
        <v>1.704E-3</v>
      </c>
      <c r="C635">
        <v>1.722E-3</v>
      </c>
      <c r="D635">
        <v>1.6260000000000001E-3</v>
      </c>
      <c r="E635">
        <v>1.696E-3</v>
      </c>
      <c r="F635">
        <v>169122760</v>
      </c>
      <c r="G635">
        <v>-0.47</v>
      </c>
      <c r="L635" t="s">
        <v>7</v>
      </c>
      <c r="M635" t="s">
        <v>7</v>
      </c>
      <c r="N635" t="s">
        <v>8</v>
      </c>
      <c r="P635">
        <f t="shared" si="989"/>
        <v>0.45833333333333343</v>
      </c>
      <c r="Q635">
        <f t="shared" si="990"/>
        <v>77514598.333333343</v>
      </c>
      <c r="R635">
        <f t="shared" si="991"/>
        <v>-1283632178.1694522</v>
      </c>
      <c r="S635">
        <f t="shared" si="992"/>
        <v>-12836.321781694522</v>
      </c>
      <c r="T635">
        <f t="shared" si="993"/>
        <v>-12.836321781694522</v>
      </c>
    </row>
    <row r="636" spans="1:20" x14ac:dyDescent="0.25">
      <c r="A636" s="5">
        <v>43957</v>
      </c>
      <c r="B636">
        <v>1.83E-3</v>
      </c>
      <c r="C636">
        <v>1.9090000000000001E-3</v>
      </c>
      <c r="D636">
        <v>1.704E-3</v>
      </c>
      <c r="E636">
        <v>1.707E-3</v>
      </c>
      <c r="F636">
        <v>326741249</v>
      </c>
      <c r="G636">
        <v>-6.72</v>
      </c>
      <c r="L636" t="s">
        <v>7</v>
      </c>
      <c r="M636" t="s">
        <v>7</v>
      </c>
      <c r="N636" t="s">
        <v>8</v>
      </c>
      <c r="P636">
        <f t="shared" si="989"/>
        <v>-0.97073170731707348</v>
      </c>
      <c r="Q636">
        <f t="shared" si="990"/>
        <v>-317178090.49268305</v>
      </c>
      <c r="R636">
        <f t="shared" si="991"/>
        <v>-1361146776.5027854</v>
      </c>
      <c r="S636">
        <f t="shared" si="992"/>
        <v>-13611.467765027854</v>
      </c>
      <c r="T636">
        <f t="shared" si="993"/>
        <v>-13.611467765027854</v>
      </c>
    </row>
    <row r="637" spans="1:20" x14ac:dyDescent="0.25">
      <c r="A637" s="5">
        <v>43956</v>
      </c>
      <c r="B637">
        <v>1.604E-3</v>
      </c>
      <c r="C637">
        <v>2.0830000000000002E-3</v>
      </c>
      <c r="D637">
        <v>1.5950000000000001E-3</v>
      </c>
      <c r="E637">
        <v>1.8240000000000001E-3</v>
      </c>
      <c r="F637">
        <v>914582418</v>
      </c>
      <c r="G637">
        <v>13.72</v>
      </c>
      <c r="L637" t="s">
        <v>8</v>
      </c>
      <c r="M637" t="s">
        <v>8</v>
      </c>
      <c r="N637" t="s">
        <v>8</v>
      </c>
      <c r="P637">
        <f t="shared" si="989"/>
        <v>-6.1475409836065718E-2</v>
      </c>
      <c r="Q637">
        <f t="shared" si="990"/>
        <v>-56224328.97540997</v>
      </c>
      <c r="R637">
        <f t="shared" si="991"/>
        <v>-1043968686.0101024</v>
      </c>
      <c r="S637">
        <f t="shared" si="992"/>
        <v>-10439.686860101025</v>
      </c>
      <c r="T637">
        <f t="shared" si="993"/>
        <v>-10.439686860101025</v>
      </c>
    </row>
    <row r="638" spans="1:20" x14ac:dyDescent="0.25">
      <c r="A638" s="5">
        <v>43955</v>
      </c>
      <c r="B638">
        <v>1.552E-3</v>
      </c>
      <c r="C638">
        <v>1.6559999999999999E-3</v>
      </c>
      <c r="D638">
        <v>1.472E-3</v>
      </c>
      <c r="E638">
        <v>1.604E-3</v>
      </c>
      <c r="F638">
        <v>182737923</v>
      </c>
      <c r="G638">
        <v>3.35</v>
      </c>
      <c r="L638" t="s">
        <v>7</v>
      </c>
      <c r="M638" t="s">
        <v>8</v>
      </c>
      <c r="N638" t="s">
        <v>8</v>
      </c>
      <c r="P638">
        <f t="shared" si="989"/>
        <v>0.43478260869565233</v>
      </c>
      <c r="Q638">
        <f t="shared" si="990"/>
        <v>79451270.869565248</v>
      </c>
      <c r="R638">
        <f t="shared" si="991"/>
        <v>-987744357.03469241</v>
      </c>
      <c r="S638">
        <f t="shared" si="992"/>
        <v>-9877.4435703469244</v>
      </c>
      <c r="T638">
        <f t="shared" si="993"/>
        <v>-9.8774435703469248</v>
      </c>
    </row>
    <row r="639" spans="1:20" x14ac:dyDescent="0.25">
      <c r="A639" s="5">
        <v>43954</v>
      </c>
      <c r="B639">
        <v>1.5969999999999999E-3</v>
      </c>
      <c r="C639">
        <v>1.616E-3</v>
      </c>
      <c r="D639">
        <v>1.5380000000000001E-3</v>
      </c>
      <c r="E639">
        <v>1.5449999999999999E-3</v>
      </c>
      <c r="F639">
        <v>36304309</v>
      </c>
      <c r="G639">
        <v>-3.26</v>
      </c>
      <c r="L639" t="s">
        <v>7</v>
      </c>
      <c r="M639" t="s">
        <v>8</v>
      </c>
      <c r="N639" t="s">
        <v>8</v>
      </c>
      <c r="P639">
        <f t="shared" si="989"/>
        <v>-0.82051282051282437</v>
      </c>
      <c r="Q639">
        <f t="shared" si="990"/>
        <v>-29788150.974359114</v>
      </c>
      <c r="R639">
        <f t="shared" si="991"/>
        <v>-1067195627.9042577</v>
      </c>
      <c r="S639">
        <f t="shared" si="992"/>
        <v>-10671.956279042577</v>
      </c>
      <c r="T639">
        <f t="shared" si="993"/>
        <v>-10.671956279042577</v>
      </c>
    </row>
    <row r="640" spans="1:20" x14ac:dyDescent="0.25">
      <c r="A640" s="5">
        <v>43953</v>
      </c>
      <c r="B640">
        <v>1.567E-3</v>
      </c>
      <c r="C640">
        <v>1.611E-3</v>
      </c>
      <c r="D640">
        <v>1.555E-3</v>
      </c>
      <c r="E640">
        <v>1.5969999999999999E-3</v>
      </c>
      <c r="F640">
        <v>36268019</v>
      </c>
      <c r="G640">
        <v>1.91</v>
      </c>
      <c r="L640" t="s">
        <v>7</v>
      </c>
      <c r="M640" t="s">
        <v>8</v>
      </c>
      <c r="N640" t="s">
        <v>8</v>
      </c>
      <c r="P640">
        <f t="shared" si="989"/>
        <v>0.49999999999999611</v>
      </c>
      <c r="Q640">
        <f t="shared" si="990"/>
        <v>18134009.499999858</v>
      </c>
      <c r="R640">
        <f t="shared" si="991"/>
        <v>-1037407476.9298985</v>
      </c>
      <c r="S640">
        <f t="shared" si="992"/>
        <v>-10374.074769298984</v>
      </c>
      <c r="T640">
        <f t="shared" si="993"/>
        <v>-10.374074769298984</v>
      </c>
    </row>
    <row r="641" spans="1:20" x14ac:dyDescent="0.25">
      <c r="A641" s="5">
        <v>43952</v>
      </c>
      <c r="B641">
        <v>1.519E-3</v>
      </c>
      <c r="C641">
        <v>1.6080000000000001E-3</v>
      </c>
      <c r="D641">
        <v>1.5120000000000001E-3</v>
      </c>
      <c r="E641">
        <v>1.572E-3</v>
      </c>
      <c r="F641">
        <v>51338433</v>
      </c>
      <c r="G641">
        <v>3.49</v>
      </c>
      <c r="L641" t="s">
        <v>7</v>
      </c>
      <c r="M641" t="s">
        <v>8</v>
      </c>
      <c r="N641" t="s">
        <v>8</v>
      </c>
      <c r="P641">
        <f t="shared" si="989"/>
        <v>0.24999999999999944</v>
      </c>
      <c r="Q641">
        <f t="shared" si="990"/>
        <v>12834608.249999972</v>
      </c>
      <c r="R641">
        <f t="shared" si="991"/>
        <v>-1055541486.4298984</v>
      </c>
      <c r="S641">
        <f t="shared" si="992"/>
        <v>-10555.414864298984</v>
      </c>
      <c r="T641">
        <f t="shared" si="993"/>
        <v>-10.555414864298983</v>
      </c>
    </row>
    <row r="642" spans="1:20" x14ac:dyDescent="0.25">
      <c r="A642" s="5">
        <v>43951</v>
      </c>
      <c r="B642">
        <v>1.5579999999999999E-3</v>
      </c>
      <c r="C642">
        <v>1.637E-3</v>
      </c>
      <c r="D642">
        <v>1.5089999999999999E-3</v>
      </c>
      <c r="E642">
        <v>1.524E-3</v>
      </c>
      <c r="F642">
        <v>90484206</v>
      </c>
      <c r="G642">
        <v>-2.1800000000000002</v>
      </c>
      <c r="L642" t="s">
        <v>8</v>
      </c>
      <c r="M642" t="s">
        <v>8</v>
      </c>
      <c r="N642" t="s">
        <v>8</v>
      </c>
      <c r="P642">
        <f t="shared" si="989"/>
        <v>-0.76562499999999956</v>
      </c>
      <c r="Q642">
        <f t="shared" si="990"/>
        <v>-69276970.218749955</v>
      </c>
      <c r="R642">
        <f t="shared" si="991"/>
        <v>-1068376094.6798984</v>
      </c>
      <c r="S642">
        <f t="shared" si="992"/>
        <v>-10683.760946798984</v>
      </c>
      <c r="T642">
        <f t="shared" si="993"/>
        <v>-10.683760946798984</v>
      </c>
    </row>
    <row r="643" spans="1:20" x14ac:dyDescent="0.25">
      <c r="A643" s="5">
        <v>43950</v>
      </c>
      <c r="B643">
        <v>1.5299999999999999E-3</v>
      </c>
      <c r="C643">
        <v>1.5900000000000001E-3</v>
      </c>
      <c r="D643">
        <v>1.508E-3</v>
      </c>
      <c r="E643">
        <v>1.5629999999999999E-3</v>
      </c>
      <c r="F643">
        <v>106511416</v>
      </c>
      <c r="G643">
        <v>2.16</v>
      </c>
      <c r="L643" t="s">
        <v>7</v>
      </c>
      <c r="M643" t="s">
        <v>8</v>
      </c>
      <c r="N643" t="s">
        <v>8</v>
      </c>
      <c r="P643">
        <f t="shared" si="989"/>
        <v>0.34146341463414387</v>
      </c>
      <c r="Q643">
        <f t="shared" si="990"/>
        <v>36369751.804877788</v>
      </c>
      <c r="R643">
        <f t="shared" si="991"/>
        <v>-999099124.46114838</v>
      </c>
      <c r="S643">
        <f t="shared" si="992"/>
        <v>-9990.9912446114831</v>
      </c>
      <c r="T643">
        <f t="shared" si="993"/>
        <v>-9.9909912446114824</v>
      </c>
    </row>
    <row r="644" spans="1:20" x14ac:dyDescent="0.25">
      <c r="A644" s="5">
        <v>43949</v>
      </c>
      <c r="B644">
        <v>1.5950000000000001E-3</v>
      </c>
      <c r="C644">
        <v>1.622E-3</v>
      </c>
      <c r="D644">
        <v>1.513E-3</v>
      </c>
      <c r="E644">
        <v>1.531E-3</v>
      </c>
      <c r="F644">
        <v>92050352</v>
      </c>
      <c r="G644">
        <v>-4.01</v>
      </c>
      <c r="L644" t="s">
        <v>8</v>
      </c>
      <c r="M644" t="s">
        <v>8</v>
      </c>
      <c r="N644" t="s">
        <v>8</v>
      </c>
      <c r="P644">
        <f t="shared" si="989"/>
        <v>-0.66972477064220159</v>
      </c>
      <c r="Q644">
        <f t="shared" si="990"/>
        <v>-61648400.880733922</v>
      </c>
      <c r="R644">
        <f t="shared" si="991"/>
        <v>-1035468876.2660261</v>
      </c>
      <c r="S644">
        <f t="shared" si="992"/>
        <v>-10354.688762660262</v>
      </c>
      <c r="T644">
        <f t="shared" si="993"/>
        <v>-10.354688762660262</v>
      </c>
    </row>
    <row r="645" spans="1:20" x14ac:dyDescent="0.25">
      <c r="A645" s="5">
        <v>43948</v>
      </c>
      <c r="B645">
        <v>1.498E-3</v>
      </c>
      <c r="C645">
        <v>1.6800000000000001E-3</v>
      </c>
      <c r="D645">
        <v>1.49E-3</v>
      </c>
      <c r="E645">
        <v>1.5900000000000001E-3</v>
      </c>
      <c r="F645">
        <v>205135978</v>
      </c>
      <c r="G645">
        <v>6.14</v>
      </c>
      <c r="L645" t="s">
        <v>7</v>
      </c>
      <c r="M645" t="s">
        <v>8</v>
      </c>
      <c r="N645" t="s">
        <v>8</v>
      </c>
      <c r="P645">
        <f t="shared" si="989"/>
        <v>5.2631578947368543E-2</v>
      </c>
      <c r="Q645">
        <f t="shared" si="990"/>
        <v>10796630.421052657</v>
      </c>
      <c r="R645">
        <f t="shared" si="991"/>
        <v>-973820475.38529217</v>
      </c>
      <c r="S645">
        <f t="shared" si="992"/>
        <v>-9738.2047538529223</v>
      </c>
      <c r="T645">
        <f t="shared" si="993"/>
        <v>-9.7382047538529228</v>
      </c>
    </row>
    <row r="646" spans="1:20" x14ac:dyDescent="0.25">
      <c r="A646" s="5">
        <v>43947</v>
      </c>
      <c r="B646">
        <v>1.415E-3</v>
      </c>
      <c r="C646">
        <v>1.689E-3</v>
      </c>
      <c r="D646">
        <v>1.415E-3</v>
      </c>
      <c r="E646">
        <v>1.488E-3</v>
      </c>
      <c r="F646">
        <v>296888576</v>
      </c>
      <c r="G646">
        <v>5.16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-0.46715328467153322</v>
      </c>
      <c r="Q646">
        <f t="shared" ref="Q646:Q709" si="995">F646*P646</f>
        <v>-138692473.45985413</v>
      </c>
      <c r="R646">
        <f t="shared" ref="R646:R709" si="996">R647+Q646</f>
        <v>-984617105.80634487</v>
      </c>
      <c r="S646">
        <f t="shared" ref="S646:S709" si="997">R646/100000</f>
        <v>-9846.1710580634481</v>
      </c>
      <c r="T646">
        <f t="shared" ref="T646:T709" si="998">S646/1000</f>
        <v>-9.8461710580634474</v>
      </c>
    </row>
    <row r="647" spans="1:20" x14ac:dyDescent="0.25">
      <c r="A647" s="5">
        <v>43946</v>
      </c>
      <c r="B647">
        <v>1.3799999999999999E-3</v>
      </c>
      <c r="C647">
        <v>1.4970000000000001E-3</v>
      </c>
      <c r="D647">
        <v>1.372E-3</v>
      </c>
      <c r="E647">
        <v>1.415E-3</v>
      </c>
      <c r="F647">
        <v>72338982</v>
      </c>
      <c r="G647">
        <v>2.54</v>
      </c>
      <c r="L647" t="s">
        <v>8</v>
      </c>
      <c r="M647" t="s">
        <v>8</v>
      </c>
      <c r="N647" t="s">
        <v>7</v>
      </c>
      <c r="P647">
        <f t="shared" si="994"/>
        <v>-0.3119999999999995</v>
      </c>
      <c r="Q647">
        <f t="shared" si="995"/>
        <v>-22569762.383999962</v>
      </c>
      <c r="R647">
        <f t="shared" si="996"/>
        <v>-845924632.34649074</v>
      </c>
      <c r="S647">
        <f t="shared" si="997"/>
        <v>-8459.2463234649076</v>
      </c>
      <c r="T647">
        <f t="shared" si="998"/>
        <v>-8.4592463234649085</v>
      </c>
    </row>
    <row r="648" spans="1:20" x14ac:dyDescent="0.25">
      <c r="A648" s="5">
        <v>43945</v>
      </c>
      <c r="B648">
        <v>1.3649999999999999E-3</v>
      </c>
      <c r="C648">
        <v>1.3979999999999999E-3</v>
      </c>
      <c r="D648">
        <v>1.3550000000000001E-3</v>
      </c>
      <c r="E648">
        <v>1.3780000000000001E-3</v>
      </c>
      <c r="F648">
        <v>39483342</v>
      </c>
      <c r="G648">
        <v>0.95</v>
      </c>
      <c r="L648" t="s">
        <v>8</v>
      </c>
      <c r="M648" t="s">
        <v>8</v>
      </c>
      <c r="N648" t="s">
        <v>7</v>
      </c>
      <c r="P648">
        <f t="shared" si="994"/>
        <v>6.976744186046957E-2</v>
      </c>
      <c r="Q648">
        <f t="shared" si="995"/>
        <v>2754651.7674420364</v>
      </c>
      <c r="R648">
        <f t="shared" si="996"/>
        <v>-823354869.9624908</v>
      </c>
      <c r="S648">
        <f t="shared" si="997"/>
        <v>-8233.5486996249074</v>
      </c>
      <c r="T648">
        <f t="shared" si="998"/>
        <v>-8.2335486996249081</v>
      </c>
    </row>
    <row r="649" spans="1:20" x14ac:dyDescent="0.25">
      <c r="A649" s="5">
        <v>43944</v>
      </c>
      <c r="B649">
        <v>1.351E-3</v>
      </c>
      <c r="C649">
        <v>1.3940000000000001E-3</v>
      </c>
      <c r="D649">
        <v>1.317E-3</v>
      </c>
      <c r="E649">
        <v>1.3669999999999999E-3</v>
      </c>
      <c r="F649">
        <v>74321477</v>
      </c>
      <c r="G649">
        <v>1.18</v>
      </c>
      <c r="L649" t="s">
        <v>8</v>
      </c>
      <c r="M649" t="s">
        <v>8</v>
      </c>
      <c r="N649" t="s">
        <v>7</v>
      </c>
      <c r="P649">
        <f t="shared" si="994"/>
        <v>0.29870129870129597</v>
      </c>
      <c r="Q649">
        <f t="shared" si="995"/>
        <v>22199921.701298498</v>
      </c>
      <c r="R649">
        <f t="shared" si="996"/>
        <v>-826109521.72993279</v>
      </c>
      <c r="S649">
        <f t="shared" si="997"/>
        <v>-8261.0952172993275</v>
      </c>
      <c r="T649">
        <f t="shared" si="998"/>
        <v>-8.2610952172993279</v>
      </c>
    </row>
    <row r="650" spans="1:20" x14ac:dyDescent="0.25">
      <c r="A650" s="5">
        <v>43943</v>
      </c>
      <c r="B650">
        <v>1.315E-3</v>
      </c>
      <c r="C650">
        <v>1.3669999999999999E-3</v>
      </c>
      <c r="D650">
        <v>1.2999999999999999E-3</v>
      </c>
      <c r="E650">
        <v>1.3500000000000001E-3</v>
      </c>
      <c r="F650">
        <v>36248595</v>
      </c>
      <c r="G650">
        <v>2.66</v>
      </c>
      <c r="L650" t="s">
        <v>7</v>
      </c>
      <c r="M650" t="s">
        <v>8</v>
      </c>
      <c r="N650" t="s">
        <v>7</v>
      </c>
      <c r="P650">
        <f t="shared" si="994"/>
        <v>0.49253731343283969</v>
      </c>
      <c r="Q650">
        <f t="shared" si="995"/>
        <v>17853785.597015064</v>
      </c>
      <c r="R650">
        <f t="shared" si="996"/>
        <v>-848309443.43123126</v>
      </c>
      <c r="S650">
        <f t="shared" si="997"/>
        <v>-8483.0944343123119</v>
      </c>
      <c r="T650">
        <f t="shared" si="998"/>
        <v>-8.4830944343123118</v>
      </c>
    </row>
    <row r="651" spans="1:20" x14ac:dyDescent="0.25">
      <c r="A651" s="5">
        <v>43942</v>
      </c>
      <c r="B651">
        <v>1.3420000000000001E-3</v>
      </c>
      <c r="C651">
        <v>1.3450000000000001E-3</v>
      </c>
      <c r="D651">
        <v>1.276E-3</v>
      </c>
      <c r="E651">
        <v>1.3140000000000001E-3</v>
      </c>
      <c r="F651">
        <v>55566023</v>
      </c>
      <c r="G651">
        <v>-2.09</v>
      </c>
      <c r="L651" t="s">
        <v>7</v>
      </c>
      <c r="M651" t="s">
        <v>8</v>
      </c>
      <c r="N651" t="s">
        <v>7</v>
      </c>
      <c r="P651">
        <f t="shared" si="994"/>
        <v>0.10144927536231967</v>
      </c>
      <c r="Q651">
        <f t="shared" si="995"/>
        <v>5637132.768115988</v>
      </c>
      <c r="R651">
        <f t="shared" si="996"/>
        <v>-866163229.02824628</v>
      </c>
      <c r="S651">
        <f t="shared" si="997"/>
        <v>-8661.6322902824631</v>
      </c>
      <c r="T651">
        <f t="shared" si="998"/>
        <v>-8.6616322902824638</v>
      </c>
    </row>
    <row r="652" spans="1:20" x14ac:dyDescent="0.25">
      <c r="A652" s="5">
        <v>43941</v>
      </c>
      <c r="B652">
        <v>1.384E-3</v>
      </c>
      <c r="C652">
        <v>1.4040000000000001E-3</v>
      </c>
      <c r="D652">
        <v>1.3209999999999999E-3</v>
      </c>
      <c r="E652">
        <v>1.343E-3</v>
      </c>
      <c r="F652">
        <v>45973886</v>
      </c>
      <c r="G652">
        <v>-2.96</v>
      </c>
      <c r="L652" t="s">
        <v>8</v>
      </c>
      <c r="M652" t="s">
        <v>8</v>
      </c>
      <c r="N652" t="s">
        <v>7</v>
      </c>
      <c r="P652">
        <f t="shared" si="994"/>
        <v>-0.46987951807228784</v>
      </c>
      <c r="Q652">
        <f t="shared" si="995"/>
        <v>-21602187.397590302</v>
      </c>
      <c r="R652">
        <f t="shared" si="996"/>
        <v>-871800361.79636228</v>
      </c>
      <c r="S652">
        <f t="shared" si="997"/>
        <v>-8718.0036179636227</v>
      </c>
      <c r="T652">
        <f t="shared" si="998"/>
        <v>-8.7180036179636229</v>
      </c>
    </row>
    <row r="653" spans="1:20" x14ac:dyDescent="0.25">
      <c r="A653" s="5">
        <v>43940</v>
      </c>
      <c r="B653">
        <v>1.403E-3</v>
      </c>
      <c r="C653">
        <v>1.41E-3</v>
      </c>
      <c r="D653">
        <v>1.3699999999999999E-3</v>
      </c>
      <c r="E653">
        <v>1.3810000000000001E-3</v>
      </c>
      <c r="F653">
        <v>42405130</v>
      </c>
      <c r="G653">
        <v>-1.57</v>
      </c>
      <c r="L653" t="s">
        <v>8</v>
      </c>
      <c r="M653" t="s">
        <v>8</v>
      </c>
      <c r="N653" t="s">
        <v>7</v>
      </c>
      <c r="P653">
        <f t="shared" si="994"/>
        <v>-0.44999999999999352</v>
      </c>
      <c r="Q653">
        <f t="shared" si="995"/>
        <v>-19082308.499999724</v>
      </c>
      <c r="R653">
        <f t="shared" si="996"/>
        <v>-850198174.398772</v>
      </c>
      <c r="S653">
        <f t="shared" si="997"/>
        <v>-8501.9817439877206</v>
      </c>
      <c r="T653">
        <f t="shared" si="998"/>
        <v>-8.5019817439877201</v>
      </c>
    </row>
    <row r="654" spans="1:20" x14ac:dyDescent="0.25">
      <c r="A654" s="5">
        <v>43939</v>
      </c>
      <c r="B654">
        <v>1.3829999999999999E-3</v>
      </c>
      <c r="C654">
        <v>1.4189999999999999E-3</v>
      </c>
      <c r="D654">
        <v>1.382E-3</v>
      </c>
      <c r="E654">
        <v>1.395E-3</v>
      </c>
      <c r="F654">
        <v>38188621</v>
      </c>
      <c r="G654">
        <v>0.87</v>
      </c>
      <c r="L654" t="s">
        <v>8</v>
      </c>
      <c r="M654" t="s">
        <v>8</v>
      </c>
      <c r="N654" t="s">
        <v>7</v>
      </c>
      <c r="P654">
        <f t="shared" si="994"/>
        <v>-0.29729729729729637</v>
      </c>
      <c r="Q654">
        <f t="shared" si="995"/>
        <v>-11353373.810810775</v>
      </c>
      <c r="R654">
        <f t="shared" si="996"/>
        <v>-831115865.89877224</v>
      </c>
      <c r="S654">
        <f t="shared" si="997"/>
        <v>-8311.1586589877224</v>
      </c>
      <c r="T654">
        <f t="shared" si="998"/>
        <v>-8.311158658987722</v>
      </c>
    </row>
    <row r="655" spans="1:20" x14ac:dyDescent="0.25">
      <c r="A655" s="5">
        <v>43938</v>
      </c>
      <c r="B655">
        <v>1.39E-3</v>
      </c>
      <c r="C655">
        <v>1.3979999999999999E-3</v>
      </c>
      <c r="D655">
        <v>1.3550000000000001E-3</v>
      </c>
      <c r="E655">
        <v>1.3829999999999999E-3</v>
      </c>
      <c r="F655">
        <v>31368285</v>
      </c>
      <c r="G655">
        <v>-0.5</v>
      </c>
      <c r="L655" t="s">
        <v>8</v>
      </c>
      <c r="M655" t="s">
        <v>8</v>
      </c>
      <c r="N655" t="s">
        <v>7</v>
      </c>
      <c r="P655">
        <f t="shared" si="994"/>
        <v>0.3023255813953446</v>
      </c>
      <c r="Q655">
        <f t="shared" si="995"/>
        <v>9483434.9999998678</v>
      </c>
      <c r="R655">
        <f t="shared" si="996"/>
        <v>-819762492.08796144</v>
      </c>
      <c r="S655">
        <f t="shared" si="997"/>
        <v>-8197.6249208796144</v>
      </c>
      <c r="T655">
        <f t="shared" si="998"/>
        <v>-8.1976249208796137</v>
      </c>
    </row>
    <row r="656" spans="1:20" x14ac:dyDescent="0.25">
      <c r="A656" s="5">
        <v>43937</v>
      </c>
      <c r="B656">
        <v>1.3209999999999999E-3</v>
      </c>
      <c r="C656">
        <v>1.42E-3</v>
      </c>
      <c r="D656">
        <v>1.3060000000000001E-3</v>
      </c>
      <c r="E656">
        <v>1.3960000000000001E-3</v>
      </c>
      <c r="F656">
        <v>63078766</v>
      </c>
      <c r="G656">
        <v>5.68</v>
      </c>
      <c r="L656" t="s">
        <v>7</v>
      </c>
      <c r="M656" t="s">
        <v>8</v>
      </c>
      <c r="N656" t="s">
        <v>7</v>
      </c>
      <c r="P656">
        <f t="shared" si="994"/>
        <v>0.57894736842105365</v>
      </c>
      <c r="Q656">
        <f t="shared" si="995"/>
        <v>36519285.578947432</v>
      </c>
      <c r="R656">
        <f t="shared" si="996"/>
        <v>-829245927.08796132</v>
      </c>
      <c r="S656">
        <f t="shared" si="997"/>
        <v>-8292.4592708796135</v>
      </c>
      <c r="T656">
        <f t="shared" si="998"/>
        <v>-8.292459270879613</v>
      </c>
    </row>
    <row r="657" spans="1:20" x14ac:dyDescent="0.25">
      <c r="A657" s="5">
        <v>43936</v>
      </c>
      <c r="B657">
        <v>1.4189999999999999E-3</v>
      </c>
      <c r="C657">
        <v>1.495E-3</v>
      </c>
      <c r="D657">
        <v>1.3209999999999999E-3</v>
      </c>
      <c r="E657">
        <v>1.3359999999999999E-3</v>
      </c>
      <c r="F657">
        <v>124618272</v>
      </c>
      <c r="G657">
        <v>-5.85</v>
      </c>
      <c r="L657" t="s">
        <v>8</v>
      </c>
      <c r="M657" t="s">
        <v>8</v>
      </c>
      <c r="N657" t="s">
        <v>7</v>
      </c>
      <c r="P657">
        <f t="shared" si="994"/>
        <v>-0.82758620689655138</v>
      </c>
      <c r="Q657">
        <f t="shared" si="995"/>
        <v>-103132363.03448272</v>
      </c>
      <c r="R657">
        <f t="shared" si="996"/>
        <v>-865765212.66690874</v>
      </c>
      <c r="S657">
        <f t="shared" si="997"/>
        <v>-8657.652126669087</v>
      </c>
      <c r="T657">
        <f t="shared" si="998"/>
        <v>-8.6576521266690865</v>
      </c>
    </row>
    <row r="658" spans="1:20" x14ac:dyDescent="0.25">
      <c r="A658" s="5">
        <v>43935</v>
      </c>
      <c r="B658">
        <v>1.315E-3</v>
      </c>
      <c r="C658">
        <v>1.4400000000000001E-3</v>
      </c>
      <c r="D658">
        <v>1.2620000000000001E-3</v>
      </c>
      <c r="E658">
        <v>1.4090000000000001E-3</v>
      </c>
      <c r="F658">
        <v>100280094</v>
      </c>
      <c r="G658">
        <v>7.15</v>
      </c>
      <c r="L658" t="s">
        <v>8</v>
      </c>
      <c r="M658" t="s">
        <v>8</v>
      </c>
      <c r="N658" t="s">
        <v>7</v>
      </c>
      <c r="P658">
        <f t="shared" si="994"/>
        <v>0.651685393258427</v>
      </c>
      <c r="Q658">
        <f t="shared" si="995"/>
        <v>65351072.494382024</v>
      </c>
      <c r="R658">
        <f t="shared" si="996"/>
        <v>-762632849.63242602</v>
      </c>
      <c r="S658">
        <f t="shared" si="997"/>
        <v>-7626.3284963242604</v>
      </c>
      <c r="T658">
        <f t="shared" si="998"/>
        <v>-7.6263284963242608</v>
      </c>
    </row>
    <row r="659" spans="1:20" x14ac:dyDescent="0.25">
      <c r="A659" s="5">
        <v>43934</v>
      </c>
      <c r="B659">
        <v>1.374E-3</v>
      </c>
      <c r="C659">
        <v>1.374E-3</v>
      </c>
      <c r="D659">
        <v>1.139E-3</v>
      </c>
      <c r="E659">
        <v>1.3140000000000001E-3</v>
      </c>
      <c r="F659">
        <v>156652999</v>
      </c>
      <c r="G659">
        <v>-4.37</v>
      </c>
      <c r="L659" t="s">
        <v>7</v>
      </c>
      <c r="M659" t="s">
        <v>7</v>
      </c>
      <c r="N659" t="s">
        <v>7</v>
      </c>
      <c r="P659">
        <f t="shared" si="994"/>
        <v>0.48936170212766</v>
      </c>
      <c r="Q659">
        <f t="shared" si="995"/>
        <v>76659978.234042615</v>
      </c>
      <c r="R659">
        <f t="shared" si="996"/>
        <v>-827983922.12680805</v>
      </c>
      <c r="S659">
        <f t="shared" si="997"/>
        <v>-8279.839221268081</v>
      </c>
      <c r="T659">
        <f t="shared" si="998"/>
        <v>-8.2798392212680803</v>
      </c>
    </row>
    <row r="660" spans="1:20" x14ac:dyDescent="0.25">
      <c r="A660" s="5">
        <v>43933</v>
      </c>
      <c r="B660">
        <v>1.3810000000000001E-3</v>
      </c>
      <c r="C660">
        <v>1.42E-3</v>
      </c>
      <c r="D660">
        <v>1.34E-3</v>
      </c>
      <c r="E660">
        <v>1.3780000000000001E-3</v>
      </c>
      <c r="F660">
        <v>39273571</v>
      </c>
      <c r="G660">
        <v>-0.22</v>
      </c>
      <c r="L660" t="s">
        <v>8</v>
      </c>
      <c r="M660" t="s">
        <v>7</v>
      </c>
      <c r="N660" t="s">
        <v>7</v>
      </c>
      <c r="P660">
        <f t="shared" si="994"/>
        <v>-4.9999999999998511E-2</v>
      </c>
      <c r="Q660">
        <f t="shared" si="995"/>
        <v>-1963678.5499999416</v>
      </c>
      <c r="R660">
        <f t="shared" si="996"/>
        <v>-904643900.36085069</v>
      </c>
      <c r="S660">
        <f t="shared" si="997"/>
        <v>-9046.439003608506</v>
      </c>
      <c r="T660">
        <f t="shared" si="998"/>
        <v>-9.0464390036085067</v>
      </c>
    </row>
    <row r="661" spans="1:20" x14ac:dyDescent="0.25">
      <c r="A661" s="5">
        <v>43932</v>
      </c>
      <c r="B661">
        <v>1.3359999999999999E-3</v>
      </c>
      <c r="C661">
        <v>1.392E-3</v>
      </c>
      <c r="D661">
        <v>1.3290000000000001E-3</v>
      </c>
      <c r="E661">
        <v>1.3780000000000001E-3</v>
      </c>
      <c r="F661">
        <v>42471951</v>
      </c>
      <c r="G661">
        <v>3.14</v>
      </c>
      <c r="L661" t="s">
        <v>7</v>
      </c>
      <c r="M661" t="s">
        <v>7</v>
      </c>
      <c r="N661" t="s">
        <v>7</v>
      </c>
      <c r="P661">
        <f t="shared" si="994"/>
        <v>0.5555555555555578</v>
      </c>
      <c r="Q661">
        <f t="shared" si="995"/>
        <v>23595528.333333429</v>
      </c>
      <c r="R661">
        <f t="shared" si="996"/>
        <v>-902680221.81085074</v>
      </c>
      <c r="S661">
        <f t="shared" si="997"/>
        <v>-9026.8022181085071</v>
      </c>
      <c r="T661">
        <f t="shared" si="998"/>
        <v>-9.0268022181085072</v>
      </c>
    </row>
    <row r="662" spans="1:20" x14ac:dyDescent="0.25">
      <c r="A662" s="5">
        <v>43931</v>
      </c>
      <c r="B662">
        <v>1.477E-3</v>
      </c>
      <c r="C662">
        <v>1.48E-3</v>
      </c>
      <c r="D662">
        <v>1.3129999999999999E-3</v>
      </c>
      <c r="E662">
        <v>1.338E-3</v>
      </c>
      <c r="F662">
        <v>86091385</v>
      </c>
      <c r="G662">
        <v>-9.41</v>
      </c>
      <c r="L662" t="s">
        <v>7</v>
      </c>
      <c r="M662" t="s">
        <v>7</v>
      </c>
      <c r="N662" t="s">
        <v>7</v>
      </c>
      <c r="P662">
        <f t="shared" si="994"/>
        <v>-0.70059880239520889</v>
      </c>
      <c r="Q662">
        <f t="shared" si="995"/>
        <v>-60315521.227544852</v>
      </c>
      <c r="R662">
        <f t="shared" si="996"/>
        <v>-926275750.14418411</v>
      </c>
      <c r="S662">
        <f t="shared" si="997"/>
        <v>-9262.7575014418417</v>
      </c>
      <c r="T662">
        <f t="shared" si="998"/>
        <v>-9.2627575014418415</v>
      </c>
    </row>
    <row r="663" spans="1:20" x14ac:dyDescent="0.25">
      <c r="A663" s="5">
        <v>43930</v>
      </c>
      <c r="B663">
        <v>1.49E-3</v>
      </c>
      <c r="C663">
        <v>1.4989999999999999E-3</v>
      </c>
      <c r="D663">
        <v>1.4580000000000001E-3</v>
      </c>
      <c r="E663">
        <v>1.475E-3</v>
      </c>
      <c r="F663">
        <v>38054600</v>
      </c>
      <c r="G663">
        <v>-1.01</v>
      </c>
      <c r="L663" t="s">
        <v>8</v>
      </c>
      <c r="M663" t="s">
        <v>7</v>
      </c>
      <c r="N663" t="s">
        <v>7</v>
      </c>
      <c r="P663">
        <f t="shared" si="994"/>
        <v>-0.17073170731707549</v>
      </c>
      <c r="Q663">
        <f t="shared" si="995"/>
        <v>-6497126.829268381</v>
      </c>
      <c r="R663">
        <f t="shared" si="996"/>
        <v>-865960228.91663921</v>
      </c>
      <c r="S663">
        <f t="shared" si="997"/>
        <v>-8659.6022891663924</v>
      </c>
      <c r="T663">
        <f t="shared" si="998"/>
        <v>-8.6596022891663917</v>
      </c>
    </row>
    <row r="664" spans="1:20" x14ac:dyDescent="0.25">
      <c r="A664" s="5">
        <v>43929</v>
      </c>
      <c r="B664">
        <v>1.4729999999999999E-3</v>
      </c>
      <c r="C664">
        <v>1.505E-3</v>
      </c>
      <c r="D664">
        <v>1.4519999999999999E-3</v>
      </c>
      <c r="E664">
        <v>1.49E-3</v>
      </c>
      <c r="F664">
        <v>31317226</v>
      </c>
      <c r="G664">
        <v>1.1499999999999999</v>
      </c>
      <c r="L664" t="s">
        <v>8</v>
      </c>
      <c r="M664" t="s">
        <v>7</v>
      </c>
      <c r="N664" t="s">
        <v>7</v>
      </c>
      <c r="P664">
        <f t="shared" si="994"/>
        <v>0.43396226415094291</v>
      </c>
      <c r="Q664">
        <f t="shared" si="995"/>
        <v>13590494.301886776</v>
      </c>
      <c r="R664">
        <f t="shared" si="996"/>
        <v>-859463102.08737087</v>
      </c>
      <c r="S664">
        <f t="shared" si="997"/>
        <v>-8594.6310208737086</v>
      </c>
      <c r="T664">
        <f t="shared" si="998"/>
        <v>-8.5946310208737078</v>
      </c>
    </row>
    <row r="665" spans="1:20" x14ac:dyDescent="0.25">
      <c r="A665" s="5">
        <v>43928</v>
      </c>
      <c r="B665">
        <v>1.5089999999999999E-3</v>
      </c>
      <c r="C665">
        <v>1.5510000000000001E-3</v>
      </c>
      <c r="D665">
        <v>1.4610000000000001E-3</v>
      </c>
      <c r="E665">
        <v>1.469E-3</v>
      </c>
      <c r="F665">
        <v>94034906</v>
      </c>
      <c r="G665">
        <v>-2.65</v>
      </c>
      <c r="L665" t="s">
        <v>8</v>
      </c>
      <c r="M665" t="s">
        <v>7</v>
      </c>
      <c r="N665" t="s">
        <v>7</v>
      </c>
      <c r="P665">
        <f t="shared" si="994"/>
        <v>-0.82222222222222274</v>
      </c>
      <c r="Q665">
        <f t="shared" si="995"/>
        <v>-77317589.37777783</v>
      </c>
      <c r="R665">
        <f t="shared" si="996"/>
        <v>-873053596.38925767</v>
      </c>
      <c r="S665">
        <f t="shared" si="997"/>
        <v>-8730.5359638925765</v>
      </c>
      <c r="T665">
        <f t="shared" si="998"/>
        <v>-8.7305359638925761</v>
      </c>
    </row>
    <row r="666" spans="1:20" x14ac:dyDescent="0.25">
      <c r="A666" s="5">
        <v>43927</v>
      </c>
      <c r="B666">
        <v>1.4419999999999999E-3</v>
      </c>
      <c r="C666">
        <v>1.5089999999999999E-3</v>
      </c>
      <c r="D666">
        <v>1.436E-3</v>
      </c>
      <c r="E666">
        <v>1.5020000000000001E-3</v>
      </c>
      <c r="F666">
        <v>69038415</v>
      </c>
      <c r="G666">
        <v>4.16</v>
      </c>
      <c r="L666" t="s">
        <v>7</v>
      </c>
      <c r="M666" t="s">
        <v>7</v>
      </c>
      <c r="N666" t="s">
        <v>7</v>
      </c>
      <c r="P666">
        <f t="shared" si="994"/>
        <v>0.8082191780821959</v>
      </c>
      <c r="Q666">
        <f t="shared" si="995"/>
        <v>55798171.027397543</v>
      </c>
      <c r="R666">
        <f t="shared" si="996"/>
        <v>-795736007.01147985</v>
      </c>
      <c r="S666">
        <f t="shared" si="997"/>
        <v>-7957.3600701147989</v>
      </c>
      <c r="T666">
        <f t="shared" si="998"/>
        <v>-7.9573600701147988</v>
      </c>
    </row>
    <row r="667" spans="1:20" x14ac:dyDescent="0.25">
      <c r="A667" s="5">
        <v>43926</v>
      </c>
      <c r="B667">
        <v>1.4530000000000001E-3</v>
      </c>
      <c r="C667">
        <v>1.475E-3</v>
      </c>
      <c r="D667">
        <v>1.4250000000000001E-3</v>
      </c>
      <c r="E667">
        <v>1.4450000000000001E-3</v>
      </c>
      <c r="F667">
        <v>26811986</v>
      </c>
      <c r="G667">
        <v>-0.55000000000000004</v>
      </c>
      <c r="L667" t="s">
        <v>7</v>
      </c>
      <c r="M667" t="s">
        <v>7</v>
      </c>
      <c r="N667" t="s">
        <v>7</v>
      </c>
      <c r="P667">
        <f t="shared" si="994"/>
        <v>-0.19999999999999654</v>
      </c>
      <c r="Q667">
        <f t="shared" si="995"/>
        <v>-5362397.1999999071</v>
      </c>
      <c r="R667">
        <f t="shared" si="996"/>
        <v>-851534178.03887737</v>
      </c>
      <c r="S667">
        <f t="shared" si="997"/>
        <v>-8515.3417803887733</v>
      </c>
      <c r="T667">
        <f t="shared" si="998"/>
        <v>-8.5153417803887734</v>
      </c>
    </row>
    <row r="668" spans="1:20" x14ac:dyDescent="0.25">
      <c r="A668" s="5">
        <v>43925</v>
      </c>
      <c r="B668">
        <v>1.4430000000000001E-3</v>
      </c>
      <c r="C668">
        <v>1.487E-3</v>
      </c>
      <c r="D668">
        <v>1.413E-3</v>
      </c>
      <c r="E668">
        <v>1.451E-3</v>
      </c>
      <c r="F668">
        <v>38634814</v>
      </c>
      <c r="G668">
        <v>0.55000000000000004</v>
      </c>
      <c r="L668" t="s">
        <v>7</v>
      </c>
      <c r="M668" t="s">
        <v>7</v>
      </c>
      <c r="N668" t="s">
        <v>7</v>
      </c>
      <c r="P668">
        <f t="shared" si="994"/>
        <v>2.702702702702766E-2</v>
      </c>
      <c r="Q668">
        <f t="shared" si="995"/>
        <v>1044184.1621621866</v>
      </c>
      <c r="R668">
        <f t="shared" si="996"/>
        <v>-846171780.83887744</v>
      </c>
      <c r="S668">
        <f t="shared" si="997"/>
        <v>-8461.7178083887738</v>
      </c>
      <c r="T668">
        <f t="shared" si="998"/>
        <v>-8.461717808388773</v>
      </c>
    </row>
    <row r="669" spans="1:20" x14ac:dyDescent="0.25">
      <c r="A669" s="5">
        <v>43924</v>
      </c>
      <c r="B669">
        <v>1.4549999999999999E-3</v>
      </c>
      <c r="C669">
        <v>1.4710000000000001E-3</v>
      </c>
      <c r="D669">
        <v>1.418E-3</v>
      </c>
      <c r="E669">
        <v>1.441E-3</v>
      </c>
      <c r="F669">
        <v>47679793</v>
      </c>
      <c r="G669">
        <v>-0.96</v>
      </c>
      <c r="L669" t="s">
        <v>7</v>
      </c>
      <c r="M669" t="s">
        <v>7</v>
      </c>
      <c r="N669" t="s">
        <v>7</v>
      </c>
      <c r="P669">
        <f t="shared" si="994"/>
        <v>-0.13207547169811412</v>
      </c>
      <c r="Q669">
        <f t="shared" si="995"/>
        <v>-6297331.1509434395</v>
      </c>
      <c r="R669">
        <f t="shared" si="996"/>
        <v>-847215965.00103962</v>
      </c>
      <c r="S669">
        <f t="shared" si="997"/>
        <v>-8472.1596500103969</v>
      </c>
      <c r="T669">
        <f t="shared" si="998"/>
        <v>-8.4721596500103971</v>
      </c>
    </row>
    <row r="670" spans="1:20" x14ac:dyDescent="0.25">
      <c r="A670" s="5">
        <v>43923</v>
      </c>
      <c r="B670">
        <v>1.4549999999999999E-3</v>
      </c>
      <c r="C670">
        <v>1.5349999999999999E-3</v>
      </c>
      <c r="D670">
        <v>1.4170000000000001E-3</v>
      </c>
      <c r="E670">
        <v>1.4549999999999999E-3</v>
      </c>
      <c r="F670">
        <v>75572871</v>
      </c>
      <c r="G670">
        <v>0</v>
      </c>
      <c r="L670" t="s">
        <v>8</v>
      </c>
      <c r="M670" t="s">
        <v>7</v>
      </c>
      <c r="N670" t="s">
        <v>7</v>
      </c>
      <c r="P670">
        <f t="shared" si="994"/>
        <v>-0.35593220338983234</v>
      </c>
      <c r="Q670">
        <f t="shared" si="995"/>
        <v>-26898818.491525561</v>
      </c>
      <c r="R670">
        <f t="shared" si="996"/>
        <v>-840918633.85009623</v>
      </c>
      <c r="S670">
        <f t="shared" si="997"/>
        <v>-8409.1863385009619</v>
      </c>
      <c r="T670">
        <f t="shared" si="998"/>
        <v>-8.4091863385009624</v>
      </c>
    </row>
    <row r="671" spans="1:20" x14ac:dyDescent="0.25">
      <c r="A671" s="5">
        <v>43922</v>
      </c>
      <c r="B671">
        <v>1.47E-3</v>
      </c>
      <c r="C671">
        <v>1.4760000000000001E-3</v>
      </c>
      <c r="D671">
        <v>1.364E-3</v>
      </c>
      <c r="E671">
        <v>1.4549999999999999E-3</v>
      </c>
      <c r="F671">
        <v>55957327</v>
      </c>
      <c r="G671">
        <v>-1.02</v>
      </c>
      <c r="L671" t="s">
        <v>7</v>
      </c>
      <c r="M671" t="s">
        <v>7</v>
      </c>
      <c r="N671" t="s">
        <v>7</v>
      </c>
      <c r="P671">
        <f t="shared" si="994"/>
        <v>0.62499999999999711</v>
      </c>
      <c r="Q671">
        <f t="shared" si="995"/>
        <v>34973329.374999836</v>
      </c>
      <c r="R671">
        <f t="shared" si="996"/>
        <v>-814019815.35857069</v>
      </c>
      <c r="S671">
        <f t="shared" si="997"/>
        <v>-8140.1981535857067</v>
      </c>
      <c r="T671">
        <f t="shared" si="998"/>
        <v>-8.1401981535857075</v>
      </c>
    </row>
    <row r="672" spans="1:20" x14ac:dyDescent="0.25">
      <c r="A672" s="5">
        <v>43921</v>
      </c>
      <c r="B672">
        <v>1.485E-3</v>
      </c>
      <c r="C672">
        <v>1.5200000000000001E-3</v>
      </c>
      <c r="D672">
        <v>1.4090000000000001E-3</v>
      </c>
      <c r="E672">
        <v>1.4649999999999999E-3</v>
      </c>
      <c r="F672">
        <v>72015525</v>
      </c>
      <c r="G672">
        <v>-1.35</v>
      </c>
      <c r="L672" t="s">
        <v>8</v>
      </c>
      <c r="M672" t="s">
        <v>7</v>
      </c>
      <c r="N672" t="s">
        <v>7</v>
      </c>
      <c r="P672">
        <f t="shared" si="994"/>
        <v>9.0090090090062993E-3</v>
      </c>
      <c r="Q672">
        <f t="shared" si="995"/>
        <v>648788.51351331838</v>
      </c>
      <c r="R672">
        <f t="shared" si="996"/>
        <v>-848993144.73357058</v>
      </c>
      <c r="S672">
        <f t="shared" si="997"/>
        <v>-8489.9314473357063</v>
      </c>
      <c r="T672">
        <f t="shared" si="998"/>
        <v>-8.4899314473357066</v>
      </c>
    </row>
    <row r="673" spans="1:20" x14ac:dyDescent="0.25">
      <c r="A673" s="5">
        <v>43920</v>
      </c>
      <c r="B673">
        <v>1.3940000000000001E-3</v>
      </c>
      <c r="C673">
        <v>1.5089999999999999E-3</v>
      </c>
      <c r="D673">
        <v>1.3730000000000001E-3</v>
      </c>
      <c r="E673">
        <v>1.4840000000000001E-3</v>
      </c>
      <c r="F673">
        <v>134344051</v>
      </c>
      <c r="G673">
        <v>6.46</v>
      </c>
      <c r="L673" t="s">
        <v>8</v>
      </c>
      <c r="M673" t="s">
        <v>7</v>
      </c>
      <c r="N673" t="s">
        <v>7</v>
      </c>
      <c r="P673">
        <f t="shared" si="994"/>
        <v>0.63235294117647234</v>
      </c>
      <c r="Q673">
        <f t="shared" si="995"/>
        <v>84952855.779412001</v>
      </c>
      <c r="R673">
        <f t="shared" si="996"/>
        <v>-849641933.2470839</v>
      </c>
      <c r="S673">
        <f t="shared" si="997"/>
        <v>-8496.4193324708394</v>
      </c>
      <c r="T673">
        <f t="shared" si="998"/>
        <v>-8.4964193324708397</v>
      </c>
    </row>
    <row r="674" spans="1:20" x14ac:dyDescent="0.25">
      <c r="A674" s="5">
        <v>43919</v>
      </c>
      <c r="B674">
        <v>1.567E-3</v>
      </c>
      <c r="C674">
        <v>1.6000000000000001E-3</v>
      </c>
      <c r="D674">
        <v>1.3799999999999999E-3</v>
      </c>
      <c r="E674">
        <v>1.3799999999999999E-3</v>
      </c>
      <c r="F674">
        <v>130715599</v>
      </c>
      <c r="G674">
        <v>-11.93</v>
      </c>
      <c r="L674" t="s">
        <v>7</v>
      </c>
      <c r="M674" t="s">
        <v>7</v>
      </c>
      <c r="N674" t="s">
        <v>7</v>
      </c>
      <c r="P674">
        <f t="shared" si="994"/>
        <v>-1</v>
      </c>
      <c r="Q674">
        <f t="shared" si="995"/>
        <v>-130715599</v>
      </c>
      <c r="R674">
        <f t="shared" si="996"/>
        <v>-934594789.02649593</v>
      </c>
      <c r="S674">
        <f t="shared" si="997"/>
        <v>-9345.9478902649589</v>
      </c>
      <c r="T674">
        <f t="shared" si="998"/>
        <v>-9.3459478902649593</v>
      </c>
    </row>
    <row r="675" spans="1:20" x14ac:dyDescent="0.25">
      <c r="A675" s="5">
        <v>43918</v>
      </c>
      <c r="B675">
        <v>1.5839999999999999E-3</v>
      </c>
      <c r="C675">
        <v>1.8799999999999999E-3</v>
      </c>
      <c r="D675">
        <v>1.534E-3</v>
      </c>
      <c r="E675">
        <v>1.5659999999999999E-3</v>
      </c>
      <c r="F675">
        <v>180614314</v>
      </c>
      <c r="G675">
        <v>-1.1399999999999999</v>
      </c>
      <c r="L675" t="s">
        <v>7</v>
      </c>
      <c r="M675" t="s">
        <v>7</v>
      </c>
      <c r="N675" t="s">
        <v>8</v>
      </c>
      <c r="P675">
        <f t="shared" si="994"/>
        <v>-0.81502890173410458</v>
      </c>
      <c r="Q675">
        <f t="shared" si="995"/>
        <v>-147205885.9768787</v>
      </c>
      <c r="R675">
        <f t="shared" si="996"/>
        <v>-803879190.02649593</v>
      </c>
      <c r="S675">
        <f t="shared" si="997"/>
        <v>-8038.7919002649596</v>
      </c>
      <c r="T675">
        <f t="shared" si="998"/>
        <v>-8.0387919002649593</v>
      </c>
    </row>
    <row r="676" spans="1:20" x14ac:dyDescent="0.25">
      <c r="A676" s="5">
        <v>43917</v>
      </c>
      <c r="B676">
        <v>1.3730000000000001E-3</v>
      </c>
      <c r="C676">
        <v>2.14E-3</v>
      </c>
      <c r="D676">
        <v>1.359E-3</v>
      </c>
      <c r="E676">
        <v>1.588E-3</v>
      </c>
      <c r="F676">
        <v>587514660</v>
      </c>
      <c r="G676">
        <v>15.66</v>
      </c>
      <c r="L676" t="s">
        <v>8</v>
      </c>
      <c r="M676" t="s">
        <v>8</v>
      </c>
      <c r="N676" t="s">
        <v>7</v>
      </c>
      <c r="P676">
        <f t="shared" si="994"/>
        <v>-0.41357234314980784</v>
      </c>
      <c r="Q676">
        <f t="shared" si="995"/>
        <v>-242979814.57106268</v>
      </c>
      <c r="R676">
        <f t="shared" si="996"/>
        <v>-656673304.04961717</v>
      </c>
      <c r="S676">
        <f t="shared" si="997"/>
        <v>-6566.7330404961713</v>
      </c>
      <c r="T676">
        <f t="shared" si="998"/>
        <v>-6.566733040496171</v>
      </c>
    </row>
    <row r="677" spans="1:20" x14ac:dyDescent="0.25">
      <c r="A677" s="5">
        <v>43916</v>
      </c>
      <c r="B677">
        <v>1.2700000000000001E-3</v>
      </c>
      <c r="C677">
        <v>2.0920000000000001E-3</v>
      </c>
      <c r="D677">
        <v>1.235E-3</v>
      </c>
      <c r="E677">
        <v>1.3910000000000001E-3</v>
      </c>
      <c r="F677">
        <v>391764643</v>
      </c>
      <c r="G677">
        <v>9.5299999999999994</v>
      </c>
      <c r="L677" t="s">
        <v>8</v>
      </c>
      <c r="M677" t="s">
        <v>8</v>
      </c>
      <c r="N677" t="s">
        <v>8</v>
      </c>
      <c r="P677">
        <f t="shared" si="994"/>
        <v>-0.63593932322053659</v>
      </c>
      <c r="Q677">
        <f t="shared" si="995"/>
        <v>-249138541.93115512</v>
      </c>
      <c r="R677">
        <f t="shared" si="996"/>
        <v>-413693489.47855449</v>
      </c>
      <c r="S677">
        <f t="shared" si="997"/>
        <v>-4136.9348947855451</v>
      </c>
      <c r="T677">
        <f t="shared" si="998"/>
        <v>-4.1369348947855453</v>
      </c>
    </row>
    <row r="678" spans="1:20" x14ac:dyDescent="0.25">
      <c r="A678" s="5">
        <v>43915</v>
      </c>
      <c r="B678">
        <v>1.2700000000000001E-3</v>
      </c>
      <c r="C678">
        <v>1.3060000000000001E-3</v>
      </c>
      <c r="D678">
        <v>1.2160000000000001E-3</v>
      </c>
      <c r="E678">
        <v>1.2650000000000001E-3</v>
      </c>
      <c r="F678">
        <v>55604728</v>
      </c>
      <c r="G678">
        <v>-0.39</v>
      </c>
      <c r="L678" t="s">
        <v>7</v>
      </c>
      <c r="M678" t="s">
        <v>7</v>
      </c>
      <c r="N678" t="s">
        <v>8</v>
      </c>
      <c r="P678">
        <f t="shared" si="994"/>
        <v>8.8888888888888615E-2</v>
      </c>
      <c r="Q678">
        <f t="shared" si="995"/>
        <v>4942642.4888888737</v>
      </c>
      <c r="R678">
        <f t="shared" si="996"/>
        <v>-164554947.5473994</v>
      </c>
      <c r="S678">
        <f t="shared" si="997"/>
        <v>-1645.5494754739941</v>
      </c>
      <c r="T678">
        <f t="shared" si="998"/>
        <v>-1.6455494754739941</v>
      </c>
    </row>
    <row r="679" spans="1:20" x14ac:dyDescent="0.25">
      <c r="A679" s="5">
        <v>43914</v>
      </c>
      <c r="B679">
        <v>1.299E-3</v>
      </c>
      <c r="C679">
        <v>1.3209999999999999E-3</v>
      </c>
      <c r="D679">
        <v>1.2130000000000001E-3</v>
      </c>
      <c r="E679">
        <v>1.2800000000000001E-3</v>
      </c>
      <c r="F679">
        <v>74858801</v>
      </c>
      <c r="G679">
        <v>-1.46</v>
      </c>
      <c r="L679" t="s">
        <v>8</v>
      </c>
      <c r="M679" t="s">
        <v>7</v>
      </c>
      <c r="N679" t="s">
        <v>8</v>
      </c>
      <c r="P679">
        <f t="shared" si="994"/>
        <v>0.240740740740743</v>
      </c>
      <c r="Q679">
        <f t="shared" si="995"/>
        <v>18021563.203703873</v>
      </c>
      <c r="R679">
        <f t="shared" si="996"/>
        <v>-169497590.03628826</v>
      </c>
      <c r="S679">
        <f t="shared" si="997"/>
        <v>-1694.9759003628826</v>
      </c>
      <c r="T679">
        <f t="shared" si="998"/>
        <v>-1.6949759003628826</v>
      </c>
    </row>
    <row r="680" spans="1:20" x14ac:dyDescent="0.25">
      <c r="A680" s="5">
        <v>43913</v>
      </c>
      <c r="B680">
        <v>1.173E-3</v>
      </c>
      <c r="C680">
        <v>1.33E-3</v>
      </c>
      <c r="D680">
        <v>1.142E-3</v>
      </c>
      <c r="E680">
        <v>1.2880000000000001E-3</v>
      </c>
      <c r="F680">
        <v>41574644</v>
      </c>
      <c r="G680">
        <v>9.8000000000000007</v>
      </c>
      <c r="L680" t="s">
        <v>7</v>
      </c>
      <c r="M680" t="s">
        <v>7</v>
      </c>
      <c r="N680" t="s">
        <v>8</v>
      </c>
      <c r="P680">
        <f t="shared" si="994"/>
        <v>0.55319148936170282</v>
      </c>
      <c r="Q680">
        <f t="shared" si="995"/>
        <v>22998739.234042581</v>
      </c>
      <c r="R680">
        <f t="shared" si="996"/>
        <v>-187519153.23999214</v>
      </c>
      <c r="S680">
        <f t="shared" si="997"/>
        <v>-1875.1915323999215</v>
      </c>
      <c r="T680">
        <f t="shared" si="998"/>
        <v>-1.8751915323999215</v>
      </c>
    </row>
    <row r="681" spans="1:20" x14ac:dyDescent="0.25">
      <c r="A681" s="5">
        <v>43912</v>
      </c>
      <c r="B681">
        <v>1.2589999999999999E-3</v>
      </c>
      <c r="C681">
        <v>1.3849999999999999E-3</v>
      </c>
      <c r="D681">
        <v>1.16E-3</v>
      </c>
      <c r="E681">
        <v>1.201E-3</v>
      </c>
      <c r="F681">
        <v>81388602</v>
      </c>
      <c r="G681">
        <v>-4.6100000000000003</v>
      </c>
      <c r="L681" t="s">
        <v>8</v>
      </c>
      <c r="M681" t="s">
        <v>8</v>
      </c>
      <c r="N681" t="s">
        <v>8</v>
      </c>
      <c r="P681">
        <f t="shared" si="994"/>
        <v>-0.63555555555555532</v>
      </c>
      <c r="Q681">
        <f t="shared" si="995"/>
        <v>-51726978.159999982</v>
      </c>
      <c r="R681">
        <f t="shared" si="996"/>
        <v>-210517892.47403473</v>
      </c>
      <c r="S681">
        <f t="shared" si="997"/>
        <v>-2105.1789247403472</v>
      </c>
      <c r="T681">
        <f t="shared" si="998"/>
        <v>-2.105178924740347</v>
      </c>
    </row>
    <row r="682" spans="1:20" x14ac:dyDescent="0.25">
      <c r="A682" s="5">
        <v>43911</v>
      </c>
      <c r="B682">
        <v>1.2600000000000001E-3</v>
      </c>
      <c r="C682">
        <v>1.2999999999999999E-3</v>
      </c>
      <c r="D682">
        <v>1.1789999999999999E-3</v>
      </c>
      <c r="E682">
        <v>1.2589999999999999E-3</v>
      </c>
      <c r="F682">
        <v>112840316</v>
      </c>
      <c r="G682">
        <v>-0.08</v>
      </c>
      <c r="L682" t="s">
        <v>8</v>
      </c>
      <c r="M682" t="s">
        <v>7</v>
      </c>
      <c r="N682" t="s">
        <v>8</v>
      </c>
      <c r="P682">
        <f t="shared" si="994"/>
        <v>0.32231404958677662</v>
      </c>
      <c r="Q682">
        <f t="shared" si="995"/>
        <v>36370019.206611544</v>
      </c>
      <c r="R682">
        <f t="shared" si="996"/>
        <v>-158790914.31403476</v>
      </c>
      <c r="S682">
        <f t="shared" si="997"/>
        <v>-1587.9091431403476</v>
      </c>
      <c r="T682">
        <f t="shared" si="998"/>
        <v>-1.5879091431403476</v>
      </c>
    </row>
    <row r="683" spans="1:20" x14ac:dyDescent="0.25">
      <c r="A683" s="5">
        <v>43910</v>
      </c>
      <c r="B683">
        <v>1.256E-3</v>
      </c>
      <c r="C683">
        <v>1.395E-3</v>
      </c>
      <c r="D683">
        <v>1.176E-3</v>
      </c>
      <c r="E683">
        <v>1.271E-3</v>
      </c>
      <c r="F683">
        <v>170181120</v>
      </c>
      <c r="G683">
        <v>1.19</v>
      </c>
      <c r="L683" t="s">
        <v>7</v>
      </c>
      <c r="M683" t="s">
        <v>8</v>
      </c>
      <c r="N683" t="s">
        <v>8</v>
      </c>
      <c r="P683">
        <f t="shared" si="994"/>
        <v>-0.13242009132420066</v>
      </c>
      <c r="Q683">
        <f t="shared" si="995"/>
        <v>-22535399.45205475</v>
      </c>
      <c r="R683">
        <f t="shared" si="996"/>
        <v>-195160933.5206463</v>
      </c>
      <c r="S683">
        <f t="shared" si="997"/>
        <v>-1951.6093352064631</v>
      </c>
      <c r="T683">
        <f t="shared" si="998"/>
        <v>-1.9516093352064632</v>
      </c>
    </row>
    <row r="684" spans="1:20" x14ac:dyDescent="0.25">
      <c r="A684" s="5">
        <v>43909</v>
      </c>
      <c r="B684">
        <v>1.127E-3</v>
      </c>
      <c r="C684">
        <v>1.3699999999999999E-3</v>
      </c>
      <c r="D684">
        <v>1.1050000000000001E-3</v>
      </c>
      <c r="E684">
        <v>1.2620000000000001E-3</v>
      </c>
      <c r="F684">
        <v>173828267</v>
      </c>
      <c r="G684">
        <v>11.98</v>
      </c>
      <c r="L684" t="s">
        <v>8</v>
      </c>
      <c r="M684" t="s">
        <v>8</v>
      </c>
      <c r="N684" t="s">
        <v>8</v>
      </c>
      <c r="P684">
        <f t="shared" si="994"/>
        <v>0.18490566037735942</v>
      </c>
      <c r="Q684">
        <f t="shared" si="995"/>
        <v>32141830.501886953</v>
      </c>
      <c r="R684">
        <f t="shared" si="996"/>
        <v>-172625534.06859156</v>
      </c>
      <c r="S684">
        <f t="shared" si="997"/>
        <v>-1726.2553406859156</v>
      </c>
      <c r="T684">
        <f t="shared" si="998"/>
        <v>-1.7262553406859156</v>
      </c>
    </row>
    <row r="685" spans="1:20" x14ac:dyDescent="0.25">
      <c r="A685" s="5">
        <v>43908</v>
      </c>
      <c r="B685">
        <v>1.129E-3</v>
      </c>
      <c r="C685">
        <v>1.188E-3</v>
      </c>
      <c r="D685">
        <v>1.047E-3</v>
      </c>
      <c r="E685">
        <v>1.1119999999999999E-3</v>
      </c>
      <c r="F685">
        <v>143627233</v>
      </c>
      <c r="G685">
        <v>-1.51</v>
      </c>
      <c r="L685" t="s">
        <v>7</v>
      </c>
      <c r="M685" t="s">
        <v>8</v>
      </c>
      <c r="N685" t="s">
        <v>7</v>
      </c>
      <c r="P685">
        <f t="shared" si="994"/>
        <v>-7.8014184397164205E-2</v>
      </c>
      <c r="Q685">
        <f t="shared" si="995"/>
        <v>-11204961.439716468</v>
      </c>
      <c r="R685">
        <f t="shared" si="996"/>
        <v>-204767364.57047853</v>
      </c>
      <c r="S685">
        <f t="shared" si="997"/>
        <v>-2047.6736457047853</v>
      </c>
      <c r="T685">
        <f t="shared" si="998"/>
        <v>-2.0476736457047853</v>
      </c>
    </row>
    <row r="686" spans="1:20" x14ac:dyDescent="0.25">
      <c r="A686" s="5">
        <v>43907</v>
      </c>
      <c r="B686">
        <v>1.0709999999999999E-3</v>
      </c>
      <c r="C686">
        <v>1.191E-3</v>
      </c>
      <c r="D686">
        <v>1.067E-3</v>
      </c>
      <c r="E686">
        <v>1.1310000000000001E-3</v>
      </c>
      <c r="F686">
        <v>114451120</v>
      </c>
      <c r="G686">
        <v>5.6</v>
      </c>
      <c r="L686" t="s">
        <v>8</v>
      </c>
      <c r="M686" t="s">
        <v>8</v>
      </c>
      <c r="N686" t="s">
        <v>7</v>
      </c>
      <c r="P686">
        <f t="shared" si="994"/>
        <v>3.2258064516129822E-2</v>
      </c>
      <c r="Q686">
        <f t="shared" si="995"/>
        <v>3691971.612903316</v>
      </c>
      <c r="R686">
        <f t="shared" si="996"/>
        <v>-193562403.13076207</v>
      </c>
      <c r="S686">
        <f t="shared" si="997"/>
        <v>-1935.6240313076207</v>
      </c>
      <c r="T686">
        <f t="shared" si="998"/>
        <v>-1.9356240313076207</v>
      </c>
    </row>
    <row r="687" spans="1:20" x14ac:dyDescent="0.25">
      <c r="A687" s="5">
        <v>43906</v>
      </c>
      <c r="B687">
        <v>1.225E-3</v>
      </c>
      <c r="C687">
        <v>1.253E-3</v>
      </c>
      <c r="D687">
        <v>9.3899999999999995E-4</v>
      </c>
      <c r="E687">
        <v>1.0610000000000001E-3</v>
      </c>
      <c r="F687">
        <v>144809823</v>
      </c>
      <c r="G687">
        <v>-13.39</v>
      </c>
      <c r="L687" t="s">
        <v>7</v>
      </c>
      <c r="M687" t="s">
        <v>7</v>
      </c>
      <c r="N687" t="s">
        <v>7</v>
      </c>
      <c r="P687">
        <f t="shared" si="994"/>
        <v>-0.22292993630573166</v>
      </c>
      <c r="Q687">
        <f t="shared" si="995"/>
        <v>-32282444.617834274</v>
      </c>
      <c r="R687">
        <f t="shared" si="996"/>
        <v>-197254374.7436654</v>
      </c>
      <c r="S687">
        <f t="shared" si="997"/>
        <v>-1972.543747436654</v>
      </c>
      <c r="T687">
        <f t="shared" si="998"/>
        <v>-1.9725437474366541</v>
      </c>
    </row>
    <row r="688" spans="1:20" x14ac:dyDescent="0.25">
      <c r="A688" s="5">
        <v>43905</v>
      </c>
      <c r="B688">
        <v>1.077E-3</v>
      </c>
      <c r="C688">
        <v>1.4300000000000001E-3</v>
      </c>
      <c r="D688">
        <v>1.0560000000000001E-3</v>
      </c>
      <c r="E688">
        <v>1.225E-3</v>
      </c>
      <c r="F688">
        <v>252940980</v>
      </c>
      <c r="G688">
        <v>13.74</v>
      </c>
      <c r="L688" t="s">
        <v>8</v>
      </c>
      <c r="M688" t="s">
        <v>8</v>
      </c>
      <c r="N688" t="s">
        <v>8</v>
      </c>
      <c r="P688">
        <f t="shared" si="994"/>
        <v>-9.6256684491979216E-2</v>
      </c>
      <c r="Q688">
        <f t="shared" si="995"/>
        <v>-24347260.106952026</v>
      </c>
      <c r="R688">
        <f t="shared" si="996"/>
        <v>-164971930.12583113</v>
      </c>
      <c r="S688">
        <f t="shared" si="997"/>
        <v>-1649.7193012583114</v>
      </c>
      <c r="T688">
        <f t="shared" si="998"/>
        <v>-1.6497193012583113</v>
      </c>
    </row>
    <row r="689" spans="1:20" x14ac:dyDescent="0.25">
      <c r="A689" s="5">
        <v>43904</v>
      </c>
      <c r="B689">
        <v>1.041E-3</v>
      </c>
      <c r="C689">
        <v>1.191E-3</v>
      </c>
      <c r="D689">
        <v>9.9200000000000004E-4</v>
      </c>
      <c r="E689">
        <v>1.0740000000000001E-3</v>
      </c>
      <c r="F689">
        <v>168811425</v>
      </c>
      <c r="G689">
        <v>3.17</v>
      </c>
      <c r="L689" t="s">
        <v>8</v>
      </c>
      <c r="M689" t="s">
        <v>8</v>
      </c>
      <c r="N689" t="s">
        <v>8</v>
      </c>
      <c r="P689">
        <f t="shared" si="994"/>
        <v>-0.17587939698492402</v>
      </c>
      <c r="Q689">
        <f t="shared" si="995"/>
        <v>-29690451.633165728</v>
      </c>
      <c r="R689">
        <f t="shared" si="996"/>
        <v>-140624670.01887912</v>
      </c>
      <c r="S689">
        <f t="shared" si="997"/>
        <v>-1406.2467001887912</v>
      </c>
      <c r="T689">
        <f t="shared" si="998"/>
        <v>-1.4062467001887913</v>
      </c>
    </row>
    <row r="690" spans="1:20" x14ac:dyDescent="0.25">
      <c r="A690" s="5">
        <v>43903</v>
      </c>
      <c r="B690">
        <v>8.9499999999999996E-4</v>
      </c>
      <c r="C690">
        <v>1.1360000000000001E-3</v>
      </c>
      <c r="D690">
        <v>6.3699999999999998E-4</v>
      </c>
      <c r="E690">
        <v>1.044E-3</v>
      </c>
      <c r="F690">
        <v>83828030</v>
      </c>
      <c r="G690">
        <v>16.649999999999999</v>
      </c>
      <c r="L690" t="s">
        <v>8</v>
      </c>
      <c r="M690" t="s">
        <v>7</v>
      </c>
      <c r="N690" t="s">
        <v>7</v>
      </c>
      <c r="P690">
        <f t="shared" si="994"/>
        <v>0.63126252505009994</v>
      </c>
      <c r="Q690">
        <f t="shared" si="995"/>
        <v>52917493.887775533</v>
      </c>
      <c r="R690">
        <f t="shared" si="996"/>
        <v>-110934218.3857134</v>
      </c>
      <c r="S690">
        <f t="shared" si="997"/>
        <v>-1109.3421838571339</v>
      </c>
      <c r="T690">
        <f t="shared" si="998"/>
        <v>-1.109342183857134</v>
      </c>
    </row>
    <row r="691" spans="1:20" x14ac:dyDescent="0.25">
      <c r="A691" s="5">
        <v>43902</v>
      </c>
      <c r="B691">
        <v>1.7880000000000001E-3</v>
      </c>
      <c r="C691">
        <v>1.7899999999999999E-3</v>
      </c>
      <c r="D691">
        <v>8.52E-4</v>
      </c>
      <c r="E691">
        <v>8.8099999999999995E-4</v>
      </c>
      <c r="F691">
        <v>141814284</v>
      </c>
      <c r="G691">
        <v>-50.73</v>
      </c>
      <c r="L691" t="s">
        <v>7</v>
      </c>
      <c r="M691" t="s">
        <v>7</v>
      </c>
      <c r="N691" t="s">
        <v>7</v>
      </c>
      <c r="P691">
        <f t="shared" si="994"/>
        <v>-0.93816631130063977</v>
      </c>
      <c r="Q691">
        <f t="shared" si="995"/>
        <v>-133045383.71002133</v>
      </c>
      <c r="R691">
        <f t="shared" si="996"/>
        <v>-163851712.27348894</v>
      </c>
      <c r="S691">
        <f t="shared" si="997"/>
        <v>-1638.5171227348894</v>
      </c>
      <c r="T691">
        <f t="shared" si="998"/>
        <v>-1.6385171227348894</v>
      </c>
    </row>
    <row r="692" spans="1:20" x14ac:dyDescent="0.25">
      <c r="A692" s="5">
        <v>43901</v>
      </c>
      <c r="B692">
        <v>1.8940000000000001E-3</v>
      </c>
      <c r="C692">
        <v>1.9250000000000001E-3</v>
      </c>
      <c r="D692">
        <v>1.6869999999999999E-3</v>
      </c>
      <c r="E692">
        <v>1.7769999999999999E-3</v>
      </c>
      <c r="F692">
        <v>63823395</v>
      </c>
      <c r="G692">
        <v>-6.18</v>
      </c>
      <c r="L692" t="s">
        <v>7</v>
      </c>
      <c r="M692" t="s">
        <v>7</v>
      </c>
      <c r="N692" t="s">
        <v>7</v>
      </c>
      <c r="P692">
        <f t="shared" si="994"/>
        <v>-0.24369747899159694</v>
      </c>
      <c r="Q692">
        <f t="shared" si="995"/>
        <v>-15553600.462184893</v>
      </c>
      <c r="R692">
        <f t="shared" si="996"/>
        <v>-30806328.563467607</v>
      </c>
      <c r="S692">
        <f t="shared" si="997"/>
        <v>-308.06328563467605</v>
      </c>
      <c r="T692">
        <f t="shared" si="998"/>
        <v>-0.30806328563467605</v>
      </c>
    </row>
    <row r="693" spans="1:20" x14ac:dyDescent="0.25">
      <c r="A693" s="5">
        <v>43900</v>
      </c>
      <c r="B693">
        <v>1.9530000000000001E-3</v>
      </c>
      <c r="C693">
        <v>1.9919999999999998E-3</v>
      </c>
      <c r="D693">
        <v>1.8439999999999999E-3</v>
      </c>
      <c r="E693">
        <v>1.8940000000000001E-3</v>
      </c>
      <c r="F693">
        <v>51442594</v>
      </c>
      <c r="G693">
        <v>-3.02</v>
      </c>
      <c r="L693" t="s">
        <v>8</v>
      </c>
      <c r="M693" t="s">
        <v>7</v>
      </c>
      <c r="N693" t="s">
        <v>7</v>
      </c>
      <c r="P693">
        <f t="shared" si="994"/>
        <v>-0.32432432432432212</v>
      </c>
      <c r="Q693">
        <f t="shared" si="995"/>
        <v>-16684084.540540427</v>
      </c>
      <c r="R693">
        <f t="shared" si="996"/>
        <v>-15252728.101282716</v>
      </c>
      <c r="S693">
        <f t="shared" si="997"/>
        <v>-152.52728101282716</v>
      </c>
      <c r="T693">
        <f t="shared" si="998"/>
        <v>-0.15252728101282717</v>
      </c>
    </row>
    <row r="694" spans="1:20" x14ac:dyDescent="0.25">
      <c r="A694" s="5">
        <v>43899</v>
      </c>
      <c r="B694">
        <v>1.895E-3</v>
      </c>
      <c r="C694">
        <v>2E-3</v>
      </c>
      <c r="D694">
        <v>1.7719999999999999E-3</v>
      </c>
      <c r="E694">
        <v>1.9550000000000001E-3</v>
      </c>
      <c r="F694">
        <v>119045027</v>
      </c>
      <c r="G694">
        <v>3.17</v>
      </c>
      <c r="L694" t="s">
        <v>7</v>
      </c>
      <c r="M694" t="s">
        <v>7</v>
      </c>
      <c r="N694" t="s">
        <v>7</v>
      </c>
      <c r="P694">
        <f t="shared" si="994"/>
        <v>0.60526315789473795</v>
      </c>
      <c r="Q694">
        <f t="shared" si="995"/>
        <v>72053568.973684341</v>
      </c>
      <c r="R694">
        <f t="shared" si="996"/>
        <v>1431356.4392577112</v>
      </c>
      <c r="S694">
        <f t="shared" si="997"/>
        <v>14.313564392577112</v>
      </c>
      <c r="T694">
        <f t="shared" si="998"/>
        <v>1.4313564392577112E-2</v>
      </c>
    </row>
    <row r="695" spans="1:20" x14ac:dyDescent="0.25">
      <c r="A695" s="5">
        <v>43898</v>
      </c>
      <c r="B695">
        <v>2.1580000000000002E-3</v>
      </c>
      <c r="C695">
        <v>2.9199999999999999E-3</v>
      </c>
      <c r="D695">
        <v>1.861E-3</v>
      </c>
      <c r="E695">
        <v>1.879E-3</v>
      </c>
      <c r="F695">
        <v>426251372</v>
      </c>
      <c r="G695">
        <v>-12.93</v>
      </c>
      <c r="L695" t="s">
        <v>7</v>
      </c>
      <c r="M695" t="s">
        <v>8</v>
      </c>
      <c r="N695" t="s">
        <v>8</v>
      </c>
      <c r="P695">
        <f t="shared" si="994"/>
        <v>-0.96600566572237956</v>
      </c>
      <c r="Q695">
        <f t="shared" si="995"/>
        <v>-411761240.37393767</v>
      </c>
      <c r="R695">
        <f t="shared" si="996"/>
        <v>-70622212.53442663</v>
      </c>
      <c r="S695">
        <f t="shared" si="997"/>
        <v>-706.22212534426626</v>
      </c>
      <c r="T695">
        <f t="shared" si="998"/>
        <v>-0.70622212534426621</v>
      </c>
    </row>
    <row r="696" spans="1:20" x14ac:dyDescent="0.25">
      <c r="A696" s="5">
        <v>43897</v>
      </c>
      <c r="B696">
        <v>2.2880000000000001E-3</v>
      </c>
      <c r="C696">
        <v>2.356E-3</v>
      </c>
      <c r="D696">
        <v>2.1199999999999999E-3</v>
      </c>
      <c r="E696">
        <v>2.1580000000000002E-3</v>
      </c>
      <c r="F696">
        <v>92429241</v>
      </c>
      <c r="G696">
        <v>-5.68</v>
      </c>
      <c r="L696" t="s">
        <v>7</v>
      </c>
      <c r="M696" t="s">
        <v>8</v>
      </c>
      <c r="N696" t="s">
        <v>8</v>
      </c>
      <c r="P696">
        <f t="shared" si="994"/>
        <v>-0.67796610169491311</v>
      </c>
      <c r="Q696">
        <f t="shared" si="995"/>
        <v>-62663892.20338963</v>
      </c>
      <c r="R696">
        <f t="shared" si="996"/>
        <v>341139027.83951104</v>
      </c>
      <c r="S696">
        <f t="shared" si="997"/>
        <v>3411.3902783951103</v>
      </c>
      <c r="T696">
        <f t="shared" si="998"/>
        <v>3.4113902783951104</v>
      </c>
    </row>
    <row r="697" spans="1:20" x14ac:dyDescent="0.25">
      <c r="A697" s="5">
        <v>43896</v>
      </c>
      <c r="B697">
        <v>2.2599999999999999E-3</v>
      </c>
      <c r="C697">
        <v>2.3999999999999998E-3</v>
      </c>
      <c r="D697">
        <v>2.1879999999999998E-3</v>
      </c>
      <c r="E697">
        <v>2.2850000000000001E-3</v>
      </c>
      <c r="F697">
        <v>112833500</v>
      </c>
      <c r="G697">
        <v>1.1100000000000001</v>
      </c>
      <c r="L697" t="s">
        <v>8</v>
      </c>
      <c r="M697" t="s">
        <v>8</v>
      </c>
      <c r="N697" t="s">
        <v>8</v>
      </c>
      <c r="P697">
        <f t="shared" si="994"/>
        <v>-8.490566037735546E-2</v>
      </c>
      <c r="Q697">
        <f t="shared" si="995"/>
        <v>-9580202.8301883377</v>
      </c>
      <c r="R697">
        <f t="shared" si="996"/>
        <v>403802920.04290068</v>
      </c>
      <c r="S697">
        <f t="shared" si="997"/>
        <v>4038.0292004290068</v>
      </c>
      <c r="T697">
        <f t="shared" si="998"/>
        <v>4.0380292004290066</v>
      </c>
    </row>
    <row r="698" spans="1:20" x14ac:dyDescent="0.25">
      <c r="A698" s="5">
        <v>43895</v>
      </c>
      <c r="B698">
        <v>1.9559999999999998E-3</v>
      </c>
      <c r="C698">
        <v>2.366E-3</v>
      </c>
      <c r="D698">
        <v>1.9499999999999999E-3</v>
      </c>
      <c r="E698">
        <v>2.2599999999999999E-3</v>
      </c>
      <c r="F698">
        <v>172940767</v>
      </c>
      <c r="G698">
        <v>15.54</v>
      </c>
      <c r="L698" t="s">
        <v>8</v>
      </c>
      <c r="M698" t="s">
        <v>8</v>
      </c>
      <c r="N698" t="s">
        <v>8</v>
      </c>
      <c r="P698">
        <f t="shared" si="994"/>
        <v>0.49038461538461464</v>
      </c>
      <c r="Q698">
        <f t="shared" si="995"/>
        <v>84807491.509615257</v>
      </c>
      <c r="R698">
        <f t="shared" si="996"/>
        <v>413383122.87308902</v>
      </c>
      <c r="S698">
        <f t="shared" si="997"/>
        <v>4133.83122873089</v>
      </c>
      <c r="T698">
        <f t="shared" si="998"/>
        <v>4.13383122873089</v>
      </c>
    </row>
    <row r="699" spans="1:20" x14ac:dyDescent="0.25">
      <c r="A699" s="5">
        <v>43894</v>
      </c>
      <c r="B699">
        <v>2.0660000000000001E-3</v>
      </c>
      <c r="C699">
        <v>2.1180000000000001E-3</v>
      </c>
      <c r="D699">
        <v>1.926E-3</v>
      </c>
      <c r="E699">
        <v>1.9499999999999999E-3</v>
      </c>
      <c r="F699">
        <v>94086108</v>
      </c>
      <c r="G699">
        <v>-5.61</v>
      </c>
      <c r="L699" t="s">
        <v>7</v>
      </c>
      <c r="M699" t="s">
        <v>7</v>
      </c>
      <c r="N699" t="s">
        <v>8</v>
      </c>
      <c r="P699">
        <f t="shared" si="994"/>
        <v>-0.75000000000000089</v>
      </c>
      <c r="Q699">
        <f t="shared" si="995"/>
        <v>-70564581.000000089</v>
      </c>
      <c r="R699">
        <f t="shared" si="996"/>
        <v>328575631.36347377</v>
      </c>
      <c r="S699">
        <f t="shared" si="997"/>
        <v>3285.7563136347376</v>
      </c>
      <c r="T699">
        <f t="shared" si="998"/>
        <v>3.2857563136347374</v>
      </c>
    </row>
    <row r="700" spans="1:20" x14ac:dyDescent="0.25">
      <c r="A700" s="5">
        <v>43893</v>
      </c>
      <c r="B700">
        <v>2.1020000000000001E-3</v>
      </c>
      <c r="C700">
        <v>2.1250000000000002E-3</v>
      </c>
      <c r="D700">
        <v>2E-3</v>
      </c>
      <c r="E700">
        <v>2.0669999999999998E-3</v>
      </c>
      <c r="F700">
        <v>42755318</v>
      </c>
      <c r="G700">
        <v>-1.67</v>
      </c>
      <c r="L700" t="s">
        <v>8</v>
      </c>
      <c r="M700" t="s">
        <v>8</v>
      </c>
      <c r="N700" t="s">
        <v>8</v>
      </c>
      <c r="P700">
        <f t="shared" si="994"/>
        <v>7.1999999999995609E-2</v>
      </c>
      <c r="Q700">
        <f t="shared" si="995"/>
        <v>3078382.8959998121</v>
      </c>
      <c r="R700">
        <f t="shared" si="996"/>
        <v>399140212.36347389</v>
      </c>
      <c r="S700">
        <f t="shared" si="997"/>
        <v>3991.4021236347389</v>
      </c>
      <c r="T700">
        <f t="shared" si="998"/>
        <v>3.9914021236347388</v>
      </c>
    </row>
    <row r="701" spans="1:20" x14ac:dyDescent="0.25">
      <c r="A701" s="5">
        <v>43892</v>
      </c>
      <c r="B701">
        <v>2.0179999999999998E-3</v>
      </c>
      <c r="C701">
        <v>2.1540000000000001E-3</v>
      </c>
      <c r="D701">
        <v>1.9840000000000001E-3</v>
      </c>
      <c r="E701">
        <v>2.1020000000000001E-3</v>
      </c>
      <c r="F701">
        <v>52565947</v>
      </c>
      <c r="G701">
        <v>4.16</v>
      </c>
      <c r="L701" t="s">
        <v>8</v>
      </c>
      <c r="M701" t="s">
        <v>8</v>
      </c>
      <c r="N701" t="s">
        <v>8</v>
      </c>
      <c r="P701">
        <f t="shared" si="994"/>
        <v>0.38823529411764751</v>
      </c>
      <c r="Q701">
        <f t="shared" si="995"/>
        <v>20407955.894117672</v>
      </c>
      <c r="R701">
        <f t="shared" si="996"/>
        <v>396061829.4674741</v>
      </c>
      <c r="S701">
        <f t="shared" si="997"/>
        <v>3960.6182946747408</v>
      </c>
      <c r="T701">
        <f t="shared" si="998"/>
        <v>3.9606182946747408</v>
      </c>
    </row>
    <row r="702" spans="1:20" x14ac:dyDescent="0.25">
      <c r="A702" s="5">
        <v>43891</v>
      </c>
      <c r="B702">
        <v>2.1540000000000001E-3</v>
      </c>
      <c r="C702">
        <v>2.2169999999999998E-3</v>
      </c>
      <c r="D702">
        <v>1.9759999999999999E-3</v>
      </c>
      <c r="E702">
        <v>2.0209999999999998E-3</v>
      </c>
      <c r="F702">
        <v>65438627</v>
      </c>
      <c r="G702">
        <v>-6.17</v>
      </c>
      <c r="L702" t="s">
        <v>7</v>
      </c>
      <c r="M702" t="s">
        <v>8</v>
      </c>
      <c r="N702" t="s">
        <v>8</v>
      </c>
      <c r="P702">
        <f t="shared" si="994"/>
        <v>-0.62655601659751103</v>
      </c>
      <c r="Q702">
        <f t="shared" si="995"/>
        <v>-41000965.464730337</v>
      </c>
      <c r="R702">
        <f t="shared" si="996"/>
        <v>375653873.57335645</v>
      </c>
      <c r="S702">
        <f t="shared" si="997"/>
        <v>3756.5387357335644</v>
      </c>
      <c r="T702">
        <f t="shared" si="998"/>
        <v>3.7565387357335642</v>
      </c>
    </row>
    <row r="703" spans="1:20" x14ac:dyDescent="0.25">
      <c r="A703" s="5">
        <v>43890</v>
      </c>
      <c r="B703">
        <v>2.1450000000000002E-3</v>
      </c>
      <c r="C703">
        <v>2.258E-3</v>
      </c>
      <c r="D703">
        <v>2.0300000000000001E-3</v>
      </c>
      <c r="E703">
        <v>2.1549999999999998E-3</v>
      </c>
      <c r="F703">
        <v>92779808</v>
      </c>
      <c r="G703">
        <v>0.47</v>
      </c>
      <c r="L703" t="s">
        <v>8</v>
      </c>
      <c r="M703" t="s">
        <v>8</v>
      </c>
      <c r="N703" t="s">
        <v>8</v>
      </c>
      <c r="P703">
        <f t="shared" si="994"/>
        <v>9.6491228070173074E-2</v>
      </c>
      <c r="Q703">
        <f t="shared" si="995"/>
        <v>8952437.6140348688</v>
      </c>
      <c r="R703">
        <f t="shared" si="996"/>
        <v>416654839.03808677</v>
      </c>
      <c r="S703">
        <f t="shared" si="997"/>
        <v>4166.5483903808681</v>
      </c>
      <c r="T703">
        <f t="shared" si="998"/>
        <v>4.1665483903808678</v>
      </c>
    </row>
    <row r="704" spans="1:20" x14ac:dyDescent="0.25">
      <c r="A704" s="5">
        <v>43889</v>
      </c>
      <c r="B704">
        <v>2.0010000000000002E-3</v>
      </c>
      <c r="C704">
        <v>2.196E-3</v>
      </c>
      <c r="D704">
        <v>1.908E-3</v>
      </c>
      <c r="E704">
        <v>2.124E-3</v>
      </c>
      <c r="F704">
        <v>169536722</v>
      </c>
      <c r="G704">
        <v>6.15</v>
      </c>
      <c r="L704" t="s">
        <v>8</v>
      </c>
      <c r="M704" t="s">
        <v>8</v>
      </c>
      <c r="N704" t="s">
        <v>8</v>
      </c>
      <c r="P704">
        <f t="shared" si="994"/>
        <v>0.5</v>
      </c>
      <c r="Q704">
        <f t="shared" si="995"/>
        <v>84768361</v>
      </c>
      <c r="R704">
        <f t="shared" si="996"/>
        <v>407702401.42405188</v>
      </c>
      <c r="S704">
        <f t="shared" si="997"/>
        <v>4077.0240142405187</v>
      </c>
      <c r="T704">
        <f t="shared" si="998"/>
        <v>4.0770240142405187</v>
      </c>
    </row>
    <row r="705" spans="1:20" x14ac:dyDescent="0.25">
      <c r="A705" s="5">
        <v>43888</v>
      </c>
      <c r="B705">
        <v>1.7470000000000001E-3</v>
      </c>
      <c r="C705">
        <v>2.3110000000000001E-3</v>
      </c>
      <c r="D705">
        <v>1.6000000000000001E-3</v>
      </c>
      <c r="E705">
        <v>2.0040000000000001E-3</v>
      </c>
      <c r="F705">
        <v>245728256</v>
      </c>
      <c r="G705">
        <v>14.71</v>
      </c>
      <c r="L705" t="s">
        <v>7</v>
      </c>
      <c r="M705" t="s">
        <v>7</v>
      </c>
      <c r="N705" t="s">
        <v>8</v>
      </c>
      <c r="P705">
        <f t="shared" si="994"/>
        <v>0.13642756680731374</v>
      </c>
      <c r="Q705">
        <f t="shared" si="995"/>
        <v>33524108.061884694</v>
      </c>
      <c r="R705">
        <f t="shared" si="996"/>
        <v>322934040.42405188</v>
      </c>
      <c r="S705">
        <f t="shared" si="997"/>
        <v>3229.3404042405186</v>
      </c>
      <c r="T705">
        <f t="shared" si="998"/>
        <v>3.2293404042405185</v>
      </c>
    </row>
    <row r="706" spans="1:20" x14ac:dyDescent="0.25">
      <c r="A706" s="5">
        <v>43887</v>
      </c>
      <c r="B706">
        <v>1.99E-3</v>
      </c>
      <c r="C706">
        <v>2.0300000000000001E-3</v>
      </c>
      <c r="D706">
        <v>1.6770000000000001E-3</v>
      </c>
      <c r="E706">
        <v>1.7459999999999999E-3</v>
      </c>
      <c r="F706">
        <v>70252330</v>
      </c>
      <c r="G706">
        <v>-12.26</v>
      </c>
      <c r="L706" t="s">
        <v>7</v>
      </c>
      <c r="M706" t="s">
        <v>7</v>
      </c>
      <c r="N706" t="s">
        <v>7</v>
      </c>
      <c r="P706">
        <f t="shared" si="994"/>
        <v>-0.60906515580736642</v>
      </c>
      <c r="Q706">
        <f t="shared" si="995"/>
        <v>-42788246.317280523</v>
      </c>
      <c r="R706">
        <f t="shared" si="996"/>
        <v>289409932.36216718</v>
      </c>
      <c r="S706">
        <f t="shared" si="997"/>
        <v>2894.0993236216718</v>
      </c>
      <c r="T706">
        <f t="shared" si="998"/>
        <v>2.8940993236216719</v>
      </c>
    </row>
    <row r="707" spans="1:20" x14ac:dyDescent="0.25">
      <c r="A707" s="5">
        <v>43886</v>
      </c>
      <c r="B707">
        <v>2.1489999999999999E-3</v>
      </c>
      <c r="C707">
        <v>2.1570000000000001E-3</v>
      </c>
      <c r="D707">
        <v>1.9480000000000001E-3</v>
      </c>
      <c r="E707">
        <v>2.0019999999999999E-3</v>
      </c>
      <c r="F707">
        <v>54474861</v>
      </c>
      <c r="G707">
        <v>-6.84</v>
      </c>
      <c r="L707" t="s">
        <v>7</v>
      </c>
      <c r="M707" t="s">
        <v>7</v>
      </c>
      <c r="N707" t="s">
        <v>7</v>
      </c>
      <c r="P707">
        <f t="shared" si="994"/>
        <v>-0.48325358851674832</v>
      </c>
      <c r="Q707">
        <f t="shared" si="995"/>
        <v>-26325172.06220106</v>
      </c>
      <c r="R707">
        <f t="shared" si="996"/>
        <v>332198178.67944771</v>
      </c>
      <c r="S707">
        <f t="shared" si="997"/>
        <v>3321.9817867944771</v>
      </c>
      <c r="T707">
        <f t="shared" si="998"/>
        <v>3.3219817867944772</v>
      </c>
    </row>
    <row r="708" spans="1:20" x14ac:dyDescent="0.25">
      <c r="A708" s="5">
        <v>43885</v>
      </c>
      <c r="B708">
        <v>2.3570000000000002E-3</v>
      </c>
      <c r="C708">
        <v>2.3570000000000002E-3</v>
      </c>
      <c r="D708">
        <v>2.091E-3</v>
      </c>
      <c r="E708">
        <v>2.1580000000000002E-3</v>
      </c>
      <c r="F708">
        <v>59100872</v>
      </c>
      <c r="G708">
        <v>-8.44</v>
      </c>
      <c r="L708" t="s">
        <v>7</v>
      </c>
      <c r="M708" t="s">
        <v>7</v>
      </c>
      <c r="N708" t="s">
        <v>7</v>
      </c>
      <c r="P708">
        <f t="shared" si="994"/>
        <v>-0.49624060150375809</v>
      </c>
      <c r="Q708">
        <f t="shared" si="995"/>
        <v>-29328252.270676613</v>
      </c>
      <c r="R708">
        <f t="shared" si="996"/>
        <v>358523350.74164879</v>
      </c>
      <c r="S708">
        <f t="shared" si="997"/>
        <v>3585.233507416488</v>
      </c>
      <c r="T708">
        <f t="shared" si="998"/>
        <v>3.5852335074164881</v>
      </c>
    </row>
    <row r="709" spans="1:20" x14ac:dyDescent="0.25">
      <c r="A709" s="5">
        <v>43884</v>
      </c>
      <c r="B709">
        <v>2.1429999999999999E-3</v>
      </c>
      <c r="C709">
        <v>2.4429999999999999E-3</v>
      </c>
      <c r="D709">
        <v>2.0999999999999999E-3</v>
      </c>
      <c r="E709">
        <v>2.3479999999999998E-3</v>
      </c>
      <c r="F709">
        <v>110632482</v>
      </c>
      <c r="G709">
        <v>9.57</v>
      </c>
      <c r="L709" t="s">
        <v>8</v>
      </c>
      <c r="M709" t="s">
        <v>7</v>
      </c>
      <c r="N709" t="s">
        <v>7</v>
      </c>
      <c r="P709">
        <f t="shared" si="994"/>
        <v>0.44606413994169075</v>
      </c>
      <c r="Q709">
        <f t="shared" si="995"/>
        <v>49349182.932944581</v>
      </c>
      <c r="R709">
        <f t="shared" si="996"/>
        <v>387851603.01232541</v>
      </c>
      <c r="S709">
        <f t="shared" si="997"/>
        <v>3878.516030123254</v>
      </c>
      <c r="T709">
        <f t="shared" si="998"/>
        <v>3.878516030123254</v>
      </c>
    </row>
    <row r="710" spans="1:20" x14ac:dyDescent="0.25">
      <c r="A710" s="5">
        <v>43883</v>
      </c>
      <c r="B710">
        <v>2.2169999999999998E-3</v>
      </c>
      <c r="C710">
        <v>2.2330000000000002E-3</v>
      </c>
      <c r="D710">
        <v>2.0590000000000001E-3</v>
      </c>
      <c r="E710">
        <v>2.1380000000000001E-3</v>
      </c>
      <c r="F710">
        <v>107868768</v>
      </c>
      <c r="G710">
        <v>-3.56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-9.1954022988505427E-2</v>
      </c>
      <c r="Q710">
        <f t="shared" ref="Q710:Q766" si="1000">F710*P710</f>
        <v>-9918967.1724137589</v>
      </c>
      <c r="R710">
        <f t="shared" ref="R710:R766" si="1001">R711+Q710</f>
        <v>338502420.07938081</v>
      </c>
      <c r="S710">
        <f t="shared" ref="S710:S766" si="1002">R710/100000</f>
        <v>3385.0242007938082</v>
      </c>
      <c r="T710">
        <f t="shared" ref="T710:T766" si="1003">S710/1000</f>
        <v>3.3850242007938083</v>
      </c>
    </row>
    <row r="711" spans="1:20" x14ac:dyDescent="0.25">
      <c r="A711" s="5">
        <v>43882</v>
      </c>
      <c r="B711">
        <v>2.3479999999999998E-3</v>
      </c>
      <c r="C711">
        <v>2.3960000000000001E-3</v>
      </c>
      <c r="D711">
        <v>2.1679999999999998E-3</v>
      </c>
      <c r="E711">
        <v>2.2169999999999998E-3</v>
      </c>
      <c r="F711">
        <v>76400788</v>
      </c>
      <c r="G711">
        <v>-5.58</v>
      </c>
      <c r="L711" t="s">
        <v>7</v>
      </c>
      <c r="M711" t="s">
        <v>7</v>
      </c>
      <c r="N711" t="s">
        <v>7</v>
      </c>
      <c r="P711">
        <f t="shared" si="999"/>
        <v>-0.57017543859649189</v>
      </c>
      <c r="Q711">
        <f t="shared" si="1000"/>
        <v>-43561852.807017595</v>
      </c>
      <c r="R711">
        <f t="shared" si="1001"/>
        <v>348421387.25179458</v>
      </c>
      <c r="S711">
        <f t="shared" si="1002"/>
        <v>3484.2138725179457</v>
      </c>
      <c r="T711">
        <f t="shared" si="1003"/>
        <v>3.4842138725179455</v>
      </c>
    </row>
    <row r="712" spans="1:20" x14ac:dyDescent="0.25">
      <c r="A712" s="5">
        <v>43881</v>
      </c>
      <c r="B712">
        <v>2.5209999999999998E-3</v>
      </c>
      <c r="C712">
        <v>2.5579999999999999E-3</v>
      </c>
      <c r="D712">
        <v>2.2030000000000001E-3</v>
      </c>
      <c r="E712">
        <v>2.3500000000000001E-3</v>
      </c>
      <c r="F712">
        <v>63917891</v>
      </c>
      <c r="G712">
        <v>-6.78</v>
      </c>
      <c r="L712" t="s">
        <v>7</v>
      </c>
      <c r="M712" t="s">
        <v>7</v>
      </c>
      <c r="N712" t="s">
        <v>7</v>
      </c>
      <c r="P712">
        <f t="shared" si="999"/>
        <v>-0.17183098591549262</v>
      </c>
      <c r="Q712">
        <f t="shared" si="1000"/>
        <v>-10983074.228168992</v>
      </c>
      <c r="R712">
        <f t="shared" si="1001"/>
        <v>391983240.05881214</v>
      </c>
      <c r="S712">
        <f t="shared" si="1002"/>
        <v>3919.8324005881213</v>
      </c>
      <c r="T712">
        <f t="shared" si="1003"/>
        <v>3.9198324005881213</v>
      </c>
    </row>
    <row r="713" spans="1:20" x14ac:dyDescent="0.25">
      <c r="A713" s="5">
        <v>43880</v>
      </c>
      <c r="B713">
        <v>2.823E-3</v>
      </c>
      <c r="C713">
        <v>2.8279999999999998E-3</v>
      </c>
      <c r="D713">
        <v>2.4559999999999998E-3</v>
      </c>
      <c r="E713">
        <v>2.5360000000000001E-3</v>
      </c>
      <c r="F713">
        <v>60461730</v>
      </c>
      <c r="G713">
        <v>-10.17</v>
      </c>
      <c r="L713" t="s">
        <v>7</v>
      </c>
      <c r="M713" t="s">
        <v>7</v>
      </c>
      <c r="N713" t="s">
        <v>7</v>
      </c>
      <c r="P713">
        <f t="shared" si="999"/>
        <v>-0.5698924731182784</v>
      </c>
      <c r="Q713">
        <f t="shared" si="1000"/>
        <v>-34456684.838709608</v>
      </c>
      <c r="R713">
        <f t="shared" si="1001"/>
        <v>402966314.28698111</v>
      </c>
      <c r="S713">
        <f t="shared" si="1002"/>
        <v>4029.6631428698111</v>
      </c>
      <c r="T713">
        <f t="shared" si="1003"/>
        <v>4.0296631428698113</v>
      </c>
    </row>
    <row r="714" spans="1:20" x14ac:dyDescent="0.25">
      <c r="A714" s="5">
        <v>43879</v>
      </c>
      <c r="B714">
        <v>2.6970000000000002E-3</v>
      </c>
      <c r="C714">
        <v>2.8830000000000001E-3</v>
      </c>
      <c r="D714">
        <v>2.5950000000000001E-3</v>
      </c>
      <c r="E714">
        <v>2.8180000000000002E-3</v>
      </c>
      <c r="F714">
        <v>119438536</v>
      </c>
      <c r="G714">
        <v>4.49</v>
      </c>
      <c r="L714" t="s">
        <v>8</v>
      </c>
      <c r="M714" t="s">
        <v>8</v>
      </c>
      <c r="N714" t="s">
        <v>7</v>
      </c>
      <c r="P714">
        <f t="shared" si="999"/>
        <v>0.54861111111111149</v>
      </c>
      <c r="Q714">
        <f t="shared" si="1000"/>
        <v>65525307.944444492</v>
      </c>
      <c r="R714">
        <f t="shared" si="1001"/>
        <v>437422999.1256907</v>
      </c>
      <c r="S714">
        <f t="shared" si="1002"/>
        <v>4374.2299912569069</v>
      </c>
      <c r="T714">
        <f t="shared" si="1003"/>
        <v>4.3742299912569074</v>
      </c>
    </row>
    <row r="715" spans="1:20" x14ac:dyDescent="0.25">
      <c r="A715" s="5">
        <v>43878</v>
      </c>
      <c r="B715">
        <v>2.7620000000000001E-3</v>
      </c>
      <c r="C715">
        <v>2.8140000000000001E-3</v>
      </c>
      <c r="D715">
        <v>2.3739999999999998E-3</v>
      </c>
      <c r="E715">
        <v>2.679E-3</v>
      </c>
      <c r="F715">
        <v>116752266</v>
      </c>
      <c r="G715">
        <v>-3.01</v>
      </c>
      <c r="L715" t="s">
        <v>7</v>
      </c>
      <c r="M715" t="s">
        <v>7</v>
      </c>
      <c r="N715" t="s">
        <v>7</v>
      </c>
      <c r="P715">
        <f t="shared" si="999"/>
        <v>0.38636363636363613</v>
      </c>
      <c r="Q715">
        <f t="shared" si="1000"/>
        <v>45108830.045454517</v>
      </c>
      <c r="R715">
        <f t="shared" si="1001"/>
        <v>371897691.18124622</v>
      </c>
      <c r="S715">
        <f t="shared" si="1002"/>
        <v>3718.9769118124623</v>
      </c>
      <c r="T715">
        <f t="shared" si="1003"/>
        <v>3.7189769118124625</v>
      </c>
    </row>
    <row r="716" spans="1:20" x14ac:dyDescent="0.25">
      <c r="A716" s="5">
        <v>43877</v>
      </c>
      <c r="B716">
        <v>3.2729999999999999E-3</v>
      </c>
      <c r="C716">
        <v>3.2729999999999999E-3</v>
      </c>
      <c r="D716">
        <v>2.4030000000000002E-3</v>
      </c>
      <c r="E716">
        <v>2.7750000000000001E-3</v>
      </c>
      <c r="F716">
        <v>276811819</v>
      </c>
      <c r="G716">
        <v>-15.22</v>
      </c>
      <c r="L716" t="s">
        <v>7</v>
      </c>
      <c r="M716" t="s">
        <v>7</v>
      </c>
      <c r="N716" t="s">
        <v>7</v>
      </c>
      <c r="P716">
        <f t="shared" si="999"/>
        <v>-0.1448275862068964</v>
      </c>
      <c r="Q716">
        <f t="shared" si="1000"/>
        <v>-40089987.579310305</v>
      </c>
      <c r="R716">
        <f t="shared" si="1001"/>
        <v>326788861.13579172</v>
      </c>
      <c r="S716">
        <f t="shared" si="1002"/>
        <v>3267.8886113579174</v>
      </c>
      <c r="T716">
        <f t="shared" si="1003"/>
        <v>3.2678886113579173</v>
      </c>
    </row>
    <row r="717" spans="1:20" x14ac:dyDescent="0.25">
      <c r="A717" s="5">
        <v>43876</v>
      </c>
      <c r="B717">
        <v>2.7550000000000001E-3</v>
      </c>
      <c r="C717">
        <v>4.1669999999999997E-3</v>
      </c>
      <c r="D717">
        <v>2.7299999999999998E-3</v>
      </c>
      <c r="E717">
        <v>3.2590000000000002E-3</v>
      </c>
      <c r="F717">
        <v>799150979</v>
      </c>
      <c r="G717">
        <v>18.29</v>
      </c>
      <c r="L717" t="s">
        <v>8</v>
      </c>
      <c r="M717" t="s">
        <v>8</v>
      </c>
      <c r="N717" t="s">
        <v>8</v>
      </c>
      <c r="P717">
        <f t="shared" si="999"/>
        <v>-0.26374391092553873</v>
      </c>
      <c r="Q717">
        <f t="shared" si="1000"/>
        <v>-210771204.62143308</v>
      </c>
      <c r="R717">
        <f t="shared" si="1001"/>
        <v>366878848.71510202</v>
      </c>
      <c r="S717">
        <f t="shared" si="1002"/>
        <v>3668.78848715102</v>
      </c>
      <c r="T717">
        <f t="shared" si="1003"/>
        <v>3.6687884871510201</v>
      </c>
    </row>
    <row r="718" spans="1:20" x14ac:dyDescent="0.25">
      <c r="A718" s="5">
        <v>43875</v>
      </c>
      <c r="B718">
        <v>2.222E-3</v>
      </c>
      <c r="C718">
        <v>2.97E-3</v>
      </c>
      <c r="D718">
        <v>2.1199999999999999E-3</v>
      </c>
      <c r="E718">
        <v>2.7720000000000002E-3</v>
      </c>
      <c r="F718">
        <v>931780723</v>
      </c>
      <c r="G718">
        <v>24.75</v>
      </c>
      <c r="L718" t="s">
        <v>8</v>
      </c>
      <c r="M718" t="s">
        <v>8</v>
      </c>
      <c r="N718" t="s">
        <v>8</v>
      </c>
      <c r="P718">
        <f t="shared" si="999"/>
        <v>0.53411764705882392</v>
      </c>
      <c r="Q718">
        <f t="shared" si="1000"/>
        <v>497680527.34352976</v>
      </c>
      <c r="R718">
        <f t="shared" si="1001"/>
        <v>577650053.3365351</v>
      </c>
      <c r="S718">
        <f t="shared" si="1002"/>
        <v>5776.5005333653507</v>
      </c>
      <c r="T718">
        <f t="shared" si="1003"/>
        <v>5.7765005333653505</v>
      </c>
    </row>
    <row r="719" spans="1:20" x14ac:dyDescent="0.25">
      <c r="A719" s="5">
        <v>43874</v>
      </c>
      <c r="B719">
        <v>1.9300000000000001E-3</v>
      </c>
      <c r="C719">
        <v>2.2929999999999999E-3</v>
      </c>
      <c r="D719">
        <v>1.8259999999999999E-3</v>
      </c>
      <c r="E719">
        <v>2.209E-3</v>
      </c>
      <c r="F719">
        <v>310492768</v>
      </c>
      <c r="G719">
        <v>14.46</v>
      </c>
      <c r="L719" t="s">
        <v>8</v>
      </c>
      <c r="M719" t="s">
        <v>8</v>
      </c>
      <c r="N719" t="s">
        <v>8</v>
      </c>
      <c r="P719">
        <f t="shared" si="999"/>
        <v>0.64025695931477566</v>
      </c>
      <c r="Q719">
        <f t="shared" si="1000"/>
        <v>198795155.52890807</v>
      </c>
      <c r="R719">
        <f t="shared" si="1001"/>
        <v>79969525.993005306</v>
      </c>
      <c r="S719">
        <f t="shared" si="1002"/>
        <v>799.69525993005311</v>
      </c>
      <c r="T719">
        <f t="shared" si="1003"/>
        <v>0.79969525993005308</v>
      </c>
    </row>
    <row r="720" spans="1:20" x14ac:dyDescent="0.25">
      <c r="A720" s="5">
        <v>43873</v>
      </c>
      <c r="B720">
        <v>1.807E-3</v>
      </c>
      <c r="C720">
        <v>2.0579999999999999E-3</v>
      </c>
      <c r="D720">
        <v>1.763E-3</v>
      </c>
      <c r="E720">
        <v>1.9350000000000001E-3</v>
      </c>
      <c r="F720">
        <v>203947129</v>
      </c>
      <c r="G720">
        <v>7.08</v>
      </c>
      <c r="L720" t="s">
        <v>8</v>
      </c>
      <c r="M720" t="s">
        <v>8</v>
      </c>
      <c r="N720" t="s">
        <v>8</v>
      </c>
      <c r="P720">
        <f t="shared" si="999"/>
        <v>0.16610169491525503</v>
      </c>
      <c r="Q720">
        <f t="shared" si="1000"/>
        <v>33875963.800000161</v>
      </c>
      <c r="R720">
        <f t="shared" si="1001"/>
        <v>-118825629.53590277</v>
      </c>
      <c r="S720">
        <f t="shared" si="1002"/>
        <v>-1188.2562953590277</v>
      </c>
      <c r="T720">
        <f t="shared" si="1003"/>
        <v>-1.1882562953590277</v>
      </c>
    </row>
    <row r="721" spans="1:20" x14ac:dyDescent="0.25">
      <c r="A721" s="5">
        <v>43872</v>
      </c>
      <c r="B721">
        <v>1.671E-3</v>
      </c>
      <c r="C721">
        <v>1.8569999999999999E-3</v>
      </c>
      <c r="D721">
        <v>1.634E-3</v>
      </c>
      <c r="E721">
        <v>1.8010000000000001E-3</v>
      </c>
      <c r="F721">
        <v>135423045</v>
      </c>
      <c r="G721">
        <v>7.78</v>
      </c>
      <c r="L721" t="s">
        <v>8</v>
      </c>
      <c r="M721" t="s">
        <v>8</v>
      </c>
      <c r="N721" t="s">
        <v>8</v>
      </c>
      <c r="P721">
        <f t="shared" si="999"/>
        <v>0.49775784753363345</v>
      </c>
      <c r="Q721">
        <f t="shared" si="1000"/>
        <v>67407883.385650381</v>
      </c>
      <c r="R721">
        <f t="shared" si="1001"/>
        <v>-152701593.33590293</v>
      </c>
      <c r="S721">
        <f t="shared" si="1002"/>
        <v>-1527.0159333590293</v>
      </c>
      <c r="T721">
        <f t="shared" si="1003"/>
        <v>-1.5270159333590294</v>
      </c>
    </row>
    <row r="722" spans="1:20" x14ac:dyDescent="0.25">
      <c r="A722" s="5">
        <v>43871</v>
      </c>
      <c r="B722">
        <v>1.66E-3</v>
      </c>
      <c r="C722">
        <v>1.6900000000000001E-3</v>
      </c>
      <c r="D722">
        <v>1.614E-3</v>
      </c>
      <c r="E722">
        <v>1.6720000000000001E-3</v>
      </c>
      <c r="F722">
        <v>73082859</v>
      </c>
      <c r="G722">
        <v>0.72</v>
      </c>
      <c r="L722" t="s">
        <v>7</v>
      </c>
      <c r="M722" t="s">
        <v>7</v>
      </c>
      <c r="N722" t="s">
        <v>8</v>
      </c>
      <c r="P722">
        <f t="shared" si="999"/>
        <v>0.52631578947368485</v>
      </c>
      <c r="Q722">
        <f t="shared" si="1000"/>
        <v>38464662.631578997</v>
      </c>
      <c r="R722">
        <f t="shared" si="1001"/>
        <v>-220109476.72155333</v>
      </c>
      <c r="S722">
        <f t="shared" si="1002"/>
        <v>-2201.0947672155335</v>
      </c>
      <c r="T722">
        <f t="shared" si="1003"/>
        <v>-2.2010947672155337</v>
      </c>
    </row>
    <row r="723" spans="1:20" x14ac:dyDescent="0.25">
      <c r="A723" s="5">
        <v>43870</v>
      </c>
      <c r="B723">
        <v>1.606E-3</v>
      </c>
      <c r="C723">
        <v>1.6659999999999999E-3</v>
      </c>
      <c r="D723">
        <v>1.58E-3</v>
      </c>
      <c r="E723">
        <v>1.66E-3</v>
      </c>
      <c r="F723">
        <v>44306777</v>
      </c>
      <c r="G723">
        <v>3.36</v>
      </c>
      <c r="L723" t="s">
        <v>7</v>
      </c>
      <c r="M723" t="s">
        <v>7</v>
      </c>
      <c r="N723" t="s">
        <v>8</v>
      </c>
      <c r="P723">
        <f t="shared" si="999"/>
        <v>0.8604651162790713</v>
      </c>
      <c r="Q723">
        <f t="shared" si="1000"/>
        <v>38124436.023255885</v>
      </c>
      <c r="R723">
        <f t="shared" si="1001"/>
        <v>-258574139.35313231</v>
      </c>
      <c r="S723">
        <f t="shared" si="1002"/>
        <v>-2585.741393531323</v>
      </c>
      <c r="T723">
        <f t="shared" si="1003"/>
        <v>-2.5857413935313232</v>
      </c>
    </row>
    <row r="724" spans="1:20" x14ac:dyDescent="0.25">
      <c r="A724" s="5">
        <v>43869</v>
      </c>
      <c r="B724">
        <v>1.6459999999999999E-3</v>
      </c>
      <c r="C724">
        <v>1.6609999999999999E-3</v>
      </c>
      <c r="D724">
        <v>1.588E-3</v>
      </c>
      <c r="E724">
        <v>1.596E-3</v>
      </c>
      <c r="F724">
        <v>51985415</v>
      </c>
      <c r="G724">
        <v>-3.04</v>
      </c>
      <c r="L724" t="s">
        <v>7</v>
      </c>
      <c r="M724" t="s">
        <v>7</v>
      </c>
      <c r="N724" t="s">
        <v>8</v>
      </c>
      <c r="P724">
        <f t="shared" si="999"/>
        <v>-0.78082191780821963</v>
      </c>
      <c r="Q724">
        <f t="shared" si="1000"/>
        <v>-40591351.438356191</v>
      </c>
      <c r="R724">
        <f t="shared" si="1001"/>
        <v>-296698575.37638819</v>
      </c>
      <c r="S724">
        <f t="shared" si="1002"/>
        <v>-2966.9857537638818</v>
      </c>
      <c r="T724">
        <f t="shared" si="1003"/>
        <v>-2.9669857537638817</v>
      </c>
    </row>
    <row r="725" spans="1:20" x14ac:dyDescent="0.25">
      <c r="A725" s="5">
        <v>43868</v>
      </c>
      <c r="B725">
        <v>1.671E-3</v>
      </c>
      <c r="C725">
        <v>1.7329999999999999E-3</v>
      </c>
      <c r="D725">
        <v>1.6149999999999999E-3</v>
      </c>
      <c r="E725">
        <v>1.6440000000000001E-3</v>
      </c>
      <c r="F725">
        <v>120128846</v>
      </c>
      <c r="G725">
        <v>-1.62</v>
      </c>
      <c r="L725" t="s">
        <v>8</v>
      </c>
      <c r="M725" t="s">
        <v>7</v>
      </c>
      <c r="N725" t="s">
        <v>8</v>
      </c>
      <c r="P725">
        <f t="shared" si="999"/>
        <v>-0.50847457627118386</v>
      </c>
      <c r="Q725">
        <f t="shared" si="1000"/>
        <v>-61082464.067796297</v>
      </c>
      <c r="R725">
        <f t="shared" si="1001"/>
        <v>-256107223.93803197</v>
      </c>
      <c r="S725">
        <f t="shared" si="1002"/>
        <v>-2561.0722393803198</v>
      </c>
      <c r="T725">
        <f t="shared" si="1003"/>
        <v>-2.5610722393803198</v>
      </c>
    </row>
    <row r="726" spans="1:20" x14ac:dyDescent="0.25">
      <c r="A726" s="5">
        <v>43867</v>
      </c>
      <c r="B726">
        <v>1.637E-3</v>
      </c>
      <c r="C726">
        <v>1.6789999999999999E-3</v>
      </c>
      <c r="D726">
        <v>1.5709999999999999E-3</v>
      </c>
      <c r="E726">
        <v>1.665E-3</v>
      </c>
      <c r="F726">
        <v>203878412</v>
      </c>
      <c r="G726">
        <v>1.71</v>
      </c>
      <c r="L726" t="s">
        <v>7</v>
      </c>
      <c r="M726" t="s">
        <v>7</v>
      </c>
      <c r="N726" t="s">
        <v>8</v>
      </c>
      <c r="P726">
        <f t="shared" si="999"/>
        <v>0.74074074074074248</v>
      </c>
      <c r="Q726">
        <f t="shared" si="1000"/>
        <v>151021045.92592627</v>
      </c>
      <c r="R726">
        <f t="shared" si="1001"/>
        <v>-195024759.87023568</v>
      </c>
      <c r="S726">
        <f t="shared" si="1002"/>
        <v>-1950.2475987023568</v>
      </c>
      <c r="T726">
        <f t="shared" si="1003"/>
        <v>-1.9502475987023566</v>
      </c>
    </row>
    <row r="727" spans="1:20" x14ac:dyDescent="0.25">
      <c r="A727" s="5">
        <v>43866</v>
      </c>
      <c r="B727">
        <v>1.58E-3</v>
      </c>
      <c r="C727">
        <v>1.9589999999999998E-3</v>
      </c>
      <c r="D727">
        <v>1.539E-3</v>
      </c>
      <c r="E727">
        <v>1.6360000000000001E-3</v>
      </c>
      <c r="F727">
        <v>230367857</v>
      </c>
      <c r="G727">
        <v>3.54</v>
      </c>
      <c r="L727" t="s">
        <v>8</v>
      </c>
      <c r="M727" t="s">
        <v>8</v>
      </c>
      <c r="N727" t="s">
        <v>8</v>
      </c>
      <c r="P727">
        <f t="shared" si="999"/>
        <v>-0.53809523809523752</v>
      </c>
      <c r="Q727">
        <f t="shared" si="1000"/>
        <v>-123959846.86190462</v>
      </c>
      <c r="R727">
        <f t="shared" si="1001"/>
        <v>-346045805.79616195</v>
      </c>
      <c r="S727">
        <f t="shared" si="1002"/>
        <v>-3460.4580579616195</v>
      </c>
      <c r="T727">
        <f t="shared" si="1003"/>
        <v>-3.4604580579616195</v>
      </c>
    </row>
    <row r="728" spans="1:20" x14ac:dyDescent="0.25">
      <c r="A728" s="5">
        <v>43865</v>
      </c>
      <c r="B728">
        <v>1.4139999999999999E-3</v>
      </c>
      <c r="C728">
        <v>1.6329999999999999E-3</v>
      </c>
      <c r="D728">
        <v>1.4E-3</v>
      </c>
      <c r="E728">
        <v>1.578E-3</v>
      </c>
      <c r="F728">
        <v>102238770</v>
      </c>
      <c r="G728">
        <v>11.6</v>
      </c>
      <c r="L728" t="s">
        <v>8</v>
      </c>
      <c r="M728" t="s">
        <v>8</v>
      </c>
      <c r="N728" t="s">
        <v>7</v>
      </c>
      <c r="P728">
        <f t="shared" si="999"/>
        <v>0.52789699570815496</v>
      </c>
      <c r="Q728">
        <f t="shared" si="1000"/>
        <v>53971539.527897045</v>
      </c>
      <c r="R728">
        <f t="shared" si="1001"/>
        <v>-222085958.93425733</v>
      </c>
      <c r="S728">
        <f t="shared" si="1002"/>
        <v>-2220.8595893425731</v>
      </c>
      <c r="T728">
        <f t="shared" si="1003"/>
        <v>-2.2208595893425733</v>
      </c>
    </row>
    <row r="729" spans="1:20" x14ac:dyDescent="0.25">
      <c r="A729" s="5">
        <v>43864</v>
      </c>
      <c r="B729">
        <v>1.392E-3</v>
      </c>
      <c r="C729">
        <v>1.4239999999999999E-3</v>
      </c>
      <c r="D729">
        <v>1.3799999999999999E-3</v>
      </c>
      <c r="E729">
        <v>1.413E-3</v>
      </c>
      <c r="F729">
        <v>29776629</v>
      </c>
      <c r="G729">
        <v>1.51</v>
      </c>
      <c r="L729" t="s">
        <v>8</v>
      </c>
      <c r="M729" t="s">
        <v>8</v>
      </c>
      <c r="N729" t="s">
        <v>7</v>
      </c>
      <c r="P729">
        <f t="shared" si="999"/>
        <v>0.50000000000000244</v>
      </c>
      <c r="Q729">
        <f t="shared" si="1000"/>
        <v>14888314.500000073</v>
      </c>
      <c r="R729">
        <f t="shared" si="1001"/>
        <v>-276057498.46215439</v>
      </c>
      <c r="S729">
        <f t="shared" si="1002"/>
        <v>-2760.574984621544</v>
      </c>
      <c r="T729">
        <f t="shared" si="1003"/>
        <v>-2.7605749846215439</v>
      </c>
    </row>
    <row r="730" spans="1:20" x14ac:dyDescent="0.25">
      <c r="A730" s="5">
        <v>43863</v>
      </c>
      <c r="B730">
        <v>1.374E-3</v>
      </c>
      <c r="C730">
        <v>1.48E-3</v>
      </c>
      <c r="D730">
        <v>1.3569999999999999E-3</v>
      </c>
      <c r="E730">
        <v>1.3799999999999999E-3</v>
      </c>
      <c r="F730">
        <v>88633385</v>
      </c>
      <c r="G730">
        <v>0.44</v>
      </c>
      <c r="L730" t="s">
        <v>8</v>
      </c>
      <c r="M730" t="s">
        <v>8</v>
      </c>
      <c r="N730" t="s">
        <v>7</v>
      </c>
      <c r="P730">
        <f t="shared" si="999"/>
        <v>-0.62601626016260159</v>
      </c>
      <c r="Q730">
        <f t="shared" si="1000"/>
        <v>-55485940.203252032</v>
      </c>
      <c r="R730">
        <f t="shared" si="1001"/>
        <v>-290945812.96215445</v>
      </c>
      <c r="S730">
        <f t="shared" si="1002"/>
        <v>-2909.4581296215447</v>
      </c>
      <c r="T730">
        <f t="shared" si="1003"/>
        <v>-2.9094581296215445</v>
      </c>
    </row>
    <row r="731" spans="1:20" x14ac:dyDescent="0.25">
      <c r="A731" s="5">
        <v>43862</v>
      </c>
      <c r="B731">
        <v>1.317E-3</v>
      </c>
      <c r="C731">
        <v>1.3849999999999999E-3</v>
      </c>
      <c r="D731">
        <v>1.312E-3</v>
      </c>
      <c r="E731">
        <v>1.3749999999999999E-3</v>
      </c>
      <c r="F731">
        <v>36106219</v>
      </c>
      <c r="G731">
        <v>4.4000000000000004</v>
      </c>
      <c r="L731" t="s">
        <v>8</v>
      </c>
      <c r="M731" t="s">
        <v>7</v>
      </c>
      <c r="N731" t="s">
        <v>7</v>
      </c>
      <c r="P731">
        <f t="shared" si="999"/>
        <v>0.72602739726027299</v>
      </c>
      <c r="Q731">
        <f t="shared" si="1000"/>
        <v>26214104.205479417</v>
      </c>
      <c r="R731">
        <f t="shared" si="1001"/>
        <v>-235459872.7589024</v>
      </c>
      <c r="S731">
        <f t="shared" si="1002"/>
        <v>-2354.5987275890238</v>
      </c>
      <c r="T731">
        <f t="shared" si="1003"/>
        <v>-2.3545987275890239</v>
      </c>
    </row>
    <row r="732" spans="1:20" x14ac:dyDescent="0.25">
      <c r="A732" s="5">
        <v>43861</v>
      </c>
      <c r="B732">
        <v>1.2880000000000001E-3</v>
      </c>
      <c r="C732">
        <v>1.3500000000000001E-3</v>
      </c>
      <c r="D732">
        <v>1.2719999999999999E-3</v>
      </c>
      <c r="E732">
        <v>1.317E-3</v>
      </c>
      <c r="F732">
        <v>27129429</v>
      </c>
      <c r="G732">
        <v>2.25</v>
      </c>
      <c r="L732" t="s">
        <v>8</v>
      </c>
      <c r="M732" t="s">
        <v>7</v>
      </c>
      <c r="N732" t="s">
        <v>7</v>
      </c>
      <c r="P732">
        <f t="shared" si="999"/>
        <v>0.15384615384615449</v>
      </c>
      <c r="Q732">
        <f t="shared" si="1000"/>
        <v>4173758.3076923252</v>
      </c>
      <c r="R732">
        <f t="shared" si="1001"/>
        <v>-261673976.96438181</v>
      </c>
      <c r="S732">
        <f t="shared" si="1002"/>
        <v>-2616.7397696438184</v>
      </c>
      <c r="T732">
        <f t="shared" si="1003"/>
        <v>-2.6167397696438184</v>
      </c>
    </row>
    <row r="733" spans="1:20" x14ac:dyDescent="0.25">
      <c r="A733" s="5">
        <v>43860</v>
      </c>
      <c r="B733">
        <v>1.3079999999999999E-3</v>
      </c>
      <c r="C733">
        <v>1.3129999999999999E-3</v>
      </c>
      <c r="D733">
        <v>1.2600000000000001E-3</v>
      </c>
      <c r="E733">
        <v>1.2899999999999999E-3</v>
      </c>
      <c r="F733">
        <v>28636106</v>
      </c>
      <c r="G733">
        <v>-1.38</v>
      </c>
      <c r="L733" t="s">
        <v>8</v>
      </c>
      <c r="M733" t="s">
        <v>7</v>
      </c>
      <c r="N733" t="s">
        <v>7</v>
      </c>
      <c r="P733">
        <f t="shared" si="999"/>
        <v>0.13207547169811057</v>
      </c>
      <c r="Q733">
        <f t="shared" si="1000"/>
        <v>3782127.2075470942</v>
      </c>
      <c r="R733">
        <f t="shared" si="1001"/>
        <v>-265847735.27207413</v>
      </c>
      <c r="S733">
        <f t="shared" si="1002"/>
        <v>-2658.4773527207412</v>
      </c>
      <c r="T733">
        <f t="shared" si="1003"/>
        <v>-2.658477352720741</v>
      </c>
    </row>
    <row r="734" spans="1:20" x14ac:dyDescent="0.25">
      <c r="A734" s="5">
        <v>43859</v>
      </c>
      <c r="B734">
        <v>1.312E-3</v>
      </c>
      <c r="C734">
        <v>1.3179999999999999E-3</v>
      </c>
      <c r="D734">
        <v>1.263E-3</v>
      </c>
      <c r="E734">
        <v>1.3079999999999999E-3</v>
      </c>
      <c r="F734">
        <v>30577662</v>
      </c>
      <c r="G734">
        <v>-0.3</v>
      </c>
      <c r="L734" t="s">
        <v>8</v>
      </c>
      <c r="M734" t="s">
        <v>7</v>
      </c>
      <c r="N734" t="s">
        <v>7</v>
      </c>
      <c r="P734">
        <f t="shared" si="999"/>
        <v>0.63636363636363491</v>
      </c>
      <c r="Q734">
        <f t="shared" si="1000"/>
        <v>19458512.181818139</v>
      </c>
      <c r="R734">
        <f t="shared" si="1001"/>
        <v>-269629862.47962123</v>
      </c>
      <c r="S734">
        <f t="shared" si="1002"/>
        <v>-2696.2986247962122</v>
      </c>
      <c r="T734">
        <f t="shared" si="1003"/>
        <v>-2.6962986247962122</v>
      </c>
    </row>
    <row r="735" spans="1:20" x14ac:dyDescent="0.25">
      <c r="A735" s="5">
        <v>43858</v>
      </c>
      <c r="B735">
        <v>1.3110000000000001E-3</v>
      </c>
      <c r="C735">
        <v>1.3209999999999999E-3</v>
      </c>
      <c r="D735">
        <v>1.2719999999999999E-3</v>
      </c>
      <c r="E735">
        <v>1.31E-3</v>
      </c>
      <c r="F735">
        <v>44737152</v>
      </c>
      <c r="G735">
        <v>-0.08</v>
      </c>
      <c r="L735" t="s">
        <v>8</v>
      </c>
      <c r="M735" t="s">
        <v>7</v>
      </c>
      <c r="N735" t="s">
        <v>7</v>
      </c>
      <c r="P735">
        <f t="shared" si="999"/>
        <v>0.55102040816326769</v>
      </c>
      <c r="Q735">
        <f t="shared" si="1000"/>
        <v>24651083.755102146</v>
      </c>
      <c r="R735">
        <f t="shared" si="1001"/>
        <v>-289088374.66143936</v>
      </c>
      <c r="S735">
        <f t="shared" si="1002"/>
        <v>-2890.8837466143937</v>
      </c>
      <c r="T735">
        <f t="shared" si="1003"/>
        <v>-2.8908837466143935</v>
      </c>
    </row>
    <row r="736" spans="1:20" x14ac:dyDescent="0.25">
      <c r="A736" s="5">
        <v>43857</v>
      </c>
      <c r="B736">
        <v>1.2719999999999999E-3</v>
      </c>
      <c r="C736">
        <v>1.33E-3</v>
      </c>
      <c r="D736">
        <v>1.258E-3</v>
      </c>
      <c r="E736">
        <v>1.3110000000000001E-3</v>
      </c>
      <c r="F736">
        <v>29743408</v>
      </c>
      <c r="G736">
        <v>3.07</v>
      </c>
      <c r="L736" t="s">
        <v>8</v>
      </c>
      <c r="M736" t="s">
        <v>7</v>
      </c>
      <c r="N736" t="s">
        <v>7</v>
      </c>
      <c r="P736">
        <f t="shared" si="999"/>
        <v>0.47222222222222454</v>
      </c>
      <c r="Q736">
        <f t="shared" si="1000"/>
        <v>14045498.222222291</v>
      </c>
      <c r="R736">
        <f t="shared" si="1001"/>
        <v>-313739458.41654152</v>
      </c>
      <c r="S736">
        <f t="shared" si="1002"/>
        <v>-3137.3945841654154</v>
      </c>
      <c r="T736">
        <f t="shared" si="1003"/>
        <v>-3.1373945841654152</v>
      </c>
    </row>
    <row r="737" spans="1:20" x14ac:dyDescent="0.25">
      <c r="A737" s="5">
        <v>43856</v>
      </c>
      <c r="B737">
        <v>1.271E-3</v>
      </c>
      <c r="C737">
        <v>1.3270000000000001E-3</v>
      </c>
      <c r="D737">
        <v>1.2570000000000001E-3</v>
      </c>
      <c r="E737">
        <v>1.2719999999999999E-3</v>
      </c>
      <c r="F737">
        <v>45250035</v>
      </c>
      <c r="G737">
        <v>0.08</v>
      </c>
      <c r="L737" t="s">
        <v>8</v>
      </c>
      <c r="M737" t="s">
        <v>7</v>
      </c>
      <c r="N737" t="s">
        <v>7</v>
      </c>
      <c r="P737">
        <f t="shared" si="999"/>
        <v>-0.57142857142857628</v>
      </c>
      <c r="Q737">
        <f t="shared" si="1000"/>
        <v>-25857162.857143078</v>
      </c>
      <c r="R737">
        <f t="shared" si="1001"/>
        <v>-327784956.63876379</v>
      </c>
      <c r="S737">
        <f t="shared" si="1002"/>
        <v>-3277.8495663876379</v>
      </c>
      <c r="T737">
        <f t="shared" si="1003"/>
        <v>-3.2778495663876379</v>
      </c>
    </row>
    <row r="738" spans="1:20" x14ac:dyDescent="0.25">
      <c r="A738" s="5">
        <v>43855</v>
      </c>
      <c r="B738">
        <v>1.235E-3</v>
      </c>
      <c r="C738">
        <v>1.302E-3</v>
      </c>
      <c r="D738">
        <v>1.204E-3</v>
      </c>
      <c r="E738">
        <v>1.276E-3</v>
      </c>
      <c r="F738">
        <v>36328387</v>
      </c>
      <c r="G738">
        <v>3.32</v>
      </c>
      <c r="L738" t="s">
        <v>8</v>
      </c>
      <c r="M738" t="s">
        <v>7</v>
      </c>
      <c r="N738" t="s">
        <v>7</v>
      </c>
      <c r="P738">
        <f t="shared" si="999"/>
        <v>0.46938775510204117</v>
      </c>
      <c r="Q738">
        <f t="shared" si="1000"/>
        <v>17052100.020408176</v>
      </c>
      <c r="R738">
        <f t="shared" si="1001"/>
        <v>-301927793.78162068</v>
      </c>
      <c r="S738">
        <f t="shared" si="1002"/>
        <v>-3019.2779378162068</v>
      </c>
      <c r="T738">
        <f t="shared" si="1003"/>
        <v>-3.0192779378162067</v>
      </c>
    </row>
    <row r="739" spans="1:20" x14ac:dyDescent="0.25">
      <c r="A739" s="5">
        <v>43854</v>
      </c>
      <c r="B739">
        <v>1.2260000000000001E-3</v>
      </c>
      <c r="C739">
        <v>1.248E-3</v>
      </c>
      <c r="D739">
        <v>1.201E-3</v>
      </c>
      <c r="E739">
        <v>1.235E-3</v>
      </c>
      <c r="F739">
        <v>22690627</v>
      </c>
      <c r="G739">
        <v>0.73</v>
      </c>
      <c r="L739" t="s">
        <v>7</v>
      </c>
      <c r="M739" t="s">
        <v>7</v>
      </c>
      <c r="N739" t="s">
        <v>7</v>
      </c>
      <c r="P739">
        <f t="shared" si="999"/>
        <v>0.44680851063829768</v>
      </c>
      <c r="Q739">
        <f t="shared" si="1000"/>
        <v>10138365.255319145</v>
      </c>
      <c r="R739">
        <f t="shared" si="1001"/>
        <v>-318979893.80202883</v>
      </c>
      <c r="S739">
        <f t="shared" si="1002"/>
        <v>-3189.7989380202885</v>
      </c>
      <c r="T739">
        <f t="shared" si="1003"/>
        <v>-3.1897989380202882</v>
      </c>
    </row>
    <row r="740" spans="1:20" x14ac:dyDescent="0.25">
      <c r="A740" s="5">
        <v>43853</v>
      </c>
      <c r="B740">
        <v>1.263E-3</v>
      </c>
      <c r="C740">
        <v>1.276E-3</v>
      </c>
      <c r="D740">
        <v>1.2099999999999999E-3</v>
      </c>
      <c r="E740">
        <v>1.2260000000000001E-3</v>
      </c>
      <c r="F740">
        <v>31039775</v>
      </c>
      <c r="G740">
        <v>-2.93</v>
      </c>
      <c r="L740" t="s">
        <v>7</v>
      </c>
      <c r="M740" t="s">
        <v>7</v>
      </c>
      <c r="N740" t="s">
        <v>7</v>
      </c>
      <c r="P740">
        <f t="shared" si="999"/>
        <v>-0.51515151515151059</v>
      </c>
      <c r="Q740">
        <f t="shared" si="1000"/>
        <v>-15990187.12121198</v>
      </c>
      <c r="R740">
        <f t="shared" si="1001"/>
        <v>-329118259.05734795</v>
      </c>
      <c r="S740">
        <f t="shared" si="1002"/>
        <v>-3291.1825905734795</v>
      </c>
      <c r="T740">
        <f t="shared" si="1003"/>
        <v>-3.2911825905734795</v>
      </c>
    </row>
    <row r="741" spans="1:20" x14ac:dyDescent="0.25">
      <c r="A741" s="5">
        <v>43852</v>
      </c>
      <c r="B741">
        <v>1.2669999999999999E-3</v>
      </c>
      <c r="C741">
        <v>1.2819999999999999E-3</v>
      </c>
      <c r="D741">
        <v>1.25E-3</v>
      </c>
      <c r="E741">
        <v>1.261E-3</v>
      </c>
      <c r="F741">
        <v>26779195</v>
      </c>
      <c r="G741">
        <v>-0.47</v>
      </c>
      <c r="L741" t="s">
        <v>7</v>
      </c>
      <c r="M741" t="s">
        <v>7</v>
      </c>
      <c r="N741" t="s">
        <v>7</v>
      </c>
      <c r="P741">
        <f t="shared" si="999"/>
        <v>-0.31250000000000172</v>
      </c>
      <c r="Q741">
        <f t="shared" si="1000"/>
        <v>-8368498.4375000456</v>
      </c>
      <c r="R741">
        <f t="shared" si="1001"/>
        <v>-313128071.93613595</v>
      </c>
      <c r="S741">
        <f t="shared" si="1002"/>
        <v>-3131.2807193613594</v>
      </c>
      <c r="T741">
        <f t="shared" si="1003"/>
        <v>-3.1312807193613592</v>
      </c>
    </row>
    <row r="742" spans="1:20" x14ac:dyDescent="0.25">
      <c r="A742" s="5">
        <v>43851</v>
      </c>
      <c r="B742">
        <v>1.261E-3</v>
      </c>
      <c r="C742">
        <v>1.2750000000000001E-3</v>
      </c>
      <c r="D742">
        <v>1.25E-3</v>
      </c>
      <c r="E742">
        <v>1.271E-3</v>
      </c>
      <c r="F742">
        <v>21786939</v>
      </c>
      <c r="G742">
        <v>0.79</v>
      </c>
      <c r="L742" t="s">
        <v>7</v>
      </c>
      <c r="M742" t="s">
        <v>7</v>
      </c>
      <c r="N742" t="s">
        <v>7</v>
      </c>
      <c r="P742">
        <f t="shared" si="999"/>
        <v>0.67999999999999305</v>
      </c>
      <c r="Q742">
        <f t="shared" si="1000"/>
        <v>14815118.519999849</v>
      </c>
      <c r="R742">
        <f t="shared" si="1001"/>
        <v>-304759573.49863589</v>
      </c>
      <c r="S742">
        <f t="shared" si="1002"/>
        <v>-3047.5957349863588</v>
      </c>
      <c r="T742">
        <f t="shared" si="1003"/>
        <v>-3.0475957349863587</v>
      </c>
    </row>
    <row r="743" spans="1:20" x14ac:dyDescent="0.25">
      <c r="A743" s="5">
        <v>43850</v>
      </c>
      <c r="B743">
        <v>1.3110000000000001E-3</v>
      </c>
      <c r="C743">
        <v>1.3110000000000001E-3</v>
      </c>
      <c r="D743">
        <v>1.25E-3</v>
      </c>
      <c r="E743">
        <v>1.261E-3</v>
      </c>
      <c r="F743">
        <v>31483918</v>
      </c>
      <c r="G743">
        <v>-3.81</v>
      </c>
      <c r="L743" t="s">
        <v>7</v>
      </c>
      <c r="M743" t="s">
        <v>7</v>
      </c>
      <c r="N743" t="s">
        <v>7</v>
      </c>
      <c r="P743">
        <f t="shared" si="999"/>
        <v>-0.63934426229508434</v>
      </c>
      <c r="Q743">
        <f t="shared" si="1000"/>
        <v>-20129062.327868927</v>
      </c>
      <c r="R743">
        <f t="shared" si="1001"/>
        <v>-319574692.01863575</v>
      </c>
      <c r="S743">
        <f t="shared" si="1002"/>
        <v>-3195.7469201863573</v>
      </c>
      <c r="T743">
        <f t="shared" si="1003"/>
        <v>-3.1957469201863575</v>
      </c>
    </row>
    <row r="744" spans="1:20" x14ac:dyDescent="0.25">
      <c r="A744" s="5">
        <v>43849</v>
      </c>
      <c r="B744">
        <v>1.3320000000000001E-3</v>
      </c>
      <c r="C744">
        <v>1.341E-3</v>
      </c>
      <c r="D744">
        <v>1.2459999999999999E-3</v>
      </c>
      <c r="E744">
        <v>1.3079999999999999E-3</v>
      </c>
      <c r="F744">
        <v>34136067</v>
      </c>
      <c r="G744">
        <v>-1.8</v>
      </c>
      <c r="L744" t="s">
        <v>7</v>
      </c>
      <c r="M744" t="s">
        <v>7</v>
      </c>
      <c r="N744" t="s">
        <v>7</v>
      </c>
      <c r="P744">
        <f t="shared" si="999"/>
        <v>0.30526315789473618</v>
      </c>
      <c r="Q744">
        <f t="shared" si="1000"/>
        <v>10420483.610526294</v>
      </c>
      <c r="R744">
        <f t="shared" si="1001"/>
        <v>-299445629.69076681</v>
      </c>
      <c r="S744">
        <f t="shared" si="1002"/>
        <v>-2994.4562969076683</v>
      </c>
      <c r="T744">
        <f t="shared" si="1003"/>
        <v>-2.9944562969076682</v>
      </c>
    </row>
    <row r="745" spans="1:20" x14ac:dyDescent="0.25">
      <c r="A745" s="5">
        <v>43848</v>
      </c>
      <c r="B745">
        <v>1.3339999999999999E-3</v>
      </c>
      <c r="C745">
        <v>1.358E-3</v>
      </c>
      <c r="D745">
        <v>1.32E-3</v>
      </c>
      <c r="E745">
        <v>1.3359999999999999E-3</v>
      </c>
      <c r="F745">
        <v>17912582</v>
      </c>
      <c r="G745">
        <v>0.15</v>
      </c>
      <c r="L745" t="s">
        <v>7</v>
      </c>
      <c r="M745" t="s">
        <v>7</v>
      </c>
      <c r="N745" t="s">
        <v>7</v>
      </c>
      <c r="P745">
        <f t="shared" si="999"/>
        <v>-0.15789473684210886</v>
      </c>
      <c r="Q745">
        <f t="shared" si="1000"/>
        <v>-2828302.4210526962</v>
      </c>
      <c r="R745">
        <f t="shared" si="1001"/>
        <v>-309866113.30129308</v>
      </c>
      <c r="S745">
        <f t="shared" si="1002"/>
        <v>-3098.6611330129308</v>
      </c>
      <c r="T745">
        <f t="shared" si="1003"/>
        <v>-3.0986611330129308</v>
      </c>
    </row>
    <row r="746" spans="1:20" x14ac:dyDescent="0.25">
      <c r="A746" s="5">
        <v>43847</v>
      </c>
      <c r="B746">
        <v>1.31E-3</v>
      </c>
      <c r="C746">
        <v>1.346E-3</v>
      </c>
      <c r="D746">
        <v>1.2899999999999999E-3</v>
      </c>
      <c r="E746">
        <v>1.3339999999999999E-3</v>
      </c>
      <c r="F746">
        <v>29633526</v>
      </c>
      <c r="G746">
        <v>1.83</v>
      </c>
      <c r="L746" t="s">
        <v>7</v>
      </c>
      <c r="M746" t="s">
        <v>7</v>
      </c>
      <c r="N746" t="s">
        <v>7</v>
      </c>
      <c r="P746">
        <f t="shared" si="999"/>
        <v>0.57142857142856918</v>
      </c>
      <c r="Q746">
        <f t="shared" si="1000"/>
        <v>16933443.428571362</v>
      </c>
      <c r="R746">
        <f t="shared" si="1001"/>
        <v>-307037810.88024038</v>
      </c>
      <c r="S746">
        <f t="shared" si="1002"/>
        <v>-3070.3781088024039</v>
      </c>
      <c r="T746">
        <f t="shared" si="1003"/>
        <v>-3.0703781088024038</v>
      </c>
    </row>
    <row r="747" spans="1:20" x14ac:dyDescent="0.25">
      <c r="A747" s="5">
        <v>43846</v>
      </c>
      <c r="B747">
        <v>1.3159999999999999E-3</v>
      </c>
      <c r="C747">
        <v>1.3290000000000001E-3</v>
      </c>
      <c r="D747">
        <v>1.2769999999999999E-3</v>
      </c>
      <c r="E747">
        <v>1.3029999999999999E-3</v>
      </c>
      <c r="F747">
        <v>38625109</v>
      </c>
      <c r="G747">
        <v>-0.99</v>
      </c>
      <c r="L747" t="s">
        <v>7</v>
      </c>
      <c r="M747" t="s">
        <v>7</v>
      </c>
      <c r="N747" t="s">
        <v>7</v>
      </c>
      <c r="P747">
        <f t="shared" si="999"/>
        <v>-4.1700083557134643E-15</v>
      </c>
      <c r="Q747">
        <f t="shared" si="1000"/>
        <v>-1.6106702727034334E-7</v>
      </c>
      <c r="R747">
        <f t="shared" si="1001"/>
        <v>-323971254.30881172</v>
      </c>
      <c r="S747">
        <f t="shared" si="1002"/>
        <v>-3239.7125430881174</v>
      </c>
      <c r="T747">
        <f t="shared" si="1003"/>
        <v>-3.2397125430881175</v>
      </c>
    </row>
    <row r="748" spans="1:20" x14ac:dyDescent="0.25">
      <c r="A748" s="5">
        <v>43845</v>
      </c>
      <c r="B748">
        <v>1.3320000000000001E-3</v>
      </c>
      <c r="C748">
        <v>1.354E-3</v>
      </c>
      <c r="D748">
        <v>1.2999999999999999E-3</v>
      </c>
      <c r="E748">
        <v>1.3179999999999999E-3</v>
      </c>
      <c r="F748">
        <v>63433281</v>
      </c>
      <c r="G748">
        <v>-1.05</v>
      </c>
      <c r="L748" t="s">
        <v>7</v>
      </c>
      <c r="M748" t="s">
        <v>7</v>
      </c>
      <c r="N748" t="s">
        <v>7</v>
      </c>
      <c r="P748">
        <f t="shared" si="999"/>
        <v>-0.33333333333333331</v>
      </c>
      <c r="Q748">
        <f t="shared" si="1000"/>
        <v>-21144427</v>
      </c>
      <c r="R748">
        <f t="shared" si="1001"/>
        <v>-323971254.30881155</v>
      </c>
      <c r="S748">
        <f t="shared" si="1002"/>
        <v>-3239.7125430881156</v>
      </c>
      <c r="T748">
        <f t="shared" si="1003"/>
        <v>-3.2397125430881157</v>
      </c>
    </row>
    <row r="749" spans="1:20" x14ac:dyDescent="0.25">
      <c r="A749" s="5">
        <v>43844</v>
      </c>
      <c r="B749">
        <v>1.3209999999999999E-3</v>
      </c>
      <c r="C749">
        <v>1.3600000000000001E-3</v>
      </c>
      <c r="D749">
        <v>1.279E-3</v>
      </c>
      <c r="E749">
        <v>1.3320000000000001E-3</v>
      </c>
      <c r="F749">
        <v>86361491</v>
      </c>
      <c r="G749">
        <v>0.83</v>
      </c>
      <c r="L749" t="s">
        <v>7</v>
      </c>
      <c r="M749" t="s">
        <v>7</v>
      </c>
      <c r="N749" t="s">
        <v>7</v>
      </c>
      <c r="P749">
        <f t="shared" si="999"/>
        <v>0.30864197530864229</v>
      </c>
      <c r="Q749">
        <f t="shared" si="1000"/>
        <v>26654781.172839534</v>
      </c>
      <c r="R749">
        <f t="shared" si="1001"/>
        <v>-302826827.30881155</v>
      </c>
      <c r="S749">
        <f t="shared" si="1002"/>
        <v>-3028.2682730881156</v>
      </c>
      <c r="T749">
        <f t="shared" si="1003"/>
        <v>-3.0282682730881154</v>
      </c>
    </row>
    <row r="750" spans="1:20" x14ac:dyDescent="0.25">
      <c r="A750" s="5">
        <v>43843</v>
      </c>
      <c r="B750">
        <v>1.3240000000000001E-3</v>
      </c>
      <c r="C750">
        <v>1.34E-3</v>
      </c>
      <c r="D750">
        <v>1.3079999999999999E-3</v>
      </c>
      <c r="E750">
        <v>1.3110000000000001E-3</v>
      </c>
      <c r="F750">
        <v>28497224</v>
      </c>
      <c r="G750">
        <v>-0.98</v>
      </c>
      <c r="L750" t="s">
        <v>7</v>
      </c>
      <c r="M750" t="s">
        <v>7</v>
      </c>
      <c r="N750" t="s">
        <v>7</v>
      </c>
      <c r="P750">
        <f t="shared" si="999"/>
        <v>-0.81249999999998945</v>
      </c>
      <c r="Q750">
        <f t="shared" si="1000"/>
        <v>-23153994.499999698</v>
      </c>
      <c r="R750">
        <f t="shared" si="1001"/>
        <v>-329481608.48165107</v>
      </c>
      <c r="S750">
        <f t="shared" si="1002"/>
        <v>-3294.8160848165107</v>
      </c>
      <c r="T750">
        <f t="shared" si="1003"/>
        <v>-3.2948160848165107</v>
      </c>
    </row>
    <row r="751" spans="1:20" x14ac:dyDescent="0.25">
      <c r="A751" s="5">
        <v>43842</v>
      </c>
      <c r="B751">
        <v>1.3389999999999999E-3</v>
      </c>
      <c r="C751">
        <v>1.3470000000000001E-3</v>
      </c>
      <c r="D751">
        <v>1.3190000000000001E-3</v>
      </c>
      <c r="E751">
        <v>1.333E-3</v>
      </c>
      <c r="F751">
        <v>14618648</v>
      </c>
      <c r="G751">
        <v>-0.45</v>
      </c>
      <c r="L751" t="s">
        <v>7</v>
      </c>
      <c r="M751" t="s">
        <v>7</v>
      </c>
      <c r="N751" t="s">
        <v>7</v>
      </c>
      <c r="P751">
        <f t="shared" si="999"/>
        <v>-7.7443012320393086E-15</v>
      </c>
      <c r="Q751">
        <f t="shared" si="1000"/>
        <v>-1.1321121371714898E-7</v>
      </c>
      <c r="R751">
        <f t="shared" si="1001"/>
        <v>-306327613.98165137</v>
      </c>
      <c r="S751">
        <f t="shared" si="1002"/>
        <v>-3063.2761398165135</v>
      </c>
      <c r="T751">
        <f t="shared" si="1003"/>
        <v>-3.0632761398165136</v>
      </c>
    </row>
    <row r="752" spans="1:20" x14ac:dyDescent="0.25">
      <c r="A752" s="5">
        <v>43841</v>
      </c>
      <c r="B752">
        <v>1.3290000000000001E-3</v>
      </c>
      <c r="C752">
        <v>1.3810000000000001E-3</v>
      </c>
      <c r="D752">
        <v>1.3110000000000001E-3</v>
      </c>
      <c r="E752">
        <v>1.3420000000000001E-3</v>
      </c>
      <c r="F752">
        <v>35510703</v>
      </c>
      <c r="G752">
        <v>0.98</v>
      </c>
      <c r="L752" t="s">
        <v>7</v>
      </c>
      <c r="M752" t="s">
        <v>7</v>
      </c>
      <c r="N752" t="s">
        <v>7</v>
      </c>
      <c r="P752">
        <f t="shared" si="999"/>
        <v>-0.11428571428571402</v>
      </c>
      <c r="Q752">
        <f t="shared" si="1000"/>
        <v>-4058366.0571428477</v>
      </c>
      <c r="R752">
        <f t="shared" si="1001"/>
        <v>-306327613.98165125</v>
      </c>
      <c r="S752">
        <f t="shared" si="1002"/>
        <v>-3063.2761398165126</v>
      </c>
      <c r="T752">
        <f t="shared" si="1003"/>
        <v>-3.0632761398165127</v>
      </c>
    </row>
    <row r="753" spans="1:20" x14ac:dyDescent="0.25">
      <c r="A753" s="5">
        <v>43840</v>
      </c>
      <c r="B753">
        <v>1.3209999999999999E-3</v>
      </c>
      <c r="C753">
        <v>1.3699999999999999E-3</v>
      </c>
      <c r="D753">
        <v>1.3110000000000001E-3</v>
      </c>
      <c r="E753">
        <v>1.3290000000000001E-3</v>
      </c>
      <c r="F753">
        <v>38854335</v>
      </c>
      <c r="G753">
        <v>0.61</v>
      </c>
      <c r="L753" t="s">
        <v>7</v>
      </c>
      <c r="M753" t="s">
        <v>7</v>
      </c>
      <c r="N753" t="s">
        <v>7</v>
      </c>
      <c r="P753">
        <f t="shared" si="999"/>
        <v>-0.38983050847457418</v>
      </c>
      <c r="Q753">
        <f t="shared" si="1000"/>
        <v>-15146605.169491444</v>
      </c>
      <c r="R753">
        <f t="shared" si="1001"/>
        <v>-302269247.92450839</v>
      </c>
      <c r="S753">
        <f t="shared" si="1002"/>
        <v>-3022.6924792450841</v>
      </c>
      <c r="T753">
        <f t="shared" si="1003"/>
        <v>-3.0226924792450842</v>
      </c>
    </row>
    <row r="754" spans="1:20" x14ac:dyDescent="0.25">
      <c r="A754" s="5">
        <v>43839</v>
      </c>
      <c r="B754">
        <v>1.377E-3</v>
      </c>
      <c r="C754">
        <v>1.4139999999999999E-3</v>
      </c>
      <c r="D754">
        <v>1.3129999999999999E-3</v>
      </c>
      <c r="E754">
        <v>1.3209999999999999E-3</v>
      </c>
      <c r="F754">
        <v>44730281</v>
      </c>
      <c r="G754">
        <v>-4.07</v>
      </c>
      <c r="L754" t="s">
        <v>7</v>
      </c>
      <c r="M754" t="s">
        <v>7</v>
      </c>
      <c r="N754" t="s">
        <v>7</v>
      </c>
      <c r="P754">
        <f t="shared" si="999"/>
        <v>-0.841584158415842</v>
      </c>
      <c r="Q754">
        <f t="shared" si="1000"/>
        <v>-37644295.891089126</v>
      </c>
      <c r="R754">
        <f t="shared" si="1001"/>
        <v>-287122642.75501692</v>
      </c>
      <c r="S754">
        <f t="shared" si="1002"/>
        <v>-2871.2264275501693</v>
      </c>
      <c r="T754">
        <f t="shared" si="1003"/>
        <v>-2.8712264275501691</v>
      </c>
    </row>
    <row r="755" spans="1:20" x14ac:dyDescent="0.25">
      <c r="A755" s="5">
        <v>43838</v>
      </c>
      <c r="B755">
        <v>1.384E-3</v>
      </c>
      <c r="C755">
        <v>1.449E-3</v>
      </c>
      <c r="D755">
        <v>1.3309999999999999E-3</v>
      </c>
      <c r="E755">
        <v>1.377E-3</v>
      </c>
      <c r="F755">
        <v>88509997</v>
      </c>
      <c r="G755">
        <v>-0.51</v>
      </c>
      <c r="L755" t="s">
        <v>7</v>
      </c>
      <c r="M755" t="s">
        <v>7</v>
      </c>
      <c r="N755" t="s">
        <v>7</v>
      </c>
      <c r="P755">
        <f t="shared" si="999"/>
        <v>-0.2203389830508472</v>
      </c>
      <c r="Q755">
        <f t="shared" si="1000"/>
        <v>-19502202.728813536</v>
      </c>
      <c r="R755">
        <f t="shared" si="1001"/>
        <v>-249478346.86392781</v>
      </c>
      <c r="S755">
        <f t="shared" si="1002"/>
        <v>-2494.783468639278</v>
      </c>
      <c r="T755">
        <f t="shared" si="1003"/>
        <v>-2.494783468639278</v>
      </c>
    </row>
    <row r="756" spans="1:20" x14ac:dyDescent="0.25">
      <c r="A756" s="5">
        <v>43837</v>
      </c>
      <c r="B756">
        <v>1.4400000000000001E-3</v>
      </c>
      <c r="C756">
        <v>1.4760000000000001E-3</v>
      </c>
      <c r="D756">
        <v>1.358E-3</v>
      </c>
      <c r="E756">
        <v>1.384E-3</v>
      </c>
      <c r="F756">
        <v>79187590</v>
      </c>
      <c r="G756">
        <v>-3.89</v>
      </c>
      <c r="L756" t="s">
        <v>7</v>
      </c>
      <c r="M756" t="s">
        <v>7</v>
      </c>
      <c r="N756" t="s">
        <v>7</v>
      </c>
      <c r="P756">
        <f t="shared" si="999"/>
        <v>-0.55932203389830559</v>
      </c>
      <c r="Q756">
        <f t="shared" si="1000"/>
        <v>-44291363.898305126</v>
      </c>
      <c r="R756">
        <f t="shared" si="1001"/>
        <v>-229976144.13511428</v>
      </c>
      <c r="S756">
        <f t="shared" si="1002"/>
        <v>-2299.7614413511428</v>
      </c>
      <c r="T756">
        <f t="shared" si="1003"/>
        <v>-2.2997614413511429</v>
      </c>
    </row>
    <row r="757" spans="1:20" x14ac:dyDescent="0.25">
      <c r="A757" s="5">
        <v>43836</v>
      </c>
      <c r="B757">
        <v>1.407E-3</v>
      </c>
      <c r="C757">
        <v>1.4499999999999999E-3</v>
      </c>
      <c r="D757">
        <v>1.3979999999999999E-3</v>
      </c>
      <c r="E757">
        <v>1.4400000000000001E-3</v>
      </c>
      <c r="F757">
        <v>45279153</v>
      </c>
      <c r="G757">
        <v>2.35</v>
      </c>
      <c r="L757" t="s">
        <v>7</v>
      </c>
      <c r="M757" t="s">
        <v>8</v>
      </c>
      <c r="N757" t="s">
        <v>7</v>
      </c>
      <c r="P757">
        <f t="shared" si="999"/>
        <v>0.61538461538462241</v>
      </c>
      <c r="Q757">
        <f t="shared" si="1000"/>
        <v>27864094.153846473</v>
      </c>
      <c r="R757">
        <f t="shared" si="1001"/>
        <v>-185684780.23680916</v>
      </c>
      <c r="S757">
        <f t="shared" si="1002"/>
        <v>-1856.8478023680916</v>
      </c>
      <c r="T757">
        <f t="shared" si="1003"/>
        <v>-1.8568478023680917</v>
      </c>
    </row>
    <row r="758" spans="1:20" x14ac:dyDescent="0.25">
      <c r="A758" s="5">
        <v>43835</v>
      </c>
      <c r="B758">
        <v>1.4170000000000001E-3</v>
      </c>
      <c r="C758">
        <v>1.603E-3</v>
      </c>
      <c r="D758">
        <v>1.4E-3</v>
      </c>
      <c r="E758">
        <v>1.41E-3</v>
      </c>
      <c r="F758">
        <v>137755839</v>
      </c>
      <c r="G758">
        <v>-0.49</v>
      </c>
      <c r="L758" t="s">
        <v>8</v>
      </c>
      <c r="M758" t="s">
        <v>8</v>
      </c>
      <c r="N758" t="s">
        <v>7</v>
      </c>
      <c r="P758">
        <f t="shared" si="999"/>
        <v>-0.90147783251231506</v>
      </c>
      <c r="Q758">
        <f t="shared" si="1000"/>
        <v>-124183835.15763544</v>
      </c>
      <c r="R758">
        <f t="shared" si="1001"/>
        <v>-213548874.39065564</v>
      </c>
      <c r="S758">
        <f t="shared" si="1002"/>
        <v>-2135.4887439065565</v>
      </c>
      <c r="T758">
        <f t="shared" si="1003"/>
        <v>-2.1354887439065564</v>
      </c>
    </row>
    <row r="759" spans="1:20" x14ac:dyDescent="0.25">
      <c r="A759" s="5">
        <v>43834</v>
      </c>
      <c r="B759">
        <v>1.4090000000000001E-3</v>
      </c>
      <c r="C759">
        <v>1.4369999999999999E-3</v>
      </c>
      <c r="D759">
        <v>1.369E-3</v>
      </c>
      <c r="E759">
        <v>1.4170000000000001E-3</v>
      </c>
      <c r="F759">
        <v>54167698</v>
      </c>
      <c r="G759">
        <v>0.56999999999999995</v>
      </c>
      <c r="L759" t="s">
        <v>7</v>
      </c>
      <c r="M759" t="s">
        <v>7</v>
      </c>
      <c r="N759" t="s">
        <v>7</v>
      </c>
      <c r="P759">
        <f t="shared" si="999"/>
        <v>0.41176470588235708</v>
      </c>
      <c r="Q759">
        <f t="shared" si="1000"/>
        <v>22304346.235294342</v>
      </c>
      <c r="R759">
        <f t="shared" si="1001"/>
        <v>-89365039.233020186</v>
      </c>
      <c r="S759">
        <f t="shared" si="1002"/>
        <v>-893.65039233020184</v>
      </c>
      <c r="T759">
        <f t="shared" si="1003"/>
        <v>-0.89365039233020183</v>
      </c>
    </row>
    <row r="760" spans="1:20" x14ac:dyDescent="0.25">
      <c r="A760" s="5">
        <v>43833</v>
      </c>
      <c r="B760">
        <v>1.3960000000000001E-3</v>
      </c>
      <c r="C760">
        <v>1.4599999999999999E-3</v>
      </c>
      <c r="D760">
        <v>1.3780000000000001E-3</v>
      </c>
      <c r="E760">
        <v>1.407E-3</v>
      </c>
      <c r="F760">
        <v>32853510</v>
      </c>
      <c r="G760">
        <v>0.79</v>
      </c>
      <c r="L760" t="s">
        <v>7</v>
      </c>
      <c r="M760" t="s">
        <v>7</v>
      </c>
      <c r="N760" t="s">
        <v>7</v>
      </c>
      <c r="P760">
        <f t="shared" si="999"/>
        <v>-0.29268292682926811</v>
      </c>
      <c r="Q760">
        <f t="shared" si="1000"/>
        <v>-9615661.4634146281</v>
      </c>
      <c r="R760">
        <f t="shared" si="1001"/>
        <v>-111669385.46831453</v>
      </c>
      <c r="S760">
        <f t="shared" si="1002"/>
        <v>-1116.6938546831452</v>
      </c>
      <c r="T760">
        <f t="shared" si="1003"/>
        <v>-1.1166938546831453</v>
      </c>
    </row>
    <row r="761" spans="1:20" x14ac:dyDescent="0.25">
      <c r="A761" s="5">
        <v>43832</v>
      </c>
      <c r="B761">
        <v>1.439E-3</v>
      </c>
      <c r="C761">
        <v>1.446E-3</v>
      </c>
      <c r="D761">
        <v>1.379E-3</v>
      </c>
      <c r="E761">
        <v>1.397E-3</v>
      </c>
      <c r="F761">
        <v>26941937</v>
      </c>
      <c r="G761">
        <v>-2.92</v>
      </c>
      <c r="L761" t="s">
        <v>7</v>
      </c>
      <c r="M761" t="s">
        <v>7</v>
      </c>
      <c r="N761" t="s">
        <v>7</v>
      </c>
      <c r="P761">
        <f t="shared" si="999"/>
        <v>-0.462686567164179</v>
      </c>
      <c r="Q761">
        <f t="shared" si="1000"/>
        <v>-12465672.343283579</v>
      </c>
      <c r="R761">
        <f t="shared" si="1001"/>
        <v>-102053724.0048999</v>
      </c>
      <c r="S761">
        <f t="shared" si="1002"/>
        <v>-1020.537240048999</v>
      </c>
      <c r="T761">
        <f t="shared" si="1003"/>
        <v>-1.0205372400489989</v>
      </c>
    </row>
    <row r="762" spans="1:20" x14ac:dyDescent="0.25">
      <c r="A762" s="5">
        <v>43831</v>
      </c>
      <c r="B762">
        <v>1.441E-3</v>
      </c>
      <c r="C762">
        <v>1.5299999999999999E-3</v>
      </c>
      <c r="D762">
        <v>1.428E-3</v>
      </c>
      <c r="E762">
        <v>1.439E-3</v>
      </c>
      <c r="F762">
        <v>34804981</v>
      </c>
      <c r="G762">
        <v>-0.14000000000000001</v>
      </c>
      <c r="L762" t="s">
        <v>7</v>
      </c>
      <c r="M762" t="s">
        <v>7</v>
      </c>
      <c r="N762" t="s">
        <v>7</v>
      </c>
      <c r="P762">
        <f t="shared" si="999"/>
        <v>-0.78431372549019696</v>
      </c>
      <c r="Q762">
        <f t="shared" si="1000"/>
        <v>-27298024.31372552</v>
      </c>
      <c r="R762">
        <f t="shared" si="1001"/>
        <v>-89588051.661616325</v>
      </c>
      <c r="S762">
        <f t="shared" si="1002"/>
        <v>-895.88051661616328</v>
      </c>
      <c r="T762">
        <f t="shared" si="1003"/>
        <v>-0.8958805166161633</v>
      </c>
    </row>
    <row r="763" spans="1:20" x14ac:dyDescent="0.25">
      <c r="A763" s="5">
        <v>43830</v>
      </c>
      <c r="B763">
        <v>1.488E-3</v>
      </c>
      <c r="C763">
        <v>1.498E-3</v>
      </c>
      <c r="D763">
        <v>1.426E-3</v>
      </c>
      <c r="E763">
        <v>1.4419999999999999E-3</v>
      </c>
      <c r="F763">
        <v>19236247</v>
      </c>
      <c r="G763">
        <v>-3.09</v>
      </c>
      <c r="L763" t="s">
        <v>7</v>
      </c>
      <c r="M763" t="s">
        <v>7</v>
      </c>
      <c r="N763" t="s">
        <v>7</v>
      </c>
      <c r="P763">
        <f t="shared" si="999"/>
        <v>-0.55555555555555691</v>
      </c>
      <c r="Q763">
        <f t="shared" si="1000"/>
        <v>-10686803.888888914</v>
      </c>
      <c r="R763">
        <f t="shared" si="1001"/>
        <v>-62290027.347890809</v>
      </c>
      <c r="S763">
        <f t="shared" si="1002"/>
        <v>-622.90027347890805</v>
      </c>
      <c r="T763">
        <f t="shared" si="1003"/>
        <v>-0.62290027347890808</v>
      </c>
    </row>
    <row r="764" spans="1:20" x14ac:dyDescent="0.25">
      <c r="A764" s="5">
        <v>43829</v>
      </c>
      <c r="B764">
        <v>1.5479999999999999E-3</v>
      </c>
      <c r="C764">
        <v>1.549E-3</v>
      </c>
      <c r="D764">
        <v>1.4809999999999999E-3</v>
      </c>
      <c r="E764">
        <v>1.488E-3</v>
      </c>
      <c r="F764">
        <v>20475896</v>
      </c>
      <c r="G764">
        <v>-3.88</v>
      </c>
      <c r="L764" t="s">
        <v>7</v>
      </c>
      <c r="M764" t="s">
        <v>7</v>
      </c>
      <c r="N764" t="s">
        <v>7</v>
      </c>
      <c r="P764">
        <f t="shared" si="999"/>
        <v>-0.79411764705882215</v>
      </c>
      <c r="Q764">
        <f t="shared" si="1000"/>
        <v>-16260270.352941148</v>
      </c>
      <c r="R764">
        <f t="shared" si="1001"/>
        <v>-51603223.459001891</v>
      </c>
      <c r="S764">
        <f t="shared" si="1002"/>
        <v>-516.0322345900189</v>
      </c>
      <c r="T764">
        <f t="shared" si="1003"/>
        <v>-0.5160322345900189</v>
      </c>
    </row>
    <row r="765" spans="1:20" x14ac:dyDescent="0.25">
      <c r="A765" s="5">
        <v>43828</v>
      </c>
      <c r="B765">
        <v>1.547E-3</v>
      </c>
      <c r="C765">
        <v>1.586E-3</v>
      </c>
      <c r="D765">
        <v>1.5380000000000001E-3</v>
      </c>
      <c r="E765">
        <v>1.5479999999999999E-3</v>
      </c>
      <c r="F765">
        <v>20097454</v>
      </c>
      <c r="G765">
        <v>0.06</v>
      </c>
      <c r="L765" t="s">
        <v>7</v>
      </c>
      <c r="M765" t="s">
        <v>7</v>
      </c>
      <c r="N765" t="s">
        <v>7</v>
      </c>
      <c r="P765">
        <f t="shared" si="999"/>
        <v>-0.58333333333334014</v>
      </c>
      <c r="Q765">
        <f t="shared" si="1000"/>
        <v>-11723514.83333347</v>
      </c>
      <c r="R765">
        <f t="shared" si="1001"/>
        <v>-35342953.106060743</v>
      </c>
      <c r="S765">
        <f t="shared" si="1002"/>
        <v>-353.42953106060742</v>
      </c>
      <c r="T765">
        <f t="shared" si="1003"/>
        <v>-0.35342953106060743</v>
      </c>
    </row>
    <row r="766" spans="1:20" x14ac:dyDescent="0.25">
      <c r="A766" s="5">
        <v>43827</v>
      </c>
      <c r="B766">
        <v>1.5969999999999999E-3</v>
      </c>
      <c r="C766">
        <v>1.622E-3</v>
      </c>
      <c r="D766">
        <v>1.534E-3</v>
      </c>
      <c r="E766">
        <v>1.547E-3</v>
      </c>
      <c r="F766">
        <v>33524364</v>
      </c>
      <c r="G766">
        <v>-3.13</v>
      </c>
      <c r="L766" t="s">
        <v>7</v>
      </c>
      <c r="M766" t="s">
        <v>7</v>
      </c>
      <c r="N766" t="s">
        <v>7</v>
      </c>
      <c r="P766">
        <f t="shared" si="999"/>
        <v>-0.7045454545454547</v>
      </c>
      <c r="Q766">
        <f t="shared" si="1000"/>
        <v>-23619438.272727277</v>
      </c>
      <c r="R766">
        <f t="shared" si="1001"/>
        <v>-23619438.272727277</v>
      </c>
      <c r="S766">
        <f t="shared" si="1002"/>
        <v>-236.19438272727277</v>
      </c>
      <c r="T766">
        <f t="shared" si="1003"/>
        <v>-0.23619438272727278</v>
      </c>
    </row>
    <row r="767" spans="1:20" x14ac:dyDescent="0.25">
      <c r="A767" s="5">
        <v>43826</v>
      </c>
      <c r="B767">
        <v>1.614E-3</v>
      </c>
      <c r="C767">
        <v>1.622E-3</v>
      </c>
      <c r="D767">
        <v>1.5169999999999999E-3</v>
      </c>
      <c r="E767">
        <v>1.5950000000000001E-3</v>
      </c>
      <c r="F767">
        <v>17377570</v>
      </c>
      <c r="G767">
        <v>-1.18</v>
      </c>
      <c r="L767" t="s">
        <v>7</v>
      </c>
      <c r="M767" t="s">
        <v>7</v>
      </c>
      <c r="N767" t="s">
        <v>7</v>
      </c>
    </row>
    <row r="768" spans="1:20" x14ac:dyDescent="0.25">
      <c r="A768" s="5">
        <v>43825</v>
      </c>
      <c r="B768">
        <v>1.573E-3</v>
      </c>
      <c r="C768">
        <v>1.6689999999999999E-3</v>
      </c>
      <c r="D768">
        <v>1.5319999999999999E-3</v>
      </c>
      <c r="E768">
        <v>1.614E-3</v>
      </c>
      <c r="F768">
        <v>44349420</v>
      </c>
      <c r="G768">
        <v>2.61</v>
      </c>
      <c r="L768" t="s">
        <v>7</v>
      </c>
      <c r="M768" t="s">
        <v>7</v>
      </c>
      <c r="N768" t="s">
        <v>7</v>
      </c>
    </row>
    <row r="769" spans="1:14" x14ac:dyDescent="0.25">
      <c r="A769" s="5">
        <v>43824</v>
      </c>
      <c r="B769">
        <v>1.598E-3</v>
      </c>
      <c r="C769">
        <v>1.6100000000000001E-3</v>
      </c>
      <c r="D769">
        <v>1.562E-3</v>
      </c>
      <c r="E769">
        <v>1.573E-3</v>
      </c>
      <c r="F769">
        <v>10796033</v>
      </c>
      <c r="G769">
        <v>-1.56</v>
      </c>
      <c r="L769" t="s">
        <v>7</v>
      </c>
      <c r="M769" t="s">
        <v>7</v>
      </c>
      <c r="N769" t="s">
        <v>7</v>
      </c>
    </row>
    <row r="770" spans="1:14" x14ac:dyDescent="0.25">
      <c r="A770" s="5">
        <v>43823</v>
      </c>
      <c r="B770">
        <v>1.6000000000000001E-3</v>
      </c>
      <c r="C770">
        <v>1.6119999999999999E-3</v>
      </c>
      <c r="D770">
        <v>1.5499999999999999E-3</v>
      </c>
      <c r="E770">
        <v>1.598E-3</v>
      </c>
      <c r="F770">
        <v>18806146</v>
      </c>
      <c r="G770">
        <v>-0.13</v>
      </c>
      <c r="L770" t="s">
        <v>7</v>
      </c>
      <c r="M770" t="s">
        <v>7</v>
      </c>
      <c r="N770" t="s">
        <v>7</v>
      </c>
    </row>
    <row r="771" spans="1:14" x14ac:dyDescent="0.25">
      <c r="A771" s="5">
        <v>43822</v>
      </c>
      <c r="B771">
        <v>1.606E-3</v>
      </c>
      <c r="C771">
        <v>1.652E-3</v>
      </c>
      <c r="D771">
        <v>1.5479999999999999E-3</v>
      </c>
      <c r="E771">
        <v>1.6000000000000001E-3</v>
      </c>
      <c r="F771">
        <v>21327085</v>
      </c>
      <c r="G771">
        <v>-0.37</v>
      </c>
      <c r="L771" t="s">
        <v>7</v>
      </c>
      <c r="M771" t="s">
        <v>7</v>
      </c>
      <c r="N771" t="s">
        <v>7</v>
      </c>
    </row>
    <row r="772" spans="1:14" x14ac:dyDescent="0.25">
      <c r="A772" s="5">
        <v>43821</v>
      </c>
      <c r="B772">
        <v>1.5889999999999999E-3</v>
      </c>
      <c r="C772">
        <v>1.611E-3</v>
      </c>
      <c r="D772">
        <v>1.5499999999999999E-3</v>
      </c>
      <c r="E772">
        <v>1.6050000000000001E-3</v>
      </c>
      <c r="F772">
        <v>24257765</v>
      </c>
      <c r="G772">
        <v>1.01</v>
      </c>
      <c r="L772" t="s">
        <v>7</v>
      </c>
      <c r="M772" t="s">
        <v>7</v>
      </c>
      <c r="N772" t="s">
        <v>7</v>
      </c>
    </row>
    <row r="773" spans="1:14" x14ac:dyDescent="0.25">
      <c r="A773" s="5">
        <v>43820</v>
      </c>
      <c r="B773">
        <v>1.6639999999999999E-3</v>
      </c>
      <c r="C773">
        <v>1.6789999999999999E-3</v>
      </c>
      <c r="D773">
        <v>1.575E-3</v>
      </c>
      <c r="E773">
        <v>1.5839999999999999E-3</v>
      </c>
      <c r="F773">
        <v>43324444</v>
      </c>
      <c r="G773">
        <v>-4.8099999999999996</v>
      </c>
      <c r="L773" t="s">
        <v>8</v>
      </c>
      <c r="M773" t="s">
        <v>7</v>
      </c>
      <c r="N773" t="s">
        <v>7</v>
      </c>
    </row>
    <row r="774" spans="1:14" x14ac:dyDescent="0.25">
      <c r="A774" s="5">
        <v>43819</v>
      </c>
      <c r="B774">
        <v>1.6590000000000001E-3</v>
      </c>
      <c r="C774">
        <v>1.6789999999999999E-3</v>
      </c>
      <c r="D774">
        <v>1.637E-3</v>
      </c>
      <c r="E774">
        <v>1.6639999999999999E-3</v>
      </c>
      <c r="F774">
        <v>15239012</v>
      </c>
      <c r="G774">
        <v>0.3</v>
      </c>
      <c r="L774" t="s">
        <v>8</v>
      </c>
      <c r="M774" t="s">
        <v>7</v>
      </c>
      <c r="N774" t="s">
        <v>7</v>
      </c>
    </row>
    <row r="775" spans="1:14" x14ac:dyDescent="0.25">
      <c r="A775" s="5">
        <v>43818</v>
      </c>
      <c r="B775">
        <v>1.6770000000000001E-3</v>
      </c>
      <c r="C775">
        <v>1.696E-3</v>
      </c>
      <c r="D775">
        <v>1.622E-3</v>
      </c>
      <c r="E775">
        <v>1.6590000000000001E-3</v>
      </c>
      <c r="F775">
        <v>19426364</v>
      </c>
      <c r="G775">
        <v>-1.07</v>
      </c>
      <c r="L775" t="s">
        <v>8</v>
      </c>
      <c r="M775" t="s">
        <v>7</v>
      </c>
      <c r="N775" t="s">
        <v>7</v>
      </c>
    </row>
    <row r="776" spans="1:14" x14ac:dyDescent="0.25">
      <c r="A776" s="5">
        <v>43817</v>
      </c>
      <c r="B776">
        <v>1.5659999999999999E-3</v>
      </c>
      <c r="C776">
        <v>1.709E-3</v>
      </c>
      <c r="D776">
        <v>1.529E-3</v>
      </c>
      <c r="E776">
        <v>1.678E-3</v>
      </c>
      <c r="F776">
        <v>29027480</v>
      </c>
      <c r="G776">
        <v>7.15</v>
      </c>
      <c r="L776" t="s">
        <v>7</v>
      </c>
      <c r="M776" t="s">
        <v>7</v>
      </c>
      <c r="N776" t="s">
        <v>7</v>
      </c>
    </row>
    <row r="777" spans="1:14" x14ac:dyDescent="0.25">
      <c r="A777" s="5">
        <v>43816</v>
      </c>
      <c r="B777">
        <v>1.658E-3</v>
      </c>
      <c r="C777">
        <v>1.6789999999999999E-3</v>
      </c>
      <c r="D777">
        <v>1.5449999999999999E-3</v>
      </c>
      <c r="E777">
        <v>1.573E-3</v>
      </c>
      <c r="F777">
        <v>29257309</v>
      </c>
      <c r="G777">
        <v>-5.13</v>
      </c>
      <c r="L777" t="s">
        <v>7</v>
      </c>
      <c r="M777" t="s">
        <v>7</v>
      </c>
      <c r="N777" t="s">
        <v>7</v>
      </c>
    </row>
    <row r="778" spans="1:14" x14ac:dyDescent="0.25">
      <c r="A778" s="5">
        <v>43815</v>
      </c>
      <c r="B778">
        <v>1.7719999999999999E-3</v>
      </c>
      <c r="C778">
        <v>1.825E-3</v>
      </c>
      <c r="D778">
        <v>1.65E-3</v>
      </c>
      <c r="E778">
        <v>1.658E-3</v>
      </c>
      <c r="F778">
        <v>30206161</v>
      </c>
      <c r="G778">
        <v>-6.43</v>
      </c>
      <c r="L778" t="s">
        <v>8</v>
      </c>
      <c r="M778" t="s">
        <v>7</v>
      </c>
      <c r="N778" t="s">
        <v>7</v>
      </c>
    </row>
    <row r="779" spans="1:14" x14ac:dyDescent="0.25">
      <c r="A779" s="5">
        <v>43814</v>
      </c>
      <c r="B779">
        <v>1.6930000000000001E-3</v>
      </c>
      <c r="C779">
        <v>1.838E-3</v>
      </c>
      <c r="D779">
        <v>1.665E-3</v>
      </c>
      <c r="E779">
        <v>1.7719999999999999E-3</v>
      </c>
      <c r="F779">
        <v>38423490</v>
      </c>
      <c r="G779">
        <v>4.67</v>
      </c>
      <c r="L779" t="s">
        <v>7</v>
      </c>
      <c r="M779" t="s">
        <v>7</v>
      </c>
      <c r="N779" t="s">
        <v>7</v>
      </c>
    </row>
    <row r="780" spans="1:14" x14ac:dyDescent="0.25">
      <c r="A780" s="5">
        <v>43813</v>
      </c>
      <c r="B780">
        <v>1.7570000000000001E-3</v>
      </c>
      <c r="C780">
        <v>1.7730000000000001E-3</v>
      </c>
      <c r="D780">
        <v>1.67E-3</v>
      </c>
      <c r="E780">
        <v>1.6949999999999999E-3</v>
      </c>
      <c r="F780">
        <v>22596614</v>
      </c>
      <c r="G780">
        <v>-3.53</v>
      </c>
      <c r="L780" t="s">
        <v>7</v>
      </c>
      <c r="M780" t="s">
        <v>7</v>
      </c>
      <c r="N780" t="s">
        <v>7</v>
      </c>
    </row>
    <row r="781" spans="1:14" x14ac:dyDescent="0.25">
      <c r="A781" s="5">
        <v>43812</v>
      </c>
      <c r="B781">
        <v>1.74E-3</v>
      </c>
      <c r="C781">
        <v>1.7719999999999999E-3</v>
      </c>
      <c r="D781">
        <v>1.725E-3</v>
      </c>
      <c r="E781">
        <v>1.7570000000000001E-3</v>
      </c>
      <c r="F781">
        <v>13510558</v>
      </c>
      <c r="G781">
        <v>0.98</v>
      </c>
      <c r="L781" t="s">
        <v>7</v>
      </c>
      <c r="M781" t="s">
        <v>8</v>
      </c>
      <c r="N781" t="s">
        <v>7</v>
      </c>
    </row>
    <row r="782" spans="1:14" x14ac:dyDescent="0.25">
      <c r="A782" s="5">
        <v>43811</v>
      </c>
      <c r="B782">
        <v>1.75E-3</v>
      </c>
      <c r="C782">
        <v>1.75E-3</v>
      </c>
      <c r="D782">
        <v>1.707E-3</v>
      </c>
      <c r="E782">
        <v>1.737E-3</v>
      </c>
      <c r="F782">
        <v>26207316</v>
      </c>
      <c r="G782">
        <v>-0.74</v>
      </c>
      <c r="L782" t="s">
        <v>7</v>
      </c>
      <c r="M782" t="s">
        <v>8</v>
      </c>
      <c r="N782" t="s">
        <v>7</v>
      </c>
    </row>
    <row r="783" spans="1:14" x14ac:dyDescent="0.25">
      <c r="A783" s="5">
        <v>43810</v>
      </c>
      <c r="B783">
        <v>1.769E-3</v>
      </c>
      <c r="C783">
        <v>1.789E-3</v>
      </c>
      <c r="D783">
        <v>1.7260000000000001E-3</v>
      </c>
      <c r="E783">
        <v>1.7459999999999999E-3</v>
      </c>
      <c r="F783">
        <v>18152827</v>
      </c>
      <c r="G783">
        <v>-1.3</v>
      </c>
      <c r="L783" t="s">
        <v>7</v>
      </c>
      <c r="M783" t="s">
        <v>8</v>
      </c>
      <c r="N783" t="s">
        <v>7</v>
      </c>
    </row>
    <row r="784" spans="1:14" x14ac:dyDescent="0.25">
      <c r="A784" s="5">
        <v>43809</v>
      </c>
      <c r="B784">
        <v>1.8420000000000001E-3</v>
      </c>
      <c r="C784">
        <v>1.851E-3</v>
      </c>
      <c r="D784">
        <v>1.7229999999999999E-3</v>
      </c>
      <c r="E784">
        <v>1.7700000000000001E-3</v>
      </c>
      <c r="F784">
        <v>23986982</v>
      </c>
      <c r="G784">
        <v>-3.91</v>
      </c>
      <c r="L784" t="s">
        <v>7</v>
      </c>
      <c r="M784" t="s">
        <v>8</v>
      </c>
      <c r="N784" t="s">
        <v>7</v>
      </c>
    </row>
    <row r="785" spans="1:14" x14ac:dyDescent="0.25">
      <c r="A785" s="5">
        <v>43808</v>
      </c>
      <c r="B785">
        <v>1.867E-3</v>
      </c>
      <c r="C785">
        <v>1.9109999999999999E-3</v>
      </c>
      <c r="D785">
        <v>1.823E-3</v>
      </c>
      <c r="E785">
        <v>1.843E-3</v>
      </c>
      <c r="F785">
        <v>30956611</v>
      </c>
      <c r="G785">
        <v>-1.29</v>
      </c>
      <c r="L785" t="s">
        <v>8</v>
      </c>
      <c r="M785" t="s">
        <v>8</v>
      </c>
      <c r="N785" t="s">
        <v>7</v>
      </c>
    </row>
    <row r="786" spans="1:14" x14ac:dyDescent="0.25">
      <c r="A786" s="5">
        <v>43807</v>
      </c>
      <c r="B786">
        <v>1.8519999999999999E-3</v>
      </c>
      <c r="C786">
        <v>1.9250000000000001E-3</v>
      </c>
      <c r="D786">
        <v>1.82E-3</v>
      </c>
      <c r="E786">
        <v>1.8649999999999999E-3</v>
      </c>
      <c r="F786">
        <v>49628976</v>
      </c>
      <c r="G786">
        <v>0.7</v>
      </c>
      <c r="L786" t="s">
        <v>8</v>
      </c>
      <c r="M786" t="s">
        <v>8</v>
      </c>
      <c r="N786" t="s">
        <v>7</v>
      </c>
    </row>
    <row r="787" spans="1:14" x14ac:dyDescent="0.25">
      <c r="A787" s="5">
        <v>43806</v>
      </c>
      <c r="B787">
        <v>1.8140000000000001E-3</v>
      </c>
      <c r="C787">
        <v>1.885E-3</v>
      </c>
      <c r="D787">
        <v>1.8090000000000001E-3</v>
      </c>
      <c r="E787">
        <v>1.843E-3</v>
      </c>
      <c r="F787">
        <v>18516801</v>
      </c>
      <c r="G787">
        <v>1.6</v>
      </c>
      <c r="L787" t="s">
        <v>8</v>
      </c>
      <c r="M787" t="s">
        <v>8</v>
      </c>
      <c r="N787" t="s">
        <v>7</v>
      </c>
    </row>
    <row r="788" spans="1:14" x14ac:dyDescent="0.25">
      <c r="A788" s="5">
        <v>43805</v>
      </c>
      <c r="B788">
        <v>1.818E-3</v>
      </c>
      <c r="C788">
        <v>1.9120000000000001E-3</v>
      </c>
      <c r="D788">
        <v>1.7650000000000001E-3</v>
      </c>
      <c r="E788">
        <v>1.81E-3</v>
      </c>
      <c r="F788">
        <v>41417910</v>
      </c>
      <c r="G788">
        <v>-0.44</v>
      </c>
      <c r="L788" t="s">
        <v>8</v>
      </c>
      <c r="M788" t="s">
        <v>8</v>
      </c>
      <c r="N788" t="s">
        <v>7</v>
      </c>
    </row>
    <row r="789" spans="1:14" x14ac:dyDescent="0.25">
      <c r="A789" s="5">
        <v>43804</v>
      </c>
      <c r="B789">
        <v>1.7910000000000001E-3</v>
      </c>
      <c r="C789">
        <v>1.8619999999999999E-3</v>
      </c>
      <c r="D789">
        <v>1.714E-3</v>
      </c>
      <c r="E789">
        <v>1.8209999999999999E-3</v>
      </c>
      <c r="F789">
        <v>42259876</v>
      </c>
      <c r="G789">
        <v>1.68</v>
      </c>
      <c r="L789" t="s">
        <v>7</v>
      </c>
      <c r="M789" t="s">
        <v>8</v>
      </c>
      <c r="N789" t="s">
        <v>7</v>
      </c>
    </row>
    <row r="790" spans="1:14" x14ac:dyDescent="0.25">
      <c r="A790" s="5">
        <v>43803</v>
      </c>
      <c r="B790">
        <v>1.823E-3</v>
      </c>
      <c r="C790">
        <v>1.8760000000000001E-3</v>
      </c>
      <c r="D790">
        <v>1.7570000000000001E-3</v>
      </c>
      <c r="E790">
        <v>1.792E-3</v>
      </c>
      <c r="F790">
        <v>44525505</v>
      </c>
      <c r="G790">
        <v>-1.7</v>
      </c>
      <c r="L790" t="s">
        <v>7</v>
      </c>
      <c r="M790" t="s">
        <v>8</v>
      </c>
      <c r="N790" t="s">
        <v>7</v>
      </c>
    </row>
    <row r="791" spans="1:14" x14ac:dyDescent="0.25">
      <c r="A791" s="5">
        <v>43802</v>
      </c>
      <c r="B791">
        <v>1.8339999999999999E-3</v>
      </c>
      <c r="C791">
        <v>1.877E-3</v>
      </c>
      <c r="D791">
        <v>1.818E-3</v>
      </c>
      <c r="E791">
        <v>1.8259999999999999E-3</v>
      </c>
      <c r="F791">
        <v>16646899</v>
      </c>
      <c r="G791">
        <v>-0.44</v>
      </c>
      <c r="L791" t="s">
        <v>7</v>
      </c>
      <c r="M791" t="s">
        <v>8</v>
      </c>
      <c r="N791" t="s">
        <v>7</v>
      </c>
    </row>
    <row r="792" spans="1:14" x14ac:dyDescent="0.25">
      <c r="A792" s="5">
        <v>43801</v>
      </c>
      <c r="B792">
        <v>1.8580000000000001E-3</v>
      </c>
      <c r="C792">
        <v>1.8860000000000001E-3</v>
      </c>
      <c r="D792">
        <v>1.7899999999999999E-3</v>
      </c>
      <c r="E792">
        <v>1.833E-3</v>
      </c>
      <c r="F792">
        <v>21493062</v>
      </c>
      <c r="G792">
        <v>-1.35</v>
      </c>
      <c r="L792" t="s">
        <v>7</v>
      </c>
      <c r="M792" t="s">
        <v>8</v>
      </c>
      <c r="N792" t="s">
        <v>7</v>
      </c>
    </row>
    <row r="793" spans="1:14" x14ac:dyDescent="0.25">
      <c r="A793" s="5">
        <v>43800</v>
      </c>
      <c r="B793">
        <v>1.9109999999999999E-3</v>
      </c>
      <c r="C793">
        <v>1.9120000000000001E-3</v>
      </c>
      <c r="D793">
        <v>1.817E-3</v>
      </c>
      <c r="E793">
        <v>1.859E-3</v>
      </c>
      <c r="F793">
        <v>22234700</v>
      </c>
      <c r="G793">
        <v>-2.72</v>
      </c>
      <c r="L793" t="s">
        <v>7</v>
      </c>
      <c r="M793" t="s">
        <v>8</v>
      </c>
      <c r="N793" t="s">
        <v>7</v>
      </c>
    </row>
    <row r="794" spans="1:14" x14ac:dyDescent="0.25">
      <c r="A794" s="5">
        <v>43799</v>
      </c>
      <c r="B794">
        <v>1.9849999999999998E-3</v>
      </c>
      <c r="C794">
        <v>2.029E-3</v>
      </c>
      <c r="D794">
        <v>1.8810000000000001E-3</v>
      </c>
      <c r="E794">
        <v>1.9109999999999999E-3</v>
      </c>
      <c r="F794">
        <v>37403081</v>
      </c>
      <c r="G794">
        <v>-3.73</v>
      </c>
      <c r="L794" t="s">
        <v>8</v>
      </c>
      <c r="M794" t="s">
        <v>8</v>
      </c>
      <c r="N794" t="s">
        <v>7</v>
      </c>
    </row>
    <row r="795" spans="1:14" x14ac:dyDescent="0.25">
      <c r="A795" s="5">
        <v>43798</v>
      </c>
      <c r="B795">
        <v>1.9059999999999999E-3</v>
      </c>
      <c r="C795">
        <v>2.0110000000000002E-3</v>
      </c>
      <c r="D795">
        <v>1.872E-3</v>
      </c>
      <c r="E795">
        <v>1.9919999999999998E-3</v>
      </c>
      <c r="F795">
        <v>67012948</v>
      </c>
      <c r="G795">
        <v>4.51</v>
      </c>
      <c r="L795" t="s">
        <v>8</v>
      </c>
      <c r="M795" t="s">
        <v>8</v>
      </c>
      <c r="N795" t="s">
        <v>7</v>
      </c>
    </row>
    <row r="796" spans="1:14" x14ac:dyDescent="0.25">
      <c r="A796" s="5">
        <v>43797</v>
      </c>
      <c r="B796">
        <v>1.946E-3</v>
      </c>
      <c r="C796">
        <v>1.99E-3</v>
      </c>
      <c r="D796">
        <v>1.9040000000000001E-3</v>
      </c>
      <c r="E796">
        <v>1.916E-3</v>
      </c>
      <c r="F796">
        <v>40348007</v>
      </c>
      <c r="G796">
        <v>-1.54</v>
      </c>
      <c r="L796" t="s">
        <v>8</v>
      </c>
      <c r="M796" t="s">
        <v>8</v>
      </c>
      <c r="N796" t="s">
        <v>7</v>
      </c>
    </row>
    <row r="797" spans="1:14" x14ac:dyDescent="0.25">
      <c r="A797" s="5">
        <v>43796</v>
      </c>
      <c r="B797">
        <v>1.8680000000000001E-3</v>
      </c>
      <c r="C797">
        <v>1.9870000000000001E-3</v>
      </c>
      <c r="D797">
        <v>1.807E-3</v>
      </c>
      <c r="E797">
        <v>1.9430000000000001E-3</v>
      </c>
      <c r="F797">
        <v>26569552</v>
      </c>
      <c r="G797">
        <v>4.01</v>
      </c>
      <c r="L797" t="s">
        <v>8</v>
      </c>
      <c r="M797" t="s">
        <v>8</v>
      </c>
      <c r="N797" t="s">
        <v>7</v>
      </c>
    </row>
    <row r="798" spans="1:14" x14ac:dyDescent="0.25">
      <c r="A798" s="5">
        <v>43795</v>
      </c>
      <c r="B798">
        <v>1.8619999999999999E-3</v>
      </c>
      <c r="C798">
        <v>1.908E-3</v>
      </c>
      <c r="D798">
        <v>1.8090000000000001E-3</v>
      </c>
      <c r="E798">
        <v>1.8680000000000001E-3</v>
      </c>
      <c r="F798">
        <v>26145451</v>
      </c>
      <c r="G798">
        <v>0.32</v>
      </c>
      <c r="L798" t="s">
        <v>8</v>
      </c>
      <c r="M798" t="s">
        <v>7</v>
      </c>
      <c r="N798" t="s">
        <v>7</v>
      </c>
    </row>
    <row r="799" spans="1:14" x14ac:dyDescent="0.25">
      <c r="A799" s="5">
        <v>43794</v>
      </c>
      <c r="B799">
        <v>1.8E-3</v>
      </c>
      <c r="C799">
        <v>1.8990000000000001E-3</v>
      </c>
      <c r="D799">
        <v>1.645E-3</v>
      </c>
      <c r="E799">
        <v>1.8619999999999999E-3</v>
      </c>
      <c r="F799">
        <v>37556914</v>
      </c>
      <c r="G799">
        <v>3.44</v>
      </c>
      <c r="L799" t="s">
        <v>7</v>
      </c>
      <c r="M799" t="s">
        <v>7</v>
      </c>
      <c r="N799" t="s">
        <v>7</v>
      </c>
    </row>
    <row r="800" spans="1:14" x14ac:dyDescent="0.25">
      <c r="A800" s="5">
        <v>43793</v>
      </c>
      <c r="B800">
        <v>1.99E-3</v>
      </c>
      <c r="C800">
        <v>2E-3</v>
      </c>
      <c r="D800">
        <v>1.7799999999999999E-3</v>
      </c>
      <c r="E800">
        <v>1.799E-3</v>
      </c>
      <c r="F800">
        <v>31831904</v>
      </c>
      <c r="G800">
        <v>-9.6</v>
      </c>
      <c r="L800" t="s">
        <v>7</v>
      </c>
      <c r="M800" t="s">
        <v>7</v>
      </c>
      <c r="N800" t="s">
        <v>7</v>
      </c>
    </row>
    <row r="801" spans="1:14" x14ac:dyDescent="0.25">
      <c r="A801" s="5">
        <v>43792</v>
      </c>
      <c r="B801">
        <v>1.9840000000000001E-3</v>
      </c>
      <c r="C801">
        <v>2.0400000000000001E-3</v>
      </c>
      <c r="D801">
        <v>1.926E-3</v>
      </c>
      <c r="E801">
        <v>1.9910000000000001E-3</v>
      </c>
      <c r="F801">
        <v>25996400</v>
      </c>
      <c r="G801">
        <v>0.35</v>
      </c>
      <c r="L801" t="s">
        <v>8</v>
      </c>
      <c r="M801" t="s">
        <v>7</v>
      </c>
      <c r="N801" t="s">
        <v>7</v>
      </c>
    </row>
    <row r="802" spans="1:14" x14ac:dyDescent="0.25">
      <c r="A802" s="5">
        <v>43791</v>
      </c>
      <c r="B802">
        <v>2.0209999999999998E-3</v>
      </c>
      <c r="C802">
        <v>2.117E-3</v>
      </c>
      <c r="D802">
        <v>1.8010000000000001E-3</v>
      </c>
      <c r="E802">
        <v>1.9959999999999999E-3</v>
      </c>
      <c r="F802">
        <v>37852460</v>
      </c>
      <c r="G802">
        <v>-1.24</v>
      </c>
      <c r="L802" t="s">
        <v>7</v>
      </c>
      <c r="M802" t="s">
        <v>7</v>
      </c>
      <c r="N802" t="s">
        <v>7</v>
      </c>
    </row>
    <row r="803" spans="1:14" x14ac:dyDescent="0.25">
      <c r="A803" s="5">
        <v>43790</v>
      </c>
      <c r="B803">
        <v>2.2339999999999999E-3</v>
      </c>
      <c r="C803">
        <v>2.2399999999999998E-3</v>
      </c>
      <c r="D803">
        <v>1.9599999999999999E-3</v>
      </c>
      <c r="E803">
        <v>2.0230000000000001E-3</v>
      </c>
      <c r="F803">
        <v>18461987</v>
      </c>
      <c r="G803">
        <v>-9.44</v>
      </c>
      <c r="L803" t="s">
        <v>7</v>
      </c>
      <c r="M803" t="s">
        <v>7</v>
      </c>
      <c r="N803" t="s">
        <v>7</v>
      </c>
    </row>
    <row r="804" spans="1:14" x14ac:dyDescent="0.25">
      <c r="A804" s="5">
        <v>43789</v>
      </c>
      <c r="B804">
        <v>2.1389999999999998E-3</v>
      </c>
      <c r="C804">
        <v>2.2790000000000002E-3</v>
      </c>
      <c r="D804">
        <v>2.1280000000000001E-3</v>
      </c>
      <c r="E804">
        <v>2.232E-3</v>
      </c>
      <c r="F804">
        <v>24210291</v>
      </c>
      <c r="G804">
        <v>4.3499999999999996</v>
      </c>
      <c r="L804" t="s">
        <v>8</v>
      </c>
      <c r="M804" t="s">
        <v>7</v>
      </c>
      <c r="N804" t="s">
        <v>7</v>
      </c>
    </row>
    <row r="805" spans="1:14" x14ac:dyDescent="0.25">
      <c r="A805" s="5">
        <v>43788</v>
      </c>
      <c r="B805">
        <v>2.215E-3</v>
      </c>
      <c r="C805">
        <v>2.2439999999999999E-3</v>
      </c>
      <c r="D805">
        <v>2.052E-3</v>
      </c>
      <c r="E805">
        <v>2.15E-3</v>
      </c>
      <c r="F805">
        <v>22399952</v>
      </c>
      <c r="G805">
        <v>-2.93</v>
      </c>
      <c r="L805" t="s">
        <v>7</v>
      </c>
      <c r="M805" t="s">
        <v>7</v>
      </c>
      <c r="N805" t="s">
        <v>7</v>
      </c>
    </row>
    <row r="806" spans="1:14" x14ac:dyDescent="0.25">
      <c r="A806" s="5">
        <v>43787</v>
      </c>
      <c r="B806">
        <v>2.3E-3</v>
      </c>
      <c r="C806">
        <v>2.313E-3</v>
      </c>
      <c r="D806">
        <v>2.176E-3</v>
      </c>
      <c r="E806">
        <v>2.212E-3</v>
      </c>
      <c r="F806">
        <v>17162117</v>
      </c>
      <c r="G806">
        <v>-3.83</v>
      </c>
      <c r="L806" t="s">
        <v>7</v>
      </c>
      <c r="M806" t="s">
        <v>7</v>
      </c>
      <c r="N806" t="s">
        <v>7</v>
      </c>
    </row>
    <row r="807" spans="1:14" x14ac:dyDescent="0.25">
      <c r="A807" s="5">
        <v>43786</v>
      </c>
      <c r="B807">
        <v>2.3540000000000002E-3</v>
      </c>
      <c r="C807">
        <v>2.3630000000000001E-3</v>
      </c>
      <c r="D807">
        <v>2.2699999999999999E-3</v>
      </c>
      <c r="E807">
        <v>2.3E-3</v>
      </c>
      <c r="F807">
        <v>22788991</v>
      </c>
      <c r="G807">
        <v>-2.29</v>
      </c>
      <c r="L807" t="s">
        <v>8</v>
      </c>
      <c r="M807" t="s">
        <v>7</v>
      </c>
      <c r="N807" t="s">
        <v>7</v>
      </c>
    </row>
    <row r="808" spans="1:14" x14ac:dyDescent="0.25">
      <c r="A808" s="5">
        <v>43785</v>
      </c>
      <c r="B808">
        <v>2.222E-3</v>
      </c>
      <c r="C808">
        <v>2.3869999999999998E-3</v>
      </c>
      <c r="D808">
        <v>2.1779999999999998E-3</v>
      </c>
      <c r="E808">
        <v>2.3540000000000002E-3</v>
      </c>
      <c r="F808">
        <v>61080587</v>
      </c>
      <c r="G808">
        <v>5.94</v>
      </c>
      <c r="L808" t="s">
        <v>8</v>
      </c>
      <c r="M808" t="s">
        <v>7</v>
      </c>
      <c r="N808" t="s">
        <v>7</v>
      </c>
    </row>
    <row r="809" spans="1:14" x14ac:dyDescent="0.25">
      <c r="A809" s="5">
        <v>43784</v>
      </c>
      <c r="B809">
        <v>2.2309999999999999E-3</v>
      </c>
      <c r="C809">
        <v>2.3E-3</v>
      </c>
      <c r="D809">
        <v>2.1700000000000001E-3</v>
      </c>
      <c r="E809">
        <v>2.2330000000000002E-3</v>
      </c>
      <c r="F809">
        <v>19160511</v>
      </c>
      <c r="G809">
        <v>0.09</v>
      </c>
      <c r="L809" t="s">
        <v>7</v>
      </c>
      <c r="M809" t="s">
        <v>7</v>
      </c>
      <c r="N809" t="s">
        <v>7</v>
      </c>
    </row>
    <row r="810" spans="1:14" x14ac:dyDescent="0.25">
      <c r="A810" s="5">
        <v>43783</v>
      </c>
      <c r="B810">
        <v>2.2629999999999998E-3</v>
      </c>
      <c r="C810">
        <v>2.2629999999999998E-3</v>
      </c>
      <c r="D810">
        <v>2.1689999999999999E-3</v>
      </c>
      <c r="E810">
        <v>2.2309999999999999E-3</v>
      </c>
      <c r="F810">
        <v>15976322</v>
      </c>
      <c r="G810">
        <v>-1.41</v>
      </c>
      <c r="L810" t="s">
        <v>7</v>
      </c>
      <c r="M810" t="s">
        <v>7</v>
      </c>
      <c r="N810" t="s">
        <v>7</v>
      </c>
    </row>
    <row r="811" spans="1:14" x14ac:dyDescent="0.25">
      <c r="A811" s="5">
        <v>43782</v>
      </c>
      <c r="B811">
        <v>2.2200000000000002E-3</v>
      </c>
      <c r="C811">
        <v>2.2829999999999999E-3</v>
      </c>
      <c r="D811">
        <v>2.209E-3</v>
      </c>
      <c r="E811">
        <v>2.2629999999999998E-3</v>
      </c>
      <c r="F811">
        <v>14038577</v>
      </c>
      <c r="G811">
        <v>1.94</v>
      </c>
      <c r="L811" t="s">
        <v>7</v>
      </c>
      <c r="M811" t="s">
        <v>7</v>
      </c>
      <c r="N811" t="s">
        <v>7</v>
      </c>
    </row>
    <row r="812" spans="1:14" x14ac:dyDescent="0.25">
      <c r="A812" s="5">
        <v>43781</v>
      </c>
      <c r="B812">
        <v>2.2780000000000001E-3</v>
      </c>
      <c r="C812">
        <v>2.3089999999999999E-3</v>
      </c>
      <c r="D812">
        <v>2.1689999999999999E-3</v>
      </c>
      <c r="E812">
        <v>2.2200000000000002E-3</v>
      </c>
      <c r="F812">
        <v>30775128</v>
      </c>
      <c r="G812">
        <v>-2.5499999999999998</v>
      </c>
      <c r="L812" t="s">
        <v>7</v>
      </c>
      <c r="M812" t="s">
        <v>7</v>
      </c>
      <c r="N812" t="s">
        <v>7</v>
      </c>
    </row>
    <row r="813" spans="1:14" x14ac:dyDescent="0.25">
      <c r="A813" s="5">
        <v>43780</v>
      </c>
      <c r="B813">
        <v>2.3140000000000001E-3</v>
      </c>
      <c r="C813">
        <v>2.3579999999999999E-3</v>
      </c>
      <c r="D813">
        <v>2.1900000000000001E-3</v>
      </c>
      <c r="E813">
        <v>2.2769999999999999E-3</v>
      </c>
      <c r="F813">
        <v>16974464</v>
      </c>
      <c r="G813">
        <v>-1.6</v>
      </c>
      <c r="L813" t="s">
        <v>7</v>
      </c>
      <c r="M813" t="s">
        <v>7</v>
      </c>
      <c r="N813" t="s">
        <v>7</v>
      </c>
    </row>
    <row r="814" spans="1:14" x14ac:dyDescent="0.25">
      <c r="A814" s="5">
        <v>43779</v>
      </c>
      <c r="B814">
        <v>2.3040000000000001E-3</v>
      </c>
      <c r="C814">
        <v>2.3449999999999999E-3</v>
      </c>
      <c r="D814">
        <v>2.264E-3</v>
      </c>
      <c r="E814">
        <v>2.3149999999999998E-3</v>
      </c>
      <c r="F814">
        <v>19343949</v>
      </c>
      <c r="G814">
        <v>0.48</v>
      </c>
      <c r="L814" t="s">
        <v>7</v>
      </c>
      <c r="M814" t="s">
        <v>7</v>
      </c>
      <c r="N814" t="s">
        <v>7</v>
      </c>
    </row>
    <row r="815" spans="1:14" x14ac:dyDescent="0.25">
      <c r="A815" s="5">
        <v>43778</v>
      </c>
      <c r="B815">
        <v>2.264E-3</v>
      </c>
      <c r="C815">
        <v>2.3240000000000001E-3</v>
      </c>
      <c r="D815">
        <v>2.258E-3</v>
      </c>
      <c r="E815">
        <v>2.3050000000000002E-3</v>
      </c>
      <c r="F815">
        <v>20032928</v>
      </c>
      <c r="G815">
        <v>1.81</v>
      </c>
      <c r="L815" t="s">
        <v>7</v>
      </c>
      <c r="M815" t="s">
        <v>7</v>
      </c>
      <c r="N815" t="s">
        <v>7</v>
      </c>
    </row>
    <row r="816" spans="1:14" x14ac:dyDescent="0.25">
      <c r="A816" s="5">
        <v>43777</v>
      </c>
      <c r="B816">
        <v>2.3890000000000001E-3</v>
      </c>
      <c r="C816">
        <v>2.4290000000000002E-3</v>
      </c>
      <c r="D816">
        <v>2.2130000000000001E-3</v>
      </c>
      <c r="E816">
        <v>2.2629999999999998E-3</v>
      </c>
      <c r="F816">
        <v>34790142</v>
      </c>
      <c r="G816">
        <v>-5.27</v>
      </c>
      <c r="L816" t="s">
        <v>7</v>
      </c>
      <c r="M816" t="s">
        <v>7</v>
      </c>
      <c r="N816" t="s">
        <v>7</v>
      </c>
    </row>
    <row r="817" spans="1:14" x14ac:dyDescent="0.25">
      <c r="A817" s="5">
        <v>43776</v>
      </c>
      <c r="B817">
        <v>2.4190000000000001E-3</v>
      </c>
      <c r="C817">
        <v>2.4559999999999998E-3</v>
      </c>
      <c r="D817">
        <v>2.3370000000000001E-3</v>
      </c>
      <c r="E817">
        <v>2.3900000000000002E-3</v>
      </c>
      <c r="F817">
        <v>33020974</v>
      </c>
      <c r="G817">
        <v>-1.2</v>
      </c>
      <c r="L817" t="s">
        <v>7</v>
      </c>
      <c r="M817" t="s">
        <v>8</v>
      </c>
      <c r="N817" t="s">
        <v>7</v>
      </c>
    </row>
    <row r="818" spans="1:14" x14ac:dyDescent="0.25">
      <c r="A818" s="5">
        <v>43775</v>
      </c>
      <c r="B818">
        <v>2.356E-3</v>
      </c>
      <c r="C818">
        <v>2.6280000000000001E-3</v>
      </c>
      <c r="D818">
        <v>2.3210000000000001E-3</v>
      </c>
      <c r="E818">
        <v>2.4120000000000001E-3</v>
      </c>
      <c r="F818">
        <v>63151241</v>
      </c>
      <c r="G818">
        <v>2.38</v>
      </c>
      <c r="L818" t="s">
        <v>8</v>
      </c>
      <c r="M818" t="s">
        <v>8</v>
      </c>
      <c r="N818" t="s">
        <v>7</v>
      </c>
    </row>
    <row r="819" spans="1:14" x14ac:dyDescent="0.25">
      <c r="A819" s="5">
        <v>43774</v>
      </c>
      <c r="B819">
        <v>2.4130000000000002E-3</v>
      </c>
      <c r="C819">
        <v>2.4299999999999999E-3</v>
      </c>
      <c r="D819">
        <v>2.3010000000000001E-3</v>
      </c>
      <c r="E819">
        <v>2.3570000000000002E-3</v>
      </c>
      <c r="F819">
        <v>31817688</v>
      </c>
      <c r="G819">
        <v>-2.3199999999999998</v>
      </c>
      <c r="L819" t="s">
        <v>7</v>
      </c>
      <c r="M819" t="s">
        <v>8</v>
      </c>
      <c r="N819" t="s">
        <v>7</v>
      </c>
    </row>
    <row r="820" spans="1:14" x14ac:dyDescent="0.25">
      <c r="A820" s="5">
        <v>43773</v>
      </c>
      <c r="B820">
        <v>2.415E-3</v>
      </c>
      <c r="C820">
        <v>2.4499999999999999E-3</v>
      </c>
      <c r="D820">
        <v>2.3449999999999999E-3</v>
      </c>
      <c r="E820">
        <v>2.4039999999999999E-3</v>
      </c>
      <c r="F820">
        <v>35595406</v>
      </c>
      <c r="G820">
        <v>-0.46</v>
      </c>
      <c r="L820" t="s">
        <v>7</v>
      </c>
      <c r="M820" t="s">
        <v>8</v>
      </c>
      <c r="N820" t="s">
        <v>7</v>
      </c>
    </row>
    <row r="821" spans="1:14" x14ac:dyDescent="0.25">
      <c r="A821" s="5">
        <v>43772</v>
      </c>
      <c r="B821">
        <v>2.506E-3</v>
      </c>
      <c r="C821">
        <v>2.529E-3</v>
      </c>
      <c r="D821">
        <v>2.3749999999999999E-3</v>
      </c>
      <c r="E821">
        <v>2.4130000000000002E-3</v>
      </c>
      <c r="F821">
        <v>41350663</v>
      </c>
      <c r="G821">
        <v>-3.71</v>
      </c>
      <c r="L821" t="s">
        <v>7</v>
      </c>
      <c r="M821" t="s">
        <v>8</v>
      </c>
      <c r="N821" t="s">
        <v>7</v>
      </c>
    </row>
    <row r="822" spans="1:14" x14ac:dyDescent="0.25">
      <c r="A822" s="5">
        <v>43771</v>
      </c>
      <c r="B822">
        <v>2.2780000000000001E-3</v>
      </c>
      <c r="C822">
        <v>2.6319999999999998E-3</v>
      </c>
      <c r="D822">
        <v>2.2460000000000002E-3</v>
      </c>
      <c r="E822">
        <v>2.5110000000000002E-3</v>
      </c>
      <c r="F822">
        <v>75875988</v>
      </c>
      <c r="G822">
        <v>10.23</v>
      </c>
      <c r="L822" t="s">
        <v>8</v>
      </c>
      <c r="M822" t="s">
        <v>8</v>
      </c>
      <c r="N822" t="s">
        <v>7</v>
      </c>
    </row>
    <row r="823" spans="1:14" x14ac:dyDescent="0.25">
      <c r="A823" s="5">
        <v>43770</v>
      </c>
      <c r="B823">
        <v>2.2200000000000002E-3</v>
      </c>
      <c r="C823">
        <v>2.294E-3</v>
      </c>
      <c r="D823">
        <v>2.1879999999999998E-3</v>
      </c>
      <c r="E823">
        <v>2.2880000000000001E-3</v>
      </c>
      <c r="F823">
        <v>20952669</v>
      </c>
      <c r="G823">
        <v>3.06</v>
      </c>
      <c r="L823" t="s">
        <v>8</v>
      </c>
      <c r="M823" t="s">
        <v>7</v>
      </c>
      <c r="N823" t="s">
        <v>7</v>
      </c>
    </row>
    <row r="824" spans="1:14" x14ac:dyDescent="0.25">
      <c r="A824" s="5">
        <v>43769</v>
      </c>
      <c r="B824">
        <v>2.1559999999999999E-3</v>
      </c>
      <c r="C824">
        <v>2.2590000000000002E-3</v>
      </c>
      <c r="D824">
        <v>2.124E-3</v>
      </c>
      <c r="E824">
        <v>2.2209999999999999E-3</v>
      </c>
      <c r="F824">
        <v>22016151</v>
      </c>
      <c r="G824">
        <v>3.01</v>
      </c>
      <c r="L824" t="s">
        <v>8</v>
      </c>
      <c r="M824" t="s">
        <v>7</v>
      </c>
      <c r="N824" t="s">
        <v>7</v>
      </c>
    </row>
    <row r="825" spans="1:14" x14ac:dyDescent="0.25">
      <c r="A825" s="5">
        <v>43768</v>
      </c>
      <c r="B825">
        <v>2.2790000000000002E-3</v>
      </c>
      <c r="C825">
        <v>2.2799999999999999E-3</v>
      </c>
      <c r="D825">
        <v>2.0760000000000002E-3</v>
      </c>
      <c r="E825">
        <v>2.1610000000000002E-3</v>
      </c>
      <c r="F825">
        <v>51301339</v>
      </c>
      <c r="G825">
        <v>-5.18</v>
      </c>
      <c r="L825" t="s">
        <v>7</v>
      </c>
      <c r="M825" t="s">
        <v>7</v>
      </c>
      <c r="N825" t="s">
        <v>7</v>
      </c>
    </row>
    <row r="826" spans="1:14" x14ac:dyDescent="0.25">
      <c r="A826" s="5">
        <v>43767</v>
      </c>
      <c r="B826">
        <v>2.2550000000000001E-3</v>
      </c>
      <c r="C826">
        <v>2.3389999999999999E-3</v>
      </c>
      <c r="D826">
        <v>2.2190000000000001E-3</v>
      </c>
      <c r="E826">
        <v>2.2780000000000001E-3</v>
      </c>
      <c r="F826">
        <v>21334875</v>
      </c>
      <c r="G826">
        <v>1.02</v>
      </c>
      <c r="L826" t="s">
        <v>8</v>
      </c>
      <c r="M826" t="s">
        <v>7</v>
      </c>
      <c r="N826" t="s">
        <v>7</v>
      </c>
    </row>
    <row r="827" spans="1:14" x14ac:dyDescent="0.25">
      <c r="A827" s="5">
        <v>43766</v>
      </c>
      <c r="B827">
        <v>2.1450000000000002E-3</v>
      </c>
      <c r="C827">
        <v>2.3019999999999998E-3</v>
      </c>
      <c r="D827">
        <v>2.1280000000000001E-3</v>
      </c>
      <c r="E827">
        <v>2.2550000000000001E-3</v>
      </c>
      <c r="F827">
        <v>42337865</v>
      </c>
      <c r="G827">
        <v>5.13</v>
      </c>
      <c r="L827" t="s">
        <v>8</v>
      </c>
      <c r="M827" t="s">
        <v>7</v>
      </c>
      <c r="N827" t="s">
        <v>7</v>
      </c>
    </row>
    <row r="828" spans="1:14" x14ac:dyDescent="0.25">
      <c r="A828" s="5">
        <v>43765</v>
      </c>
      <c r="B828">
        <v>2.039E-3</v>
      </c>
      <c r="C828">
        <v>2.1789999999999999E-3</v>
      </c>
      <c r="D828">
        <v>2.0019999999999999E-3</v>
      </c>
      <c r="E828">
        <v>2.1450000000000002E-3</v>
      </c>
      <c r="F828">
        <v>30656958</v>
      </c>
      <c r="G828">
        <v>5.2</v>
      </c>
      <c r="L828" t="s">
        <v>7</v>
      </c>
      <c r="M828" t="s">
        <v>7</v>
      </c>
      <c r="N828" t="s">
        <v>7</v>
      </c>
    </row>
    <row r="829" spans="1:14" x14ac:dyDescent="0.25">
      <c r="A829" s="5">
        <v>43764</v>
      </c>
      <c r="B829">
        <v>2.1289999999999998E-3</v>
      </c>
      <c r="C829">
        <v>2.2460000000000002E-3</v>
      </c>
      <c r="D829">
        <v>1.9889999999999999E-3</v>
      </c>
      <c r="E829">
        <v>2.039E-3</v>
      </c>
      <c r="F829">
        <v>36141540</v>
      </c>
      <c r="G829">
        <v>-4.2300000000000004</v>
      </c>
      <c r="L829" t="s">
        <v>8</v>
      </c>
      <c r="M829" t="s">
        <v>7</v>
      </c>
      <c r="N829" t="s">
        <v>7</v>
      </c>
    </row>
    <row r="830" spans="1:14" x14ac:dyDescent="0.25">
      <c r="A830" s="5">
        <v>43763</v>
      </c>
      <c r="B830">
        <v>2.026E-3</v>
      </c>
      <c r="C830">
        <v>2.2039999999999998E-3</v>
      </c>
      <c r="D830">
        <v>1.9819999999999998E-3</v>
      </c>
      <c r="E830">
        <v>2.127E-3</v>
      </c>
      <c r="F830">
        <v>40527202</v>
      </c>
      <c r="G830">
        <v>4.99</v>
      </c>
      <c r="L830" t="s">
        <v>8</v>
      </c>
      <c r="M830" t="s">
        <v>7</v>
      </c>
      <c r="N830" t="s">
        <v>7</v>
      </c>
    </row>
    <row r="831" spans="1:14" x14ac:dyDescent="0.25">
      <c r="A831" s="5">
        <v>43762</v>
      </c>
      <c r="B831">
        <v>2.0049999999999998E-3</v>
      </c>
      <c r="C831">
        <v>2.0460000000000001E-3</v>
      </c>
      <c r="D831">
        <v>1.951E-3</v>
      </c>
      <c r="E831">
        <v>2.032E-3</v>
      </c>
      <c r="F831">
        <v>18746110</v>
      </c>
      <c r="G831">
        <v>1.35</v>
      </c>
      <c r="L831" t="s">
        <v>7</v>
      </c>
      <c r="M831" t="s">
        <v>7</v>
      </c>
      <c r="N831" t="s">
        <v>7</v>
      </c>
    </row>
    <row r="832" spans="1:14" x14ac:dyDescent="0.25">
      <c r="A832" s="5">
        <v>43761</v>
      </c>
      <c r="B832">
        <v>2.2269999999999998E-3</v>
      </c>
      <c r="C832">
        <v>2.2369999999999998E-3</v>
      </c>
      <c r="D832">
        <v>1.967E-3</v>
      </c>
      <c r="E832">
        <v>2.0049999999999998E-3</v>
      </c>
      <c r="F832">
        <v>43258960</v>
      </c>
      <c r="G832">
        <v>-9.9700000000000006</v>
      </c>
      <c r="L832" t="s">
        <v>7</v>
      </c>
      <c r="M832" t="s">
        <v>7</v>
      </c>
      <c r="N832" t="s">
        <v>7</v>
      </c>
    </row>
    <row r="833" spans="1:14" x14ac:dyDescent="0.25">
      <c r="A833" s="5">
        <v>43760</v>
      </c>
      <c r="B833">
        <v>2.2880000000000001E-3</v>
      </c>
      <c r="C833">
        <v>2.3289999999999999E-3</v>
      </c>
      <c r="D833">
        <v>2.222E-3</v>
      </c>
      <c r="E833">
        <v>2.2290000000000001E-3</v>
      </c>
      <c r="F833">
        <v>27313250</v>
      </c>
      <c r="G833">
        <v>-2.58</v>
      </c>
      <c r="L833" t="s">
        <v>7</v>
      </c>
      <c r="M833" t="s">
        <v>7</v>
      </c>
      <c r="N833" t="s">
        <v>7</v>
      </c>
    </row>
    <row r="834" spans="1:14" x14ac:dyDescent="0.25">
      <c r="A834" s="5">
        <v>43759</v>
      </c>
      <c r="B834">
        <v>2.2690000000000002E-3</v>
      </c>
      <c r="C834">
        <v>2.3570000000000002E-3</v>
      </c>
      <c r="D834">
        <v>2.2430000000000002E-3</v>
      </c>
      <c r="E834">
        <v>2.281E-3</v>
      </c>
      <c r="F834">
        <v>22512350</v>
      </c>
      <c r="G834">
        <v>0.53</v>
      </c>
      <c r="L834" t="s">
        <v>7</v>
      </c>
      <c r="M834" t="s">
        <v>7</v>
      </c>
      <c r="N834" t="s">
        <v>7</v>
      </c>
    </row>
    <row r="835" spans="1:14" x14ac:dyDescent="0.25">
      <c r="A835" s="5">
        <v>43758</v>
      </c>
      <c r="B835">
        <v>2.2420000000000001E-3</v>
      </c>
      <c r="C835">
        <v>2.3509999999999998E-3</v>
      </c>
      <c r="D835">
        <v>2.209E-3</v>
      </c>
      <c r="E835">
        <v>2.2820000000000002E-3</v>
      </c>
      <c r="F835">
        <v>31424823</v>
      </c>
      <c r="G835">
        <v>1.78</v>
      </c>
      <c r="L835" t="s">
        <v>7</v>
      </c>
      <c r="M835" t="s">
        <v>7</v>
      </c>
      <c r="N835" t="s">
        <v>7</v>
      </c>
    </row>
    <row r="836" spans="1:14" x14ac:dyDescent="0.25">
      <c r="A836" s="5">
        <v>43757</v>
      </c>
      <c r="B836">
        <v>2.2690000000000002E-3</v>
      </c>
      <c r="C836">
        <v>2.3999999999999998E-3</v>
      </c>
      <c r="D836">
        <v>2.1970000000000002E-3</v>
      </c>
      <c r="E836">
        <v>2.2490000000000001E-3</v>
      </c>
      <c r="F836">
        <v>52005153</v>
      </c>
      <c r="G836">
        <v>-0.88</v>
      </c>
      <c r="L836" t="s">
        <v>8</v>
      </c>
      <c r="M836" t="s">
        <v>7</v>
      </c>
      <c r="N836" t="s">
        <v>7</v>
      </c>
    </row>
    <row r="837" spans="1:14" x14ac:dyDescent="0.25">
      <c r="A837" s="5">
        <v>43756</v>
      </c>
      <c r="B837">
        <v>2.421E-3</v>
      </c>
      <c r="C837">
        <v>2.4260000000000002E-3</v>
      </c>
      <c r="D837">
        <v>2.1649999999999998E-3</v>
      </c>
      <c r="E837">
        <v>2.2699999999999999E-3</v>
      </c>
      <c r="F837">
        <v>50557510</v>
      </c>
      <c r="G837">
        <v>-6.24</v>
      </c>
      <c r="L837" t="s">
        <v>7</v>
      </c>
      <c r="M837" t="s">
        <v>7</v>
      </c>
      <c r="N837" t="s">
        <v>7</v>
      </c>
    </row>
    <row r="838" spans="1:14" x14ac:dyDescent="0.25">
      <c r="A838" s="5">
        <v>43755</v>
      </c>
      <c r="B838">
        <v>2.4880000000000002E-3</v>
      </c>
      <c r="C838">
        <v>2.5040000000000001E-3</v>
      </c>
      <c r="D838">
        <v>2.31E-3</v>
      </c>
      <c r="E838">
        <v>2.4190000000000001E-3</v>
      </c>
      <c r="F838">
        <v>42453092</v>
      </c>
      <c r="G838">
        <v>-2.77</v>
      </c>
      <c r="L838" t="s">
        <v>7</v>
      </c>
      <c r="M838" t="s">
        <v>7</v>
      </c>
      <c r="N838" t="s">
        <v>7</v>
      </c>
    </row>
    <row r="839" spans="1:14" x14ac:dyDescent="0.25">
      <c r="A839" s="5">
        <v>43754</v>
      </c>
      <c r="B839">
        <v>2.2160000000000001E-3</v>
      </c>
      <c r="C839">
        <v>3.4499999999999999E-3</v>
      </c>
      <c r="D839">
        <v>2.215E-3</v>
      </c>
      <c r="E839">
        <v>2.4710000000000001E-3</v>
      </c>
      <c r="F839">
        <v>195170750</v>
      </c>
      <c r="G839">
        <v>11.51</v>
      </c>
      <c r="L839" t="s">
        <v>8</v>
      </c>
      <c r="M839" t="s">
        <v>8</v>
      </c>
      <c r="N839" t="s">
        <v>8</v>
      </c>
    </row>
    <row r="840" spans="1:14" x14ac:dyDescent="0.25">
      <c r="A840" s="5">
        <v>43753</v>
      </c>
      <c r="B840">
        <v>2.3509999999999998E-3</v>
      </c>
      <c r="C840">
        <v>2.3839999999999998E-3</v>
      </c>
      <c r="D840">
        <v>2.0349999999999999E-3</v>
      </c>
      <c r="E840">
        <v>2.2139999999999998E-3</v>
      </c>
      <c r="F840">
        <v>32982444</v>
      </c>
      <c r="G840">
        <v>-5.83</v>
      </c>
      <c r="L840" t="s">
        <v>7</v>
      </c>
      <c r="M840" t="s">
        <v>7</v>
      </c>
      <c r="N840" t="s">
        <v>7</v>
      </c>
    </row>
    <row r="841" spans="1:14" x14ac:dyDescent="0.25">
      <c r="A841" s="5">
        <v>43752</v>
      </c>
      <c r="B841">
        <v>2.3779999999999999E-3</v>
      </c>
      <c r="C841">
        <v>2.398E-3</v>
      </c>
      <c r="D841">
        <v>2.2899999999999999E-3</v>
      </c>
      <c r="E841">
        <v>2.3509999999999998E-3</v>
      </c>
      <c r="F841">
        <v>15677007</v>
      </c>
      <c r="G841">
        <v>-1.1399999999999999</v>
      </c>
      <c r="L841" t="s">
        <v>7</v>
      </c>
      <c r="M841" t="s">
        <v>7</v>
      </c>
      <c r="N841" t="s">
        <v>8</v>
      </c>
    </row>
    <row r="842" spans="1:14" x14ac:dyDescent="0.25">
      <c r="A842" s="5">
        <v>43751</v>
      </c>
      <c r="B842">
        <v>2.349E-3</v>
      </c>
      <c r="C842">
        <v>2.4529999999999999E-3</v>
      </c>
      <c r="D842">
        <v>2.3470000000000001E-3</v>
      </c>
      <c r="E842">
        <v>2.3800000000000002E-3</v>
      </c>
      <c r="F842">
        <v>21604009</v>
      </c>
      <c r="G842">
        <v>1.32</v>
      </c>
      <c r="L842" t="s">
        <v>7</v>
      </c>
      <c r="M842" t="s">
        <v>7</v>
      </c>
      <c r="N842" t="s">
        <v>8</v>
      </c>
    </row>
    <row r="843" spans="1:14" x14ac:dyDescent="0.25">
      <c r="A843" s="5">
        <v>43750</v>
      </c>
      <c r="B843">
        <v>2.392E-3</v>
      </c>
      <c r="C843">
        <v>2.4979999999999998E-3</v>
      </c>
      <c r="D843">
        <v>2.3180000000000002E-3</v>
      </c>
      <c r="E843">
        <v>2.349E-3</v>
      </c>
      <c r="F843">
        <v>28108763</v>
      </c>
      <c r="G843">
        <v>-1.8</v>
      </c>
      <c r="L843" t="s">
        <v>7</v>
      </c>
      <c r="M843" t="s">
        <v>7</v>
      </c>
      <c r="N843" t="s">
        <v>8</v>
      </c>
    </row>
    <row r="844" spans="1:14" x14ac:dyDescent="0.25">
      <c r="A844" s="5">
        <v>43749</v>
      </c>
      <c r="B844">
        <v>2.483E-3</v>
      </c>
      <c r="C844">
        <v>2.5209999999999998E-3</v>
      </c>
      <c r="D844">
        <v>2.359E-3</v>
      </c>
      <c r="E844">
        <v>2.392E-3</v>
      </c>
      <c r="F844">
        <v>31043985</v>
      </c>
      <c r="G844">
        <v>-3.66</v>
      </c>
      <c r="L844" t="s">
        <v>7</v>
      </c>
      <c r="M844" t="s">
        <v>8</v>
      </c>
      <c r="N844" t="s">
        <v>8</v>
      </c>
    </row>
    <row r="845" spans="1:14" x14ac:dyDescent="0.25">
      <c r="A845" s="5">
        <v>43748</v>
      </c>
      <c r="B845">
        <v>2.5890000000000002E-3</v>
      </c>
      <c r="C845">
        <v>2.5920000000000001E-3</v>
      </c>
      <c r="D845">
        <v>2.4429999999999999E-3</v>
      </c>
      <c r="E845">
        <v>2.483E-3</v>
      </c>
      <c r="F845">
        <v>23462481</v>
      </c>
      <c r="G845">
        <v>-4.09</v>
      </c>
      <c r="L845" t="s">
        <v>7</v>
      </c>
      <c r="M845" t="s">
        <v>8</v>
      </c>
      <c r="N845" t="s">
        <v>8</v>
      </c>
    </row>
    <row r="846" spans="1:14" x14ac:dyDescent="0.25">
      <c r="A846" s="5">
        <v>43747</v>
      </c>
      <c r="B846">
        <v>2.5730000000000002E-3</v>
      </c>
      <c r="C846">
        <v>2.6949999999999999E-3</v>
      </c>
      <c r="D846">
        <v>2.4580000000000001E-3</v>
      </c>
      <c r="E846">
        <v>2.5869999999999999E-3</v>
      </c>
      <c r="F846">
        <v>56332422</v>
      </c>
      <c r="G846">
        <v>0.54</v>
      </c>
      <c r="L846" t="s">
        <v>7</v>
      </c>
      <c r="M846" t="s">
        <v>8</v>
      </c>
      <c r="N846" t="s">
        <v>8</v>
      </c>
    </row>
    <row r="847" spans="1:14" x14ac:dyDescent="0.25">
      <c r="A847" s="5">
        <v>43746</v>
      </c>
      <c r="B847">
        <v>2.3149999999999998E-3</v>
      </c>
      <c r="C847">
        <v>2.8110000000000001E-3</v>
      </c>
      <c r="D847">
        <v>2.3029999999999999E-3</v>
      </c>
      <c r="E847">
        <v>2.5669999999999998E-3</v>
      </c>
      <c r="F847">
        <v>68764222</v>
      </c>
      <c r="G847">
        <v>10.89</v>
      </c>
      <c r="L847" t="s">
        <v>8</v>
      </c>
      <c r="M847" t="s">
        <v>8</v>
      </c>
      <c r="N847" t="s">
        <v>8</v>
      </c>
    </row>
    <row r="848" spans="1:14" x14ac:dyDescent="0.25">
      <c r="A848" s="5">
        <v>43745</v>
      </c>
      <c r="B848">
        <v>2.2880000000000001E-3</v>
      </c>
      <c r="C848">
        <v>2.3549999999999999E-3</v>
      </c>
      <c r="D848">
        <v>2.2269999999999998E-3</v>
      </c>
      <c r="E848">
        <v>2.3149999999999998E-3</v>
      </c>
      <c r="F848">
        <v>35669217</v>
      </c>
      <c r="G848">
        <v>1.18</v>
      </c>
      <c r="L848" t="s">
        <v>7</v>
      </c>
      <c r="M848" t="s">
        <v>7</v>
      </c>
      <c r="N848" t="s">
        <v>7</v>
      </c>
    </row>
    <row r="849" spans="1:14" x14ac:dyDescent="0.25">
      <c r="A849" s="5">
        <v>43744</v>
      </c>
      <c r="B849">
        <v>2.457E-3</v>
      </c>
      <c r="C849">
        <v>2.64E-3</v>
      </c>
      <c r="D849">
        <v>2.2420000000000001E-3</v>
      </c>
      <c r="E849">
        <v>2.2910000000000001E-3</v>
      </c>
      <c r="F849">
        <v>46561809</v>
      </c>
      <c r="G849">
        <v>-6.76</v>
      </c>
      <c r="L849" t="s">
        <v>8</v>
      </c>
      <c r="M849" t="s">
        <v>8</v>
      </c>
      <c r="N849" t="s">
        <v>7</v>
      </c>
    </row>
    <row r="850" spans="1:14" x14ac:dyDescent="0.25">
      <c r="A850" s="5">
        <v>43743</v>
      </c>
      <c r="B850">
        <v>2.238E-3</v>
      </c>
      <c r="C850">
        <v>2.5409999999999999E-3</v>
      </c>
      <c r="D850">
        <v>2.2269999999999998E-3</v>
      </c>
      <c r="E850">
        <v>2.4510000000000001E-3</v>
      </c>
      <c r="F850">
        <v>40070781</v>
      </c>
      <c r="G850">
        <v>9.52</v>
      </c>
      <c r="L850" t="s">
        <v>8</v>
      </c>
      <c r="M850" t="s">
        <v>8</v>
      </c>
      <c r="N850" t="s">
        <v>7</v>
      </c>
    </row>
    <row r="851" spans="1:14" x14ac:dyDescent="0.25">
      <c r="A851" s="5">
        <v>43742</v>
      </c>
      <c r="B851">
        <v>2.2309999999999999E-3</v>
      </c>
      <c r="C851">
        <v>2.2620000000000001E-3</v>
      </c>
      <c r="D851">
        <v>2.1940000000000002E-3</v>
      </c>
      <c r="E851">
        <v>2.238E-3</v>
      </c>
      <c r="F851">
        <v>12676087</v>
      </c>
      <c r="G851">
        <v>0.31</v>
      </c>
      <c r="L851" t="s">
        <v>7</v>
      </c>
      <c r="M851" t="s">
        <v>8</v>
      </c>
      <c r="N851" t="s">
        <v>7</v>
      </c>
    </row>
    <row r="852" spans="1:14" x14ac:dyDescent="0.25">
      <c r="A852" s="5">
        <v>43741</v>
      </c>
      <c r="B852">
        <v>2.2209999999999999E-3</v>
      </c>
      <c r="C852">
        <v>2.2499999999999998E-3</v>
      </c>
      <c r="D852">
        <v>2.1559999999999999E-3</v>
      </c>
      <c r="E852">
        <v>2.232E-3</v>
      </c>
      <c r="F852">
        <v>15144785</v>
      </c>
      <c r="G852">
        <v>0.5</v>
      </c>
      <c r="L852" t="s">
        <v>7</v>
      </c>
      <c r="M852" t="s">
        <v>8</v>
      </c>
      <c r="N852" t="s">
        <v>7</v>
      </c>
    </row>
    <row r="853" spans="1:14" x14ac:dyDescent="0.25">
      <c r="A853" s="5">
        <v>43740</v>
      </c>
      <c r="B853">
        <v>2.2889999999999998E-3</v>
      </c>
      <c r="C853">
        <v>2.2959999999999999E-3</v>
      </c>
      <c r="D853">
        <v>2.1320000000000002E-3</v>
      </c>
      <c r="E853">
        <v>2.2230000000000001E-3</v>
      </c>
      <c r="F853">
        <v>23418684</v>
      </c>
      <c r="G853">
        <v>-2.88</v>
      </c>
      <c r="L853" t="s">
        <v>7</v>
      </c>
      <c r="M853" t="s">
        <v>8</v>
      </c>
      <c r="N853" t="s">
        <v>7</v>
      </c>
    </row>
    <row r="854" spans="1:14" x14ac:dyDescent="0.25">
      <c r="A854" s="5">
        <v>43739</v>
      </c>
      <c r="B854">
        <v>2.2439999999999999E-3</v>
      </c>
      <c r="C854">
        <v>2.4199999999999998E-3</v>
      </c>
      <c r="D854">
        <v>2.1849999999999999E-3</v>
      </c>
      <c r="E854">
        <v>2.2889999999999998E-3</v>
      </c>
      <c r="F854">
        <v>25625193</v>
      </c>
      <c r="G854">
        <v>2.0099999999999998</v>
      </c>
      <c r="L854" t="s">
        <v>8</v>
      </c>
      <c r="M854" t="s">
        <v>8</v>
      </c>
      <c r="N854" t="s">
        <v>7</v>
      </c>
    </row>
    <row r="855" spans="1:14" x14ac:dyDescent="0.25">
      <c r="A855" s="5">
        <v>43738</v>
      </c>
      <c r="B855">
        <v>2.1380000000000001E-3</v>
      </c>
      <c r="C855">
        <v>2.3219999999999998E-3</v>
      </c>
      <c r="D855">
        <v>2.0690000000000001E-3</v>
      </c>
      <c r="E855">
        <v>2.2409999999999999E-3</v>
      </c>
      <c r="F855">
        <v>28106837</v>
      </c>
      <c r="G855">
        <v>4.82</v>
      </c>
      <c r="L855" t="s">
        <v>8</v>
      </c>
      <c r="M855" t="s">
        <v>7</v>
      </c>
      <c r="N855" t="s">
        <v>7</v>
      </c>
    </row>
    <row r="856" spans="1:14" x14ac:dyDescent="0.25">
      <c r="A856" s="5">
        <v>43737</v>
      </c>
      <c r="B856">
        <v>2.307E-3</v>
      </c>
      <c r="C856">
        <v>2.3180000000000002E-3</v>
      </c>
      <c r="D856">
        <v>2.0660000000000001E-3</v>
      </c>
      <c r="E856">
        <v>2.1380000000000001E-3</v>
      </c>
      <c r="F856">
        <v>28543849</v>
      </c>
      <c r="G856">
        <v>-7.33</v>
      </c>
      <c r="L856" t="s">
        <v>7</v>
      </c>
      <c r="M856" t="s">
        <v>7</v>
      </c>
      <c r="N856" t="s">
        <v>7</v>
      </c>
    </row>
    <row r="857" spans="1:14" x14ac:dyDescent="0.25">
      <c r="A857" s="5">
        <v>43736</v>
      </c>
      <c r="B857">
        <v>2.2409999999999999E-3</v>
      </c>
      <c r="C857">
        <v>2.3180000000000002E-3</v>
      </c>
      <c r="D857">
        <v>2.1900000000000001E-3</v>
      </c>
      <c r="E857">
        <v>2.307E-3</v>
      </c>
      <c r="F857">
        <v>23111522</v>
      </c>
      <c r="G857">
        <v>2.95</v>
      </c>
      <c r="L857" t="s">
        <v>8</v>
      </c>
      <c r="M857" t="s">
        <v>7</v>
      </c>
      <c r="N857" t="s">
        <v>7</v>
      </c>
    </row>
    <row r="858" spans="1:14" x14ac:dyDescent="0.25">
      <c r="A858" s="5">
        <v>43735</v>
      </c>
      <c r="B858">
        <v>2.0330000000000001E-3</v>
      </c>
      <c r="C858">
        <v>2.3159999999999999E-3</v>
      </c>
      <c r="D858">
        <v>1.977E-3</v>
      </c>
      <c r="E858">
        <v>2.2409999999999999E-3</v>
      </c>
      <c r="F858">
        <v>46111587</v>
      </c>
      <c r="G858">
        <v>10.23</v>
      </c>
      <c r="L858" t="s">
        <v>8</v>
      </c>
      <c r="M858" t="s">
        <v>7</v>
      </c>
      <c r="N858" t="s">
        <v>7</v>
      </c>
    </row>
    <row r="859" spans="1:14" x14ac:dyDescent="0.25">
      <c r="A859" s="5">
        <v>43734</v>
      </c>
      <c r="B859">
        <v>2.1870000000000001E-3</v>
      </c>
      <c r="C859">
        <v>2.2520000000000001E-3</v>
      </c>
      <c r="D859">
        <v>1.944E-3</v>
      </c>
      <c r="E859">
        <v>2.0379999999999999E-3</v>
      </c>
      <c r="F859">
        <v>34861998</v>
      </c>
      <c r="G859">
        <v>-6.81</v>
      </c>
      <c r="L859" t="s">
        <v>7</v>
      </c>
      <c r="M859" t="s">
        <v>7</v>
      </c>
      <c r="N859" t="s">
        <v>7</v>
      </c>
    </row>
    <row r="860" spans="1:14" x14ac:dyDescent="0.25">
      <c r="A860" s="5">
        <v>43733</v>
      </c>
      <c r="B860">
        <v>2.183E-3</v>
      </c>
      <c r="C860">
        <v>2.3040000000000001E-3</v>
      </c>
      <c r="D860">
        <v>2.0609999999999999E-3</v>
      </c>
      <c r="E860">
        <v>2.1870000000000001E-3</v>
      </c>
      <c r="F860">
        <v>42260612</v>
      </c>
      <c r="G860">
        <v>0.18</v>
      </c>
      <c r="L860" t="s">
        <v>8</v>
      </c>
      <c r="M860" t="s">
        <v>7</v>
      </c>
      <c r="N860" t="s">
        <v>7</v>
      </c>
    </row>
    <row r="861" spans="1:14" x14ac:dyDescent="0.25">
      <c r="A861" s="5">
        <v>43732</v>
      </c>
      <c r="B861">
        <v>2.6840000000000002E-3</v>
      </c>
      <c r="C861">
        <v>2.7409999999999999E-3</v>
      </c>
      <c r="D861">
        <v>2.052E-3</v>
      </c>
      <c r="E861">
        <v>2.1770000000000001E-3</v>
      </c>
      <c r="F861">
        <v>32844377</v>
      </c>
      <c r="G861">
        <v>-18.89</v>
      </c>
      <c r="L861" t="s">
        <v>7</v>
      </c>
      <c r="M861" t="s">
        <v>7</v>
      </c>
      <c r="N861" t="s">
        <v>7</v>
      </c>
    </row>
    <row r="862" spans="1:14" x14ac:dyDescent="0.25">
      <c r="A862" s="5">
        <v>43731</v>
      </c>
      <c r="B862">
        <v>2.879E-3</v>
      </c>
      <c r="C862">
        <v>2.8860000000000001E-3</v>
      </c>
      <c r="D862">
        <v>2.65E-3</v>
      </c>
      <c r="E862">
        <v>2.6879999999999999E-3</v>
      </c>
      <c r="F862">
        <v>29342644</v>
      </c>
      <c r="G862">
        <v>-6.63</v>
      </c>
      <c r="L862" t="s">
        <v>7</v>
      </c>
      <c r="M862" t="s">
        <v>7</v>
      </c>
      <c r="N862" t="s">
        <v>7</v>
      </c>
    </row>
    <row r="863" spans="1:14" x14ac:dyDescent="0.25">
      <c r="A863" s="5">
        <v>43730</v>
      </c>
      <c r="B863">
        <v>3.0019999999999999E-3</v>
      </c>
      <c r="C863">
        <v>3.0070000000000001E-3</v>
      </c>
      <c r="D863">
        <v>2.8300000000000001E-3</v>
      </c>
      <c r="E863">
        <v>2.879E-3</v>
      </c>
      <c r="F863">
        <v>28108733</v>
      </c>
      <c r="G863">
        <v>-4.0999999999999996</v>
      </c>
      <c r="L863" t="s">
        <v>7</v>
      </c>
      <c r="M863" t="s">
        <v>7</v>
      </c>
      <c r="N863" t="s">
        <v>7</v>
      </c>
    </row>
    <row r="864" spans="1:14" x14ac:dyDescent="0.25">
      <c r="A864" s="5">
        <v>43729</v>
      </c>
      <c r="B864">
        <v>3.0370000000000002E-3</v>
      </c>
      <c r="C864">
        <v>3.0430000000000001E-3</v>
      </c>
      <c r="D864">
        <v>2.9750000000000002E-3</v>
      </c>
      <c r="E864">
        <v>2.9859999999999999E-3</v>
      </c>
      <c r="F864">
        <v>21641087</v>
      </c>
      <c r="G864">
        <v>-1.68</v>
      </c>
      <c r="L864" t="s">
        <v>8</v>
      </c>
      <c r="M864" t="s">
        <v>7</v>
      </c>
      <c r="N864" t="s">
        <v>7</v>
      </c>
    </row>
    <row r="865" spans="1:14" x14ac:dyDescent="0.25">
      <c r="A865" s="5">
        <v>43728</v>
      </c>
      <c r="B865">
        <v>2.9889999999999999E-3</v>
      </c>
      <c r="C865">
        <v>3.1289999999999998E-3</v>
      </c>
      <c r="D865">
        <v>2.8969999999999998E-3</v>
      </c>
      <c r="E865">
        <v>3.0370000000000002E-3</v>
      </c>
      <c r="F865">
        <v>42405727</v>
      </c>
      <c r="G865">
        <v>1.61</v>
      </c>
      <c r="L865" t="s">
        <v>8</v>
      </c>
      <c r="M865" t="s">
        <v>7</v>
      </c>
      <c r="N865" t="s">
        <v>7</v>
      </c>
    </row>
    <row r="866" spans="1:14" x14ac:dyDescent="0.25">
      <c r="A866" s="5">
        <v>43727</v>
      </c>
      <c r="B866">
        <v>3.199E-3</v>
      </c>
      <c r="C866">
        <v>3.2009999999999999E-3</v>
      </c>
      <c r="D866">
        <v>2.8649999999999999E-3</v>
      </c>
      <c r="E866">
        <v>2.9840000000000001E-3</v>
      </c>
      <c r="F866">
        <v>45842209</v>
      </c>
      <c r="G866">
        <v>-6.72</v>
      </c>
      <c r="L866" t="s">
        <v>7</v>
      </c>
      <c r="M866" t="s">
        <v>7</v>
      </c>
      <c r="N866" t="s">
        <v>7</v>
      </c>
    </row>
    <row r="867" spans="1:14" x14ac:dyDescent="0.25">
      <c r="A867" s="5">
        <v>43726</v>
      </c>
      <c r="B867">
        <v>3.0339999999999998E-3</v>
      </c>
      <c r="C867">
        <v>3.2200000000000002E-3</v>
      </c>
      <c r="D867">
        <v>3.003E-3</v>
      </c>
      <c r="E867">
        <v>3.2190000000000001E-3</v>
      </c>
      <c r="F867">
        <v>51590367</v>
      </c>
      <c r="G867">
        <v>6.1</v>
      </c>
      <c r="L867" t="s">
        <v>8</v>
      </c>
      <c r="M867" t="s">
        <v>7</v>
      </c>
      <c r="N867" t="s">
        <v>7</v>
      </c>
    </row>
    <row r="868" spans="1:14" x14ac:dyDescent="0.25">
      <c r="A868" s="5">
        <v>43725</v>
      </c>
      <c r="B868">
        <v>3.0079999999999998E-3</v>
      </c>
      <c r="C868">
        <v>3.1410000000000001E-3</v>
      </c>
      <c r="D868">
        <v>2.8600000000000001E-3</v>
      </c>
      <c r="E868">
        <v>3.0230000000000001E-3</v>
      </c>
      <c r="F868">
        <v>47495979</v>
      </c>
      <c r="G868">
        <v>0.5</v>
      </c>
      <c r="L868" t="s">
        <v>7</v>
      </c>
      <c r="M868" t="s">
        <v>7</v>
      </c>
      <c r="N868" t="s">
        <v>7</v>
      </c>
    </row>
    <row r="869" spans="1:14" x14ac:dyDescent="0.25">
      <c r="A869" s="5">
        <v>43724</v>
      </c>
      <c r="B869">
        <v>2.9870000000000001E-3</v>
      </c>
      <c r="C869">
        <v>3.0839999999999999E-3</v>
      </c>
      <c r="D869">
        <v>2.97E-3</v>
      </c>
      <c r="E869">
        <v>3.0049999999999999E-3</v>
      </c>
      <c r="F869">
        <v>29559754</v>
      </c>
      <c r="G869">
        <v>0.6</v>
      </c>
      <c r="L869" t="s">
        <v>7</v>
      </c>
      <c r="M869" t="s">
        <v>8</v>
      </c>
      <c r="N869" t="s">
        <v>7</v>
      </c>
    </row>
    <row r="870" spans="1:14" x14ac:dyDescent="0.25">
      <c r="A870" s="5">
        <v>43723</v>
      </c>
      <c r="B870">
        <v>3.0360000000000001E-3</v>
      </c>
      <c r="C870">
        <v>3.166E-3</v>
      </c>
      <c r="D870">
        <v>2.9680000000000002E-3</v>
      </c>
      <c r="E870">
        <v>2.9949999999999998E-3</v>
      </c>
      <c r="F870">
        <v>40222296</v>
      </c>
      <c r="G870">
        <v>-1.35</v>
      </c>
      <c r="L870" t="s">
        <v>7</v>
      </c>
      <c r="M870" t="s">
        <v>8</v>
      </c>
      <c r="N870" t="s">
        <v>7</v>
      </c>
    </row>
    <row r="871" spans="1:14" x14ac:dyDescent="0.25">
      <c r="A871" s="5">
        <v>43722</v>
      </c>
      <c r="B871">
        <v>2.9750000000000002E-3</v>
      </c>
      <c r="C871">
        <v>3.3519999999999999E-3</v>
      </c>
      <c r="D871">
        <v>2.9529999999999999E-3</v>
      </c>
      <c r="E871">
        <v>3.0360000000000001E-3</v>
      </c>
      <c r="F871">
        <v>44183583</v>
      </c>
      <c r="G871">
        <v>2.0499999999999998</v>
      </c>
      <c r="L871" t="s">
        <v>8</v>
      </c>
      <c r="M871" t="s">
        <v>8</v>
      </c>
      <c r="N871" t="s">
        <v>7</v>
      </c>
    </row>
    <row r="872" spans="1:14" x14ac:dyDescent="0.25">
      <c r="A872" s="5">
        <v>43721</v>
      </c>
      <c r="B872">
        <v>3.0339999999999998E-3</v>
      </c>
      <c r="C872">
        <v>3.039E-3</v>
      </c>
      <c r="D872">
        <v>2.8900000000000002E-3</v>
      </c>
      <c r="E872">
        <v>2.9750000000000002E-3</v>
      </c>
      <c r="F872">
        <v>6846490</v>
      </c>
      <c r="G872">
        <v>-1.94</v>
      </c>
      <c r="L872" t="s">
        <v>8</v>
      </c>
      <c r="M872" t="s">
        <v>8</v>
      </c>
      <c r="N872" t="s">
        <v>7</v>
      </c>
    </row>
    <row r="873" spans="1:14" x14ac:dyDescent="0.25">
      <c r="A873" s="5">
        <v>43720</v>
      </c>
      <c r="B873">
        <v>2.967E-3</v>
      </c>
      <c r="C873">
        <v>3.039E-3</v>
      </c>
      <c r="D873">
        <v>2.8279999999999998E-3</v>
      </c>
      <c r="E873">
        <v>3.0349999999999999E-3</v>
      </c>
      <c r="F873">
        <v>15602366</v>
      </c>
      <c r="G873">
        <v>2.29</v>
      </c>
      <c r="L873" t="s">
        <v>7</v>
      </c>
      <c r="M873" t="s">
        <v>8</v>
      </c>
      <c r="N873" t="s">
        <v>7</v>
      </c>
    </row>
    <row r="874" spans="1:14" x14ac:dyDescent="0.25">
      <c r="A874" s="5">
        <v>43719</v>
      </c>
      <c r="B874">
        <v>3.107E-3</v>
      </c>
      <c r="C874">
        <v>3.1389999999999999E-3</v>
      </c>
      <c r="D874">
        <v>2.9290000000000002E-3</v>
      </c>
      <c r="E874">
        <v>2.9459999999999998E-3</v>
      </c>
      <c r="F874">
        <v>13870079</v>
      </c>
      <c r="G874">
        <v>-5.18</v>
      </c>
      <c r="L874" t="s">
        <v>7</v>
      </c>
      <c r="M874" t="s">
        <v>8</v>
      </c>
      <c r="N874" t="s">
        <v>7</v>
      </c>
    </row>
    <row r="875" spans="1:14" x14ac:dyDescent="0.25">
      <c r="A875" s="5">
        <v>43718</v>
      </c>
      <c r="B875">
        <v>3.0000000000000001E-3</v>
      </c>
      <c r="C875">
        <v>3.241E-3</v>
      </c>
      <c r="D875">
        <v>2.9780000000000002E-3</v>
      </c>
      <c r="E875">
        <v>3.107E-3</v>
      </c>
      <c r="F875">
        <v>23677121</v>
      </c>
      <c r="G875">
        <v>3.57</v>
      </c>
      <c r="L875" t="s">
        <v>8</v>
      </c>
      <c r="M875" t="s">
        <v>8</v>
      </c>
      <c r="N875" t="s">
        <v>7</v>
      </c>
    </row>
    <row r="876" spans="1:14" x14ac:dyDescent="0.25">
      <c r="A876" s="5">
        <v>43717</v>
      </c>
      <c r="B876">
        <v>3.0049999999999999E-3</v>
      </c>
      <c r="C876">
        <v>3.045E-3</v>
      </c>
      <c r="D876">
        <v>2.8240000000000001E-3</v>
      </c>
      <c r="E876">
        <v>3.0000000000000001E-3</v>
      </c>
      <c r="F876">
        <v>26628080</v>
      </c>
      <c r="G876">
        <v>-0.17</v>
      </c>
      <c r="L876" t="s">
        <v>7</v>
      </c>
      <c r="M876" t="s">
        <v>8</v>
      </c>
      <c r="N876" t="s">
        <v>7</v>
      </c>
    </row>
    <row r="877" spans="1:14" x14ac:dyDescent="0.25">
      <c r="A877" s="5">
        <v>43716</v>
      </c>
      <c r="B877">
        <v>3.1470000000000001E-3</v>
      </c>
      <c r="C877">
        <v>3.1800000000000001E-3</v>
      </c>
      <c r="D877">
        <v>2.9399999999999999E-3</v>
      </c>
      <c r="E877">
        <v>3.0070000000000001E-3</v>
      </c>
      <c r="F877">
        <v>14208952</v>
      </c>
      <c r="G877">
        <v>-4.45</v>
      </c>
      <c r="L877" t="s">
        <v>7</v>
      </c>
      <c r="M877" t="s">
        <v>8</v>
      </c>
      <c r="N877" t="s">
        <v>7</v>
      </c>
    </row>
    <row r="878" spans="1:14" x14ac:dyDescent="0.25">
      <c r="A878" s="5">
        <v>43715</v>
      </c>
      <c r="B878">
        <v>3.0140000000000002E-3</v>
      </c>
      <c r="C878">
        <v>3.199E-3</v>
      </c>
      <c r="D878">
        <v>2.9199999999999999E-3</v>
      </c>
      <c r="E878">
        <v>3.1129999999999999E-3</v>
      </c>
      <c r="F878">
        <v>28387301</v>
      </c>
      <c r="G878">
        <v>3.28</v>
      </c>
      <c r="L878" t="s">
        <v>8</v>
      </c>
      <c r="M878" t="s">
        <v>8</v>
      </c>
      <c r="N878" t="s">
        <v>7</v>
      </c>
    </row>
    <row r="879" spans="1:14" x14ac:dyDescent="0.25">
      <c r="A879" s="5">
        <v>43714</v>
      </c>
      <c r="B879">
        <v>3.0850000000000001E-3</v>
      </c>
      <c r="C879">
        <v>3.3180000000000002E-3</v>
      </c>
      <c r="D879">
        <v>2.5200000000000001E-3</v>
      </c>
      <c r="E879">
        <v>3.0140000000000002E-3</v>
      </c>
      <c r="F879">
        <v>91905493.700000003</v>
      </c>
      <c r="G879">
        <v>-2.2999999999999998</v>
      </c>
      <c r="L879" t="s">
        <v>7</v>
      </c>
      <c r="M879" t="s">
        <v>7</v>
      </c>
      <c r="N879" t="s">
        <v>7</v>
      </c>
    </row>
    <row r="880" spans="1:14" x14ac:dyDescent="0.25">
      <c r="A880" s="5">
        <v>43713</v>
      </c>
      <c r="B880">
        <v>3.3800000000000002E-3</v>
      </c>
      <c r="C880">
        <v>3.4199999999999999E-3</v>
      </c>
      <c r="D880">
        <v>3.0230000000000001E-3</v>
      </c>
      <c r="E880">
        <v>3.0860000000000002E-3</v>
      </c>
      <c r="F880">
        <v>118506562.3</v>
      </c>
      <c r="G880">
        <v>-8.6999999999999993</v>
      </c>
      <c r="L880" t="s">
        <v>7</v>
      </c>
      <c r="M880" t="s">
        <v>7</v>
      </c>
      <c r="N880" t="s">
        <v>7</v>
      </c>
    </row>
    <row r="881" spans="1:14" x14ac:dyDescent="0.25">
      <c r="A881" s="5">
        <v>43712</v>
      </c>
      <c r="B881">
        <v>3.0799999999999998E-3</v>
      </c>
      <c r="C881">
        <v>3.8999999999999998E-3</v>
      </c>
      <c r="D881">
        <v>2.9299999999999999E-3</v>
      </c>
      <c r="E881">
        <v>3.3800000000000002E-3</v>
      </c>
      <c r="F881">
        <v>150106683.5</v>
      </c>
      <c r="G881">
        <v>9.74</v>
      </c>
      <c r="L881" t="s">
        <v>8</v>
      </c>
      <c r="M881" t="s">
        <v>8</v>
      </c>
      <c r="N881" t="s">
        <v>7</v>
      </c>
    </row>
    <row r="882" spans="1:14" x14ac:dyDescent="0.25">
      <c r="A882" s="5">
        <v>43711</v>
      </c>
      <c r="B882">
        <v>3.1900000000000001E-3</v>
      </c>
      <c r="C882">
        <v>3.2399999999999998E-3</v>
      </c>
      <c r="D882">
        <v>3.0200000000000001E-3</v>
      </c>
      <c r="E882">
        <v>3.0400000000000002E-3</v>
      </c>
      <c r="F882">
        <v>41713887.700000003</v>
      </c>
      <c r="G882">
        <v>-4.7</v>
      </c>
      <c r="L882" t="s">
        <v>8</v>
      </c>
      <c r="M882" t="s">
        <v>7</v>
      </c>
      <c r="N882" t="s">
        <v>7</v>
      </c>
    </row>
    <row r="883" spans="1:14" x14ac:dyDescent="0.25">
      <c r="A883" s="5">
        <v>43710</v>
      </c>
      <c r="B883">
        <v>2.99E-3</v>
      </c>
      <c r="C883">
        <v>3.2499999999999999E-3</v>
      </c>
      <c r="D883">
        <v>2.8999999999999998E-3</v>
      </c>
      <c r="E883">
        <v>3.1700000000000001E-3</v>
      </c>
      <c r="F883">
        <v>33575187.799999997</v>
      </c>
      <c r="G883">
        <v>6.02</v>
      </c>
      <c r="L883" t="s">
        <v>7</v>
      </c>
      <c r="M883" t="s">
        <v>7</v>
      </c>
      <c r="N883" t="s">
        <v>7</v>
      </c>
    </row>
    <row r="884" spans="1:14" x14ac:dyDescent="0.25">
      <c r="A884" s="5">
        <v>43709</v>
      </c>
      <c r="B884">
        <v>3.0799999999999998E-3</v>
      </c>
      <c r="C884">
        <v>3.13E-3</v>
      </c>
      <c r="D884">
        <v>2.9499999999999999E-3</v>
      </c>
      <c r="E884">
        <v>3.0200000000000001E-3</v>
      </c>
      <c r="F884">
        <v>20130713.600000001</v>
      </c>
      <c r="G884">
        <v>-1.95</v>
      </c>
      <c r="L884" t="s">
        <v>7</v>
      </c>
      <c r="M884" t="s">
        <v>7</v>
      </c>
      <c r="N884" t="s">
        <v>7</v>
      </c>
    </row>
    <row r="885" spans="1:14" x14ac:dyDescent="0.25">
      <c r="A885" s="5">
        <v>43708</v>
      </c>
      <c r="B885">
        <v>3.2100000000000002E-3</v>
      </c>
      <c r="C885">
        <v>3.2200000000000002E-3</v>
      </c>
      <c r="D885">
        <v>3.0400000000000002E-3</v>
      </c>
      <c r="E885">
        <v>3.0899999999999999E-3</v>
      </c>
      <c r="F885">
        <v>11021425.300000001</v>
      </c>
      <c r="G885">
        <v>-3.74</v>
      </c>
      <c r="L885" t="s">
        <v>8</v>
      </c>
      <c r="M885" t="s">
        <v>7</v>
      </c>
      <c r="N885" t="s">
        <v>7</v>
      </c>
    </row>
    <row r="886" spans="1:14" x14ac:dyDescent="0.25">
      <c r="A886" s="5">
        <v>43707</v>
      </c>
      <c r="B886">
        <v>3.13E-3</v>
      </c>
      <c r="C886">
        <v>3.2599999999999999E-3</v>
      </c>
      <c r="D886">
        <v>3.0100000000000001E-3</v>
      </c>
      <c r="E886">
        <v>3.2100000000000002E-3</v>
      </c>
      <c r="F886">
        <v>28548744.899999999</v>
      </c>
      <c r="G886">
        <v>2.56</v>
      </c>
      <c r="L886" t="s">
        <v>7</v>
      </c>
      <c r="M886" t="s">
        <v>7</v>
      </c>
      <c r="N886" t="s">
        <v>7</v>
      </c>
    </row>
    <row r="887" spans="1:14" x14ac:dyDescent="0.25">
      <c r="A887" s="5">
        <v>43706</v>
      </c>
      <c r="B887">
        <v>3.5200000000000001E-3</v>
      </c>
      <c r="C887">
        <v>3.64E-3</v>
      </c>
      <c r="D887">
        <v>3.0500000000000002E-3</v>
      </c>
      <c r="E887">
        <v>3.1199999999999999E-3</v>
      </c>
      <c r="F887">
        <v>56308786</v>
      </c>
      <c r="G887">
        <v>-11.36</v>
      </c>
      <c r="L887" t="s">
        <v>7</v>
      </c>
      <c r="M887" t="s">
        <v>7</v>
      </c>
      <c r="N887" t="s">
        <v>7</v>
      </c>
    </row>
    <row r="888" spans="1:14" x14ac:dyDescent="0.25">
      <c r="A888" s="5">
        <v>43705</v>
      </c>
      <c r="B888">
        <v>3.7499999999999999E-3</v>
      </c>
      <c r="C888">
        <v>3.9399999999999999E-3</v>
      </c>
      <c r="D888">
        <v>3.3800000000000002E-3</v>
      </c>
      <c r="E888">
        <v>3.5000000000000001E-3</v>
      </c>
      <c r="F888">
        <v>58220553.100000001</v>
      </c>
      <c r="G888">
        <v>-6.67</v>
      </c>
      <c r="L888" t="s">
        <v>7</v>
      </c>
      <c r="M888" t="s">
        <v>7</v>
      </c>
      <c r="N888" t="s">
        <v>7</v>
      </c>
    </row>
    <row r="889" spans="1:14" x14ac:dyDescent="0.25">
      <c r="A889" s="5">
        <v>43704</v>
      </c>
      <c r="B889">
        <v>3.7000000000000002E-3</v>
      </c>
      <c r="C889">
        <v>3.8300000000000001E-3</v>
      </c>
      <c r="D889">
        <v>3.5300000000000002E-3</v>
      </c>
      <c r="E889">
        <v>3.7299999999999998E-3</v>
      </c>
      <c r="F889">
        <v>42845973.399999999</v>
      </c>
      <c r="G889">
        <v>0.81</v>
      </c>
      <c r="L889" t="s">
        <v>7</v>
      </c>
      <c r="M889" t="s">
        <v>7</v>
      </c>
      <c r="N889" t="s">
        <v>7</v>
      </c>
    </row>
    <row r="890" spans="1:14" x14ac:dyDescent="0.25">
      <c r="A890" s="5">
        <v>43703</v>
      </c>
      <c r="B890">
        <v>3.7699999999999999E-3</v>
      </c>
      <c r="C890">
        <v>3.9300000000000003E-3</v>
      </c>
      <c r="D890">
        <v>3.5999999999999999E-3</v>
      </c>
      <c r="E890">
        <v>3.7200000000000002E-3</v>
      </c>
      <c r="F890">
        <v>44333653.700000003</v>
      </c>
      <c r="G890">
        <v>-1.33</v>
      </c>
      <c r="L890" t="s">
        <v>7</v>
      </c>
      <c r="M890" t="s">
        <v>7</v>
      </c>
      <c r="N890" t="s">
        <v>7</v>
      </c>
    </row>
    <row r="891" spans="1:14" x14ac:dyDescent="0.25">
      <c r="A891" s="5">
        <v>43702</v>
      </c>
      <c r="B891">
        <v>3.7699999999999999E-3</v>
      </c>
      <c r="C891">
        <v>4.1000000000000003E-3</v>
      </c>
      <c r="D891">
        <v>3.6700000000000001E-3</v>
      </c>
      <c r="E891">
        <v>3.7599999999999999E-3</v>
      </c>
      <c r="F891">
        <v>78484370.799999997</v>
      </c>
      <c r="G891">
        <v>-0.27</v>
      </c>
      <c r="L891" t="s">
        <v>8</v>
      </c>
      <c r="M891" t="s">
        <v>7</v>
      </c>
      <c r="N891" t="s">
        <v>7</v>
      </c>
    </row>
    <row r="892" spans="1:14" x14ac:dyDescent="0.25">
      <c r="A892" s="5">
        <v>43701</v>
      </c>
      <c r="B892">
        <v>3.8800000000000002E-3</v>
      </c>
      <c r="C892">
        <v>3.8800000000000002E-3</v>
      </c>
      <c r="D892">
        <v>3.5000000000000001E-3</v>
      </c>
      <c r="E892">
        <v>3.8E-3</v>
      </c>
      <c r="F892">
        <v>79725067.400000006</v>
      </c>
      <c r="G892">
        <v>-2.06</v>
      </c>
      <c r="L892" t="s">
        <v>7</v>
      </c>
      <c r="M892" t="s">
        <v>7</v>
      </c>
      <c r="N892" t="s">
        <v>7</v>
      </c>
    </row>
    <row r="893" spans="1:14" x14ac:dyDescent="0.25">
      <c r="A893" s="5">
        <v>43700</v>
      </c>
      <c r="B893">
        <v>3.9100000000000003E-3</v>
      </c>
      <c r="C893">
        <v>3.9899999999999996E-3</v>
      </c>
      <c r="D893">
        <v>3.81E-3</v>
      </c>
      <c r="E893">
        <v>3.8800000000000002E-3</v>
      </c>
      <c r="F893">
        <v>40287997</v>
      </c>
      <c r="G893">
        <v>-0.77</v>
      </c>
      <c r="L893" t="s">
        <v>8</v>
      </c>
      <c r="M893" t="s">
        <v>7</v>
      </c>
      <c r="N893" t="s">
        <v>7</v>
      </c>
    </row>
    <row r="894" spans="1:14" x14ac:dyDescent="0.25">
      <c r="A894" s="5">
        <v>43699</v>
      </c>
      <c r="B894">
        <v>3.9399999999999999E-3</v>
      </c>
      <c r="C894">
        <v>4.1000000000000003E-3</v>
      </c>
      <c r="D894">
        <v>3.7499999999999999E-3</v>
      </c>
      <c r="E894">
        <v>3.9399999999999999E-3</v>
      </c>
      <c r="F894">
        <v>64494676.5</v>
      </c>
      <c r="G894">
        <v>0</v>
      </c>
      <c r="L894" t="s">
        <v>7</v>
      </c>
      <c r="M894" t="s">
        <v>7</v>
      </c>
      <c r="N894" t="s">
        <v>7</v>
      </c>
    </row>
    <row r="895" spans="1:14" x14ac:dyDescent="0.25">
      <c r="A895" s="5">
        <v>43698</v>
      </c>
      <c r="B895">
        <v>4.4400000000000004E-3</v>
      </c>
      <c r="C895">
        <v>4.4999999999999997E-3</v>
      </c>
      <c r="D895">
        <v>3.7799999999999999E-3</v>
      </c>
      <c r="E895">
        <v>3.9399999999999999E-3</v>
      </c>
      <c r="F895">
        <v>107630522.8</v>
      </c>
      <c r="G895">
        <v>-11.26</v>
      </c>
      <c r="L895" t="s">
        <v>7</v>
      </c>
      <c r="M895" t="s">
        <v>7</v>
      </c>
      <c r="N895" t="s">
        <v>7</v>
      </c>
    </row>
    <row r="896" spans="1:14" x14ac:dyDescent="0.25">
      <c r="A896" s="5">
        <v>43697</v>
      </c>
      <c r="B896">
        <v>4.6699999999999997E-3</v>
      </c>
      <c r="C896">
        <v>4.7299999999999998E-3</v>
      </c>
      <c r="D896">
        <v>4.3800000000000002E-3</v>
      </c>
      <c r="E896">
        <v>4.45E-3</v>
      </c>
      <c r="F896">
        <v>54114047.799999997</v>
      </c>
      <c r="G896">
        <v>-4.71</v>
      </c>
      <c r="L896" t="s">
        <v>7</v>
      </c>
      <c r="M896" t="s">
        <v>8</v>
      </c>
      <c r="N896" t="s">
        <v>7</v>
      </c>
    </row>
    <row r="897" spans="1:14" x14ac:dyDescent="0.25">
      <c r="A897" s="5">
        <v>43696</v>
      </c>
      <c r="B897">
        <v>4.47E-3</v>
      </c>
      <c r="C897">
        <v>4.9199999999999999E-3</v>
      </c>
      <c r="D897">
        <v>4.4000000000000003E-3</v>
      </c>
      <c r="E897">
        <v>4.6699999999999997E-3</v>
      </c>
      <c r="F897">
        <v>147456703.40000001</v>
      </c>
      <c r="G897">
        <v>4.47</v>
      </c>
      <c r="L897" t="s">
        <v>8</v>
      </c>
      <c r="M897" t="s">
        <v>8</v>
      </c>
      <c r="N897" t="s">
        <v>7</v>
      </c>
    </row>
    <row r="898" spans="1:14" x14ac:dyDescent="0.25">
      <c r="A898" s="5">
        <v>43695</v>
      </c>
      <c r="B898">
        <v>4.4200000000000003E-3</v>
      </c>
      <c r="C898">
        <v>4.4799999999999996E-3</v>
      </c>
      <c r="D898">
        <v>4.1999999999999997E-3</v>
      </c>
      <c r="E898">
        <v>4.47E-3</v>
      </c>
      <c r="F898">
        <v>68031573</v>
      </c>
      <c r="G898">
        <v>1.1299999999999999</v>
      </c>
      <c r="L898" t="s">
        <v>7</v>
      </c>
      <c r="M898" t="s">
        <v>7</v>
      </c>
      <c r="N898" t="s">
        <v>7</v>
      </c>
    </row>
    <row r="899" spans="1:14" x14ac:dyDescent="0.25">
      <c r="A899" s="5">
        <v>43694</v>
      </c>
      <c r="B899">
        <v>4.4600000000000004E-3</v>
      </c>
      <c r="C899">
        <v>4.7000000000000002E-3</v>
      </c>
      <c r="D899">
        <v>4.3499999999999997E-3</v>
      </c>
      <c r="E899">
        <v>4.4099999999999999E-3</v>
      </c>
      <c r="F899">
        <v>78835240.099999994</v>
      </c>
      <c r="G899">
        <v>-1.1200000000000001</v>
      </c>
      <c r="L899" t="s">
        <v>8</v>
      </c>
      <c r="M899" t="s">
        <v>7</v>
      </c>
      <c r="N899" t="s">
        <v>7</v>
      </c>
    </row>
    <row r="900" spans="1:14" x14ac:dyDescent="0.25">
      <c r="A900" s="5">
        <v>43693</v>
      </c>
      <c r="B900">
        <v>4.9100000000000003E-3</v>
      </c>
      <c r="C900">
        <v>5.1999999999999998E-3</v>
      </c>
      <c r="D900">
        <v>4.4000000000000003E-3</v>
      </c>
      <c r="E900">
        <v>4.45E-3</v>
      </c>
      <c r="F900">
        <v>139442740.69999999</v>
      </c>
      <c r="G900">
        <v>-9.3699999999999992</v>
      </c>
      <c r="L900" t="s">
        <v>7</v>
      </c>
      <c r="M900" t="s">
        <v>7</v>
      </c>
      <c r="N900" t="s">
        <v>7</v>
      </c>
    </row>
    <row r="901" spans="1:14" x14ac:dyDescent="0.25">
      <c r="A901" s="5">
        <v>43692</v>
      </c>
      <c r="B901">
        <v>4.4400000000000004E-3</v>
      </c>
      <c r="C901">
        <v>5.2700000000000004E-3</v>
      </c>
      <c r="D901">
        <v>4.4400000000000004E-3</v>
      </c>
      <c r="E901">
        <v>4.9199999999999999E-3</v>
      </c>
      <c r="F901">
        <v>186877872.5</v>
      </c>
      <c r="G901">
        <v>10.81</v>
      </c>
      <c r="L901" t="s">
        <v>8</v>
      </c>
      <c r="M901" t="s">
        <v>8</v>
      </c>
      <c r="N901" t="s">
        <v>7</v>
      </c>
    </row>
    <row r="902" spans="1:14" x14ac:dyDescent="0.25">
      <c r="A902" s="5">
        <v>43691</v>
      </c>
      <c r="B902">
        <v>4.96E-3</v>
      </c>
      <c r="C902">
        <v>5.0099999999999997E-3</v>
      </c>
      <c r="D902">
        <v>4.3499999999999997E-3</v>
      </c>
      <c r="E902">
        <v>4.4400000000000004E-3</v>
      </c>
      <c r="F902">
        <v>114946827</v>
      </c>
      <c r="G902">
        <v>-10.48</v>
      </c>
      <c r="L902" t="s">
        <v>7</v>
      </c>
      <c r="M902" t="s">
        <v>7</v>
      </c>
      <c r="N902" t="s">
        <v>7</v>
      </c>
    </row>
    <row r="903" spans="1:14" x14ac:dyDescent="0.25">
      <c r="A903" s="5">
        <v>43690</v>
      </c>
      <c r="B903">
        <v>5.2199999999999998E-3</v>
      </c>
      <c r="C903">
        <v>5.2700000000000004E-3</v>
      </c>
      <c r="D903">
        <v>4.7600000000000003E-3</v>
      </c>
      <c r="E903">
        <v>4.9199999999999999E-3</v>
      </c>
      <c r="F903">
        <v>143544627</v>
      </c>
      <c r="G903">
        <v>-5.75</v>
      </c>
      <c r="L903" t="s">
        <v>7</v>
      </c>
      <c r="M903" t="s">
        <v>7</v>
      </c>
      <c r="N903" t="s">
        <v>7</v>
      </c>
    </row>
    <row r="904" spans="1:14" x14ac:dyDescent="0.25">
      <c r="A904" s="5">
        <v>43689</v>
      </c>
      <c r="B904">
        <v>4.9100000000000003E-3</v>
      </c>
      <c r="C904">
        <v>5.45E-3</v>
      </c>
      <c r="D904">
        <v>4.8500000000000001E-3</v>
      </c>
      <c r="E904">
        <v>5.2199999999999998E-3</v>
      </c>
      <c r="F904">
        <v>563799696.20000005</v>
      </c>
      <c r="G904">
        <v>6.31</v>
      </c>
      <c r="L904" t="s">
        <v>8</v>
      </c>
      <c r="M904" t="s">
        <v>7</v>
      </c>
      <c r="N904" t="s">
        <v>7</v>
      </c>
    </row>
    <row r="905" spans="1:14" x14ac:dyDescent="0.25">
      <c r="A905" s="5">
        <v>43688</v>
      </c>
      <c r="B905">
        <v>4.79E-3</v>
      </c>
      <c r="C905">
        <v>5.2199999999999998E-3</v>
      </c>
      <c r="D905">
        <v>4.7800000000000004E-3</v>
      </c>
      <c r="E905">
        <v>4.9100000000000003E-3</v>
      </c>
      <c r="F905">
        <v>235124170</v>
      </c>
      <c r="G905">
        <v>2.5099999999999998</v>
      </c>
      <c r="L905" t="s">
        <v>8</v>
      </c>
      <c r="M905" t="s">
        <v>7</v>
      </c>
      <c r="N905" t="s">
        <v>7</v>
      </c>
    </row>
    <row r="906" spans="1:14" x14ac:dyDescent="0.25">
      <c r="A906" s="5">
        <v>43687</v>
      </c>
      <c r="B906">
        <v>4.8500000000000001E-3</v>
      </c>
      <c r="C906">
        <v>5.1200000000000004E-3</v>
      </c>
      <c r="D906">
        <v>4.6800000000000001E-3</v>
      </c>
      <c r="E906">
        <v>4.7999999999999996E-3</v>
      </c>
      <c r="F906">
        <v>322997911.19999999</v>
      </c>
      <c r="G906">
        <v>-1.03</v>
      </c>
      <c r="L906" t="s">
        <v>8</v>
      </c>
      <c r="M906" t="s">
        <v>7</v>
      </c>
      <c r="N906" t="s">
        <v>7</v>
      </c>
    </row>
    <row r="907" spans="1:14" x14ac:dyDescent="0.25">
      <c r="A907" s="5">
        <v>43686</v>
      </c>
      <c r="B907">
        <v>6.3600000000000002E-3</v>
      </c>
      <c r="C907">
        <v>6.4599999999999996E-3</v>
      </c>
      <c r="D907">
        <v>4.7400000000000003E-3</v>
      </c>
      <c r="E907">
        <v>4.8399999999999997E-3</v>
      </c>
      <c r="F907">
        <v>373156710.69999999</v>
      </c>
      <c r="G907">
        <v>-23.9</v>
      </c>
      <c r="L907" t="s">
        <v>7</v>
      </c>
      <c r="M907" t="s">
        <v>7</v>
      </c>
      <c r="N907" t="s">
        <v>7</v>
      </c>
    </row>
    <row r="908" spans="1:14" x14ac:dyDescent="0.25">
      <c r="A908" s="5">
        <v>43685</v>
      </c>
      <c r="B908">
        <v>5.79E-3</v>
      </c>
      <c r="C908">
        <v>7.4900000000000001E-3</v>
      </c>
      <c r="D908">
        <v>5.6800000000000002E-3</v>
      </c>
      <c r="E908">
        <v>6.3499999999999997E-3</v>
      </c>
      <c r="F908">
        <v>849196493.89999998</v>
      </c>
      <c r="G908">
        <v>9.67</v>
      </c>
      <c r="L908" t="s">
        <v>8</v>
      </c>
      <c r="M908" t="s">
        <v>8</v>
      </c>
      <c r="N908" t="s">
        <v>7</v>
      </c>
    </row>
    <row r="909" spans="1:14" x14ac:dyDescent="0.25">
      <c r="A909" s="5">
        <v>43684</v>
      </c>
      <c r="B909">
        <v>5.8199999999999997E-3</v>
      </c>
      <c r="C909">
        <v>6.0000000000000001E-3</v>
      </c>
      <c r="D909">
        <v>5.4900000000000001E-3</v>
      </c>
      <c r="E909">
        <v>5.7800000000000004E-3</v>
      </c>
      <c r="F909">
        <v>299426620.80000001</v>
      </c>
      <c r="G909">
        <v>-0.69</v>
      </c>
      <c r="L909" t="s">
        <v>7</v>
      </c>
      <c r="M909" t="s">
        <v>7</v>
      </c>
      <c r="N909" t="s">
        <v>7</v>
      </c>
    </row>
    <row r="910" spans="1:14" x14ac:dyDescent="0.25">
      <c r="A910" s="5">
        <v>43683</v>
      </c>
      <c r="B910">
        <v>6.0800000000000003E-3</v>
      </c>
      <c r="C910">
        <v>6.3E-3</v>
      </c>
      <c r="D910">
        <v>5.4999999999999997E-3</v>
      </c>
      <c r="E910">
        <v>5.8100000000000001E-3</v>
      </c>
      <c r="F910">
        <v>137146187.30000001</v>
      </c>
      <c r="G910">
        <v>-4.4400000000000004</v>
      </c>
      <c r="L910" t="s">
        <v>8</v>
      </c>
      <c r="M910" t="s">
        <v>7</v>
      </c>
      <c r="N910" t="s">
        <v>7</v>
      </c>
    </row>
    <row r="911" spans="1:14" x14ac:dyDescent="0.25">
      <c r="A911" s="5">
        <v>43682</v>
      </c>
      <c r="B911">
        <v>5.7299999999999999E-3</v>
      </c>
      <c r="C911">
        <v>6.8399999999999997E-3</v>
      </c>
      <c r="D911">
        <v>5.4400000000000004E-3</v>
      </c>
      <c r="E911">
        <v>6.0899999999999999E-3</v>
      </c>
      <c r="F911">
        <v>120782141.40000001</v>
      </c>
      <c r="G911">
        <v>6.28</v>
      </c>
      <c r="L911" t="s">
        <v>7</v>
      </c>
      <c r="M911" t="s">
        <v>8</v>
      </c>
      <c r="N911" t="s">
        <v>7</v>
      </c>
    </row>
    <row r="912" spans="1:14" x14ac:dyDescent="0.25">
      <c r="A912" s="5">
        <v>43681</v>
      </c>
      <c r="B912">
        <v>5.8199999999999997E-3</v>
      </c>
      <c r="C912">
        <v>5.9699999999999996E-3</v>
      </c>
      <c r="D912">
        <v>5.5999999999999999E-3</v>
      </c>
      <c r="E912">
        <v>5.7000000000000002E-3</v>
      </c>
      <c r="F912">
        <v>31277767.5</v>
      </c>
      <c r="G912">
        <v>-2.06</v>
      </c>
      <c r="L912" t="s">
        <v>7</v>
      </c>
      <c r="M912" t="s">
        <v>8</v>
      </c>
      <c r="N912" t="s">
        <v>7</v>
      </c>
    </row>
    <row r="913" spans="1:14" x14ac:dyDescent="0.25">
      <c r="A913" s="5">
        <v>43680</v>
      </c>
      <c r="B913">
        <v>5.9199999999999999E-3</v>
      </c>
      <c r="C913">
        <v>6.4400000000000004E-3</v>
      </c>
      <c r="D913">
        <v>5.8199999999999997E-3</v>
      </c>
      <c r="E913">
        <v>5.8199999999999997E-3</v>
      </c>
      <c r="F913">
        <v>25652618.600000001</v>
      </c>
      <c r="G913">
        <v>-1.69</v>
      </c>
      <c r="L913" t="s">
        <v>8</v>
      </c>
      <c r="M913" t="s">
        <v>8</v>
      </c>
      <c r="N913" t="s">
        <v>7</v>
      </c>
    </row>
    <row r="914" spans="1:14" x14ac:dyDescent="0.25">
      <c r="A914" s="5">
        <v>43679</v>
      </c>
      <c r="B914">
        <v>5.5500000000000002E-3</v>
      </c>
      <c r="C914">
        <v>6.3E-3</v>
      </c>
      <c r="D914">
        <v>5.3699999999999998E-3</v>
      </c>
      <c r="E914">
        <v>5.9199999999999999E-3</v>
      </c>
      <c r="F914">
        <v>96258618.599999994</v>
      </c>
      <c r="G914">
        <v>6.67</v>
      </c>
      <c r="L914" t="s">
        <v>8</v>
      </c>
      <c r="M914" t="s">
        <v>8</v>
      </c>
      <c r="N914" t="s">
        <v>7</v>
      </c>
    </row>
    <row r="915" spans="1:14" x14ac:dyDescent="0.25">
      <c r="A915" s="5">
        <v>43678</v>
      </c>
      <c r="B915">
        <v>5.8900000000000003E-3</v>
      </c>
      <c r="C915">
        <v>6.3899999999999998E-3</v>
      </c>
      <c r="D915">
        <v>5.3699999999999998E-3</v>
      </c>
      <c r="E915">
        <v>5.4900000000000001E-3</v>
      </c>
      <c r="F915">
        <v>40962151.100000001</v>
      </c>
      <c r="G915">
        <v>-6.79</v>
      </c>
      <c r="L915" t="s">
        <v>7</v>
      </c>
      <c r="M915" t="s">
        <v>7</v>
      </c>
      <c r="N915" t="s">
        <v>7</v>
      </c>
    </row>
    <row r="916" spans="1:14" x14ac:dyDescent="0.25">
      <c r="A916" s="5">
        <v>43677</v>
      </c>
      <c r="B916">
        <v>5.77E-3</v>
      </c>
      <c r="C916">
        <v>6.3E-3</v>
      </c>
      <c r="D916">
        <v>5.7400000000000003E-3</v>
      </c>
      <c r="E916">
        <v>5.8199999999999997E-3</v>
      </c>
      <c r="F916">
        <v>38055799.5</v>
      </c>
      <c r="G916">
        <v>0.87</v>
      </c>
      <c r="L916" t="s">
        <v>7</v>
      </c>
      <c r="M916" t="s">
        <v>8</v>
      </c>
      <c r="N916" t="s">
        <v>7</v>
      </c>
    </row>
    <row r="917" spans="1:14" x14ac:dyDescent="0.25">
      <c r="A917" s="5">
        <v>43676</v>
      </c>
      <c r="B917">
        <v>5.4099999999999999E-3</v>
      </c>
      <c r="C917">
        <v>6.3899999999999998E-3</v>
      </c>
      <c r="D917">
        <v>5.3400000000000001E-3</v>
      </c>
      <c r="E917">
        <v>5.77E-3</v>
      </c>
      <c r="F917">
        <v>69661067.799999997</v>
      </c>
      <c r="G917">
        <v>6.65</v>
      </c>
      <c r="L917" t="s">
        <v>8</v>
      </c>
      <c r="M917" t="s">
        <v>8</v>
      </c>
      <c r="N917" t="s">
        <v>7</v>
      </c>
    </row>
    <row r="918" spans="1:14" x14ac:dyDescent="0.25">
      <c r="A918" s="5">
        <v>43675</v>
      </c>
      <c r="B918">
        <v>5.7299999999999999E-3</v>
      </c>
      <c r="C918">
        <v>6.0299999999999998E-3</v>
      </c>
      <c r="D918">
        <v>5.3400000000000001E-3</v>
      </c>
      <c r="E918">
        <v>5.4200000000000003E-3</v>
      </c>
      <c r="F918">
        <v>42413610.600000001</v>
      </c>
      <c r="G918">
        <v>-5.41</v>
      </c>
      <c r="L918" t="s">
        <v>7</v>
      </c>
      <c r="M918" t="s">
        <v>7</v>
      </c>
      <c r="N918" t="s">
        <v>7</v>
      </c>
    </row>
    <row r="919" spans="1:14" x14ac:dyDescent="0.25">
      <c r="A919" s="5">
        <v>43674</v>
      </c>
      <c r="B919">
        <v>6.5199999999999998E-3</v>
      </c>
      <c r="C919">
        <v>6.5300000000000002E-3</v>
      </c>
      <c r="D919">
        <v>5.4999999999999997E-3</v>
      </c>
      <c r="E919">
        <v>5.7200000000000003E-3</v>
      </c>
      <c r="F919">
        <v>39123142.600000001</v>
      </c>
      <c r="G919">
        <v>-12.27</v>
      </c>
      <c r="L919" t="s">
        <v>7</v>
      </c>
      <c r="M919" t="s">
        <v>7</v>
      </c>
      <c r="N919" t="s">
        <v>7</v>
      </c>
    </row>
    <row r="920" spans="1:14" x14ac:dyDescent="0.25">
      <c r="A920" s="5">
        <v>43673</v>
      </c>
      <c r="B920">
        <v>6.8700000000000002E-3</v>
      </c>
      <c r="C920">
        <v>7.1399999999999996E-3</v>
      </c>
      <c r="D920">
        <v>6.3E-3</v>
      </c>
      <c r="E920">
        <v>6.5199999999999998E-3</v>
      </c>
      <c r="F920">
        <v>23463041.399999999</v>
      </c>
      <c r="G920">
        <v>-5.09</v>
      </c>
      <c r="L920" t="s">
        <v>8</v>
      </c>
      <c r="M920" t="s">
        <v>7</v>
      </c>
      <c r="N920" t="s">
        <v>7</v>
      </c>
    </row>
    <row r="921" spans="1:14" x14ac:dyDescent="0.25">
      <c r="A921" s="5">
        <v>43672</v>
      </c>
      <c r="B921">
        <v>6.8599999999999998E-3</v>
      </c>
      <c r="C921">
        <v>7.1500000000000001E-3</v>
      </c>
      <c r="D921">
        <v>6.3800000000000003E-3</v>
      </c>
      <c r="E921">
        <v>6.8999999999999999E-3</v>
      </c>
      <c r="F921">
        <v>31919114.300000001</v>
      </c>
      <c r="G921">
        <v>0.57999999999999996</v>
      </c>
      <c r="L921" t="s">
        <v>7</v>
      </c>
      <c r="M921" t="s">
        <v>7</v>
      </c>
      <c r="N921" t="s">
        <v>7</v>
      </c>
    </row>
    <row r="922" spans="1:14" x14ac:dyDescent="0.25">
      <c r="A922" s="5">
        <v>43671</v>
      </c>
      <c r="B922">
        <v>6.6400000000000001E-3</v>
      </c>
      <c r="C922">
        <v>7.28E-3</v>
      </c>
      <c r="D922">
        <v>6.4799999999999996E-3</v>
      </c>
      <c r="E922">
        <v>6.8100000000000001E-3</v>
      </c>
      <c r="F922">
        <v>43953348.399999999</v>
      </c>
      <c r="G922">
        <v>2.56</v>
      </c>
      <c r="L922" t="s">
        <v>7</v>
      </c>
      <c r="M922" t="s">
        <v>7</v>
      </c>
      <c r="N922" t="s">
        <v>7</v>
      </c>
    </row>
    <row r="923" spans="1:14" x14ac:dyDescent="0.25">
      <c r="A923" s="5">
        <v>43670</v>
      </c>
      <c r="B923">
        <v>8.0300000000000007E-3</v>
      </c>
      <c r="C923">
        <v>8.0400000000000003E-3</v>
      </c>
      <c r="D923">
        <v>6.6299999999999996E-3</v>
      </c>
      <c r="E923">
        <v>6.6400000000000001E-3</v>
      </c>
      <c r="F923">
        <v>139395238.09999999</v>
      </c>
      <c r="G923">
        <v>-17.309999999999999</v>
      </c>
      <c r="L923" t="s">
        <v>7</v>
      </c>
      <c r="M923" t="s">
        <v>7</v>
      </c>
      <c r="N923" t="s">
        <v>7</v>
      </c>
    </row>
    <row r="924" spans="1:14" x14ac:dyDescent="0.25">
      <c r="A924" s="5">
        <v>43669</v>
      </c>
      <c r="B924">
        <v>1.1900000000000001E-2</v>
      </c>
      <c r="C924">
        <v>1.1900000000000001E-2</v>
      </c>
      <c r="D924">
        <v>7.92E-3</v>
      </c>
      <c r="E924">
        <v>8.0499999999999999E-3</v>
      </c>
      <c r="F924">
        <v>234564563.19999999</v>
      </c>
      <c r="G924">
        <v>-32.35</v>
      </c>
    </row>
    <row r="925" spans="1:14" x14ac:dyDescent="0.25">
      <c r="A925" s="5"/>
      <c r="C925" s="4"/>
      <c r="D925" s="4"/>
    </row>
    <row r="926" spans="1:14" x14ac:dyDescent="0.25">
      <c r="A926" s="5"/>
      <c r="C926" s="4"/>
      <c r="D926" s="4"/>
    </row>
    <row r="927" spans="1:14" x14ac:dyDescent="0.25">
      <c r="A927" s="5"/>
      <c r="C927" s="4"/>
      <c r="D927" s="4"/>
    </row>
    <row r="928" spans="1:1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7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QC719" sqref="QC71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$A$718</v>
      </c>
      <c r="D111" s="1" t="str">
        <f>ADDRESS(C121-1,D121,1,1)</f>
        <v>$QC$718</v>
      </c>
      <c r="E111"/>
    </row>
    <row r="112" spans="1:5" x14ac:dyDescent="0.25">
      <c r="A112" s="7">
        <v>12164.144957890772</v>
      </c>
      <c r="C112" s="1" t="str">
        <f>ADDRESS(C121,1,1,1)</f>
        <v>$A$719</v>
      </c>
      <c r="D112" s="1" t="str">
        <f>ADDRESS(C121,D121-1,1,1)</f>
        <v>$QB$719</v>
      </c>
      <c r="E112"/>
    </row>
    <row r="113" spans="1:5" x14ac:dyDescent="0.25">
      <c r="A113" s="7">
        <v>11925.63231165762</v>
      </c>
      <c r="C113" s="1" t="str">
        <f>ADDRESS(C121+1,1,1,1)</f>
        <v>$A$720</v>
      </c>
      <c r="D113" s="1" t="str">
        <f>ADDRESS(C121-1,D121+1,1,1)</f>
        <v>$QD$718</v>
      </c>
    </row>
    <row r="114" spans="1:5" x14ac:dyDescent="0.25">
      <c r="A114" s="7">
        <v>11691.796383978059</v>
      </c>
      <c r="C114" s="1" t="str">
        <f>ADDRESS(C121,D121,1,1)</f>
        <v>$QC$719</v>
      </c>
      <c r="D114" s="1" t="str">
        <f>ADDRESS(C121+1,D121+1,1,1)</f>
        <v>$QD$720</v>
      </c>
    </row>
    <row r="115" spans="1:5" x14ac:dyDescent="0.25">
      <c r="A115" s="7">
        <v>11462.545474488292</v>
      </c>
      <c r="C115" s="1" t="str">
        <f>ADDRESS(C121+1,D121,1,1)</f>
        <v>$QC$720</v>
      </c>
    </row>
    <row r="116" spans="1:5" x14ac:dyDescent="0.25">
      <c r="A116" s="7">
        <v>11237.789680870874</v>
      </c>
      <c r="C116" s="1">
        <f>C117-1</f>
        <v>718</v>
      </c>
    </row>
    <row r="117" spans="1:5" x14ac:dyDescent="0.25">
      <c r="A117" s="7">
        <v>11017.440863598895</v>
      </c>
      <c r="C117" s="1">
        <f>C121</f>
        <v>719</v>
      </c>
      <c r="D117" s="1">
        <f>D121</f>
        <v>445</v>
      </c>
    </row>
    <row r="118" spans="1:5" x14ac:dyDescent="0.25">
      <c r="A118" s="7">
        <v>10801.412611371465</v>
      </c>
      <c r="C118" s="1">
        <f>C117+1</f>
        <v>720</v>
      </c>
      <c r="D118" s="1">
        <f>D117+1</f>
        <v>446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719</v>
      </c>
      <c r="D121" s="19">
        <v>445</v>
      </c>
      <c r="E121" s="19"/>
    </row>
    <row r="122" spans="1:5" x14ac:dyDescent="0.25">
      <c r="A122" s="7">
        <v>9978.8356356406348</v>
      </c>
      <c r="C122" s="1" t="str">
        <f>INDEX(1:1048576,C117,D117)</f>
        <v>X</v>
      </c>
    </row>
    <row r="123" spans="1:5" x14ac:dyDescent="0.25">
      <c r="A123" s="7">
        <v>9783.1721918045441</v>
      </c>
      <c r="C123" s="1" t="str">
        <f>"R"&amp;C121</f>
        <v>R719</v>
      </c>
      <c r="D123" s="1" t="str">
        <f>"C"&amp;D121</f>
        <v>C445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7.3244889378503E-2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X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/>
      </c>
      <c r="D136" s="1" t="str">
        <f>IF(C133=$U$1,IF(C130&gt;(C127*1.02),$U$1,IF(D130&lt;(C127*0.942322334547044),$S$1,"")),"")</f>
        <v>O</v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424" x14ac:dyDescent="0.25">
      <c r="A657" s="7">
        <v>0.25002761412179503</v>
      </c>
      <c r="B657"/>
      <c r="C657"/>
      <c r="D657"/>
      <c r="E657"/>
      <c r="F657" s="27" t="s">
        <v>7</v>
      </c>
    </row>
    <row r="658" spans="1:424" x14ac:dyDescent="0.25">
      <c r="A658" s="7">
        <v>0.24512511188411276</v>
      </c>
      <c r="B658"/>
      <c r="C658"/>
      <c r="D658"/>
      <c r="E658"/>
      <c r="F658" s="27" t="s">
        <v>7</v>
      </c>
    </row>
    <row r="659" spans="1:424" x14ac:dyDescent="0.25">
      <c r="A659" s="7">
        <v>0.24031873714128701</v>
      </c>
      <c r="B659"/>
      <c r="C659"/>
      <c r="D659"/>
      <c r="E659"/>
      <c r="F659" s="27" t="s">
        <v>7</v>
      </c>
    </row>
    <row r="660" spans="1:424" x14ac:dyDescent="0.25">
      <c r="A660" s="7">
        <v>0.23560660504047748</v>
      </c>
      <c r="B660"/>
      <c r="C660"/>
      <c r="D660"/>
      <c r="E660"/>
      <c r="F660" s="27" t="s">
        <v>7</v>
      </c>
    </row>
    <row r="661" spans="1:424" x14ac:dyDescent="0.25">
      <c r="A661" s="7">
        <v>0.23098686768674265</v>
      </c>
      <c r="B661"/>
      <c r="C661"/>
      <c r="D661"/>
      <c r="E661"/>
      <c r="F661" s="27" t="s">
        <v>7</v>
      </c>
    </row>
    <row r="662" spans="1:424" x14ac:dyDescent="0.25">
      <c r="A662" s="7">
        <v>0.22645771341837515</v>
      </c>
      <c r="B662"/>
      <c r="C662"/>
      <c r="D662"/>
      <c r="E662"/>
      <c r="F662" s="27" t="s">
        <v>7</v>
      </c>
    </row>
    <row r="663" spans="1:424" x14ac:dyDescent="0.25">
      <c r="A663" s="7">
        <v>0.22201736609644623</v>
      </c>
      <c r="B663"/>
      <c r="C663"/>
      <c r="D663"/>
      <c r="E663"/>
      <c r="F663" s="27" t="s">
        <v>7</v>
      </c>
    </row>
    <row r="664" spans="1:424" x14ac:dyDescent="0.25">
      <c r="A664" s="7">
        <v>0.21766408440828061</v>
      </c>
      <c r="B664"/>
      <c r="C664"/>
      <c r="D664"/>
      <c r="E664"/>
      <c r="F664" s="27" t="s">
        <v>7</v>
      </c>
    </row>
    <row r="665" spans="1:424" x14ac:dyDescent="0.25">
      <c r="A665" s="7">
        <v>0.21339616118458882</v>
      </c>
      <c r="B665"/>
      <c r="C665"/>
      <c r="D665"/>
      <c r="E665"/>
      <c r="F665" s="27" t="s">
        <v>7</v>
      </c>
      <c r="KI665" s="27" t="s">
        <v>8</v>
      </c>
      <c r="PG665" s="27" t="s">
        <v>8</v>
      </c>
    </row>
    <row r="666" spans="1:424" x14ac:dyDescent="0.25">
      <c r="A666" s="7">
        <v>0.20921192272998904</v>
      </c>
      <c r="B666"/>
      <c r="C666"/>
      <c r="D666"/>
      <c r="E666"/>
      <c r="F666" s="27" t="s">
        <v>7</v>
      </c>
      <c r="KI666" s="27" t="s">
        <v>8</v>
      </c>
      <c r="KJ666" s="27" t="s">
        <v>7</v>
      </c>
      <c r="PG666" s="27" t="s">
        <v>8</v>
      </c>
      <c r="PH666" s="27" t="s">
        <v>7</v>
      </c>
    </row>
    <row r="667" spans="1:424" x14ac:dyDescent="0.25">
      <c r="A667" s="7">
        <v>0.20510972816665593</v>
      </c>
      <c r="B667"/>
      <c r="C667"/>
      <c r="D667"/>
      <c r="E667"/>
      <c r="F667" s="27" t="s">
        <v>7</v>
      </c>
      <c r="KI667" s="27" t="s">
        <v>8</v>
      </c>
      <c r="KJ667" s="27" t="s">
        <v>7</v>
      </c>
      <c r="KU667" s="27" t="s">
        <v>8</v>
      </c>
      <c r="PG667" s="27" t="s">
        <v>8</v>
      </c>
      <c r="PH667" s="27" t="s">
        <v>7</v>
      </c>
    </row>
    <row r="668" spans="1:424" x14ac:dyDescent="0.25">
      <c r="A668" s="7">
        <v>0.20108796879083912</v>
      </c>
      <c r="B668"/>
      <c r="C668"/>
      <c r="D668"/>
      <c r="E668"/>
      <c r="F668" s="27" t="s">
        <v>7</v>
      </c>
      <c r="KI668" s="27" t="s">
        <v>8</v>
      </c>
      <c r="KJ668" s="27" t="s">
        <v>7</v>
      </c>
      <c r="KU668" s="27" t="s">
        <v>8</v>
      </c>
      <c r="KV668" s="27" t="s">
        <v>7</v>
      </c>
      <c r="PG668" s="27" t="s">
        <v>8</v>
      </c>
      <c r="PH668" s="27" t="s">
        <v>7</v>
      </c>
    </row>
    <row r="669" spans="1:424" x14ac:dyDescent="0.25">
      <c r="A669" s="7">
        <v>0.19714506744199917</v>
      </c>
      <c r="B669"/>
      <c r="C669"/>
      <c r="D669"/>
      <c r="E669"/>
      <c r="F669" s="27" t="s">
        <v>7</v>
      </c>
      <c r="KI669" s="27" t="s">
        <v>8</v>
      </c>
      <c r="KJ669" s="27" t="s">
        <v>7</v>
      </c>
      <c r="KU669" s="27" t="s">
        <v>8</v>
      </c>
      <c r="KV669" s="27" t="s">
        <v>7</v>
      </c>
      <c r="PG669" s="27" t="s">
        <v>8</v>
      </c>
      <c r="PH669" s="27" t="s">
        <v>7</v>
      </c>
    </row>
    <row r="670" spans="1:424" x14ac:dyDescent="0.25">
      <c r="A670" s="7">
        <v>0.19327947788431293</v>
      </c>
      <c r="B670"/>
      <c r="C670"/>
      <c r="D670"/>
      <c r="E670"/>
      <c r="F670" s="27" t="s">
        <v>7</v>
      </c>
      <c r="KI670" s="27" t="s">
        <v>8</v>
      </c>
      <c r="KJ670" s="27" t="s">
        <v>7</v>
      </c>
      <c r="KU670" s="27" t="s">
        <v>8</v>
      </c>
      <c r="KV670" s="27" t="s">
        <v>7</v>
      </c>
      <c r="PG670" s="27" t="s">
        <v>8</v>
      </c>
      <c r="PH670" s="27" t="s">
        <v>7</v>
      </c>
    </row>
    <row r="671" spans="1:424" x14ac:dyDescent="0.25">
      <c r="A671" s="7">
        <v>0.18948968420030682</v>
      </c>
      <c r="B671"/>
      <c r="C671"/>
      <c r="D671"/>
      <c r="E671"/>
      <c r="F671" s="27" t="s">
        <v>7</v>
      </c>
      <c r="KI671" s="27" t="s">
        <v>8</v>
      </c>
      <c r="KJ671" s="27" t="s">
        <v>7</v>
      </c>
      <c r="KU671" s="27" t="s">
        <v>8</v>
      </c>
      <c r="KV671" s="27" t="s">
        <v>7</v>
      </c>
      <c r="LE671" s="27" t="s">
        <v>8</v>
      </c>
      <c r="PG671" s="27" t="s">
        <v>8</v>
      </c>
      <c r="PH671" s="27" t="s">
        <v>7</v>
      </c>
    </row>
    <row r="672" spans="1:424" x14ac:dyDescent="0.25">
      <c r="A672" s="7">
        <v>0.18577420019637925</v>
      </c>
      <c r="B672"/>
      <c r="C672"/>
      <c r="D672"/>
      <c r="E672"/>
      <c r="F672" s="27" t="s">
        <v>7</v>
      </c>
      <c r="KI672" s="27" t="s">
        <v>8</v>
      </c>
      <c r="KJ672" s="27" t="s">
        <v>7</v>
      </c>
      <c r="KM672" s="27" t="s">
        <v>8</v>
      </c>
      <c r="KU672" s="27" t="s">
        <v>8</v>
      </c>
      <c r="KV672" s="27" t="s">
        <v>7</v>
      </c>
      <c r="LE672" s="27" t="s">
        <v>8</v>
      </c>
      <c r="LF672" s="27" t="s">
        <v>7</v>
      </c>
      <c r="PG672" s="27" t="s">
        <v>8</v>
      </c>
      <c r="PH672" s="27" t="s">
        <v>7</v>
      </c>
    </row>
    <row r="673" spans="1:426" x14ac:dyDescent="0.25">
      <c r="A673" s="7">
        <v>0.18213156881997963</v>
      </c>
      <c r="B673"/>
      <c r="C673"/>
      <c r="D673"/>
      <c r="E673"/>
      <c r="F673" s="27" t="s">
        <v>7</v>
      </c>
      <c r="KI673" s="27" t="s">
        <v>8</v>
      </c>
      <c r="KJ673" s="27" t="s">
        <v>7</v>
      </c>
      <c r="KM673" s="27" t="s">
        <v>8</v>
      </c>
      <c r="KN673" s="27" t="s">
        <v>7</v>
      </c>
      <c r="KU673" s="27" t="s">
        <v>8</v>
      </c>
      <c r="KV673" s="27" t="s">
        <v>7</v>
      </c>
      <c r="LC673" s="27" t="s">
        <v>8</v>
      </c>
      <c r="LE673" s="27" t="s">
        <v>8</v>
      </c>
      <c r="LF673" s="27" t="s">
        <v>7</v>
      </c>
      <c r="PG673" s="27" t="s">
        <v>8</v>
      </c>
      <c r="PH673" s="27" t="s">
        <v>7</v>
      </c>
    </row>
    <row r="674" spans="1:426" x14ac:dyDescent="0.25">
      <c r="A674" s="7">
        <v>0.17856036158821534</v>
      </c>
      <c r="B674"/>
      <c r="C674"/>
      <c r="D674"/>
      <c r="E674"/>
      <c r="F674" s="27" t="s">
        <v>7</v>
      </c>
      <c r="KI674" s="27" t="s">
        <v>8</v>
      </c>
      <c r="KJ674" s="27" t="s">
        <v>7</v>
      </c>
      <c r="KM674" s="27" t="s">
        <v>8</v>
      </c>
      <c r="KN674" s="27" t="s">
        <v>7</v>
      </c>
      <c r="KU674" s="27" t="s">
        <v>8</v>
      </c>
      <c r="KV674" s="27" t="s">
        <v>7</v>
      </c>
      <c r="LC674" s="27" t="s">
        <v>8</v>
      </c>
      <c r="LD674" s="27" t="s">
        <v>7</v>
      </c>
      <c r="LE674" s="27" t="s">
        <v>8</v>
      </c>
      <c r="LF674" s="27" t="s">
        <v>7</v>
      </c>
      <c r="LG674" s="27" t="s">
        <v>8</v>
      </c>
      <c r="OQ674" s="27" t="s">
        <v>8</v>
      </c>
      <c r="PG674" s="27" t="s">
        <v>8</v>
      </c>
      <c r="PH674" s="27" t="s">
        <v>7</v>
      </c>
    </row>
    <row r="675" spans="1:426" x14ac:dyDescent="0.25">
      <c r="A675" s="7">
        <v>0.17505917802766208</v>
      </c>
      <c r="B675"/>
      <c r="C675"/>
      <c r="D675"/>
      <c r="E675"/>
      <c r="F675" s="27" t="s">
        <v>7</v>
      </c>
      <c r="KI675" s="27" t="s">
        <v>8</v>
      </c>
      <c r="KJ675" s="27" t="s">
        <v>7</v>
      </c>
      <c r="KM675" s="27" t="s">
        <v>8</v>
      </c>
      <c r="KN675" s="27" t="s">
        <v>7</v>
      </c>
      <c r="KU675" s="27" t="s">
        <v>8</v>
      </c>
      <c r="KV675" s="27" t="s">
        <v>7</v>
      </c>
      <c r="LC675" s="27" t="s">
        <v>8</v>
      </c>
      <c r="LD675" s="27" t="s">
        <v>7</v>
      </c>
      <c r="LE675" s="27" t="s">
        <v>8</v>
      </c>
      <c r="LF675" s="27" t="s">
        <v>7</v>
      </c>
      <c r="LG675" s="27" t="s">
        <v>8</v>
      </c>
      <c r="LH675" s="27" t="s">
        <v>7</v>
      </c>
      <c r="OQ675" s="27" t="s">
        <v>8</v>
      </c>
      <c r="OR675" s="27" t="s">
        <v>7</v>
      </c>
      <c r="PG675" s="27" t="s">
        <v>8</v>
      </c>
      <c r="PH675" s="27" t="s">
        <v>7</v>
      </c>
    </row>
    <row r="676" spans="1:426" x14ac:dyDescent="0.25">
      <c r="A676" s="7">
        <v>0.17162664512515888</v>
      </c>
      <c r="B676"/>
      <c r="C676"/>
      <c r="D676"/>
      <c r="E676"/>
      <c r="F676" s="27" t="s">
        <v>7</v>
      </c>
      <c r="KI676" s="27" t="s">
        <v>8</v>
      </c>
      <c r="KJ676" s="27" t="s">
        <v>7</v>
      </c>
      <c r="KK676" s="27" t="s">
        <v>8</v>
      </c>
      <c r="KM676" s="27" t="s">
        <v>8</v>
      </c>
      <c r="KN676" s="27" t="s">
        <v>7</v>
      </c>
      <c r="KU676" s="27" t="s">
        <v>8</v>
      </c>
      <c r="KV676" s="27" t="s">
        <v>7</v>
      </c>
      <c r="LC676" s="27" t="s">
        <v>8</v>
      </c>
      <c r="LD676" s="27" t="s">
        <v>7</v>
      </c>
      <c r="LE676" s="27" t="s">
        <v>8</v>
      </c>
      <c r="LF676" s="27" t="s">
        <v>7</v>
      </c>
      <c r="LG676" s="27" t="s">
        <v>8</v>
      </c>
      <c r="LH676" s="27" t="s">
        <v>7</v>
      </c>
      <c r="LI676" s="27" t="s">
        <v>8</v>
      </c>
      <c r="OQ676" s="27" t="s">
        <v>8</v>
      </c>
      <c r="OR676" s="27" t="s">
        <v>7</v>
      </c>
      <c r="PG676" s="27" t="s">
        <v>8</v>
      </c>
      <c r="PH676" s="27" t="s">
        <v>7</v>
      </c>
    </row>
    <row r="677" spans="1:426" x14ac:dyDescent="0.25">
      <c r="A677" s="7">
        <v>0.16826141678937145</v>
      </c>
      <c r="B677"/>
      <c r="C677"/>
      <c r="D677"/>
      <c r="E677"/>
      <c r="F677" s="27" t="s">
        <v>7</v>
      </c>
      <c r="KI677" s="27" t="s">
        <v>8</v>
      </c>
      <c r="KJ677" s="27" t="s">
        <v>7</v>
      </c>
      <c r="KK677" s="27" t="s">
        <v>8</v>
      </c>
      <c r="KL677" s="27" t="s">
        <v>7</v>
      </c>
      <c r="KM677" s="27" t="s">
        <v>8</v>
      </c>
      <c r="KN677" s="27" t="s">
        <v>7</v>
      </c>
      <c r="KQ677" s="27" t="s">
        <v>8</v>
      </c>
      <c r="KU677" s="27" t="s">
        <v>8</v>
      </c>
      <c r="KV677" s="27" t="s">
        <v>7</v>
      </c>
      <c r="KW677" s="27" t="s">
        <v>8</v>
      </c>
      <c r="LC677" s="27" t="s">
        <v>8</v>
      </c>
      <c r="LD677" s="27" t="s">
        <v>7</v>
      </c>
      <c r="LE677" s="27" t="s">
        <v>8</v>
      </c>
      <c r="LF677" s="27" t="s">
        <v>7</v>
      </c>
      <c r="LH677" s="27" t="s">
        <v>7</v>
      </c>
      <c r="LI677" s="27" t="s">
        <v>8</v>
      </c>
      <c r="LJ677" s="27" t="s">
        <v>7</v>
      </c>
      <c r="OQ677" s="27" t="s">
        <v>8</v>
      </c>
      <c r="OR677" s="27" t="s">
        <v>7</v>
      </c>
      <c r="PG677" s="27" t="s">
        <v>8</v>
      </c>
      <c r="PH677" s="27" t="s">
        <v>7</v>
      </c>
      <c r="PI677" s="27" t="s">
        <v>8</v>
      </c>
    </row>
    <row r="678" spans="1:426" x14ac:dyDescent="0.25">
      <c r="A678" s="7">
        <v>0.16496217332291319</v>
      </c>
      <c r="B678"/>
      <c r="C678"/>
      <c r="D678"/>
      <c r="E678"/>
      <c r="F678" s="27" t="s">
        <v>7</v>
      </c>
      <c r="KI678" s="27" t="s">
        <v>8</v>
      </c>
      <c r="KJ678" s="27" t="s">
        <v>7</v>
      </c>
      <c r="KK678" s="27" t="s">
        <v>8</v>
      </c>
      <c r="KL678" s="27" t="s">
        <v>7</v>
      </c>
      <c r="KM678" s="27" t="s">
        <v>8</v>
      </c>
      <c r="KN678" s="27" t="s">
        <v>7</v>
      </c>
      <c r="KO678" s="27" t="s">
        <v>8</v>
      </c>
      <c r="KQ678" s="27" t="s">
        <v>8</v>
      </c>
      <c r="KR678" s="27" t="s">
        <v>7</v>
      </c>
      <c r="KS678" s="27" t="s">
        <v>8</v>
      </c>
      <c r="KU678" s="27" t="s">
        <v>8</v>
      </c>
      <c r="KV678" s="27" t="s">
        <v>7</v>
      </c>
      <c r="KW678" s="27" t="s">
        <v>8</v>
      </c>
      <c r="KX678" s="27" t="s">
        <v>7</v>
      </c>
      <c r="LC678" s="27" t="s">
        <v>8</v>
      </c>
      <c r="LD678" s="27" t="s">
        <v>7</v>
      </c>
      <c r="LE678" s="27" t="s">
        <v>8</v>
      </c>
      <c r="LH678" s="27" t="s">
        <v>7</v>
      </c>
      <c r="LI678" s="27" t="s">
        <v>8</v>
      </c>
      <c r="LJ678" s="27" t="s">
        <v>7</v>
      </c>
      <c r="OQ678" s="27" t="s">
        <v>8</v>
      </c>
      <c r="OR678" s="27" t="s">
        <v>7</v>
      </c>
      <c r="PG678" s="27" t="s">
        <v>8</v>
      </c>
      <c r="PH678" s="27" t="s">
        <v>7</v>
      </c>
      <c r="PI678" s="27" t="s">
        <v>8</v>
      </c>
      <c r="PJ678" s="27" t="s">
        <v>7</v>
      </c>
    </row>
    <row r="679" spans="1:426" x14ac:dyDescent="0.25">
      <c r="A679" s="7">
        <v>0.16172762090481685</v>
      </c>
      <c r="B679"/>
      <c r="C679"/>
      <c r="D679"/>
      <c r="E679"/>
      <c r="F679" s="27" t="s">
        <v>7</v>
      </c>
      <c r="KI679" s="27" t="s">
        <v>8</v>
      </c>
      <c r="KJ679" s="27" t="s">
        <v>7</v>
      </c>
      <c r="KK679" s="27" t="s">
        <v>8</v>
      </c>
      <c r="KL679" s="27" t="s">
        <v>7</v>
      </c>
      <c r="KM679" s="27" t="s">
        <v>8</v>
      </c>
      <c r="KN679" s="27" t="s">
        <v>7</v>
      </c>
      <c r="KO679" s="27" t="s">
        <v>8</v>
      </c>
      <c r="KP679" s="27" t="s">
        <v>7</v>
      </c>
      <c r="KQ679" s="27" t="s">
        <v>8</v>
      </c>
      <c r="KR679" s="27" t="s">
        <v>7</v>
      </c>
      <c r="KS679" s="27" t="s">
        <v>8</v>
      </c>
      <c r="KT679" s="27" t="s">
        <v>7</v>
      </c>
      <c r="KU679" s="27" t="s">
        <v>8</v>
      </c>
      <c r="KV679" s="27" t="s">
        <v>7</v>
      </c>
      <c r="KW679" s="27" t="s">
        <v>8</v>
      </c>
      <c r="KX679" s="27" t="s">
        <v>7</v>
      </c>
      <c r="LC679" s="27" t="s">
        <v>8</v>
      </c>
      <c r="LD679" s="27" t="s">
        <v>7</v>
      </c>
      <c r="LE679" s="27" t="s">
        <v>8</v>
      </c>
      <c r="LH679" s="27" t="s">
        <v>7</v>
      </c>
      <c r="LI679" s="27" t="s">
        <v>8</v>
      </c>
      <c r="LJ679" s="27" t="s">
        <v>7</v>
      </c>
      <c r="LK679" s="27" t="s">
        <v>8</v>
      </c>
      <c r="LQ679" s="27" t="s">
        <v>8</v>
      </c>
      <c r="OQ679" s="27" t="s">
        <v>8</v>
      </c>
      <c r="OR679" s="27" t="s">
        <v>7</v>
      </c>
      <c r="OS679" s="27" t="s">
        <v>8</v>
      </c>
      <c r="PG679" s="27" t="s">
        <v>8</v>
      </c>
      <c r="PH679" s="27" t="s">
        <v>7</v>
      </c>
      <c r="PI679" s="27" t="s">
        <v>8</v>
      </c>
      <c r="PJ679" s="27" t="s">
        <v>7</v>
      </c>
    </row>
    <row r="680" spans="1:426" x14ac:dyDescent="0.25">
      <c r="A680" s="7">
        <v>0.15855649108315376</v>
      </c>
      <c r="B680"/>
      <c r="C680"/>
      <c r="D680"/>
      <c r="E680"/>
      <c r="F680" s="27" t="s">
        <v>7</v>
      </c>
      <c r="KI680" s="27" t="s">
        <v>8</v>
      </c>
      <c r="KJ680" s="27" t="s">
        <v>7</v>
      </c>
      <c r="KL680" s="27" t="s">
        <v>7</v>
      </c>
      <c r="KM680" s="27" t="s">
        <v>8</v>
      </c>
      <c r="KN680" s="27" t="s">
        <v>7</v>
      </c>
      <c r="KO680" s="27" t="s">
        <v>8</v>
      </c>
      <c r="KP680" s="27" t="s">
        <v>7</v>
      </c>
      <c r="KQ680" s="27" t="s">
        <v>8</v>
      </c>
      <c r="KR680" s="27" t="s">
        <v>7</v>
      </c>
      <c r="KS680" s="27" t="s">
        <v>8</v>
      </c>
      <c r="KT680" s="27" t="s">
        <v>7</v>
      </c>
      <c r="KU680" s="27" t="s">
        <v>8</v>
      </c>
      <c r="KV680" s="27" t="s">
        <v>7</v>
      </c>
      <c r="KW680" s="27" t="s">
        <v>8</v>
      </c>
      <c r="KX680" s="27" t="s">
        <v>7</v>
      </c>
      <c r="KY680" s="27" t="s">
        <v>8</v>
      </c>
      <c r="LC680" s="27" t="s">
        <v>8</v>
      </c>
      <c r="LD680" s="27" t="s">
        <v>7</v>
      </c>
      <c r="LH680" s="27" t="s">
        <v>7</v>
      </c>
      <c r="LI680" s="27" t="s">
        <v>8</v>
      </c>
      <c r="LJ680" s="27" t="s">
        <v>7</v>
      </c>
      <c r="LK680" s="27" t="s">
        <v>8</v>
      </c>
      <c r="LL680" s="27" t="s">
        <v>7</v>
      </c>
      <c r="LQ680" s="27" t="s">
        <v>8</v>
      </c>
      <c r="LR680" s="27" t="s">
        <v>7</v>
      </c>
      <c r="OQ680" s="27" t="s">
        <v>8</v>
      </c>
      <c r="OR680" s="27" t="s">
        <v>7</v>
      </c>
      <c r="OS680" s="27" t="s">
        <v>8</v>
      </c>
      <c r="OT680" s="27" t="s">
        <v>7</v>
      </c>
      <c r="PA680" s="27" t="s">
        <v>8</v>
      </c>
      <c r="PG680" s="27" t="s">
        <v>8</v>
      </c>
      <c r="PH680" s="27" t="s">
        <v>7</v>
      </c>
      <c r="PI680" s="27" t="s">
        <v>8</v>
      </c>
      <c r="PJ680" s="27" t="s">
        <v>7</v>
      </c>
    </row>
    <row r="681" spans="1:426" x14ac:dyDescent="0.25">
      <c r="A681" s="7">
        <v>0.15544754027760171</v>
      </c>
      <c r="B681"/>
      <c r="C681"/>
      <c r="D681"/>
      <c r="E681"/>
      <c r="F681" s="27" t="s">
        <v>7</v>
      </c>
      <c r="KI681" s="27" t="s">
        <v>8</v>
      </c>
      <c r="KL681" s="27" t="s">
        <v>7</v>
      </c>
      <c r="KM681" s="27" t="s">
        <v>8</v>
      </c>
      <c r="KN681" s="27" t="s">
        <v>7</v>
      </c>
      <c r="KO681" s="27" t="s">
        <v>8</v>
      </c>
      <c r="KP681" s="27" t="s">
        <v>7</v>
      </c>
      <c r="KQ681" s="27" t="s">
        <v>8</v>
      </c>
      <c r="KR681" s="27" t="s">
        <v>7</v>
      </c>
      <c r="KS681" s="27" t="s">
        <v>8</v>
      </c>
      <c r="KT681" s="27" t="s">
        <v>7</v>
      </c>
      <c r="KU681" s="27" t="s">
        <v>8</v>
      </c>
      <c r="KV681" s="27" t="s">
        <v>7</v>
      </c>
      <c r="KW681" s="27" t="s">
        <v>8</v>
      </c>
      <c r="KX681" s="27" t="s">
        <v>7</v>
      </c>
      <c r="KY681" s="27" t="s">
        <v>8</v>
      </c>
      <c r="KZ681" s="27" t="s">
        <v>7</v>
      </c>
      <c r="LC681" s="27" t="s">
        <v>8</v>
      </c>
      <c r="LH681" s="27" t="s">
        <v>7</v>
      </c>
      <c r="LI681" s="27" t="s">
        <v>8</v>
      </c>
      <c r="LJ681" s="27" t="s">
        <v>7</v>
      </c>
      <c r="LK681" s="27" t="s">
        <v>8</v>
      </c>
      <c r="LL681" s="27" t="s">
        <v>7</v>
      </c>
      <c r="LQ681" s="27" t="s">
        <v>8</v>
      </c>
      <c r="LR681" s="27" t="s">
        <v>7</v>
      </c>
      <c r="OQ681" s="27" t="s">
        <v>8</v>
      </c>
      <c r="OR681" s="27" t="s">
        <v>7</v>
      </c>
      <c r="OS681" s="27" t="s">
        <v>8</v>
      </c>
      <c r="OT681" s="27" t="s">
        <v>7</v>
      </c>
      <c r="PA681" s="27" t="s">
        <v>8</v>
      </c>
      <c r="PB681" s="27" t="s">
        <v>7</v>
      </c>
      <c r="PG681" s="27" t="s">
        <v>8</v>
      </c>
      <c r="PH681" s="27" t="s">
        <v>7</v>
      </c>
      <c r="PI681" s="27" t="s">
        <v>8</v>
      </c>
      <c r="PJ681" s="27" t="s">
        <v>7</v>
      </c>
    </row>
    <row r="682" spans="1:426" x14ac:dyDescent="0.25">
      <c r="A682" s="7">
        <v>0.15239954929176638</v>
      </c>
      <c r="B682"/>
      <c r="C682"/>
      <c r="D682"/>
      <c r="E682"/>
      <c r="F682" s="27" t="s">
        <v>7</v>
      </c>
      <c r="KI682" s="27" t="s">
        <v>8</v>
      </c>
      <c r="KL682" s="27" t="s">
        <v>7</v>
      </c>
      <c r="KM682" s="27" t="s">
        <v>8</v>
      </c>
      <c r="KN682" s="27" t="s">
        <v>7</v>
      </c>
      <c r="KO682" s="27" t="s">
        <v>8</v>
      </c>
      <c r="KP682" s="27" t="s">
        <v>7</v>
      </c>
      <c r="KQ682" s="27" t="s">
        <v>8</v>
      </c>
      <c r="KR682" s="27" t="s">
        <v>7</v>
      </c>
      <c r="KS682" s="27" t="s">
        <v>8</v>
      </c>
      <c r="KT682" s="27" t="s">
        <v>7</v>
      </c>
      <c r="KV682" s="27" t="s">
        <v>7</v>
      </c>
      <c r="KW682" s="27" t="s">
        <v>8</v>
      </c>
      <c r="KX682" s="27" t="s">
        <v>7</v>
      </c>
      <c r="KY682" s="27" t="s">
        <v>8</v>
      </c>
      <c r="KZ682" s="27" t="s">
        <v>7</v>
      </c>
      <c r="LC682" s="27" t="s">
        <v>8</v>
      </c>
      <c r="LH682" s="27" t="s">
        <v>7</v>
      </c>
      <c r="LJ682" s="27" t="s">
        <v>7</v>
      </c>
      <c r="LK682" s="27" t="s">
        <v>8</v>
      </c>
      <c r="LL682" s="27" t="s">
        <v>7</v>
      </c>
      <c r="LO682" s="27" t="s">
        <v>8</v>
      </c>
      <c r="LQ682" s="27" t="s">
        <v>8</v>
      </c>
      <c r="LR682" s="27" t="s">
        <v>7</v>
      </c>
      <c r="OQ682" s="27" t="s">
        <v>8</v>
      </c>
      <c r="OR682" s="27" t="s">
        <v>7</v>
      </c>
      <c r="OS682" s="27" t="s">
        <v>8</v>
      </c>
      <c r="OT682" s="27" t="s">
        <v>7</v>
      </c>
      <c r="PA682" s="27" t="s">
        <v>8</v>
      </c>
      <c r="PB682" s="27" t="s">
        <v>7</v>
      </c>
      <c r="PG682" s="27" t="s">
        <v>8</v>
      </c>
      <c r="PH682" s="27" t="s">
        <v>7</v>
      </c>
      <c r="PI682" s="27" t="s">
        <v>8</v>
      </c>
      <c r="PJ682" s="27" t="s">
        <v>7</v>
      </c>
    </row>
    <row r="683" spans="1:426" x14ac:dyDescent="0.25">
      <c r="A683" s="7">
        <v>0.14941132283506509</v>
      </c>
      <c r="B683"/>
      <c r="C683"/>
      <c r="D683"/>
      <c r="E683"/>
      <c r="F683" s="27" t="s">
        <v>7</v>
      </c>
      <c r="KI683" s="27" t="s">
        <v>8</v>
      </c>
      <c r="KL683" s="27" t="s">
        <v>7</v>
      </c>
      <c r="KN683" s="27" t="s">
        <v>7</v>
      </c>
      <c r="KP683" s="27" t="s">
        <v>7</v>
      </c>
      <c r="KQ683" s="27" t="s">
        <v>8</v>
      </c>
      <c r="KR683" s="27" t="s">
        <v>7</v>
      </c>
      <c r="KS683" s="27" t="s">
        <v>8</v>
      </c>
      <c r="KV683" s="27" t="s">
        <v>7</v>
      </c>
      <c r="KW683" s="27" t="s">
        <v>8</v>
      </c>
      <c r="KX683" s="27" t="s">
        <v>7</v>
      </c>
      <c r="KY683" s="27" t="s">
        <v>8</v>
      </c>
      <c r="KZ683" s="27" t="s">
        <v>7</v>
      </c>
      <c r="LC683" s="27" t="s">
        <v>8</v>
      </c>
      <c r="LJ683" s="27" t="s">
        <v>7</v>
      </c>
      <c r="LK683" s="27" t="s">
        <v>8</v>
      </c>
      <c r="LL683" s="27" t="s">
        <v>7</v>
      </c>
      <c r="LO683" s="27" t="s">
        <v>8</v>
      </c>
      <c r="LP683" s="27" t="s">
        <v>7</v>
      </c>
      <c r="LQ683" s="27" t="s">
        <v>8</v>
      </c>
      <c r="LR683" s="27" t="s">
        <v>7</v>
      </c>
      <c r="OQ683" s="27" t="s">
        <v>8</v>
      </c>
      <c r="OR683" s="27" t="s">
        <v>7</v>
      </c>
      <c r="OS683" s="27" t="s">
        <v>8</v>
      </c>
      <c r="OT683" s="27" t="s">
        <v>7</v>
      </c>
      <c r="PA683" s="27" t="s">
        <v>8</v>
      </c>
      <c r="PB683" s="27" t="s">
        <v>7</v>
      </c>
      <c r="PG683" s="27" t="s">
        <v>8</v>
      </c>
      <c r="PH683" s="27" t="s">
        <v>7</v>
      </c>
      <c r="PJ683" s="27" t="s">
        <v>7</v>
      </c>
    </row>
    <row r="684" spans="1:426" x14ac:dyDescent="0.25">
      <c r="A684" s="7">
        <v>0.14648168905398537</v>
      </c>
      <c r="B684"/>
      <c r="C684"/>
      <c r="D684"/>
      <c r="E684"/>
      <c r="F684" s="27" t="s">
        <v>7</v>
      </c>
      <c r="KI684" s="27" t="s">
        <v>8</v>
      </c>
      <c r="KP684" s="27" t="s">
        <v>7</v>
      </c>
      <c r="KQ684" s="27" t="s">
        <v>8</v>
      </c>
      <c r="KR684" s="27" t="s">
        <v>7</v>
      </c>
      <c r="KS684" s="27" t="s">
        <v>8</v>
      </c>
      <c r="KV684" s="27" t="s">
        <v>7</v>
      </c>
      <c r="KW684" s="27" t="s">
        <v>8</v>
      </c>
      <c r="KX684" s="27" t="s">
        <v>7</v>
      </c>
      <c r="KY684" s="27" t="s">
        <v>8</v>
      </c>
      <c r="KZ684" s="27" t="s">
        <v>7</v>
      </c>
      <c r="LC684" s="27" t="s">
        <v>8</v>
      </c>
      <c r="LJ684" s="27" t="s">
        <v>7</v>
      </c>
      <c r="LK684" s="27" t="s">
        <v>8</v>
      </c>
      <c r="LL684" s="27" t="s">
        <v>7</v>
      </c>
      <c r="LM684" s="27" t="s">
        <v>8</v>
      </c>
      <c r="LO684" s="27" t="s">
        <v>8</v>
      </c>
      <c r="LP684" s="27" t="s">
        <v>7</v>
      </c>
      <c r="LQ684" s="27" t="s">
        <v>8</v>
      </c>
      <c r="LR684" s="27" t="s">
        <v>7</v>
      </c>
      <c r="OQ684" s="27" t="s">
        <v>8</v>
      </c>
      <c r="OR684" s="27" t="s">
        <v>7</v>
      </c>
      <c r="OS684" s="27" t="s">
        <v>8</v>
      </c>
      <c r="OT684" s="27" t="s">
        <v>7</v>
      </c>
      <c r="PA684" s="27" t="s">
        <v>8</v>
      </c>
      <c r="PB684" s="27" t="s">
        <v>7</v>
      </c>
      <c r="PG684" s="27" t="s">
        <v>8</v>
      </c>
      <c r="PJ684" s="27" t="s">
        <v>7</v>
      </c>
    </row>
    <row r="685" spans="1:426" x14ac:dyDescent="0.25">
      <c r="A685" s="7">
        <v>0.14360949907253467</v>
      </c>
      <c r="B685"/>
      <c r="C685"/>
      <c r="D685"/>
      <c r="E685"/>
      <c r="F685" s="27" t="s">
        <v>7</v>
      </c>
      <c r="KI685" s="27" t="s">
        <v>8</v>
      </c>
      <c r="KP685" s="27" t="s">
        <v>7</v>
      </c>
      <c r="KQ685" s="27" t="s">
        <v>8</v>
      </c>
      <c r="KR685" s="27" t="s">
        <v>7</v>
      </c>
      <c r="KV685" s="27" t="s">
        <v>7</v>
      </c>
      <c r="KX685" s="27" t="s">
        <v>7</v>
      </c>
      <c r="KY685" s="27" t="s">
        <v>8</v>
      </c>
      <c r="KZ685" s="27" t="s">
        <v>7</v>
      </c>
      <c r="LC685" s="27" t="s">
        <v>8</v>
      </c>
      <c r="LJ685" s="27" t="s">
        <v>7</v>
      </c>
      <c r="LK685" s="27" t="s">
        <v>8</v>
      </c>
      <c r="LL685" s="27" t="s">
        <v>7</v>
      </c>
      <c r="LM685" s="27" t="s">
        <v>8</v>
      </c>
      <c r="LN685" s="27" t="s">
        <v>7</v>
      </c>
      <c r="LO685" s="27" t="s">
        <v>8</v>
      </c>
      <c r="LP685" s="27" t="s">
        <v>7</v>
      </c>
      <c r="LQ685" s="27" t="s">
        <v>8</v>
      </c>
      <c r="LR685" s="27" t="s">
        <v>7</v>
      </c>
      <c r="OQ685" s="27" t="s">
        <v>8</v>
      </c>
      <c r="OR685" s="27" t="s">
        <v>7</v>
      </c>
      <c r="OS685" s="27" t="s">
        <v>8</v>
      </c>
      <c r="OT685" s="27" t="s">
        <v>7</v>
      </c>
      <c r="PA685" s="27" t="s">
        <v>8</v>
      </c>
      <c r="PB685" s="27" t="s">
        <v>7</v>
      </c>
      <c r="PG685" s="27" t="s">
        <v>8</v>
      </c>
      <c r="PJ685" s="27" t="s">
        <v>7</v>
      </c>
    </row>
    <row r="686" spans="1:426" x14ac:dyDescent="0.25">
      <c r="A686" s="7">
        <v>0.14079362654170066</v>
      </c>
      <c r="B686"/>
      <c r="C686"/>
      <c r="D686"/>
      <c r="E686"/>
      <c r="F686" s="27" t="s">
        <v>7</v>
      </c>
      <c r="KI686" s="27" t="s">
        <v>8</v>
      </c>
      <c r="KP686" s="27" t="s">
        <v>7</v>
      </c>
      <c r="KQ686" s="27" t="s">
        <v>8</v>
      </c>
      <c r="KX686" s="27" t="s">
        <v>7</v>
      </c>
      <c r="KY686" s="27" t="s">
        <v>8</v>
      </c>
      <c r="KZ686" s="27" t="s">
        <v>7</v>
      </c>
      <c r="LC686" s="27" t="s">
        <v>8</v>
      </c>
      <c r="LJ686" s="27" t="s">
        <v>7</v>
      </c>
      <c r="LK686" s="27" t="s">
        <v>8</v>
      </c>
      <c r="LL686" s="27" t="s">
        <v>7</v>
      </c>
      <c r="LM686" s="27" t="s">
        <v>8</v>
      </c>
      <c r="LN686" s="27" t="s">
        <v>7</v>
      </c>
      <c r="LO686" s="27" t="s">
        <v>8</v>
      </c>
      <c r="LP686" s="27" t="s">
        <v>7</v>
      </c>
      <c r="LQ686" s="27" t="s">
        <v>8</v>
      </c>
      <c r="LR686" s="27" t="s">
        <v>7</v>
      </c>
      <c r="LS686" s="27" t="s">
        <v>8</v>
      </c>
      <c r="OQ686" s="27" t="s">
        <v>8</v>
      </c>
      <c r="OR686" s="27" t="s">
        <v>7</v>
      </c>
      <c r="OS686" s="27" t="s">
        <v>8</v>
      </c>
      <c r="OT686" s="27" t="s">
        <v>7</v>
      </c>
      <c r="PA686" s="27" t="s">
        <v>8</v>
      </c>
      <c r="PB686" s="27" t="s">
        <v>7</v>
      </c>
      <c r="PC686" s="27" t="s">
        <v>8</v>
      </c>
      <c r="PG686" s="27" t="s">
        <v>8</v>
      </c>
      <c r="PJ686" s="27" t="s">
        <v>7</v>
      </c>
    </row>
    <row r="687" spans="1:426" x14ac:dyDescent="0.25">
      <c r="A687" s="7">
        <v>0.13803296719774574</v>
      </c>
      <c r="B687"/>
      <c r="C687"/>
      <c r="D687"/>
      <c r="E687"/>
      <c r="F687" s="27" t="s">
        <v>7</v>
      </c>
      <c r="KI687" s="27" t="s">
        <v>8</v>
      </c>
      <c r="KP687" s="27" t="s">
        <v>7</v>
      </c>
      <c r="KQ687" s="27" t="s">
        <v>8</v>
      </c>
      <c r="KX687" s="27" t="s">
        <v>7</v>
      </c>
      <c r="KY687" s="27" t="s">
        <v>8</v>
      </c>
      <c r="KZ687" s="27" t="s">
        <v>7</v>
      </c>
      <c r="LA687" s="27" t="s">
        <v>8</v>
      </c>
      <c r="LC687" s="27" t="s">
        <v>8</v>
      </c>
      <c r="LJ687" s="27" t="s">
        <v>7</v>
      </c>
      <c r="LL687" s="27" t="s">
        <v>7</v>
      </c>
      <c r="LM687" s="27" t="s">
        <v>8</v>
      </c>
      <c r="LN687" s="27" t="s">
        <v>7</v>
      </c>
      <c r="LO687" s="27" t="s">
        <v>8</v>
      </c>
      <c r="LP687" s="27" t="s">
        <v>7</v>
      </c>
      <c r="LQ687" s="27" t="s">
        <v>8</v>
      </c>
      <c r="LR687" s="27" t="s">
        <v>7</v>
      </c>
      <c r="LS687" s="27" t="s">
        <v>8</v>
      </c>
      <c r="LT687" s="27" t="s">
        <v>7</v>
      </c>
      <c r="OQ687" s="27" t="s">
        <v>8</v>
      </c>
      <c r="OR687" s="27" t="s">
        <v>7</v>
      </c>
      <c r="OS687" s="27" t="s">
        <v>8</v>
      </c>
      <c r="OT687" s="27" t="s">
        <v>7</v>
      </c>
      <c r="OU687" s="27" t="s">
        <v>8</v>
      </c>
      <c r="PA687" s="27" t="s">
        <v>8</v>
      </c>
      <c r="PB687" s="27" t="s">
        <v>7</v>
      </c>
      <c r="PC687" s="27" t="s">
        <v>8</v>
      </c>
      <c r="PD687" s="27" t="s">
        <v>7</v>
      </c>
      <c r="PG687" s="27" t="s">
        <v>8</v>
      </c>
      <c r="PJ687" s="27" t="s">
        <v>7</v>
      </c>
    </row>
    <row r="688" spans="1:426" x14ac:dyDescent="0.25">
      <c r="A688" s="7">
        <v>0.1353264384291625</v>
      </c>
      <c r="B688"/>
      <c r="C688"/>
      <c r="D688"/>
      <c r="E688"/>
      <c r="F688" s="27" t="s">
        <v>7</v>
      </c>
      <c r="KI688" s="27" t="s">
        <v>8</v>
      </c>
      <c r="KP688" s="27" t="s">
        <v>7</v>
      </c>
      <c r="KQ688" s="27" t="s">
        <v>8</v>
      </c>
      <c r="KX688" s="27" t="s">
        <v>7</v>
      </c>
      <c r="KZ688" s="27" t="s">
        <v>7</v>
      </c>
      <c r="LA688" s="27" t="s">
        <v>8</v>
      </c>
      <c r="LB688" s="27" t="s">
        <v>7</v>
      </c>
      <c r="LC688" s="27" t="s">
        <v>8</v>
      </c>
      <c r="LL688" s="27" t="s">
        <v>7</v>
      </c>
      <c r="LM688" s="27" t="s">
        <v>8</v>
      </c>
      <c r="LN688" s="27" t="s">
        <v>7</v>
      </c>
      <c r="LO688" s="27" t="s">
        <v>8</v>
      </c>
      <c r="LP688" s="27" t="s">
        <v>7</v>
      </c>
      <c r="LQ688" s="27" t="s">
        <v>8</v>
      </c>
      <c r="LR688" s="27" t="s">
        <v>7</v>
      </c>
      <c r="LS688" s="27" t="s">
        <v>8</v>
      </c>
      <c r="LT688" s="27" t="s">
        <v>7</v>
      </c>
      <c r="OQ688" s="27" t="s">
        <v>8</v>
      </c>
      <c r="OR688" s="27" t="s">
        <v>7</v>
      </c>
      <c r="OS688" s="27" t="s">
        <v>8</v>
      </c>
      <c r="OT688" s="27" t="s">
        <v>7</v>
      </c>
      <c r="OU688" s="27" t="s">
        <v>8</v>
      </c>
      <c r="OV688" s="27" t="s">
        <v>7</v>
      </c>
      <c r="OW688" s="27" t="s">
        <v>8</v>
      </c>
      <c r="PA688" s="27" t="s">
        <v>8</v>
      </c>
      <c r="PB688" s="27" t="s">
        <v>7</v>
      </c>
      <c r="PC688" s="27" t="s">
        <v>8</v>
      </c>
      <c r="PD688" s="27" t="s">
        <v>7</v>
      </c>
      <c r="PE688" s="27" t="s">
        <v>8</v>
      </c>
      <c r="PG688" s="27" t="s">
        <v>8</v>
      </c>
      <c r="PJ688" s="27" t="s">
        <v>7</v>
      </c>
    </row>
    <row r="689" spans="1:441" x14ac:dyDescent="0.25">
      <c r="A689" s="7">
        <v>0.13267297885212009</v>
      </c>
      <c r="B689"/>
      <c r="C689"/>
      <c r="D689"/>
      <c r="E689"/>
      <c r="F689" s="27" t="s">
        <v>7</v>
      </c>
      <c r="KI689" s="27" t="s">
        <v>8</v>
      </c>
      <c r="KP689" s="27" t="s">
        <v>7</v>
      </c>
      <c r="KQ689" s="27" t="s">
        <v>8</v>
      </c>
      <c r="KZ689" s="27" t="s">
        <v>7</v>
      </c>
      <c r="LA689" s="27" t="s">
        <v>8</v>
      </c>
      <c r="LB689" s="27" t="s">
        <v>7</v>
      </c>
      <c r="LC689" s="27" t="s">
        <v>8</v>
      </c>
      <c r="LL689" s="27" t="s">
        <v>7</v>
      </c>
      <c r="LM689" s="27" t="s">
        <v>8</v>
      </c>
      <c r="LN689" s="27" t="s">
        <v>7</v>
      </c>
      <c r="LP689" s="27" t="s">
        <v>7</v>
      </c>
      <c r="LQ689" s="27" t="s">
        <v>8</v>
      </c>
      <c r="LR689" s="27" t="s">
        <v>7</v>
      </c>
      <c r="LS689" s="27" t="s">
        <v>8</v>
      </c>
      <c r="LT689" s="27" t="s">
        <v>7</v>
      </c>
      <c r="NM689" s="27" t="s">
        <v>8</v>
      </c>
      <c r="OQ689" s="27" t="s">
        <v>8</v>
      </c>
      <c r="OR689" s="27" t="s">
        <v>7</v>
      </c>
      <c r="OS689" s="27" t="s">
        <v>8</v>
      </c>
      <c r="OT689" s="27" t="s">
        <v>7</v>
      </c>
      <c r="OU689" s="27" t="s">
        <v>8</v>
      </c>
      <c r="OV689" s="27" t="s">
        <v>7</v>
      </c>
      <c r="OW689" s="27" t="s">
        <v>8</v>
      </c>
      <c r="OX689" s="27" t="s">
        <v>7</v>
      </c>
      <c r="OY689" s="27" t="s">
        <v>8</v>
      </c>
      <c r="PA689" s="27" t="s">
        <v>8</v>
      </c>
      <c r="PB689" s="27" t="s">
        <v>7</v>
      </c>
      <c r="PC689" s="27" t="s">
        <v>8</v>
      </c>
      <c r="PD689" s="27" t="s">
        <v>7</v>
      </c>
      <c r="PE689" s="27" t="s">
        <v>8</v>
      </c>
      <c r="PF689" s="27" t="s">
        <v>7</v>
      </c>
      <c r="PG689" s="27" t="s">
        <v>8</v>
      </c>
      <c r="PJ689" s="27" t="s">
        <v>7</v>
      </c>
    </row>
    <row r="690" spans="1:441" x14ac:dyDescent="0.25">
      <c r="A690" s="7">
        <v>0.13007154789423539</v>
      </c>
      <c r="B690"/>
      <c r="C690"/>
      <c r="D690"/>
      <c r="E690"/>
      <c r="F690" s="27" t="s">
        <v>7</v>
      </c>
      <c r="KI690" s="27" t="s">
        <v>8</v>
      </c>
      <c r="KP690" s="27" t="s">
        <v>7</v>
      </c>
      <c r="KQ690" s="27" t="s">
        <v>8</v>
      </c>
      <c r="KZ690" s="27" t="s">
        <v>7</v>
      </c>
      <c r="LA690" s="27" t="s">
        <v>8</v>
      </c>
      <c r="LB690" s="27" t="s">
        <v>7</v>
      </c>
      <c r="LC690" s="27" t="s">
        <v>8</v>
      </c>
      <c r="LL690" s="27" t="s">
        <v>7</v>
      </c>
      <c r="LM690" s="27" t="s">
        <v>8</v>
      </c>
      <c r="LP690" s="27" t="s">
        <v>7</v>
      </c>
      <c r="LQ690" s="27" t="s">
        <v>8</v>
      </c>
      <c r="LR690" s="27" t="s">
        <v>7</v>
      </c>
      <c r="LS690" s="27" t="s">
        <v>8</v>
      </c>
      <c r="LT690" s="27" t="s">
        <v>7</v>
      </c>
      <c r="NM690" s="27" t="s">
        <v>8</v>
      </c>
      <c r="NN690" s="27" t="s">
        <v>7</v>
      </c>
      <c r="OQ690" s="27" t="s">
        <v>8</v>
      </c>
      <c r="OR690" s="27" t="s">
        <v>7</v>
      </c>
      <c r="OS690" s="27" t="s">
        <v>8</v>
      </c>
      <c r="OT690" s="27" t="s">
        <v>7</v>
      </c>
      <c r="OU690" s="27" t="s">
        <v>8</v>
      </c>
      <c r="OV690" s="27" t="s">
        <v>7</v>
      </c>
      <c r="OW690" s="27" t="s">
        <v>8</v>
      </c>
      <c r="OX690" s="27" t="s">
        <v>7</v>
      </c>
      <c r="OY690" s="27" t="s">
        <v>8</v>
      </c>
      <c r="OZ690" s="27" t="s">
        <v>7</v>
      </c>
      <c r="PA690" s="27" t="s">
        <v>8</v>
      </c>
      <c r="PB690" s="27" t="s">
        <v>7</v>
      </c>
      <c r="PC690" s="27" t="s">
        <v>8</v>
      </c>
      <c r="PD690" s="27" t="s">
        <v>7</v>
      </c>
      <c r="PE690" s="27" t="s">
        <v>8</v>
      </c>
      <c r="PF690" s="27" t="s">
        <v>7</v>
      </c>
      <c r="PG690" s="27" t="s">
        <v>8</v>
      </c>
      <c r="PJ690" s="27" t="s">
        <v>7</v>
      </c>
    </row>
    <row r="691" spans="1:441" x14ac:dyDescent="0.25">
      <c r="A691" s="7">
        <v>0.12752112538650529</v>
      </c>
      <c r="B691"/>
      <c r="C691"/>
      <c r="D691"/>
      <c r="E691"/>
      <c r="F691" s="27" t="s">
        <v>7</v>
      </c>
      <c r="KI691" s="27" t="s">
        <v>8</v>
      </c>
      <c r="KP691" s="27" t="s">
        <v>7</v>
      </c>
      <c r="KQ691" s="27" t="s">
        <v>8</v>
      </c>
      <c r="KZ691" s="27" t="s">
        <v>7</v>
      </c>
      <c r="LA691" s="27" t="s">
        <v>8</v>
      </c>
      <c r="LB691" s="27" t="s">
        <v>7</v>
      </c>
      <c r="LC691" s="27" t="s">
        <v>8</v>
      </c>
      <c r="LL691" s="27" t="s">
        <v>7</v>
      </c>
      <c r="LM691" s="27" t="s">
        <v>8</v>
      </c>
      <c r="LP691" s="27" t="s">
        <v>7</v>
      </c>
      <c r="LQ691" s="27" t="s">
        <v>8</v>
      </c>
      <c r="LR691" s="27" t="s">
        <v>7</v>
      </c>
      <c r="LS691" s="27" t="s">
        <v>8</v>
      </c>
      <c r="LT691" s="27" t="s">
        <v>7</v>
      </c>
      <c r="NM691" s="27" t="s">
        <v>8</v>
      </c>
      <c r="NN691" s="27" t="s">
        <v>7</v>
      </c>
      <c r="OQ691" s="27" t="s">
        <v>8</v>
      </c>
      <c r="OR691" s="27" t="s">
        <v>7</v>
      </c>
      <c r="OS691" s="27" t="s">
        <v>8</v>
      </c>
      <c r="OT691" s="27" t="s">
        <v>7</v>
      </c>
      <c r="OU691" s="27" t="s">
        <v>8</v>
      </c>
      <c r="OV691" s="27" t="s">
        <v>7</v>
      </c>
      <c r="OW691" s="27" t="s">
        <v>8</v>
      </c>
      <c r="OX691" s="27" t="s">
        <v>7</v>
      </c>
      <c r="OY691" s="27" t="s">
        <v>8</v>
      </c>
      <c r="OZ691" s="27" t="s">
        <v>7</v>
      </c>
      <c r="PA691" s="27" t="s">
        <v>8</v>
      </c>
      <c r="PB691" s="27" t="s">
        <v>7</v>
      </c>
      <c r="PC691" s="27" t="s">
        <v>8</v>
      </c>
      <c r="PD691" s="27" t="s">
        <v>7</v>
      </c>
      <c r="PE691" s="27" t="s">
        <v>8</v>
      </c>
      <c r="PF691" s="27" t="s">
        <v>7</v>
      </c>
      <c r="PG691" s="27" t="s">
        <v>8</v>
      </c>
      <c r="PJ691" s="27" t="s">
        <v>7</v>
      </c>
    </row>
    <row r="692" spans="1:441" x14ac:dyDescent="0.25">
      <c r="A692" s="7">
        <v>0.12502071116324048</v>
      </c>
      <c r="B692"/>
      <c r="C692"/>
      <c r="D692"/>
      <c r="E692"/>
      <c r="F692" s="27" t="s">
        <v>7</v>
      </c>
      <c r="KI692" s="27" t="s">
        <v>8</v>
      </c>
      <c r="KP692" s="27" t="s">
        <v>7</v>
      </c>
      <c r="KQ692" s="27" t="s">
        <v>8</v>
      </c>
      <c r="KZ692" s="27" t="s">
        <v>7</v>
      </c>
      <c r="LA692" s="27" t="s">
        <v>8</v>
      </c>
      <c r="LB692" s="27" t="s">
        <v>7</v>
      </c>
      <c r="LC692" s="27" t="s">
        <v>8</v>
      </c>
      <c r="LL692" s="27" t="s">
        <v>7</v>
      </c>
      <c r="LP692" s="27" t="s">
        <v>7</v>
      </c>
      <c r="LR692" s="27" t="s">
        <v>7</v>
      </c>
      <c r="LS692" s="27" t="s">
        <v>8</v>
      </c>
      <c r="LT692" s="27" t="s">
        <v>7</v>
      </c>
      <c r="NM692" s="27" t="s">
        <v>8</v>
      </c>
      <c r="NN692" s="27" t="s">
        <v>7</v>
      </c>
      <c r="OQ692" s="27" t="s">
        <v>8</v>
      </c>
      <c r="OR692" s="27" t="s">
        <v>7</v>
      </c>
      <c r="OS692" s="27" t="s">
        <v>8</v>
      </c>
      <c r="OT692" s="27" t="s">
        <v>7</v>
      </c>
      <c r="OU692" s="27" t="s">
        <v>8</v>
      </c>
      <c r="OV692" s="27" t="s">
        <v>7</v>
      </c>
      <c r="OW692" s="27" t="s">
        <v>8</v>
      </c>
      <c r="OX692" s="27" t="s">
        <v>7</v>
      </c>
      <c r="OZ692" s="27" t="s">
        <v>7</v>
      </c>
      <c r="PA692" s="27" t="s">
        <v>8</v>
      </c>
      <c r="PB692" s="27" t="s">
        <v>7</v>
      </c>
      <c r="PC692" s="27" t="s">
        <v>8</v>
      </c>
      <c r="PD692" s="27" t="s">
        <v>7</v>
      </c>
      <c r="PE692" s="27" t="s">
        <v>8</v>
      </c>
      <c r="PF692" s="27" t="s">
        <v>7</v>
      </c>
      <c r="PG692" s="27" t="s">
        <v>8</v>
      </c>
      <c r="PJ692" s="27" t="s">
        <v>7</v>
      </c>
    </row>
    <row r="693" spans="1:441" x14ac:dyDescent="0.25">
      <c r="A693" s="7">
        <v>0.1225693246698436</v>
      </c>
      <c r="B693"/>
      <c r="C693"/>
      <c r="D693"/>
      <c r="E693"/>
      <c r="F693" s="27" t="s">
        <v>7</v>
      </c>
      <c r="KI693" s="27" t="s">
        <v>8</v>
      </c>
      <c r="KP693" s="27" t="s">
        <v>7</v>
      </c>
      <c r="KQ693" s="27" t="s">
        <v>8</v>
      </c>
      <c r="KZ693" s="27" t="s">
        <v>7</v>
      </c>
      <c r="LA693" s="27" t="s">
        <v>8</v>
      </c>
      <c r="LB693" s="27" t="s">
        <v>7</v>
      </c>
      <c r="LC693" s="27" t="s">
        <v>8</v>
      </c>
      <c r="LR693" s="27" t="s">
        <v>7</v>
      </c>
      <c r="LS693" s="27" t="s">
        <v>8</v>
      </c>
      <c r="LT693" s="27" t="s">
        <v>7</v>
      </c>
      <c r="NM693" s="27" t="s">
        <v>8</v>
      </c>
      <c r="NN693" s="27" t="s">
        <v>7</v>
      </c>
      <c r="OQ693" s="27" t="s">
        <v>8</v>
      </c>
      <c r="OR693" s="27" t="s">
        <v>7</v>
      </c>
      <c r="OS693" s="27" t="s">
        <v>8</v>
      </c>
      <c r="OT693" s="27" t="s">
        <v>7</v>
      </c>
      <c r="OU693" s="27" t="s">
        <v>8</v>
      </c>
      <c r="OV693" s="27" t="s">
        <v>7</v>
      </c>
      <c r="OW693" s="27" t="s">
        <v>8</v>
      </c>
      <c r="OZ693" s="27" t="s">
        <v>7</v>
      </c>
      <c r="PA693" s="27" t="s">
        <v>8</v>
      </c>
      <c r="PB693" s="27" t="s">
        <v>7</v>
      </c>
      <c r="PC693" s="27" t="s">
        <v>8</v>
      </c>
      <c r="PD693" s="27" t="s">
        <v>7</v>
      </c>
      <c r="PE693" s="27" t="s">
        <v>8</v>
      </c>
      <c r="PF693" s="27" t="s">
        <v>7</v>
      </c>
      <c r="PG693" s="27" t="s">
        <v>8</v>
      </c>
      <c r="PJ693" s="27" t="s">
        <v>7</v>
      </c>
      <c r="PM693" s="27" t="s">
        <v>8</v>
      </c>
    </row>
    <row r="694" spans="1:441" x14ac:dyDescent="0.25">
      <c r="A694" s="7">
        <v>0.12016600457827803</v>
      </c>
      <c r="B694"/>
      <c r="C694"/>
      <c r="D694"/>
      <c r="E694"/>
      <c r="F694" s="27" t="s">
        <v>7</v>
      </c>
      <c r="KI694" s="27" t="s">
        <v>8</v>
      </c>
      <c r="KP694" s="27" t="s">
        <v>7</v>
      </c>
      <c r="KZ694" s="27" t="s">
        <v>7</v>
      </c>
      <c r="LA694" s="27" t="s">
        <v>8</v>
      </c>
      <c r="LB694" s="27" t="s">
        <v>7</v>
      </c>
      <c r="LC694" s="27" t="s">
        <v>8</v>
      </c>
      <c r="LR694" s="27" t="s">
        <v>7</v>
      </c>
      <c r="LS694" s="27" t="s">
        <v>8</v>
      </c>
      <c r="LT694" s="27" t="s">
        <v>7</v>
      </c>
      <c r="NM694" s="27" t="s">
        <v>8</v>
      </c>
      <c r="NN694" s="27" t="s">
        <v>7</v>
      </c>
      <c r="OQ694" s="27" t="s">
        <v>8</v>
      </c>
      <c r="OR694" s="27" t="s">
        <v>7</v>
      </c>
      <c r="OS694" s="27" t="s">
        <v>8</v>
      </c>
      <c r="OT694" s="27" t="s">
        <v>7</v>
      </c>
      <c r="OV694" s="27" t="s">
        <v>7</v>
      </c>
      <c r="OZ694" s="27" t="s">
        <v>7</v>
      </c>
      <c r="PA694" s="27" t="s">
        <v>8</v>
      </c>
      <c r="PB694" s="27" t="s">
        <v>7</v>
      </c>
      <c r="PC694" s="27" t="s">
        <v>8</v>
      </c>
      <c r="PD694" s="27" t="s">
        <v>7</v>
      </c>
      <c r="PE694" s="27" t="s">
        <v>8</v>
      </c>
      <c r="PF694" s="27" t="s">
        <v>7</v>
      </c>
      <c r="PJ694" s="27" t="s">
        <v>7</v>
      </c>
      <c r="PM694" s="27" t="s">
        <v>8</v>
      </c>
      <c r="PN694" s="27" t="s">
        <v>7</v>
      </c>
    </row>
    <row r="695" spans="1:441" x14ac:dyDescent="0.25">
      <c r="A695" s="7">
        <v>0.1178098084100765</v>
      </c>
      <c r="B695"/>
      <c r="C695"/>
      <c r="D695"/>
      <c r="E695"/>
      <c r="F695" s="27" t="s">
        <v>7</v>
      </c>
      <c r="KG695" s="27" t="s">
        <v>8</v>
      </c>
      <c r="KI695" s="27" t="s">
        <v>8</v>
      </c>
      <c r="KZ695" s="27" t="s">
        <v>7</v>
      </c>
      <c r="LA695" s="27" t="s">
        <v>8</v>
      </c>
      <c r="LB695" s="27" t="s">
        <v>7</v>
      </c>
      <c r="LR695" s="27" t="s">
        <v>7</v>
      </c>
      <c r="LS695" s="27" t="s">
        <v>8</v>
      </c>
      <c r="LT695" s="27" t="s">
        <v>7</v>
      </c>
      <c r="NI695" s="27" t="s">
        <v>8</v>
      </c>
      <c r="NM695" s="27" t="s">
        <v>8</v>
      </c>
      <c r="NN695" s="27" t="s">
        <v>7</v>
      </c>
      <c r="OQ695" s="27" t="s">
        <v>8</v>
      </c>
      <c r="OR695" s="27" t="s">
        <v>7</v>
      </c>
      <c r="OS695" s="27" t="s">
        <v>8</v>
      </c>
      <c r="OZ695" s="27" t="s">
        <v>7</v>
      </c>
      <c r="PA695" s="27" t="s">
        <v>8</v>
      </c>
      <c r="PB695" s="27" t="s">
        <v>7</v>
      </c>
      <c r="PD695" s="27" t="s">
        <v>7</v>
      </c>
      <c r="PE695" s="27" t="s">
        <v>8</v>
      </c>
      <c r="PJ695" s="27" t="s">
        <v>7</v>
      </c>
      <c r="PK695" s="27" t="s">
        <v>8</v>
      </c>
      <c r="PM695" s="27" t="s">
        <v>8</v>
      </c>
      <c r="PN695" s="27" t="s">
        <v>7</v>
      </c>
      <c r="PU695" s="27" t="s">
        <v>8</v>
      </c>
      <c r="PW695" s="27" t="s">
        <v>8</v>
      </c>
    </row>
    <row r="696" spans="1:441" x14ac:dyDescent="0.25">
      <c r="A696" s="7">
        <v>0.11549981216674166</v>
      </c>
      <c r="B696"/>
      <c r="C696"/>
      <c r="D696"/>
      <c r="E696"/>
      <c r="F696" s="27" t="s">
        <v>7</v>
      </c>
      <c r="KG696" s="27" t="s">
        <v>8</v>
      </c>
      <c r="KH696" s="27" t="s">
        <v>7</v>
      </c>
      <c r="KI696" s="27" t="s">
        <v>8</v>
      </c>
      <c r="KZ696" s="27" t="s">
        <v>7</v>
      </c>
      <c r="LA696" s="27" t="s">
        <v>8</v>
      </c>
      <c r="LR696" s="27" t="s">
        <v>7</v>
      </c>
      <c r="LS696" s="27" t="s">
        <v>8</v>
      </c>
      <c r="LT696" s="27" t="s">
        <v>7</v>
      </c>
      <c r="LU696" s="27" t="s">
        <v>8</v>
      </c>
      <c r="LW696" s="27" t="s">
        <v>8</v>
      </c>
      <c r="NI696" s="27" t="s">
        <v>8</v>
      </c>
      <c r="NJ696" s="27" t="s">
        <v>7</v>
      </c>
      <c r="NM696" s="27" t="s">
        <v>8</v>
      </c>
      <c r="NN696" s="27" t="s">
        <v>7</v>
      </c>
      <c r="OQ696" s="27" t="s">
        <v>8</v>
      </c>
      <c r="OR696" s="27" t="s">
        <v>7</v>
      </c>
      <c r="OS696" s="27" t="s">
        <v>8</v>
      </c>
      <c r="OZ696" s="27" t="s">
        <v>7</v>
      </c>
      <c r="PA696" s="27" t="s">
        <v>8</v>
      </c>
      <c r="PD696" s="27" t="s">
        <v>7</v>
      </c>
      <c r="PJ696" s="27" t="s">
        <v>7</v>
      </c>
      <c r="PK696" s="27" t="s">
        <v>8</v>
      </c>
      <c r="PL696" s="27" t="s">
        <v>7</v>
      </c>
      <c r="PM696" s="27" t="s">
        <v>8</v>
      </c>
      <c r="PN696" s="27" t="s">
        <v>7</v>
      </c>
      <c r="PS696" s="27" t="s">
        <v>8</v>
      </c>
      <c r="PU696" s="27" t="s">
        <v>8</v>
      </c>
      <c r="PV696" s="27" t="s">
        <v>7</v>
      </c>
      <c r="PW696" s="27" t="s">
        <v>8</v>
      </c>
      <c r="PX696" s="27" t="s">
        <v>7</v>
      </c>
    </row>
    <row r="697" spans="1:441" x14ac:dyDescent="0.25">
      <c r="A697" s="7">
        <v>0.11323510996739378</v>
      </c>
      <c r="B697"/>
      <c r="C697"/>
      <c r="D697"/>
      <c r="E697"/>
      <c r="F697" s="27" t="s">
        <v>7</v>
      </c>
      <c r="KG697" s="27" t="s">
        <v>8</v>
      </c>
      <c r="KH697" s="27" t="s">
        <v>7</v>
      </c>
      <c r="KI697" s="27" t="s">
        <v>8</v>
      </c>
      <c r="KZ697" s="27" t="s">
        <v>7</v>
      </c>
      <c r="LA697" s="27" t="s">
        <v>8</v>
      </c>
      <c r="LR697" s="27" t="s">
        <v>7</v>
      </c>
      <c r="LS697" s="27" t="s">
        <v>8</v>
      </c>
      <c r="LT697" s="27" t="s">
        <v>7</v>
      </c>
      <c r="LU697" s="27" t="s">
        <v>8</v>
      </c>
      <c r="LV697" s="27" t="s">
        <v>7</v>
      </c>
      <c r="LW697" s="27" t="s">
        <v>8</v>
      </c>
      <c r="LX697" s="27" t="s">
        <v>7</v>
      </c>
      <c r="LY697" s="27" t="s">
        <v>8</v>
      </c>
      <c r="NI697" s="27" t="s">
        <v>8</v>
      </c>
      <c r="NJ697" s="27" t="s">
        <v>7</v>
      </c>
      <c r="NK697" s="27" t="s">
        <v>8</v>
      </c>
      <c r="NM697" s="27" t="s">
        <v>8</v>
      </c>
      <c r="NN697" s="27" t="s">
        <v>7</v>
      </c>
      <c r="OK697" s="27" t="s">
        <v>8</v>
      </c>
      <c r="OQ697" s="27" t="s">
        <v>8</v>
      </c>
      <c r="OR697" s="27" t="s">
        <v>7</v>
      </c>
      <c r="OS697" s="27" t="s">
        <v>8</v>
      </c>
      <c r="OZ697" s="27" t="s">
        <v>7</v>
      </c>
      <c r="PA697" s="27" t="s">
        <v>8</v>
      </c>
      <c r="PJ697" s="27" t="s">
        <v>7</v>
      </c>
      <c r="PK697" s="27" t="s">
        <v>8</v>
      </c>
      <c r="PL697" s="27" t="s">
        <v>7</v>
      </c>
      <c r="PM697" s="27" t="s">
        <v>8</v>
      </c>
      <c r="PN697" s="27" t="s">
        <v>7</v>
      </c>
      <c r="PS697" s="27" t="s">
        <v>8</v>
      </c>
      <c r="PT697" s="27" t="s">
        <v>7</v>
      </c>
      <c r="PU697" s="27" t="s">
        <v>8</v>
      </c>
      <c r="PV697" s="27" t="s">
        <v>7</v>
      </c>
      <c r="PW697" s="27" t="s">
        <v>8</v>
      </c>
      <c r="PX697" s="27" t="s">
        <v>7</v>
      </c>
    </row>
    <row r="698" spans="1:441" x14ac:dyDescent="0.25">
      <c r="A698" s="7">
        <v>0.11101481369352331</v>
      </c>
      <c r="B698"/>
      <c r="C698"/>
      <c r="D698"/>
      <c r="E698"/>
      <c r="F698" s="27" t="s">
        <v>7</v>
      </c>
      <c r="KG698" s="27" t="s">
        <v>8</v>
      </c>
      <c r="KH698" s="27" t="s">
        <v>7</v>
      </c>
      <c r="KI698" s="27" t="s">
        <v>8</v>
      </c>
      <c r="KZ698" s="27" t="s">
        <v>7</v>
      </c>
      <c r="LA698" s="27" t="s">
        <v>8</v>
      </c>
      <c r="LR698" s="27" t="s">
        <v>7</v>
      </c>
      <c r="LS698" s="27" t="s">
        <v>8</v>
      </c>
      <c r="LT698" s="27" t="s">
        <v>7</v>
      </c>
      <c r="LU698" s="27" t="s">
        <v>8</v>
      </c>
      <c r="LV698" s="27" t="s">
        <v>7</v>
      </c>
      <c r="LW698" s="27" t="s">
        <v>8</v>
      </c>
      <c r="LX698" s="27" t="s">
        <v>7</v>
      </c>
      <c r="LY698" s="27" t="s">
        <v>8</v>
      </c>
      <c r="LZ698" s="27" t="s">
        <v>7</v>
      </c>
      <c r="NG698" s="27" t="s">
        <v>8</v>
      </c>
      <c r="NI698" s="27" t="s">
        <v>8</v>
      </c>
      <c r="NJ698" s="27" t="s">
        <v>7</v>
      </c>
      <c r="NK698" s="27" t="s">
        <v>8</v>
      </c>
      <c r="NL698" s="27" t="s">
        <v>7</v>
      </c>
      <c r="NM698" s="27" t="s">
        <v>8</v>
      </c>
      <c r="NN698" s="27" t="s">
        <v>7</v>
      </c>
      <c r="OK698" s="27" t="s">
        <v>8</v>
      </c>
      <c r="OL698" s="27" t="s">
        <v>7</v>
      </c>
      <c r="OQ698" s="27" t="s">
        <v>8</v>
      </c>
      <c r="OR698" s="27" t="s">
        <v>7</v>
      </c>
      <c r="OS698" s="27" t="s">
        <v>8</v>
      </c>
      <c r="OZ698" s="27" t="s">
        <v>7</v>
      </c>
      <c r="PA698" s="27" t="s">
        <v>8</v>
      </c>
      <c r="PJ698" s="27" t="s">
        <v>7</v>
      </c>
      <c r="PK698" s="27" t="s">
        <v>8</v>
      </c>
      <c r="PL698" s="27" t="s">
        <v>7</v>
      </c>
      <c r="PM698" s="27" t="s">
        <v>8</v>
      </c>
      <c r="PN698" s="27" t="s">
        <v>7</v>
      </c>
      <c r="PO698" s="27" t="s">
        <v>8</v>
      </c>
      <c r="PS698" s="27" t="s">
        <v>8</v>
      </c>
      <c r="PT698" s="27" t="s">
        <v>7</v>
      </c>
      <c r="PU698" s="27" t="s">
        <v>8</v>
      </c>
      <c r="PV698" s="27" t="s">
        <v>7</v>
      </c>
      <c r="PW698" s="27" t="s">
        <v>8</v>
      </c>
      <c r="PX698" s="27" t="s">
        <v>7</v>
      </c>
    </row>
    <row r="699" spans="1:441" x14ac:dyDescent="0.25">
      <c r="A699" s="7">
        <v>0.10883805264070913</v>
      </c>
      <c r="B699"/>
      <c r="C699"/>
      <c r="D699"/>
      <c r="E699"/>
      <c r="F699" s="27" t="s">
        <v>7</v>
      </c>
      <c r="KG699" s="27" t="s">
        <v>8</v>
      </c>
      <c r="KH699" s="27" t="s">
        <v>7</v>
      </c>
      <c r="KI699" s="27" t="s">
        <v>8</v>
      </c>
      <c r="KZ699" s="27" t="s">
        <v>7</v>
      </c>
      <c r="LA699" s="27" t="s">
        <v>8</v>
      </c>
      <c r="LR699" s="27" t="s">
        <v>7</v>
      </c>
      <c r="LS699" s="27" t="s">
        <v>8</v>
      </c>
      <c r="LT699" s="27" t="s">
        <v>7</v>
      </c>
      <c r="LU699" s="27" t="s">
        <v>8</v>
      </c>
      <c r="LV699" s="27" t="s">
        <v>7</v>
      </c>
      <c r="LW699" s="27" t="s">
        <v>8</v>
      </c>
      <c r="LX699" s="27" t="s">
        <v>7</v>
      </c>
      <c r="LY699" s="27" t="s">
        <v>8</v>
      </c>
      <c r="LZ699" s="27" t="s">
        <v>7</v>
      </c>
      <c r="NE699" s="27" t="s">
        <v>8</v>
      </c>
      <c r="NG699" s="27" t="s">
        <v>8</v>
      </c>
      <c r="NH699" s="27" t="s">
        <v>7</v>
      </c>
      <c r="NI699" s="27" t="s">
        <v>8</v>
      </c>
      <c r="NJ699" s="27" t="s">
        <v>7</v>
      </c>
      <c r="NK699" s="27" t="s">
        <v>8</v>
      </c>
      <c r="NL699" s="27" t="s">
        <v>7</v>
      </c>
      <c r="NM699" s="27" t="s">
        <v>8</v>
      </c>
      <c r="NN699" s="27" t="s">
        <v>7</v>
      </c>
      <c r="OK699" s="27" t="s">
        <v>8</v>
      </c>
      <c r="OL699" s="27" t="s">
        <v>7</v>
      </c>
      <c r="OQ699" s="27" t="s">
        <v>8</v>
      </c>
      <c r="OR699" s="27" t="s">
        <v>7</v>
      </c>
      <c r="OS699" s="27" t="s">
        <v>8</v>
      </c>
      <c r="OZ699" s="27" t="s">
        <v>7</v>
      </c>
      <c r="PA699" s="27" t="s">
        <v>8</v>
      </c>
      <c r="PJ699" s="27" t="s">
        <v>7</v>
      </c>
      <c r="PK699" s="27" t="s">
        <v>8</v>
      </c>
      <c r="PL699" s="27" t="s">
        <v>7</v>
      </c>
      <c r="PM699" s="27" t="s">
        <v>8</v>
      </c>
      <c r="PN699" s="27" t="s">
        <v>7</v>
      </c>
      <c r="PO699" s="27" t="s">
        <v>8</v>
      </c>
      <c r="PP699" s="27" t="s">
        <v>7</v>
      </c>
      <c r="PS699" s="27" t="s">
        <v>8</v>
      </c>
      <c r="PT699" s="27" t="s">
        <v>7</v>
      </c>
      <c r="PV699" s="27" t="s">
        <v>7</v>
      </c>
      <c r="PW699" s="27" t="s">
        <v>8</v>
      </c>
      <c r="PX699" s="27" t="s">
        <v>7</v>
      </c>
    </row>
    <row r="700" spans="1:441" x14ac:dyDescent="0.25">
      <c r="A700" s="7">
        <v>0.10670397317716582</v>
      </c>
      <c r="B700"/>
      <c r="C700"/>
      <c r="D700"/>
      <c r="E700"/>
      <c r="F700" s="27" t="s">
        <v>7</v>
      </c>
      <c r="KG700" s="27" t="s">
        <v>8</v>
      </c>
      <c r="KH700" s="27" t="s">
        <v>7</v>
      </c>
      <c r="KI700" s="27" t="s">
        <v>8</v>
      </c>
      <c r="KZ700" s="27" t="s">
        <v>7</v>
      </c>
      <c r="LA700" s="27" t="s">
        <v>8</v>
      </c>
      <c r="LR700" s="27" t="s">
        <v>7</v>
      </c>
      <c r="LS700" s="27" t="s">
        <v>8</v>
      </c>
      <c r="LT700" s="27" t="s">
        <v>7</v>
      </c>
      <c r="LU700" s="27" t="s">
        <v>8</v>
      </c>
      <c r="LV700" s="27" t="s">
        <v>7</v>
      </c>
      <c r="LW700" s="27" t="s">
        <v>8</v>
      </c>
      <c r="LX700" s="27" t="s">
        <v>7</v>
      </c>
      <c r="LY700" s="27" t="s">
        <v>8</v>
      </c>
      <c r="LZ700" s="27" t="s">
        <v>7</v>
      </c>
      <c r="MA700" s="27" t="s">
        <v>8</v>
      </c>
      <c r="MW700" s="27" t="s">
        <v>8</v>
      </c>
      <c r="NE700" s="27" t="s">
        <v>8</v>
      </c>
      <c r="NF700" s="27" t="s">
        <v>7</v>
      </c>
      <c r="NG700" s="27" t="s">
        <v>8</v>
      </c>
      <c r="NH700" s="27" t="s">
        <v>7</v>
      </c>
      <c r="NI700" s="27" t="s">
        <v>8</v>
      </c>
      <c r="NJ700" s="27" t="s">
        <v>7</v>
      </c>
      <c r="NK700" s="27" t="s">
        <v>8</v>
      </c>
      <c r="NL700" s="27" t="s">
        <v>7</v>
      </c>
      <c r="NM700" s="27" t="s">
        <v>8</v>
      </c>
      <c r="NN700" s="27" t="s">
        <v>7</v>
      </c>
      <c r="OK700" s="27" t="s">
        <v>8</v>
      </c>
      <c r="OL700" s="27" t="s">
        <v>7</v>
      </c>
      <c r="OQ700" s="27" t="s">
        <v>8</v>
      </c>
      <c r="OR700" s="27" t="s">
        <v>7</v>
      </c>
      <c r="OZ700" s="27" t="s">
        <v>7</v>
      </c>
      <c r="PJ700" s="27" t="s">
        <v>7</v>
      </c>
      <c r="PK700" s="27" t="s">
        <v>8</v>
      </c>
      <c r="PL700" s="27" t="s">
        <v>7</v>
      </c>
      <c r="PM700" s="27" t="s">
        <v>8</v>
      </c>
      <c r="PN700" s="27" t="s">
        <v>7</v>
      </c>
      <c r="PO700" s="27" t="s">
        <v>8</v>
      </c>
      <c r="PP700" s="27" t="s">
        <v>7</v>
      </c>
      <c r="PQ700" s="27" t="s">
        <v>8</v>
      </c>
      <c r="PS700" s="27" t="s">
        <v>8</v>
      </c>
      <c r="PV700" s="27" t="s">
        <v>7</v>
      </c>
      <c r="PW700" s="27" t="s">
        <v>8</v>
      </c>
      <c r="PX700" s="27" t="s">
        <v>7</v>
      </c>
    </row>
    <row r="701" spans="1:441" x14ac:dyDescent="0.25">
      <c r="A701" s="7">
        <v>0.1046117384089861</v>
      </c>
      <c r="B701"/>
      <c r="C701"/>
      <c r="D701"/>
      <c r="E701"/>
      <c r="F701" s="27" t="s">
        <v>7</v>
      </c>
      <c r="KG701" s="27" t="s">
        <v>8</v>
      </c>
      <c r="KH701" s="27" t="s">
        <v>7</v>
      </c>
      <c r="KI701" s="27" t="s">
        <v>8</v>
      </c>
      <c r="KZ701" s="27" t="s">
        <v>7</v>
      </c>
      <c r="LA701" s="27" t="s">
        <v>8</v>
      </c>
      <c r="LR701" s="27" t="s">
        <v>7</v>
      </c>
      <c r="LS701" s="27" t="s">
        <v>8</v>
      </c>
      <c r="LT701" s="27" t="s">
        <v>7</v>
      </c>
      <c r="LU701" s="27" t="s">
        <v>8</v>
      </c>
      <c r="LV701" s="27" t="s">
        <v>7</v>
      </c>
      <c r="LX701" s="27" t="s">
        <v>7</v>
      </c>
      <c r="LY701" s="27" t="s">
        <v>8</v>
      </c>
      <c r="LZ701" s="27" t="s">
        <v>7</v>
      </c>
      <c r="MA701" s="27" t="s">
        <v>8</v>
      </c>
      <c r="MB701" s="27" t="s">
        <v>7</v>
      </c>
      <c r="MW701" s="27" t="s">
        <v>8</v>
      </c>
      <c r="MX701" s="27" t="s">
        <v>7</v>
      </c>
      <c r="NE701" s="27" t="s">
        <v>8</v>
      </c>
      <c r="NF701" s="27" t="s">
        <v>7</v>
      </c>
      <c r="NG701" s="27" t="s">
        <v>8</v>
      </c>
      <c r="NH701" s="27" t="s">
        <v>7</v>
      </c>
      <c r="NI701" s="27" t="s">
        <v>8</v>
      </c>
      <c r="NJ701" s="27" t="s">
        <v>7</v>
      </c>
      <c r="NK701" s="27" t="s">
        <v>8</v>
      </c>
      <c r="NL701" s="27" t="s">
        <v>7</v>
      </c>
      <c r="NM701" s="27" t="s">
        <v>8</v>
      </c>
      <c r="NN701" s="27" t="s">
        <v>7</v>
      </c>
      <c r="NO701" s="27" t="s">
        <v>8</v>
      </c>
      <c r="OK701" s="27" t="s">
        <v>8</v>
      </c>
      <c r="OL701" s="27" t="s">
        <v>7</v>
      </c>
      <c r="OQ701" s="27" t="s">
        <v>8</v>
      </c>
      <c r="PJ701" s="27" t="s">
        <v>7</v>
      </c>
      <c r="PK701" s="27" t="s">
        <v>8</v>
      </c>
      <c r="PL701" s="27" t="s">
        <v>7</v>
      </c>
      <c r="PM701" s="27" t="s">
        <v>8</v>
      </c>
      <c r="PN701" s="27" t="s">
        <v>7</v>
      </c>
      <c r="PO701" s="27" t="s">
        <v>8</v>
      </c>
      <c r="PP701" s="27" t="s">
        <v>7</v>
      </c>
      <c r="PQ701" s="27" t="s">
        <v>8</v>
      </c>
      <c r="PR701" s="27" t="s">
        <v>7</v>
      </c>
      <c r="PS701" s="27" t="s">
        <v>8</v>
      </c>
      <c r="PV701" s="27" t="s">
        <v>7</v>
      </c>
      <c r="PW701" s="27" t="s">
        <v>8</v>
      </c>
      <c r="PX701" s="27" t="s">
        <v>7</v>
      </c>
    </row>
    <row r="702" spans="1:441" x14ac:dyDescent="0.25">
      <c r="A702" s="7">
        <v>0.10256052785194716</v>
      </c>
      <c r="B702"/>
      <c r="C702"/>
      <c r="D702"/>
      <c r="E702"/>
      <c r="F702" s="27" t="s">
        <v>7</v>
      </c>
      <c r="KG702" s="27" t="s">
        <v>8</v>
      </c>
      <c r="KH702" s="27" t="s">
        <v>7</v>
      </c>
      <c r="KI702" s="27" t="s">
        <v>8</v>
      </c>
      <c r="KZ702" s="27" t="s">
        <v>7</v>
      </c>
      <c r="LR702" s="27" t="s">
        <v>7</v>
      </c>
      <c r="LS702" s="27" t="s">
        <v>8</v>
      </c>
      <c r="LT702" s="27" t="s">
        <v>7</v>
      </c>
      <c r="LU702" s="27" t="s">
        <v>8</v>
      </c>
      <c r="LX702" s="27" t="s">
        <v>7</v>
      </c>
      <c r="LY702" s="27" t="s">
        <v>8</v>
      </c>
      <c r="LZ702" s="27" t="s">
        <v>7</v>
      </c>
      <c r="MA702" s="27" t="s">
        <v>8</v>
      </c>
      <c r="MB702" s="27" t="s">
        <v>7</v>
      </c>
      <c r="MW702" s="27" t="s">
        <v>8</v>
      </c>
      <c r="MX702" s="27" t="s">
        <v>7</v>
      </c>
      <c r="MY702" s="27" t="s">
        <v>8</v>
      </c>
      <c r="NC702" s="27" t="s">
        <v>8</v>
      </c>
      <c r="NE702" s="27" t="s">
        <v>8</v>
      </c>
      <c r="NF702" s="27" t="s">
        <v>7</v>
      </c>
      <c r="NG702" s="27" t="s">
        <v>8</v>
      </c>
      <c r="NH702" s="27" t="s">
        <v>7</v>
      </c>
      <c r="NI702" s="27" t="s">
        <v>8</v>
      </c>
      <c r="NJ702" s="27" t="s">
        <v>7</v>
      </c>
      <c r="NK702" s="27" t="s">
        <v>8</v>
      </c>
      <c r="NL702" s="27" t="s">
        <v>7</v>
      </c>
      <c r="NM702" s="27" t="s">
        <v>8</v>
      </c>
      <c r="NN702" s="27" t="s">
        <v>7</v>
      </c>
      <c r="NO702" s="27" t="s">
        <v>8</v>
      </c>
      <c r="NP702" s="27" t="s">
        <v>7</v>
      </c>
      <c r="NS702" s="27" t="s">
        <v>8</v>
      </c>
      <c r="OK702" s="27" t="s">
        <v>8</v>
      </c>
      <c r="OL702" s="27" t="s">
        <v>7</v>
      </c>
      <c r="OQ702" s="27" t="s">
        <v>8</v>
      </c>
      <c r="PJ702" s="27" t="s">
        <v>7</v>
      </c>
      <c r="PK702" s="27" t="s">
        <v>8</v>
      </c>
      <c r="PL702" s="27" t="s">
        <v>7</v>
      </c>
      <c r="PM702" s="27" t="s">
        <v>8</v>
      </c>
      <c r="PN702" s="27" t="s">
        <v>7</v>
      </c>
      <c r="PP702" s="27" t="s">
        <v>7</v>
      </c>
      <c r="PQ702" s="27" t="s">
        <v>8</v>
      </c>
      <c r="PR702" s="27" t="s">
        <v>7</v>
      </c>
      <c r="PS702" s="27" t="s">
        <v>8</v>
      </c>
      <c r="PV702" s="27" t="s">
        <v>7</v>
      </c>
      <c r="PW702" s="27" t="s">
        <v>8</v>
      </c>
      <c r="PX702" s="27" t="s">
        <v>7</v>
      </c>
    </row>
    <row r="703" spans="1:441" x14ac:dyDescent="0.25">
      <c r="A703" s="7">
        <v>0.10054953710975212</v>
      </c>
      <c r="B703"/>
      <c r="C703"/>
      <c r="D703"/>
      <c r="E703"/>
      <c r="F703" s="27" t="s">
        <v>7</v>
      </c>
      <c r="KG703" s="27" t="s">
        <v>8</v>
      </c>
      <c r="KH703" s="27" t="s">
        <v>7</v>
      </c>
      <c r="KI703" s="27" t="s">
        <v>8</v>
      </c>
      <c r="LR703" s="27" t="s">
        <v>7</v>
      </c>
      <c r="LS703" s="27" t="s">
        <v>8</v>
      </c>
      <c r="LT703" s="27" t="s">
        <v>7</v>
      </c>
      <c r="LU703" s="27" t="s">
        <v>8</v>
      </c>
      <c r="LX703" s="27" t="s">
        <v>7</v>
      </c>
      <c r="LY703" s="27" t="s">
        <v>8</v>
      </c>
      <c r="LZ703" s="27" t="s">
        <v>7</v>
      </c>
      <c r="MA703" s="27" t="s">
        <v>8</v>
      </c>
      <c r="MB703" s="27" t="s">
        <v>7</v>
      </c>
      <c r="MW703" s="27" t="s">
        <v>8</v>
      </c>
      <c r="MX703" s="27" t="s">
        <v>7</v>
      </c>
      <c r="MY703" s="27" t="s">
        <v>8</v>
      </c>
      <c r="MZ703" s="27" t="s">
        <v>7</v>
      </c>
      <c r="NA703" s="27" t="s">
        <v>8</v>
      </c>
      <c r="NC703" s="27" t="s">
        <v>8</v>
      </c>
      <c r="ND703" s="27" t="s">
        <v>7</v>
      </c>
      <c r="NE703" s="27" t="s">
        <v>8</v>
      </c>
      <c r="NF703" s="27" t="s">
        <v>7</v>
      </c>
      <c r="NG703" s="27" t="s">
        <v>8</v>
      </c>
      <c r="NH703" s="27" t="s">
        <v>7</v>
      </c>
      <c r="NI703" s="27" t="s">
        <v>8</v>
      </c>
      <c r="NJ703" s="27" t="s">
        <v>7</v>
      </c>
      <c r="NK703" s="27" t="s">
        <v>8</v>
      </c>
      <c r="NL703" s="27" t="s">
        <v>7</v>
      </c>
      <c r="NN703" s="27" t="s">
        <v>7</v>
      </c>
      <c r="NO703" s="27" t="s">
        <v>8</v>
      </c>
      <c r="NP703" s="27" t="s">
        <v>7</v>
      </c>
      <c r="NQ703" s="27" t="s">
        <v>8</v>
      </c>
      <c r="NS703" s="27" t="s">
        <v>8</v>
      </c>
      <c r="NT703" s="27" t="s">
        <v>7</v>
      </c>
      <c r="OK703" s="27" t="s">
        <v>8</v>
      </c>
      <c r="OL703" s="27" t="s">
        <v>7</v>
      </c>
      <c r="OQ703" s="27" t="s">
        <v>8</v>
      </c>
      <c r="PJ703" s="27" t="s">
        <v>7</v>
      </c>
      <c r="PK703" s="27" t="s">
        <v>8</v>
      </c>
      <c r="PL703" s="27" t="s">
        <v>7</v>
      </c>
      <c r="PM703" s="27" t="s">
        <v>8</v>
      </c>
      <c r="PP703" s="27" t="s">
        <v>7</v>
      </c>
      <c r="PQ703" s="27" t="s">
        <v>8</v>
      </c>
      <c r="PR703" s="27" t="s">
        <v>7</v>
      </c>
      <c r="PS703" s="27" t="s">
        <v>8</v>
      </c>
      <c r="PV703" s="27" t="s">
        <v>7</v>
      </c>
      <c r="PW703" s="27" t="s">
        <v>8</v>
      </c>
      <c r="PX703" s="27" t="s">
        <v>7</v>
      </c>
    </row>
    <row r="704" spans="1:441" x14ac:dyDescent="0.25">
      <c r="A704" s="7">
        <v>9.8577977558580512E-2</v>
      </c>
      <c r="B704"/>
      <c r="C704"/>
      <c r="D704"/>
      <c r="E704"/>
      <c r="F704" s="27" t="s">
        <v>7</v>
      </c>
      <c r="KG704" s="27" t="s">
        <v>8</v>
      </c>
      <c r="KH704" s="27" t="s">
        <v>7</v>
      </c>
      <c r="KI704" s="27" t="s">
        <v>8</v>
      </c>
      <c r="LR704" s="27" t="s">
        <v>7</v>
      </c>
      <c r="LS704" s="27" t="s">
        <v>8</v>
      </c>
      <c r="LT704" s="27" t="s">
        <v>7</v>
      </c>
      <c r="LU704" s="27" t="s">
        <v>8</v>
      </c>
      <c r="LX704" s="27" t="s">
        <v>7</v>
      </c>
      <c r="LY704" s="27" t="s">
        <v>8</v>
      </c>
      <c r="LZ704" s="27" t="s">
        <v>7</v>
      </c>
      <c r="MB704" s="27" t="s">
        <v>7</v>
      </c>
      <c r="MW704" s="27" t="s">
        <v>8</v>
      </c>
      <c r="MX704" s="27" t="s">
        <v>7</v>
      </c>
      <c r="MY704" s="27" t="s">
        <v>8</v>
      </c>
      <c r="MZ704" s="27" t="s">
        <v>7</v>
      </c>
      <c r="NA704" s="27" t="s">
        <v>8</v>
      </c>
      <c r="NB704" s="27" t="s">
        <v>7</v>
      </c>
      <c r="NC704" s="27" t="s">
        <v>8</v>
      </c>
      <c r="ND704" s="27" t="s">
        <v>7</v>
      </c>
      <c r="NE704" s="27" t="s">
        <v>8</v>
      </c>
      <c r="NF704" s="27" t="s">
        <v>7</v>
      </c>
      <c r="NG704" s="27" t="s">
        <v>8</v>
      </c>
      <c r="NH704" s="27" t="s">
        <v>7</v>
      </c>
      <c r="NI704" s="27" t="s">
        <v>8</v>
      </c>
      <c r="NJ704" s="27" t="s">
        <v>7</v>
      </c>
      <c r="NN704" s="27" t="s">
        <v>7</v>
      </c>
      <c r="NO704" s="27" t="s">
        <v>8</v>
      </c>
      <c r="NP704" s="27" t="s">
        <v>7</v>
      </c>
      <c r="NQ704" s="27" t="s">
        <v>8</v>
      </c>
      <c r="NR704" s="27" t="s">
        <v>7</v>
      </c>
      <c r="NS704" s="27" t="s">
        <v>8</v>
      </c>
      <c r="NT704" s="27" t="s">
        <v>7</v>
      </c>
      <c r="OK704" s="27" t="s">
        <v>8</v>
      </c>
      <c r="OL704" s="27" t="s">
        <v>7</v>
      </c>
      <c r="OQ704" s="27" t="s">
        <v>8</v>
      </c>
      <c r="PJ704" s="27" t="s">
        <v>7</v>
      </c>
      <c r="PK704" s="27" t="s">
        <v>8</v>
      </c>
      <c r="PL704" s="27" t="s">
        <v>7</v>
      </c>
      <c r="PM704" s="27" t="s">
        <v>8</v>
      </c>
      <c r="PP704" s="27" t="s">
        <v>7</v>
      </c>
      <c r="PQ704" s="27" t="s">
        <v>8</v>
      </c>
      <c r="PR704" s="27" t="s">
        <v>7</v>
      </c>
      <c r="PS704" s="27" t="s">
        <v>8</v>
      </c>
      <c r="PV704" s="27" t="s">
        <v>7</v>
      </c>
      <c r="PX704" s="27" t="s">
        <v>7</v>
      </c>
      <c r="PY704" s="27" t="s">
        <v>8</v>
      </c>
    </row>
    <row r="705" spans="1:445" x14ac:dyDescent="0.25">
      <c r="A705" s="7">
        <v>9.6645076037824032E-2</v>
      </c>
      <c r="B705"/>
      <c r="C705"/>
      <c r="D705"/>
      <c r="E705"/>
      <c r="F705" s="27" t="s">
        <v>7</v>
      </c>
      <c r="KG705" s="27" t="s">
        <v>8</v>
      </c>
      <c r="KH705" s="27" t="s">
        <v>7</v>
      </c>
      <c r="KI705" s="27" t="s">
        <v>8</v>
      </c>
      <c r="LR705" s="27" t="s">
        <v>7</v>
      </c>
      <c r="LS705" s="27" t="s">
        <v>8</v>
      </c>
      <c r="LT705" s="27" t="s">
        <v>7</v>
      </c>
      <c r="LU705" s="27" t="s">
        <v>8</v>
      </c>
      <c r="LX705" s="27" t="s">
        <v>7</v>
      </c>
      <c r="LY705" s="27" t="s">
        <v>8</v>
      </c>
      <c r="MB705" s="27" t="s">
        <v>7</v>
      </c>
      <c r="MW705" s="27" t="s">
        <v>8</v>
      </c>
      <c r="MX705" s="27" t="s">
        <v>7</v>
      </c>
      <c r="MY705" s="27" t="s">
        <v>8</v>
      </c>
      <c r="MZ705" s="27" t="s">
        <v>7</v>
      </c>
      <c r="NA705" s="27" t="s">
        <v>8</v>
      </c>
      <c r="NB705" s="27" t="s">
        <v>7</v>
      </c>
      <c r="NC705" s="27" t="s">
        <v>8</v>
      </c>
      <c r="ND705" s="27" t="s">
        <v>7</v>
      </c>
      <c r="NE705" s="27" t="s">
        <v>8</v>
      </c>
      <c r="NF705" s="27" t="s">
        <v>7</v>
      </c>
      <c r="NG705" s="27" t="s">
        <v>8</v>
      </c>
      <c r="NH705" s="27" t="s">
        <v>7</v>
      </c>
      <c r="NN705" s="27" t="s">
        <v>7</v>
      </c>
      <c r="NO705" s="27" t="s">
        <v>8</v>
      </c>
      <c r="NP705" s="27" t="s">
        <v>7</v>
      </c>
      <c r="NQ705" s="27" t="s">
        <v>8</v>
      </c>
      <c r="NR705" s="27" t="s">
        <v>7</v>
      </c>
      <c r="NS705" s="27" t="s">
        <v>8</v>
      </c>
      <c r="NT705" s="27" t="s">
        <v>7</v>
      </c>
      <c r="OK705" s="27" t="s">
        <v>8</v>
      </c>
      <c r="OL705" s="27" t="s">
        <v>7</v>
      </c>
      <c r="OQ705" s="27" t="s">
        <v>8</v>
      </c>
      <c r="PJ705" s="27" t="s">
        <v>7</v>
      </c>
      <c r="PK705" s="27" t="s">
        <v>8</v>
      </c>
      <c r="PL705" s="27" t="s">
        <v>7</v>
      </c>
      <c r="PP705" s="27" t="s">
        <v>7</v>
      </c>
      <c r="PQ705" s="27" t="s">
        <v>8</v>
      </c>
      <c r="PR705" s="27" t="s">
        <v>7</v>
      </c>
      <c r="PS705" s="27" t="s">
        <v>8</v>
      </c>
      <c r="PX705" s="27" t="s">
        <v>7</v>
      </c>
      <c r="PY705" s="27" t="s">
        <v>8</v>
      </c>
      <c r="PZ705" s="27" t="s">
        <v>7</v>
      </c>
    </row>
    <row r="706" spans="1:445" x14ac:dyDescent="0.25">
      <c r="A706" s="7">
        <v>9.4750074546886304E-2</v>
      </c>
      <c r="B706"/>
      <c r="C706"/>
      <c r="D706"/>
      <c r="E706"/>
      <c r="F706" s="27" t="s">
        <v>7</v>
      </c>
      <c r="KG706" s="27" t="s">
        <v>8</v>
      </c>
      <c r="KH706" s="27" t="s">
        <v>7</v>
      </c>
      <c r="KI706" s="27" t="s">
        <v>8</v>
      </c>
      <c r="LR706" s="27" t="s">
        <v>7</v>
      </c>
      <c r="LS706" s="27" t="s">
        <v>8</v>
      </c>
      <c r="LT706" s="27" t="s">
        <v>7</v>
      </c>
      <c r="LU706" s="27" t="s">
        <v>8</v>
      </c>
      <c r="LX706" s="27" t="s">
        <v>7</v>
      </c>
      <c r="LY706" s="27" t="s">
        <v>8</v>
      </c>
      <c r="MB706" s="27" t="s">
        <v>7</v>
      </c>
      <c r="MC706" s="27" t="s">
        <v>8</v>
      </c>
      <c r="MW706" s="27" t="s">
        <v>8</v>
      </c>
      <c r="MX706" s="27" t="s">
        <v>7</v>
      </c>
      <c r="MY706" s="27" t="s">
        <v>8</v>
      </c>
      <c r="MZ706" s="27" t="s">
        <v>7</v>
      </c>
      <c r="NA706" s="27" t="s">
        <v>8</v>
      </c>
      <c r="NB706" s="27" t="s">
        <v>7</v>
      </c>
      <c r="NC706" s="27" t="s">
        <v>8</v>
      </c>
      <c r="ND706" s="27" t="s">
        <v>7</v>
      </c>
      <c r="NE706" s="27" t="s">
        <v>8</v>
      </c>
      <c r="NF706" s="27" t="s">
        <v>7</v>
      </c>
      <c r="NG706" s="27" t="s">
        <v>8</v>
      </c>
      <c r="NN706" s="27" t="s">
        <v>7</v>
      </c>
      <c r="NO706" s="27" t="s">
        <v>8</v>
      </c>
      <c r="NP706" s="27" t="s">
        <v>7</v>
      </c>
      <c r="NR706" s="27" t="s">
        <v>7</v>
      </c>
      <c r="NS706" s="27" t="s">
        <v>8</v>
      </c>
      <c r="NT706" s="27" t="s">
        <v>7</v>
      </c>
      <c r="OE706" s="27" t="s">
        <v>8</v>
      </c>
      <c r="OK706" s="27" t="s">
        <v>8</v>
      </c>
      <c r="OL706" s="27" t="s">
        <v>7</v>
      </c>
      <c r="OM706" s="27" t="s">
        <v>8</v>
      </c>
      <c r="OO706" s="27" t="s">
        <v>8</v>
      </c>
      <c r="OQ706" s="27" t="s">
        <v>8</v>
      </c>
      <c r="PJ706" s="27" t="s">
        <v>7</v>
      </c>
      <c r="PK706" s="27" t="s">
        <v>8</v>
      </c>
      <c r="PP706" s="27" t="s">
        <v>7</v>
      </c>
      <c r="PQ706" s="27" t="s">
        <v>8</v>
      </c>
      <c r="PR706" s="27" t="s">
        <v>7</v>
      </c>
      <c r="PX706" s="27" t="s">
        <v>7</v>
      </c>
      <c r="PY706" s="27" t="s">
        <v>8</v>
      </c>
      <c r="PZ706" s="27" t="s">
        <v>7</v>
      </c>
    </row>
    <row r="707" spans="1:445" x14ac:dyDescent="0.25">
      <c r="A707" s="7">
        <v>9.2892229947927743E-2</v>
      </c>
      <c r="B707"/>
      <c r="C707"/>
      <c r="D707"/>
      <c r="E707"/>
      <c r="F707" s="27" t="s">
        <v>7</v>
      </c>
      <c r="KG707" s="27" t="s">
        <v>8</v>
      </c>
      <c r="KH707" s="27" t="s">
        <v>7</v>
      </c>
      <c r="KI707" s="27" t="s">
        <v>8</v>
      </c>
      <c r="LR707" s="27" t="s">
        <v>7</v>
      </c>
      <c r="LS707" s="27" t="s">
        <v>8</v>
      </c>
      <c r="LT707" s="27" t="s">
        <v>7</v>
      </c>
      <c r="LU707" s="27" t="s">
        <v>8</v>
      </c>
      <c r="LX707" s="27" t="s">
        <v>7</v>
      </c>
      <c r="LY707" s="27" t="s">
        <v>8</v>
      </c>
      <c r="MB707" s="27" t="s">
        <v>7</v>
      </c>
      <c r="MC707" s="27" t="s">
        <v>8</v>
      </c>
      <c r="MD707" s="27" t="s">
        <v>7</v>
      </c>
      <c r="MW707" s="27" t="s">
        <v>8</v>
      </c>
      <c r="MX707" s="27" t="s">
        <v>7</v>
      </c>
      <c r="MY707" s="27" t="s">
        <v>8</v>
      </c>
      <c r="MZ707" s="27" t="s">
        <v>7</v>
      </c>
      <c r="NA707" s="27" t="s">
        <v>8</v>
      </c>
      <c r="NB707" s="27" t="s">
        <v>7</v>
      </c>
      <c r="NC707" s="27" t="s">
        <v>8</v>
      </c>
      <c r="ND707" s="27" t="s">
        <v>7</v>
      </c>
      <c r="NF707" s="27" t="s">
        <v>7</v>
      </c>
      <c r="NG707" s="27" t="s">
        <v>8</v>
      </c>
      <c r="NN707" s="27" t="s">
        <v>7</v>
      </c>
      <c r="NO707" s="27" t="s">
        <v>8</v>
      </c>
      <c r="NR707" s="27" t="s">
        <v>7</v>
      </c>
      <c r="NS707" s="27" t="s">
        <v>8</v>
      </c>
      <c r="NT707" s="27" t="s">
        <v>7</v>
      </c>
      <c r="OC707" s="27" t="s">
        <v>8</v>
      </c>
      <c r="OE707" s="27" t="s">
        <v>8</v>
      </c>
      <c r="OF707" s="27" t="s">
        <v>7</v>
      </c>
      <c r="OG707" s="27" t="s">
        <v>8</v>
      </c>
      <c r="OI707" s="27" t="s">
        <v>8</v>
      </c>
      <c r="OK707" s="27" t="s">
        <v>8</v>
      </c>
      <c r="OL707" s="27" t="s">
        <v>7</v>
      </c>
      <c r="OM707" s="27" t="s">
        <v>8</v>
      </c>
      <c r="ON707" s="27" t="s">
        <v>7</v>
      </c>
      <c r="OO707" s="27" t="s">
        <v>8</v>
      </c>
      <c r="OP707" s="27" t="s">
        <v>7</v>
      </c>
      <c r="OQ707" s="27" t="s">
        <v>8</v>
      </c>
      <c r="PJ707" s="27" t="s">
        <v>7</v>
      </c>
      <c r="PK707" s="27" t="s">
        <v>8</v>
      </c>
      <c r="PP707" s="27" t="s">
        <v>7</v>
      </c>
      <c r="PX707" s="27" t="s">
        <v>7</v>
      </c>
      <c r="PY707" s="27" t="s">
        <v>8</v>
      </c>
      <c r="PZ707" s="27" t="s">
        <v>7</v>
      </c>
    </row>
    <row r="708" spans="1:445" x14ac:dyDescent="0.25">
      <c r="A708" s="7">
        <v>9.1070813674438963E-2</v>
      </c>
      <c r="B708"/>
      <c r="C708"/>
      <c r="D708"/>
      <c r="E708"/>
      <c r="F708" s="27" t="s">
        <v>7</v>
      </c>
      <c r="KG708" s="27" t="s">
        <v>8</v>
      </c>
      <c r="KH708" s="27" t="s">
        <v>7</v>
      </c>
      <c r="KI708" s="27" t="s">
        <v>8</v>
      </c>
      <c r="LR708" s="27" t="s">
        <v>7</v>
      </c>
      <c r="LS708" s="27" t="s">
        <v>8</v>
      </c>
      <c r="LT708" s="27" t="s">
        <v>7</v>
      </c>
      <c r="LU708" s="27" t="s">
        <v>8</v>
      </c>
      <c r="LX708" s="27" t="s">
        <v>7</v>
      </c>
      <c r="LY708" s="27" t="s">
        <v>8</v>
      </c>
      <c r="MB708" s="27" t="s">
        <v>7</v>
      </c>
      <c r="MC708" s="27" t="s">
        <v>8</v>
      </c>
      <c r="MD708" s="27" t="s">
        <v>7</v>
      </c>
      <c r="MW708" s="27" t="s">
        <v>8</v>
      </c>
      <c r="MX708" s="27" t="s">
        <v>7</v>
      </c>
      <c r="MZ708" s="27" t="s">
        <v>7</v>
      </c>
      <c r="NB708" s="27" t="s">
        <v>7</v>
      </c>
      <c r="NC708" s="27" t="s">
        <v>8</v>
      </c>
      <c r="NF708" s="27" t="s">
        <v>7</v>
      </c>
      <c r="NN708" s="27" t="s">
        <v>7</v>
      </c>
      <c r="NO708" s="27" t="s">
        <v>8</v>
      </c>
      <c r="NR708" s="27" t="s">
        <v>7</v>
      </c>
      <c r="NS708" s="27" t="s">
        <v>8</v>
      </c>
      <c r="NT708" s="27" t="s">
        <v>7</v>
      </c>
      <c r="OC708" s="27" t="s">
        <v>8</v>
      </c>
      <c r="OD708" s="27" t="s">
        <v>7</v>
      </c>
      <c r="OE708" s="27" t="s">
        <v>8</v>
      </c>
      <c r="OF708" s="27" t="s">
        <v>7</v>
      </c>
      <c r="OG708" s="27" t="s">
        <v>8</v>
      </c>
      <c r="OH708" s="27" t="s">
        <v>7</v>
      </c>
      <c r="OI708" s="27" t="s">
        <v>8</v>
      </c>
      <c r="OJ708" s="27" t="s">
        <v>7</v>
      </c>
      <c r="OK708" s="27" t="s">
        <v>8</v>
      </c>
      <c r="OL708" s="27" t="s">
        <v>7</v>
      </c>
      <c r="OM708" s="27" t="s">
        <v>8</v>
      </c>
      <c r="ON708" s="27" t="s">
        <v>7</v>
      </c>
      <c r="OO708" s="27" t="s">
        <v>8</v>
      </c>
      <c r="OP708" s="27" t="s">
        <v>7</v>
      </c>
      <c r="OQ708" s="27" t="s">
        <v>8</v>
      </c>
      <c r="PJ708" s="27" t="s">
        <v>7</v>
      </c>
      <c r="PK708" s="27" t="s">
        <v>8</v>
      </c>
      <c r="PX708" s="27" t="s">
        <v>7</v>
      </c>
      <c r="PY708" s="27" t="s">
        <v>8</v>
      </c>
      <c r="PZ708" s="27" t="s">
        <v>7</v>
      </c>
    </row>
    <row r="709" spans="1:445" x14ac:dyDescent="0.25">
      <c r="A709" s="7">
        <v>8.9285111445528392E-2</v>
      </c>
      <c r="B709"/>
      <c r="C709"/>
      <c r="D709"/>
      <c r="E709"/>
      <c r="F709" s="27" t="s">
        <v>7</v>
      </c>
      <c r="KG709" s="27" t="s">
        <v>8</v>
      </c>
      <c r="KH709" s="27" t="s">
        <v>7</v>
      </c>
      <c r="KI709" s="27" t="s">
        <v>8</v>
      </c>
      <c r="LR709" s="27" t="s">
        <v>7</v>
      </c>
      <c r="LS709" s="27" t="s">
        <v>8</v>
      </c>
      <c r="LT709" s="27" t="s">
        <v>7</v>
      </c>
      <c r="LU709" s="27" t="s">
        <v>8</v>
      </c>
      <c r="LX709" s="27" t="s">
        <v>7</v>
      </c>
      <c r="MB709" s="27" t="s">
        <v>7</v>
      </c>
      <c r="MC709" s="27" t="s">
        <v>8</v>
      </c>
      <c r="MD709" s="27" t="s">
        <v>7</v>
      </c>
      <c r="ME709" s="27" t="s">
        <v>8</v>
      </c>
      <c r="MU709" s="27" t="s">
        <v>8</v>
      </c>
      <c r="MW709" s="27" t="s">
        <v>8</v>
      </c>
      <c r="NB709" s="27" t="s">
        <v>7</v>
      </c>
      <c r="NN709" s="27" t="s">
        <v>7</v>
      </c>
      <c r="NO709" s="27" t="s">
        <v>8</v>
      </c>
      <c r="NR709" s="27" t="s">
        <v>7</v>
      </c>
      <c r="NT709" s="27" t="s">
        <v>7</v>
      </c>
      <c r="OC709" s="27" t="s">
        <v>8</v>
      </c>
      <c r="OD709" s="27" t="s">
        <v>7</v>
      </c>
      <c r="OE709" s="27" t="s">
        <v>8</v>
      </c>
      <c r="OF709" s="27" t="s">
        <v>7</v>
      </c>
      <c r="OG709" s="27" t="s">
        <v>8</v>
      </c>
      <c r="OH709" s="27" t="s">
        <v>7</v>
      </c>
      <c r="OI709" s="27" t="s">
        <v>8</v>
      </c>
      <c r="OJ709" s="27" t="s">
        <v>7</v>
      </c>
      <c r="OK709" s="27" t="s">
        <v>8</v>
      </c>
      <c r="OL709" s="27" t="s">
        <v>7</v>
      </c>
      <c r="ON709" s="27" t="s">
        <v>7</v>
      </c>
      <c r="OO709" s="27" t="s">
        <v>8</v>
      </c>
      <c r="OP709" s="27" t="s">
        <v>7</v>
      </c>
      <c r="PJ709" s="27" t="s">
        <v>7</v>
      </c>
      <c r="PX709" s="27" t="s">
        <v>7</v>
      </c>
      <c r="PY709" s="27" t="s">
        <v>8</v>
      </c>
      <c r="PZ709" s="27" t="s">
        <v>7</v>
      </c>
    </row>
    <row r="710" spans="1:445" x14ac:dyDescent="0.25">
      <c r="A710" s="7">
        <v>8.7534422985812155E-2</v>
      </c>
      <c r="B710"/>
      <c r="C710"/>
      <c r="D710"/>
      <c r="E710"/>
      <c r="F710" s="27" t="s">
        <v>7</v>
      </c>
      <c r="KG710" s="27" t="s">
        <v>8</v>
      </c>
      <c r="KH710" s="27" t="s">
        <v>7</v>
      </c>
      <c r="KI710" s="27" t="s">
        <v>8</v>
      </c>
      <c r="LR710" s="27" t="s">
        <v>7</v>
      </c>
      <c r="LS710" s="27" t="s">
        <v>8</v>
      </c>
      <c r="LT710" s="27" t="s">
        <v>7</v>
      </c>
      <c r="LU710" s="27" t="s">
        <v>8</v>
      </c>
      <c r="MB710" s="27" t="s">
        <v>7</v>
      </c>
      <c r="MC710" s="27" t="s">
        <v>8</v>
      </c>
      <c r="MD710" s="27" t="s">
        <v>7</v>
      </c>
      <c r="ME710" s="27" t="s">
        <v>8</v>
      </c>
      <c r="MF710" s="27" t="s">
        <v>7</v>
      </c>
      <c r="MU710" s="27" t="s">
        <v>8</v>
      </c>
      <c r="MV710" s="27" t="s">
        <v>7</v>
      </c>
      <c r="MW710" s="27" t="s">
        <v>8</v>
      </c>
      <c r="NN710" s="27" t="s">
        <v>7</v>
      </c>
      <c r="NO710" s="27" t="s">
        <v>8</v>
      </c>
      <c r="NT710" s="27" t="s">
        <v>7</v>
      </c>
      <c r="NU710" s="27" t="s">
        <v>8</v>
      </c>
      <c r="OA710" s="27" t="s">
        <v>8</v>
      </c>
      <c r="OC710" s="27" t="s">
        <v>8</v>
      </c>
      <c r="OD710" s="27" t="s">
        <v>7</v>
      </c>
      <c r="OE710" s="27" t="s">
        <v>8</v>
      </c>
      <c r="OF710" s="27" t="s">
        <v>7</v>
      </c>
      <c r="OG710" s="27" t="s">
        <v>8</v>
      </c>
      <c r="OH710" s="27" t="s">
        <v>7</v>
      </c>
      <c r="OI710" s="27" t="s">
        <v>8</v>
      </c>
      <c r="OJ710" s="27" t="s">
        <v>7</v>
      </c>
      <c r="OK710" s="27" t="s">
        <v>8</v>
      </c>
      <c r="ON710" s="27" t="s">
        <v>7</v>
      </c>
      <c r="OO710" s="27" t="s">
        <v>8</v>
      </c>
      <c r="PX710" s="27" t="s">
        <v>7</v>
      </c>
      <c r="PY710" s="27" t="s">
        <v>8</v>
      </c>
      <c r="PZ710" s="27" t="s">
        <v>7</v>
      </c>
    </row>
    <row r="711" spans="1:445" x14ac:dyDescent="0.25">
      <c r="A711" s="7">
        <v>8.5818061750796232E-2</v>
      </c>
      <c r="B711"/>
      <c r="C711"/>
      <c r="D711"/>
      <c r="E711"/>
      <c r="F711" s="27" t="s">
        <v>7</v>
      </c>
      <c r="KA711" s="27" t="s">
        <v>8</v>
      </c>
      <c r="KG711" s="27" t="s">
        <v>8</v>
      </c>
      <c r="KH711" s="27" t="s">
        <v>7</v>
      </c>
      <c r="KI711" s="27" t="s">
        <v>8</v>
      </c>
      <c r="LR711" s="27" t="s">
        <v>7</v>
      </c>
      <c r="LS711" s="27" t="s">
        <v>8</v>
      </c>
      <c r="LT711" s="27" t="s">
        <v>7</v>
      </c>
      <c r="LU711" s="27" t="s">
        <v>8</v>
      </c>
      <c r="MB711" s="27" t="s">
        <v>7</v>
      </c>
      <c r="MD711" s="27" t="s">
        <v>7</v>
      </c>
      <c r="ME711" s="27" t="s">
        <v>8</v>
      </c>
      <c r="MF711" s="27" t="s">
        <v>7</v>
      </c>
      <c r="MU711" s="27" t="s">
        <v>8</v>
      </c>
      <c r="MV711" s="27" t="s">
        <v>7</v>
      </c>
      <c r="MW711" s="27" t="s">
        <v>8</v>
      </c>
      <c r="NN711" s="27" t="s">
        <v>7</v>
      </c>
      <c r="NO711" s="27" t="s">
        <v>8</v>
      </c>
      <c r="NT711" s="27" t="s">
        <v>7</v>
      </c>
      <c r="NU711" s="27" t="s">
        <v>8</v>
      </c>
      <c r="NV711" s="27" t="s">
        <v>7</v>
      </c>
      <c r="OA711" s="27" t="s">
        <v>8</v>
      </c>
      <c r="OB711" s="27" t="s">
        <v>7</v>
      </c>
      <c r="OC711" s="27" t="s">
        <v>8</v>
      </c>
      <c r="OD711" s="27" t="s">
        <v>7</v>
      </c>
      <c r="OF711" s="27" t="s">
        <v>7</v>
      </c>
      <c r="OG711" s="27" t="s">
        <v>8</v>
      </c>
      <c r="OH711" s="27" t="s">
        <v>7</v>
      </c>
      <c r="OJ711" s="27" t="s">
        <v>7</v>
      </c>
      <c r="ON711" s="27" t="s">
        <v>7</v>
      </c>
      <c r="OO711" s="27" t="s">
        <v>8</v>
      </c>
      <c r="PX711" s="27" t="s">
        <v>7</v>
      </c>
      <c r="PY711" s="27" t="s">
        <v>8</v>
      </c>
      <c r="PZ711" s="27" t="s">
        <v>7</v>
      </c>
    </row>
    <row r="712" spans="1:445" x14ac:dyDescent="0.25">
      <c r="A712" s="7">
        <v>8.4135354657643366E-2</v>
      </c>
      <c r="B712"/>
      <c r="C712"/>
      <c r="D712"/>
      <c r="E712"/>
      <c r="F712" s="27" t="s">
        <v>7</v>
      </c>
      <c r="KA712" s="27" t="s">
        <v>8</v>
      </c>
      <c r="KB712" s="27" t="s">
        <v>7</v>
      </c>
      <c r="KE712" s="27" t="s">
        <v>8</v>
      </c>
      <c r="KG712" s="27" t="s">
        <v>8</v>
      </c>
      <c r="KH712" s="27" t="s">
        <v>7</v>
      </c>
      <c r="KI712" s="27" t="s">
        <v>8</v>
      </c>
      <c r="LR712" s="27" t="s">
        <v>7</v>
      </c>
      <c r="LS712" s="27" t="s">
        <v>8</v>
      </c>
      <c r="LT712" s="27" t="s">
        <v>7</v>
      </c>
      <c r="LU712" s="27" t="s">
        <v>8</v>
      </c>
      <c r="MD712" s="27" t="s">
        <v>7</v>
      </c>
      <c r="ME712" s="27" t="s">
        <v>8</v>
      </c>
      <c r="MF712" s="27" t="s">
        <v>7</v>
      </c>
      <c r="MU712" s="27" t="s">
        <v>8</v>
      </c>
      <c r="MV712" s="27" t="s">
        <v>7</v>
      </c>
      <c r="MW712" s="27" t="s">
        <v>8</v>
      </c>
      <c r="NN712" s="27" t="s">
        <v>7</v>
      </c>
      <c r="NT712" s="27" t="s">
        <v>7</v>
      </c>
      <c r="NU712" s="27" t="s">
        <v>8</v>
      </c>
      <c r="NV712" s="27" t="s">
        <v>7</v>
      </c>
      <c r="OA712" s="27" t="s">
        <v>8</v>
      </c>
      <c r="OB712" s="27" t="s">
        <v>7</v>
      </c>
      <c r="OC712" s="27" t="s">
        <v>8</v>
      </c>
      <c r="OF712" s="27" t="s">
        <v>7</v>
      </c>
      <c r="OG712" s="27" t="s">
        <v>8</v>
      </c>
      <c r="ON712" s="27" t="s">
        <v>7</v>
      </c>
      <c r="OO712" s="27" t="s">
        <v>8</v>
      </c>
      <c r="PX712" s="27" t="s">
        <v>7</v>
      </c>
      <c r="PZ712" s="27" t="s">
        <v>7</v>
      </c>
    </row>
    <row r="713" spans="1:445" x14ac:dyDescent="0.25">
      <c r="A713" s="7">
        <v>8.248564182121898E-2</v>
      </c>
      <c r="B713"/>
      <c r="C713"/>
      <c r="D713"/>
      <c r="E713"/>
      <c r="F713" s="27" t="s">
        <v>7</v>
      </c>
      <c r="KA713" s="27" t="s">
        <v>8</v>
      </c>
      <c r="KB713" s="27" t="s">
        <v>7</v>
      </c>
      <c r="KE713" s="27" t="s">
        <v>8</v>
      </c>
      <c r="KF713" s="27" t="s">
        <v>7</v>
      </c>
      <c r="KG713" s="27" t="s">
        <v>8</v>
      </c>
      <c r="KH713" s="27" t="s">
        <v>7</v>
      </c>
      <c r="KI713" s="27" t="s">
        <v>8</v>
      </c>
      <c r="LR713" s="27" t="s">
        <v>7</v>
      </c>
      <c r="LS713" s="27" t="s">
        <v>8</v>
      </c>
      <c r="LT713" s="27" t="s">
        <v>7</v>
      </c>
      <c r="LU713" s="27" t="s">
        <v>8</v>
      </c>
      <c r="MD713" s="27" t="s">
        <v>7</v>
      </c>
      <c r="ME713" s="27" t="s">
        <v>8</v>
      </c>
      <c r="MF713" s="27" t="s">
        <v>7</v>
      </c>
      <c r="MG713" s="27" t="s">
        <v>8</v>
      </c>
      <c r="MI713" s="27" t="s">
        <v>8</v>
      </c>
      <c r="MU713" s="27" t="s">
        <v>8</v>
      </c>
      <c r="MV713" s="27" t="s">
        <v>7</v>
      </c>
      <c r="MW713" s="27" t="s">
        <v>8</v>
      </c>
      <c r="NT713" s="27" t="s">
        <v>7</v>
      </c>
      <c r="NU713" s="27" t="s">
        <v>8</v>
      </c>
      <c r="NV713" s="27" t="s">
        <v>7</v>
      </c>
      <c r="NW713" s="27" t="s">
        <v>8</v>
      </c>
      <c r="OA713" s="27" t="s">
        <v>8</v>
      </c>
      <c r="OB713" s="27" t="s">
        <v>7</v>
      </c>
      <c r="OC713" s="27" t="s">
        <v>8</v>
      </c>
      <c r="OF713" s="27" t="s">
        <v>7</v>
      </c>
      <c r="ON713" s="27" t="s">
        <v>7</v>
      </c>
      <c r="OO713" s="27" t="s">
        <v>8</v>
      </c>
      <c r="PZ713" s="27" t="s">
        <v>7</v>
      </c>
    </row>
    <row r="714" spans="1:445" x14ac:dyDescent="0.25">
      <c r="A714" s="7">
        <v>8.0868276295312735E-2</v>
      </c>
      <c r="B714"/>
      <c r="C714"/>
      <c r="D714"/>
      <c r="E714"/>
      <c r="F714" s="27" t="s">
        <v>7</v>
      </c>
      <c r="KA714" s="27" t="s">
        <v>8</v>
      </c>
      <c r="KB714" s="27" t="s">
        <v>7</v>
      </c>
      <c r="KE714" s="27" t="s">
        <v>8</v>
      </c>
      <c r="KF714" s="27" t="s">
        <v>7</v>
      </c>
      <c r="KG714" s="27" t="s">
        <v>8</v>
      </c>
      <c r="KH714" s="27" t="s">
        <v>7</v>
      </c>
      <c r="LR714" s="27" t="s">
        <v>7</v>
      </c>
      <c r="LS714" s="27" t="s">
        <v>8</v>
      </c>
      <c r="LT714" s="27" t="s">
        <v>7</v>
      </c>
      <c r="LU714" s="27" t="s">
        <v>8</v>
      </c>
      <c r="MD714" s="27" t="s">
        <v>7</v>
      </c>
      <c r="ME714" s="27" t="s">
        <v>8</v>
      </c>
      <c r="MF714" s="27" t="s">
        <v>7</v>
      </c>
      <c r="MG714" s="27" t="s">
        <v>8</v>
      </c>
      <c r="MH714" s="27" t="s">
        <v>7</v>
      </c>
      <c r="MI714" s="27" t="s">
        <v>8</v>
      </c>
      <c r="MJ714" s="27" t="s">
        <v>7</v>
      </c>
      <c r="MM714" s="27" t="s">
        <v>8</v>
      </c>
      <c r="MU714" s="27" t="s">
        <v>8</v>
      </c>
      <c r="MV714" s="27" t="s">
        <v>7</v>
      </c>
      <c r="MW714" s="27" t="s">
        <v>8</v>
      </c>
      <c r="NT714" s="27" t="s">
        <v>7</v>
      </c>
      <c r="NU714" s="27" t="s">
        <v>8</v>
      </c>
      <c r="NV714" s="27" t="s">
        <v>7</v>
      </c>
      <c r="NW714" s="27" t="s">
        <v>8</v>
      </c>
      <c r="NX714" s="27" t="s">
        <v>7</v>
      </c>
      <c r="NY714" s="27" t="s">
        <v>8</v>
      </c>
      <c r="OA714" s="27" t="s">
        <v>8</v>
      </c>
      <c r="OB714" s="27" t="s">
        <v>7</v>
      </c>
      <c r="ON714" s="27" t="s">
        <v>7</v>
      </c>
      <c r="PZ714" s="27" t="s">
        <v>7</v>
      </c>
    </row>
    <row r="715" spans="1:445" x14ac:dyDescent="0.25">
      <c r="A715" s="7">
        <v>7.9282623818934056E-2</v>
      </c>
      <c r="B715"/>
      <c r="C715"/>
      <c r="D715"/>
      <c r="E715"/>
      <c r="F715" s="27" t="s">
        <v>7</v>
      </c>
      <c r="KA715" s="27" t="s">
        <v>8</v>
      </c>
      <c r="KB715" s="27" t="s">
        <v>7</v>
      </c>
      <c r="KC715" s="27" t="s">
        <v>8</v>
      </c>
      <c r="KE715" s="27" t="s">
        <v>8</v>
      </c>
      <c r="KF715" s="27" t="s">
        <v>7</v>
      </c>
      <c r="KG715" s="27" t="s">
        <v>8</v>
      </c>
      <c r="LR715" s="27" t="s">
        <v>7</v>
      </c>
      <c r="LS715" s="27" t="s">
        <v>8</v>
      </c>
      <c r="LT715" s="27" t="s">
        <v>7</v>
      </c>
      <c r="MD715" s="27" t="s">
        <v>7</v>
      </c>
      <c r="ME715" s="27" t="s">
        <v>8</v>
      </c>
      <c r="MF715" s="27" t="s">
        <v>7</v>
      </c>
      <c r="MG715" s="27" t="s">
        <v>8</v>
      </c>
      <c r="MH715" s="27" t="s">
        <v>7</v>
      </c>
      <c r="MI715" s="27" t="s">
        <v>8</v>
      </c>
      <c r="MJ715" s="27" t="s">
        <v>7</v>
      </c>
      <c r="MM715" s="27" t="s">
        <v>8</v>
      </c>
      <c r="MN715" s="27" t="s">
        <v>7</v>
      </c>
      <c r="MU715" s="27" t="s">
        <v>8</v>
      </c>
      <c r="MV715" s="27" t="s">
        <v>7</v>
      </c>
      <c r="NT715" s="27" t="s">
        <v>7</v>
      </c>
      <c r="NU715" s="27" t="s">
        <v>8</v>
      </c>
      <c r="NV715" s="27" t="s">
        <v>7</v>
      </c>
      <c r="NW715" s="27" t="s">
        <v>8</v>
      </c>
      <c r="NX715" s="27" t="s">
        <v>7</v>
      </c>
      <c r="NY715" s="27" t="s">
        <v>8</v>
      </c>
      <c r="NZ715" s="27" t="s">
        <v>7</v>
      </c>
      <c r="OA715" s="27" t="s">
        <v>8</v>
      </c>
      <c r="PZ715" s="27" t="s">
        <v>7</v>
      </c>
    </row>
    <row r="716" spans="1:445" x14ac:dyDescent="0.25">
      <c r="A716" s="7">
        <v>7.7728062567582412E-2</v>
      </c>
      <c r="B716"/>
      <c r="C716"/>
      <c r="D716"/>
      <c r="E716"/>
      <c r="F716" s="27" t="s">
        <v>7</v>
      </c>
      <c r="KA716" s="27" t="s">
        <v>8</v>
      </c>
      <c r="KB716" s="27" t="s">
        <v>7</v>
      </c>
      <c r="KC716" s="27" t="s">
        <v>8</v>
      </c>
      <c r="KD716" s="27" t="s">
        <v>7</v>
      </c>
      <c r="KE716" s="27" t="s">
        <v>8</v>
      </c>
      <c r="KF716" s="27" t="s">
        <v>7</v>
      </c>
      <c r="KG716" s="27" t="s">
        <v>8</v>
      </c>
      <c r="LR716" s="27" t="s">
        <v>7</v>
      </c>
      <c r="LS716" s="27" t="s">
        <v>8</v>
      </c>
      <c r="MD716" s="27" t="s">
        <v>7</v>
      </c>
      <c r="ME716" s="27" t="s">
        <v>8</v>
      </c>
      <c r="MF716" s="27" t="s">
        <v>7</v>
      </c>
      <c r="MG716" s="27" t="s">
        <v>8</v>
      </c>
      <c r="MH716" s="27" t="s">
        <v>7</v>
      </c>
      <c r="MI716" s="27" t="s">
        <v>8</v>
      </c>
      <c r="MJ716" s="27" t="s">
        <v>7</v>
      </c>
      <c r="MM716" s="27" t="s">
        <v>8</v>
      </c>
      <c r="MN716" s="27" t="s">
        <v>7</v>
      </c>
      <c r="MU716" s="27" t="s">
        <v>8</v>
      </c>
      <c r="NT716" s="27" t="s">
        <v>7</v>
      </c>
      <c r="NU716" s="27" t="s">
        <v>8</v>
      </c>
      <c r="NV716" s="27" t="s">
        <v>7</v>
      </c>
      <c r="NW716" s="27" t="s">
        <v>8</v>
      </c>
      <c r="NX716" s="27" t="s">
        <v>7</v>
      </c>
      <c r="NY716" s="27" t="s">
        <v>8</v>
      </c>
      <c r="NZ716" s="27" t="s">
        <v>7</v>
      </c>
      <c r="OA716" s="27" t="s">
        <v>8</v>
      </c>
      <c r="PZ716" s="27" t="s">
        <v>7</v>
      </c>
    </row>
    <row r="717" spans="1:445" x14ac:dyDescent="0.25">
      <c r="A717" s="7">
        <v>7.6203982909394521E-2</v>
      </c>
      <c r="B717"/>
      <c r="C717"/>
      <c r="D717"/>
      <c r="E717"/>
      <c r="F717" s="27" t="s">
        <v>7</v>
      </c>
      <c r="KA717" s="27" t="s">
        <v>8</v>
      </c>
      <c r="KB717" s="27" t="s">
        <v>7</v>
      </c>
      <c r="KC717" s="27" t="s">
        <v>8</v>
      </c>
      <c r="KD717" s="27" t="s">
        <v>7</v>
      </c>
      <c r="KE717" s="27" t="s">
        <v>8</v>
      </c>
      <c r="KF717" s="27" t="s">
        <v>7</v>
      </c>
      <c r="KG717" s="27" t="s">
        <v>8</v>
      </c>
      <c r="LR717" s="27" t="s">
        <v>7</v>
      </c>
      <c r="LS717" s="27" t="s">
        <v>8</v>
      </c>
      <c r="MD717" s="27" t="s">
        <v>7</v>
      </c>
      <c r="MF717" s="27" t="s">
        <v>7</v>
      </c>
      <c r="MG717" s="27" t="s">
        <v>8</v>
      </c>
      <c r="MH717" s="27" t="s">
        <v>7</v>
      </c>
      <c r="MI717" s="27" t="s">
        <v>8</v>
      </c>
      <c r="MJ717" s="27" t="s">
        <v>7</v>
      </c>
      <c r="MK717" s="27" t="s">
        <v>8</v>
      </c>
      <c r="MM717" s="27" t="s">
        <v>8</v>
      </c>
      <c r="MN717" s="27" t="s">
        <v>7</v>
      </c>
      <c r="MU717" s="27" t="s">
        <v>8</v>
      </c>
      <c r="NT717" s="27" t="s">
        <v>7</v>
      </c>
      <c r="NV717" s="27" t="s">
        <v>7</v>
      </c>
      <c r="NX717" s="27" t="s">
        <v>7</v>
      </c>
      <c r="NY717" s="27" t="s">
        <v>8</v>
      </c>
      <c r="NZ717" s="27" t="s">
        <v>7</v>
      </c>
      <c r="OA717" s="27" t="s">
        <v>8</v>
      </c>
      <c r="PZ717" s="27" t="s">
        <v>7</v>
      </c>
    </row>
    <row r="718" spans="1:445" x14ac:dyDescent="0.25">
      <c r="A718" s="7">
        <v>7.4709787166073058E-2</v>
      </c>
      <c r="B718"/>
      <c r="C718"/>
      <c r="D718"/>
      <c r="E718"/>
      <c r="F718" s="27" t="s">
        <v>7</v>
      </c>
      <c r="KA718" s="27" t="s">
        <v>8</v>
      </c>
      <c r="KB718" s="27" t="s">
        <v>7</v>
      </c>
      <c r="KC718" s="27" t="s">
        <v>8</v>
      </c>
      <c r="KD718" s="27" t="s">
        <v>7</v>
      </c>
      <c r="KE718" s="27" t="s">
        <v>8</v>
      </c>
      <c r="KF718" s="27" t="s">
        <v>7</v>
      </c>
      <c r="KG718" s="27" t="s">
        <v>8</v>
      </c>
      <c r="LR718" s="27" t="s">
        <v>7</v>
      </c>
      <c r="LS718" s="27" t="s">
        <v>8</v>
      </c>
      <c r="MF718" s="27" t="s">
        <v>7</v>
      </c>
      <c r="MG718" s="27" t="s">
        <v>8</v>
      </c>
      <c r="MH718" s="27" t="s">
        <v>7</v>
      </c>
      <c r="MI718" s="27" t="s">
        <v>8</v>
      </c>
      <c r="MJ718" s="27" t="s">
        <v>7</v>
      </c>
      <c r="MK718" s="27" t="s">
        <v>8</v>
      </c>
      <c r="ML718" s="27" t="s">
        <v>7</v>
      </c>
      <c r="MM718" s="27" t="s">
        <v>8</v>
      </c>
      <c r="MN718" s="27" t="s">
        <v>7</v>
      </c>
      <c r="MQ718" s="27" t="s">
        <v>8</v>
      </c>
      <c r="MU718" s="27" t="s">
        <v>8</v>
      </c>
      <c r="NX718" s="27" t="s">
        <v>7</v>
      </c>
      <c r="NZ718" s="27" t="s">
        <v>7</v>
      </c>
      <c r="OA718" s="27" t="s">
        <v>8</v>
      </c>
      <c r="PZ718" s="27" t="s">
        <v>7</v>
      </c>
    </row>
    <row r="719" spans="1:445" x14ac:dyDescent="0.25">
      <c r="A719" s="7">
        <v>7.3244889378503E-2</v>
      </c>
      <c r="B719"/>
      <c r="C719"/>
      <c r="D719"/>
      <c r="E719"/>
      <c r="F719" s="27" t="s">
        <v>7</v>
      </c>
      <c r="KA719" s="27" t="s">
        <v>8</v>
      </c>
      <c r="KB719" s="27" t="s">
        <v>7</v>
      </c>
      <c r="KC719" s="27" t="s">
        <v>8</v>
      </c>
      <c r="KD719" s="27" t="s">
        <v>7</v>
      </c>
      <c r="KE719" s="27" t="s">
        <v>8</v>
      </c>
      <c r="KF719" s="27" t="s">
        <v>7</v>
      </c>
      <c r="KG719" s="27" t="s">
        <v>8</v>
      </c>
      <c r="LR719" s="27" t="s">
        <v>7</v>
      </c>
      <c r="LS719" s="27" t="s">
        <v>8</v>
      </c>
      <c r="MF719" s="27" t="s">
        <v>7</v>
      </c>
      <c r="MG719" s="27" t="s">
        <v>8</v>
      </c>
      <c r="MH719" s="27" t="s">
        <v>7</v>
      </c>
      <c r="MI719" s="27" t="s">
        <v>8</v>
      </c>
      <c r="MJ719" s="27" t="s">
        <v>7</v>
      </c>
      <c r="MK719" s="27" t="s">
        <v>8</v>
      </c>
      <c r="ML719" s="27" t="s">
        <v>7</v>
      </c>
      <c r="MM719" s="27" t="s">
        <v>8</v>
      </c>
      <c r="MN719" s="27" t="s">
        <v>7</v>
      </c>
      <c r="MQ719" s="27" t="s">
        <v>8</v>
      </c>
      <c r="MR719" s="27" t="s">
        <v>7</v>
      </c>
      <c r="MU719" s="27" t="s">
        <v>8</v>
      </c>
      <c r="NZ719" s="27" t="s">
        <v>7</v>
      </c>
      <c r="PZ719" s="27" t="s">
        <v>7</v>
      </c>
      <c r="QC719" s="27" t="s">
        <v>8</v>
      </c>
    </row>
    <row r="720" spans="1:445" x14ac:dyDescent="0.25">
      <c r="A720" s="7">
        <v>7.1808715076963722E-2</v>
      </c>
      <c r="B720"/>
      <c r="C720"/>
      <c r="D720"/>
      <c r="E720"/>
      <c r="F720" s="27" t="s">
        <v>7</v>
      </c>
      <c r="KA720" s="27" t="s">
        <v>8</v>
      </c>
      <c r="KB720" s="27" t="s">
        <v>7</v>
      </c>
      <c r="KC720" s="27" t="s">
        <v>8</v>
      </c>
      <c r="KD720" s="27" t="s">
        <v>7</v>
      </c>
      <c r="KE720" s="27" t="s">
        <v>8</v>
      </c>
      <c r="KF720" s="27" t="s">
        <v>7</v>
      </c>
      <c r="KG720" s="27" t="s">
        <v>8</v>
      </c>
      <c r="LR720" s="27" t="s">
        <v>7</v>
      </c>
      <c r="LS720" s="27" t="s">
        <v>8</v>
      </c>
      <c r="MF720" s="27" t="s">
        <v>7</v>
      </c>
      <c r="MG720" s="27" t="s">
        <v>8</v>
      </c>
      <c r="MH720" s="27" t="s">
        <v>7</v>
      </c>
      <c r="MI720" s="27" t="s">
        <v>8</v>
      </c>
      <c r="MJ720" s="27" t="s">
        <v>7</v>
      </c>
      <c r="MK720" s="27" t="s">
        <v>8</v>
      </c>
      <c r="ML720" s="27" t="s">
        <v>7</v>
      </c>
      <c r="MN720" s="27" t="s">
        <v>7</v>
      </c>
      <c r="MO720" s="27" t="s">
        <v>8</v>
      </c>
      <c r="MQ720" s="27" t="s">
        <v>8</v>
      </c>
      <c r="MR720" s="27" t="s">
        <v>7</v>
      </c>
      <c r="MU720" s="27" t="s">
        <v>8</v>
      </c>
      <c r="PZ720" s="27" t="s">
        <v>7</v>
      </c>
      <c r="QC720" s="27" t="s">
        <v>8</v>
      </c>
    </row>
    <row r="721" spans="1:445" x14ac:dyDescent="0.25">
      <c r="A721" s="7">
        <v>7.0400701055846782E-2</v>
      </c>
      <c r="B721"/>
      <c r="C721"/>
      <c r="D721"/>
      <c r="E721"/>
      <c r="F721" s="27" t="s">
        <v>7</v>
      </c>
      <c r="KA721" s="27" t="s">
        <v>8</v>
      </c>
      <c r="KB721" s="27" t="s">
        <v>7</v>
      </c>
      <c r="KC721" s="27" t="s">
        <v>8</v>
      </c>
      <c r="KD721" s="27" t="s">
        <v>7</v>
      </c>
      <c r="KE721" s="27" t="s">
        <v>8</v>
      </c>
      <c r="KF721" s="27" t="s">
        <v>7</v>
      </c>
      <c r="KG721" s="27" t="s">
        <v>8</v>
      </c>
      <c r="LR721" s="27" t="s">
        <v>7</v>
      </c>
      <c r="MF721" s="27" t="s">
        <v>7</v>
      </c>
      <c r="MG721" s="27" t="s">
        <v>8</v>
      </c>
      <c r="MH721" s="27" t="s">
        <v>7</v>
      </c>
      <c r="MI721" s="27" t="s">
        <v>8</v>
      </c>
      <c r="MJ721" s="27" t="s">
        <v>7</v>
      </c>
      <c r="MN721" s="27" t="s">
        <v>7</v>
      </c>
      <c r="MO721" s="27" t="s">
        <v>8</v>
      </c>
      <c r="MP721" s="27" t="s">
        <v>7</v>
      </c>
      <c r="MQ721" s="27" t="s">
        <v>8</v>
      </c>
      <c r="MR721" s="27" t="s">
        <v>7</v>
      </c>
      <c r="MU721" s="27" t="s">
        <v>8</v>
      </c>
      <c r="PZ721" s="27" t="s">
        <v>7</v>
      </c>
      <c r="QC721" s="27" t="s">
        <v>8</v>
      </c>
    </row>
    <row r="722" spans="1:445" x14ac:dyDescent="0.25">
      <c r="A722" s="7">
        <v>6.9020295152790956E-2</v>
      </c>
      <c r="B722"/>
      <c r="C722"/>
      <c r="D722"/>
      <c r="E722"/>
      <c r="F722" s="27" t="s">
        <v>7</v>
      </c>
      <c r="KA722" s="27" t="s">
        <v>8</v>
      </c>
      <c r="KB722" s="27" t="s">
        <v>7</v>
      </c>
      <c r="KC722" s="27" t="s">
        <v>8</v>
      </c>
      <c r="KD722" s="27" t="s">
        <v>7</v>
      </c>
      <c r="KE722" s="27" t="s">
        <v>8</v>
      </c>
      <c r="KF722" s="27" t="s">
        <v>7</v>
      </c>
      <c r="MF722" s="27" t="s">
        <v>7</v>
      </c>
      <c r="MG722" s="27" t="s">
        <v>8</v>
      </c>
      <c r="MH722" s="27" t="s">
        <v>7</v>
      </c>
      <c r="MI722" s="27" t="s">
        <v>8</v>
      </c>
      <c r="MN722" s="27" t="s">
        <v>7</v>
      </c>
      <c r="MO722" s="27" t="s">
        <v>8</v>
      </c>
      <c r="MP722" s="27" t="s">
        <v>7</v>
      </c>
      <c r="MQ722" s="27" t="s">
        <v>8</v>
      </c>
      <c r="MR722" s="27" t="s">
        <v>7</v>
      </c>
      <c r="MU722" s="27" t="s">
        <v>8</v>
      </c>
      <c r="PZ722" s="27" t="s">
        <v>7</v>
      </c>
      <c r="QC722" s="27" t="s">
        <v>8</v>
      </c>
    </row>
    <row r="723" spans="1:445" x14ac:dyDescent="0.25">
      <c r="A723" s="7">
        <v>6.7666956032147993E-2</v>
      </c>
      <c r="B723"/>
      <c r="C723"/>
      <c r="D723"/>
      <c r="E723"/>
      <c r="F723" s="27" t="s">
        <v>7</v>
      </c>
      <c r="KA723" s="27" t="s">
        <v>8</v>
      </c>
      <c r="KB723" s="27" t="s">
        <v>7</v>
      </c>
      <c r="KC723" s="27" t="s">
        <v>8</v>
      </c>
      <c r="KD723" s="27" t="s">
        <v>7</v>
      </c>
      <c r="KE723" s="27" t="s">
        <v>8</v>
      </c>
      <c r="MF723" s="27" t="s">
        <v>7</v>
      </c>
      <c r="MG723" s="27" t="s">
        <v>8</v>
      </c>
      <c r="MH723" s="27" t="s">
        <v>7</v>
      </c>
      <c r="MI723" s="27" t="s">
        <v>8</v>
      </c>
      <c r="MN723" s="27" t="s">
        <v>7</v>
      </c>
      <c r="MP723" s="27" t="s">
        <v>7</v>
      </c>
      <c r="MR723" s="27" t="s">
        <v>7</v>
      </c>
      <c r="MU723" s="27" t="s">
        <v>8</v>
      </c>
      <c r="PZ723" s="27" t="s">
        <v>7</v>
      </c>
      <c r="QC723" s="27" t="s">
        <v>8</v>
      </c>
    </row>
    <row r="724" spans="1:445" x14ac:dyDescent="0.25">
      <c r="A724" s="7">
        <v>6.6340152972694105E-2</v>
      </c>
      <c r="B724"/>
      <c r="C724"/>
      <c r="D724"/>
      <c r="E724"/>
      <c r="F724" s="27" t="s">
        <v>7</v>
      </c>
      <c r="KA724" s="27" t="s">
        <v>8</v>
      </c>
      <c r="KB724" s="27" t="s">
        <v>7</v>
      </c>
      <c r="KC724" s="27" t="s">
        <v>8</v>
      </c>
      <c r="KD724" s="27" t="s">
        <v>7</v>
      </c>
      <c r="KE724" s="27" t="s">
        <v>8</v>
      </c>
      <c r="MF724" s="27" t="s">
        <v>7</v>
      </c>
      <c r="MG724" s="27" t="s">
        <v>8</v>
      </c>
      <c r="MH724" s="27" t="s">
        <v>7</v>
      </c>
      <c r="MI724" s="27" t="s">
        <v>8</v>
      </c>
      <c r="MR724" s="27" t="s">
        <v>7</v>
      </c>
      <c r="MS724" s="27" t="s">
        <v>8</v>
      </c>
      <c r="MU724" s="27" t="s">
        <v>8</v>
      </c>
      <c r="PZ724" s="27" t="s">
        <v>7</v>
      </c>
      <c r="QA724" s="27" t="s">
        <v>8</v>
      </c>
      <c r="QC724" s="27" t="s">
        <v>8</v>
      </c>
    </row>
    <row r="725" spans="1:445" x14ac:dyDescent="0.25">
      <c r="A725" s="7">
        <v>6.5039365659504023E-2</v>
      </c>
      <c r="B725"/>
      <c r="C725"/>
      <c r="D725"/>
      <c r="E725"/>
      <c r="F725" s="27" t="s">
        <v>7</v>
      </c>
      <c r="KA725" s="27" t="s">
        <v>8</v>
      </c>
      <c r="KB725" s="27" t="s">
        <v>7</v>
      </c>
      <c r="KC725" s="27" t="s">
        <v>8</v>
      </c>
      <c r="KD725" s="27" t="s">
        <v>7</v>
      </c>
      <c r="KE725" s="27" t="s">
        <v>8</v>
      </c>
      <c r="MF725" s="27" t="s">
        <v>7</v>
      </c>
      <c r="MG725" s="27" t="s">
        <v>8</v>
      </c>
      <c r="MH725" s="27" t="s">
        <v>7</v>
      </c>
      <c r="MR725" s="27" t="s">
        <v>7</v>
      </c>
      <c r="MS725" s="27" t="s">
        <v>8</v>
      </c>
      <c r="MT725" s="27" t="s">
        <v>7</v>
      </c>
      <c r="MU725" s="27" t="s">
        <v>8</v>
      </c>
      <c r="PZ725" s="27" t="s">
        <v>7</v>
      </c>
      <c r="QA725" s="27" t="s">
        <v>8</v>
      </c>
      <c r="QB725" s="27" t="s">
        <v>7</v>
      </c>
      <c r="QC725" s="27" t="s">
        <v>8</v>
      </c>
    </row>
    <row r="726" spans="1:445" x14ac:dyDescent="0.25">
      <c r="A726" s="7">
        <v>6.3764083979905906E-2</v>
      </c>
      <c r="B726"/>
      <c r="C726"/>
      <c r="D726"/>
      <c r="E726"/>
      <c r="F726" s="27" t="s">
        <v>7</v>
      </c>
      <c r="KA726" s="27" t="s">
        <v>8</v>
      </c>
      <c r="KB726" s="27" t="s">
        <v>7</v>
      </c>
      <c r="KC726" s="27" t="s">
        <v>8</v>
      </c>
      <c r="KD726" s="27" t="s">
        <v>7</v>
      </c>
      <c r="KE726" s="27" t="s">
        <v>8</v>
      </c>
      <c r="MF726" s="27" t="s">
        <v>7</v>
      </c>
      <c r="MG726" s="27" t="s">
        <v>8</v>
      </c>
      <c r="MR726" s="27" t="s">
        <v>7</v>
      </c>
      <c r="MS726" s="27" t="s">
        <v>8</v>
      </c>
      <c r="MT726" s="27" t="s">
        <v>7</v>
      </c>
      <c r="MU726" s="27" t="s">
        <v>8</v>
      </c>
      <c r="PZ726" s="27" t="s">
        <v>7</v>
      </c>
      <c r="QA726" s="27" t="s">
        <v>8</v>
      </c>
      <c r="QB726" s="27" t="s">
        <v>7</v>
      </c>
      <c r="QC726" s="27" t="s">
        <v>8</v>
      </c>
    </row>
    <row r="727" spans="1:445" x14ac:dyDescent="0.25">
      <c r="A727" s="7">
        <v>6.251380782343717E-2</v>
      </c>
      <c r="B727"/>
      <c r="C727"/>
      <c r="D727"/>
      <c r="E727"/>
      <c r="F727" s="27" t="s">
        <v>7</v>
      </c>
      <c r="KA727" s="27" t="s">
        <v>8</v>
      </c>
      <c r="KB727" s="27" t="s">
        <v>7</v>
      </c>
      <c r="KC727" s="27" t="s">
        <v>8</v>
      </c>
      <c r="KD727" s="27" t="s">
        <v>7</v>
      </c>
      <c r="MF727" s="27" t="s">
        <v>7</v>
      </c>
      <c r="MG727" s="27" t="s">
        <v>8</v>
      </c>
      <c r="MR727" s="27" t="s">
        <v>7</v>
      </c>
      <c r="MS727" s="27" t="s">
        <v>8</v>
      </c>
      <c r="MT727" s="27" t="s">
        <v>7</v>
      </c>
      <c r="PZ727" s="27" t="s">
        <v>7</v>
      </c>
      <c r="QA727" s="27" t="s">
        <v>8</v>
      </c>
      <c r="QB727" s="27" t="s">
        <v>7</v>
      </c>
      <c r="QC727" s="27" t="s">
        <v>8</v>
      </c>
    </row>
    <row r="728" spans="1:445" x14ac:dyDescent="0.25">
      <c r="A728" s="7">
        <v>6.1288046885722716E-2</v>
      </c>
      <c r="B728"/>
      <c r="C728"/>
      <c r="D728"/>
      <c r="E728"/>
      <c r="F728" s="27" t="s">
        <v>7</v>
      </c>
      <c r="KA728" s="27" t="s">
        <v>8</v>
      </c>
      <c r="KB728" s="27" t="s">
        <v>7</v>
      </c>
      <c r="KC728" s="27" t="s">
        <v>8</v>
      </c>
      <c r="MF728" s="27" t="s">
        <v>7</v>
      </c>
      <c r="MG728" s="27" t="s">
        <v>8</v>
      </c>
      <c r="MR728" s="27" t="s">
        <v>7</v>
      </c>
      <c r="MS728" s="27" t="s">
        <v>8</v>
      </c>
      <c r="PZ728" s="27" t="s">
        <v>7</v>
      </c>
      <c r="QA728" s="27" t="s">
        <v>8</v>
      </c>
      <c r="QB728" s="27" t="s">
        <v>7</v>
      </c>
      <c r="QC728" s="27" t="s">
        <v>8</v>
      </c>
    </row>
    <row r="729" spans="1:445" x14ac:dyDescent="0.25">
      <c r="A729" s="7">
        <v>6.0086320476198739E-2</v>
      </c>
      <c r="B729"/>
      <c r="C729"/>
      <c r="D729"/>
      <c r="E729"/>
      <c r="F729" s="27" t="s">
        <v>7</v>
      </c>
      <c r="KA729" s="27" t="s">
        <v>8</v>
      </c>
      <c r="KB729" s="27" t="s">
        <v>7</v>
      </c>
      <c r="MF729" s="27" t="s">
        <v>7</v>
      </c>
      <c r="MG729" s="27" t="s">
        <v>8</v>
      </c>
      <c r="MR729" s="27" t="s">
        <v>7</v>
      </c>
      <c r="MS729" s="27" t="s">
        <v>8</v>
      </c>
      <c r="PZ729" s="27" t="s">
        <v>7</v>
      </c>
      <c r="QA729" s="27" t="s">
        <v>8</v>
      </c>
      <c r="QB729" s="27" t="s">
        <v>7</v>
      </c>
      <c r="QC729" s="27" t="s">
        <v>8</v>
      </c>
    </row>
    <row r="730" spans="1:445" x14ac:dyDescent="0.25">
      <c r="A730" s="7">
        <v>5.8908157329606609E-2</v>
      </c>
      <c r="B730"/>
      <c r="C730"/>
      <c r="D730"/>
      <c r="E730"/>
      <c r="F730" s="27" t="s">
        <v>7</v>
      </c>
      <c r="KA730" s="27" t="s">
        <v>8</v>
      </c>
      <c r="MF730" s="27" t="s">
        <v>7</v>
      </c>
      <c r="MG730" s="27" t="s">
        <v>8</v>
      </c>
      <c r="MR730" s="18" t="s">
        <v>7</v>
      </c>
      <c r="MS730" s="27" t="s">
        <v>8</v>
      </c>
      <c r="PZ730" s="27" t="s">
        <v>7</v>
      </c>
      <c r="QA730" s="27" t="s">
        <v>8</v>
      </c>
      <c r="QB730" s="27" t="s">
        <v>7</v>
      </c>
      <c r="QC730" s="27" t="s">
        <v>8</v>
      </c>
    </row>
    <row r="731" spans="1:445" x14ac:dyDescent="0.25">
      <c r="A731" s="7">
        <v>5.7753095421182947E-2</v>
      </c>
      <c r="B731"/>
      <c r="C731"/>
      <c r="D731"/>
      <c r="E731"/>
      <c r="F731" s="27" t="s">
        <v>7</v>
      </c>
      <c r="KA731" s="27" t="s">
        <v>8</v>
      </c>
      <c r="MF731" s="27" t="s">
        <v>7</v>
      </c>
      <c r="MG731" s="27" t="s">
        <v>8</v>
      </c>
      <c r="MR731" s="27" t="s">
        <v>7</v>
      </c>
      <c r="MS731" s="27" t="s">
        <v>8</v>
      </c>
      <c r="PZ731" s="27" t="s">
        <v>7</v>
      </c>
      <c r="QA731" s="27" t="s">
        <v>8</v>
      </c>
      <c r="QB731" s="27" t="s">
        <v>7</v>
      </c>
    </row>
    <row r="732" spans="1:445" x14ac:dyDescent="0.25">
      <c r="A732" s="7">
        <v>5.6620681785473484E-2</v>
      </c>
      <c r="B732"/>
      <c r="C732"/>
      <c r="D732"/>
      <c r="E732"/>
      <c r="F732" s="27" t="s">
        <v>7</v>
      </c>
      <c r="KA732" s="27" t="s">
        <v>8</v>
      </c>
      <c r="MF732" s="27" t="s">
        <v>7</v>
      </c>
      <c r="MG732" s="27" t="s">
        <v>8</v>
      </c>
      <c r="MR732" s="27" t="s">
        <v>7</v>
      </c>
      <c r="MS732" s="27" t="s">
        <v>8</v>
      </c>
      <c r="PZ732" s="27" t="s">
        <v>7</v>
      </c>
    </row>
    <row r="733" spans="1:445" x14ac:dyDescent="0.25">
      <c r="A733" s="7">
        <v>5.5510472338699497E-2</v>
      </c>
      <c r="B733"/>
      <c r="C733"/>
      <c r="D733"/>
      <c r="E733"/>
      <c r="F733" s="27" t="s">
        <v>7</v>
      </c>
      <c r="KA733" s="27" t="s">
        <v>8</v>
      </c>
      <c r="MF733" s="27" t="s">
        <v>7</v>
      </c>
      <c r="MG733" s="27" t="s">
        <v>8</v>
      </c>
      <c r="MR733" s="27" t="s">
        <v>7</v>
      </c>
      <c r="MS733" s="27" t="s">
        <v>8</v>
      </c>
    </row>
    <row r="734" spans="1:445" x14ac:dyDescent="0.25">
      <c r="A734" s="7">
        <v>5.4422031704607354E-2</v>
      </c>
      <c r="B734"/>
      <c r="C734"/>
      <c r="D734"/>
      <c r="E734"/>
      <c r="F734" s="27" t="s">
        <v>7</v>
      </c>
      <c r="KA734" s="27" t="s">
        <v>8</v>
      </c>
      <c r="MF734" s="27" t="s">
        <v>7</v>
      </c>
      <c r="MG734" s="27" t="s">
        <v>8</v>
      </c>
      <c r="MR734" s="27" t="s">
        <v>7</v>
      </c>
      <c r="MS734" s="27" t="s">
        <v>8</v>
      </c>
    </row>
    <row r="735" spans="1:445" x14ac:dyDescent="0.25">
      <c r="A735" s="7">
        <v>5.3354933043732705E-2</v>
      </c>
      <c r="B735"/>
      <c r="C735"/>
      <c r="D735"/>
      <c r="E735"/>
      <c r="F735" s="27" t="s">
        <v>7</v>
      </c>
      <c r="KA735" s="27" t="s">
        <v>8</v>
      </c>
      <c r="MF735" s="27" t="s">
        <v>7</v>
      </c>
      <c r="MG735" s="27" t="s">
        <v>8</v>
      </c>
      <c r="MR735" s="27" t="s">
        <v>7</v>
      </c>
      <c r="MS735" s="27" t="s">
        <v>8</v>
      </c>
    </row>
    <row r="736" spans="1:445" x14ac:dyDescent="0.25">
      <c r="A736" s="7">
        <v>5.2308757886012455E-2</v>
      </c>
      <c r="B736"/>
      <c r="C736"/>
      <c r="D736"/>
      <c r="E736"/>
      <c r="F736" s="27" t="s">
        <v>7</v>
      </c>
      <c r="KA736" s="27" t="s">
        <v>8</v>
      </c>
      <c r="MF736" s="27" t="s">
        <v>7</v>
      </c>
      <c r="MG736" s="27" t="s">
        <v>8</v>
      </c>
      <c r="MR736" s="27" t="s">
        <v>7</v>
      </c>
    </row>
    <row r="737" spans="1:345" x14ac:dyDescent="0.25">
      <c r="A737" s="7">
        <v>5.1283095966678877E-2</v>
      </c>
      <c r="B737"/>
      <c r="C737"/>
      <c r="D737"/>
      <c r="E737"/>
      <c r="F737" s="27" t="s">
        <v>7</v>
      </c>
      <c r="KA737" s="27" t="s">
        <v>8</v>
      </c>
      <c r="MF737" s="27" t="s">
        <v>7</v>
      </c>
      <c r="MG737" s="27" t="s">
        <v>8</v>
      </c>
    </row>
    <row r="738" spans="1:345" x14ac:dyDescent="0.25">
      <c r="A738" s="7">
        <v>5.0277545065371444E-2</v>
      </c>
      <c r="B738"/>
      <c r="C738"/>
      <c r="D738"/>
      <c r="E738"/>
      <c r="F738" s="27" t="s">
        <v>7</v>
      </c>
      <c r="KA738" s="27" t="s">
        <v>8</v>
      </c>
      <c r="MF738" s="27" t="s">
        <v>7</v>
      </c>
      <c r="MG738" s="27" t="s">
        <v>8</v>
      </c>
    </row>
    <row r="739" spans="1:345" x14ac:dyDescent="0.25">
      <c r="A739" s="7">
        <v>4.9291710848403378E-2</v>
      </c>
      <c r="B739"/>
      <c r="C739"/>
      <c r="D739"/>
      <c r="E739"/>
      <c r="F739" s="27" t="s">
        <v>7</v>
      </c>
      <c r="KA739" s="27" t="s">
        <v>8</v>
      </c>
      <c r="MF739" s="27" t="s">
        <v>7</v>
      </c>
      <c r="MG739" s="27" t="s">
        <v>8</v>
      </c>
    </row>
    <row r="740" spans="1:345" x14ac:dyDescent="0.25">
      <c r="A740" s="7">
        <v>4.8325206714120959E-2</v>
      </c>
      <c r="B740"/>
      <c r="C740"/>
      <c r="D740"/>
      <c r="E740"/>
      <c r="F740" s="27" t="s">
        <v>7</v>
      </c>
      <c r="KA740" s="27" t="s">
        <v>8</v>
      </c>
      <c r="MF740" s="27" t="s">
        <v>7</v>
      </c>
    </row>
    <row r="741" spans="1:345" x14ac:dyDescent="0.25">
      <c r="A741" s="7">
        <v>4.7377653641295057E-2</v>
      </c>
      <c r="B741"/>
      <c r="C741"/>
      <c r="D741"/>
      <c r="E741"/>
      <c r="F741" s="27" t="s">
        <v>7</v>
      </c>
      <c r="KA741" s="27" t="s">
        <v>8</v>
      </c>
    </row>
    <row r="742" spans="1:345" x14ac:dyDescent="0.25">
      <c r="A742" s="7">
        <v>4.644868004048535E-2</v>
      </c>
      <c r="B742"/>
      <c r="C742"/>
      <c r="D742"/>
      <c r="E742"/>
      <c r="F742" s="27" t="s">
        <v>7</v>
      </c>
      <c r="JY742" s="27" t="s">
        <v>8</v>
      </c>
      <c r="KA742" s="27" t="s">
        <v>8</v>
      </c>
    </row>
    <row r="743" spans="1:345" x14ac:dyDescent="0.25">
      <c r="A743" s="7">
        <v>4.5537921608318974E-2</v>
      </c>
      <c r="B743"/>
      <c r="C743"/>
      <c r="D743"/>
      <c r="E743"/>
      <c r="F743" s="27" t="s">
        <v>7</v>
      </c>
      <c r="JY743" s="27" t="s">
        <v>8</v>
      </c>
      <c r="JZ743" s="27" t="s">
        <v>7</v>
      </c>
      <c r="KA743" s="27" t="s">
        <v>8</v>
      </c>
    </row>
    <row r="744" spans="1:345" x14ac:dyDescent="0.25">
      <c r="A744" s="7">
        <v>4.4645021184626446E-2</v>
      </c>
      <c r="B744"/>
      <c r="C744"/>
      <c r="D744"/>
      <c r="E744"/>
      <c r="F744" s="27" t="s">
        <v>7</v>
      </c>
      <c r="JY744" s="27" t="s">
        <v>8</v>
      </c>
      <c r="JZ744" s="27" t="s">
        <v>7</v>
      </c>
      <c r="KA744" s="27" t="s">
        <v>8</v>
      </c>
    </row>
    <row r="745" spans="1:345" x14ac:dyDescent="0.25">
      <c r="A745" s="7">
        <v>4.3769628612378868E-2</v>
      </c>
      <c r="B745"/>
      <c r="C745"/>
      <c r="D745"/>
      <c r="E745"/>
      <c r="F745" s="27" t="s">
        <v>7</v>
      </c>
      <c r="JY745" s="27" t="s">
        <v>8</v>
      </c>
      <c r="JZ745" s="27" t="s">
        <v>7</v>
      </c>
      <c r="KA745" s="27" t="s">
        <v>8</v>
      </c>
    </row>
    <row r="746" spans="1:345" x14ac:dyDescent="0.25">
      <c r="A746" s="7">
        <v>4.2911400600371442E-2</v>
      </c>
      <c r="B746"/>
      <c r="C746"/>
      <c r="D746"/>
      <c r="E746"/>
      <c r="F746" s="27" t="s">
        <v>7</v>
      </c>
      <c r="JY746" s="27" t="s">
        <v>8</v>
      </c>
      <c r="JZ746" s="27" t="s">
        <v>7</v>
      </c>
      <c r="KA746" s="27" t="s">
        <v>8</v>
      </c>
    </row>
    <row r="747" spans="1:345" x14ac:dyDescent="0.25">
      <c r="A747" s="7">
        <v>4.2070000588599457E-2</v>
      </c>
      <c r="B747"/>
      <c r="C747"/>
      <c r="D747"/>
      <c r="E747"/>
      <c r="F747" s="27" t="s">
        <v>7</v>
      </c>
      <c r="JY747" s="27" t="s">
        <v>8</v>
      </c>
      <c r="JZ747" s="27" t="s">
        <v>7</v>
      </c>
      <c r="KA747" s="27" t="s">
        <v>8</v>
      </c>
    </row>
    <row r="748" spans="1:345" x14ac:dyDescent="0.25">
      <c r="A748" s="7">
        <v>4.1245098616273977E-2</v>
      </c>
      <c r="B748"/>
      <c r="C748"/>
      <c r="D748"/>
      <c r="E748"/>
      <c r="F748" s="27" t="s">
        <v>7</v>
      </c>
      <c r="JQ748" s="27" t="s">
        <v>8</v>
      </c>
      <c r="JY748" s="27" t="s">
        <v>8</v>
      </c>
      <c r="JZ748" s="27" t="s">
        <v>7</v>
      </c>
      <c r="KA748" s="27" t="s">
        <v>8</v>
      </c>
    </row>
    <row r="749" spans="1:345" x14ac:dyDescent="0.25">
      <c r="A749" s="7">
        <v>4.043637119242547E-2</v>
      </c>
      <c r="B749"/>
      <c r="C749"/>
      <c r="D749"/>
      <c r="E749"/>
      <c r="F749" s="27" t="s">
        <v>7</v>
      </c>
      <c r="JQ749" s="27" t="s">
        <v>8</v>
      </c>
      <c r="JR749" s="27" t="s">
        <v>7</v>
      </c>
      <c r="JY749" s="27" t="s">
        <v>8</v>
      </c>
      <c r="JZ749" s="27" t="s">
        <v>7</v>
      </c>
    </row>
    <row r="750" spans="1:345" x14ac:dyDescent="0.25">
      <c r="A750" s="7">
        <v>3.9643501169044582E-2</v>
      </c>
      <c r="B750"/>
      <c r="C750"/>
      <c r="D750"/>
      <c r="E750"/>
      <c r="F750" s="27" t="s">
        <v>7</v>
      </c>
      <c r="JQ750" s="27" t="s">
        <v>8</v>
      </c>
      <c r="JR750" s="27" t="s">
        <v>7</v>
      </c>
      <c r="JY750" s="27" t="s">
        <v>8</v>
      </c>
    </row>
    <row r="751" spans="1:345" x14ac:dyDescent="0.25">
      <c r="A751" s="7">
        <v>3.8866177616710372E-2</v>
      </c>
      <c r="B751"/>
      <c r="C751"/>
      <c r="D751"/>
      <c r="E751"/>
      <c r="F751" s="27" t="s">
        <v>7</v>
      </c>
      <c r="JQ751" s="27" t="s">
        <v>8</v>
      </c>
      <c r="JR751" s="27" t="s">
        <v>7</v>
      </c>
      <c r="JY751" s="27" t="s">
        <v>8</v>
      </c>
    </row>
    <row r="752" spans="1:345" x14ac:dyDescent="0.25">
      <c r="A752" s="7">
        <v>3.8104095702657229E-2</v>
      </c>
      <c r="B752"/>
      <c r="C752"/>
      <c r="D752"/>
      <c r="E752"/>
      <c r="F752" s="27" t="s">
        <v>7</v>
      </c>
      <c r="JQ752" s="27" t="s">
        <v>8</v>
      </c>
      <c r="JR752" s="27" t="s">
        <v>7</v>
      </c>
      <c r="JY752" s="27" t="s">
        <v>8</v>
      </c>
    </row>
    <row r="753" spans="1:285" x14ac:dyDescent="0.25">
      <c r="A753" s="7">
        <v>3.7356956571232579E-2</v>
      </c>
      <c r="B753"/>
      <c r="C753"/>
      <c r="D753"/>
      <c r="E753"/>
      <c r="F753" s="27" t="s">
        <v>7</v>
      </c>
      <c r="JQ753" s="27" t="s">
        <v>8</v>
      </c>
      <c r="JR753" s="27" t="s">
        <v>7</v>
      </c>
      <c r="JW753" s="27" t="s">
        <v>8</v>
      </c>
      <c r="JY753" s="27" t="s">
        <v>8</v>
      </c>
    </row>
    <row r="754" spans="1:285" x14ac:dyDescent="0.25">
      <c r="A754" s="7">
        <v>3.6624467226698605E-2</v>
      </c>
      <c r="B754"/>
      <c r="C754"/>
      <c r="D754"/>
      <c r="E754"/>
      <c r="F754" s="27" t="s">
        <v>7</v>
      </c>
      <c r="JQ754" s="27" t="s">
        <v>8</v>
      </c>
      <c r="JR754" s="27" t="s">
        <v>7</v>
      </c>
      <c r="JW754" s="27" t="s">
        <v>8</v>
      </c>
      <c r="JX754" s="27" t="s">
        <v>7</v>
      </c>
      <c r="JY754" s="27" t="s">
        <v>8</v>
      </c>
    </row>
    <row r="755" spans="1:285" x14ac:dyDescent="0.25">
      <c r="A755" s="7">
        <v>3.5906340418331961E-2</v>
      </c>
      <c r="B755"/>
      <c r="C755"/>
      <c r="D755"/>
      <c r="E755"/>
      <c r="F755" s="27" t="s">
        <v>7</v>
      </c>
      <c r="JQ755" s="27" t="s">
        <v>8</v>
      </c>
      <c r="JR755" s="27" t="s">
        <v>7</v>
      </c>
      <c r="JW755" s="27" t="s">
        <v>8</v>
      </c>
      <c r="JX755" s="27" t="s">
        <v>7</v>
      </c>
      <c r="JY755" s="27" t="s">
        <v>8</v>
      </c>
    </row>
    <row r="756" spans="1:285" x14ac:dyDescent="0.25">
      <c r="A756" s="7">
        <v>3.5202294527776436E-2</v>
      </c>
      <c r="B756"/>
      <c r="C756"/>
      <c r="D756"/>
      <c r="E756"/>
      <c r="F756" s="27" t="s">
        <v>7</v>
      </c>
      <c r="JQ756" s="27" t="s">
        <v>8</v>
      </c>
      <c r="JR756" s="27" t="s">
        <v>7</v>
      </c>
      <c r="JW756" s="27" t="s">
        <v>8</v>
      </c>
      <c r="JX756" s="27" t="s">
        <v>7</v>
      </c>
      <c r="JY756" s="27" t="s">
        <v>8</v>
      </c>
    </row>
    <row r="757" spans="1:285" x14ac:dyDescent="0.25">
      <c r="A757" s="7">
        <v>3.451205345860435E-2</v>
      </c>
      <c r="B757"/>
      <c r="C757"/>
      <c r="D757"/>
      <c r="E757"/>
      <c r="F757" s="27" t="s">
        <v>7</v>
      </c>
      <c r="JQ757" s="27" t="s">
        <v>8</v>
      </c>
      <c r="JR757" s="27" t="s">
        <v>7</v>
      </c>
      <c r="JW757" s="27" t="s">
        <v>8</v>
      </c>
      <c r="JX757" s="27" t="s">
        <v>7</v>
      </c>
      <c r="JY757" s="27" t="s">
        <v>8</v>
      </c>
    </row>
    <row r="758" spans="1:285" x14ac:dyDescent="0.25">
      <c r="A758" s="7">
        <v>3.3835346528043479E-2</v>
      </c>
      <c r="B758"/>
      <c r="C758"/>
      <c r="D758"/>
      <c r="E758"/>
      <c r="F758" s="27" t="s">
        <v>7</v>
      </c>
      <c r="JQ758" s="27" t="s">
        <v>8</v>
      </c>
      <c r="JR758" s="27" t="s">
        <v>7</v>
      </c>
      <c r="JW758" s="27" t="s">
        <v>8</v>
      </c>
      <c r="JX758" s="27" t="s">
        <v>7</v>
      </c>
      <c r="JY758" s="27" t="s">
        <v>8</v>
      </c>
    </row>
    <row r="759" spans="1:285" x14ac:dyDescent="0.25">
      <c r="A759" s="7">
        <v>3.3171908360826938E-2</v>
      </c>
      <c r="B759"/>
      <c r="C759"/>
      <c r="D759"/>
      <c r="E759"/>
      <c r="F759" s="27" t="s">
        <v>7</v>
      </c>
      <c r="JQ759" s="27" t="s">
        <v>8</v>
      </c>
      <c r="JR759" s="27" t="s">
        <v>7</v>
      </c>
      <c r="JW759" s="27" t="s">
        <v>8</v>
      </c>
      <c r="JX759" s="27" t="s">
        <v>7</v>
      </c>
      <c r="JY759" s="27" t="s">
        <v>8</v>
      </c>
    </row>
    <row r="760" spans="1:285" x14ac:dyDescent="0.25">
      <c r="A760" s="7">
        <v>3.2521478785124451E-2</v>
      </c>
      <c r="B760"/>
      <c r="C760"/>
      <c r="D760"/>
      <c r="E760"/>
      <c r="F760" s="27" t="s">
        <v>7</v>
      </c>
      <c r="JQ760" s="27" t="s">
        <v>8</v>
      </c>
      <c r="JR760" s="27" t="s">
        <v>7</v>
      </c>
      <c r="JW760" s="27" t="s">
        <v>8</v>
      </c>
      <c r="JX760" s="27" t="s">
        <v>7</v>
      </c>
      <c r="JY760" s="27" t="s">
        <v>8</v>
      </c>
    </row>
    <row r="761" spans="1:285" x14ac:dyDescent="0.25">
      <c r="A761" s="7">
        <v>3.1883802730514173E-2</v>
      </c>
      <c r="B761"/>
      <c r="C761"/>
      <c r="D761"/>
      <c r="E761"/>
      <c r="F761" s="27" t="s">
        <v>7</v>
      </c>
      <c r="JQ761" s="27" t="s">
        <v>8</v>
      </c>
      <c r="JR761" s="27" t="s">
        <v>7</v>
      </c>
      <c r="JS761" s="27" t="s">
        <v>8</v>
      </c>
      <c r="JW761" s="27" t="s">
        <v>8</v>
      </c>
      <c r="JX761" s="27" t="s">
        <v>7</v>
      </c>
      <c r="JY761" s="27" t="s">
        <v>8</v>
      </c>
    </row>
    <row r="762" spans="1:285" x14ac:dyDescent="0.25">
      <c r="A762" s="7">
        <v>3.1258630127955073E-2</v>
      </c>
      <c r="B762"/>
      <c r="C762"/>
      <c r="D762"/>
      <c r="E762"/>
      <c r="F762" s="27" t="s">
        <v>7</v>
      </c>
      <c r="JQ762" s="27" t="s">
        <v>8</v>
      </c>
      <c r="JR762" s="27" t="s">
        <v>7</v>
      </c>
      <c r="JS762" s="27" t="s">
        <v>8</v>
      </c>
      <c r="JT762" s="27" t="s">
        <v>7</v>
      </c>
      <c r="JW762" s="27" t="s">
        <v>8</v>
      </c>
      <c r="JX762" s="27" t="s">
        <v>7</v>
      </c>
    </row>
    <row r="763" spans="1:285" x14ac:dyDescent="0.25">
      <c r="A763" s="7">
        <v>3.064571581172066E-2</v>
      </c>
      <c r="B763"/>
      <c r="C763"/>
      <c r="D763"/>
      <c r="E763"/>
      <c r="F763" s="27" t="s">
        <v>7</v>
      </c>
      <c r="JM763" s="27" t="s">
        <v>8</v>
      </c>
      <c r="JO763" s="27" t="s">
        <v>8</v>
      </c>
      <c r="JQ763" s="27" t="s">
        <v>8</v>
      </c>
      <c r="JR763" s="27" t="s">
        <v>7</v>
      </c>
      <c r="JS763" s="27" t="s">
        <v>8</v>
      </c>
      <c r="JT763" s="27" t="s">
        <v>7</v>
      </c>
      <c r="JU763" s="27" t="s">
        <v>8</v>
      </c>
      <c r="JW763" s="27" t="s">
        <v>8</v>
      </c>
    </row>
    <row r="764" spans="1:285" x14ac:dyDescent="0.25">
      <c r="A764" s="7">
        <v>3.0044819423255549E-2</v>
      </c>
      <c r="B764"/>
      <c r="C764"/>
      <c r="D764"/>
      <c r="E764"/>
      <c r="F764" s="27" t="s">
        <v>7</v>
      </c>
      <c r="JM764" s="27" t="s">
        <v>8</v>
      </c>
      <c r="JN764" s="27" t="s">
        <v>7</v>
      </c>
      <c r="JO764" s="27" t="s">
        <v>8</v>
      </c>
      <c r="JP764" s="27" t="s">
        <v>7</v>
      </c>
      <c r="JQ764" s="27" t="s">
        <v>8</v>
      </c>
      <c r="JR764" s="27" t="s">
        <v>7</v>
      </c>
      <c r="JS764" s="27" t="s">
        <v>8</v>
      </c>
      <c r="JT764" s="27" t="s">
        <v>7</v>
      </c>
      <c r="JU764" s="27" t="s">
        <v>8</v>
      </c>
      <c r="JV764" s="27" t="s">
        <v>7</v>
      </c>
      <c r="JW764" s="27" t="s">
        <v>8</v>
      </c>
    </row>
    <row r="765" spans="1:285" x14ac:dyDescent="0.25">
      <c r="A765" s="7">
        <v>2.9455705316917203E-2</v>
      </c>
      <c r="B765"/>
      <c r="C765"/>
      <c r="D765"/>
      <c r="E765"/>
      <c r="F765" s="27" t="s">
        <v>7</v>
      </c>
      <c r="JM765" s="27" t="s">
        <v>8</v>
      </c>
      <c r="JN765" s="27" t="s">
        <v>7</v>
      </c>
      <c r="JO765" s="27" t="s">
        <v>8</v>
      </c>
      <c r="JP765" s="27" t="s">
        <v>7</v>
      </c>
      <c r="JQ765" s="27" t="s">
        <v>8</v>
      </c>
      <c r="JR765" s="27" t="s">
        <v>7</v>
      </c>
      <c r="JS765" s="27" t="s">
        <v>8</v>
      </c>
      <c r="JT765" s="27" t="s">
        <v>7</v>
      </c>
      <c r="JU765" s="27" t="s">
        <v>8</v>
      </c>
      <c r="JV765" s="27" t="s">
        <v>7</v>
      </c>
      <c r="JW765" s="27" t="s">
        <v>8</v>
      </c>
    </row>
    <row r="766" spans="1:285" x14ac:dyDescent="0.25">
      <c r="A766" s="7">
        <v>2.8878142467565884E-2</v>
      </c>
      <c r="B766"/>
      <c r="C766"/>
      <c r="D766"/>
      <c r="E766"/>
      <c r="F766" s="27" t="s">
        <v>7</v>
      </c>
      <c r="JM766" s="27" t="s">
        <v>8</v>
      </c>
      <c r="JN766" s="27" t="s">
        <v>7</v>
      </c>
      <c r="JO766" s="27" t="s">
        <v>8</v>
      </c>
      <c r="JP766" s="27" t="s">
        <v>7</v>
      </c>
      <c r="JQ766" s="27" t="s">
        <v>8</v>
      </c>
      <c r="JR766" s="27" t="s">
        <v>7</v>
      </c>
      <c r="JS766" s="27" t="s">
        <v>8</v>
      </c>
      <c r="JT766" s="27" t="s">
        <v>7</v>
      </c>
      <c r="JU766" s="27" t="s">
        <v>8</v>
      </c>
      <c r="JV766" s="27" t="s">
        <v>7</v>
      </c>
      <c r="JW766" s="27" t="s">
        <v>8</v>
      </c>
    </row>
    <row r="767" spans="1:285" x14ac:dyDescent="0.25">
      <c r="A767" s="7">
        <v>2.8311904379966554E-2</v>
      </c>
      <c r="B767"/>
      <c r="C767"/>
      <c r="D767"/>
      <c r="E767"/>
      <c r="F767" s="27" t="s">
        <v>7</v>
      </c>
      <c r="JM767" s="27" t="s">
        <v>8</v>
      </c>
      <c r="JN767" s="27" t="s">
        <v>7</v>
      </c>
      <c r="JO767" s="27" t="s">
        <v>8</v>
      </c>
      <c r="JP767" s="27" t="s">
        <v>7</v>
      </c>
      <c r="JQ767" s="27" t="s">
        <v>8</v>
      </c>
      <c r="JR767" s="27" t="s">
        <v>7</v>
      </c>
      <c r="JS767" s="27" t="s">
        <v>8</v>
      </c>
      <c r="JT767" s="27" t="s">
        <v>7</v>
      </c>
      <c r="JU767" s="27" t="s">
        <v>8</v>
      </c>
      <c r="JV767" s="27" t="s">
        <v>7</v>
      </c>
      <c r="JW767" s="27" t="s">
        <v>8</v>
      </c>
    </row>
    <row r="768" spans="1:285" x14ac:dyDescent="0.25">
      <c r="A768" s="7">
        <v>2.7756768999967207E-2</v>
      </c>
      <c r="B768"/>
      <c r="C768"/>
      <c r="D768"/>
      <c r="E768"/>
      <c r="F768" s="27" t="s">
        <v>7</v>
      </c>
      <c r="JM768" s="27" t="s">
        <v>8</v>
      </c>
      <c r="JN768" s="27" t="s">
        <v>7</v>
      </c>
      <c r="JO768" s="27" t="s">
        <v>8</v>
      </c>
      <c r="JP768" s="27" t="s">
        <v>7</v>
      </c>
      <c r="JQ768" s="27" t="s">
        <v>8</v>
      </c>
      <c r="JR768" s="27" t="s">
        <v>7</v>
      </c>
      <c r="JS768" s="27" t="s">
        <v>8</v>
      </c>
      <c r="JT768" s="27" t="s">
        <v>7</v>
      </c>
      <c r="JU768" s="27" t="s">
        <v>8</v>
      </c>
      <c r="JV768" s="27" t="s">
        <v>7</v>
      </c>
      <c r="JW768" s="27" t="s">
        <v>8</v>
      </c>
    </row>
    <row r="769" spans="1:283" x14ac:dyDescent="0.25">
      <c r="A769" s="7">
        <v>2.7212518627418834E-2</v>
      </c>
      <c r="B769"/>
      <c r="C769"/>
      <c r="D769"/>
      <c r="E769"/>
      <c r="F769" s="27" t="s">
        <v>7</v>
      </c>
      <c r="JM769" s="27" t="s">
        <v>8</v>
      </c>
      <c r="JN769" s="27" t="s">
        <v>7</v>
      </c>
      <c r="JO769" s="27" t="s">
        <v>8</v>
      </c>
      <c r="JP769" s="27" t="s">
        <v>7</v>
      </c>
      <c r="JQ769" s="27" t="s">
        <v>8</v>
      </c>
      <c r="JR769" s="27" t="s">
        <v>7</v>
      </c>
      <c r="JS769" s="27" t="s">
        <v>8</v>
      </c>
      <c r="JT769" s="27" t="s">
        <v>7</v>
      </c>
      <c r="JU769" s="27" t="s">
        <v>8</v>
      </c>
      <c r="JV769" s="27" t="s">
        <v>7</v>
      </c>
      <c r="JW769" s="27" t="s">
        <v>8</v>
      </c>
    </row>
    <row r="770" spans="1:283" x14ac:dyDescent="0.25">
      <c r="A770" s="7">
        <v>2.6678939830802779E-2</v>
      </c>
      <c r="B770"/>
      <c r="C770"/>
      <c r="D770"/>
      <c r="E770"/>
      <c r="F770" s="27" t="s">
        <v>7</v>
      </c>
      <c r="JM770" s="27" t="s">
        <v>8</v>
      </c>
      <c r="JN770" s="27" t="s">
        <v>7</v>
      </c>
      <c r="JO770" s="27" t="s">
        <v>8</v>
      </c>
      <c r="JP770" s="27" t="s">
        <v>7</v>
      </c>
      <c r="JQ770" s="27" t="s">
        <v>8</v>
      </c>
      <c r="JR770" s="27" t="s">
        <v>7</v>
      </c>
      <c r="JS770" s="27" t="s">
        <v>8</v>
      </c>
      <c r="JT770" s="27" t="s">
        <v>7</v>
      </c>
      <c r="JU770" s="27" t="s">
        <v>8</v>
      </c>
      <c r="JV770" s="27" t="s">
        <v>7</v>
      </c>
      <c r="JW770" s="27" t="s">
        <v>8</v>
      </c>
    </row>
    <row r="771" spans="1:283" x14ac:dyDescent="0.25">
      <c r="A771" s="7">
        <v>2.615582336353214E-2</v>
      </c>
      <c r="B771"/>
      <c r="C771"/>
      <c r="D771"/>
      <c r="E771"/>
      <c r="F771" s="27" t="s">
        <v>7</v>
      </c>
      <c r="JM771" s="27" t="s">
        <v>8</v>
      </c>
      <c r="JN771" s="27" t="s">
        <v>7</v>
      </c>
      <c r="JO771" s="27" t="s">
        <v>8</v>
      </c>
      <c r="JP771" s="27" t="s">
        <v>7</v>
      </c>
      <c r="JQ771" s="27" t="s">
        <v>8</v>
      </c>
      <c r="JR771" s="27" t="s">
        <v>7</v>
      </c>
      <c r="JS771" s="27" t="s">
        <v>8</v>
      </c>
      <c r="JT771" s="27" t="s">
        <v>7</v>
      </c>
      <c r="JU771" s="27" t="s">
        <v>8</v>
      </c>
      <c r="JV771" s="27" t="s">
        <v>7</v>
      </c>
    </row>
    <row r="772" spans="1:283" x14ac:dyDescent="0.25">
      <c r="A772" s="7">
        <v>2.5642964081894253E-2</v>
      </c>
      <c r="B772"/>
      <c r="C772"/>
      <c r="D772"/>
      <c r="E772"/>
      <c r="F772" s="27" t="s">
        <v>7</v>
      </c>
      <c r="JM772" s="27" t="s">
        <v>8</v>
      </c>
      <c r="JN772" s="27" t="s">
        <v>7</v>
      </c>
      <c r="JO772" s="27" t="s">
        <v>8</v>
      </c>
      <c r="JP772" s="27" t="s">
        <v>7</v>
      </c>
      <c r="JQ772" s="27" t="s">
        <v>8</v>
      </c>
      <c r="JR772" s="27" t="s">
        <v>7</v>
      </c>
      <c r="JS772" s="27" t="s">
        <v>8</v>
      </c>
      <c r="JT772" s="27" t="s">
        <v>7</v>
      </c>
      <c r="JU772" s="27" t="s">
        <v>8</v>
      </c>
    </row>
    <row r="773" spans="1:283" x14ac:dyDescent="0.25">
      <c r="A773" s="7">
        <v>2.5140160864602207E-2</v>
      </c>
      <c r="B773"/>
      <c r="C773"/>
      <c r="D773"/>
      <c r="E773"/>
      <c r="F773" s="27" t="s">
        <v>7</v>
      </c>
      <c r="JM773" s="27" t="s">
        <v>8</v>
      </c>
      <c r="JN773" s="27" t="s">
        <v>7</v>
      </c>
      <c r="JO773" s="27" t="s">
        <v>8</v>
      </c>
      <c r="JP773" s="27" t="s">
        <v>7</v>
      </c>
      <c r="JQ773" s="27" t="s">
        <v>8</v>
      </c>
      <c r="JR773" s="27" t="s">
        <v>7</v>
      </c>
      <c r="JS773" s="27" t="s">
        <v>8</v>
      </c>
      <c r="JT773" s="27" t="s">
        <v>7</v>
      </c>
      <c r="JU773" s="27" t="s">
        <v>8</v>
      </c>
    </row>
    <row r="774" spans="1:283" x14ac:dyDescent="0.25">
      <c r="A774" s="7">
        <v>2.4647216533923735E-2</v>
      </c>
      <c r="B774"/>
      <c r="C774"/>
      <c r="D774"/>
      <c r="E774"/>
      <c r="F774" s="27" t="s">
        <v>7</v>
      </c>
      <c r="JM774" s="27" t="s">
        <v>8</v>
      </c>
      <c r="JN774" s="27" t="s">
        <v>7</v>
      </c>
      <c r="JO774" s="27" t="s">
        <v>8</v>
      </c>
      <c r="JP774" s="27" t="s">
        <v>7</v>
      </c>
      <c r="JR774" s="27" t="s">
        <v>7</v>
      </c>
      <c r="JS774" s="27" t="s">
        <v>8</v>
      </c>
      <c r="JT774" s="27" t="s">
        <v>7</v>
      </c>
      <c r="JU774" s="27" t="s">
        <v>8</v>
      </c>
    </row>
    <row r="775" spans="1:283" x14ac:dyDescent="0.25">
      <c r="A775" s="7">
        <v>2.4163937778356601E-2</v>
      </c>
      <c r="B775"/>
      <c r="C775"/>
      <c r="D775"/>
      <c r="E775"/>
      <c r="F775" s="27" t="s">
        <v>7</v>
      </c>
      <c r="JM775" s="27" t="s">
        <v>8</v>
      </c>
      <c r="JN775" s="27" t="s">
        <v>7</v>
      </c>
      <c r="JO775" s="27" t="s">
        <v>8</v>
      </c>
      <c r="JR775" s="27" t="s">
        <v>7</v>
      </c>
      <c r="JS775" s="27" t="s">
        <v>8</v>
      </c>
      <c r="JT775" s="27" t="s">
        <v>7</v>
      </c>
      <c r="JU775" s="27" t="s">
        <v>8</v>
      </c>
    </row>
    <row r="776" spans="1:283" x14ac:dyDescent="0.25">
      <c r="A776" s="7">
        <v>2.3690135076820197E-2</v>
      </c>
      <c r="B776"/>
      <c r="C776"/>
      <c r="D776"/>
      <c r="E776"/>
      <c r="F776" s="27" t="s">
        <v>7</v>
      </c>
      <c r="JM776" s="27" t="s">
        <v>8</v>
      </c>
      <c r="JN776" s="27" t="s">
        <v>7</v>
      </c>
      <c r="JR776" s="27" t="s">
        <v>7</v>
      </c>
      <c r="JS776" s="27" t="s">
        <v>8</v>
      </c>
      <c r="JT776" s="27" t="s">
        <v>7</v>
      </c>
    </row>
    <row r="777" spans="1:283" x14ac:dyDescent="0.25">
      <c r="A777" s="7">
        <v>2.3225622624333527E-2</v>
      </c>
      <c r="B777"/>
      <c r="C777"/>
      <c r="D777"/>
      <c r="E777"/>
      <c r="F777" s="27" t="s">
        <v>7</v>
      </c>
      <c r="JM777" s="27" t="s">
        <v>8</v>
      </c>
      <c r="JR777" s="27" t="s">
        <v>7</v>
      </c>
      <c r="JS777" s="27" t="s">
        <v>8</v>
      </c>
    </row>
    <row r="778" spans="1:283" x14ac:dyDescent="0.25">
      <c r="A778" s="7">
        <v>2.2770218259150519E-2</v>
      </c>
      <c r="B778"/>
      <c r="C778"/>
      <c r="D778"/>
      <c r="E778"/>
      <c r="F778" s="27" t="s">
        <v>7</v>
      </c>
      <c r="JM778" s="27" t="s">
        <v>8</v>
      </c>
      <c r="JR778" s="27" t="s">
        <v>7</v>
      </c>
      <c r="JS778" s="27" t="s">
        <v>8</v>
      </c>
    </row>
    <row r="779" spans="1:283" x14ac:dyDescent="0.25">
      <c r="A779" s="7">
        <v>2.2323743391324039E-2</v>
      </c>
      <c r="B779"/>
      <c r="C779"/>
      <c r="D779"/>
      <c r="E779"/>
      <c r="F779" s="27" t="s">
        <v>7</v>
      </c>
      <c r="JM779" s="27" t="s">
        <v>8</v>
      </c>
      <c r="JR779" s="27" t="s">
        <v>7</v>
      </c>
      <c r="JS779" s="27" t="s">
        <v>8</v>
      </c>
    </row>
    <row r="780" spans="1:283" x14ac:dyDescent="0.25">
      <c r="A780" s="7">
        <v>2.188602293267063E-2</v>
      </c>
      <c r="B780"/>
      <c r="C780"/>
      <c r="D780"/>
      <c r="E780"/>
      <c r="F780" s="27" t="s">
        <v>7</v>
      </c>
      <c r="JM780" s="27" t="s">
        <v>8</v>
      </c>
      <c r="JR780" s="27" t="s">
        <v>7</v>
      </c>
      <c r="JS780" s="27" t="s">
        <v>8</v>
      </c>
    </row>
    <row r="781" spans="1:283" x14ac:dyDescent="0.25">
      <c r="A781" s="7">
        <v>2.1456885228108461E-2</v>
      </c>
      <c r="B781"/>
      <c r="C781"/>
      <c r="D781"/>
      <c r="E781"/>
      <c r="F781" s="27" t="s">
        <v>7</v>
      </c>
      <c r="JM781" s="27" t="s">
        <v>8</v>
      </c>
      <c r="JR781" s="27" t="s">
        <v>7</v>
      </c>
      <c r="JS781" s="27" t="s">
        <v>8</v>
      </c>
    </row>
    <row r="782" spans="1:283" x14ac:dyDescent="0.25">
      <c r="A782" s="7">
        <v>2.1036161988341632E-2</v>
      </c>
      <c r="B782"/>
      <c r="C782"/>
      <c r="D782"/>
      <c r="E782"/>
      <c r="F782" s="27" t="s">
        <v>7</v>
      </c>
      <c r="JM782" s="27" t="s">
        <v>8</v>
      </c>
      <c r="JR782" s="27" t="s">
        <v>7</v>
      </c>
      <c r="JS782" s="27" t="s">
        <v>8</v>
      </c>
    </row>
    <row r="783" spans="1:283" x14ac:dyDescent="0.25">
      <c r="A783" s="7">
        <v>2.0623688223864345E-2</v>
      </c>
      <c r="B783"/>
      <c r="C783"/>
      <c r="D783"/>
      <c r="E783"/>
      <c r="F783" s="27" t="s">
        <v>7</v>
      </c>
      <c r="JM783" s="27" t="s">
        <v>8</v>
      </c>
      <c r="JR783" s="27" t="s">
        <v>7</v>
      </c>
      <c r="JS783" s="27" t="s">
        <v>8</v>
      </c>
    </row>
    <row r="784" spans="1:283" x14ac:dyDescent="0.25">
      <c r="A784" s="7">
        <v>2.021930218025916E-2</v>
      </c>
      <c r="B784"/>
      <c r="C784"/>
      <c r="D784"/>
      <c r="E784"/>
      <c r="F784" s="27" t="s">
        <v>7</v>
      </c>
      <c r="JK784" s="27" t="s">
        <v>8</v>
      </c>
      <c r="JM784" s="27" t="s">
        <v>8</v>
      </c>
      <c r="JR784" s="27" t="s">
        <v>7</v>
      </c>
      <c r="JS784" s="27" t="s">
        <v>8</v>
      </c>
    </row>
    <row r="785" spans="1:279" x14ac:dyDescent="0.25">
      <c r="A785" s="7">
        <v>1.9822845274763884E-2</v>
      </c>
      <c r="B785"/>
      <c r="C785"/>
      <c r="D785"/>
      <c r="E785"/>
      <c r="F785" s="27" t="s">
        <v>7</v>
      </c>
      <c r="JI785" s="27" t="s">
        <v>8</v>
      </c>
      <c r="JK785" s="27" t="s">
        <v>8</v>
      </c>
      <c r="JL785" s="27" t="s">
        <v>7</v>
      </c>
      <c r="JM785" s="27" t="s">
        <v>8</v>
      </c>
      <c r="JR785" s="27" t="s">
        <v>7</v>
      </c>
      <c r="JS785" s="27" t="s">
        <v>8</v>
      </c>
    </row>
    <row r="786" spans="1:279" x14ac:dyDescent="0.25">
      <c r="A786" s="7">
        <v>1.9434162034082238E-2</v>
      </c>
      <c r="B786"/>
      <c r="C786"/>
      <c r="D786"/>
      <c r="E786"/>
      <c r="F786" s="27" t="s">
        <v>7</v>
      </c>
      <c r="JI786" s="27" t="s">
        <v>8</v>
      </c>
      <c r="JJ786" s="27" t="s">
        <v>7</v>
      </c>
      <c r="JK786" s="27" t="s">
        <v>8</v>
      </c>
      <c r="JL786" s="27" t="s">
        <v>7</v>
      </c>
      <c r="JM786" s="27" t="s">
        <v>8</v>
      </c>
      <c r="JR786" s="27" t="s">
        <v>7</v>
      </c>
      <c r="JS786" s="27" t="s">
        <v>8</v>
      </c>
    </row>
    <row r="787" spans="1:279" x14ac:dyDescent="0.25">
      <c r="A787" s="7">
        <v>1.9053100033413959E-2</v>
      </c>
      <c r="B787"/>
      <c r="C787"/>
      <c r="D787"/>
      <c r="E787"/>
      <c r="F787" s="27" t="s">
        <v>7</v>
      </c>
      <c r="JI787" s="27" t="s">
        <v>8</v>
      </c>
      <c r="JJ787" s="27" t="s">
        <v>7</v>
      </c>
      <c r="JK787" s="27" t="s">
        <v>8</v>
      </c>
      <c r="JL787" s="27" t="s">
        <v>7</v>
      </c>
      <c r="JM787" s="27" t="s">
        <v>8</v>
      </c>
      <c r="JR787" s="27" t="s">
        <v>7</v>
      </c>
    </row>
    <row r="788" spans="1:279" x14ac:dyDescent="0.25">
      <c r="A788" s="7">
        <v>1.867950983668035E-2</v>
      </c>
      <c r="B788"/>
      <c r="C788"/>
      <c r="D788"/>
      <c r="E788"/>
      <c r="F788" s="27" t="s">
        <v>7</v>
      </c>
      <c r="JI788" s="27" t="s">
        <v>8</v>
      </c>
      <c r="JJ788" s="27" t="s">
        <v>7</v>
      </c>
      <c r="JK788" s="27" t="s">
        <v>8</v>
      </c>
      <c r="JL788" s="27" t="s">
        <v>7</v>
      </c>
      <c r="JM788" s="27" t="s">
        <v>8</v>
      </c>
    </row>
    <row r="789" spans="1:279" x14ac:dyDescent="0.25">
      <c r="A789" s="7">
        <v>1.8313244937921913E-2</v>
      </c>
      <c r="B789"/>
      <c r="C789"/>
      <c r="D789"/>
      <c r="E789"/>
      <c r="F789" s="27" t="s">
        <v>7</v>
      </c>
      <c r="FY789" s="27" t="s">
        <v>8</v>
      </c>
      <c r="JI789" s="27" t="s">
        <v>8</v>
      </c>
      <c r="JJ789" s="27" t="s">
        <v>7</v>
      </c>
      <c r="JK789" s="27" t="s">
        <v>8</v>
      </c>
      <c r="JL789" s="27" t="s">
        <v>7</v>
      </c>
      <c r="JM789" s="27" t="s">
        <v>8</v>
      </c>
    </row>
    <row r="790" spans="1:279" x14ac:dyDescent="0.25">
      <c r="A790" s="7">
        <v>1.7954161703845013E-2</v>
      </c>
      <c r="B790"/>
      <c r="C790"/>
      <c r="D790"/>
      <c r="E790"/>
      <c r="F790" s="27" t="s">
        <v>7</v>
      </c>
      <c r="FY790" s="27" t="s">
        <v>8</v>
      </c>
      <c r="FZ790" s="27" t="s">
        <v>7</v>
      </c>
      <c r="JI790" s="27" t="s">
        <v>8</v>
      </c>
      <c r="JJ790" s="27" t="s">
        <v>7</v>
      </c>
      <c r="JK790" s="27" t="s">
        <v>8</v>
      </c>
      <c r="JL790" s="27" t="s">
        <v>7</v>
      </c>
      <c r="JM790" s="27" t="s">
        <v>8</v>
      </c>
    </row>
    <row r="791" spans="1:279" x14ac:dyDescent="0.25">
      <c r="A791" s="7">
        <v>1.7602119317495109E-2</v>
      </c>
      <c r="B791"/>
      <c r="C791"/>
      <c r="D791"/>
      <c r="E791"/>
      <c r="F791" s="27" t="s">
        <v>7</v>
      </c>
      <c r="FY791" s="27" t="s">
        <v>8</v>
      </c>
      <c r="FZ791" s="27" t="s">
        <v>7</v>
      </c>
      <c r="JI791" s="27" t="s">
        <v>8</v>
      </c>
      <c r="JJ791" s="27" t="s">
        <v>7</v>
      </c>
      <c r="JK791" s="27" t="s">
        <v>8</v>
      </c>
      <c r="JL791" s="27" t="s">
        <v>7</v>
      </c>
      <c r="JM791" s="27" t="s">
        <v>8</v>
      </c>
    </row>
    <row r="792" spans="1:279" x14ac:dyDescent="0.25">
      <c r="A792" s="7">
        <v>1.7256979723034419E-2</v>
      </c>
      <c r="B792"/>
      <c r="C792"/>
      <c r="D792"/>
      <c r="E792"/>
      <c r="F792" s="27" t="s">
        <v>7</v>
      </c>
      <c r="FY792" s="27" t="s">
        <v>8</v>
      </c>
      <c r="FZ792" s="27" t="s">
        <v>7</v>
      </c>
      <c r="JI792" s="27" t="s">
        <v>8</v>
      </c>
      <c r="JJ792" s="27" t="s">
        <v>7</v>
      </c>
      <c r="JK792" s="27" t="s">
        <v>8</v>
      </c>
      <c r="JL792" s="27" t="s">
        <v>7</v>
      </c>
      <c r="JM792" s="27" t="s">
        <v>8</v>
      </c>
    </row>
    <row r="793" spans="1:279" x14ac:dyDescent="0.25">
      <c r="A793" s="7">
        <v>1.6918607571602372E-2</v>
      </c>
      <c r="B793"/>
      <c r="C793"/>
      <c r="D793"/>
      <c r="E793"/>
      <c r="F793" s="27" t="s">
        <v>7</v>
      </c>
      <c r="FY793" s="27" t="s">
        <v>8</v>
      </c>
      <c r="FZ793" s="27" t="s">
        <v>7</v>
      </c>
      <c r="JI793" s="27" t="s">
        <v>8</v>
      </c>
      <c r="JJ793" s="27" t="s">
        <v>7</v>
      </c>
      <c r="JK793" s="27" t="s">
        <v>8</v>
      </c>
      <c r="JL793" s="27" t="s">
        <v>7</v>
      </c>
    </row>
    <row r="794" spans="1:279" x14ac:dyDescent="0.25">
      <c r="A794" s="7">
        <v>1.6586870168237622E-2</v>
      </c>
      <c r="B794"/>
      <c r="C794"/>
      <c r="D794"/>
      <c r="E794"/>
      <c r="F794" s="27" t="s">
        <v>7</v>
      </c>
      <c r="FY794" s="27" t="s">
        <v>8</v>
      </c>
      <c r="FZ794" s="27" t="s">
        <v>7</v>
      </c>
      <c r="JI794" s="27" t="s">
        <v>8</v>
      </c>
      <c r="JJ794" s="27" t="s">
        <v>7</v>
      </c>
      <c r="JK794" s="27" t="s">
        <v>8</v>
      </c>
    </row>
    <row r="795" spans="1:279" x14ac:dyDescent="0.25">
      <c r="A795" s="7">
        <v>1.6261637419840807E-2</v>
      </c>
      <c r="B795"/>
      <c r="C795"/>
      <c r="D795"/>
      <c r="E795"/>
      <c r="F795" s="27" t="s">
        <v>7</v>
      </c>
      <c r="FY795" s="27" t="s">
        <v>8</v>
      </c>
      <c r="FZ795" s="27" t="s">
        <v>7</v>
      </c>
      <c r="JI795" s="27" t="s">
        <v>8</v>
      </c>
      <c r="JJ795" s="27" t="s">
        <v>7</v>
      </c>
      <c r="JK795" s="27" t="s">
        <v>8</v>
      </c>
    </row>
    <row r="796" spans="1:279" x14ac:dyDescent="0.25">
      <c r="A796" s="7">
        <v>1.5942781784157655E-2</v>
      </c>
      <c r="B796"/>
      <c r="C796"/>
      <c r="D796"/>
      <c r="E796"/>
      <c r="F796" s="27" t="s">
        <v>7</v>
      </c>
      <c r="FY796" s="27" t="s">
        <v>8</v>
      </c>
      <c r="FZ796" s="27" t="s">
        <v>7</v>
      </c>
      <c r="JI796" s="27" t="s">
        <v>8</v>
      </c>
      <c r="JJ796" s="27" t="s">
        <v>7</v>
      </c>
      <c r="JK796" s="27" t="s">
        <v>8</v>
      </c>
    </row>
    <row r="797" spans="1:279" x14ac:dyDescent="0.25">
      <c r="A797" s="7">
        <v>1.5630178219762408E-2</v>
      </c>
      <c r="B797"/>
      <c r="C797"/>
      <c r="D797"/>
      <c r="E797"/>
      <c r="F797" s="27" t="s">
        <v>7</v>
      </c>
      <c r="FY797" s="27" t="s">
        <v>8</v>
      </c>
      <c r="FZ797" s="27" t="s">
        <v>7</v>
      </c>
      <c r="GC797" s="27" t="s">
        <v>8</v>
      </c>
      <c r="JI797" s="27" t="s">
        <v>8</v>
      </c>
      <c r="JJ797" s="27" t="s">
        <v>7</v>
      </c>
      <c r="JK797" s="27" t="s">
        <v>8</v>
      </c>
    </row>
    <row r="798" spans="1:279" x14ac:dyDescent="0.25">
      <c r="A798" s="7">
        <v>1.5323704137021967E-2</v>
      </c>
      <c r="B798"/>
      <c r="C798"/>
      <c r="D798"/>
      <c r="E798"/>
      <c r="F798" s="27" t="s">
        <v>7</v>
      </c>
      <c r="FY798" s="27" t="s">
        <v>8</v>
      </c>
      <c r="FZ798" s="27" t="s">
        <v>7</v>
      </c>
      <c r="GC798" s="27" t="s">
        <v>8</v>
      </c>
      <c r="GD798" s="27" t="s">
        <v>7</v>
      </c>
      <c r="JI798" s="27" t="s">
        <v>8</v>
      </c>
      <c r="JJ798" s="27" t="s">
        <v>7</v>
      </c>
      <c r="JK798" s="27" t="s">
        <v>8</v>
      </c>
    </row>
    <row r="799" spans="1:279" x14ac:dyDescent="0.25">
      <c r="A799" s="7">
        <v>1.5023239350021535E-2</v>
      </c>
      <c r="B799"/>
      <c r="C799"/>
      <c r="D799"/>
      <c r="E799"/>
      <c r="F799" s="27" t="s">
        <v>7</v>
      </c>
      <c r="FY799" s="27" t="s">
        <v>8</v>
      </c>
      <c r="FZ799" s="27" t="s">
        <v>7</v>
      </c>
      <c r="GA799" s="27" t="s">
        <v>8</v>
      </c>
      <c r="GC799" s="27" t="s">
        <v>8</v>
      </c>
      <c r="GD799" s="27" t="s">
        <v>7</v>
      </c>
      <c r="JI799" s="27" t="s">
        <v>8</v>
      </c>
      <c r="JJ799" s="27" t="s">
        <v>7</v>
      </c>
      <c r="JK799" s="27" t="s">
        <v>8</v>
      </c>
    </row>
    <row r="800" spans="1:279" x14ac:dyDescent="0.25">
      <c r="A800" s="7">
        <v>1.4728666029432878E-2</v>
      </c>
      <c r="B800"/>
      <c r="C800"/>
      <c r="D800"/>
      <c r="E800"/>
      <c r="F800" s="27" t="s">
        <v>7</v>
      </c>
      <c r="FY800" s="27" t="s">
        <v>8</v>
      </c>
      <c r="FZ800" s="27" t="s">
        <v>7</v>
      </c>
      <c r="GA800" s="27" t="s">
        <v>8</v>
      </c>
      <c r="GB800" s="27" t="s">
        <v>7</v>
      </c>
      <c r="GC800" s="27" t="s">
        <v>8</v>
      </c>
      <c r="GD800" s="27" t="s">
        <v>7</v>
      </c>
      <c r="GK800" s="27" t="s">
        <v>8</v>
      </c>
      <c r="JG800" s="27" t="s">
        <v>8</v>
      </c>
      <c r="JI800" s="27" t="s">
        <v>8</v>
      </c>
      <c r="JJ800" s="27" t="s">
        <v>7</v>
      </c>
    </row>
    <row r="801" spans="1:269" x14ac:dyDescent="0.25">
      <c r="A801" s="7">
        <v>1.4439868656306743E-2</v>
      </c>
      <c r="B801"/>
      <c r="C801"/>
      <c r="D801"/>
      <c r="E801"/>
      <c r="F801" s="27" t="s">
        <v>7</v>
      </c>
      <c r="FY801" s="27" t="s">
        <v>8</v>
      </c>
      <c r="FZ801" s="27" t="s">
        <v>7</v>
      </c>
      <c r="GA801" s="27" t="s">
        <v>8</v>
      </c>
      <c r="GB801" s="27" t="s">
        <v>7</v>
      </c>
      <c r="GC801" s="27" t="s">
        <v>8</v>
      </c>
      <c r="GD801" s="27" t="s">
        <v>7</v>
      </c>
      <c r="GK801" s="27" t="s">
        <v>8</v>
      </c>
      <c r="GL801" s="27" t="s">
        <v>7</v>
      </c>
      <c r="JG801" s="27" t="s">
        <v>8</v>
      </c>
      <c r="JH801" s="27" t="s">
        <v>7</v>
      </c>
      <c r="JI801" s="27" t="s">
        <v>8</v>
      </c>
    </row>
    <row r="802" spans="1:269" x14ac:dyDescent="0.25">
      <c r="A802" s="7">
        <v>1.4156733976771318E-2</v>
      </c>
      <c r="B802"/>
      <c r="C802"/>
      <c r="D802"/>
      <c r="E802"/>
      <c r="F802" s="27" t="s">
        <v>7</v>
      </c>
      <c r="FY802" s="27" t="s">
        <v>8</v>
      </c>
      <c r="FZ802" s="27" t="s">
        <v>7</v>
      </c>
      <c r="GA802" s="27" t="s">
        <v>8</v>
      </c>
      <c r="GB802" s="27" t="s">
        <v>7</v>
      </c>
      <c r="GC802" s="27" t="s">
        <v>8</v>
      </c>
      <c r="GD802" s="27" t="s">
        <v>7</v>
      </c>
      <c r="GK802" s="27" t="s">
        <v>8</v>
      </c>
      <c r="GL802" s="27" t="s">
        <v>7</v>
      </c>
      <c r="JG802" s="27" t="s">
        <v>8</v>
      </c>
      <c r="JH802" s="27" t="s">
        <v>7</v>
      </c>
      <c r="JI802" s="27" t="s">
        <v>8</v>
      </c>
    </row>
    <row r="803" spans="1:269" x14ac:dyDescent="0.25">
      <c r="A803" s="7">
        <v>1.3879150957618939E-2</v>
      </c>
      <c r="B803"/>
      <c r="C803"/>
      <c r="D803"/>
      <c r="E803"/>
      <c r="F803" s="27" t="s">
        <v>7</v>
      </c>
      <c r="FY803" s="27" t="s">
        <v>8</v>
      </c>
      <c r="FZ803" s="27" t="s">
        <v>7</v>
      </c>
      <c r="GA803" s="27" t="s">
        <v>8</v>
      </c>
      <c r="GB803" s="27" t="s">
        <v>7</v>
      </c>
      <c r="GC803" s="27" t="s">
        <v>8</v>
      </c>
      <c r="GD803" s="27" t="s">
        <v>7</v>
      </c>
      <c r="GG803" s="27" t="s">
        <v>8</v>
      </c>
      <c r="GK803" s="27" t="s">
        <v>8</v>
      </c>
      <c r="GL803" s="27" t="s">
        <v>7</v>
      </c>
      <c r="JC803" s="27" t="s">
        <v>8</v>
      </c>
      <c r="JG803" s="27" t="s">
        <v>8</v>
      </c>
      <c r="JH803" s="27" t="s">
        <v>7</v>
      </c>
      <c r="JI803" s="27" t="s">
        <v>8</v>
      </c>
    </row>
    <row r="804" spans="1:269" x14ac:dyDescent="0.25">
      <c r="A804" s="7">
        <v>1.3607010742763666E-2</v>
      </c>
      <c r="B804"/>
      <c r="C804"/>
      <c r="D804"/>
      <c r="E804"/>
      <c r="F804" s="27" t="s">
        <v>7</v>
      </c>
      <c r="FY804" s="27" t="s">
        <v>8</v>
      </c>
      <c r="FZ804" s="27" t="s">
        <v>7</v>
      </c>
      <c r="GA804" s="27" t="s">
        <v>8</v>
      </c>
      <c r="GB804" s="27" t="s">
        <v>7</v>
      </c>
      <c r="GC804" s="27" t="s">
        <v>8</v>
      </c>
      <c r="GD804" s="27" t="s">
        <v>7</v>
      </c>
      <c r="GG804" s="27" t="s">
        <v>8</v>
      </c>
      <c r="GH804" s="27" t="s">
        <v>7</v>
      </c>
      <c r="GK804" s="27" t="s">
        <v>8</v>
      </c>
      <c r="GL804" s="27" t="s">
        <v>7</v>
      </c>
      <c r="JC804" s="27" t="s">
        <v>8</v>
      </c>
      <c r="JD804" s="27" t="s">
        <v>7</v>
      </c>
      <c r="JG804" s="27" t="s">
        <v>8</v>
      </c>
      <c r="JH804" s="27" t="s">
        <v>7</v>
      </c>
      <c r="JI804" s="27" t="s">
        <v>8</v>
      </c>
    </row>
    <row r="805" spans="1:269" x14ac:dyDescent="0.25">
      <c r="A805" s="7">
        <v>1.3340206610552614E-2</v>
      </c>
      <c r="B805"/>
      <c r="C805"/>
      <c r="D805"/>
      <c r="E805"/>
      <c r="F805" s="27" t="s">
        <v>7</v>
      </c>
      <c r="FY805" s="27" t="s">
        <v>8</v>
      </c>
      <c r="FZ805" s="27" t="s">
        <v>7</v>
      </c>
      <c r="GA805" s="27" t="s">
        <v>8</v>
      </c>
      <c r="GB805" s="27" t="s">
        <v>7</v>
      </c>
      <c r="GC805" s="27" t="s">
        <v>8</v>
      </c>
      <c r="GD805" s="27" t="s">
        <v>7</v>
      </c>
      <c r="GE805" s="27" t="s">
        <v>8</v>
      </c>
      <c r="GG805" s="27" t="s">
        <v>8</v>
      </c>
      <c r="GH805" s="27" t="s">
        <v>7</v>
      </c>
      <c r="GK805" s="27" t="s">
        <v>8</v>
      </c>
      <c r="GL805" s="27" t="s">
        <v>7</v>
      </c>
      <c r="JC805" s="27" t="s">
        <v>8</v>
      </c>
      <c r="JD805" s="27" t="s">
        <v>7</v>
      </c>
      <c r="JG805" s="27" t="s">
        <v>8</v>
      </c>
      <c r="JH805" s="27" t="s">
        <v>7</v>
      </c>
      <c r="JI805" s="27" t="s">
        <v>8</v>
      </c>
    </row>
    <row r="806" spans="1:269" x14ac:dyDescent="0.25">
      <c r="A806" s="7">
        <v>1.3078633931914328E-2</v>
      </c>
      <c r="B806"/>
      <c r="C806"/>
      <c r="D806"/>
      <c r="E806"/>
      <c r="F806" s="27" t="s">
        <v>7</v>
      </c>
      <c r="FY806" s="27" t="s">
        <v>8</v>
      </c>
      <c r="FZ806" s="27" t="s">
        <v>7</v>
      </c>
      <c r="GA806" s="27" t="s">
        <v>8</v>
      </c>
      <c r="GB806" s="27" t="s">
        <v>7</v>
      </c>
      <c r="GC806" s="27" t="s">
        <v>8</v>
      </c>
      <c r="GD806" s="27" t="s">
        <v>7</v>
      </c>
      <c r="GE806" s="27" t="s">
        <v>8</v>
      </c>
      <c r="GF806" s="27" t="s">
        <v>7</v>
      </c>
      <c r="GG806" s="27" t="s">
        <v>8</v>
      </c>
      <c r="GH806" s="27" t="s">
        <v>7</v>
      </c>
      <c r="GK806" s="27" t="s">
        <v>8</v>
      </c>
      <c r="GL806" s="27" t="s">
        <v>7</v>
      </c>
      <c r="JC806" s="27" t="s">
        <v>8</v>
      </c>
      <c r="JD806" s="27" t="s">
        <v>7</v>
      </c>
      <c r="JG806" s="27" t="s">
        <v>8</v>
      </c>
      <c r="JH806" s="27" t="s">
        <v>7</v>
      </c>
      <c r="JI806" s="27" t="s">
        <v>8</v>
      </c>
    </row>
    <row r="807" spans="1:269" x14ac:dyDescent="0.25">
      <c r="A807" s="7">
        <v>1.2822190129327771E-2</v>
      </c>
      <c r="B807"/>
      <c r="C807"/>
      <c r="D807"/>
      <c r="E807"/>
      <c r="F807" s="27" t="s">
        <v>7</v>
      </c>
      <c r="FY807" s="27" t="s">
        <v>8</v>
      </c>
      <c r="FZ807" s="27" t="s">
        <v>7</v>
      </c>
      <c r="GA807" s="27" t="s">
        <v>8</v>
      </c>
      <c r="GB807" s="27" t="s">
        <v>7</v>
      </c>
      <c r="GC807" s="27" t="s">
        <v>8</v>
      </c>
      <c r="GD807" s="27" t="s">
        <v>7</v>
      </c>
      <c r="GE807" s="27" t="s">
        <v>8</v>
      </c>
      <c r="GF807" s="27" t="s">
        <v>7</v>
      </c>
      <c r="GG807" s="27" t="s">
        <v>8</v>
      </c>
      <c r="GH807" s="27" t="s">
        <v>7</v>
      </c>
      <c r="GI807" s="27" t="s">
        <v>8</v>
      </c>
      <c r="GK807" s="27" t="s">
        <v>8</v>
      </c>
      <c r="GL807" s="27" t="s">
        <v>7</v>
      </c>
      <c r="JC807" s="27" t="s">
        <v>8</v>
      </c>
      <c r="JD807" s="27" t="s">
        <v>7</v>
      </c>
      <c r="JG807" s="27" t="s">
        <v>8</v>
      </c>
      <c r="JH807" s="27" t="s">
        <v>7</v>
      </c>
      <c r="JI807" s="27" t="s">
        <v>8</v>
      </c>
    </row>
    <row r="808" spans="1:269" x14ac:dyDescent="0.25">
      <c r="A808" s="7">
        <v>1.2570774636595854E-2</v>
      </c>
      <c r="B808"/>
      <c r="C808"/>
      <c r="D808"/>
      <c r="E808"/>
      <c r="F808" s="27" t="s">
        <v>7</v>
      </c>
      <c r="FY808" s="27" t="s">
        <v>8</v>
      </c>
      <c r="FZ808" s="27" t="s">
        <v>7</v>
      </c>
      <c r="GA808" s="27" t="s">
        <v>8</v>
      </c>
      <c r="GB808" s="27" t="s">
        <v>7</v>
      </c>
      <c r="GD808" s="27" t="s">
        <v>7</v>
      </c>
      <c r="GE808" s="27" t="s">
        <v>8</v>
      </c>
      <c r="GF808" s="27" t="s">
        <v>7</v>
      </c>
      <c r="GG808" s="27" t="s">
        <v>8</v>
      </c>
      <c r="GH808" s="27" t="s">
        <v>7</v>
      </c>
      <c r="GI808" s="27" t="s">
        <v>8</v>
      </c>
      <c r="GJ808" s="27" t="s">
        <v>7</v>
      </c>
      <c r="GK808" s="27" t="s">
        <v>8</v>
      </c>
      <c r="GL808" s="27" t="s">
        <v>7</v>
      </c>
      <c r="IK808" s="27" t="s">
        <v>8</v>
      </c>
      <c r="JC808" s="27" t="s">
        <v>8</v>
      </c>
      <c r="JD808" s="27" t="s">
        <v>7</v>
      </c>
      <c r="JG808" s="27" t="s">
        <v>8</v>
      </c>
      <c r="JH808" s="27" t="s">
        <v>7</v>
      </c>
      <c r="JI808" s="27" t="s">
        <v>8</v>
      </c>
    </row>
    <row r="809" spans="1:269" x14ac:dyDescent="0.25">
      <c r="A809" s="7">
        <v>1.23242888594077E-2</v>
      </c>
      <c r="B809"/>
      <c r="C809"/>
      <c r="D809"/>
      <c r="E809"/>
      <c r="F809" s="27" t="s">
        <v>7</v>
      </c>
      <c r="FY809" s="27" t="s">
        <v>8</v>
      </c>
      <c r="FZ809" s="27" t="s">
        <v>7</v>
      </c>
      <c r="GA809" s="27" t="s">
        <v>8</v>
      </c>
      <c r="GD809" s="27" t="s">
        <v>7</v>
      </c>
      <c r="GE809" s="27" t="s">
        <v>8</v>
      </c>
      <c r="GF809" s="27" t="s">
        <v>7</v>
      </c>
      <c r="GG809" s="27" t="s">
        <v>8</v>
      </c>
      <c r="GH809" s="27" t="s">
        <v>7</v>
      </c>
      <c r="GI809" s="27" t="s">
        <v>8</v>
      </c>
      <c r="GJ809" s="27" t="s">
        <v>7</v>
      </c>
      <c r="GK809" s="27" t="s">
        <v>8</v>
      </c>
      <c r="GL809" s="27" t="s">
        <v>7</v>
      </c>
      <c r="IK809" s="27" t="s">
        <v>8</v>
      </c>
      <c r="IL809" s="27" t="s">
        <v>7</v>
      </c>
      <c r="JC809" s="27" t="s">
        <v>8</v>
      </c>
      <c r="JD809" s="27" t="s">
        <v>7</v>
      </c>
      <c r="JG809" s="27" t="s">
        <v>8</v>
      </c>
      <c r="JH809" s="27" t="s">
        <v>7</v>
      </c>
      <c r="JI809" s="27" t="s">
        <v>8</v>
      </c>
    </row>
    <row r="810" spans="1:269" x14ac:dyDescent="0.25">
      <c r="A810" s="7">
        <v>1.2082636136674216E-2</v>
      </c>
      <c r="B810"/>
      <c r="C810"/>
      <c r="D810"/>
      <c r="E810"/>
      <c r="F810" s="27" t="s">
        <v>7</v>
      </c>
      <c r="FY810" s="27" t="s">
        <v>8</v>
      </c>
      <c r="FZ810" s="27" t="s">
        <v>7</v>
      </c>
      <c r="GD810" s="27" t="s">
        <v>7</v>
      </c>
      <c r="GE810" s="27" t="s">
        <v>8</v>
      </c>
      <c r="GF810" s="27" t="s">
        <v>7</v>
      </c>
      <c r="GG810" s="27" t="s">
        <v>8</v>
      </c>
      <c r="GH810" s="27" t="s">
        <v>7</v>
      </c>
      <c r="GI810" s="27" t="s">
        <v>8</v>
      </c>
      <c r="GJ810" s="27" t="s">
        <v>7</v>
      </c>
      <c r="GK810" s="27" t="s">
        <v>8</v>
      </c>
      <c r="GL810" s="27" t="s">
        <v>7</v>
      </c>
      <c r="IK810" s="27" t="s">
        <v>8</v>
      </c>
      <c r="IL810" s="27" t="s">
        <v>7</v>
      </c>
      <c r="IM810" s="27" t="s">
        <v>8</v>
      </c>
      <c r="JC810" s="27" t="s">
        <v>8</v>
      </c>
      <c r="JD810" s="27" t="s">
        <v>7</v>
      </c>
      <c r="JG810" s="27" t="s">
        <v>8</v>
      </c>
      <c r="JH810" s="27" t="s">
        <v>7</v>
      </c>
      <c r="JI810" s="27" t="s">
        <v>8</v>
      </c>
    </row>
    <row r="811" spans="1:269" x14ac:dyDescent="0.25">
      <c r="A811" s="7">
        <v>1.184572170262178E-2</v>
      </c>
      <c r="B811"/>
      <c r="C811"/>
      <c r="D811"/>
      <c r="E811"/>
      <c r="F811" s="27" t="s">
        <v>7</v>
      </c>
      <c r="FY811" s="27" t="s">
        <v>8</v>
      </c>
      <c r="GD811" s="27" t="s">
        <v>7</v>
      </c>
      <c r="GE811" s="27" t="s">
        <v>8</v>
      </c>
      <c r="GF811" s="27" t="s">
        <v>7</v>
      </c>
      <c r="GG811" s="27" t="s">
        <v>8</v>
      </c>
      <c r="GH811" s="27" t="s">
        <v>7</v>
      </c>
      <c r="GI811" s="27" t="s">
        <v>8</v>
      </c>
      <c r="GJ811" s="27" t="s">
        <v>7</v>
      </c>
      <c r="GK811" s="27" t="s">
        <v>8</v>
      </c>
      <c r="GL811" s="27" t="s">
        <v>7</v>
      </c>
      <c r="HY811" s="27" t="s">
        <v>8</v>
      </c>
      <c r="IK811" s="27" t="s">
        <v>8</v>
      </c>
      <c r="IL811" s="27" t="s">
        <v>7</v>
      </c>
      <c r="IM811" s="27" t="s">
        <v>8</v>
      </c>
      <c r="IN811" s="27" t="s">
        <v>7</v>
      </c>
      <c r="JC811" s="27" t="s">
        <v>8</v>
      </c>
      <c r="JD811" s="27" t="s">
        <v>7</v>
      </c>
      <c r="JG811" s="27" t="s">
        <v>8</v>
      </c>
      <c r="JH811" s="27" t="s">
        <v>7</v>
      </c>
      <c r="JI811" s="27" t="s">
        <v>8</v>
      </c>
    </row>
    <row r="812" spans="1:269" x14ac:dyDescent="0.25">
      <c r="A812" s="7">
        <v>1.1613452649629196E-2</v>
      </c>
      <c r="B812"/>
      <c r="C812"/>
      <c r="D812"/>
      <c r="E812"/>
      <c r="F812" s="27" t="s">
        <v>7</v>
      </c>
      <c r="FY812" s="27" t="s">
        <v>8</v>
      </c>
      <c r="GD812" s="27" t="s">
        <v>7</v>
      </c>
      <c r="GE812" s="27" t="s">
        <v>8</v>
      </c>
      <c r="GF812" s="27" t="s">
        <v>7</v>
      </c>
      <c r="GG812" s="27" t="s">
        <v>8</v>
      </c>
      <c r="GH812" s="27" t="s">
        <v>7</v>
      </c>
      <c r="GJ812" s="27" t="s">
        <v>7</v>
      </c>
      <c r="GL812" s="27" t="s">
        <v>7</v>
      </c>
      <c r="HY812" s="27" t="s">
        <v>8</v>
      </c>
      <c r="HZ812" s="27" t="s">
        <v>7</v>
      </c>
      <c r="IK812" s="27" t="s">
        <v>8</v>
      </c>
      <c r="IL812" s="27" t="s">
        <v>7</v>
      </c>
      <c r="IM812" s="27" t="s">
        <v>8</v>
      </c>
      <c r="IN812" s="27" t="s">
        <v>7</v>
      </c>
      <c r="JC812" s="27" t="s">
        <v>8</v>
      </c>
      <c r="JD812" s="27" t="s">
        <v>7</v>
      </c>
      <c r="JE812" s="27" t="s">
        <v>8</v>
      </c>
      <c r="JG812" s="27" t="s">
        <v>8</v>
      </c>
      <c r="JH812" s="27" t="s">
        <v>7</v>
      </c>
      <c r="JI812" s="27" t="s">
        <v>8</v>
      </c>
    </row>
    <row r="813" spans="1:269" x14ac:dyDescent="0.25">
      <c r="A813" s="7">
        <v>1.138573789179333E-2</v>
      </c>
      <c r="B813"/>
      <c r="C813"/>
      <c r="D813"/>
      <c r="E813"/>
      <c r="F813" s="27" t="s">
        <v>7</v>
      </c>
      <c r="FY813" s="27" t="s">
        <v>8</v>
      </c>
      <c r="GD813" s="27" t="s">
        <v>7</v>
      </c>
      <c r="GF813" s="27" t="s">
        <v>7</v>
      </c>
      <c r="GL813" s="27" t="s">
        <v>7</v>
      </c>
      <c r="HY813" s="27" t="s">
        <v>8</v>
      </c>
      <c r="HZ813" s="27" t="s">
        <v>7</v>
      </c>
      <c r="IK813" s="27" t="s">
        <v>8</v>
      </c>
      <c r="IL813" s="27" t="s">
        <v>7</v>
      </c>
      <c r="IM813" s="27" t="s">
        <v>8</v>
      </c>
      <c r="IN813" s="27" t="s">
        <v>7</v>
      </c>
      <c r="JC813" s="27" t="s">
        <v>8</v>
      </c>
      <c r="JD813" s="27" t="s">
        <v>7</v>
      </c>
      <c r="JE813" s="27" t="s">
        <v>8</v>
      </c>
      <c r="JF813" s="27" t="s">
        <v>7</v>
      </c>
      <c r="JG813" s="27" t="s">
        <v>8</v>
      </c>
      <c r="JH813" s="27" t="s">
        <v>7</v>
      </c>
      <c r="JI813" s="27" t="s">
        <v>8</v>
      </c>
    </row>
    <row r="814" spans="1:269" x14ac:dyDescent="0.25">
      <c r="A814" s="7">
        <v>1.1162488129209149E-2</v>
      </c>
      <c r="B814"/>
      <c r="C814"/>
      <c r="D814"/>
      <c r="E814"/>
      <c r="F814" s="27" t="s">
        <v>7</v>
      </c>
      <c r="FY814" s="27" t="s">
        <v>8</v>
      </c>
      <c r="GL814" s="27" t="s">
        <v>7</v>
      </c>
      <c r="HI814" s="27" t="s">
        <v>8</v>
      </c>
      <c r="HY814" s="27" t="s">
        <v>8</v>
      </c>
      <c r="HZ814" s="27" t="s">
        <v>7</v>
      </c>
      <c r="IK814" s="27" t="s">
        <v>8</v>
      </c>
      <c r="IL814" s="27" t="s">
        <v>7</v>
      </c>
      <c r="IM814" s="27" t="s">
        <v>8</v>
      </c>
      <c r="IN814" s="27" t="s">
        <v>7</v>
      </c>
      <c r="JC814" s="27" t="s">
        <v>8</v>
      </c>
      <c r="JD814" s="27" t="s">
        <v>7</v>
      </c>
      <c r="JE814" s="27" t="s">
        <v>8</v>
      </c>
      <c r="JF814" s="27" t="s">
        <v>7</v>
      </c>
      <c r="JG814" s="27" t="s">
        <v>8</v>
      </c>
      <c r="JH814" s="27" t="s">
        <v>7</v>
      </c>
    </row>
    <row r="815" spans="1:269" x14ac:dyDescent="0.25">
      <c r="A815" s="7">
        <v>1.0943615812950145E-2</v>
      </c>
      <c r="B815"/>
      <c r="C815"/>
      <c r="D815"/>
      <c r="E815"/>
      <c r="F815" s="27" t="s">
        <v>7</v>
      </c>
      <c r="FY815" s="27" t="s">
        <v>8</v>
      </c>
      <c r="GL815" s="27" t="s">
        <v>7</v>
      </c>
      <c r="HI815" s="27" t="s">
        <v>8</v>
      </c>
      <c r="HJ815" s="27" t="s">
        <v>7</v>
      </c>
      <c r="HY815" s="27" t="s">
        <v>8</v>
      </c>
      <c r="HZ815" s="27" t="s">
        <v>7</v>
      </c>
      <c r="IK815" s="27" t="s">
        <v>8</v>
      </c>
      <c r="IL815" s="27" t="s">
        <v>7</v>
      </c>
      <c r="IM815" s="27" t="s">
        <v>8</v>
      </c>
      <c r="IN815" s="27" t="s">
        <v>7</v>
      </c>
      <c r="JC815" s="27" t="s">
        <v>8</v>
      </c>
      <c r="JD815" s="27" t="s">
        <v>7</v>
      </c>
      <c r="JE815" s="27" t="s">
        <v>8</v>
      </c>
      <c r="JF815" s="27" t="s">
        <v>7</v>
      </c>
      <c r="JG815" s="27" t="s">
        <v>8</v>
      </c>
    </row>
    <row r="816" spans="1:269" x14ac:dyDescent="0.25">
      <c r="A816" s="7">
        <v>1.0729035110735436E-2</v>
      </c>
      <c r="B816"/>
      <c r="C816"/>
      <c r="D816"/>
      <c r="E816"/>
      <c r="F816" s="27" t="s">
        <v>7</v>
      </c>
      <c r="FY816" s="27" t="s">
        <v>8</v>
      </c>
      <c r="GL816" s="27" t="s">
        <v>7</v>
      </c>
      <c r="HI816" s="27" t="s">
        <v>8</v>
      </c>
      <c r="HJ816" s="27" t="s">
        <v>7</v>
      </c>
      <c r="HY816" s="27" t="s">
        <v>8</v>
      </c>
      <c r="HZ816" s="27" t="s">
        <v>7</v>
      </c>
      <c r="IK816" s="27" t="s">
        <v>8</v>
      </c>
      <c r="IL816" s="27" t="s">
        <v>7</v>
      </c>
      <c r="IN816" s="27" t="s">
        <v>7</v>
      </c>
      <c r="JC816" s="27" t="s">
        <v>8</v>
      </c>
      <c r="JD816" s="27" t="s">
        <v>7</v>
      </c>
      <c r="JE816" s="27" t="s">
        <v>8</v>
      </c>
      <c r="JF816" s="27" t="s">
        <v>7</v>
      </c>
      <c r="JG816" s="27" t="s">
        <v>8</v>
      </c>
    </row>
    <row r="817" spans="1:267" x14ac:dyDescent="0.25">
      <c r="A817" s="7">
        <v>1.0518661873270036E-2</v>
      </c>
      <c r="B817"/>
      <c r="C817"/>
      <c r="D817"/>
      <c r="E817"/>
      <c r="F817" s="27" t="s">
        <v>7</v>
      </c>
      <c r="FY817" s="27" t="s">
        <v>8</v>
      </c>
      <c r="GL817" s="27" t="s">
        <v>7</v>
      </c>
      <c r="HI817" s="27" t="s">
        <v>8</v>
      </c>
      <c r="HJ817" s="27" t="s">
        <v>7</v>
      </c>
      <c r="HK817" s="27" t="s">
        <v>8</v>
      </c>
      <c r="HW817" s="27" t="s">
        <v>8</v>
      </c>
      <c r="HY817" s="27" t="s">
        <v>8</v>
      </c>
      <c r="HZ817" s="27" t="s">
        <v>7</v>
      </c>
      <c r="IC817" s="27" t="s">
        <v>8</v>
      </c>
      <c r="II817" s="27" t="s">
        <v>8</v>
      </c>
      <c r="IK817" s="27" t="s">
        <v>8</v>
      </c>
      <c r="IN817" s="27" t="s">
        <v>7</v>
      </c>
      <c r="JC817" s="27" t="s">
        <v>8</v>
      </c>
      <c r="JD817" s="27" t="s">
        <v>7</v>
      </c>
      <c r="JE817" s="27" t="s">
        <v>8</v>
      </c>
      <c r="JF817" s="27" t="s">
        <v>7</v>
      </c>
      <c r="JG817" s="27" t="s">
        <v>8</v>
      </c>
    </row>
    <row r="818" spans="1:267" x14ac:dyDescent="0.25">
      <c r="A818" s="7">
        <v>1.0312413601245135E-2</v>
      </c>
      <c r="B818"/>
      <c r="C818"/>
      <c r="D818"/>
      <c r="E818"/>
      <c r="F818" s="27" t="s">
        <v>7</v>
      </c>
      <c r="FY818" s="27" t="s">
        <v>8</v>
      </c>
      <c r="GL818" s="27" t="s">
        <v>7</v>
      </c>
      <c r="HI818" s="27" t="s">
        <v>8</v>
      </c>
      <c r="HJ818" s="27" t="s">
        <v>7</v>
      </c>
      <c r="HK818" s="27" t="s">
        <v>8</v>
      </c>
      <c r="HL818" s="27" t="s">
        <v>7</v>
      </c>
      <c r="HW818" s="27" t="s">
        <v>8</v>
      </c>
      <c r="HX818" s="27" t="s">
        <v>7</v>
      </c>
      <c r="HY818" s="27" t="s">
        <v>8</v>
      </c>
      <c r="HZ818" s="27" t="s">
        <v>7</v>
      </c>
      <c r="IC818" s="27" t="s">
        <v>8</v>
      </c>
      <c r="ID818" s="27" t="s">
        <v>7</v>
      </c>
      <c r="II818" s="27" t="s">
        <v>8</v>
      </c>
      <c r="IJ818" s="27" t="s">
        <v>7</v>
      </c>
      <c r="IK818" s="27" t="s">
        <v>8</v>
      </c>
      <c r="IN818" s="27" t="s">
        <v>7</v>
      </c>
      <c r="JA818" s="27" t="s">
        <v>8</v>
      </c>
      <c r="JC818" s="27" t="s">
        <v>8</v>
      </c>
      <c r="JD818" s="27" t="s">
        <v>7</v>
      </c>
      <c r="JE818" s="27" t="s">
        <v>8</v>
      </c>
      <c r="JF818" s="27" t="s">
        <v>7</v>
      </c>
      <c r="JG818" s="27" t="s">
        <v>8</v>
      </c>
    </row>
    <row r="819" spans="1:267" x14ac:dyDescent="0.25">
      <c r="A819" s="7">
        <v>1.0110209412985426E-2</v>
      </c>
      <c r="B819"/>
      <c r="C819"/>
      <c r="D819"/>
      <c r="E819"/>
      <c r="F819" s="27" t="s">
        <v>7</v>
      </c>
      <c r="FY819" s="27" t="s">
        <v>8</v>
      </c>
      <c r="GL819" s="27" t="s">
        <v>7</v>
      </c>
      <c r="HI819" s="27" t="s">
        <v>8</v>
      </c>
      <c r="HJ819" s="27" t="s">
        <v>7</v>
      </c>
      <c r="HK819" s="27" t="s">
        <v>8</v>
      </c>
      <c r="HL819" s="27" t="s">
        <v>7</v>
      </c>
      <c r="HW819" s="27" t="s">
        <v>8</v>
      </c>
      <c r="HX819" s="27" t="s">
        <v>7</v>
      </c>
      <c r="HY819" s="27" t="s">
        <v>8</v>
      </c>
      <c r="HZ819" s="27" t="s">
        <v>7</v>
      </c>
      <c r="IC819" s="27" t="s">
        <v>8</v>
      </c>
      <c r="ID819" s="27" t="s">
        <v>7</v>
      </c>
      <c r="IE819" s="27" t="s">
        <v>8</v>
      </c>
      <c r="II819" s="27" t="s">
        <v>8</v>
      </c>
      <c r="IJ819" s="27" t="s">
        <v>7</v>
      </c>
      <c r="IK819" s="27" t="s">
        <v>8</v>
      </c>
      <c r="IN819" s="27" t="s">
        <v>7</v>
      </c>
      <c r="JA819" s="27" t="s">
        <v>8</v>
      </c>
      <c r="JB819" s="27" t="s">
        <v>7</v>
      </c>
      <c r="JC819" s="27" t="s">
        <v>8</v>
      </c>
      <c r="JD819" s="27" t="s">
        <v>7</v>
      </c>
      <c r="JE819" s="27" t="s">
        <v>8</v>
      </c>
      <c r="JF819" s="27" t="s">
        <v>7</v>
      </c>
      <c r="JG819" s="27" t="s">
        <v>8</v>
      </c>
    </row>
    <row r="820" spans="1:267" x14ac:dyDescent="0.25">
      <c r="A820" s="7">
        <v>9.9119700127308103E-3</v>
      </c>
      <c r="B820"/>
      <c r="C820"/>
      <c r="D820"/>
      <c r="E820"/>
      <c r="F820" s="27" t="s">
        <v>7</v>
      </c>
      <c r="FY820" s="27" t="s">
        <v>8</v>
      </c>
      <c r="GL820" s="27" t="s">
        <v>7</v>
      </c>
      <c r="HI820" s="27" t="s">
        <v>8</v>
      </c>
      <c r="HJ820" s="27" t="s">
        <v>7</v>
      </c>
      <c r="HK820" s="27" t="s">
        <v>8</v>
      </c>
      <c r="HL820" s="27" t="s">
        <v>7</v>
      </c>
      <c r="HO820" s="27" t="s">
        <v>8</v>
      </c>
      <c r="HW820" s="27" t="s">
        <v>8</v>
      </c>
      <c r="HX820" s="27" t="s">
        <v>7</v>
      </c>
      <c r="HY820" s="27" t="s">
        <v>8</v>
      </c>
      <c r="HZ820" s="27" t="s">
        <v>7</v>
      </c>
      <c r="IC820" s="27" t="s">
        <v>8</v>
      </c>
      <c r="ID820" s="27" t="s">
        <v>7</v>
      </c>
      <c r="IE820" s="27" t="s">
        <v>8</v>
      </c>
      <c r="IF820" s="27" t="s">
        <v>7</v>
      </c>
      <c r="II820" s="27" t="s">
        <v>8</v>
      </c>
      <c r="IJ820" s="27" t="s">
        <v>7</v>
      </c>
      <c r="IK820" s="27" t="s">
        <v>8</v>
      </c>
      <c r="IN820" s="27" t="s">
        <v>7</v>
      </c>
      <c r="JA820" s="27" t="s">
        <v>8</v>
      </c>
      <c r="JB820" s="27" t="s">
        <v>7</v>
      </c>
      <c r="JC820" s="27" t="s">
        <v>8</v>
      </c>
      <c r="JD820" s="27" t="s">
        <v>7</v>
      </c>
      <c r="JE820" s="27" t="s">
        <v>8</v>
      </c>
      <c r="JF820" s="27" t="s">
        <v>7</v>
      </c>
      <c r="JG820" s="27" t="s">
        <v>8</v>
      </c>
    </row>
    <row r="821" spans="1:267" x14ac:dyDescent="0.25">
      <c r="A821" s="7">
        <v>9.717617659540009E-3</v>
      </c>
      <c r="B821"/>
      <c r="C821"/>
      <c r="D821"/>
      <c r="E821"/>
      <c r="F821" s="27" t="s">
        <v>7</v>
      </c>
      <c r="FY821" s="27" t="s">
        <v>8</v>
      </c>
      <c r="GL821" s="27" t="s">
        <v>7</v>
      </c>
      <c r="HI821" s="27" t="s">
        <v>8</v>
      </c>
      <c r="HJ821" s="27" t="s">
        <v>7</v>
      </c>
      <c r="HK821" s="27" t="s">
        <v>8</v>
      </c>
      <c r="HL821" s="27" t="s">
        <v>7</v>
      </c>
      <c r="HO821" s="27" t="s">
        <v>8</v>
      </c>
      <c r="HP821" s="27" t="s">
        <v>7</v>
      </c>
      <c r="HW821" s="27" t="s">
        <v>8</v>
      </c>
      <c r="HX821" s="27" t="s">
        <v>7</v>
      </c>
      <c r="HY821" s="27" t="s">
        <v>8</v>
      </c>
      <c r="HZ821" s="27" t="s">
        <v>7</v>
      </c>
      <c r="IA821" s="27" t="s">
        <v>8</v>
      </c>
      <c r="IC821" s="27" t="s">
        <v>8</v>
      </c>
      <c r="ID821" s="27" t="s">
        <v>7</v>
      </c>
      <c r="IE821" s="27" t="s">
        <v>8</v>
      </c>
      <c r="IF821" s="27" t="s">
        <v>7</v>
      </c>
      <c r="II821" s="27" t="s">
        <v>8</v>
      </c>
      <c r="IJ821" s="27" t="s">
        <v>7</v>
      </c>
      <c r="IK821" s="27" t="s">
        <v>8</v>
      </c>
      <c r="IN821" s="27" t="s">
        <v>7</v>
      </c>
      <c r="IQ821" s="27" t="s">
        <v>8</v>
      </c>
      <c r="IW821" s="27" t="s">
        <v>8</v>
      </c>
      <c r="JA821" s="27" t="s">
        <v>8</v>
      </c>
      <c r="JB821" s="27" t="s">
        <v>7</v>
      </c>
      <c r="JC821" s="27" t="s">
        <v>8</v>
      </c>
      <c r="JD821" s="27" t="s">
        <v>7</v>
      </c>
      <c r="JE821" s="27" t="s">
        <v>8</v>
      </c>
      <c r="JF821" s="27" t="s">
        <v>7</v>
      </c>
      <c r="JG821" s="27" t="s">
        <v>8</v>
      </c>
    </row>
    <row r="822" spans="1:267" x14ac:dyDescent="0.25">
      <c r="A822" s="7">
        <v>9.5270761368039299E-3</v>
      </c>
      <c r="B822"/>
      <c r="C822"/>
      <c r="D822"/>
      <c r="E822"/>
      <c r="F822" s="27" t="s">
        <v>7</v>
      </c>
      <c r="FY822" s="27" t="s">
        <v>8</v>
      </c>
      <c r="GL822" s="27" t="s">
        <v>7</v>
      </c>
      <c r="HI822" s="27" t="s">
        <v>8</v>
      </c>
      <c r="HJ822" s="27" t="s">
        <v>7</v>
      </c>
      <c r="HL822" s="27" t="s">
        <v>7</v>
      </c>
      <c r="HO822" s="27" t="s">
        <v>8</v>
      </c>
      <c r="HP822" s="27" t="s">
        <v>7</v>
      </c>
      <c r="HW822" s="27" t="s">
        <v>8</v>
      </c>
      <c r="HX822" s="27" t="s">
        <v>7</v>
      </c>
      <c r="HY822" s="27" t="s">
        <v>8</v>
      </c>
      <c r="HZ822" s="27" t="s">
        <v>7</v>
      </c>
      <c r="IA822" s="27" t="s">
        <v>8</v>
      </c>
      <c r="IB822" s="27" t="s">
        <v>7</v>
      </c>
      <c r="IC822" s="27" t="s">
        <v>8</v>
      </c>
      <c r="ID822" s="27" t="s">
        <v>7</v>
      </c>
      <c r="IE822" s="27" t="s">
        <v>8</v>
      </c>
      <c r="IF822" s="27" t="s">
        <v>7</v>
      </c>
      <c r="II822" s="27" t="s">
        <v>8</v>
      </c>
      <c r="IJ822" s="27" t="s">
        <v>7</v>
      </c>
      <c r="IK822" s="27" t="s">
        <v>8</v>
      </c>
      <c r="IN822" s="27" t="s">
        <v>7</v>
      </c>
      <c r="IQ822" s="27" t="s">
        <v>8</v>
      </c>
      <c r="IR822" s="27" t="s">
        <v>7</v>
      </c>
      <c r="IU822" s="27" t="s">
        <v>8</v>
      </c>
      <c r="IW822" s="27" t="s">
        <v>8</v>
      </c>
      <c r="IX822" s="27" t="s">
        <v>7</v>
      </c>
      <c r="JA822" s="27" t="s">
        <v>8</v>
      </c>
      <c r="JB822" s="27" t="s">
        <v>7</v>
      </c>
      <c r="JC822" s="27" t="s">
        <v>8</v>
      </c>
      <c r="JD822" s="27" t="s">
        <v>7</v>
      </c>
      <c r="JE822" s="27" t="s">
        <v>8</v>
      </c>
      <c r="JF822" s="27" t="s">
        <v>7</v>
      </c>
      <c r="JG822" s="27" t="s">
        <v>8</v>
      </c>
    </row>
    <row r="823" spans="1:267" x14ac:dyDescent="0.25">
      <c r="A823" s="7">
        <v>9.3402707223567936E-3</v>
      </c>
      <c r="B823"/>
      <c r="C823"/>
      <c r="D823"/>
      <c r="E823"/>
      <c r="F823" s="27" t="s">
        <v>7</v>
      </c>
      <c r="FY823" s="27" t="s">
        <v>8</v>
      </c>
      <c r="GL823" s="27" t="s">
        <v>7</v>
      </c>
      <c r="HI823" s="27" t="s">
        <v>8</v>
      </c>
      <c r="HL823" s="27" t="s">
        <v>7</v>
      </c>
      <c r="HO823" s="27" t="s">
        <v>8</v>
      </c>
      <c r="HP823" s="27" t="s">
        <v>7</v>
      </c>
      <c r="HQ823" s="27" t="s">
        <v>8</v>
      </c>
      <c r="HW823" s="27" t="s">
        <v>8</v>
      </c>
      <c r="HX823" s="27" t="s">
        <v>7</v>
      </c>
      <c r="HY823" s="27" t="s">
        <v>8</v>
      </c>
      <c r="HZ823" s="27" t="s">
        <v>7</v>
      </c>
      <c r="IA823" s="27" t="s">
        <v>8</v>
      </c>
      <c r="IB823" s="27" t="s">
        <v>7</v>
      </c>
      <c r="IC823" s="27" t="s">
        <v>8</v>
      </c>
      <c r="ID823" s="27" t="s">
        <v>7</v>
      </c>
      <c r="IF823" s="27" t="s">
        <v>7</v>
      </c>
      <c r="II823" s="27" t="s">
        <v>8</v>
      </c>
      <c r="IJ823" s="27" t="s">
        <v>7</v>
      </c>
      <c r="IK823" s="27" t="s">
        <v>8</v>
      </c>
      <c r="IN823" s="27" t="s">
        <v>7</v>
      </c>
      <c r="IQ823" s="27" t="s">
        <v>8</v>
      </c>
      <c r="IR823" s="27" t="s">
        <v>7</v>
      </c>
      <c r="IU823" s="27" t="s">
        <v>8</v>
      </c>
      <c r="IV823" s="27" t="s">
        <v>7</v>
      </c>
      <c r="IW823" s="27" t="s">
        <v>8</v>
      </c>
      <c r="IX823" s="27" t="s">
        <v>7</v>
      </c>
      <c r="JA823" s="27" t="s">
        <v>8</v>
      </c>
      <c r="JB823" s="27" t="s">
        <v>7</v>
      </c>
      <c r="JC823" s="27" t="s">
        <v>8</v>
      </c>
      <c r="JD823" s="27" t="s">
        <v>7</v>
      </c>
      <c r="JE823" s="27" t="s">
        <v>8</v>
      </c>
      <c r="JF823" s="27" t="s">
        <v>7</v>
      </c>
    </row>
    <row r="824" spans="1:267" x14ac:dyDescent="0.25">
      <c r="A824" s="7">
        <v>9.1571281591733261E-3</v>
      </c>
      <c r="B824"/>
      <c r="C824"/>
      <c r="D824"/>
      <c r="E824"/>
      <c r="F824" s="27" t="s">
        <v>7</v>
      </c>
      <c r="FY824" s="27" t="s">
        <v>8</v>
      </c>
      <c r="GL824" s="27" t="s">
        <v>7</v>
      </c>
      <c r="HI824" s="27" t="s">
        <v>8</v>
      </c>
      <c r="HL824" s="27" t="s">
        <v>7</v>
      </c>
      <c r="HO824" s="27" t="s">
        <v>8</v>
      </c>
      <c r="HP824" s="27" t="s">
        <v>7</v>
      </c>
      <c r="HQ824" s="27" t="s">
        <v>8</v>
      </c>
      <c r="HR824" s="27" t="s">
        <v>7</v>
      </c>
      <c r="HW824" s="27" t="s">
        <v>8</v>
      </c>
      <c r="HX824" s="27" t="s">
        <v>7</v>
      </c>
      <c r="HY824" s="27" t="s">
        <v>8</v>
      </c>
      <c r="HZ824" s="27" t="s">
        <v>7</v>
      </c>
      <c r="IA824" s="27" t="s">
        <v>8</v>
      </c>
      <c r="IB824" s="27" t="s">
        <v>7</v>
      </c>
      <c r="IF824" s="27" t="s">
        <v>7</v>
      </c>
      <c r="II824" s="27" t="s">
        <v>8</v>
      </c>
      <c r="IJ824" s="27" t="s">
        <v>7</v>
      </c>
      <c r="IN824" s="27" t="s">
        <v>7</v>
      </c>
      <c r="IO824" s="27" t="s">
        <v>8</v>
      </c>
      <c r="IQ824" s="27" t="s">
        <v>8</v>
      </c>
      <c r="IR824" s="27" t="s">
        <v>7</v>
      </c>
      <c r="IU824" s="27" t="s">
        <v>8</v>
      </c>
      <c r="IV824" s="27" t="s">
        <v>7</v>
      </c>
      <c r="IW824" s="27" t="s">
        <v>8</v>
      </c>
      <c r="IX824" s="27" t="s">
        <v>7</v>
      </c>
      <c r="JA824" s="27" t="s">
        <v>8</v>
      </c>
      <c r="JB824" s="27" t="s">
        <v>7</v>
      </c>
      <c r="JC824" s="27" t="s">
        <v>8</v>
      </c>
      <c r="JD824" s="27" t="s">
        <v>7</v>
      </c>
    </row>
    <row r="825" spans="1:267" x14ac:dyDescent="0.25">
      <c r="A825" s="7">
        <v>8.9775766266405148E-3</v>
      </c>
      <c r="B825"/>
      <c r="C825"/>
      <c r="D825"/>
      <c r="E825"/>
      <c r="F825" s="27" t="s">
        <v>7</v>
      </c>
      <c r="FY825" s="27" t="s">
        <v>8</v>
      </c>
      <c r="GL825" s="27" t="s">
        <v>7</v>
      </c>
      <c r="HE825" s="27" t="s">
        <v>8</v>
      </c>
      <c r="HI825" s="27" t="s">
        <v>8</v>
      </c>
      <c r="HL825" s="27" t="s">
        <v>7</v>
      </c>
      <c r="HO825" s="27" t="s">
        <v>8</v>
      </c>
      <c r="HP825" s="27" t="s">
        <v>7</v>
      </c>
      <c r="HQ825" s="27" t="s">
        <v>8</v>
      </c>
      <c r="HR825" s="27" t="s">
        <v>7</v>
      </c>
      <c r="HW825" s="27" t="s">
        <v>8</v>
      </c>
      <c r="HX825" s="27" t="s">
        <v>7</v>
      </c>
      <c r="HY825" s="27" t="s">
        <v>8</v>
      </c>
      <c r="HZ825" s="27" t="s">
        <v>7</v>
      </c>
      <c r="IA825" s="27" t="s">
        <v>8</v>
      </c>
      <c r="IF825" s="27" t="s">
        <v>7</v>
      </c>
      <c r="II825" s="27" t="s">
        <v>8</v>
      </c>
      <c r="IN825" s="27" t="s">
        <v>7</v>
      </c>
      <c r="IO825" s="27" t="s">
        <v>8</v>
      </c>
      <c r="IP825" s="27" t="s">
        <v>7</v>
      </c>
      <c r="IQ825" s="27" t="s">
        <v>8</v>
      </c>
      <c r="IR825" s="27" t="s">
        <v>7</v>
      </c>
      <c r="IS825" s="27" t="s">
        <v>8</v>
      </c>
      <c r="IU825" s="27" t="s">
        <v>8</v>
      </c>
      <c r="IV825" s="27" t="s">
        <v>7</v>
      </c>
      <c r="IW825" s="27" t="s">
        <v>8</v>
      </c>
      <c r="IX825" s="27" t="s">
        <v>7</v>
      </c>
      <c r="JA825" s="27" t="s">
        <v>8</v>
      </c>
      <c r="JB825" s="27" t="s">
        <v>7</v>
      </c>
      <c r="JC825" s="27" t="s">
        <v>8</v>
      </c>
    </row>
    <row r="826" spans="1:267" x14ac:dyDescent="0.25">
      <c r="A826" s="7">
        <v>8.8015457123926614E-3</v>
      </c>
      <c r="B826"/>
      <c r="C826"/>
      <c r="D826"/>
      <c r="E826"/>
      <c r="F826" s="27" t="s">
        <v>7</v>
      </c>
      <c r="FY826" s="27" t="s">
        <v>8</v>
      </c>
      <c r="GL826" s="27" t="s">
        <v>7</v>
      </c>
      <c r="HE826" s="27" t="s">
        <v>8</v>
      </c>
      <c r="HF826" s="27" t="s">
        <v>7</v>
      </c>
      <c r="HG826" s="27" t="s">
        <v>8</v>
      </c>
      <c r="HI826" s="27" t="s">
        <v>8</v>
      </c>
      <c r="HL826" s="27" t="s">
        <v>7</v>
      </c>
      <c r="HO826" s="27" t="s">
        <v>8</v>
      </c>
      <c r="HP826" s="27" t="s">
        <v>7</v>
      </c>
      <c r="HQ826" s="27" t="s">
        <v>8</v>
      </c>
      <c r="HR826" s="27" t="s">
        <v>7</v>
      </c>
      <c r="HS826" s="27" t="s">
        <v>8</v>
      </c>
      <c r="HW826" s="27" t="s">
        <v>8</v>
      </c>
      <c r="HX826" s="27" t="s">
        <v>7</v>
      </c>
      <c r="HZ826" s="27" t="s">
        <v>7</v>
      </c>
      <c r="IA826" s="27" t="s">
        <v>8</v>
      </c>
      <c r="IF826" s="27" t="s">
        <v>7</v>
      </c>
      <c r="II826" s="27" t="s">
        <v>8</v>
      </c>
      <c r="IN826" s="27" t="s">
        <v>7</v>
      </c>
      <c r="IO826" s="27" t="s">
        <v>8</v>
      </c>
      <c r="IP826" s="27" t="s">
        <v>7</v>
      </c>
      <c r="IQ826" s="27" t="s">
        <v>8</v>
      </c>
      <c r="IR826" s="27" t="s">
        <v>7</v>
      </c>
      <c r="IS826" s="27" t="s">
        <v>8</v>
      </c>
      <c r="IT826" s="27" t="s">
        <v>7</v>
      </c>
      <c r="IU826" s="27" t="s">
        <v>8</v>
      </c>
      <c r="IV826" s="27" t="s">
        <v>7</v>
      </c>
      <c r="IW826" s="27" t="s">
        <v>8</v>
      </c>
      <c r="IX826" s="27" t="s">
        <v>7</v>
      </c>
      <c r="JA826" s="27" t="s">
        <v>8</v>
      </c>
      <c r="JB826" s="27" t="s">
        <v>7</v>
      </c>
    </row>
    <row r="827" spans="1:267" x14ac:dyDescent="0.25">
      <c r="A827" s="7">
        <v>8.6289663846986879E-3</v>
      </c>
      <c r="B827"/>
      <c r="C827"/>
      <c r="D827"/>
      <c r="E827"/>
      <c r="F827" s="27" t="s">
        <v>7</v>
      </c>
      <c r="FY827" s="27" t="s">
        <v>8</v>
      </c>
      <c r="GL827" s="27" t="s">
        <v>7</v>
      </c>
      <c r="GO827" s="27" t="s">
        <v>8</v>
      </c>
      <c r="GQ827" s="27" t="s">
        <v>8</v>
      </c>
      <c r="HE827" s="27" t="s">
        <v>8</v>
      </c>
      <c r="HF827" s="27" t="s">
        <v>7</v>
      </c>
      <c r="HG827" s="27" t="s">
        <v>8</v>
      </c>
      <c r="HH827" s="27" t="s">
        <v>7</v>
      </c>
      <c r="HI827" s="27" t="s">
        <v>8</v>
      </c>
      <c r="HL827" s="27" t="s">
        <v>7</v>
      </c>
      <c r="HO827" s="27" t="s">
        <v>8</v>
      </c>
      <c r="HP827" s="27" t="s">
        <v>7</v>
      </c>
      <c r="HQ827" s="27" t="s">
        <v>8</v>
      </c>
      <c r="HR827" s="27" t="s">
        <v>7</v>
      </c>
      <c r="HS827" s="27" t="s">
        <v>8</v>
      </c>
      <c r="HT827" s="27" t="s">
        <v>7</v>
      </c>
      <c r="HU827" s="27" t="s">
        <v>8</v>
      </c>
      <c r="HW827" s="27" t="s">
        <v>8</v>
      </c>
      <c r="HZ827" s="27" t="s">
        <v>7</v>
      </c>
      <c r="IA827" s="27" t="s">
        <v>8</v>
      </c>
      <c r="IF827" s="27" t="s">
        <v>7</v>
      </c>
      <c r="II827" s="27" t="s">
        <v>8</v>
      </c>
      <c r="IN827" s="27" t="s">
        <v>7</v>
      </c>
      <c r="IO827" s="27" t="s">
        <v>8</v>
      </c>
      <c r="IP827" s="27" t="s">
        <v>7</v>
      </c>
      <c r="IQ827" s="27" t="s">
        <v>8</v>
      </c>
      <c r="IR827" s="27" t="s">
        <v>7</v>
      </c>
      <c r="IS827" s="27" t="s">
        <v>8</v>
      </c>
      <c r="IT827" s="27" t="s">
        <v>7</v>
      </c>
      <c r="IU827" s="27" t="s">
        <v>8</v>
      </c>
      <c r="IV827" s="27" t="s">
        <v>7</v>
      </c>
      <c r="IW827" s="27" t="s">
        <v>8</v>
      </c>
      <c r="IX827" s="27" t="s">
        <v>7</v>
      </c>
      <c r="IY827" s="27" t="s">
        <v>8</v>
      </c>
      <c r="JA827" s="27" t="s">
        <v>8</v>
      </c>
    </row>
    <row r="828" spans="1:267" x14ac:dyDescent="0.25">
      <c r="A828" s="7">
        <v>8.4597709653908715E-3</v>
      </c>
      <c r="B828"/>
      <c r="C828"/>
      <c r="D828"/>
      <c r="E828"/>
      <c r="F828" s="27" t="s">
        <v>7</v>
      </c>
      <c r="FY828" s="27" t="s">
        <v>8</v>
      </c>
      <c r="GL828" s="27" t="s">
        <v>7</v>
      </c>
      <c r="GM828" s="27" t="s">
        <v>8</v>
      </c>
      <c r="GO828" s="27" t="s">
        <v>8</v>
      </c>
      <c r="GP828" s="27" t="s">
        <v>7</v>
      </c>
      <c r="GQ828" s="27" t="s">
        <v>8</v>
      </c>
      <c r="GR828" s="27" t="s">
        <v>7</v>
      </c>
      <c r="HE828" s="27" t="s">
        <v>8</v>
      </c>
      <c r="HF828" s="27" t="s">
        <v>7</v>
      </c>
      <c r="HG828" s="27" t="s">
        <v>8</v>
      </c>
      <c r="HH828" s="27" t="s">
        <v>7</v>
      </c>
      <c r="HI828" s="27" t="s">
        <v>8</v>
      </c>
      <c r="HL828" s="27" t="s">
        <v>7</v>
      </c>
      <c r="HO828" s="27" t="s">
        <v>8</v>
      </c>
      <c r="HP828" s="27" t="s">
        <v>7</v>
      </c>
      <c r="HQ828" s="27" t="s">
        <v>8</v>
      </c>
      <c r="HR828" s="27" t="s">
        <v>7</v>
      </c>
      <c r="HS828" s="27" t="s">
        <v>8</v>
      </c>
      <c r="HT828" s="27" t="s">
        <v>7</v>
      </c>
      <c r="HU828" s="27" t="s">
        <v>8</v>
      </c>
      <c r="HV828" s="27" t="s">
        <v>7</v>
      </c>
      <c r="HW828" s="27" t="s">
        <v>8</v>
      </c>
      <c r="HZ828" s="27" t="s">
        <v>7</v>
      </c>
      <c r="IA828" s="27" t="s">
        <v>8</v>
      </c>
      <c r="IF828" s="27" t="s">
        <v>7</v>
      </c>
      <c r="IG828" s="27" t="s">
        <v>8</v>
      </c>
      <c r="II828" s="27" t="s">
        <v>8</v>
      </c>
      <c r="IN828" s="27" t="s">
        <v>7</v>
      </c>
      <c r="IO828" s="27" t="s">
        <v>8</v>
      </c>
      <c r="IP828" s="27" t="s">
        <v>7</v>
      </c>
      <c r="IR828" s="27" t="s">
        <v>7</v>
      </c>
      <c r="IS828" s="27" t="s">
        <v>8</v>
      </c>
      <c r="IT828" s="27" t="s">
        <v>7</v>
      </c>
      <c r="IU828" s="27" t="s">
        <v>8</v>
      </c>
      <c r="IV828" s="27" t="s">
        <v>7</v>
      </c>
      <c r="IW828" s="27" t="s">
        <v>8</v>
      </c>
      <c r="IX828" s="27" t="s">
        <v>7</v>
      </c>
      <c r="IY828" s="27" t="s">
        <v>8</v>
      </c>
      <c r="IZ828" s="27" t="s">
        <v>7</v>
      </c>
      <c r="JA828" s="27" t="s">
        <v>8</v>
      </c>
    </row>
    <row r="829" spans="1:267" x14ac:dyDescent="0.25">
      <c r="A829" s="7">
        <v>8.2938931033243839E-3</v>
      </c>
      <c r="B829"/>
      <c r="C829"/>
      <c r="D829"/>
      <c r="E829"/>
      <c r="F829" s="27" t="s">
        <v>7</v>
      </c>
      <c r="FY829" s="27" t="s">
        <v>8</v>
      </c>
      <c r="GL829" s="27" t="s">
        <v>7</v>
      </c>
      <c r="GM829" s="27" t="s">
        <v>8</v>
      </c>
      <c r="GN829" s="27" t="s">
        <v>7</v>
      </c>
      <c r="GO829" s="27" t="s">
        <v>8</v>
      </c>
      <c r="GP829" s="27" t="s">
        <v>7</v>
      </c>
      <c r="GQ829" s="27" t="s">
        <v>8</v>
      </c>
      <c r="GR829" s="27" t="s">
        <v>7</v>
      </c>
      <c r="GY829" s="27" t="s">
        <v>8</v>
      </c>
      <c r="HE829" s="27" t="s">
        <v>8</v>
      </c>
      <c r="HF829" s="27" t="s">
        <v>7</v>
      </c>
      <c r="HG829" s="27" t="s">
        <v>8</v>
      </c>
      <c r="HH829" s="27" t="s">
        <v>7</v>
      </c>
      <c r="HI829" s="27" t="s">
        <v>8</v>
      </c>
      <c r="HL829" s="27" t="s">
        <v>7</v>
      </c>
      <c r="HO829" s="27" t="s">
        <v>8</v>
      </c>
      <c r="HP829" s="27" t="s">
        <v>7</v>
      </c>
      <c r="HQ829" s="27" t="s">
        <v>8</v>
      </c>
      <c r="HR829" s="27" t="s">
        <v>7</v>
      </c>
      <c r="HS829" s="27" t="s">
        <v>8</v>
      </c>
      <c r="HT829" s="27" t="s">
        <v>7</v>
      </c>
      <c r="HU829" s="27" t="s">
        <v>8</v>
      </c>
      <c r="HV829" s="27" t="s">
        <v>7</v>
      </c>
      <c r="HW829" s="27" t="s">
        <v>8</v>
      </c>
      <c r="HZ829" s="27" t="s">
        <v>7</v>
      </c>
      <c r="IA829" s="27" t="s">
        <v>8</v>
      </c>
      <c r="IF829" s="27" t="s">
        <v>7</v>
      </c>
      <c r="IG829" s="27" t="s">
        <v>8</v>
      </c>
      <c r="IH829" s="27" t="s">
        <v>7</v>
      </c>
      <c r="II829" s="27" t="s">
        <v>8</v>
      </c>
      <c r="IN829" s="27" t="s">
        <v>7</v>
      </c>
      <c r="IO829" s="27" t="s">
        <v>8</v>
      </c>
      <c r="IR829" s="27" t="s">
        <v>7</v>
      </c>
      <c r="IS829" s="27" t="s">
        <v>8</v>
      </c>
      <c r="IT829" s="27" t="s">
        <v>7</v>
      </c>
      <c r="IU829" s="27" t="s">
        <v>8</v>
      </c>
      <c r="IV829" s="27" t="s">
        <v>7</v>
      </c>
      <c r="IX829" s="27" t="s">
        <v>7</v>
      </c>
      <c r="IY829" s="27" t="s">
        <v>8</v>
      </c>
      <c r="IZ829" s="27" t="s">
        <v>7</v>
      </c>
      <c r="JA829" s="27" t="s">
        <v>8</v>
      </c>
    </row>
    <row r="830" spans="1:267" x14ac:dyDescent="0.25">
      <c r="A830" s="7">
        <v>8.1312677483572383E-3</v>
      </c>
      <c r="B830"/>
      <c r="C830"/>
      <c r="D830"/>
      <c r="E830"/>
      <c r="F830" s="27" t="s">
        <v>7</v>
      </c>
      <c r="FY830" s="27" t="s">
        <v>8</v>
      </c>
      <c r="GL830" s="27" t="s">
        <v>7</v>
      </c>
      <c r="GM830" s="27" t="s">
        <v>8</v>
      </c>
      <c r="GN830" s="27" t="s">
        <v>7</v>
      </c>
      <c r="GO830" s="27" t="s">
        <v>8</v>
      </c>
      <c r="GP830" s="27" t="s">
        <v>7</v>
      </c>
      <c r="GQ830" s="27" t="s">
        <v>8</v>
      </c>
      <c r="GR830" s="27" t="s">
        <v>7</v>
      </c>
      <c r="GY830" s="27" t="s">
        <v>8</v>
      </c>
      <c r="GZ830" s="27" t="s">
        <v>7</v>
      </c>
      <c r="HE830" s="27" t="s">
        <v>8</v>
      </c>
      <c r="HF830" s="27" t="s">
        <v>7</v>
      </c>
      <c r="HG830" s="27" t="s">
        <v>8</v>
      </c>
      <c r="HH830" s="27" t="s">
        <v>7</v>
      </c>
      <c r="HI830" s="27" t="s">
        <v>8</v>
      </c>
      <c r="HL830" s="27" t="s">
        <v>7</v>
      </c>
      <c r="HO830" s="27" t="s">
        <v>8</v>
      </c>
      <c r="HP830" s="27" t="s">
        <v>7</v>
      </c>
      <c r="HQ830" s="27" t="s">
        <v>8</v>
      </c>
      <c r="HR830" s="27" t="s">
        <v>7</v>
      </c>
      <c r="HS830" s="27" t="s">
        <v>8</v>
      </c>
      <c r="HT830" s="27" t="s">
        <v>7</v>
      </c>
      <c r="HV830" s="27" t="s">
        <v>7</v>
      </c>
      <c r="HW830" s="27" t="s">
        <v>8</v>
      </c>
      <c r="HZ830" s="27" t="s">
        <v>7</v>
      </c>
      <c r="IA830" s="27" t="s">
        <v>8</v>
      </c>
      <c r="IF830" s="27" t="s">
        <v>7</v>
      </c>
      <c r="IG830" s="27" t="s">
        <v>8</v>
      </c>
      <c r="IH830" s="27" t="s">
        <v>7</v>
      </c>
      <c r="II830" s="27" t="s">
        <v>8</v>
      </c>
      <c r="IN830" s="27" t="s">
        <v>7</v>
      </c>
      <c r="IO830" s="27" t="s">
        <v>8</v>
      </c>
      <c r="IR830" s="27" t="s">
        <v>7</v>
      </c>
      <c r="IT830" s="27" t="s">
        <v>7</v>
      </c>
      <c r="IU830" s="27" t="s">
        <v>8</v>
      </c>
      <c r="IX830" s="27" t="s">
        <v>7</v>
      </c>
      <c r="IY830" s="27" t="s">
        <v>8</v>
      </c>
      <c r="IZ830" s="27" t="s">
        <v>7</v>
      </c>
      <c r="JA830" s="27" t="s">
        <v>8</v>
      </c>
    </row>
    <row r="831" spans="1:267" x14ac:dyDescent="0.25">
      <c r="A831" s="7">
        <v>7.9718311258404305E-3</v>
      </c>
      <c r="B831"/>
      <c r="C831"/>
      <c r="D831"/>
      <c r="E831"/>
      <c r="F831" s="27" t="s">
        <v>7</v>
      </c>
      <c r="FY831" s="27" t="s">
        <v>8</v>
      </c>
      <c r="GL831" s="27" t="s">
        <v>7</v>
      </c>
      <c r="GM831" s="27" t="s">
        <v>8</v>
      </c>
      <c r="GN831" s="27" t="s">
        <v>7</v>
      </c>
      <c r="GO831" s="27" t="s">
        <v>8</v>
      </c>
      <c r="GP831" s="27" t="s">
        <v>7</v>
      </c>
      <c r="GR831" s="27" t="s">
        <v>7</v>
      </c>
      <c r="GY831" s="27" t="s">
        <v>8</v>
      </c>
      <c r="GZ831" s="27" t="s">
        <v>7</v>
      </c>
      <c r="HE831" s="27" t="s">
        <v>8</v>
      </c>
      <c r="HF831" s="27" t="s">
        <v>7</v>
      </c>
      <c r="HG831" s="27" t="s">
        <v>8</v>
      </c>
      <c r="HH831" s="27" t="s">
        <v>7</v>
      </c>
      <c r="HI831" s="27" t="s">
        <v>8</v>
      </c>
      <c r="HL831" s="27" t="s">
        <v>7</v>
      </c>
      <c r="HO831" s="27" t="s">
        <v>8</v>
      </c>
      <c r="HP831" s="27" t="s">
        <v>7</v>
      </c>
      <c r="HR831" s="27" t="s">
        <v>7</v>
      </c>
      <c r="HS831" s="27" t="s">
        <v>8</v>
      </c>
      <c r="HV831" s="27" t="s">
        <v>7</v>
      </c>
      <c r="HW831" s="27" t="s">
        <v>8</v>
      </c>
      <c r="HZ831" s="27" t="s">
        <v>7</v>
      </c>
      <c r="IF831" s="27" t="s">
        <v>7</v>
      </c>
      <c r="IG831" s="27" t="s">
        <v>8</v>
      </c>
      <c r="IH831" s="27" t="s">
        <v>7</v>
      </c>
      <c r="II831" s="27" t="s">
        <v>8</v>
      </c>
      <c r="IN831" s="27" t="s">
        <v>7</v>
      </c>
      <c r="IO831" s="27" t="s">
        <v>8</v>
      </c>
      <c r="IT831" s="27" t="s">
        <v>7</v>
      </c>
      <c r="IU831" s="27" t="s">
        <v>8</v>
      </c>
      <c r="IX831" s="27" t="s">
        <v>7</v>
      </c>
      <c r="IY831" s="27" t="s">
        <v>8</v>
      </c>
      <c r="IZ831" s="27" t="s">
        <v>7</v>
      </c>
      <c r="JA831" s="27" t="s">
        <v>8</v>
      </c>
    </row>
    <row r="832" spans="1:267" x14ac:dyDescent="0.25">
      <c r="A832" s="7">
        <v>7.8155207116082648E-3</v>
      </c>
      <c r="B832"/>
      <c r="C832"/>
      <c r="D832"/>
      <c r="E832"/>
      <c r="F832" s="27" t="s">
        <v>7</v>
      </c>
      <c r="FQ832" s="27" t="s">
        <v>8</v>
      </c>
      <c r="FY832" s="27" t="s">
        <v>8</v>
      </c>
      <c r="GL832" s="27" t="s">
        <v>7</v>
      </c>
      <c r="GM832" s="27" t="s">
        <v>8</v>
      </c>
      <c r="GN832" s="27" t="s">
        <v>7</v>
      </c>
      <c r="GO832" s="27" t="s">
        <v>8</v>
      </c>
      <c r="GR832" s="27" t="s">
        <v>7</v>
      </c>
      <c r="GY832" s="27" t="s">
        <v>8</v>
      </c>
      <c r="GZ832" s="27" t="s">
        <v>7</v>
      </c>
      <c r="HE832" s="27" t="s">
        <v>8</v>
      </c>
      <c r="HF832" s="27" t="s">
        <v>7</v>
      </c>
      <c r="HG832" s="27" t="s">
        <v>8</v>
      </c>
      <c r="HH832" s="27" t="s">
        <v>7</v>
      </c>
      <c r="HI832" s="27" t="s">
        <v>8</v>
      </c>
      <c r="HL832" s="27" t="s">
        <v>7</v>
      </c>
      <c r="HO832" s="27" t="s">
        <v>8</v>
      </c>
      <c r="HR832" s="27" t="s">
        <v>7</v>
      </c>
      <c r="HV832" s="27" t="s">
        <v>7</v>
      </c>
      <c r="IF832" s="27" t="s">
        <v>7</v>
      </c>
      <c r="IH832" s="27" t="s">
        <v>7</v>
      </c>
      <c r="IN832" s="27" t="s">
        <v>7</v>
      </c>
      <c r="IT832" s="27" t="s">
        <v>7</v>
      </c>
      <c r="IX832" s="27" t="s">
        <v>7</v>
      </c>
      <c r="IY832" s="27" t="s">
        <v>8</v>
      </c>
      <c r="IZ832" s="27" t="s">
        <v>7</v>
      </c>
    </row>
    <row r="833" spans="1:259" x14ac:dyDescent="0.25">
      <c r="A833" s="7">
        <v>7.6622752074590825E-3</v>
      </c>
      <c r="B833"/>
      <c r="C833"/>
      <c r="D833"/>
      <c r="E833"/>
      <c r="F833" s="27" t="s">
        <v>7</v>
      </c>
      <c r="FQ833" s="27" t="s">
        <v>8</v>
      </c>
      <c r="FR833" s="27" t="s">
        <v>7</v>
      </c>
      <c r="FY833" s="27" t="s">
        <v>8</v>
      </c>
      <c r="GL833" s="27" t="s">
        <v>7</v>
      </c>
      <c r="GM833" s="27" t="s">
        <v>8</v>
      </c>
      <c r="GN833" s="27" t="s">
        <v>7</v>
      </c>
      <c r="GO833" s="27" t="s">
        <v>8</v>
      </c>
      <c r="GR833" s="27" t="s">
        <v>7</v>
      </c>
      <c r="GY833" s="27" t="s">
        <v>8</v>
      </c>
      <c r="GZ833" s="27" t="s">
        <v>7</v>
      </c>
      <c r="HE833" s="27" t="s">
        <v>8</v>
      </c>
      <c r="HF833" s="27" t="s">
        <v>7</v>
      </c>
      <c r="HG833" s="27" t="s">
        <v>8</v>
      </c>
      <c r="HH833" s="27" t="s">
        <v>7</v>
      </c>
      <c r="HL833" s="27" t="s">
        <v>7</v>
      </c>
      <c r="HO833" s="27" t="s">
        <v>8</v>
      </c>
      <c r="IX833" s="27" t="s">
        <v>7</v>
      </c>
      <c r="IY833" s="27" t="s">
        <v>8</v>
      </c>
    </row>
    <row r="834" spans="1:259" x14ac:dyDescent="0.25">
      <c r="A834" s="7">
        <v>7.5120345171167469E-3</v>
      </c>
      <c r="B834"/>
      <c r="C834"/>
      <c r="D834"/>
      <c r="E834"/>
      <c r="F834" s="27" t="s">
        <v>7</v>
      </c>
      <c r="FQ834" s="27" t="s">
        <v>8</v>
      </c>
      <c r="FR834" s="27" t="s">
        <v>7</v>
      </c>
      <c r="FY834" s="27" t="s">
        <v>8</v>
      </c>
      <c r="GL834" s="27" t="s">
        <v>7</v>
      </c>
      <c r="GM834" s="27" t="s">
        <v>8</v>
      </c>
      <c r="GN834" s="27" t="s">
        <v>7</v>
      </c>
      <c r="GO834" s="27" t="s">
        <v>8</v>
      </c>
      <c r="GR834" s="27" t="s">
        <v>7</v>
      </c>
      <c r="GY834" s="27" t="s">
        <v>8</v>
      </c>
      <c r="GZ834" s="27" t="s">
        <v>7</v>
      </c>
      <c r="HA834" s="27" t="s">
        <v>8</v>
      </c>
      <c r="HE834" s="27" t="s">
        <v>8</v>
      </c>
      <c r="HF834" s="27" t="s">
        <v>7</v>
      </c>
      <c r="HG834" s="27" t="s">
        <v>8</v>
      </c>
      <c r="HL834" s="27" t="s">
        <v>7</v>
      </c>
      <c r="HO834" s="27" t="s">
        <v>8</v>
      </c>
      <c r="IX834" s="27" t="s">
        <v>7</v>
      </c>
      <c r="IY834" s="27" t="s">
        <v>8</v>
      </c>
    </row>
    <row r="835" spans="1:259" x14ac:dyDescent="0.25">
      <c r="A835" s="7">
        <v>7.3647397226634772E-3</v>
      </c>
      <c r="B835"/>
      <c r="C835"/>
      <c r="D835"/>
      <c r="E835"/>
      <c r="F835" s="27" t="s">
        <v>7</v>
      </c>
      <c r="O835" s="27" t="s">
        <v>8</v>
      </c>
      <c r="FQ835" s="27" t="s">
        <v>8</v>
      </c>
      <c r="FR835" s="27" t="s">
        <v>7</v>
      </c>
      <c r="FY835" s="27" t="s">
        <v>8</v>
      </c>
      <c r="GL835" s="27" t="s">
        <v>7</v>
      </c>
      <c r="GM835" s="27" t="s">
        <v>8</v>
      </c>
      <c r="GN835" s="27" t="s">
        <v>7</v>
      </c>
      <c r="GO835" s="27" t="s">
        <v>8</v>
      </c>
      <c r="GR835" s="27" t="s">
        <v>7</v>
      </c>
      <c r="GW835" s="27" t="s">
        <v>8</v>
      </c>
      <c r="GY835" s="27" t="s">
        <v>8</v>
      </c>
      <c r="GZ835" s="27" t="s">
        <v>7</v>
      </c>
      <c r="HA835" s="27" t="s">
        <v>8</v>
      </c>
      <c r="HB835" s="27" t="s">
        <v>7</v>
      </c>
      <c r="HE835" s="27" t="s">
        <v>8</v>
      </c>
      <c r="HF835" s="27" t="s">
        <v>7</v>
      </c>
      <c r="HL835" s="27" t="s">
        <v>7</v>
      </c>
      <c r="HM835" s="27" t="s">
        <v>8</v>
      </c>
      <c r="HO835" s="27" t="s">
        <v>8</v>
      </c>
      <c r="IX835" s="27" t="s">
        <v>7</v>
      </c>
    </row>
    <row r="836" spans="1:259" x14ac:dyDescent="0.25">
      <c r="A836" s="7">
        <v>7.2203330614347815E-3</v>
      </c>
      <c r="B836"/>
      <c r="C836"/>
      <c r="D836"/>
      <c r="E836"/>
      <c r="F836" s="27" t="s">
        <v>7</v>
      </c>
      <c r="O836" s="27" t="s">
        <v>8</v>
      </c>
      <c r="P836" s="27" t="s">
        <v>7</v>
      </c>
      <c r="FM836" s="27" t="s">
        <v>8</v>
      </c>
      <c r="FQ836" s="27" t="s">
        <v>8</v>
      </c>
      <c r="FR836" s="27" t="s">
        <v>7</v>
      </c>
      <c r="FY836" s="27" t="s">
        <v>8</v>
      </c>
      <c r="GL836" s="27" t="s">
        <v>7</v>
      </c>
      <c r="GM836" s="27" t="s">
        <v>8</v>
      </c>
      <c r="GN836" s="27" t="s">
        <v>7</v>
      </c>
      <c r="GR836" s="27" t="s">
        <v>7</v>
      </c>
      <c r="GW836" s="27" t="s">
        <v>8</v>
      </c>
      <c r="GX836" s="27" t="s">
        <v>7</v>
      </c>
      <c r="GY836" s="27" t="s">
        <v>8</v>
      </c>
      <c r="GZ836" s="27" t="s">
        <v>7</v>
      </c>
      <c r="HA836" s="27" t="s">
        <v>8</v>
      </c>
      <c r="HB836" s="27" t="s">
        <v>7</v>
      </c>
      <c r="HC836" s="27" t="s">
        <v>8</v>
      </c>
      <c r="HE836" s="27" t="s">
        <v>8</v>
      </c>
      <c r="HL836" s="27" t="s">
        <v>7</v>
      </c>
      <c r="HM836" s="27" t="s">
        <v>8</v>
      </c>
      <c r="HN836" s="27" t="s">
        <v>7</v>
      </c>
      <c r="HO836" s="27" t="s">
        <v>8</v>
      </c>
    </row>
    <row r="837" spans="1:259" x14ac:dyDescent="0.25">
      <c r="A837" s="7">
        <v>7.0787579033674327E-3</v>
      </c>
      <c r="B837"/>
      <c r="C837"/>
      <c r="D837"/>
      <c r="E837"/>
      <c r="F837" s="27" t="s">
        <v>7</v>
      </c>
      <c r="G837" s="27" t="s">
        <v>8</v>
      </c>
      <c r="O837" s="27" t="s">
        <v>8</v>
      </c>
      <c r="P837" s="27" t="s">
        <v>7</v>
      </c>
      <c r="FM837" s="27" t="s">
        <v>8</v>
      </c>
      <c r="FN837" s="27" t="s">
        <v>7</v>
      </c>
      <c r="FQ837" s="27" t="s">
        <v>8</v>
      </c>
      <c r="FR837" s="27" t="s">
        <v>7</v>
      </c>
      <c r="FY837" s="27" t="s">
        <v>8</v>
      </c>
      <c r="GL837" s="27" t="s">
        <v>7</v>
      </c>
      <c r="GM837" s="27" t="s">
        <v>8</v>
      </c>
      <c r="GR837" s="27" t="s">
        <v>7</v>
      </c>
      <c r="GW837" s="27" t="s">
        <v>8</v>
      </c>
      <c r="GX837" s="27" t="s">
        <v>7</v>
      </c>
      <c r="GY837" s="27" t="s">
        <v>8</v>
      </c>
      <c r="GZ837" s="27" t="s">
        <v>7</v>
      </c>
      <c r="HA837" s="27" t="s">
        <v>8</v>
      </c>
      <c r="HB837" s="27" t="s">
        <v>7</v>
      </c>
      <c r="HC837" s="27" t="s">
        <v>8</v>
      </c>
      <c r="HD837" s="27" t="s">
        <v>7</v>
      </c>
      <c r="HE837" s="27" t="s">
        <v>8</v>
      </c>
      <c r="HL837" s="27" t="s">
        <v>7</v>
      </c>
      <c r="HM837" s="27" t="s">
        <v>8</v>
      </c>
      <c r="HN837" s="27" t="s">
        <v>7</v>
      </c>
      <c r="HO837" s="27" t="s">
        <v>8</v>
      </c>
    </row>
    <row r="838" spans="1:259" x14ac:dyDescent="0.25">
      <c r="A838" s="7">
        <v>6.9399587287916013E-3</v>
      </c>
      <c r="B838"/>
      <c r="C838"/>
      <c r="D838"/>
      <c r="E838"/>
      <c r="F838" s="27" t="s">
        <v>7</v>
      </c>
      <c r="G838" s="27" t="s">
        <v>8</v>
      </c>
      <c r="H838" s="27" t="s">
        <v>7</v>
      </c>
      <c r="O838" s="27" t="s">
        <v>8</v>
      </c>
      <c r="P838" s="27" t="s">
        <v>7</v>
      </c>
      <c r="FM838" s="27" t="s">
        <v>8</v>
      </c>
      <c r="FN838" s="27" t="s">
        <v>7</v>
      </c>
      <c r="FQ838" s="27" t="s">
        <v>8</v>
      </c>
      <c r="FR838" s="27" t="s">
        <v>7</v>
      </c>
      <c r="FS838" s="27" t="s">
        <v>8</v>
      </c>
      <c r="FY838" s="27" t="s">
        <v>8</v>
      </c>
      <c r="GL838" s="27" t="s">
        <v>7</v>
      </c>
      <c r="GM838" s="27" t="s">
        <v>8</v>
      </c>
      <c r="GR838" s="27" t="s">
        <v>7</v>
      </c>
      <c r="GS838" s="27" t="s">
        <v>8</v>
      </c>
      <c r="GW838" s="27" t="s">
        <v>8</v>
      </c>
      <c r="GX838" s="27" t="s">
        <v>7</v>
      </c>
      <c r="GY838" s="27" t="s">
        <v>8</v>
      </c>
      <c r="GZ838" s="27" t="s">
        <v>7</v>
      </c>
      <c r="HB838" s="27" t="s">
        <v>7</v>
      </c>
      <c r="HC838" s="27" t="s">
        <v>8</v>
      </c>
      <c r="HD838" s="27" t="s">
        <v>7</v>
      </c>
      <c r="HE838" s="27" t="s">
        <v>8</v>
      </c>
      <c r="HL838" s="27" t="s">
        <v>7</v>
      </c>
      <c r="HM838" s="27" t="s">
        <v>8</v>
      </c>
      <c r="HN838" s="27" t="s">
        <v>7</v>
      </c>
      <c r="HO838" s="27" t="s">
        <v>8</v>
      </c>
    </row>
    <row r="839" spans="1:259" x14ac:dyDescent="0.25">
      <c r="A839" s="7">
        <v>6.8038811066584333E-3</v>
      </c>
      <c r="B839"/>
      <c r="C839"/>
      <c r="D839"/>
      <c r="E839"/>
      <c r="F839" s="27" t="s">
        <v>7</v>
      </c>
      <c r="G839" s="27" t="s">
        <v>8</v>
      </c>
      <c r="H839" s="27" t="s">
        <v>7</v>
      </c>
      <c r="O839" s="27" t="s">
        <v>8</v>
      </c>
      <c r="P839" s="27" t="s">
        <v>7</v>
      </c>
      <c r="FM839" s="27" t="s">
        <v>8</v>
      </c>
      <c r="FN839" s="27" t="s">
        <v>7</v>
      </c>
      <c r="FQ839" s="27" t="s">
        <v>8</v>
      </c>
      <c r="FR839" s="27" t="s">
        <v>7</v>
      </c>
      <c r="FS839" s="27" t="s">
        <v>8</v>
      </c>
      <c r="FT839" s="27" t="s">
        <v>7</v>
      </c>
      <c r="FY839" s="27" t="s">
        <v>8</v>
      </c>
      <c r="GL839" s="27" t="s">
        <v>7</v>
      </c>
      <c r="GR839" s="27" t="s">
        <v>7</v>
      </c>
      <c r="GS839" s="27" t="s">
        <v>8</v>
      </c>
      <c r="GT839" s="27" t="s">
        <v>7</v>
      </c>
      <c r="GW839" s="27" t="s">
        <v>8</v>
      </c>
      <c r="GX839" s="27" t="s">
        <v>7</v>
      </c>
      <c r="GY839" s="27" t="s">
        <v>8</v>
      </c>
      <c r="HB839" s="27" t="s">
        <v>7</v>
      </c>
      <c r="HC839" s="27" t="s">
        <v>8</v>
      </c>
      <c r="HD839" s="27" t="s">
        <v>7</v>
      </c>
      <c r="HE839" s="27" t="s">
        <v>8</v>
      </c>
      <c r="HL839" s="27" t="s">
        <v>7</v>
      </c>
      <c r="HM839" s="27" t="s">
        <v>8</v>
      </c>
      <c r="HN839" s="27" t="s">
        <v>7</v>
      </c>
      <c r="HO839" s="27" t="s">
        <v>8</v>
      </c>
    </row>
    <row r="840" spans="1:259" x14ac:dyDescent="0.25">
      <c r="A840" s="7">
        <v>6.6704716731945425E-3</v>
      </c>
      <c r="B840"/>
      <c r="C840"/>
      <c r="D840"/>
      <c r="E840"/>
      <c r="F840" s="27" t="s">
        <v>7</v>
      </c>
      <c r="G840" s="27" t="s">
        <v>8</v>
      </c>
      <c r="H840" s="27" t="s">
        <v>7</v>
      </c>
      <c r="O840" s="27" t="s">
        <v>8</v>
      </c>
      <c r="P840" s="27" t="s">
        <v>7</v>
      </c>
      <c r="FM840" s="27" t="s">
        <v>8</v>
      </c>
      <c r="FN840" s="27" t="s">
        <v>7</v>
      </c>
      <c r="FO840" s="27" t="s">
        <v>8</v>
      </c>
      <c r="FQ840" s="27" t="s">
        <v>8</v>
      </c>
      <c r="FR840" s="27" t="s">
        <v>7</v>
      </c>
      <c r="FS840" s="27" t="s">
        <v>8</v>
      </c>
      <c r="FT840" s="27" t="s">
        <v>7</v>
      </c>
      <c r="FY840" s="27" t="s">
        <v>8</v>
      </c>
      <c r="GR840" s="27" t="s">
        <v>7</v>
      </c>
      <c r="GS840" s="27" t="s">
        <v>8</v>
      </c>
      <c r="GT840" s="27" t="s">
        <v>7</v>
      </c>
      <c r="GW840" s="27" t="s">
        <v>8</v>
      </c>
      <c r="GX840" s="27" t="s">
        <v>7</v>
      </c>
      <c r="GY840" s="27" t="s">
        <v>8</v>
      </c>
      <c r="HB840" s="27" t="s">
        <v>7</v>
      </c>
      <c r="HC840" s="27" t="s">
        <v>8</v>
      </c>
      <c r="HD840" s="27" t="s">
        <v>7</v>
      </c>
      <c r="HL840" s="27" t="s">
        <v>7</v>
      </c>
      <c r="HM840" s="27" t="s">
        <v>8</v>
      </c>
      <c r="HN840" s="27" t="s">
        <v>7</v>
      </c>
      <c r="HO840" s="27" t="s">
        <v>8</v>
      </c>
    </row>
    <row r="841" spans="1:259" x14ac:dyDescent="0.25">
      <c r="A841" s="7">
        <v>6.5396781109750427E-3</v>
      </c>
      <c r="B841"/>
      <c r="C841"/>
      <c r="D841"/>
      <c r="E841"/>
      <c r="F841" s="27" t="s">
        <v>7</v>
      </c>
      <c r="G841" s="27" t="s">
        <v>8</v>
      </c>
      <c r="H841" s="27" t="s">
        <v>7</v>
      </c>
      <c r="O841" s="27" t="s">
        <v>8</v>
      </c>
      <c r="P841" s="27" t="s">
        <v>7</v>
      </c>
      <c r="FM841" s="27" t="s">
        <v>8</v>
      </c>
      <c r="FN841" s="27" t="s">
        <v>7</v>
      </c>
      <c r="FO841" s="27" t="s">
        <v>8</v>
      </c>
      <c r="FP841" s="27" t="s">
        <v>7</v>
      </c>
      <c r="FQ841" s="27" t="s">
        <v>8</v>
      </c>
      <c r="FR841" s="27" t="s">
        <v>7</v>
      </c>
      <c r="FS841" s="27" t="s">
        <v>8</v>
      </c>
      <c r="FT841" s="27" t="s">
        <v>7</v>
      </c>
      <c r="FY841" s="27" t="s">
        <v>8</v>
      </c>
      <c r="GR841" s="27" t="s">
        <v>7</v>
      </c>
      <c r="GS841" s="27" t="s">
        <v>8</v>
      </c>
      <c r="GT841" s="27" t="s">
        <v>7</v>
      </c>
      <c r="GW841" s="27" t="s">
        <v>8</v>
      </c>
      <c r="GX841" s="27" t="s">
        <v>7</v>
      </c>
      <c r="HB841" s="27" t="s">
        <v>7</v>
      </c>
      <c r="HC841" s="27" t="s">
        <v>8</v>
      </c>
      <c r="HL841" s="27" t="s">
        <v>7</v>
      </c>
      <c r="HN841" s="27" t="s">
        <v>7</v>
      </c>
      <c r="HO841" s="27" t="s">
        <v>8</v>
      </c>
    </row>
    <row r="842" spans="1:259" x14ac:dyDescent="0.25">
      <c r="A842" s="7">
        <v>6.4114491284069045E-3</v>
      </c>
      <c r="B842"/>
      <c r="C842"/>
      <c r="D842"/>
      <c r="E842"/>
      <c r="F842" s="27" t="s">
        <v>7</v>
      </c>
      <c r="H842" s="27" t="s">
        <v>7</v>
      </c>
      <c r="K842" s="27" t="s">
        <v>8</v>
      </c>
      <c r="O842" s="27" t="s">
        <v>8</v>
      </c>
      <c r="P842" s="27" t="s">
        <v>7</v>
      </c>
      <c r="FM842" s="27" t="s">
        <v>8</v>
      </c>
      <c r="FN842" s="27" t="s">
        <v>7</v>
      </c>
      <c r="FO842" s="27" t="s">
        <v>8</v>
      </c>
      <c r="FP842" s="27" t="s">
        <v>7</v>
      </c>
      <c r="FQ842" s="27" t="s">
        <v>8</v>
      </c>
      <c r="FR842" s="27" t="s">
        <v>7</v>
      </c>
      <c r="FT842" s="27" t="s">
        <v>7</v>
      </c>
      <c r="FY842" s="27" t="s">
        <v>8</v>
      </c>
      <c r="GR842" s="27" t="s">
        <v>7</v>
      </c>
      <c r="GT842" s="27" t="s">
        <v>7</v>
      </c>
      <c r="GW842" s="27" t="s">
        <v>8</v>
      </c>
      <c r="HB842" s="27" t="s">
        <v>7</v>
      </c>
      <c r="HC842" s="27" t="s">
        <v>8</v>
      </c>
      <c r="HN842" s="27" t="s">
        <v>7</v>
      </c>
      <c r="HO842" s="27" t="s">
        <v>8</v>
      </c>
    </row>
    <row r="843" spans="1:259" x14ac:dyDescent="0.25">
      <c r="A843" s="7">
        <v>6.2857344396146115E-3</v>
      </c>
      <c r="B843"/>
      <c r="C843"/>
      <c r="D843"/>
      <c r="E843"/>
      <c r="H843" s="27" t="s">
        <v>7</v>
      </c>
      <c r="I843" s="27" t="s">
        <v>8</v>
      </c>
      <c r="K843" s="27" t="s">
        <v>8</v>
      </c>
      <c r="L843" s="27" t="s">
        <v>7</v>
      </c>
      <c r="M843" s="27" t="s">
        <v>8</v>
      </c>
      <c r="O843" s="27" t="s">
        <v>8</v>
      </c>
      <c r="P843" s="27" t="s">
        <v>7</v>
      </c>
      <c r="FM843" s="27" t="s">
        <v>8</v>
      </c>
      <c r="FN843" s="27" t="s">
        <v>7</v>
      </c>
      <c r="FO843" s="27" t="s">
        <v>8</v>
      </c>
      <c r="FP843" s="27" t="s">
        <v>7</v>
      </c>
      <c r="FQ843" s="27" t="s">
        <v>8</v>
      </c>
      <c r="FT843" s="27" t="s">
        <v>7</v>
      </c>
      <c r="FU843" s="27" t="s">
        <v>8</v>
      </c>
      <c r="FW843" s="27" t="s">
        <v>8</v>
      </c>
      <c r="FY843" s="27" t="s">
        <v>8</v>
      </c>
      <c r="GT843" s="27" t="s">
        <v>7</v>
      </c>
      <c r="GW843" s="27" t="s">
        <v>8</v>
      </c>
      <c r="HB843" s="27" t="s">
        <v>7</v>
      </c>
      <c r="HC843" s="27" t="s">
        <v>8</v>
      </c>
      <c r="HN843" s="27" t="s">
        <v>7</v>
      </c>
    </row>
    <row r="844" spans="1:259" x14ac:dyDescent="0.25">
      <c r="A844" s="7">
        <v>6.1624847447202076E-3</v>
      </c>
      <c r="B844"/>
      <c r="C844"/>
      <c r="D844"/>
      <c r="E844"/>
      <c r="H844" s="27" t="s">
        <v>7</v>
      </c>
      <c r="I844" s="27" t="s">
        <v>8</v>
      </c>
      <c r="J844" s="27" t="s">
        <v>7</v>
      </c>
      <c r="K844" s="27" t="s">
        <v>8</v>
      </c>
      <c r="L844" s="27" t="s">
        <v>7</v>
      </c>
      <c r="M844" s="27" t="s">
        <v>8</v>
      </c>
      <c r="N844" s="27" t="s">
        <v>7</v>
      </c>
      <c r="O844" s="27" t="s">
        <v>8</v>
      </c>
      <c r="P844" s="27" t="s">
        <v>7</v>
      </c>
      <c r="FM844" s="27" t="s">
        <v>8</v>
      </c>
      <c r="FN844" s="27" t="s">
        <v>7</v>
      </c>
      <c r="FO844" s="27" t="s">
        <v>8</v>
      </c>
      <c r="FP844" s="27" t="s">
        <v>7</v>
      </c>
      <c r="FQ844" s="27" t="s">
        <v>8</v>
      </c>
      <c r="FT844" s="27" t="s">
        <v>7</v>
      </c>
      <c r="FU844" s="27" t="s">
        <v>8</v>
      </c>
      <c r="FV844" s="27" t="s">
        <v>7</v>
      </c>
      <c r="FW844" s="27" t="s">
        <v>8</v>
      </c>
      <c r="FX844" s="27" t="s">
        <v>7</v>
      </c>
      <c r="FY844" s="27" t="s">
        <v>8</v>
      </c>
      <c r="GT844" s="27" t="s">
        <v>7</v>
      </c>
      <c r="GW844" s="27" t="s">
        <v>8</v>
      </c>
      <c r="HB844" s="27" t="s">
        <v>7</v>
      </c>
      <c r="HC844" s="27" t="s">
        <v>8</v>
      </c>
    </row>
    <row r="845" spans="1:259" x14ac:dyDescent="0.25">
      <c r="A845" s="7">
        <v>6.0416517105100079E-3</v>
      </c>
      <c r="B845"/>
      <c r="C845"/>
      <c r="D845"/>
      <c r="E845"/>
      <c r="H845" s="27" t="s">
        <v>7</v>
      </c>
      <c r="I845" s="27" t="s">
        <v>8</v>
      </c>
      <c r="J845" s="27" t="s">
        <v>7</v>
      </c>
      <c r="K845" s="27" t="s">
        <v>8</v>
      </c>
      <c r="L845" s="27" t="s">
        <v>7</v>
      </c>
      <c r="M845" s="27" t="s">
        <v>8</v>
      </c>
      <c r="N845" s="27" t="s">
        <v>7</v>
      </c>
      <c r="O845" s="27" t="s">
        <v>8</v>
      </c>
      <c r="P845" s="27" t="s">
        <v>7</v>
      </c>
      <c r="FM845" s="27" t="s">
        <v>8</v>
      </c>
      <c r="FN845" s="27" t="s">
        <v>7</v>
      </c>
      <c r="FO845" s="27" t="s">
        <v>8</v>
      </c>
      <c r="FP845" s="27" t="s">
        <v>7</v>
      </c>
      <c r="FQ845" s="27" t="s">
        <v>8</v>
      </c>
      <c r="FT845" s="27" t="s">
        <v>7</v>
      </c>
      <c r="FU845" s="27" t="s">
        <v>8</v>
      </c>
      <c r="FV845" s="27" t="s">
        <v>7</v>
      </c>
      <c r="FW845" s="27" t="s">
        <v>8</v>
      </c>
      <c r="FX845" s="27" t="s">
        <v>7</v>
      </c>
      <c r="FY845" s="27" t="s">
        <v>8</v>
      </c>
      <c r="GT845" s="27" t="s">
        <v>7</v>
      </c>
      <c r="GW845" s="27" t="s">
        <v>8</v>
      </c>
      <c r="HB845" s="27" t="s">
        <v>7</v>
      </c>
      <c r="HC845" s="27" t="s">
        <v>8</v>
      </c>
    </row>
    <row r="846" spans="1:259" x14ac:dyDescent="0.25">
      <c r="A846" s="7">
        <v>5.9231879514803996E-3</v>
      </c>
      <c r="B846"/>
      <c r="C846"/>
      <c r="D846"/>
      <c r="E846"/>
      <c r="H846" s="27" t="s">
        <v>7</v>
      </c>
      <c r="I846" s="27" t="s">
        <v>8</v>
      </c>
      <c r="J846" s="27" t="s">
        <v>7</v>
      </c>
      <c r="K846" s="27" t="s">
        <v>8</v>
      </c>
      <c r="L846" s="27" t="s">
        <v>7</v>
      </c>
      <c r="M846" s="27" t="s">
        <v>8</v>
      </c>
      <c r="N846" s="27" t="s">
        <v>7</v>
      </c>
      <c r="O846" s="27" t="s">
        <v>8</v>
      </c>
      <c r="P846" s="27" t="s">
        <v>7</v>
      </c>
      <c r="FM846" s="27" t="s">
        <v>8</v>
      </c>
      <c r="FN846" s="27" t="s">
        <v>7</v>
      </c>
      <c r="FO846" s="27" t="s">
        <v>8</v>
      </c>
      <c r="FP846" s="27" t="s">
        <v>7</v>
      </c>
      <c r="FT846" s="27" t="s">
        <v>7</v>
      </c>
      <c r="FU846" s="27" t="s">
        <v>8</v>
      </c>
      <c r="FV846" s="27" t="s">
        <v>7</v>
      </c>
      <c r="FW846" s="27" t="s">
        <v>8</v>
      </c>
      <c r="FX846" s="27" t="s">
        <v>7</v>
      </c>
      <c r="FY846" s="27" t="s">
        <v>8</v>
      </c>
      <c r="GT846" s="27" t="s">
        <v>7</v>
      </c>
      <c r="GW846" s="27" t="s">
        <v>8</v>
      </c>
      <c r="HB846" s="27" t="s">
        <v>7</v>
      </c>
      <c r="HC846" s="27" t="s">
        <v>8</v>
      </c>
    </row>
    <row r="847" spans="1:259" x14ac:dyDescent="0.25">
      <c r="A847" s="7">
        <v>5.8070470112552936E-3</v>
      </c>
      <c r="B847"/>
      <c r="C847"/>
      <c r="D847"/>
      <c r="E847"/>
      <c r="H847" s="27" t="s">
        <v>7</v>
      </c>
      <c r="I847" s="27" t="s">
        <v>8</v>
      </c>
      <c r="J847" s="27" t="s">
        <v>7</v>
      </c>
      <c r="K847" s="27" t="s">
        <v>8</v>
      </c>
      <c r="L847" s="27" t="s">
        <v>7</v>
      </c>
      <c r="M847" s="27" t="s">
        <v>8</v>
      </c>
      <c r="N847" s="27" t="s">
        <v>7</v>
      </c>
      <c r="O847" s="27" t="s">
        <v>8</v>
      </c>
      <c r="P847" s="27" t="s">
        <v>7</v>
      </c>
      <c r="FM847" s="27" t="s">
        <v>8</v>
      </c>
      <c r="FN847" s="27" t="s">
        <v>7</v>
      </c>
      <c r="FT847" s="27" t="s">
        <v>7</v>
      </c>
      <c r="FU847" s="27" t="s">
        <v>8</v>
      </c>
      <c r="FV847" s="27" t="s">
        <v>7</v>
      </c>
      <c r="FW847" s="27" t="s">
        <v>8</v>
      </c>
      <c r="FX847" s="27" t="s">
        <v>7</v>
      </c>
      <c r="FY847" s="27" t="s">
        <v>8</v>
      </c>
      <c r="GT847" s="27" t="s">
        <v>7</v>
      </c>
      <c r="GW847" s="27" t="s">
        <v>8</v>
      </c>
      <c r="HB847" s="27" t="s">
        <v>7</v>
      </c>
      <c r="HC847" s="27" t="s">
        <v>8</v>
      </c>
    </row>
    <row r="848" spans="1:259" x14ac:dyDescent="0.25">
      <c r="A848" s="7">
        <v>5.6931833443679353E-3</v>
      </c>
      <c r="B848"/>
      <c r="C848"/>
      <c r="D848"/>
      <c r="E848"/>
      <c r="H848" s="27" t="s">
        <v>7</v>
      </c>
      <c r="I848" s="27" t="s">
        <v>8</v>
      </c>
      <c r="J848" s="27" t="s">
        <v>7</v>
      </c>
      <c r="K848" s="27" t="s">
        <v>8</v>
      </c>
      <c r="L848" s="27" t="s">
        <v>7</v>
      </c>
      <c r="M848" s="27" t="s">
        <v>8</v>
      </c>
      <c r="N848" s="27" t="s">
        <v>7</v>
      </c>
      <c r="O848" s="27" t="s">
        <v>8</v>
      </c>
      <c r="P848" s="27" t="s">
        <v>7</v>
      </c>
      <c r="FM848" s="27" t="s">
        <v>8</v>
      </c>
      <c r="FT848" s="27" t="s">
        <v>7</v>
      </c>
      <c r="FU848" s="27" t="s">
        <v>8</v>
      </c>
      <c r="FV848" s="27" t="s">
        <v>7</v>
      </c>
      <c r="FW848" s="27" t="s">
        <v>8</v>
      </c>
      <c r="FX848" s="27" t="s">
        <v>7</v>
      </c>
      <c r="GT848" s="27" t="s">
        <v>7</v>
      </c>
      <c r="GW848" s="27" t="s">
        <v>8</v>
      </c>
      <c r="HB848" s="27" t="s">
        <v>7</v>
      </c>
      <c r="HC848" s="27" t="s">
        <v>8</v>
      </c>
    </row>
    <row r="849" spans="1:210" x14ac:dyDescent="0.25">
      <c r="A849" s="7">
        <v>5.5815522983999367E-3</v>
      </c>
      <c r="B849"/>
      <c r="C849"/>
      <c r="D849"/>
      <c r="E849"/>
      <c r="H849" s="27" t="s">
        <v>7</v>
      </c>
      <c r="I849" s="27" t="s">
        <v>8</v>
      </c>
      <c r="J849" s="27" t="s">
        <v>7</v>
      </c>
      <c r="K849" s="27" t="s">
        <v>8</v>
      </c>
      <c r="L849" s="27" t="s">
        <v>7</v>
      </c>
      <c r="M849" s="27" t="s">
        <v>8</v>
      </c>
      <c r="N849" s="27" t="s">
        <v>7</v>
      </c>
      <c r="P849" s="27" t="s">
        <v>7</v>
      </c>
      <c r="FM849" s="27" t="s">
        <v>8</v>
      </c>
      <c r="FT849" s="27" t="s">
        <v>7</v>
      </c>
      <c r="FU849" s="27" t="s">
        <v>8</v>
      </c>
      <c r="FV849" s="27" t="s">
        <v>7</v>
      </c>
      <c r="FW849" s="27" t="s">
        <v>8</v>
      </c>
      <c r="GT849" s="27" t="s">
        <v>7</v>
      </c>
      <c r="GW849" s="27" t="s">
        <v>8</v>
      </c>
      <c r="HB849" s="27" t="s">
        <v>7</v>
      </c>
    </row>
    <row r="850" spans="1:210" x14ac:dyDescent="0.25">
      <c r="A850" s="7">
        <v>5.4721100964705257E-3</v>
      </c>
      <c r="B850"/>
      <c r="C850"/>
      <c r="D850"/>
      <c r="E850"/>
      <c r="H850" s="27" t="s">
        <v>7</v>
      </c>
      <c r="I850" s="27" t="s">
        <v>8</v>
      </c>
      <c r="J850" s="27" t="s">
        <v>7</v>
      </c>
      <c r="L850" s="27" t="s">
        <v>7</v>
      </c>
      <c r="P850" s="27" t="s">
        <v>7</v>
      </c>
      <c r="FM850" s="27" t="s">
        <v>8</v>
      </c>
      <c r="FT850" s="27" t="s">
        <v>7</v>
      </c>
      <c r="FV850" s="27" t="s">
        <v>7</v>
      </c>
      <c r="FW850" s="27" t="s">
        <v>8</v>
      </c>
      <c r="GT850" s="27" t="s">
        <v>7</v>
      </c>
      <c r="GW850" s="27" t="s">
        <v>8</v>
      </c>
    </row>
    <row r="851" spans="1:210" x14ac:dyDescent="0.25">
      <c r="A851" s="7">
        <v>5.3648138200691423E-3</v>
      </c>
      <c r="B851"/>
      <c r="C851"/>
      <c r="D851"/>
      <c r="E851"/>
      <c r="H851" s="27" t="s">
        <v>7</v>
      </c>
      <c r="P851" s="27" t="s">
        <v>7</v>
      </c>
      <c r="Q851" s="27" t="s">
        <v>8</v>
      </c>
      <c r="FM851" s="27" t="s">
        <v>8</v>
      </c>
      <c r="FV851" s="27" t="s">
        <v>7</v>
      </c>
      <c r="FW851" s="27" t="s">
        <v>8</v>
      </c>
      <c r="GT851" s="27" t="s">
        <v>7</v>
      </c>
      <c r="GU851" s="27" t="s">
        <v>8</v>
      </c>
      <c r="GW851" s="27" t="s">
        <v>8</v>
      </c>
    </row>
    <row r="852" spans="1:210" x14ac:dyDescent="0.25">
      <c r="A852" s="7">
        <v>5.2596213922246494E-3</v>
      </c>
      <c r="B852"/>
      <c r="C852"/>
      <c r="D852"/>
      <c r="E852"/>
      <c r="P852" s="27" t="s">
        <v>7</v>
      </c>
      <c r="Q852" s="27" t="s">
        <v>8</v>
      </c>
      <c r="R852" s="27" t="s">
        <v>7</v>
      </c>
      <c r="S852" s="27" t="s">
        <v>8</v>
      </c>
      <c r="FM852" s="27" t="s">
        <v>8</v>
      </c>
      <c r="FV852" s="27" t="s">
        <v>7</v>
      </c>
      <c r="FW852" s="27" t="s">
        <v>8</v>
      </c>
      <c r="GT852" s="27" t="s">
        <v>7</v>
      </c>
      <c r="GU852" s="27" t="s">
        <v>8</v>
      </c>
      <c r="GV852" s="27" t="s">
        <v>7</v>
      </c>
      <c r="GW852" s="27" t="s">
        <v>8</v>
      </c>
    </row>
    <row r="853" spans="1:210" x14ac:dyDescent="0.25">
      <c r="A853" s="7">
        <v>5.1564915610045588E-3</v>
      </c>
      <c r="B853"/>
      <c r="C853"/>
      <c r="D853"/>
      <c r="E853"/>
      <c r="P853" s="27" t="s">
        <v>7</v>
      </c>
      <c r="Q853" s="27" t="s">
        <v>8</v>
      </c>
      <c r="R853" s="27" t="s">
        <v>7</v>
      </c>
      <c r="S853" s="27" t="s">
        <v>8</v>
      </c>
      <c r="T853" s="27" t="s">
        <v>7</v>
      </c>
      <c r="FM853" s="27" t="s">
        <v>8</v>
      </c>
      <c r="FV853" s="27" t="s">
        <v>7</v>
      </c>
      <c r="FW853" s="27" t="s">
        <v>8</v>
      </c>
      <c r="GT853" s="27" t="s">
        <v>7</v>
      </c>
      <c r="GU853" s="27" t="s">
        <v>8</v>
      </c>
      <c r="GV853" s="27" t="s">
        <v>7</v>
      </c>
      <c r="GW853" s="27" t="s">
        <v>8</v>
      </c>
    </row>
    <row r="854" spans="1:210" x14ac:dyDescent="0.25">
      <c r="A854" s="7">
        <v>5.0553838833378023E-3</v>
      </c>
      <c r="B854"/>
      <c r="C854"/>
      <c r="D854"/>
      <c r="E854"/>
      <c r="P854" s="27" t="s">
        <v>7</v>
      </c>
      <c r="Q854" s="27" t="s">
        <v>8</v>
      </c>
      <c r="R854" s="27" t="s">
        <v>7</v>
      </c>
      <c r="S854" s="27" t="s">
        <v>8</v>
      </c>
      <c r="T854" s="27" t="s">
        <v>7</v>
      </c>
      <c r="FM854" s="27" t="s">
        <v>8</v>
      </c>
      <c r="FV854" s="27" t="s">
        <v>7</v>
      </c>
      <c r="FW854" s="27" t="s">
        <v>8</v>
      </c>
      <c r="GT854" s="27" t="s">
        <v>7</v>
      </c>
      <c r="GV854" s="27" t="s">
        <v>7</v>
      </c>
      <c r="GW854" s="27" t="s">
        <v>8</v>
      </c>
    </row>
    <row r="855" spans="1:210" x14ac:dyDescent="0.25">
      <c r="A855" s="7">
        <v>4.9562587091547079E-3</v>
      </c>
      <c r="B855"/>
      <c r="C855"/>
      <c r="D855"/>
      <c r="E855"/>
      <c r="P855" s="27" t="s">
        <v>7</v>
      </c>
      <c r="Q855" s="27" t="s">
        <v>8</v>
      </c>
      <c r="R855" s="27" t="s">
        <v>7</v>
      </c>
      <c r="S855" s="27" t="s">
        <v>8</v>
      </c>
      <c r="T855" s="27" t="s">
        <v>7</v>
      </c>
      <c r="FM855" s="27" t="s">
        <v>8</v>
      </c>
      <c r="FV855" s="27" t="s">
        <v>7</v>
      </c>
      <c r="GV855" s="27" t="s">
        <v>7</v>
      </c>
      <c r="GW855" s="27" t="s">
        <v>8</v>
      </c>
    </row>
    <row r="856" spans="1:210" x14ac:dyDescent="0.25">
      <c r="A856" s="7">
        <v>4.8590771658379491E-3</v>
      </c>
      <c r="B856"/>
      <c r="C856"/>
      <c r="D856"/>
      <c r="E856"/>
      <c r="P856" s="27" t="s">
        <v>7</v>
      </c>
      <c r="Q856" s="27" t="s">
        <v>8</v>
      </c>
      <c r="R856" s="27" t="s">
        <v>7</v>
      </c>
      <c r="S856" s="27" t="s">
        <v>8</v>
      </c>
      <c r="T856" s="27" t="s">
        <v>7</v>
      </c>
      <c r="W856" s="27" t="s">
        <v>8</v>
      </c>
      <c r="FM856" s="27" t="s">
        <v>8</v>
      </c>
      <c r="GV856" s="27" t="s">
        <v>7</v>
      </c>
      <c r="GW856" s="27" t="s">
        <v>8</v>
      </c>
    </row>
    <row r="857" spans="1:210" x14ac:dyDescent="0.25">
      <c r="A857" s="7">
        <v>4.7638011429783815E-3</v>
      </c>
      <c r="B857"/>
      <c r="C857"/>
      <c r="D857"/>
      <c r="E857"/>
      <c r="P857" s="27" t="s">
        <v>7</v>
      </c>
      <c r="R857" s="27" t="s">
        <v>7</v>
      </c>
      <c r="S857" s="27" t="s">
        <v>8</v>
      </c>
      <c r="T857" s="27" t="s">
        <v>7</v>
      </c>
      <c r="W857" s="27" t="s">
        <v>8</v>
      </c>
      <c r="X857" s="27" t="s">
        <v>7</v>
      </c>
      <c r="FM857" s="27" t="s">
        <v>8</v>
      </c>
      <c r="GV857" s="27" t="s">
        <v>7</v>
      </c>
      <c r="GW857" s="27" t="s">
        <v>8</v>
      </c>
    </row>
    <row r="858" spans="1:210" x14ac:dyDescent="0.25">
      <c r="A858" s="7">
        <v>4.6703932774297859E-3</v>
      </c>
      <c r="B858"/>
      <c r="C858"/>
      <c r="D858"/>
      <c r="E858"/>
      <c r="R858" s="27" t="s">
        <v>7</v>
      </c>
      <c r="S858" s="27" t="s">
        <v>8</v>
      </c>
      <c r="T858" s="27" t="s">
        <v>7</v>
      </c>
      <c r="U858" s="27" t="s">
        <v>8</v>
      </c>
      <c r="W858" s="27" t="s">
        <v>8</v>
      </c>
      <c r="X858" s="27" t="s">
        <v>7</v>
      </c>
      <c r="FK858" s="27" t="s">
        <v>8</v>
      </c>
      <c r="FM858" s="27" t="s">
        <v>8</v>
      </c>
      <c r="GV858" s="27" t="s">
        <v>7</v>
      </c>
      <c r="GW858" s="27" t="s">
        <v>8</v>
      </c>
    </row>
    <row r="859" spans="1:210" x14ac:dyDescent="0.25">
      <c r="A859" s="7">
        <v>4.5788169386566527E-3</v>
      </c>
      <c r="B859"/>
      <c r="C859"/>
      <c r="D859"/>
      <c r="E859"/>
      <c r="R859" s="27" t="s">
        <v>7</v>
      </c>
      <c r="S859" s="27" t="s">
        <v>8</v>
      </c>
      <c r="T859" s="27" t="s">
        <v>7</v>
      </c>
      <c r="U859" s="27" t="s">
        <v>8</v>
      </c>
      <c r="V859" s="27" t="s">
        <v>7</v>
      </c>
      <c r="W859" s="27" t="s">
        <v>8</v>
      </c>
      <c r="X859" s="27" t="s">
        <v>7</v>
      </c>
      <c r="FK859" s="27" t="s">
        <v>8</v>
      </c>
      <c r="FL859" s="27" t="s">
        <v>7</v>
      </c>
      <c r="FM859" s="27" t="s">
        <v>8</v>
      </c>
      <c r="GV859" s="27" t="s">
        <v>7</v>
      </c>
      <c r="GW859" s="27" t="s">
        <v>8</v>
      </c>
    </row>
    <row r="860" spans="1:210" x14ac:dyDescent="0.25">
      <c r="A860" s="7">
        <v>4.4890362143692672E-3</v>
      </c>
      <c r="B860"/>
      <c r="C860"/>
      <c r="D860"/>
      <c r="E860"/>
      <c r="R860" s="27" t="s">
        <v>7</v>
      </c>
      <c r="S860" s="27" t="s">
        <v>8</v>
      </c>
      <c r="T860" s="27" t="s">
        <v>7</v>
      </c>
      <c r="U860" s="27" t="s">
        <v>8</v>
      </c>
      <c r="V860" s="27" t="s">
        <v>7</v>
      </c>
      <c r="W860" s="27" t="s">
        <v>8</v>
      </c>
      <c r="X860" s="27" t="s">
        <v>7</v>
      </c>
      <c r="FK860" s="27" t="s">
        <v>8</v>
      </c>
      <c r="FL860" s="27" t="s">
        <v>7</v>
      </c>
      <c r="FM860" s="27" t="s">
        <v>8</v>
      </c>
      <c r="GV860" s="27" t="s">
        <v>7</v>
      </c>
    </row>
    <row r="861" spans="1:210" x14ac:dyDescent="0.25">
      <c r="A861" s="7">
        <v>4.4010158964404578E-3</v>
      </c>
      <c r="B861"/>
      <c r="C861"/>
      <c r="D861"/>
      <c r="E861"/>
      <c r="R861" s="27" t="s">
        <v>7</v>
      </c>
      <c r="T861" s="27" t="s">
        <v>7</v>
      </c>
      <c r="V861" s="27" t="s">
        <v>7</v>
      </c>
      <c r="W861" s="27" t="s">
        <v>8</v>
      </c>
      <c r="X861" s="27" t="s">
        <v>7</v>
      </c>
      <c r="FK861" s="27" t="s">
        <v>8</v>
      </c>
      <c r="FL861" s="27" t="s">
        <v>7</v>
      </c>
      <c r="FM861" s="27" t="s">
        <v>8</v>
      </c>
    </row>
    <row r="862" spans="1:210" x14ac:dyDescent="0.25">
      <c r="A862" s="7">
        <v>4.314721467098488E-3</v>
      </c>
      <c r="B862"/>
      <c r="C862"/>
      <c r="D862"/>
      <c r="E862"/>
      <c r="V862" s="27" t="s">
        <v>7</v>
      </c>
      <c r="W862" s="27" t="s">
        <v>8</v>
      </c>
      <c r="X862" s="27" t="s">
        <v>7</v>
      </c>
      <c r="FK862" s="27" t="s">
        <v>8</v>
      </c>
      <c r="FL862" s="27" t="s">
        <v>7</v>
      </c>
      <c r="FM862" s="27" t="s">
        <v>8</v>
      </c>
    </row>
    <row r="863" spans="1:210" x14ac:dyDescent="0.25">
      <c r="A863" s="7">
        <v>4.2301190853906746E-3</v>
      </c>
      <c r="B863"/>
      <c r="C863"/>
      <c r="D863"/>
      <c r="E863"/>
      <c r="V863" s="27" t="s">
        <v>7</v>
      </c>
      <c r="X863" s="27" t="s">
        <v>7</v>
      </c>
      <c r="FK863" s="27" t="s">
        <v>8</v>
      </c>
      <c r="FL863" s="27" t="s">
        <v>7</v>
      </c>
      <c r="FM863" s="27" t="s">
        <v>8</v>
      </c>
    </row>
    <row r="864" spans="1:210" x14ac:dyDescent="0.25">
      <c r="A864" s="7">
        <v>4.1471755739124266E-3</v>
      </c>
      <c r="B864"/>
      <c r="C864"/>
      <c r="D864"/>
      <c r="E864"/>
      <c r="X864" s="27" t="s">
        <v>7</v>
      </c>
      <c r="CG864" s="27" t="s">
        <v>8</v>
      </c>
      <c r="FK864" s="27" t="s">
        <v>8</v>
      </c>
      <c r="FL864" s="27" t="s">
        <v>7</v>
      </c>
      <c r="FM864" s="27" t="s">
        <v>8</v>
      </c>
    </row>
    <row r="865" spans="1:169" x14ac:dyDescent="0.25">
      <c r="A865" s="7">
        <v>4.0658584057964966E-3</v>
      </c>
      <c r="B865"/>
      <c r="C865"/>
      <c r="D865"/>
      <c r="E865"/>
      <c r="X865" s="27" t="s">
        <v>7</v>
      </c>
      <c r="AA865" s="27" t="s">
        <v>8</v>
      </c>
      <c r="CG865" s="27" t="s">
        <v>8</v>
      </c>
      <c r="CH865" s="27" t="s">
        <v>7</v>
      </c>
      <c r="FK865" s="27" t="s">
        <v>8</v>
      </c>
      <c r="FL865" s="27" t="s">
        <v>7</v>
      </c>
      <c r="FM865" s="27" t="s">
        <v>8</v>
      </c>
    </row>
    <row r="866" spans="1:169" x14ac:dyDescent="0.25">
      <c r="A866" s="7">
        <v>3.9861356919573491E-3</v>
      </c>
      <c r="B866"/>
      <c r="C866"/>
      <c r="D866"/>
      <c r="E866"/>
      <c r="X866" s="27" t="s">
        <v>7</v>
      </c>
      <c r="Y866" s="27" t="s">
        <v>8</v>
      </c>
      <c r="AA866" s="27" t="s">
        <v>8</v>
      </c>
      <c r="AB866" s="27" t="s">
        <v>7</v>
      </c>
      <c r="CG866" s="27" t="s">
        <v>8</v>
      </c>
      <c r="CH866" s="27" t="s">
        <v>7</v>
      </c>
      <c r="FK866" s="27" t="s">
        <v>8</v>
      </c>
      <c r="FL866" s="27" t="s">
        <v>7</v>
      </c>
      <c r="FM866" s="27" t="s">
        <v>8</v>
      </c>
    </row>
    <row r="867" spans="1:169" x14ac:dyDescent="0.25">
      <c r="A867" s="7">
        <v>3.9079761685856364E-3</v>
      </c>
      <c r="B867"/>
      <c r="C867"/>
      <c r="D867"/>
      <c r="E867"/>
      <c r="X867" s="27" t="s">
        <v>7</v>
      </c>
      <c r="Y867" s="27" t="s">
        <v>8</v>
      </c>
      <c r="Z867" s="27" t="s">
        <v>7</v>
      </c>
      <c r="AA867" s="27" t="s">
        <v>8</v>
      </c>
      <c r="AB867" s="27" t="s">
        <v>7</v>
      </c>
      <c r="CG867" s="27" t="s">
        <v>8</v>
      </c>
      <c r="CH867" s="27" t="s">
        <v>7</v>
      </c>
      <c r="FK867" s="27" t="s">
        <v>8</v>
      </c>
      <c r="FL867" s="27" t="s">
        <v>7</v>
      </c>
    </row>
    <row r="868" spans="1:169" x14ac:dyDescent="0.25">
      <c r="A868" s="7">
        <v>3.8313491848878793E-3</v>
      </c>
      <c r="B868"/>
      <c r="C868"/>
      <c r="D868"/>
      <c r="E868"/>
      <c r="X868" s="27" t="s">
        <v>7</v>
      </c>
      <c r="Y868" s="27" t="s">
        <v>8</v>
      </c>
      <c r="Z868" s="27" t="s">
        <v>7</v>
      </c>
      <c r="AA868" s="27" t="s">
        <v>8</v>
      </c>
      <c r="AB868" s="27" t="s">
        <v>7</v>
      </c>
      <c r="AE868" s="27" t="s">
        <v>8</v>
      </c>
      <c r="CG868" s="27" t="s">
        <v>8</v>
      </c>
      <c r="CH868" s="27" t="s">
        <v>7</v>
      </c>
      <c r="FK868" s="27" t="s">
        <v>8</v>
      </c>
    </row>
    <row r="869" spans="1:169" x14ac:dyDescent="0.25">
      <c r="A869" s="7">
        <v>3.7562246910665485E-3</v>
      </c>
      <c r="B869"/>
      <c r="C869"/>
      <c r="D869"/>
      <c r="E869"/>
      <c r="X869" s="27" t="s">
        <v>7</v>
      </c>
      <c r="Z869" s="27" t="s">
        <v>7</v>
      </c>
      <c r="AA869" s="27" t="s">
        <v>8</v>
      </c>
      <c r="AB869" s="27" t="s">
        <v>7</v>
      </c>
      <c r="AE869" s="27" t="s">
        <v>8</v>
      </c>
      <c r="AF869" s="27" t="s">
        <v>7</v>
      </c>
      <c r="CG869" s="27" t="s">
        <v>8</v>
      </c>
      <c r="CH869" s="27" t="s">
        <v>7</v>
      </c>
      <c r="FG869" s="27" t="s">
        <v>8</v>
      </c>
      <c r="FK869" s="27" t="s">
        <v>8</v>
      </c>
    </row>
    <row r="870" spans="1:169" x14ac:dyDescent="0.25">
      <c r="A870" s="7">
        <v>3.6825732265358315E-3</v>
      </c>
      <c r="B870"/>
      <c r="C870"/>
      <c r="D870"/>
      <c r="E870"/>
      <c r="Z870" s="27" t="s">
        <v>7</v>
      </c>
      <c r="AA870" s="27" t="s">
        <v>8</v>
      </c>
      <c r="AB870" s="27" t="s">
        <v>7</v>
      </c>
      <c r="AE870" s="27" t="s">
        <v>8</v>
      </c>
      <c r="AF870" s="27" t="s">
        <v>7</v>
      </c>
      <c r="CG870" s="27" t="s">
        <v>8</v>
      </c>
      <c r="CH870" s="27" t="s">
        <v>7</v>
      </c>
      <c r="FG870" s="27" t="s">
        <v>8</v>
      </c>
      <c r="FH870" s="27" t="s">
        <v>7</v>
      </c>
      <c r="FK870" s="27" t="s">
        <v>8</v>
      </c>
    </row>
    <row r="871" spans="1:169" x14ac:dyDescent="0.25">
      <c r="A871" s="7">
        <v>3.6103659083684624E-3</v>
      </c>
      <c r="B871"/>
      <c r="C871"/>
      <c r="D871"/>
      <c r="E871"/>
      <c r="Z871" s="27" t="s">
        <v>7</v>
      </c>
      <c r="AA871" s="27" t="s">
        <v>8</v>
      </c>
      <c r="AB871" s="27" t="s">
        <v>7</v>
      </c>
      <c r="AE871" s="27" t="s">
        <v>8</v>
      </c>
      <c r="AF871" s="27" t="s">
        <v>7</v>
      </c>
      <c r="CG871" s="27" t="s">
        <v>8</v>
      </c>
      <c r="CH871" s="27" t="s">
        <v>7</v>
      </c>
      <c r="FG871" s="27" t="s">
        <v>8</v>
      </c>
      <c r="FH871" s="27" t="s">
        <v>7</v>
      </c>
      <c r="FK871" s="27" t="s">
        <v>8</v>
      </c>
    </row>
    <row r="872" spans="1:169" x14ac:dyDescent="0.25">
      <c r="A872" s="7">
        <v>3.539574419969081E-3</v>
      </c>
      <c r="B872"/>
      <c r="C872"/>
      <c r="D872"/>
      <c r="E872"/>
      <c r="Z872" s="27" t="s">
        <v>7</v>
      </c>
      <c r="AB872" s="27" t="s">
        <v>7</v>
      </c>
      <c r="AE872" s="27" t="s">
        <v>8</v>
      </c>
      <c r="AF872" s="27" t="s">
        <v>7</v>
      </c>
      <c r="CG872" s="27" t="s">
        <v>8</v>
      </c>
      <c r="CH872" s="27" t="s">
        <v>7</v>
      </c>
      <c r="FE872" s="27" t="s">
        <v>8</v>
      </c>
      <c r="FG872" s="27" t="s">
        <v>8</v>
      </c>
      <c r="FH872" s="27" t="s">
        <v>7</v>
      </c>
      <c r="FI872" s="27" t="s">
        <v>8</v>
      </c>
      <c r="FK872" s="27" t="s">
        <v>8</v>
      </c>
    </row>
    <row r="873" spans="1:169" x14ac:dyDescent="0.25">
      <c r="A873" s="7">
        <v>3.4701709999696872E-3</v>
      </c>
      <c r="B873"/>
      <c r="C873"/>
      <c r="D873"/>
      <c r="E873"/>
      <c r="AB873" s="27" t="s">
        <v>7</v>
      </c>
      <c r="AE873" s="27" t="s">
        <v>8</v>
      </c>
      <c r="AF873" s="27" t="s">
        <v>7</v>
      </c>
      <c r="CG873" s="27" t="s">
        <v>8</v>
      </c>
      <c r="CH873" s="27" t="s">
        <v>7</v>
      </c>
      <c r="EY873" s="27" t="s">
        <v>8</v>
      </c>
      <c r="FE873" s="27" t="s">
        <v>8</v>
      </c>
      <c r="FF873" s="27" t="s">
        <v>7</v>
      </c>
      <c r="FG873" s="27" t="s">
        <v>8</v>
      </c>
      <c r="FH873" s="27" t="s">
        <v>7</v>
      </c>
      <c r="FI873" s="27" t="s">
        <v>8</v>
      </c>
      <c r="FJ873" s="27" t="s">
        <v>7</v>
      </c>
      <c r="FK873" s="27" t="s">
        <v>8</v>
      </c>
    </row>
    <row r="874" spans="1:169" x14ac:dyDescent="0.25">
      <c r="A874" s="7">
        <v>3.4021284313428307E-3</v>
      </c>
      <c r="B874"/>
      <c r="C874"/>
      <c r="D874"/>
      <c r="E874"/>
      <c r="AB874" s="27" t="s">
        <v>7</v>
      </c>
      <c r="AE874" s="27" t="s">
        <v>8</v>
      </c>
      <c r="AF874" s="27" t="s">
        <v>7</v>
      </c>
      <c r="BA874" s="27" t="s">
        <v>8</v>
      </c>
      <c r="CG874" s="27" t="s">
        <v>8</v>
      </c>
      <c r="CH874" s="27" t="s">
        <v>7</v>
      </c>
      <c r="EY874" s="27" t="s">
        <v>8</v>
      </c>
      <c r="EZ874" s="27" t="s">
        <v>7</v>
      </c>
      <c r="FE874" s="27" t="s">
        <v>8</v>
      </c>
      <c r="FF874" s="27" t="s">
        <v>7</v>
      </c>
      <c r="FG874" s="27" t="s">
        <v>8</v>
      </c>
      <c r="FH874" s="27" t="s">
        <v>7</v>
      </c>
      <c r="FI874" s="27" t="s">
        <v>8</v>
      </c>
      <c r="FJ874" s="27" t="s">
        <v>7</v>
      </c>
      <c r="FK874" s="27" t="s">
        <v>8</v>
      </c>
    </row>
    <row r="875" spans="1:169" x14ac:dyDescent="0.25">
      <c r="A875" s="7">
        <v>3.3354200307282654E-3</v>
      </c>
      <c r="B875"/>
      <c r="C875"/>
      <c r="D875"/>
      <c r="E875"/>
      <c r="AB875" s="27" t="s">
        <v>7</v>
      </c>
      <c r="AE875" s="27" t="s">
        <v>8</v>
      </c>
      <c r="AF875" s="27" t="s">
        <v>7</v>
      </c>
      <c r="AK875" s="27" t="s">
        <v>8</v>
      </c>
      <c r="BA875" s="27" t="s">
        <v>8</v>
      </c>
      <c r="BB875" s="27" t="s">
        <v>7</v>
      </c>
      <c r="CG875" s="27" t="s">
        <v>8</v>
      </c>
      <c r="CH875" s="27" t="s">
        <v>7</v>
      </c>
      <c r="EY875" s="27" t="s">
        <v>8</v>
      </c>
      <c r="EZ875" s="27" t="s">
        <v>7</v>
      </c>
      <c r="FA875" s="27" t="s">
        <v>8</v>
      </c>
      <c r="FE875" s="27" t="s">
        <v>8</v>
      </c>
      <c r="FF875" s="27" t="s">
        <v>7</v>
      </c>
      <c r="FG875" s="27" t="s">
        <v>8</v>
      </c>
      <c r="FH875" s="27" t="s">
        <v>7</v>
      </c>
      <c r="FI875" s="27" t="s">
        <v>8</v>
      </c>
      <c r="FJ875" s="27" t="s">
        <v>7</v>
      </c>
      <c r="FK875" s="27" t="s">
        <v>8</v>
      </c>
    </row>
    <row r="876" spans="1:169" x14ac:dyDescent="0.25">
      <c r="A876" s="7">
        <v>3.2700196379688881E-3</v>
      </c>
      <c r="B876"/>
      <c r="C876"/>
      <c r="D876"/>
      <c r="E876"/>
      <c r="AB876" s="27" t="s">
        <v>7</v>
      </c>
      <c r="AE876" s="27" t="s">
        <v>8</v>
      </c>
      <c r="AF876" s="27" t="s">
        <v>7</v>
      </c>
      <c r="AK876" s="27" t="s">
        <v>8</v>
      </c>
      <c r="AL876" s="27" t="s">
        <v>7</v>
      </c>
      <c r="BA876" s="27" t="s">
        <v>8</v>
      </c>
      <c r="BB876" s="27" t="s">
        <v>7</v>
      </c>
      <c r="CG876" s="27" t="s">
        <v>8</v>
      </c>
      <c r="CH876" s="27" t="s">
        <v>7</v>
      </c>
      <c r="EY876" s="27" t="s">
        <v>8</v>
      </c>
      <c r="EZ876" s="27" t="s">
        <v>7</v>
      </c>
      <c r="FA876" s="27" t="s">
        <v>8</v>
      </c>
      <c r="FB876" s="27" t="s">
        <v>7</v>
      </c>
      <c r="FE876" s="27" t="s">
        <v>8</v>
      </c>
      <c r="FF876" s="27" t="s">
        <v>7</v>
      </c>
      <c r="FG876" s="27" t="s">
        <v>8</v>
      </c>
      <c r="FH876" s="27" t="s">
        <v>7</v>
      </c>
      <c r="FJ876" s="27" t="s">
        <v>7</v>
      </c>
      <c r="FK876" s="27" t="s">
        <v>8</v>
      </c>
    </row>
    <row r="877" spans="1:169" x14ac:dyDescent="0.25">
      <c r="A877" s="7">
        <v>3.205901605851851E-3</v>
      </c>
      <c r="B877"/>
      <c r="C877"/>
      <c r="D877"/>
      <c r="E877"/>
      <c r="AB877" s="27" t="s">
        <v>7</v>
      </c>
      <c r="AC877" s="27" t="s">
        <v>8</v>
      </c>
      <c r="AE877" s="27" t="s">
        <v>8</v>
      </c>
      <c r="AF877" s="27" t="s">
        <v>7</v>
      </c>
      <c r="AI877" s="27" t="s">
        <v>8</v>
      </c>
      <c r="AK877" s="27" t="s">
        <v>8</v>
      </c>
      <c r="AL877" s="27" t="s">
        <v>7</v>
      </c>
      <c r="AM877" s="27" t="s">
        <v>8</v>
      </c>
      <c r="BA877" s="27" t="s">
        <v>8</v>
      </c>
      <c r="BB877" s="27" t="s">
        <v>7</v>
      </c>
      <c r="CG877" s="27" t="s">
        <v>8</v>
      </c>
      <c r="CH877" s="27" t="s">
        <v>7</v>
      </c>
      <c r="EY877" s="27" t="s">
        <v>8</v>
      </c>
      <c r="EZ877" s="27" t="s">
        <v>7</v>
      </c>
      <c r="FA877" s="27" t="s">
        <v>8</v>
      </c>
      <c r="FB877" s="27" t="s">
        <v>7</v>
      </c>
      <c r="FE877" s="27" t="s">
        <v>8</v>
      </c>
      <c r="FF877" s="27" t="s">
        <v>7</v>
      </c>
      <c r="FG877" s="27" t="s">
        <v>8</v>
      </c>
      <c r="FJ877" s="27" t="s">
        <v>7</v>
      </c>
    </row>
    <row r="878" spans="1:169" x14ac:dyDescent="0.25">
      <c r="A878" s="7">
        <v>3.1430407900508344E-3</v>
      </c>
      <c r="B878"/>
      <c r="C878"/>
      <c r="D878"/>
      <c r="E878"/>
      <c r="AB878" s="27" t="s">
        <v>7</v>
      </c>
      <c r="AC878" s="27" t="s">
        <v>8</v>
      </c>
      <c r="AD878" s="27" t="s">
        <v>7</v>
      </c>
      <c r="AE878" s="27" t="s">
        <v>8</v>
      </c>
      <c r="AF878" s="27" t="s">
        <v>7</v>
      </c>
      <c r="AG878" s="27" t="s">
        <v>8</v>
      </c>
      <c r="AI878" s="27" t="s">
        <v>8</v>
      </c>
      <c r="AJ878" s="27" t="s">
        <v>7</v>
      </c>
      <c r="AK878" s="27" t="s">
        <v>8</v>
      </c>
      <c r="AL878" s="27" t="s">
        <v>7</v>
      </c>
      <c r="AM878" s="27" t="s">
        <v>8</v>
      </c>
      <c r="AN878" s="27" t="s">
        <v>7</v>
      </c>
      <c r="BA878" s="27" t="s">
        <v>8</v>
      </c>
      <c r="BB878" s="27" t="s">
        <v>7</v>
      </c>
      <c r="CG878" s="27" t="s">
        <v>8</v>
      </c>
      <c r="CH878" s="27" t="s">
        <v>7</v>
      </c>
      <c r="EY878" s="27" t="s">
        <v>8</v>
      </c>
      <c r="EZ878" s="27" t="s">
        <v>7</v>
      </c>
      <c r="FA878" s="27" t="s">
        <v>8</v>
      </c>
      <c r="FB878" s="27" t="s">
        <v>7</v>
      </c>
      <c r="FC878" s="27" t="s">
        <v>8</v>
      </c>
      <c r="FE878" s="27" t="s">
        <v>8</v>
      </c>
      <c r="FF878" s="27" t="s">
        <v>7</v>
      </c>
    </row>
    <row r="879" spans="1:169" x14ac:dyDescent="0.25">
      <c r="A879" s="7">
        <v>3.0814125392655241E-3</v>
      </c>
      <c r="B879"/>
      <c r="C879"/>
      <c r="D879"/>
      <c r="E879"/>
      <c r="AB879" s="27" t="s">
        <v>7</v>
      </c>
      <c r="AC879" s="27" t="s">
        <v>8</v>
      </c>
      <c r="AD879" s="27" t="s">
        <v>7</v>
      </c>
      <c r="AE879" s="27" t="s">
        <v>8</v>
      </c>
      <c r="AF879" s="27" t="s">
        <v>7</v>
      </c>
      <c r="AG879" s="27" t="s">
        <v>8</v>
      </c>
      <c r="AH879" s="27" t="s">
        <v>7</v>
      </c>
      <c r="AI879" s="27" t="s">
        <v>8</v>
      </c>
      <c r="AJ879" s="27" t="s">
        <v>7</v>
      </c>
      <c r="AK879" s="27" t="s">
        <v>8</v>
      </c>
      <c r="AL879" s="27" t="s">
        <v>7</v>
      </c>
      <c r="AM879" s="27" t="s">
        <v>8</v>
      </c>
      <c r="AN879" s="27" t="s">
        <v>7</v>
      </c>
      <c r="AO879" s="27" t="s">
        <v>8</v>
      </c>
      <c r="BA879" s="27" t="s">
        <v>8</v>
      </c>
      <c r="BB879" s="27" t="s">
        <v>7</v>
      </c>
      <c r="CG879" s="27" t="s">
        <v>8</v>
      </c>
      <c r="CH879" s="27" t="s">
        <v>7</v>
      </c>
      <c r="EY879" s="27" t="s">
        <v>8</v>
      </c>
      <c r="EZ879" s="27" t="s">
        <v>7</v>
      </c>
      <c r="FA879" s="27" t="s">
        <v>8</v>
      </c>
      <c r="FB879" s="27" t="s">
        <v>7</v>
      </c>
      <c r="FC879" s="27" t="s">
        <v>8</v>
      </c>
      <c r="FD879" s="27" t="s">
        <v>7</v>
      </c>
      <c r="FE879" s="27" t="s">
        <v>8</v>
      </c>
    </row>
    <row r="880" spans="1:169" x14ac:dyDescent="0.25">
      <c r="A880" s="7">
        <v>3.0209926855544354E-3</v>
      </c>
      <c r="B880"/>
      <c r="C880"/>
      <c r="D880"/>
      <c r="E880"/>
      <c r="AB880" s="27" t="s">
        <v>7</v>
      </c>
      <c r="AD880" s="27" t="s">
        <v>7</v>
      </c>
      <c r="AE880" s="27" t="s">
        <v>8</v>
      </c>
      <c r="AF880" s="27" t="s">
        <v>7</v>
      </c>
      <c r="AG880" s="27" t="s">
        <v>8</v>
      </c>
      <c r="AH880" s="27" t="s">
        <v>7</v>
      </c>
      <c r="AI880" s="27" t="s">
        <v>8</v>
      </c>
      <c r="AJ880" s="27" t="s">
        <v>7</v>
      </c>
      <c r="AK880" s="27" t="s">
        <v>8</v>
      </c>
      <c r="AL880" s="27" t="s">
        <v>7</v>
      </c>
      <c r="AM880" s="27" t="s">
        <v>8</v>
      </c>
      <c r="AN880" s="27" t="s">
        <v>7</v>
      </c>
      <c r="AO880" s="27" t="s">
        <v>8</v>
      </c>
      <c r="AP880" s="27" t="s">
        <v>7</v>
      </c>
      <c r="BA880" s="27" t="s">
        <v>8</v>
      </c>
      <c r="BB880" s="27" t="s">
        <v>7</v>
      </c>
      <c r="CG880" s="27" t="s">
        <v>8</v>
      </c>
      <c r="CH880" s="27" t="s">
        <v>7</v>
      </c>
      <c r="EY880" s="27" t="s">
        <v>8</v>
      </c>
      <c r="EZ880" s="27" t="s">
        <v>7</v>
      </c>
      <c r="FA880" s="27" t="s">
        <v>8</v>
      </c>
      <c r="FB880" s="27" t="s">
        <v>7</v>
      </c>
      <c r="FC880" s="27" t="s">
        <v>8</v>
      </c>
      <c r="FD880" s="27" t="s">
        <v>7</v>
      </c>
      <c r="FE880" s="27" t="s">
        <v>8</v>
      </c>
    </row>
    <row r="881" spans="1:161" x14ac:dyDescent="0.25">
      <c r="A881" s="7">
        <v>2.9617575348572897E-3</v>
      </c>
      <c r="B881"/>
      <c r="C881"/>
      <c r="D881"/>
      <c r="E881"/>
      <c r="AD881" s="27" t="s">
        <v>7</v>
      </c>
      <c r="AE881" s="27" t="s">
        <v>8</v>
      </c>
      <c r="AF881" s="27" t="s">
        <v>7</v>
      </c>
      <c r="AG881" s="27" t="s">
        <v>8</v>
      </c>
      <c r="AH881" s="27" t="s">
        <v>7</v>
      </c>
      <c r="AI881" s="27" t="s">
        <v>8</v>
      </c>
      <c r="AJ881" s="27" t="s">
        <v>7</v>
      </c>
      <c r="AK881" s="27" t="s">
        <v>8</v>
      </c>
      <c r="AL881" s="27" t="s">
        <v>7</v>
      </c>
      <c r="AM881" s="27" t="s">
        <v>8</v>
      </c>
      <c r="AN881" s="27" t="s">
        <v>7</v>
      </c>
      <c r="AO881" s="27" t="s">
        <v>8</v>
      </c>
      <c r="AP881" s="27" t="s">
        <v>7</v>
      </c>
      <c r="BA881" s="27" t="s">
        <v>8</v>
      </c>
      <c r="BB881" s="27" t="s">
        <v>7</v>
      </c>
      <c r="CG881" s="27" t="s">
        <v>8</v>
      </c>
      <c r="CH881" s="27" t="s">
        <v>7</v>
      </c>
      <c r="EY881" s="27" t="s">
        <v>8</v>
      </c>
      <c r="EZ881" s="27" t="s">
        <v>7</v>
      </c>
      <c r="FA881" s="27" t="s">
        <v>8</v>
      </c>
      <c r="FB881" s="27" t="s">
        <v>7</v>
      </c>
      <c r="FC881" s="27" t="s">
        <v>8</v>
      </c>
      <c r="FD881" s="27" t="s">
        <v>7</v>
      </c>
      <c r="FE881" s="27" t="s">
        <v>8</v>
      </c>
    </row>
    <row r="882" spans="1:161" x14ac:dyDescent="0.25">
      <c r="A882" s="7">
        <v>2.9036838577032251E-3</v>
      </c>
      <c r="B882"/>
      <c r="C882"/>
      <c r="D882"/>
      <c r="E882"/>
      <c r="AD882" s="27" t="s">
        <v>7</v>
      </c>
      <c r="AF882" s="27" t="s">
        <v>7</v>
      </c>
      <c r="AG882" s="27" t="s">
        <v>8</v>
      </c>
      <c r="AH882" s="27" t="s">
        <v>7</v>
      </c>
      <c r="AI882" s="27" t="s">
        <v>8</v>
      </c>
      <c r="AJ882" s="27" t="s">
        <v>7</v>
      </c>
      <c r="AK882" s="27" t="s">
        <v>8</v>
      </c>
      <c r="AL882" s="27" t="s">
        <v>7</v>
      </c>
      <c r="AN882" s="27" t="s">
        <v>7</v>
      </c>
      <c r="AP882" s="27" t="s">
        <v>7</v>
      </c>
      <c r="BA882" s="27" t="s">
        <v>8</v>
      </c>
      <c r="BB882" s="27" t="s">
        <v>7</v>
      </c>
      <c r="CG882" s="27" t="s">
        <v>8</v>
      </c>
      <c r="CH882" s="27" t="s">
        <v>7</v>
      </c>
      <c r="EY882" s="27" t="s">
        <v>8</v>
      </c>
      <c r="EZ882" s="27" t="s">
        <v>7</v>
      </c>
      <c r="FA882" s="27" t="s">
        <v>8</v>
      </c>
      <c r="FB882" s="27" t="s">
        <v>7</v>
      </c>
      <c r="FC882" s="27" t="s">
        <v>8</v>
      </c>
      <c r="FD882" s="27" t="s">
        <v>7</v>
      </c>
      <c r="FE882" s="27" t="s">
        <v>8</v>
      </c>
    </row>
    <row r="883" spans="1:161" x14ac:dyDescent="0.25">
      <c r="A883" s="7">
        <v>2.8467488801012012E-3</v>
      </c>
      <c r="B883"/>
      <c r="C883"/>
      <c r="D883"/>
      <c r="E883"/>
      <c r="AF883" s="27" t="s">
        <v>7</v>
      </c>
      <c r="AG883" s="27" t="s">
        <v>8</v>
      </c>
      <c r="AH883" s="27" t="s">
        <v>7</v>
      </c>
      <c r="AJ883" s="27" t="s">
        <v>7</v>
      </c>
      <c r="AP883" s="27" t="s">
        <v>7</v>
      </c>
      <c r="BA883" s="27" t="s">
        <v>8</v>
      </c>
      <c r="BB883" s="27" t="s">
        <v>7</v>
      </c>
      <c r="CG883" s="27" t="s">
        <v>8</v>
      </c>
      <c r="CH883" s="27" t="s">
        <v>7</v>
      </c>
      <c r="CI883" s="27" t="s">
        <v>8</v>
      </c>
      <c r="EY883" s="27" t="s">
        <v>8</v>
      </c>
      <c r="EZ883" s="27" t="s">
        <v>7</v>
      </c>
      <c r="FA883" s="27" t="s">
        <v>8</v>
      </c>
      <c r="FB883" s="27" t="s">
        <v>7</v>
      </c>
      <c r="FC883" s="27" t="s">
        <v>8</v>
      </c>
      <c r="FD883" s="27" t="s">
        <v>7</v>
      </c>
      <c r="FE883" s="27" t="s">
        <v>8</v>
      </c>
    </row>
    <row r="884" spans="1:161" x14ac:dyDescent="0.25">
      <c r="A884" s="7">
        <v>2.7909302746090209E-3</v>
      </c>
      <c r="B884"/>
      <c r="C884"/>
      <c r="D884"/>
      <c r="E884"/>
      <c r="AF884" s="27" t="s">
        <v>7</v>
      </c>
      <c r="AG884" s="27" t="s">
        <v>8</v>
      </c>
      <c r="AP884" s="27" t="s">
        <v>7</v>
      </c>
      <c r="AY884" s="27" t="s">
        <v>8</v>
      </c>
      <c r="BA884" s="27" t="s">
        <v>8</v>
      </c>
      <c r="BB884" s="27" t="s">
        <v>7</v>
      </c>
      <c r="CG884" s="27" t="s">
        <v>8</v>
      </c>
      <c r="CH884" s="27" t="s">
        <v>7</v>
      </c>
      <c r="CI884" s="27" t="s">
        <v>8</v>
      </c>
      <c r="CJ884" s="27" t="s">
        <v>7</v>
      </c>
      <c r="EY884" s="27" t="s">
        <v>8</v>
      </c>
      <c r="EZ884" s="27" t="s">
        <v>7</v>
      </c>
      <c r="FA884" s="27" t="s">
        <v>8</v>
      </c>
      <c r="FB884" s="27" t="s">
        <v>7</v>
      </c>
      <c r="FC884" s="27" t="s">
        <v>8</v>
      </c>
      <c r="FD884" s="27" t="s">
        <v>7</v>
      </c>
    </row>
    <row r="885" spans="1:161" x14ac:dyDescent="0.25">
      <c r="A885" s="7">
        <v>2.7362061515774716E-3</v>
      </c>
      <c r="B885"/>
      <c r="C885"/>
      <c r="D885"/>
      <c r="E885"/>
      <c r="AF885" s="27" t="s">
        <v>7</v>
      </c>
      <c r="AG885" s="27" t="s">
        <v>8</v>
      </c>
      <c r="AP885" s="27" t="s">
        <v>7</v>
      </c>
      <c r="AY885" s="27" t="s">
        <v>8</v>
      </c>
      <c r="AZ885" s="27" t="s">
        <v>7</v>
      </c>
      <c r="BA885" s="27" t="s">
        <v>8</v>
      </c>
      <c r="BB885" s="27" t="s">
        <v>7</v>
      </c>
      <c r="CG885" s="27" t="s">
        <v>8</v>
      </c>
      <c r="CH885" s="27" t="s">
        <v>7</v>
      </c>
      <c r="CI885" s="27" t="s">
        <v>8</v>
      </c>
      <c r="CJ885" s="27" t="s">
        <v>7</v>
      </c>
      <c r="ES885" s="27" t="s">
        <v>8</v>
      </c>
      <c r="EY885" s="27" t="s">
        <v>8</v>
      </c>
      <c r="EZ885" s="27" t="s">
        <v>7</v>
      </c>
      <c r="FB885" s="27" t="s">
        <v>7</v>
      </c>
    </row>
    <row r="886" spans="1:161" x14ac:dyDescent="0.25">
      <c r="A886" s="7">
        <v>2.6825550505661486E-3</v>
      </c>
      <c r="B886"/>
      <c r="C886"/>
      <c r="D886"/>
      <c r="E886"/>
      <c r="AF886" s="27" t="s">
        <v>7</v>
      </c>
      <c r="AG886" s="27" t="s">
        <v>8</v>
      </c>
      <c r="AP886" s="27" t="s">
        <v>7</v>
      </c>
      <c r="AY886" s="27" t="s">
        <v>8</v>
      </c>
      <c r="AZ886" s="27" t="s">
        <v>7</v>
      </c>
      <c r="BA886" s="27" t="s">
        <v>8</v>
      </c>
      <c r="BB886" s="27" t="s">
        <v>7</v>
      </c>
      <c r="CG886" s="27" t="s">
        <v>8</v>
      </c>
      <c r="CH886" s="27" t="s">
        <v>7</v>
      </c>
      <c r="CI886" s="27" t="s">
        <v>8</v>
      </c>
      <c r="CJ886" s="27" t="s">
        <v>7</v>
      </c>
      <c r="ES886" s="27" t="s">
        <v>8</v>
      </c>
      <c r="ET886" s="27" t="s">
        <v>7</v>
      </c>
      <c r="EW886" s="27" t="s">
        <v>8</v>
      </c>
      <c r="EY886" s="27" t="s">
        <v>8</v>
      </c>
    </row>
    <row r="887" spans="1:161" x14ac:dyDescent="0.25">
      <c r="A887" s="7">
        <v>2.6299559319275965E-3</v>
      </c>
      <c r="B887"/>
      <c r="C887"/>
      <c r="D887"/>
      <c r="E887"/>
      <c r="AF887" s="27" t="s">
        <v>7</v>
      </c>
      <c r="AG887" s="27" t="s">
        <v>8</v>
      </c>
      <c r="AP887" s="27" t="s">
        <v>7</v>
      </c>
      <c r="AW887" s="27" t="s">
        <v>8</v>
      </c>
      <c r="AY887" s="27" t="s">
        <v>8</v>
      </c>
      <c r="AZ887" s="27" t="s">
        <v>7</v>
      </c>
      <c r="BA887" s="27" t="s">
        <v>8</v>
      </c>
      <c r="BB887" s="27" t="s">
        <v>7</v>
      </c>
      <c r="BI887" s="27" t="s">
        <v>8</v>
      </c>
      <c r="CG887" s="27" t="s">
        <v>8</v>
      </c>
      <c r="CH887" s="27" t="s">
        <v>7</v>
      </c>
      <c r="CI887" s="27" t="s">
        <v>8</v>
      </c>
      <c r="CJ887" s="27" t="s">
        <v>7</v>
      </c>
      <c r="ES887" s="27" t="s">
        <v>8</v>
      </c>
      <c r="ET887" s="27" t="s">
        <v>7</v>
      </c>
      <c r="EW887" s="27" t="s">
        <v>8</v>
      </c>
      <c r="EX887" s="27" t="s">
        <v>7</v>
      </c>
      <c r="EY887" s="27" t="s">
        <v>8</v>
      </c>
    </row>
    <row r="888" spans="1:161" x14ac:dyDescent="0.25">
      <c r="A888" s="7">
        <v>2.578388168556467E-3</v>
      </c>
      <c r="B888"/>
      <c r="C888"/>
      <c r="D888"/>
      <c r="E888"/>
      <c r="AF888" s="27" t="s">
        <v>7</v>
      </c>
      <c r="AG888" s="27" t="s">
        <v>8</v>
      </c>
      <c r="AP888" s="27" t="s">
        <v>7</v>
      </c>
      <c r="AW888" s="27" t="s">
        <v>8</v>
      </c>
      <c r="AX888" s="27" t="s">
        <v>7</v>
      </c>
      <c r="AY888" s="27" t="s">
        <v>8</v>
      </c>
      <c r="AZ888" s="27" t="s">
        <v>7</v>
      </c>
      <c r="BA888" s="27" t="s">
        <v>8</v>
      </c>
      <c r="BB888" s="27" t="s">
        <v>7</v>
      </c>
      <c r="BI888" s="27" t="s">
        <v>8</v>
      </c>
      <c r="BJ888" s="27" t="s">
        <v>7</v>
      </c>
      <c r="BK888" s="27" t="s">
        <v>8</v>
      </c>
      <c r="CG888" s="27" t="s">
        <v>8</v>
      </c>
      <c r="CH888" s="27" t="s">
        <v>7</v>
      </c>
      <c r="CI888" s="27" t="s">
        <v>8</v>
      </c>
      <c r="CJ888" s="27" t="s">
        <v>7</v>
      </c>
      <c r="EM888" s="27" t="s">
        <v>8</v>
      </c>
      <c r="EQ888" s="27" t="s">
        <v>8</v>
      </c>
      <c r="ES888" s="27" t="s">
        <v>8</v>
      </c>
      <c r="ET888" s="27" t="s">
        <v>7</v>
      </c>
      <c r="EW888" s="27" t="s">
        <v>8</v>
      </c>
      <c r="EX888" s="27" t="s">
        <v>7</v>
      </c>
      <c r="EY888" s="27" t="s">
        <v>8</v>
      </c>
    </row>
    <row r="889" spans="1:161" x14ac:dyDescent="0.25">
      <c r="A889" s="7">
        <v>2.5278315378004577E-3</v>
      </c>
      <c r="B889"/>
      <c r="C889"/>
      <c r="D889"/>
      <c r="E889"/>
      <c r="AF889" s="27" t="s">
        <v>7</v>
      </c>
      <c r="AP889" s="27" t="s">
        <v>7</v>
      </c>
      <c r="AW889" s="27" t="s">
        <v>8</v>
      </c>
      <c r="AX889" s="27" t="s">
        <v>7</v>
      </c>
      <c r="AY889" s="27" t="s">
        <v>8</v>
      </c>
      <c r="AZ889" s="27" t="s">
        <v>7</v>
      </c>
      <c r="BA889" s="27" t="s">
        <v>8</v>
      </c>
      <c r="BB889" s="27" t="s">
        <v>7</v>
      </c>
      <c r="BI889" s="27" t="s">
        <v>8</v>
      </c>
      <c r="BJ889" s="27" t="s">
        <v>7</v>
      </c>
      <c r="BK889" s="27" t="s">
        <v>8</v>
      </c>
      <c r="BL889" s="27" t="s">
        <v>7</v>
      </c>
      <c r="CG889" s="27" t="s">
        <v>8</v>
      </c>
      <c r="CH889" s="27" t="s">
        <v>7</v>
      </c>
      <c r="CI889" s="27" t="s">
        <v>8</v>
      </c>
      <c r="CJ889" s="27" t="s">
        <v>7</v>
      </c>
      <c r="EK889" s="27" t="s">
        <v>8</v>
      </c>
      <c r="EM889" s="27" t="s">
        <v>8</v>
      </c>
      <c r="EN889" s="27" t="s">
        <v>7</v>
      </c>
      <c r="EQ889" s="27" t="s">
        <v>8</v>
      </c>
      <c r="ER889" s="27" t="s">
        <v>7</v>
      </c>
      <c r="ES889" s="27" t="s">
        <v>8</v>
      </c>
      <c r="ET889" s="27" t="s">
        <v>7</v>
      </c>
      <c r="EU889" s="27" t="s">
        <v>8</v>
      </c>
      <c r="EW889" s="27" t="s">
        <v>8</v>
      </c>
      <c r="EX889" s="27" t="s">
        <v>7</v>
      </c>
      <c r="EY889" s="27" t="s">
        <v>8</v>
      </c>
    </row>
    <row r="890" spans="1:161" x14ac:dyDescent="0.25">
      <c r="A890" s="7">
        <v>2.4782662135298603E-3</v>
      </c>
      <c r="B890"/>
      <c r="C890"/>
      <c r="D890"/>
      <c r="E890"/>
      <c r="AP890" s="27" t="s">
        <v>7</v>
      </c>
      <c r="AW890" s="27" t="s">
        <v>8</v>
      </c>
      <c r="AX890" s="27" t="s">
        <v>7</v>
      </c>
      <c r="AY890" s="27" t="s">
        <v>8</v>
      </c>
      <c r="AZ890" s="27" t="s">
        <v>7</v>
      </c>
      <c r="BA890" s="27" t="s">
        <v>8</v>
      </c>
      <c r="BB890" s="27" t="s">
        <v>7</v>
      </c>
      <c r="BI890" s="27" t="s">
        <v>8</v>
      </c>
      <c r="BJ890" s="27" t="s">
        <v>7</v>
      </c>
      <c r="BK890" s="27" t="s">
        <v>8</v>
      </c>
      <c r="BL890" s="27" t="s">
        <v>7</v>
      </c>
      <c r="CG890" s="27" t="s">
        <v>8</v>
      </c>
      <c r="CH890" s="27" t="s">
        <v>7</v>
      </c>
      <c r="CI890" s="27" t="s">
        <v>8</v>
      </c>
      <c r="CJ890" s="27" t="s">
        <v>7</v>
      </c>
      <c r="EK890" s="27" t="s">
        <v>8</v>
      </c>
      <c r="EL890" s="27" t="s">
        <v>7</v>
      </c>
      <c r="EM890" s="27" t="s">
        <v>8</v>
      </c>
      <c r="EN890" s="27" t="s">
        <v>7</v>
      </c>
      <c r="EQ890" s="27" t="s">
        <v>8</v>
      </c>
      <c r="ER890" s="27" t="s">
        <v>7</v>
      </c>
      <c r="ES890" s="27" t="s">
        <v>8</v>
      </c>
      <c r="ET890" s="27" t="s">
        <v>7</v>
      </c>
      <c r="EU890" s="27" t="s">
        <v>8</v>
      </c>
      <c r="EV890" s="27" t="s">
        <v>7</v>
      </c>
      <c r="EW890" s="27" t="s">
        <v>8</v>
      </c>
      <c r="EX890" s="27" t="s">
        <v>7</v>
      </c>
      <c r="EY890" s="27" t="s">
        <v>8</v>
      </c>
    </row>
    <row r="891" spans="1:161" x14ac:dyDescent="0.25">
      <c r="A891" s="7">
        <v>2.4296727583626083E-3</v>
      </c>
      <c r="B891"/>
      <c r="C891"/>
      <c r="D891"/>
      <c r="E891"/>
      <c r="AP891" s="27" t="s">
        <v>7</v>
      </c>
      <c r="AW891" s="27" t="s">
        <v>8</v>
      </c>
      <c r="AX891" s="27" t="s">
        <v>7</v>
      </c>
      <c r="AY891" s="27" t="s">
        <v>8</v>
      </c>
      <c r="AZ891" s="27" t="s">
        <v>7</v>
      </c>
      <c r="BA891" s="27" t="s">
        <v>8</v>
      </c>
      <c r="BB891" s="27" t="s">
        <v>7</v>
      </c>
      <c r="BI891" s="27" t="s">
        <v>8</v>
      </c>
      <c r="BJ891" s="27" t="s">
        <v>7</v>
      </c>
      <c r="BK891" s="27" t="s">
        <v>8</v>
      </c>
      <c r="BL891" s="27" t="s">
        <v>7</v>
      </c>
      <c r="CG891" s="27" t="s">
        <v>8</v>
      </c>
      <c r="CH891" s="27" t="s">
        <v>7</v>
      </c>
      <c r="CI891" s="27" t="s">
        <v>8</v>
      </c>
      <c r="CJ891" s="27" t="s">
        <v>7</v>
      </c>
      <c r="CK891" s="27" t="s">
        <v>8</v>
      </c>
      <c r="EK891" s="27" t="s">
        <v>8</v>
      </c>
      <c r="EL891" s="27" t="s">
        <v>7</v>
      </c>
      <c r="EM891" s="27" t="s">
        <v>8</v>
      </c>
      <c r="EN891" s="27" t="s">
        <v>7</v>
      </c>
      <c r="EQ891" s="27" t="s">
        <v>8</v>
      </c>
      <c r="ER891" s="27" t="s">
        <v>7</v>
      </c>
      <c r="ES891" s="27" t="s">
        <v>8</v>
      </c>
      <c r="ET891" s="27" t="s">
        <v>7</v>
      </c>
      <c r="EU891" s="27" t="s">
        <v>8</v>
      </c>
      <c r="EV891" s="27" t="s">
        <v>7</v>
      </c>
      <c r="EW891" s="27" t="s">
        <v>8</v>
      </c>
      <c r="EX891" s="27" t="s">
        <v>7</v>
      </c>
    </row>
    <row r="892" spans="1:161" x14ac:dyDescent="0.25">
      <c r="A892" s="7">
        <v>2.3820321160417726E-3</v>
      </c>
      <c r="B892"/>
      <c r="C892"/>
      <c r="D892"/>
      <c r="E892"/>
      <c r="AP892" s="27" t="s">
        <v>7</v>
      </c>
      <c r="AU892" s="27" t="s">
        <v>8</v>
      </c>
      <c r="AW892" s="27" t="s">
        <v>8</v>
      </c>
      <c r="AX892" s="27" t="s">
        <v>7</v>
      </c>
      <c r="AY892" s="27" t="s">
        <v>8</v>
      </c>
      <c r="AZ892" s="27" t="s">
        <v>7</v>
      </c>
      <c r="BA892" s="27" t="s">
        <v>8</v>
      </c>
      <c r="BB892" s="27" t="s">
        <v>7</v>
      </c>
      <c r="BC892" s="27" t="s">
        <v>8</v>
      </c>
      <c r="BI892" s="27" t="s">
        <v>8</v>
      </c>
      <c r="BJ892" s="27" t="s">
        <v>7</v>
      </c>
      <c r="BK892" s="27" t="s">
        <v>8</v>
      </c>
      <c r="BL892" s="27" t="s">
        <v>7</v>
      </c>
      <c r="BM892" s="27" t="s">
        <v>8</v>
      </c>
      <c r="CG892" s="27" t="s">
        <v>8</v>
      </c>
      <c r="CH892" s="27" t="s">
        <v>7</v>
      </c>
      <c r="CJ892" s="27" t="s">
        <v>7</v>
      </c>
      <c r="CK892" s="27" t="s">
        <v>8</v>
      </c>
      <c r="CL892" s="27" t="s">
        <v>7</v>
      </c>
      <c r="CQ892" s="27" t="s">
        <v>8</v>
      </c>
      <c r="EK892" s="27" t="s">
        <v>8</v>
      </c>
      <c r="EL892" s="27" t="s">
        <v>7</v>
      </c>
      <c r="EM892" s="27" t="s">
        <v>8</v>
      </c>
      <c r="EN892" s="27" t="s">
        <v>7</v>
      </c>
      <c r="EO892" s="27" t="s">
        <v>8</v>
      </c>
      <c r="EQ892" s="27" t="s">
        <v>8</v>
      </c>
      <c r="ER892" s="27" t="s">
        <v>7</v>
      </c>
      <c r="ES892" s="27" t="s">
        <v>8</v>
      </c>
      <c r="ET892" s="27" t="s">
        <v>7</v>
      </c>
      <c r="EU892" s="27" t="s">
        <v>8</v>
      </c>
      <c r="EV892" s="27" t="s">
        <v>7</v>
      </c>
      <c r="EW892" s="27" t="s">
        <v>8</v>
      </c>
    </row>
    <row r="893" spans="1:161" x14ac:dyDescent="0.25">
      <c r="A893" s="7">
        <v>2.3353256039625224E-3</v>
      </c>
      <c r="B893"/>
      <c r="C893"/>
      <c r="D893"/>
      <c r="E893"/>
      <c r="AP893" s="27" t="s">
        <v>7</v>
      </c>
      <c r="AU893" s="27" t="s">
        <v>8</v>
      </c>
      <c r="AV893" s="27" t="s">
        <v>7</v>
      </c>
      <c r="AW893" s="27" t="s">
        <v>8</v>
      </c>
      <c r="AX893" s="27" t="s">
        <v>7</v>
      </c>
      <c r="AY893" s="27" t="s">
        <v>8</v>
      </c>
      <c r="AZ893" s="27" t="s">
        <v>7</v>
      </c>
      <c r="BA893" s="27" t="s">
        <v>8</v>
      </c>
      <c r="BB893" s="27" t="s">
        <v>7</v>
      </c>
      <c r="BC893" s="27" t="s">
        <v>8</v>
      </c>
      <c r="BD893" s="27" t="s">
        <v>7</v>
      </c>
      <c r="BG893" s="27" t="s">
        <v>8</v>
      </c>
      <c r="BI893" s="27" t="s">
        <v>8</v>
      </c>
      <c r="BJ893" s="27" t="s">
        <v>7</v>
      </c>
      <c r="BL893" s="27" t="s">
        <v>7</v>
      </c>
      <c r="BM893" s="27" t="s">
        <v>8</v>
      </c>
      <c r="BN893" s="27" t="s">
        <v>7</v>
      </c>
      <c r="CG893" s="27" t="s">
        <v>8</v>
      </c>
      <c r="CJ893" s="27" t="s">
        <v>7</v>
      </c>
      <c r="CK893" s="27" t="s">
        <v>8</v>
      </c>
      <c r="CL893" s="27" t="s">
        <v>7</v>
      </c>
      <c r="CQ893" s="27" t="s">
        <v>8</v>
      </c>
      <c r="CR893" s="27" t="s">
        <v>7</v>
      </c>
      <c r="EK893" s="27" t="s">
        <v>8</v>
      </c>
      <c r="EL893" s="27" t="s">
        <v>7</v>
      </c>
      <c r="EM893" s="27" t="s">
        <v>8</v>
      </c>
      <c r="EN893" s="27" t="s">
        <v>7</v>
      </c>
      <c r="EO893" s="27" t="s">
        <v>8</v>
      </c>
      <c r="EP893" s="27" t="s">
        <v>7</v>
      </c>
      <c r="EQ893" s="27" t="s">
        <v>8</v>
      </c>
      <c r="ER893" s="27" t="s">
        <v>7</v>
      </c>
      <c r="ES893" s="27" t="s">
        <v>8</v>
      </c>
      <c r="ET893" s="27" t="s">
        <v>7</v>
      </c>
      <c r="EU893" s="27" t="s">
        <v>8</v>
      </c>
      <c r="EV893" s="27" t="s">
        <v>7</v>
      </c>
      <c r="EW893" s="27" t="s">
        <v>8</v>
      </c>
    </row>
    <row r="894" spans="1:161" x14ac:dyDescent="0.25">
      <c r="A894" s="7">
        <v>2.2895349058456101E-3</v>
      </c>
      <c r="B894"/>
      <c r="C894"/>
      <c r="D894"/>
      <c r="E894"/>
      <c r="AP894" s="27" t="s">
        <v>7</v>
      </c>
      <c r="AQ894" s="27" t="s">
        <v>8</v>
      </c>
      <c r="AS894" s="27" t="s">
        <v>8</v>
      </c>
      <c r="AU894" s="27" t="s">
        <v>8</v>
      </c>
      <c r="AV894" s="27" t="s">
        <v>7</v>
      </c>
      <c r="AW894" s="27" t="s">
        <v>8</v>
      </c>
      <c r="AX894" s="27" t="s">
        <v>7</v>
      </c>
      <c r="AY894" s="27" t="s">
        <v>8</v>
      </c>
      <c r="AZ894" s="27" t="s">
        <v>7</v>
      </c>
      <c r="BA894" s="27" t="s">
        <v>8</v>
      </c>
      <c r="BB894" s="27" t="s">
        <v>7</v>
      </c>
      <c r="BC894" s="27" t="s">
        <v>8</v>
      </c>
      <c r="BD894" s="27" t="s">
        <v>7</v>
      </c>
      <c r="BG894" s="27" t="s">
        <v>8</v>
      </c>
      <c r="BH894" s="27" t="s">
        <v>7</v>
      </c>
      <c r="BI894" s="27" t="s">
        <v>8</v>
      </c>
      <c r="BL894" s="27" t="s">
        <v>7</v>
      </c>
      <c r="BM894" s="27" t="s">
        <v>8</v>
      </c>
      <c r="BN894" s="27" t="s">
        <v>7</v>
      </c>
      <c r="CG894" s="27" t="s">
        <v>8</v>
      </c>
      <c r="CJ894" s="27" t="s">
        <v>7</v>
      </c>
      <c r="CK894" s="27" t="s">
        <v>8</v>
      </c>
      <c r="CL894" s="27" t="s">
        <v>7</v>
      </c>
      <c r="CQ894" s="27" t="s">
        <v>8</v>
      </c>
      <c r="CR894" s="27" t="s">
        <v>7</v>
      </c>
      <c r="EK894" s="27" t="s">
        <v>8</v>
      </c>
      <c r="EL894" s="27" t="s">
        <v>7</v>
      </c>
      <c r="EM894" s="27" t="s">
        <v>8</v>
      </c>
      <c r="EN894" s="27" t="s">
        <v>7</v>
      </c>
      <c r="EO894" s="27" t="s">
        <v>8</v>
      </c>
      <c r="EP894" s="27" t="s">
        <v>7</v>
      </c>
      <c r="EQ894" s="27" t="s">
        <v>8</v>
      </c>
      <c r="ER894" s="27" t="s">
        <v>7</v>
      </c>
      <c r="ET894" s="27" t="s">
        <v>7</v>
      </c>
      <c r="EU894" s="27" t="s">
        <v>8</v>
      </c>
      <c r="EV894" s="27" t="s">
        <v>7</v>
      </c>
      <c r="EW894" s="27" t="s">
        <v>8</v>
      </c>
    </row>
    <row r="895" spans="1:161" x14ac:dyDescent="0.25">
      <c r="A895" s="7">
        <v>2.24464206455452E-3</v>
      </c>
      <c r="B895"/>
      <c r="C895"/>
      <c r="D895"/>
      <c r="E895"/>
      <c r="AP895" s="27" t="s">
        <v>7</v>
      </c>
      <c r="AQ895" s="27" t="s">
        <v>8</v>
      </c>
      <c r="AR895" s="27" t="s">
        <v>7</v>
      </c>
      <c r="AS895" s="27" t="s">
        <v>8</v>
      </c>
      <c r="AT895" s="27" t="s">
        <v>7</v>
      </c>
      <c r="AU895" s="27" t="s">
        <v>8</v>
      </c>
      <c r="AV895" s="27" t="s">
        <v>7</v>
      </c>
      <c r="AW895" s="27" t="s">
        <v>8</v>
      </c>
      <c r="AX895" s="27" t="s">
        <v>7</v>
      </c>
      <c r="AZ895" s="27" t="s">
        <v>7</v>
      </c>
      <c r="BA895" s="27" t="s">
        <v>8</v>
      </c>
      <c r="BB895" s="27" t="s">
        <v>7</v>
      </c>
      <c r="BC895" s="27" t="s">
        <v>8</v>
      </c>
      <c r="BD895" s="27" t="s">
        <v>7</v>
      </c>
      <c r="BE895" s="27" t="s">
        <v>8</v>
      </c>
      <c r="BG895" s="27" t="s">
        <v>8</v>
      </c>
      <c r="BH895" s="27" t="s">
        <v>7</v>
      </c>
      <c r="BI895" s="27" t="s">
        <v>8</v>
      </c>
      <c r="BL895" s="27" t="s">
        <v>7</v>
      </c>
      <c r="BM895" s="27" t="s">
        <v>8</v>
      </c>
      <c r="BN895" s="27" t="s">
        <v>7</v>
      </c>
      <c r="BO895" s="27" t="s">
        <v>8</v>
      </c>
      <c r="CG895" s="27" t="s">
        <v>8</v>
      </c>
      <c r="CJ895" s="27" t="s">
        <v>7</v>
      </c>
      <c r="CK895" s="27" t="s">
        <v>8</v>
      </c>
      <c r="CL895" s="27" t="s">
        <v>7</v>
      </c>
      <c r="CM895" s="27" t="s">
        <v>8</v>
      </c>
      <c r="CQ895" s="27" t="s">
        <v>8</v>
      </c>
      <c r="CR895" s="27" t="s">
        <v>7</v>
      </c>
      <c r="EK895" s="27" t="s">
        <v>8</v>
      </c>
      <c r="EL895" s="27" t="s">
        <v>7</v>
      </c>
      <c r="EM895" s="27" t="s">
        <v>8</v>
      </c>
      <c r="EN895" s="27" t="s">
        <v>7</v>
      </c>
      <c r="EO895" s="27" t="s">
        <v>8</v>
      </c>
      <c r="EP895" s="27" t="s">
        <v>7</v>
      </c>
      <c r="EQ895" s="27" t="s">
        <v>8</v>
      </c>
      <c r="ET895" s="27" t="s">
        <v>7</v>
      </c>
      <c r="EU895" s="27" t="s">
        <v>8</v>
      </c>
      <c r="EV895" s="27" t="s">
        <v>7</v>
      </c>
      <c r="EW895" s="27" t="s">
        <v>8</v>
      </c>
    </row>
    <row r="896" spans="1:161" x14ac:dyDescent="0.25">
      <c r="A896" s="7">
        <v>2.200629475053451E-3</v>
      </c>
      <c r="B896"/>
      <c r="C896"/>
      <c r="D896"/>
      <c r="E896"/>
      <c r="AP896" s="27" t="s">
        <v>7</v>
      </c>
      <c r="AQ896" s="27" t="s">
        <v>8</v>
      </c>
      <c r="AR896" s="27" t="s">
        <v>7</v>
      </c>
      <c r="AS896" s="27" t="s">
        <v>8</v>
      </c>
      <c r="AT896" s="27" t="s">
        <v>7</v>
      </c>
      <c r="AU896" s="27" t="s">
        <v>8</v>
      </c>
      <c r="AV896" s="27" t="s">
        <v>7</v>
      </c>
      <c r="AW896" s="27" t="s">
        <v>8</v>
      </c>
      <c r="AZ896" s="27" t="s">
        <v>7</v>
      </c>
      <c r="BA896" s="27" t="s">
        <v>8</v>
      </c>
      <c r="BB896" s="27" t="s">
        <v>7</v>
      </c>
      <c r="BD896" s="27" t="s">
        <v>7</v>
      </c>
      <c r="BE896" s="27" t="s">
        <v>8</v>
      </c>
      <c r="BF896" s="27" t="s">
        <v>7</v>
      </c>
      <c r="BG896" s="27" t="s">
        <v>8</v>
      </c>
      <c r="BH896" s="27" t="s">
        <v>7</v>
      </c>
      <c r="BI896" s="27" t="s">
        <v>8</v>
      </c>
      <c r="BL896" s="27" t="s">
        <v>7</v>
      </c>
      <c r="BN896" s="27" t="s">
        <v>7</v>
      </c>
      <c r="BO896" s="27" t="s">
        <v>8</v>
      </c>
      <c r="BP896" s="27" t="s">
        <v>7</v>
      </c>
      <c r="CG896" s="27" t="s">
        <v>8</v>
      </c>
      <c r="CJ896" s="27" t="s">
        <v>7</v>
      </c>
      <c r="CK896" s="27" t="s">
        <v>8</v>
      </c>
      <c r="CL896" s="27" t="s">
        <v>7</v>
      </c>
      <c r="CM896" s="27" t="s">
        <v>8</v>
      </c>
      <c r="CN896" s="27" t="s">
        <v>7</v>
      </c>
      <c r="CQ896" s="27" t="s">
        <v>8</v>
      </c>
      <c r="CR896" s="27" t="s">
        <v>7</v>
      </c>
      <c r="EK896" s="27" t="s">
        <v>8</v>
      </c>
      <c r="EL896" s="27" t="s">
        <v>7</v>
      </c>
      <c r="EM896" s="27" t="s">
        <v>8</v>
      </c>
      <c r="EN896" s="27" t="s">
        <v>7</v>
      </c>
      <c r="EO896" s="27" t="s">
        <v>8</v>
      </c>
      <c r="EP896" s="27" t="s">
        <v>7</v>
      </c>
      <c r="EQ896" s="27" t="s">
        <v>8</v>
      </c>
      <c r="ET896" s="27" t="s">
        <v>7</v>
      </c>
      <c r="EV896" s="27" t="s">
        <v>7</v>
      </c>
      <c r="EW896" s="27" t="s">
        <v>8</v>
      </c>
    </row>
    <row r="897" spans="1:153" x14ac:dyDescent="0.25">
      <c r="A897" s="7">
        <v>2.1574798775033832E-3</v>
      </c>
      <c r="B897"/>
      <c r="C897"/>
      <c r="D897"/>
      <c r="E897"/>
      <c r="AP897" s="27" t="s">
        <v>7</v>
      </c>
      <c r="AQ897" s="27" t="s">
        <v>8</v>
      </c>
      <c r="AR897" s="27" t="s">
        <v>7</v>
      </c>
      <c r="AS897" s="27" t="s">
        <v>8</v>
      </c>
      <c r="AT897" s="27" t="s">
        <v>7</v>
      </c>
      <c r="AU897" s="27" t="s">
        <v>8</v>
      </c>
      <c r="AV897" s="27" t="s">
        <v>7</v>
      </c>
      <c r="AZ897" s="27" t="s">
        <v>7</v>
      </c>
      <c r="BA897" s="27" t="s">
        <v>8</v>
      </c>
      <c r="BD897" s="27" t="s">
        <v>7</v>
      </c>
      <c r="BE897" s="27" t="s">
        <v>8</v>
      </c>
      <c r="BF897" s="27" t="s">
        <v>7</v>
      </c>
      <c r="BG897" s="27" t="s">
        <v>8</v>
      </c>
      <c r="BH897" s="27" t="s">
        <v>7</v>
      </c>
      <c r="BI897" s="27" t="s">
        <v>8</v>
      </c>
      <c r="BN897" s="27" t="s">
        <v>7</v>
      </c>
      <c r="BO897" s="27" t="s">
        <v>8</v>
      </c>
      <c r="BP897" s="27" t="s">
        <v>7</v>
      </c>
      <c r="CG897" s="27" t="s">
        <v>8</v>
      </c>
      <c r="CJ897" s="27" t="s">
        <v>7</v>
      </c>
      <c r="CK897" s="27" t="s">
        <v>8</v>
      </c>
      <c r="CL897" s="27" t="s">
        <v>7</v>
      </c>
      <c r="CM897" s="27" t="s">
        <v>8</v>
      </c>
      <c r="CN897" s="27" t="s">
        <v>7</v>
      </c>
      <c r="CQ897" s="27" t="s">
        <v>8</v>
      </c>
      <c r="CR897" s="27" t="s">
        <v>7</v>
      </c>
      <c r="EK897" s="27" t="s">
        <v>8</v>
      </c>
      <c r="EL897" s="27" t="s">
        <v>7</v>
      </c>
      <c r="EM897" s="27" t="s">
        <v>8</v>
      </c>
      <c r="EN897" s="27" t="s">
        <v>7</v>
      </c>
      <c r="EO897" s="27" t="s">
        <v>8</v>
      </c>
      <c r="EP897" s="27" t="s">
        <v>7</v>
      </c>
      <c r="EQ897" s="27" t="s">
        <v>8</v>
      </c>
      <c r="EV897" s="27" t="s">
        <v>7</v>
      </c>
      <c r="EW897" s="27" t="s">
        <v>8</v>
      </c>
    </row>
    <row r="898" spans="1:153" x14ac:dyDescent="0.25">
      <c r="A898" s="7">
        <v>2.115176350493513E-3</v>
      </c>
      <c r="B898"/>
      <c r="C898"/>
      <c r="D898"/>
      <c r="E898"/>
      <c r="AP898" s="27" t="s">
        <v>7</v>
      </c>
      <c r="AQ898" s="27" t="s">
        <v>8</v>
      </c>
      <c r="AR898" s="27" t="s">
        <v>7</v>
      </c>
      <c r="AS898" s="27" t="s">
        <v>8</v>
      </c>
      <c r="AT898" s="27" t="s">
        <v>7</v>
      </c>
      <c r="AU898" s="27" t="s">
        <v>8</v>
      </c>
      <c r="AZ898" s="27" t="s">
        <v>7</v>
      </c>
      <c r="BA898" s="27" t="s">
        <v>8</v>
      </c>
      <c r="BD898" s="27" t="s">
        <v>7</v>
      </c>
      <c r="BE898" s="27" t="s">
        <v>8</v>
      </c>
      <c r="BF898" s="27" t="s">
        <v>7</v>
      </c>
      <c r="BG898" s="27" t="s">
        <v>8</v>
      </c>
      <c r="BH898" s="27" t="s">
        <v>7</v>
      </c>
      <c r="BN898" s="27" t="s">
        <v>7</v>
      </c>
      <c r="BO898" s="27" t="s">
        <v>8</v>
      </c>
      <c r="BP898" s="27" t="s">
        <v>7</v>
      </c>
      <c r="CG898" s="27" t="s">
        <v>8</v>
      </c>
      <c r="CJ898" s="27" t="s">
        <v>7</v>
      </c>
      <c r="CK898" s="27" t="s">
        <v>8</v>
      </c>
      <c r="CL898" s="27" t="s">
        <v>7</v>
      </c>
      <c r="CM898" s="27" t="s">
        <v>8</v>
      </c>
      <c r="CN898" s="27" t="s">
        <v>7</v>
      </c>
      <c r="CO898" s="27" t="s">
        <v>8</v>
      </c>
      <c r="CQ898" s="27" t="s">
        <v>8</v>
      </c>
      <c r="CR898" s="27" t="s">
        <v>7</v>
      </c>
      <c r="DE898" s="27" t="s">
        <v>8</v>
      </c>
      <c r="EK898" s="27" t="s">
        <v>8</v>
      </c>
      <c r="EL898" s="27" t="s">
        <v>7</v>
      </c>
      <c r="EM898" s="27" t="s">
        <v>8</v>
      </c>
      <c r="EN898" s="27" t="s">
        <v>7</v>
      </c>
      <c r="EO898" s="27" t="s">
        <v>8</v>
      </c>
      <c r="EP898" s="27" t="s">
        <v>7</v>
      </c>
      <c r="EQ898" s="27" t="s">
        <v>8</v>
      </c>
      <c r="EV898" s="27" t="s">
        <v>7</v>
      </c>
      <c r="EW898" s="27" t="s">
        <v>8</v>
      </c>
    </row>
    <row r="899" spans="1:153" x14ac:dyDescent="0.25">
      <c r="A899" s="7">
        <v>2.0737023044054047E-3</v>
      </c>
      <c r="B899"/>
      <c r="C899"/>
      <c r="D899"/>
      <c r="E899"/>
      <c r="AP899" s="27" t="s">
        <v>7</v>
      </c>
      <c r="AR899" s="27" t="s">
        <v>7</v>
      </c>
      <c r="AS899" s="27" t="s">
        <v>8</v>
      </c>
      <c r="AT899" s="27" t="s">
        <v>7</v>
      </c>
      <c r="AZ899" s="27" t="s">
        <v>7</v>
      </c>
      <c r="BD899" s="27" t="s">
        <v>7</v>
      </c>
      <c r="BE899" s="27" t="s">
        <v>8</v>
      </c>
      <c r="BF899" s="27" t="s">
        <v>7</v>
      </c>
      <c r="BG899" s="27" t="s">
        <v>8</v>
      </c>
      <c r="BN899" s="27" t="s">
        <v>7</v>
      </c>
      <c r="BP899" s="27" t="s">
        <v>7</v>
      </c>
      <c r="CG899" s="27" t="s">
        <v>8</v>
      </c>
      <c r="CJ899" s="27" t="s">
        <v>7</v>
      </c>
      <c r="CL899" s="27" t="s">
        <v>7</v>
      </c>
      <c r="CM899" s="27" t="s">
        <v>8</v>
      </c>
      <c r="CN899" s="27" t="s">
        <v>7</v>
      </c>
      <c r="CO899" s="27" t="s">
        <v>8</v>
      </c>
      <c r="CP899" s="27" t="s">
        <v>7</v>
      </c>
      <c r="CQ899" s="27" t="s">
        <v>8</v>
      </c>
      <c r="CR899" s="27" t="s">
        <v>7</v>
      </c>
      <c r="DE899" s="27" t="s">
        <v>8</v>
      </c>
      <c r="DF899" s="27" t="s">
        <v>7</v>
      </c>
      <c r="DY899" s="27" t="s">
        <v>8</v>
      </c>
      <c r="EK899" s="27" t="s">
        <v>8</v>
      </c>
      <c r="EL899" s="27" t="s">
        <v>7</v>
      </c>
      <c r="EN899" s="27" t="s">
        <v>7</v>
      </c>
      <c r="EP899" s="27" t="s">
        <v>7</v>
      </c>
      <c r="EV899" s="27" t="s">
        <v>7</v>
      </c>
    </row>
    <row r="900" spans="1:153" x14ac:dyDescent="0.25">
      <c r="A900" s="7">
        <v>2.0330414749072595E-3</v>
      </c>
      <c r="B900"/>
      <c r="C900"/>
      <c r="D900"/>
      <c r="E900"/>
      <c r="AR900" s="27" t="s">
        <v>7</v>
      </c>
      <c r="AS900" s="27" t="s">
        <v>8</v>
      </c>
      <c r="BD900" s="27" t="s">
        <v>7</v>
      </c>
      <c r="BE900" s="27" t="s">
        <v>8</v>
      </c>
      <c r="BF900" s="27" t="s">
        <v>7</v>
      </c>
      <c r="BP900" s="27" t="s">
        <v>7</v>
      </c>
      <c r="BQ900" s="27" t="s">
        <v>8</v>
      </c>
      <c r="CG900" s="27" t="s">
        <v>8</v>
      </c>
      <c r="CL900" s="27" t="s">
        <v>7</v>
      </c>
      <c r="CM900" s="27" t="s">
        <v>8</v>
      </c>
      <c r="CN900" s="27" t="s">
        <v>7</v>
      </c>
      <c r="CO900" s="27" t="s">
        <v>8</v>
      </c>
      <c r="CP900" s="27" t="s">
        <v>7</v>
      </c>
      <c r="CQ900" s="27" t="s">
        <v>8</v>
      </c>
      <c r="CR900" s="27" t="s">
        <v>7</v>
      </c>
      <c r="DE900" s="27" t="s">
        <v>8</v>
      </c>
      <c r="DF900" s="27" t="s">
        <v>7</v>
      </c>
      <c r="DY900" s="27" t="s">
        <v>8</v>
      </c>
      <c r="DZ900" s="27" t="s">
        <v>7</v>
      </c>
      <c r="EK900" s="27" t="s">
        <v>8</v>
      </c>
    </row>
    <row r="901" spans="1:153" x14ac:dyDescent="0.25">
      <c r="A901" s="7">
        <v>1.9931779165757446E-3</v>
      </c>
      <c r="B901"/>
      <c r="C901"/>
      <c r="D901"/>
      <c r="E901"/>
      <c r="AR901" s="27" t="s">
        <v>7</v>
      </c>
      <c r="AS901" s="27" t="s">
        <v>8</v>
      </c>
      <c r="BD901" s="27" t="s">
        <v>7</v>
      </c>
      <c r="BE901" s="27" t="s">
        <v>8</v>
      </c>
      <c r="BP901" s="27" t="s">
        <v>7</v>
      </c>
      <c r="BQ901" s="27" t="s">
        <v>8</v>
      </c>
      <c r="BR901" s="27" t="s">
        <v>7</v>
      </c>
      <c r="BS901" s="27" t="s">
        <v>8</v>
      </c>
      <c r="CG901" s="27" t="s">
        <v>8</v>
      </c>
      <c r="CL901" s="27" t="s">
        <v>7</v>
      </c>
      <c r="CM901" s="27" t="s">
        <v>8</v>
      </c>
      <c r="CN901" s="27" t="s">
        <v>7</v>
      </c>
      <c r="CP901" s="27" t="s">
        <v>7</v>
      </c>
      <c r="CQ901" s="27" t="s">
        <v>8</v>
      </c>
      <c r="CR901" s="27" t="s">
        <v>7</v>
      </c>
      <c r="DE901" s="27" t="s">
        <v>8</v>
      </c>
      <c r="DF901" s="27" t="s">
        <v>7</v>
      </c>
      <c r="DY901" s="27" t="s">
        <v>8</v>
      </c>
      <c r="DZ901" s="27" t="s">
        <v>7</v>
      </c>
      <c r="EE901" s="27" t="s">
        <v>8</v>
      </c>
      <c r="EI901" s="27" t="s">
        <v>8</v>
      </c>
      <c r="EK901" s="27" t="s">
        <v>8</v>
      </c>
    </row>
    <row r="902" spans="1:153" x14ac:dyDescent="0.25">
      <c r="A902" s="7">
        <v>1.954095996642887E-3</v>
      </c>
      <c r="B902"/>
      <c r="C902"/>
      <c r="D902"/>
      <c r="E902"/>
      <c r="AR902" s="27" t="s">
        <v>7</v>
      </c>
      <c r="BD902" s="27" t="s">
        <v>7</v>
      </c>
      <c r="BP902" s="27" t="s">
        <v>7</v>
      </c>
      <c r="BQ902" s="27" t="s">
        <v>8</v>
      </c>
      <c r="BR902" s="27" t="s">
        <v>7</v>
      </c>
      <c r="BS902" s="27" t="s">
        <v>8</v>
      </c>
      <c r="BT902" s="27" t="s">
        <v>7</v>
      </c>
      <c r="CC902" s="27" t="s">
        <v>8</v>
      </c>
      <c r="CG902" s="27" t="s">
        <v>8</v>
      </c>
      <c r="CL902" s="27" t="s">
        <v>7</v>
      </c>
      <c r="CM902" s="27" t="s">
        <v>8</v>
      </c>
      <c r="CP902" s="27" t="s">
        <v>7</v>
      </c>
      <c r="CR902" s="27" t="s">
        <v>7</v>
      </c>
      <c r="CS902" s="27" t="s">
        <v>8</v>
      </c>
      <c r="DE902" s="27" t="s">
        <v>8</v>
      </c>
      <c r="DF902" s="27" t="s">
        <v>7</v>
      </c>
      <c r="DY902" s="27" t="s">
        <v>8</v>
      </c>
      <c r="DZ902" s="27" t="s">
        <v>7</v>
      </c>
      <c r="EE902" s="27" t="s">
        <v>8</v>
      </c>
      <c r="EF902" s="27" t="s">
        <v>7</v>
      </c>
      <c r="EG902" s="27" t="s">
        <v>8</v>
      </c>
      <c r="EI902" s="27" t="s">
        <v>8</v>
      </c>
      <c r="EJ902" s="27" t="s">
        <v>7</v>
      </c>
      <c r="EK902" s="27" t="s">
        <v>8</v>
      </c>
    </row>
    <row r="903" spans="1:153" x14ac:dyDescent="0.25">
      <c r="A903" s="7">
        <v>1.9157803888655755E-3</v>
      </c>
      <c r="B903"/>
      <c r="C903"/>
      <c r="D903"/>
      <c r="E903"/>
      <c r="BP903" s="27" t="s">
        <v>7</v>
      </c>
      <c r="BQ903" s="27" t="s">
        <v>8</v>
      </c>
      <c r="BR903" s="27" t="s">
        <v>7</v>
      </c>
      <c r="BS903" s="27" t="s">
        <v>8</v>
      </c>
      <c r="BT903" s="27" t="s">
        <v>7</v>
      </c>
      <c r="BU903" s="27" t="s">
        <v>8</v>
      </c>
      <c r="CC903" s="27" t="s">
        <v>8</v>
      </c>
      <c r="CD903" s="27" t="s">
        <v>7</v>
      </c>
      <c r="CG903" s="27" t="s">
        <v>8</v>
      </c>
      <c r="CL903" s="27" t="s">
        <v>7</v>
      </c>
      <c r="CM903" s="27" t="s">
        <v>8</v>
      </c>
      <c r="CR903" s="27" t="s">
        <v>7</v>
      </c>
      <c r="CS903" s="27" t="s">
        <v>8</v>
      </c>
      <c r="CT903" s="27" t="s">
        <v>7</v>
      </c>
      <c r="DE903" s="27" t="s">
        <v>8</v>
      </c>
      <c r="DF903" s="27" t="s">
        <v>7</v>
      </c>
      <c r="DY903" s="27" t="s">
        <v>8</v>
      </c>
      <c r="DZ903" s="27" t="s">
        <v>7</v>
      </c>
      <c r="EE903" s="27" t="s">
        <v>8</v>
      </c>
      <c r="EF903" s="27" t="s">
        <v>7</v>
      </c>
      <c r="EG903" s="27" t="s">
        <v>8</v>
      </c>
      <c r="EH903" s="27" t="s">
        <v>7</v>
      </c>
      <c r="EI903" s="27" t="s">
        <v>8</v>
      </c>
      <c r="EJ903" s="27" t="s">
        <v>7</v>
      </c>
      <c r="EK903" s="27" t="s">
        <v>8</v>
      </c>
    </row>
    <row r="904" spans="1:153" x14ac:dyDescent="0.25">
      <c r="A904" s="7">
        <v>1.8782160675152703E-3</v>
      </c>
      <c r="B904"/>
      <c r="C904"/>
      <c r="D904"/>
      <c r="E904"/>
      <c r="BP904" s="27" t="s">
        <v>7</v>
      </c>
      <c r="BQ904" s="27" t="s">
        <v>8</v>
      </c>
      <c r="BR904" s="27" t="s">
        <v>7</v>
      </c>
      <c r="BS904" s="27" t="s">
        <v>8</v>
      </c>
      <c r="BT904" s="27" t="s">
        <v>7</v>
      </c>
      <c r="BU904" s="27" t="s">
        <v>8</v>
      </c>
      <c r="BV904" s="27" t="s">
        <v>7</v>
      </c>
      <c r="CC904" s="27" t="s">
        <v>8</v>
      </c>
      <c r="CD904" s="27" t="s">
        <v>7</v>
      </c>
      <c r="CG904" s="27" t="s">
        <v>8</v>
      </c>
      <c r="CL904" s="27" t="s">
        <v>7</v>
      </c>
      <c r="CM904" s="27" t="s">
        <v>8</v>
      </c>
      <c r="CR904" s="27" t="s">
        <v>7</v>
      </c>
      <c r="CS904" s="27" t="s">
        <v>8</v>
      </c>
      <c r="CT904" s="27" t="s">
        <v>7</v>
      </c>
      <c r="DE904" s="27" t="s">
        <v>8</v>
      </c>
      <c r="DF904" s="27" t="s">
        <v>7</v>
      </c>
      <c r="DY904" s="27" t="s">
        <v>8</v>
      </c>
      <c r="DZ904" s="27" t="s">
        <v>7</v>
      </c>
      <c r="EE904" s="27" t="s">
        <v>8</v>
      </c>
      <c r="EF904" s="27" t="s">
        <v>7</v>
      </c>
      <c r="EG904" s="27" t="s">
        <v>8</v>
      </c>
      <c r="EH904" s="27" t="s">
        <v>7</v>
      </c>
      <c r="EI904" s="27" t="s">
        <v>8</v>
      </c>
      <c r="EJ904" s="27" t="s">
        <v>7</v>
      </c>
      <c r="EK904" s="27" t="s">
        <v>8</v>
      </c>
    </row>
    <row r="905" spans="1:153" x14ac:dyDescent="0.25">
      <c r="A905" s="7">
        <v>1.8413883014855592E-3</v>
      </c>
      <c r="B905"/>
      <c r="C905"/>
      <c r="D905"/>
      <c r="E905"/>
      <c r="BP905" s="27" t="s">
        <v>7</v>
      </c>
      <c r="BQ905" s="27" t="s">
        <v>8</v>
      </c>
      <c r="BR905" s="27" t="s">
        <v>7</v>
      </c>
      <c r="BS905" s="27" t="s">
        <v>8</v>
      </c>
      <c r="BT905" s="27" t="s">
        <v>7</v>
      </c>
      <c r="BU905" s="27" t="s">
        <v>8</v>
      </c>
      <c r="BV905" s="27" t="s">
        <v>7</v>
      </c>
      <c r="CC905" s="27" t="s">
        <v>8</v>
      </c>
      <c r="CD905" s="27" t="s">
        <v>7</v>
      </c>
      <c r="CG905" s="27" t="s">
        <v>8</v>
      </c>
      <c r="CL905" s="27" t="s">
        <v>7</v>
      </c>
      <c r="CM905" s="27" t="s">
        <v>8</v>
      </c>
      <c r="CR905" s="27" t="s">
        <v>7</v>
      </c>
      <c r="CS905" s="27" t="s">
        <v>8</v>
      </c>
      <c r="CT905" s="27" t="s">
        <v>7</v>
      </c>
      <c r="DE905" s="27" t="s">
        <v>8</v>
      </c>
      <c r="DF905" s="27" t="s">
        <v>7</v>
      </c>
      <c r="DY905" s="27" t="s">
        <v>8</v>
      </c>
      <c r="DZ905" s="27" t="s">
        <v>7</v>
      </c>
      <c r="EE905" s="27" t="s">
        <v>8</v>
      </c>
      <c r="EF905" s="27" t="s">
        <v>7</v>
      </c>
      <c r="EG905" s="27" t="s">
        <v>8</v>
      </c>
      <c r="EH905" s="27" t="s">
        <v>7</v>
      </c>
      <c r="EI905" s="27" t="s">
        <v>8</v>
      </c>
      <c r="EJ905" s="27" t="s">
        <v>7</v>
      </c>
    </row>
    <row r="906" spans="1:153" x14ac:dyDescent="0.25">
      <c r="A906" s="7">
        <v>1.8052826485152542E-3</v>
      </c>
      <c r="B906"/>
      <c r="C906"/>
      <c r="D906"/>
      <c r="E906"/>
      <c r="BP906" s="27" t="s">
        <v>7</v>
      </c>
      <c r="BR906" s="27" t="s">
        <v>7</v>
      </c>
      <c r="BS906" s="27" t="s">
        <v>8</v>
      </c>
      <c r="BT906" s="27" t="s">
        <v>7</v>
      </c>
      <c r="BU906" s="27" t="s">
        <v>8</v>
      </c>
      <c r="BV906" s="27" t="s">
        <v>7</v>
      </c>
      <c r="BW906" s="27" t="s">
        <v>8</v>
      </c>
      <c r="CC906" s="27" t="s">
        <v>8</v>
      </c>
      <c r="CD906" s="27" t="s">
        <v>7</v>
      </c>
      <c r="CG906" s="27" t="s">
        <v>8</v>
      </c>
      <c r="CL906" s="27" t="s">
        <v>7</v>
      </c>
      <c r="CM906" s="27" t="s">
        <v>8</v>
      </c>
      <c r="CR906" s="27" t="s">
        <v>7</v>
      </c>
      <c r="CT906" s="27" t="s">
        <v>7</v>
      </c>
      <c r="DE906" s="27" t="s">
        <v>8</v>
      </c>
      <c r="DF906" s="27" t="s">
        <v>7</v>
      </c>
      <c r="DY906" s="27" t="s">
        <v>8</v>
      </c>
      <c r="DZ906" s="27" t="s">
        <v>7</v>
      </c>
      <c r="EC906" s="27" t="s">
        <v>8</v>
      </c>
      <c r="EE906" s="27" t="s">
        <v>8</v>
      </c>
      <c r="EF906" s="27" t="s">
        <v>7</v>
      </c>
      <c r="EG906" s="27" t="s">
        <v>8</v>
      </c>
      <c r="EH906" s="27" t="s">
        <v>7</v>
      </c>
    </row>
    <row r="907" spans="1:153" x14ac:dyDescent="0.25">
      <c r="A907" s="7">
        <v>1.7698849495247592E-3</v>
      </c>
      <c r="B907"/>
      <c r="C907"/>
      <c r="D907"/>
      <c r="E907"/>
      <c r="BR907" s="27" t="s">
        <v>7</v>
      </c>
      <c r="BS907" s="27" t="s">
        <v>8</v>
      </c>
      <c r="BT907" s="27" t="s">
        <v>7</v>
      </c>
      <c r="BU907" s="27" t="s">
        <v>8</v>
      </c>
      <c r="BV907" s="27" t="s">
        <v>7</v>
      </c>
      <c r="BW907" s="27" t="s">
        <v>8</v>
      </c>
      <c r="BX907" s="27" t="s">
        <v>7</v>
      </c>
      <c r="CC907" s="27" t="s">
        <v>8</v>
      </c>
      <c r="CD907" s="27" t="s">
        <v>7</v>
      </c>
      <c r="CG907" s="27" t="s">
        <v>8</v>
      </c>
      <c r="CL907" s="27" t="s">
        <v>7</v>
      </c>
      <c r="CM907" s="27" t="s">
        <v>8</v>
      </c>
      <c r="CT907" s="27" t="s">
        <v>7</v>
      </c>
      <c r="DE907" s="27" t="s">
        <v>8</v>
      </c>
      <c r="DF907" s="27" t="s">
        <v>7</v>
      </c>
      <c r="DY907" s="27" t="s">
        <v>8</v>
      </c>
      <c r="DZ907" s="27" t="s">
        <v>7</v>
      </c>
      <c r="EA907" s="27" t="s">
        <v>8</v>
      </c>
      <c r="EC907" s="27" t="s">
        <v>8</v>
      </c>
      <c r="ED907" s="27" t="s">
        <v>7</v>
      </c>
      <c r="EE907" s="27" t="s">
        <v>8</v>
      </c>
      <c r="EF907" s="27" t="s">
        <v>7</v>
      </c>
      <c r="EG907" s="27" t="s">
        <v>8</v>
      </c>
    </row>
    <row r="908" spans="1:153" x14ac:dyDescent="0.25">
      <c r="A908" s="7">
        <v>1.7351813230634893E-3</v>
      </c>
      <c r="B908"/>
      <c r="C908"/>
      <c r="D908"/>
      <c r="E908"/>
      <c r="BR908" s="27" t="s">
        <v>7</v>
      </c>
      <c r="BS908" s="27" t="s">
        <v>8</v>
      </c>
      <c r="BT908" s="27" t="s">
        <v>7</v>
      </c>
      <c r="BV908" s="27" t="s">
        <v>7</v>
      </c>
      <c r="BW908" s="27" t="s">
        <v>8</v>
      </c>
      <c r="BX908" s="27" t="s">
        <v>7</v>
      </c>
      <c r="CC908" s="27" t="s">
        <v>8</v>
      </c>
      <c r="CD908" s="27" t="s">
        <v>7</v>
      </c>
      <c r="CG908" s="27" t="s">
        <v>8</v>
      </c>
      <c r="CL908" s="27" t="s">
        <v>7</v>
      </c>
      <c r="CM908" s="27" t="s">
        <v>8</v>
      </c>
      <c r="CT908" s="27" t="s">
        <v>7</v>
      </c>
      <c r="DE908" s="27" t="s">
        <v>8</v>
      </c>
      <c r="DF908" s="27" t="s">
        <v>7</v>
      </c>
      <c r="DY908" s="27" t="s">
        <v>8</v>
      </c>
      <c r="DZ908" s="27" t="s">
        <v>7</v>
      </c>
      <c r="EA908" s="27" t="s">
        <v>8</v>
      </c>
      <c r="EB908" s="27" t="s">
        <v>7</v>
      </c>
      <c r="EC908" s="27" t="s">
        <v>8</v>
      </c>
      <c r="ED908" s="27" t="s">
        <v>7</v>
      </c>
      <c r="EE908" s="27" t="s">
        <v>8</v>
      </c>
      <c r="EF908" s="27" t="s">
        <v>7</v>
      </c>
      <c r="EG908" s="27" t="s">
        <v>8</v>
      </c>
    </row>
    <row r="909" spans="1:153" x14ac:dyDescent="0.25">
      <c r="A909" s="7">
        <v>1.701158159866166E-3</v>
      </c>
      <c r="B909"/>
      <c r="C909"/>
      <c r="D909"/>
      <c r="E909"/>
      <c r="BR909" s="27" t="s">
        <v>7</v>
      </c>
      <c r="BS909" s="27" t="s">
        <v>8</v>
      </c>
      <c r="BV909" s="27" t="s">
        <v>7</v>
      </c>
      <c r="BW909" s="27" t="s">
        <v>8</v>
      </c>
      <c r="BX909" s="27" t="s">
        <v>7</v>
      </c>
      <c r="CC909" s="27" t="s">
        <v>8</v>
      </c>
      <c r="CD909" s="27" t="s">
        <v>7</v>
      </c>
      <c r="CE909" s="27" t="s">
        <v>8</v>
      </c>
      <c r="CG909" s="27" t="s">
        <v>8</v>
      </c>
      <c r="CL909" s="27" t="s">
        <v>7</v>
      </c>
      <c r="CM909" s="27" t="s">
        <v>8</v>
      </c>
      <c r="CT909" s="27" t="s">
        <v>7</v>
      </c>
      <c r="DE909" s="27" t="s">
        <v>8</v>
      </c>
      <c r="DF909" s="27" t="s">
        <v>7</v>
      </c>
      <c r="DY909" s="27" t="s">
        <v>8</v>
      </c>
      <c r="DZ909" s="27" t="s">
        <v>7</v>
      </c>
      <c r="EA909" s="27" t="s">
        <v>8</v>
      </c>
      <c r="EB909" s="27" t="s">
        <v>7</v>
      </c>
      <c r="EC909" s="27" t="s">
        <v>8</v>
      </c>
      <c r="ED909" s="27" t="s">
        <v>7</v>
      </c>
      <c r="EE909" s="27" t="s">
        <v>8</v>
      </c>
      <c r="EF909" s="27" t="s">
        <v>7</v>
      </c>
      <c r="EG909" s="27" t="s">
        <v>8</v>
      </c>
    </row>
    <row r="910" spans="1:153" x14ac:dyDescent="0.25">
      <c r="A910" s="7">
        <v>1.6678021175158492E-3</v>
      </c>
      <c r="B910"/>
      <c r="C910"/>
      <c r="D910"/>
      <c r="E910"/>
      <c r="BR910" s="27" t="s">
        <v>7</v>
      </c>
      <c r="BV910" s="27" t="s">
        <v>7</v>
      </c>
      <c r="BX910" s="27" t="s">
        <v>7</v>
      </c>
      <c r="BY910" s="27" t="s">
        <v>8</v>
      </c>
      <c r="CC910" s="27" t="s">
        <v>8</v>
      </c>
      <c r="CD910" s="27" t="s">
        <v>7</v>
      </c>
      <c r="CE910" s="27" t="s">
        <v>8</v>
      </c>
      <c r="CF910" s="27" t="s">
        <v>7</v>
      </c>
      <c r="CG910" s="27" t="s">
        <v>8</v>
      </c>
      <c r="CL910" s="27" t="s">
        <v>7</v>
      </c>
      <c r="CM910" s="27" t="s">
        <v>8</v>
      </c>
      <c r="CT910" s="27" t="s">
        <v>7</v>
      </c>
      <c r="DE910" s="27" t="s">
        <v>8</v>
      </c>
      <c r="DF910" s="27" t="s">
        <v>7</v>
      </c>
      <c r="DS910" s="27" t="s">
        <v>8</v>
      </c>
      <c r="DY910" s="27" t="s">
        <v>8</v>
      </c>
      <c r="DZ910" s="27" t="s">
        <v>7</v>
      </c>
      <c r="EA910" s="27" t="s">
        <v>8</v>
      </c>
      <c r="EB910" s="27" t="s">
        <v>7</v>
      </c>
      <c r="EC910" s="27" t="s">
        <v>8</v>
      </c>
      <c r="ED910" s="27" t="s">
        <v>7</v>
      </c>
      <c r="EF910" s="27" t="s">
        <v>7</v>
      </c>
    </row>
    <row r="911" spans="1:153" x14ac:dyDescent="0.25">
      <c r="A911" s="7">
        <v>1.6351001152116167E-3</v>
      </c>
      <c r="B911"/>
      <c r="C911"/>
      <c r="D911"/>
      <c r="E911"/>
      <c r="BX911" s="27" t="s">
        <v>7</v>
      </c>
      <c r="BY911" s="27" t="s">
        <v>8</v>
      </c>
      <c r="BZ911" s="27" t="s">
        <v>7</v>
      </c>
      <c r="CC911" s="27" t="s">
        <v>8</v>
      </c>
      <c r="CD911" s="27" t="s">
        <v>7</v>
      </c>
      <c r="CE911" s="27" t="s">
        <v>8</v>
      </c>
      <c r="CF911" s="27" t="s">
        <v>7</v>
      </c>
      <c r="CG911" s="27" t="s">
        <v>8</v>
      </c>
      <c r="CL911" s="27" t="s">
        <v>7</v>
      </c>
      <c r="CM911" s="27" t="s">
        <v>8</v>
      </c>
      <c r="CT911" s="27" t="s">
        <v>7</v>
      </c>
      <c r="DE911" s="27" t="s">
        <v>8</v>
      </c>
      <c r="DF911" s="27" t="s">
        <v>7</v>
      </c>
      <c r="DS911" s="27" t="s">
        <v>8</v>
      </c>
      <c r="DT911" s="27" t="s">
        <v>7</v>
      </c>
      <c r="DW911" s="27" t="s">
        <v>8</v>
      </c>
      <c r="DY911" s="27" t="s">
        <v>8</v>
      </c>
      <c r="DZ911" s="27" t="s">
        <v>7</v>
      </c>
      <c r="EB911" s="27" t="s">
        <v>7</v>
      </c>
      <c r="EC911" s="27" t="s">
        <v>8</v>
      </c>
    </row>
    <row r="912" spans="1:153" x14ac:dyDescent="0.25">
      <c r="A912" s="7">
        <v>1.60303932863884E-3</v>
      </c>
      <c r="B912"/>
      <c r="C912"/>
      <c r="D912"/>
      <c r="E912"/>
      <c r="BX912" s="27" t="s">
        <v>7</v>
      </c>
      <c r="BY912" s="27" t="s">
        <v>8</v>
      </c>
      <c r="BZ912" s="27" t="s">
        <v>7</v>
      </c>
      <c r="CC912" s="27" t="s">
        <v>8</v>
      </c>
      <c r="CD912" s="27" t="s">
        <v>7</v>
      </c>
      <c r="CE912" s="27" t="s">
        <v>8</v>
      </c>
      <c r="CF912" s="27" t="s">
        <v>7</v>
      </c>
      <c r="CL912" s="27" t="s">
        <v>7</v>
      </c>
      <c r="CT912" s="27" t="s">
        <v>7</v>
      </c>
      <c r="DE912" s="27" t="s">
        <v>8</v>
      </c>
      <c r="DF912" s="27" t="s">
        <v>7</v>
      </c>
      <c r="DS912" s="27" t="s">
        <v>8</v>
      </c>
      <c r="DT912" s="27" t="s">
        <v>7</v>
      </c>
      <c r="DU912" s="27" t="s">
        <v>8</v>
      </c>
      <c r="DW912" s="27" t="s">
        <v>8</v>
      </c>
      <c r="DX912" s="27" t="s">
        <v>7</v>
      </c>
      <c r="DY912" s="27" t="s">
        <v>8</v>
      </c>
      <c r="EB912" s="27" t="s">
        <v>7</v>
      </c>
      <c r="EC912" s="27" t="s">
        <v>8</v>
      </c>
    </row>
    <row r="913" spans="1:133" x14ac:dyDescent="0.25">
      <c r="A913" s="7">
        <v>1.5716071849400392E-3</v>
      </c>
      <c r="B913"/>
      <c r="C913"/>
      <c r="D913"/>
      <c r="E913"/>
      <c r="BX913" s="27" t="s">
        <v>7</v>
      </c>
      <c r="BY913" s="27" t="s">
        <v>8</v>
      </c>
      <c r="BZ913" s="27" t="s">
        <v>7</v>
      </c>
      <c r="CA913" s="27" t="s">
        <v>8</v>
      </c>
      <c r="CC913" s="27" t="s">
        <v>8</v>
      </c>
      <c r="CD913" s="27" t="s">
        <v>7</v>
      </c>
      <c r="CT913" s="27" t="s">
        <v>7</v>
      </c>
      <c r="DE913" s="27" t="s">
        <v>8</v>
      </c>
      <c r="DF913" s="27" t="s">
        <v>7</v>
      </c>
      <c r="DS913" s="27" t="s">
        <v>8</v>
      </c>
      <c r="DT913" s="27" t="s">
        <v>7</v>
      </c>
      <c r="DU913" s="27" t="s">
        <v>8</v>
      </c>
      <c r="DV913" s="27" t="s">
        <v>7</v>
      </c>
      <c r="DW913" s="27" t="s">
        <v>8</v>
      </c>
      <c r="DX913" s="27" t="s">
        <v>7</v>
      </c>
      <c r="DY913" s="27" t="s">
        <v>8</v>
      </c>
      <c r="EB913" s="27" t="s">
        <v>7</v>
      </c>
      <c r="EC913" s="27" t="s">
        <v>8</v>
      </c>
    </row>
    <row r="914" spans="1:133" x14ac:dyDescent="0.25">
      <c r="A914" s="7">
        <v>1.5407913577843522E-3</v>
      </c>
      <c r="B914"/>
      <c r="C914"/>
      <c r="D914"/>
      <c r="E914"/>
      <c r="BX914" s="27" t="s">
        <v>7</v>
      </c>
      <c r="BZ914" s="27" t="s">
        <v>7</v>
      </c>
      <c r="CA914" s="27" t="s">
        <v>8</v>
      </c>
      <c r="CB914" s="27" t="s">
        <v>7</v>
      </c>
      <c r="CC914" s="27" t="s">
        <v>8</v>
      </c>
      <c r="CT914" s="27" t="s">
        <v>7</v>
      </c>
      <c r="DE914" s="27" t="s">
        <v>8</v>
      </c>
      <c r="DF914" s="27" t="s">
        <v>7</v>
      </c>
      <c r="DK914" s="27" t="s">
        <v>8</v>
      </c>
      <c r="DS914" s="27" t="s">
        <v>8</v>
      </c>
      <c r="DT914" s="27" t="s">
        <v>7</v>
      </c>
      <c r="DU914" s="27" t="s">
        <v>8</v>
      </c>
      <c r="DV914" s="27" t="s">
        <v>7</v>
      </c>
      <c r="DW914" s="27" t="s">
        <v>8</v>
      </c>
      <c r="DX914" s="27" t="s">
        <v>7</v>
      </c>
      <c r="DY914" s="27" t="s">
        <v>8</v>
      </c>
      <c r="EB914" s="27" t="s">
        <v>7</v>
      </c>
      <c r="EC914" s="27" t="s">
        <v>8</v>
      </c>
    </row>
    <row r="915" spans="1:133" x14ac:dyDescent="0.25">
      <c r="A915" s="7">
        <v>1.5105797625336785E-3</v>
      </c>
      <c r="B915"/>
      <c r="C915"/>
      <c r="D915"/>
      <c r="E915"/>
      <c r="BZ915" s="27" t="s">
        <v>7</v>
      </c>
      <c r="CA915" s="27" t="s">
        <v>8</v>
      </c>
      <c r="CB915" s="27" t="s">
        <v>7</v>
      </c>
      <c r="CC915" s="27" t="s">
        <v>8</v>
      </c>
      <c r="CT915" s="27" t="s">
        <v>7</v>
      </c>
      <c r="DE915" s="27" t="s">
        <v>8</v>
      </c>
      <c r="DF915" s="27" t="s">
        <v>7</v>
      </c>
      <c r="DG915" s="27" t="s">
        <v>8</v>
      </c>
      <c r="DI915" s="27" t="s">
        <v>8</v>
      </c>
      <c r="DK915" s="27" t="s">
        <v>8</v>
      </c>
      <c r="DL915" s="27" t="s">
        <v>7</v>
      </c>
      <c r="DS915" s="27" t="s">
        <v>8</v>
      </c>
      <c r="DT915" s="27" t="s">
        <v>7</v>
      </c>
      <c r="DV915" s="27" t="s">
        <v>7</v>
      </c>
      <c r="DX915" s="27" t="s">
        <v>7</v>
      </c>
      <c r="DY915" s="27" t="s">
        <v>8</v>
      </c>
      <c r="EB915" s="27" t="s">
        <v>7</v>
      </c>
      <c r="EC915" s="27" t="s">
        <v>8</v>
      </c>
    </row>
    <row r="916" spans="1:133" x14ac:dyDescent="0.25">
      <c r="A916" s="7">
        <v>1.4809605515036064E-3</v>
      </c>
      <c r="B916"/>
      <c r="C916"/>
      <c r="D916"/>
      <c r="E916"/>
      <c r="BZ916" s="27" t="s">
        <v>7</v>
      </c>
      <c r="CA916" s="27" t="s">
        <v>8</v>
      </c>
      <c r="CB916" s="27" t="s">
        <v>7</v>
      </c>
      <c r="CC916" s="27" t="s">
        <v>8</v>
      </c>
      <c r="CT916" s="27" t="s">
        <v>7</v>
      </c>
      <c r="DE916" s="27" t="s">
        <v>8</v>
      </c>
      <c r="DF916" s="27" t="s">
        <v>7</v>
      </c>
      <c r="DG916" s="27" t="s">
        <v>8</v>
      </c>
      <c r="DH916" s="27" t="s">
        <v>7</v>
      </c>
      <c r="DI916" s="27" t="s">
        <v>8</v>
      </c>
      <c r="DJ916" s="27" t="s">
        <v>7</v>
      </c>
      <c r="DK916" s="27" t="s">
        <v>8</v>
      </c>
      <c r="DL916" s="27" t="s">
        <v>7</v>
      </c>
      <c r="DO916" s="27" t="s">
        <v>8</v>
      </c>
      <c r="DS916" s="27" t="s">
        <v>8</v>
      </c>
      <c r="DX916" s="27" t="s">
        <v>7</v>
      </c>
      <c r="EB916" s="27" t="s">
        <v>7</v>
      </c>
      <c r="EC916" s="27" t="s">
        <v>8</v>
      </c>
    </row>
    <row r="917" spans="1:133" x14ac:dyDescent="0.25">
      <c r="A917" s="7">
        <v>1.4519221093172612E-3</v>
      </c>
      <c r="B917"/>
      <c r="C917"/>
      <c r="D917"/>
      <c r="E917"/>
      <c r="BZ917" s="27" t="s">
        <v>7</v>
      </c>
      <c r="CA917" s="27" t="s">
        <v>8</v>
      </c>
      <c r="CB917" s="27" t="s">
        <v>7</v>
      </c>
      <c r="CC917" s="27" t="s">
        <v>8</v>
      </c>
      <c r="CT917" s="27" t="s">
        <v>7</v>
      </c>
      <c r="DE917" s="27" t="s">
        <v>8</v>
      </c>
      <c r="DF917" s="27" t="s">
        <v>7</v>
      </c>
      <c r="DG917" s="27" t="s">
        <v>8</v>
      </c>
      <c r="DH917" s="27" t="s">
        <v>7</v>
      </c>
      <c r="DI917" s="27" t="s">
        <v>8</v>
      </c>
      <c r="DJ917" s="27" t="s">
        <v>7</v>
      </c>
      <c r="DK917" s="27" t="s">
        <v>8</v>
      </c>
      <c r="DL917" s="27" t="s">
        <v>7</v>
      </c>
      <c r="DO917" s="27" t="s">
        <v>8</v>
      </c>
      <c r="DP917" s="27" t="s">
        <v>7</v>
      </c>
      <c r="DS917" s="27" t="s">
        <v>8</v>
      </c>
      <c r="EB917" s="27" t="s">
        <v>7</v>
      </c>
      <c r="EC917" s="27" t="s">
        <v>8</v>
      </c>
    </row>
    <row r="918" spans="1:133" x14ac:dyDescent="0.25">
      <c r="A918" s="7">
        <v>1.423453048350256E-3</v>
      </c>
      <c r="B918"/>
      <c r="C918"/>
      <c r="D918"/>
      <c r="E918"/>
      <c r="BZ918" s="27" t="s">
        <v>7</v>
      </c>
      <c r="CA918" s="27" t="s">
        <v>8</v>
      </c>
      <c r="CB918" s="27" t="s">
        <v>7</v>
      </c>
      <c r="CC918" s="27" t="s">
        <v>8</v>
      </c>
      <c r="CT918" s="27" t="s">
        <v>7</v>
      </c>
      <c r="CU918" s="27" t="s">
        <v>8</v>
      </c>
      <c r="DE918" s="27" t="s">
        <v>8</v>
      </c>
      <c r="DF918" s="27" t="s">
        <v>7</v>
      </c>
      <c r="DG918" s="27" t="s">
        <v>8</v>
      </c>
      <c r="DH918" s="27" t="s">
        <v>7</v>
      </c>
      <c r="DI918" s="27" t="s">
        <v>8</v>
      </c>
      <c r="DJ918" s="27" t="s">
        <v>7</v>
      </c>
      <c r="DL918" s="27" t="s">
        <v>7</v>
      </c>
      <c r="DO918" s="27" t="s">
        <v>8</v>
      </c>
      <c r="DP918" s="27" t="s">
        <v>7</v>
      </c>
      <c r="DS918" s="27" t="s">
        <v>8</v>
      </c>
      <c r="EB918" s="27" t="s">
        <v>7</v>
      </c>
      <c r="EC918" s="27" t="s">
        <v>8</v>
      </c>
    </row>
    <row r="919" spans="1:133" x14ac:dyDescent="0.25">
      <c r="A919" s="7">
        <v>1.3955422042649568E-3</v>
      </c>
      <c r="B919"/>
      <c r="C919"/>
      <c r="D919"/>
      <c r="E919"/>
      <c r="BZ919" s="27" t="s">
        <v>7</v>
      </c>
      <c r="CB919" s="27" t="s">
        <v>7</v>
      </c>
      <c r="CC919" s="27" t="s">
        <v>8</v>
      </c>
      <c r="CT919" s="27" t="s">
        <v>7</v>
      </c>
      <c r="CU919" s="27" t="s">
        <v>8</v>
      </c>
      <c r="CV919" s="27" t="s">
        <v>7</v>
      </c>
      <c r="DE919" s="27" t="s">
        <v>8</v>
      </c>
      <c r="DF919" s="27" t="s">
        <v>7</v>
      </c>
      <c r="DH919" s="27" t="s">
        <v>7</v>
      </c>
      <c r="DI919" s="27" t="s">
        <v>8</v>
      </c>
      <c r="DL919" s="27" t="s">
        <v>7</v>
      </c>
      <c r="DM919" s="27" t="s">
        <v>8</v>
      </c>
      <c r="DO919" s="27" t="s">
        <v>8</v>
      </c>
      <c r="DP919" s="27" t="s">
        <v>7</v>
      </c>
      <c r="DQ919" s="27" t="s">
        <v>8</v>
      </c>
      <c r="DS919" s="27" t="s">
        <v>8</v>
      </c>
      <c r="EB919" s="27" t="s">
        <v>7</v>
      </c>
    </row>
    <row r="920" spans="1:133" x14ac:dyDescent="0.25">
      <c r="A920" s="7">
        <v>1.3681786316323105E-3</v>
      </c>
      <c r="B920"/>
      <c r="C920"/>
      <c r="D920"/>
      <c r="E920"/>
      <c r="CB920" s="27" t="s">
        <v>7</v>
      </c>
      <c r="CC920" s="27" t="s">
        <v>8</v>
      </c>
      <c r="CT920" s="27" t="s">
        <v>7</v>
      </c>
      <c r="CU920" s="27" t="s">
        <v>8</v>
      </c>
      <c r="CV920" s="27" t="s">
        <v>7</v>
      </c>
      <c r="CY920" s="27" t="s">
        <v>8</v>
      </c>
      <c r="DA920" s="27" t="s">
        <v>8</v>
      </c>
      <c r="DE920" s="27" t="s">
        <v>8</v>
      </c>
      <c r="DH920" s="27" t="s">
        <v>7</v>
      </c>
      <c r="DL920" s="27" t="s">
        <v>7</v>
      </c>
      <c r="DM920" s="27" t="s">
        <v>8</v>
      </c>
      <c r="DN920" s="27" t="s">
        <v>7</v>
      </c>
      <c r="DO920" s="27" t="s">
        <v>8</v>
      </c>
      <c r="DP920" s="27" t="s">
        <v>7</v>
      </c>
      <c r="DQ920" s="27" t="s">
        <v>8</v>
      </c>
      <c r="DR920" s="27" t="s">
        <v>7</v>
      </c>
      <c r="DS920" s="27" t="s">
        <v>8</v>
      </c>
    </row>
    <row r="921" spans="1:133" x14ac:dyDescent="0.25">
      <c r="A921" s="7">
        <v>1.3413515996395203E-3</v>
      </c>
      <c r="B921"/>
      <c r="C921"/>
      <c r="D921"/>
      <c r="E921"/>
      <c r="CB921" s="27" t="s">
        <v>7</v>
      </c>
      <c r="CC921" s="27" t="s">
        <v>8</v>
      </c>
      <c r="CT921" s="27" t="s">
        <v>7</v>
      </c>
      <c r="CU921" s="27" t="s">
        <v>8</v>
      </c>
      <c r="CV921" s="27" t="s">
        <v>7</v>
      </c>
      <c r="CY921" s="27" t="s">
        <v>8</v>
      </c>
      <c r="CZ921" s="27" t="s">
        <v>7</v>
      </c>
      <c r="DA921" s="27" t="s">
        <v>8</v>
      </c>
      <c r="DB921" s="27" t="s">
        <v>7</v>
      </c>
      <c r="DE921" s="27" t="s">
        <v>8</v>
      </c>
      <c r="DL921" s="27" t="s">
        <v>7</v>
      </c>
      <c r="DM921" s="27" t="s">
        <v>8</v>
      </c>
      <c r="DN921" s="27" t="s">
        <v>7</v>
      </c>
      <c r="DO921" s="27" t="s">
        <v>8</v>
      </c>
      <c r="DP921" s="27" t="s">
        <v>7</v>
      </c>
      <c r="DQ921" s="27" t="s">
        <v>8</v>
      </c>
      <c r="DR921" s="27" t="s">
        <v>7</v>
      </c>
      <c r="DS921" s="27" t="s">
        <v>8</v>
      </c>
    </row>
    <row r="922" spans="1:133" x14ac:dyDescent="0.25">
      <c r="A922" s="7">
        <v>1.3150505878818826E-3</v>
      </c>
      <c r="B922"/>
      <c r="C922"/>
      <c r="D922"/>
      <c r="E922"/>
      <c r="CB922" s="27" t="s">
        <v>7</v>
      </c>
      <c r="CC922" s="27" t="s">
        <v>8</v>
      </c>
      <c r="CT922" s="27" t="s">
        <v>7</v>
      </c>
      <c r="CU922" s="27" t="s">
        <v>8</v>
      </c>
      <c r="CV922" s="27" t="s">
        <v>7</v>
      </c>
      <c r="CY922" s="27" t="s">
        <v>8</v>
      </c>
      <c r="CZ922" s="27" t="s">
        <v>7</v>
      </c>
      <c r="DA922" s="27" t="s">
        <v>8</v>
      </c>
      <c r="DB922" s="27" t="s">
        <v>7</v>
      </c>
      <c r="DC922" s="27" t="s">
        <v>8</v>
      </c>
      <c r="DE922" s="27" t="s">
        <v>8</v>
      </c>
      <c r="DL922" s="27" t="s">
        <v>7</v>
      </c>
      <c r="DN922" s="27" t="s">
        <v>7</v>
      </c>
      <c r="DO922" s="27" t="s">
        <v>8</v>
      </c>
      <c r="DP922" s="27" t="s">
        <v>7</v>
      </c>
      <c r="DR922" s="27" t="s">
        <v>7</v>
      </c>
      <c r="DS922" s="27" t="s">
        <v>8</v>
      </c>
    </row>
    <row r="923" spans="1:133" x14ac:dyDescent="0.25">
      <c r="A923" s="7">
        <v>1.2892652822371396E-3</v>
      </c>
      <c r="B923"/>
      <c r="C923"/>
      <c r="D923"/>
      <c r="E923"/>
      <c r="CB923" s="27" t="s">
        <v>7</v>
      </c>
      <c r="CC923" s="27" t="s">
        <v>8</v>
      </c>
      <c r="CT923" s="27" t="s">
        <v>7</v>
      </c>
      <c r="CU923" s="27" t="s">
        <v>8</v>
      </c>
      <c r="CV923" s="27" t="s">
        <v>7</v>
      </c>
      <c r="CY923" s="27" t="s">
        <v>8</v>
      </c>
      <c r="CZ923" s="27" t="s">
        <v>7</v>
      </c>
      <c r="DA923" s="27" t="s">
        <v>8</v>
      </c>
      <c r="DB923" s="27" t="s">
        <v>7</v>
      </c>
      <c r="DC923" s="27" t="s">
        <v>8</v>
      </c>
      <c r="DD923" s="27" t="s">
        <v>7</v>
      </c>
      <c r="DE923" s="27" t="s">
        <v>8</v>
      </c>
      <c r="DN923" s="27" t="s">
        <v>7</v>
      </c>
      <c r="DO923" s="27" t="s">
        <v>8</v>
      </c>
      <c r="DR923" s="27" t="s">
        <v>7</v>
      </c>
    </row>
    <row r="924" spans="1:133" x14ac:dyDescent="0.25">
      <c r="A924" s="7">
        <v>1.2639855708207251E-3</v>
      </c>
      <c r="B924"/>
      <c r="C924"/>
      <c r="D924"/>
      <c r="E924"/>
      <c r="CB924" s="27" t="s">
        <v>7</v>
      </c>
      <c r="CC924" s="27" t="s">
        <v>8</v>
      </c>
      <c r="CT924" s="27" t="s">
        <v>7</v>
      </c>
      <c r="CU924" s="27" t="s">
        <v>8</v>
      </c>
      <c r="CV924" s="27" t="s">
        <v>7</v>
      </c>
      <c r="CY924" s="27" t="s">
        <v>8</v>
      </c>
      <c r="CZ924" s="27" t="s">
        <v>7</v>
      </c>
      <c r="DA924" s="27" t="s">
        <v>8</v>
      </c>
      <c r="DB924" s="27" t="s">
        <v>7</v>
      </c>
      <c r="DC924" s="27" t="s">
        <v>8</v>
      </c>
      <c r="DD924" s="27" t="s">
        <v>7</v>
      </c>
      <c r="DE924" s="27" t="s">
        <v>8</v>
      </c>
      <c r="DN924" s="27" t="s">
        <v>7</v>
      </c>
      <c r="DO924" s="27" t="s">
        <v>8</v>
      </c>
    </row>
    <row r="925" spans="1:133" x14ac:dyDescent="0.25">
      <c r="A925" s="7">
        <v>1.2392015400203187E-3</v>
      </c>
      <c r="B925"/>
      <c r="C925"/>
      <c r="D925"/>
      <c r="E925"/>
      <c r="CB925" s="27" t="s">
        <v>7</v>
      </c>
      <c r="CC925" s="27" t="s">
        <v>8</v>
      </c>
      <c r="CT925" s="27" t="s">
        <v>7</v>
      </c>
      <c r="CU925" s="27" t="s">
        <v>8</v>
      </c>
      <c r="CV925" s="27" t="s">
        <v>7</v>
      </c>
      <c r="CY925" s="27" t="s">
        <v>8</v>
      </c>
      <c r="CZ925" s="27" t="s">
        <v>7</v>
      </c>
      <c r="DA925" s="27" t="s">
        <v>8</v>
      </c>
      <c r="DB925" s="27" t="s">
        <v>7</v>
      </c>
      <c r="DC925" s="27" t="s">
        <v>8</v>
      </c>
      <c r="DD925" s="27" t="s">
        <v>7</v>
      </c>
      <c r="DN925" s="27" t="s">
        <v>7</v>
      </c>
      <c r="DO925" s="27" t="s">
        <v>8</v>
      </c>
    </row>
    <row r="926" spans="1:133" x14ac:dyDescent="0.25">
      <c r="A926" s="7">
        <v>1.2149034706081556E-3</v>
      </c>
      <c r="B926"/>
      <c r="C926"/>
      <c r="D926"/>
      <c r="E926"/>
      <c r="CB926" s="27" t="s">
        <v>7</v>
      </c>
      <c r="CT926" s="27" t="s">
        <v>7</v>
      </c>
      <c r="CU926" s="27" t="s">
        <v>8</v>
      </c>
      <c r="CV926" s="27" t="s">
        <v>7</v>
      </c>
      <c r="CY926" s="27" t="s">
        <v>8</v>
      </c>
      <c r="CZ926" s="27" t="s">
        <v>7</v>
      </c>
      <c r="DA926" s="27" t="s">
        <v>8</v>
      </c>
      <c r="DB926" s="27" t="s">
        <v>7</v>
      </c>
      <c r="DC926" s="27" t="s">
        <v>8</v>
      </c>
      <c r="DN926" s="27" t="s">
        <v>7</v>
      </c>
      <c r="DO926" s="27" t="s">
        <v>8</v>
      </c>
    </row>
    <row r="927" spans="1:133" x14ac:dyDescent="0.25">
      <c r="A927" s="7">
        <v>1.1910818339295644E-3</v>
      </c>
      <c r="B927"/>
      <c r="C927"/>
      <c r="D927"/>
      <c r="E927"/>
      <c r="CT927" s="27" t="s">
        <v>7</v>
      </c>
      <c r="CU927" s="27" t="s">
        <v>8</v>
      </c>
      <c r="CV927" s="27" t="s">
        <v>7</v>
      </c>
      <c r="CY927" s="27" t="s">
        <v>8</v>
      </c>
      <c r="CZ927" s="27" t="s">
        <v>7</v>
      </c>
      <c r="DB927" s="27" t="s">
        <v>7</v>
      </c>
      <c r="DC927" s="27" t="s">
        <v>8</v>
      </c>
      <c r="DN927" s="27" t="s">
        <v>7</v>
      </c>
      <c r="DO927" s="27" t="s">
        <v>8</v>
      </c>
    </row>
    <row r="928" spans="1:133" x14ac:dyDescent="0.25">
      <c r="A928" s="7">
        <v>1.1677272881662395E-3</v>
      </c>
      <c r="B928"/>
      <c r="C928"/>
      <c r="D928"/>
      <c r="E928"/>
      <c r="CT928" s="27" t="s">
        <v>7</v>
      </c>
      <c r="CU928" s="27" t="s">
        <v>8</v>
      </c>
      <c r="CV928" s="27" t="s">
        <v>7</v>
      </c>
      <c r="CW928" s="27" t="s">
        <v>8</v>
      </c>
      <c r="CY928" s="27" t="s">
        <v>8</v>
      </c>
      <c r="DB928" s="27" t="s">
        <v>7</v>
      </c>
      <c r="DC928" s="27" t="s">
        <v>8</v>
      </c>
      <c r="DN928" s="27" t="s">
        <v>7</v>
      </c>
      <c r="DO928" s="27" t="s">
        <v>8</v>
      </c>
    </row>
    <row r="929" spans="1:118" x14ac:dyDescent="0.25">
      <c r="A929" s="7">
        <v>1.1448306746727837E-3</v>
      </c>
      <c r="B929"/>
      <c r="C929"/>
      <c r="D929"/>
      <c r="E929"/>
      <c r="CT929" s="27" t="s">
        <v>7</v>
      </c>
      <c r="CU929" s="27" t="s">
        <v>8</v>
      </c>
      <c r="CV929" s="27" t="s">
        <v>7</v>
      </c>
      <c r="CW929" s="27" t="s">
        <v>8</v>
      </c>
      <c r="CX929" s="27" t="s">
        <v>7</v>
      </c>
      <c r="CY929" s="27" t="s">
        <v>8</v>
      </c>
      <c r="DB929" s="27" t="s">
        <v>7</v>
      </c>
      <c r="DN929" s="27" t="s">
        <v>7</v>
      </c>
    </row>
    <row r="930" spans="1:118" x14ac:dyDescent="0.25">
      <c r="A930" s="7">
        <v>1.1223830143850821E-3</v>
      </c>
      <c r="B930"/>
      <c r="C930"/>
      <c r="D930"/>
      <c r="E930"/>
      <c r="CT930" s="27" t="s">
        <v>7</v>
      </c>
      <c r="CU930" s="27" t="s">
        <v>8</v>
      </c>
      <c r="CV930" s="27" t="s">
        <v>7</v>
      </c>
      <c r="CW930" s="27" t="s">
        <v>8</v>
      </c>
      <c r="CX930" s="27" t="s">
        <v>7</v>
      </c>
      <c r="CY930" s="27" t="s">
        <v>8</v>
      </c>
    </row>
    <row r="931" spans="1:118" x14ac:dyDescent="0.25">
      <c r="A931" s="7">
        <v>1.1003755042991001E-3</v>
      </c>
      <c r="B931"/>
      <c r="C931"/>
      <c r="D931"/>
      <c r="E931"/>
      <c r="CT931" s="27" t="s">
        <v>7</v>
      </c>
      <c r="CU931" s="27" t="s">
        <v>8</v>
      </c>
      <c r="CV931" s="27" t="s">
        <v>7</v>
      </c>
      <c r="CW931" s="27" t="s">
        <v>8</v>
      </c>
      <c r="CX931" s="27" t="s">
        <v>7</v>
      </c>
      <c r="CY931" s="27" t="s">
        <v>8</v>
      </c>
    </row>
    <row r="932" spans="1:118" x14ac:dyDescent="0.25">
      <c r="A932" s="7">
        <v>1.0787995140187257E-3</v>
      </c>
      <c r="B932"/>
      <c r="C932"/>
      <c r="D932"/>
      <c r="E932"/>
      <c r="CT932" s="27" t="s">
        <v>7</v>
      </c>
      <c r="CU932" s="27" t="s">
        <v>8</v>
      </c>
      <c r="CV932" s="27" t="s">
        <v>7</v>
      </c>
      <c r="CW932" s="27" t="s">
        <v>8</v>
      </c>
      <c r="CX932" s="27" t="s">
        <v>7</v>
      </c>
      <c r="CY932" s="27" t="s">
        <v>8</v>
      </c>
    </row>
    <row r="933" spans="1:118" x14ac:dyDescent="0.25">
      <c r="A933" s="7">
        <v>1.0576465823712996E-3</v>
      </c>
      <c r="B933"/>
      <c r="C933"/>
      <c r="D933"/>
      <c r="E933"/>
      <c r="CT933" s="27" t="s">
        <v>7</v>
      </c>
      <c r="CU933" s="27" t="s">
        <v>8</v>
      </c>
      <c r="CV933" s="27" t="s">
        <v>7</v>
      </c>
      <c r="CW933" s="27" t="s">
        <v>8</v>
      </c>
      <c r="CX933" s="27" t="s">
        <v>7</v>
      </c>
    </row>
    <row r="934" spans="1:118" x14ac:dyDescent="0.25">
      <c r="A934" s="7">
        <v>1.0369084140895094E-3</v>
      </c>
      <c r="B934"/>
      <c r="C934"/>
      <c r="D934"/>
      <c r="E934"/>
      <c r="CT934" s="27" t="s">
        <v>7</v>
      </c>
      <c r="CU934" s="27" t="s">
        <v>8</v>
      </c>
      <c r="CV934" s="27" t="s">
        <v>7</v>
      </c>
      <c r="CW934" s="27" t="s">
        <v>8</v>
      </c>
    </row>
    <row r="935" spans="1:118" x14ac:dyDescent="0.25">
      <c r="A935" s="7">
        <v>1.0165768765583426E-3</v>
      </c>
      <c r="B935"/>
      <c r="C935"/>
      <c r="D935"/>
      <c r="E935"/>
      <c r="CT935" s="27" t="s">
        <v>7</v>
      </c>
      <c r="CU935" s="27" t="s">
        <v>8</v>
      </c>
      <c r="CV935" s="27" t="s">
        <v>7</v>
      </c>
      <c r="CW935" s="27" t="s">
        <v>8</v>
      </c>
    </row>
    <row r="936" spans="1:118" x14ac:dyDescent="0.25">
      <c r="A936" s="7">
        <v>9.966439966258261E-4</v>
      </c>
      <c r="B936"/>
      <c r="C936"/>
      <c r="D936"/>
      <c r="E936"/>
      <c r="CT936" s="27" t="s">
        <v>7</v>
      </c>
      <c r="CU936" s="27" t="s">
        <v>8</v>
      </c>
      <c r="CV936" s="27" t="s">
        <v>7</v>
      </c>
      <c r="CW936" s="27" t="s">
        <v>8</v>
      </c>
    </row>
    <row r="937" spans="1:118" x14ac:dyDescent="0.25">
      <c r="CT937" s="27" t="s">
        <v>7</v>
      </c>
      <c r="CV937" s="27" t="s">
        <v>7</v>
      </c>
    </row>
  </sheetData>
  <conditionalFormatting sqref="C27">
    <cfRule type="cellIs" dxfId="90" priority="1325" operator="equal">
      <formula>$U$1</formula>
    </cfRule>
    <cfRule type="cellIs" dxfId="89" priority="1326" operator="equal">
      <formula>$S$1</formula>
    </cfRule>
  </conditionalFormatting>
  <conditionalFormatting sqref="D27">
    <cfRule type="cellIs" dxfId="88" priority="1323" operator="equal">
      <formula>$S$1</formula>
    </cfRule>
    <cfRule type="cellIs" dxfId="87" priority="1324" operator="equal">
      <formula>$U$1</formula>
    </cfRule>
  </conditionalFormatting>
  <conditionalFormatting sqref="C164">
    <cfRule type="cellIs" dxfId="86" priority="1321" operator="equal">
      <formula>$U$1</formula>
    </cfRule>
    <cfRule type="cellIs" dxfId="85" priority="1322" operator="equal">
      <formula>$S$1</formula>
    </cfRule>
  </conditionalFormatting>
  <conditionalFormatting sqref="D164">
    <cfRule type="cellIs" dxfId="84" priority="1319" operator="equal">
      <formula>$S$1</formula>
    </cfRule>
    <cfRule type="cellIs" dxfId="83" priority="1320" operator="equal">
      <formula>$U$1</formula>
    </cfRule>
  </conditionalFormatting>
  <conditionalFormatting sqref="C55">
    <cfRule type="cellIs" dxfId="82" priority="1317" operator="equal">
      <formula>$U$1</formula>
    </cfRule>
    <cfRule type="cellIs" dxfId="81" priority="1318" operator="equal">
      <formula>$S$1</formula>
    </cfRule>
  </conditionalFormatting>
  <conditionalFormatting sqref="D55">
    <cfRule type="cellIs" dxfId="80" priority="1315" operator="equal">
      <formula>$S$1</formula>
    </cfRule>
    <cfRule type="cellIs" dxfId="79" priority="1316" operator="equal">
      <formula>$U$1</formula>
    </cfRule>
  </conditionalFormatting>
  <conditionalFormatting sqref="C89">
    <cfRule type="cellIs" dxfId="78" priority="1313" operator="equal">
      <formula>$U$1</formula>
    </cfRule>
    <cfRule type="cellIs" dxfId="77" priority="1314" operator="equal">
      <formula>$S$1</formula>
    </cfRule>
  </conditionalFormatting>
  <conditionalFormatting sqref="D89">
    <cfRule type="cellIs" dxfId="76" priority="1311" operator="equal">
      <formula>$S$1</formula>
    </cfRule>
    <cfRule type="cellIs" dxfId="75" priority="1312" operator="equal">
      <formula>$U$1</formula>
    </cfRule>
  </conditionalFormatting>
  <conditionalFormatting sqref="C136">
    <cfRule type="cellIs" dxfId="74" priority="1309" operator="equal">
      <formula>$U$1</formula>
    </cfRule>
    <cfRule type="cellIs" dxfId="73" priority="1310" operator="equal">
      <formula>$S$1</formula>
    </cfRule>
  </conditionalFormatting>
  <conditionalFormatting sqref="D136">
    <cfRule type="cellIs" dxfId="72" priority="1307" operator="equal">
      <formula>$S$1</formula>
    </cfRule>
    <cfRule type="cellIs" dxfId="71" priority="1308" operator="equal">
      <formula>$U$1</formula>
    </cfRule>
  </conditionalFormatting>
  <conditionalFormatting sqref="C1">
    <cfRule type="cellIs" dxfId="70" priority="1306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80" zoomScale="90" zoomScaleNormal="90" workbookViewId="0">
      <pane xSplit="4" topLeftCell="EI1" activePane="topRight" state="frozen"/>
      <selection activeCell="A109" sqref="A109"/>
      <selection pane="topRight" activeCell="HA294" sqref="HA29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$A$293</v>
      </c>
      <c r="D111" s="1" t="str">
        <f>ADDRESS(C121-1,D121,1,1)</f>
        <v>$HA$293</v>
      </c>
      <c r="E111"/>
    </row>
    <row r="112" spans="1:5" x14ac:dyDescent="0.25">
      <c r="A112" s="30">
        <v>515.50191262726139</v>
      </c>
      <c r="C112" s="1" t="str">
        <f>ADDRESS(C121,1,1,1)</f>
        <v>$A$294</v>
      </c>
      <c r="D112" s="1" t="str">
        <f>ADDRESS(C121,D121-1,1,1)</f>
        <v>$GZ$294</v>
      </c>
      <c r="E112"/>
    </row>
    <row r="113" spans="1:5" x14ac:dyDescent="0.25">
      <c r="A113" s="30">
        <v>490.95420250215363</v>
      </c>
      <c r="C113" s="1" t="str">
        <f>ADDRESS(C121+1,1,1,1)</f>
        <v>$A$295</v>
      </c>
      <c r="D113" s="1" t="str">
        <f>ADDRESS(C121-1,D121+1,1,1)</f>
        <v>$HB$293</v>
      </c>
    </row>
    <row r="114" spans="1:5" x14ac:dyDescent="0.25">
      <c r="A114" s="30">
        <v>467.57543095443202</v>
      </c>
      <c r="C114" s="1" t="str">
        <f>ADDRESS(C121,D121,1,1)</f>
        <v>$HA$294</v>
      </c>
      <c r="D114" s="1" t="str">
        <f>ADDRESS(C121+1,D121+1,1,1)</f>
        <v>$HB$295</v>
      </c>
    </row>
    <row r="115" spans="1:5" x14ac:dyDescent="0.25">
      <c r="A115" s="30">
        <v>445.30993424231622</v>
      </c>
      <c r="C115" s="1" t="str">
        <f>ADDRESS(C121+1,D121,1,1)</f>
        <v>$HA$295</v>
      </c>
    </row>
    <row r="116" spans="1:5" x14ac:dyDescent="0.25">
      <c r="A116" s="30">
        <v>424.10469927839637</v>
      </c>
      <c r="C116" s="1">
        <f>C117-1</f>
        <v>293</v>
      </c>
    </row>
    <row r="117" spans="1:5" x14ac:dyDescent="0.25">
      <c r="A117" s="30">
        <v>403.9092374079965</v>
      </c>
      <c r="C117" s="1">
        <f>C121</f>
        <v>294</v>
      </c>
      <c r="D117" s="1">
        <f>D121</f>
        <v>209</v>
      </c>
    </row>
    <row r="118" spans="1:5" x14ac:dyDescent="0.25">
      <c r="A118" s="30">
        <v>384.6754641980919</v>
      </c>
      <c r="C118" s="1">
        <f>C117+1</f>
        <v>295</v>
      </c>
      <c r="D118" s="1">
        <f>D117+1</f>
        <v>210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294</v>
      </c>
      <c r="D121" s="19">
        <v>209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R294</v>
      </c>
      <c r="D123" s="1" t="str">
        <f>"C"&amp;D121</f>
        <v>C209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7.1742721991251604E-2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197" x14ac:dyDescent="0.25">
      <c r="A257" s="30">
        <v>0.43629668761085438</v>
      </c>
      <c r="B257"/>
      <c r="C257"/>
      <c r="D257"/>
      <c r="E257"/>
      <c r="F257" s="27" t="s">
        <v>7</v>
      </c>
    </row>
    <row r="258" spans="1:197" x14ac:dyDescent="0.25">
      <c r="A258" s="30">
        <v>0.41552065486748019</v>
      </c>
      <c r="B258"/>
      <c r="C258"/>
      <c r="D258"/>
      <c r="E258"/>
      <c r="F258" s="27" t="s">
        <v>7</v>
      </c>
    </row>
    <row r="259" spans="1:197" x14ac:dyDescent="0.25">
      <c r="A259" s="30">
        <v>0.39573395701664765</v>
      </c>
      <c r="B259"/>
      <c r="C259"/>
      <c r="D259"/>
      <c r="E259"/>
      <c r="F259" s="27" t="s">
        <v>7</v>
      </c>
    </row>
    <row r="260" spans="1:197" x14ac:dyDescent="0.25">
      <c r="A260" s="30">
        <v>0.37688948287299762</v>
      </c>
      <c r="B260"/>
      <c r="C260"/>
      <c r="D260"/>
      <c r="E260"/>
      <c r="F260" s="27" t="s">
        <v>7</v>
      </c>
    </row>
    <row r="261" spans="1:197" x14ac:dyDescent="0.25">
      <c r="A261" s="30">
        <v>0.35894236464094997</v>
      </c>
      <c r="B261"/>
      <c r="C261"/>
      <c r="D261"/>
      <c r="E261"/>
      <c r="F261" s="27" t="s">
        <v>7</v>
      </c>
    </row>
    <row r="262" spans="1:197" x14ac:dyDescent="0.25">
      <c r="A262" s="30">
        <v>0.34184987108661891</v>
      </c>
      <c r="B262"/>
      <c r="C262"/>
      <c r="D262"/>
      <c r="E262"/>
      <c r="F262" s="27" t="s">
        <v>7</v>
      </c>
    </row>
    <row r="263" spans="1:197" x14ac:dyDescent="0.25">
      <c r="A263" s="30">
        <v>0.32557130579677979</v>
      </c>
      <c r="B263"/>
      <c r="C263"/>
      <c r="D263"/>
      <c r="E263"/>
      <c r="F263" s="27" t="s">
        <v>7</v>
      </c>
    </row>
    <row r="264" spans="1:197" x14ac:dyDescent="0.25">
      <c r="A264" s="30">
        <v>0.3100679102826473</v>
      </c>
      <c r="B264"/>
      <c r="C264"/>
      <c r="D264"/>
      <c r="E264"/>
      <c r="F264" s="27" t="s">
        <v>7</v>
      </c>
    </row>
    <row r="265" spans="1:197" x14ac:dyDescent="0.25">
      <c r="A265" s="30">
        <v>0.2953027716977592</v>
      </c>
      <c r="B265"/>
      <c r="C265"/>
      <c r="D265"/>
      <c r="E265"/>
      <c r="F265" s="27" t="s">
        <v>7</v>
      </c>
    </row>
    <row r="266" spans="1:197" x14ac:dyDescent="0.25">
      <c r="A266" s="30">
        <v>0.28124073495024676</v>
      </c>
      <c r="B266"/>
      <c r="C266"/>
      <c r="D266"/>
      <c r="E266"/>
      <c r="F266" s="27" t="s">
        <v>7</v>
      </c>
    </row>
    <row r="267" spans="1:197" x14ac:dyDescent="0.25">
      <c r="A267" s="30">
        <v>0.26784831900023492</v>
      </c>
      <c r="B267"/>
      <c r="C267"/>
      <c r="D267"/>
      <c r="E267"/>
      <c r="F267" s="27" t="s">
        <v>7</v>
      </c>
    </row>
    <row r="268" spans="1:197" x14ac:dyDescent="0.25">
      <c r="A268" s="30">
        <v>0.25509363714308075</v>
      </c>
      <c r="B268"/>
      <c r="C268"/>
      <c r="D268"/>
      <c r="E268"/>
      <c r="F268" s="27" t="s">
        <v>7</v>
      </c>
    </row>
    <row r="269" spans="1:197" x14ac:dyDescent="0.25">
      <c r="A269" s="30">
        <v>0.24294632108864825</v>
      </c>
      <c r="B269"/>
      <c r="C269"/>
      <c r="D269"/>
      <c r="E269"/>
      <c r="F269" s="27" t="s">
        <v>7</v>
      </c>
    </row>
    <row r="270" spans="1:197" x14ac:dyDescent="0.25">
      <c r="A270" s="30">
        <v>0.23137744865585538</v>
      </c>
      <c r="B270"/>
      <c r="C270"/>
      <c r="D270"/>
      <c r="E270"/>
      <c r="F270" s="27" t="s">
        <v>7</v>
      </c>
    </row>
    <row r="271" spans="1:197" x14ac:dyDescent="0.25">
      <c r="A271" s="30">
        <v>0.22035947491033836</v>
      </c>
      <c r="B271"/>
      <c r="C271"/>
      <c r="D271"/>
      <c r="E271"/>
      <c r="F271" s="27" t="s">
        <v>7</v>
      </c>
    </row>
    <row r="272" spans="1:197" x14ac:dyDescent="0.25">
      <c r="A272" s="30">
        <v>0.20986616658127455</v>
      </c>
      <c r="B272"/>
      <c r="C272"/>
      <c r="D272"/>
      <c r="E272"/>
      <c r="F272" s="27" t="s">
        <v>7</v>
      </c>
      <c r="EM272" s="27" t="s">
        <v>8</v>
      </c>
      <c r="GO272" s="27" t="s">
        <v>8</v>
      </c>
    </row>
    <row r="273" spans="1:207" x14ac:dyDescent="0.25">
      <c r="A273" s="30">
        <v>0.19987253960121379</v>
      </c>
      <c r="B273"/>
      <c r="C273"/>
      <c r="D273"/>
      <c r="E273"/>
      <c r="F273" s="27" t="s">
        <v>7</v>
      </c>
      <c r="EM273" s="27" t="s">
        <v>8</v>
      </c>
      <c r="EN273" s="27" t="s">
        <v>7</v>
      </c>
      <c r="EQ273" s="27" t="s">
        <v>8</v>
      </c>
      <c r="GO273" s="27" t="s">
        <v>8</v>
      </c>
      <c r="GP273" s="27" t="s">
        <v>7</v>
      </c>
    </row>
    <row r="274" spans="1:207" x14ac:dyDescent="0.25">
      <c r="A274" s="30">
        <v>0.19035479962020352</v>
      </c>
      <c r="B274"/>
      <c r="C274"/>
      <c r="D274"/>
      <c r="E274"/>
      <c r="F274" s="27" t="s">
        <v>7</v>
      </c>
      <c r="EM274" s="27" t="s">
        <v>8</v>
      </c>
      <c r="EN274" s="27" t="s">
        <v>7</v>
      </c>
      <c r="EQ274" s="27" t="s">
        <v>8</v>
      </c>
      <c r="ER274" s="27" t="s">
        <v>7</v>
      </c>
      <c r="GO274" s="27" t="s">
        <v>8</v>
      </c>
      <c r="GP274" s="27" t="s">
        <v>7</v>
      </c>
    </row>
    <row r="275" spans="1:207" x14ac:dyDescent="0.25">
      <c r="A275" s="30">
        <v>0.18129028535257471</v>
      </c>
      <c r="B275"/>
      <c r="C275"/>
      <c r="D275"/>
      <c r="E275"/>
      <c r="F275" s="27" t="s">
        <v>7</v>
      </c>
      <c r="EM275" s="27" t="s">
        <v>8</v>
      </c>
      <c r="EN275" s="27" t="s">
        <v>7</v>
      </c>
      <c r="EO275" s="27" t="s">
        <v>8</v>
      </c>
      <c r="EQ275" s="27" t="s">
        <v>8</v>
      </c>
      <c r="ER275" s="27" t="s">
        <v>7</v>
      </c>
      <c r="EU275" s="32" t="s">
        <v>8</v>
      </c>
      <c r="EW275" s="32" t="s">
        <v>8</v>
      </c>
      <c r="GG275" s="27" t="s">
        <v>8</v>
      </c>
      <c r="GO275" s="27" t="s">
        <v>8</v>
      </c>
      <c r="GP275" s="27" t="s">
        <v>7</v>
      </c>
    </row>
    <row r="276" spans="1:207" x14ac:dyDescent="0.25">
      <c r="A276" s="30">
        <v>0.17265741462149967</v>
      </c>
      <c r="B276"/>
      <c r="C276"/>
      <c r="D276"/>
      <c r="E276"/>
      <c r="F276" s="27" t="s">
        <v>7</v>
      </c>
      <c r="EM276" s="27" t="s">
        <v>8</v>
      </c>
      <c r="EN276" s="27" t="s">
        <v>7</v>
      </c>
      <c r="EO276" s="27" t="s">
        <v>8</v>
      </c>
      <c r="EP276" s="27" t="s">
        <v>7</v>
      </c>
      <c r="EQ276" s="27" t="s">
        <v>8</v>
      </c>
      <c r="ER276" s="27" t="s">
        <v>7</v>
      </c>
      <c r="EU276" s="27" t="s">
        <v>8</v>
      </c>
      <c r="EV276" s="27" t="s">
        <v>7</v>
      </c>
      <c r="EW276" s="27" t="s">
        <v>8</v>
      </c>
      <c r="EX276" s="27" t="s">
        <v>7</v>
      </c>
      <c r="GG276" s="27" t="s">
        <v>8</v>
      </c>
      <c r="GH276" s="27" t="s">
        <v>7</v>
      </c>
      <c r="GO276" s="27" t="s">
        <v>8</v>
      </c>
      <c r="GP276" s="27" t="s">
        <v>7</v>
      </c>
    </row>
    <row r="277" spans="1:207" x14ac:dyDescent="0.25">
      <c r="A277" s="30">
        <v>0.16443563297285677</v>
      </c>
      <c r="B277"/>
      <c r="C277"/>
      <c r="D277"/>
      <c r="E277"/>
      <c r="F277" s="27" t="s">
        <v>7</v>
      </c>
      <c r="EM277" s="27" t="s">
        <v>8</v>
      </c>
      <c r="EN277" s="27" t="s">
        <v>7</v>
      </c>
      <c r="EO277" s="27" t="s">
        <v>8</v>
      </c>
      <c r="EP277" s="27" t="s">
        <v>7</v>
      </c>
      <c r="EQ277" s="27" t="s">
        <v>8</v>
      </c>
      <c r="ER277" s="27" t="s">
        <v>7</v>
      </c>
      <c r="EU277" s="33" t="s">
        <v>8</v>
      </c>
      <c r="EV277" s="27" t="s">
        <v>7</v>
      </c>
      <c r="EW277" s="27" t="s">
        <v>8</v>
      </c>
      <c r="EX277" s="27" t="s">
        <v>7</v>
      </c>
      <c r="GG277" s="27" t="s">
        <v>8</v>
      </c>
      <c r="GH277" s="27" t="s">
        <v>7</v>
      </c>
      <c r="GO277" s="27" t="s">
        <v>8</v>
      </c>
      <c r="GP277" s="27" t="s">
        <v>7</v>
      </c>
    </row>
    <row r="278" spans="1:207" x14ac:dyDescent="0.25">
      <c r="A278" s="30">
        <v>0.15660536473605399</v>
      </c>
      <c r="B278"/>
      <c r="C278"/>
      <c r="D278"/>
      <c r="E278"/>
      <c r="F278" s="27" t="s">
        <v>7</v>
      </c>
      <c r="EM278" s="27" t="s">
        <v>8</v>
      </c>
      <c r="EN278" s="27" t="s">
        <v>7</v>
      </c>
      <c r="EO278" s="27" t="s">
        <v>8</v>
      </c>
      <c r="EP278" s="27" t="s">
        <v>7</v>
      </c>
      <c r="EQ278" s="27" t="s">
        <v>8</v>
      </c>
      <c r="ER278" s="27" t="s">
        <v>7</v>
      </c>
      <c r="ES278" s="27" t="s">
        <v>8</v>
      </c>
      <c r="EU278" s="27" t="s">
        <v>8</v>
      </c>
      <c r="EV278" s="27" t="s">
        <v>7</v>
      </c>
      <c r="EX278" s="27" t="s">
        <v>7</v>
      </c>
      <c r="FA278" s="31" t="s">
        <v>8</v>
      </c>
      <c r="GG278" s="27" t="s">
        <v>8</v>
      </c>
      <c r="GH278" s="27" t="s">
        <v>7</v>
      </c>
      <c r="GI278" s="27" t="s">
        <v>8</v>
      </c>
      <c r="GK278" s="27" t="s">
        <v>8</v>
      </c>
      <c r="GO278" s="27" t="s">
        <v>8</v>
      </c>
      <c r="GP278" s="27" t="s">
        <v>7</v>
      </c>
    </row>
    <row r="279" spans="1:207" x14ac:dyDescent="0.25">
      <c r="A279" s="30">
        <v>0.14914796641528946</v>
      </c>
      <c r="B279"/>
      <c r="C279"/>
      <c r="D279"/>
      <c r="E279"/>
      <c r="F279" s="27" t="s">
        <v>7</v>
      </c>
      <c r="EM279" s="27" t="s">
        <v>8</v>
      </c>
      <c r="EN279" s="27" t="s">
        <v>7</v>
      </c>
      <c r="EP279" s="27" t="s">
        <v>7</v>
      </c>
      <c r="EQ279" s="27" t="s">
        <v>8</v>
      </c>
      <c r="ER279" s="27" t="s">
        <v>7</v>
      </c>
      <c r="ES279" s="27" t="s">
        <v>8</v>
      </c>
      <c r="ET279" s="27" t="s">
        <v>7</v>
      </c>
      <c r="EU279" s="27" t="s">
        <v>8</v>
      </c>
      <c r="EX279" s="27" t="s">
        <v>7</v>
      </c>
      <c r="EY279" s="27" t="s">
        <v>8</v>
      </c>
      <c r="FA279" s="27" t="s">
        <v>8</v>
      </c>
      <c r="FB279" s="31" t="s">
        <v>7</v>
      </c>
      <c r="GG279" s="27" t="s">
        <v>8</v>
      </c>
      <c r="GH279" s="27" t="s">
        <v>7</v>
      </c>
      <c r="GI279" s="27" t="s">
        <v>8</v>
      </c>
      <c r="GJ279" s="27" t="s">
        <v>7</v>
      </c>
      <c r="GK279" s="27" t="s">
        <v>8</v>
      </c>
      <c r="GL279" s="27" t="s">
        <v>7</v>
      </c>
      <c r="GO279" s="27" t="s">
        <v>8</v>
      </c>
      <c r="GP279" s="27" t="s">
        <v>7</v>
      </c>
    </row>
    <row r="280" spans="1:207" x14ac:dyDescent="0.25">
      <c r="A280" s="30">
        <v>0.14204568230027562</v>
      </c>
      <c r="B280"/>
      <c r="C280"/>
      <c r="D280"/>
      <c r="E280"/>
      <c r="F280" s="27" t="s">
        <v>7</v>
      </c>
      <c r="EM280" s="27" t="s">
        <v>8</v>
      </c>
      <c r="EP280" s="34" t="s">
        <v>7</v>
      </c>
      <c r="EQ280" s="27" t="s">
        <v>8</v>
      </c>
      <c r="ER280" s="27" t="s">
        <v>7</v>
      </c>
      <c r="ES280" s="27" t="s">
        <v>8</v>
      </c>
      <c r="ET280" s="27" t="s">
        <v>7</v>
      </c>
      <c r="EU280" s="27" t="s">
        <v>8</v>
      </c>
      <c r="EX280" s="27" t="s">
        <v>7</v>
      </c>
      <c r="EY280" s="27" t="s">
        <v>8</v>
      </c>
      <c r="EZ280" s="27" t="s">
        <v>7</v>
      </c>
      <c r="FA280" s="27" t="s">
        <v>8</v>
      </c>
      <c r="FB280" s="27" t="s">
        <v>7</v>
      </c>
      <c r="FC280" s="31" t="s">
        <v>8</v>
      </c>
      <c r="GG280" s="27" t="s">
        <v>8</v>
      </c>
      <c r="GH280" s="27" t="s">
        <v>7</v>
      </c>
      <c r="GI280" s="27" t="s">
        <v>8</v>
      </c>
      <c r="GJ280" s="27" t="s">
        <v>7</v>
      </c>
      <c r="GK280" s="27" t="s">
        <v>8</v>
      </c>
      <c r="GL280" s="27" t="s">
        <v>7</v>
      </c>
      <c r="GM280" s="27" t="s">
        <v>8</v>
      </c>
      <c r="GO280" s="27" t="s">
        <v>8</v>
      </c>
      <c r="GP280" s="27" t="s">
        <v>7</v>
      </c>
    </row>
    <row r="281" spans="1:207" x14ac:dyDescent="0.25">
      <c r="A281" s="30">
        <v>0.13528160219073862</v>
      </c>
      <c r="B281"/>
      <c r="C281"/>
      <c r="D281"/>
      <c r="E281"/>
      <c r="F281" s="27" t="s">
        <v>7</v>
      </c>
      <c r="EM281" s="27" t="s">
        <v>8</v>
      </c>
      <c r="EP281" s="27" t="s">
        <v>7</v>
      </c>
      <c r="EQ281" s="27" t="s">
        <v>8</v>
      </c>
      <c r="ER281" s="27" t="s">
        <v>7</v>
      </c>
      <c r="ET281" s="27" t="s">
        <v>7</v>
      </c>
      <c r="EU281" s="27" t="s">
        <v>8</v>
      </c>
      <c r="EX281" s="27" t="s">
        <v>7</v>
      </c>
      <c r="EY281" s="27" t="s">
        <v>8</v>
      </c>
      <c r="EZ281" s="27" t="s">
        <v>7</v>
      </c>
      <c r="FA281" s="27" t="s">
        <v>8</v>
      </c>
      <c r="FB281" s="27" t="s">
        <v>7</v>
      </c>
      <c r="FC281" s="27" t="s">
        <v>8</v>
      </c>
      <c r="FD281" s="31" t="s">
        <v>7</v>
      </c>
      <c r="GG281" s="27" t="s">
        <v>8</v>
      </c>
      <c r="GH281" s="27" t="s">
        <v>7</v>
      </c>
      <c r="GI281" s="27" t="s">
        <v>8</v>
      </c>
      <c r="GJ281" s="27" t="s">
        <v>7</v>
      </c>
      <c r="GK281" s="27" t="s">
        <v>8</v>
      </c>
      <c r="GL281" s="27" t="s">
        <v>7</v>
      </c>
      <c r="GM281" s="27" t="s">
        <v>8</v>
      </c>
      <c r="GN281" s="27" t="s">
        <v>7</v>
      </c>
      <c r="GO281" s="27" t="s">
        <v>8</v>
      </c>
      <c r="GP281" s="27" t="s">
        <v>7</v>
      </c>
    </row>
    <row r="282" spans="1:207" x14ac:dyDescent="0.25">
      <c r="A282" s="30">
        <v>0.12883962113403674</v>
      </c>
      <c r="B282"/>
      <c r="C282"/>
      <c r="D282"/>
      <c r="E282"/>
      <c r="F282" s="27" t="s">
        <v>7</v>
      </c>
      <c r="EM282" s="27" t="s">
        <v>8</v>
      </c>
      <c r="EP282" s="27" t="s">
        <v>7</v>
      </c>
      <c r="EQ282" s="27" t="s">
        <v>8</v>
      </c>
      <c r="ET282" s="27" t="s">
        <v>7</v>
      </c>
      <c r="EU282" s="27" t="s">
        <v>8</v>
      </c>
      <c r="EX282" s="32" t="s">
        <v>7</v>
      </c>
      <c r="EZ282" s="32" t="s">
        <v>7</v>
      </c>
      <c r="FB282" s="27" t="s">
        <v>7</v>
      </c>
      <c r="FC282" s="27" t="s">
        <v>8</v>
      </c>
      <c r="FD282" s="27" t="s">
        <v>7</v>
      </c>
      <c r="FE282" s="31"/>
      <c r="FW282" s="27" t="s">
        <v>8</v>
      </c>
      <c r="GG282" s="27" t="s">
        <v>8</v>
      </c>
      <c r="GH282" s="27" t="s">
        <v>7</v>
      </c>
      <c r="GI282" s="27" t="s">
        <v>8</v>
      </c>
      <c r="GJ282" s="27" t="s">
        <v>7</v>
      </c>
      <c r="GK282" s="27" t="s">
        <v>8</v>
      </c>
      <c r="GL282" s="27" t="s">
        <v>7</v>
      </c>
      <c r="GM282" s="27" t="s">
        <v>8</v>
      </c>
      <c r="GN282" s="27" t="s">
        <v>7</v>
      </c>
      <c r="GO282" s="27" t="s">
        <v>8</v>
      </c>
      <c r="GP282" s="27" t="s">
        <v>7</v>
      </c>
    </row>
    <row r="283" spans="1:207" x14ac:dyDescent="0.25">
      <c r="A283" s="30">
        <v>0.12270440108003494</v>
      </c>
      <c r="B283"/>
      <c r="C283"/>
      <c r="D283"/>
      <c r="E283"/>
      <c r="F283" s="27" t="s">
        <v>7</v>
      </c>
      <c r="EM283" s="27" t="s">
        <v>8</v>
      </c>
      <c r="EP283" s="27" t="s">
        <v>7</v>
      </c>
      <c r="ET283" s="27" t="s">
        <v>7</v>
      </c>
      <c r="EU283" s="27" t="s">
        <v>8</v>
      </c>
      <c r="FB283" s="34" t="s">
        <v>7</v>
      </c>
      <c r="FC283" s="27" t="s">
        <v>8</v>
      </c>
      <c r="FD283" s="27" t="s">
        <v>7</v>
      </c>
      <c r="FF283" s="31"/>
      <c r="FW283" s="27" t="s">
        <v>8</v>
      </c>
      <c r="FX283" s="27" t="s">
        <v>7</v>
      </c>
      <c r="GG283" s="27" t="s">
        <v>8</v>
      </c>
      <c r="GH283" s="27" t="s">
        <v>7</v>
      </c>
      <c r="GI283" s="27" t="s">
        <v>8</v>
      </c>
      <c r="GJ283" s="27" t="s">
        <v>7</v>
      </c>
      <c r="GK283" s="27" t="s">
        <v>8</v>
      </c>
      <c r="GL283" s="27" t="s">
        <v>7</v>
      </c>
      <c r="GM283" s="27" t="s">
        <v>8</v>
      </c>
      <c r="GN283" s="27" t="s">
        <v>7</v>
      </c>
      <c r="GO283" s="27" t="s">
        <v>8</v>
      </c>
      <c r="GP283" s="27" t="s">
        <v>7</v>
      </c>
      <c r="GS283" s="27" t="s">
        <v>8</v>
      </c>
    </row>
    <row r="284" spans="1:207" x14ac:dyDescent="0.25">
      <c r="A284" s="30">
        <v>0.11686133436193799</v>
      </c>
      <c r="B284"/>
      <c r="C284"/>
      <c r="D284"/>
      <c r="E284"/>
      <c r="F284" s="27" t="s">
        <v>7</v>
      </c>
      <c r="EK284" s="27" t="s">
        <v>8</v>
      </c>
      <c r="EM284" s="27" t="s">
        <v>8</v>
      </c>
      <c r="ET284" s="27" t="s">
        <v>7</v>
      </c>
      <c r="EU284" s="27" t="s">
        <v>8</v>
      </c>
      <c r="FB284" s="27" t="s">
        <v>7</v>
      </c>
      <c r="FC284" s="27" t="s">
        <v>8</v>
      </c>
      <c r="FD284" s="27" t="s">
        <v>7</v>
      </c>
      <c r="FG284" s="31"/>
      <c r="FU284" s="27" t="s">
        <v>8</v>
      </c>
      <c r="FW284" s="27" t="s">
        <v>8</v>
      </c>
      <c r="FX284" s="27" t="s">
        <v>7</v>
      </c>
      <c r="GG284" s="27" t="s">
        <v>8</v>
      </c>
      <c r="GH284" s="27" t="s">
        <v>7</v>
      </c>
      <c r="GI284" s="27" t="s">
        <v>8</v>
      </c>
      <c r="GJ284" s="27" t="s">
        <v>7</v>
      </c>
      <c r="GK284" s="27" t="s">
        <v>8</v>
      </c>
      <c r="GL284" s="27" t="s">
        <v>7</v>
      </c>
      <c r="GN284" s="27" t="s">
        <v>7</v>
      </c>
      <c r="GP284" s="27" t="s">
        <v>7</v>
      </c>
      <c r="GQ284" s="27" t="s">
        <v>8</v>
      </c>
      <c r="GS284" s="27" t="s">
        <v>8</v>
      </c>
      <c r="GT284" s="27" t="s">
        <v>7</v>
      </c>
      <c r="GU284" s="27" t="s">
        <v>8</v>
      </c>
      <c r="GW284" s="27" t="s">
        <v>8</v>
      </c>
    </row>
    <row r="285" spans="1:207" x14ac:dyDescent="0.25">
      <c r="A285" s="30">
        <v>0.11129650891613138</v>
      </c>
      <c r="B285"/>
      <c r="C285"/>
      <c r="D285"/>
      <c r="E285"/>
      <c r="F285" s="27" t="s">
        <v>7</v>
      </c>
      <c r="EK285" s="27" t="s">
        <v>8</v>
      </c>
      <c r="EL285" s="27" t="s">
        <v>7</v>
      </c>
      <c r="EM285" s="27" t="s">
        <v>8</v>
      </c>
      <c r="ET285" s="27" t="s">
        <v>7</v>
      </c>
      <c r="EU285" s="27" t="s">
        <v>8</v>
      </c>
      <c r="FB285" s="27" t="s">
        <v>7</v>
      </c>
      <c r="FC285" s="27" t="s">
        <v>8</v>
      </c>
      <c r="FD285" s="27" t="s">
        <v>7</v>
      </c>
      <c r="FE285" s="35" t="s">
        <v>8</v>
      </c>
      <c r="FG285" s="35" t="s">
        <v>8</v>
      </c>
      <c r="FH285" s="31"/>
      <c r="FS285" s="27" t="s">
        <v>8</v>
      </c>
      <c r="FU285" s="27" t="s">
        <v>8</v>
      </c>
      <c r="FV285" s="27" t="s">
        <v>7</v>
      </c>
      <c r="FW285" s="27" t="s">
        <v>8</v>
      </c>
      <c r="FX285" s="27" t="s">
        <v>7</v>
      </c>
      <c r="GE285" s="27" t="s">
        <v>8</v>
      </c>
      <c r="GG285" s="27" t="s">
        <v>8</v>
      </c>
      <c r="GH285" s="27" t="s">
        <v>7</v>
      </c>
      <c r="GJ285" s="27" t="s">
        <v>7</v>
      </c>
      <c r="GP285" s="27" t="s">
        <v>7</v>
      </c>
      <c r="GQ285" s="27" t="s">
        <v>8</v>
      </c>
      <c r="GR285" s="27" t="s">
        <v>7</v>
      </c>
      <c r="GS285" s="27" t="s">
        <v>8</v>
      </c>
      <c r="GT285" s="27" t="s">
        <v>7</v>
      </c>
      <c r="GU285" s="27" t="s">
        <v>8</v>
      </c>
      <c r="GV285" s="27" t="s">
        <v>7</v>
      </c>
      <c r="GW285" s="27" t="s">
        <v>8</v>
      </c>
      <c r="GX285" s="27" t="s">
        <v>7</v>
      </c>
    </row>
    <row r="286" spans="1:207" x14ac:dyDescent="0.25">
      <c r="A286" s="30">
        <v>0.10599667515822032</v>
      </c>
      <c r="B286"/>
      <c r="C286"/>
      <c r="D286"/>
      <c r="E286"/>
      <c r="F286" s="27" t="s">
        <v>7</v>
      </c>
      <c r="EK286" s="27" t="s">
        <v>8</v>
      </c>
      <c r="EL286" s="27" t="s">
        <v>7</v>
      </c>
      <c r="EM286" s="27" t="s">
        <v>8</v>
      </c>
      <c r="ET286" s="27" t="s">
        <v>7</v>
      </c>
      <c r="FB286" s="27" t="s">
        <v>7</v>
      </c>
      <c r="FC286" s="27" t="s">
        <v>8</v>
      </c>
      <c r="FD286" s="27" t="s">
        <v>7</v>
      </c>
      <c r="FE286" s="27" t="s">
        <v>8</v>
      </c>
      <c r="FF286" s="27" t="s">
        <v>7</v>
      </c>
      <c r="FG286" s="27" t="s">
        <v>8</v>
      </c>
      <c r="FH286" s="27" t="s">
        <v>7</v>
      </c>
      <c r="FI286" s="31"/>
      <c r="FO286" s="27" t="s">
        <v>8</v>
      </c>
      <c r="FQ286" s="27" t="s">
        <v>8</v>
      </c>
      <c r="FS286" s="27" t="s">
        <v>8</v>
      </c>
      <c r="FT286" s="27" t="s">
        <v>7</v>
      </c>
      <c r="FU286" s="27" t="s">
        <v>8</v>
      </c>
      <c r="FV286" s="27" t="s">
        <v>7</v>
      </c>
      <c r="FW286" s="27" t="s">
        <v>8</v>
      </c>
      <c r="FX286" s="27" t="s">
        <v>7</v>
      </c>
      <c r="GE286" s="27" t="s">
        <v>8</v>
      </c>
      <c r="GF286" s="27" t="s">
        <v>7</v>
      </c>
      <c r="GG286" s="27" t="s">
        <v>8</v>
      </c>
      <c r="GP286" s="27" t="s">
        <v>7</v>
      </c>
      <c r="GQ286" s="27" t="s">
        <v>8</v>
      </c>
      <c r="GR286" s="27" t="s">
        <v>7</v>
      </c>
      <c r="GS286" s="27" t="s">
        <v>8</v>
      </c>
      <c r="GT286" s="27" t="s">
        <v>7</v>
      </c>
      <c r="GU286" s="27" t="s">
        <v>8</v>
      </c>
      <c r="GV286" s="27" t="s">
        <v>7</v>
      </c>
      <c r="GW286" s="27" t="s">
        <v>8</v>
      </c>
      <c r="GX286" s="27" t="s">
        <v>7</v>
      </c>
    </row>
    <row r="287" spans="1:207" x14ac:dyDescent="0.25">
      <c r="A287" s="30">
        <v>0.10094921443640027</v>
      </c>
      <c r="B287"/>
      <c r="C287"/>
      <c r="D287"/>
      <c r="E287"/>
      <c r="F287" s="27" t="s">
        <v>7</v>
      </c>
      <c r="EK287" s="27" t="s">
        <v>8</v>
      </c>
      <c r="EL287" s="27" t="s">
        <v>7</v>
      </c>
      <c r="EM287" s="27" t="s">
        <v>8</v>
      </c>
      <c r="FB287" s="27" t="s">
        <v>7</v>
      </c>
      <c r="FC287" s="27" t="s">
        <v>8</v>
      </c>
      <c r="FD287" s="27" t="s">
        <v>7</v>
      </c>
      <c r="FE287" s="27" t="s">
        <v>8</v>
      </c>
      <c r="FF287" s="27" t="s">
        <v>7</v>
      </c>
      <c r="FG287" s="27" t="s">
        <v>8</v>
      </c>
      <c r="FH287" s="27" t="s">
        <v>7</v>
      </c>
      <c r="FJ287" s="31"/>
      <c r="FO287" s="27" t="s">
        <v>8</v>
      </c>
      <c r="FP287" s="27" t="s">
        <v>7</v>
      </c>
      <c r="FQ287" s="27" t="s">
        <v>8</v>
      </c>
      <c r="FR287" s="27" t="s">
        <v>7</v>
      </c>
      <c r="FS287" s="27" t="s">
        <v>8</v>
      </c>
      <c r="FT287" s="27" t="s">
        <v>7</v>
      </c>
      <c r="FU287" s="27" t="s">
        <v>8</v>
      </c>
      <c r="FV287" s="27" t="s">
        <v>7</v>
      </c>
      <c r="FX287" s="27" t="s">
        <v>7</v>
      </c>
      <c r="FY287" s="27" t="s">
        <v>8</v>
      </c>
      <c r="GE287" s="27" t="s">
        <v>8</v>
      </c>
      <c r="GF287" s="27" t="s">
        <v>7</v>
      </c>
      <c r="GG287" s="27" t="s">
        <v>8</v>
      </c>
      <c r="GP287" s="27" t="s">
        <v>7</v>
      </c>
      <c r="GQ287" s="27" t="s">
        <v>8</v>
      </c>
      <c r="GR287" s="27" t="s">
        <v>7</v>
      </c>
      <c r="GS287" s="27" t="s">
        <v>8</v>
      </c>
      <c r="GT287" s="27" t="s">
        <v>7</v>
      </c>
      <c r="GU287" s="27" t="s">
        <v>8</v>
      </c>
      <c r="GV287" s="27" t="s">
        <v>7</v>
      </c>
      <c r="GX287" s="27" t="s">
        <v>7</v>
      </c>
    </row>
    <row r="288" spans="1:207" x14ac:dyDescent="0.25">
      <c r="A288" s="30">
        <v>9.6142108987047836E-2</v>
      </c>
      <c r="B288"/>
      <c r="C288"/>
      <c r="D288"/>
      <c r="E288"/>
      <c r="F288" s="27" t="s">
        <v>7</v>
      </c>
      <c r="EK288" s="27" t="s">
        <v>8</v>
      </c>
      <c r="EL288" s="27" t="s">
        <v>7</v>
      </c>
      <c r="EM288" s="27" t="s">
        <v>8</v>
      </c>
      <c r="FB288" s="27" t="s">
        <v>7</v>
      </c>
      <c r="FC288" s="27" t="s">
        <v>8</v>
      </c>
      <c r="FD288" s="27" t="s">
        <v>7</v>
      </c>
      <c r="FE288" s="27" t="s">
        <v>8</v>
      </c>
      <c r="FF288" s="27" t="s">
        <v>7</v>
      </c>
      <c r="FG288" s="27" t="s">
        <v>8</v>
      </c>
      <c r="FH288" s="27" t="s">
        <v>7</v>
      </c>
      <c r="FK288" s="31"/>
      <c r="FO288" s="27" t="s">
        <v>8</v>
      </c>
      <c r="FP288" s="27" t="s">
        <v>7</v>
      </c>
      <c r="FQ288" s="27" t="s">
        <v>8</v>
      </c>
      <c r="FR288" s="27" t="s">
        <v>7</v>
      </c>
      <c r="FS288" s="27" t="s">
        <v>8</v>
      </c>
      <c r="FT288" s="27" t="s">
        <v>7</v>
      </c>
      <c r="FX288" s="27" t="s">
        <v>7</v>
      </c>
      <c r="FY288" s="27" t="s">
        <v>8</v>
      </c>
      <c r="FZ288" s="27" t="s">
        <v>7</v>
      </c>
      <c r="GC288" s="27" t="s">
        <v>8</v>
      </c>
      <c r="GE288" s="27" t="s">
        <v>8</v>
      </c>
      <c r="GF288" s="27" t="s">
        <v>7</v>
      </c>
      <c r="GG288" s="27" t="s">
        <v>8</v>
      </c>
      <c r="GP288" s="27" t="s">
        <v>7</v>
      </c>
      <c r="GQ288" s="27" t="s">
        <v>8</v>
      </c>
      <c r="GR288" s="27" t="s">
        <v>7</v>
      </c>
      <c r="GT288" s="27" t="s">
        <v>7</v>
      </c>
      <c r="GX288" s="27" t="s">
        <v>7</v>
      </c>
      <c r="GY288" s="27" t="s">
        <v>8</v>
      </c>
    </row>
    <row r="289" spans="1:209" x14ac:dyDescent="0.25">
      <c r="A289" s="30">
        <v>9.1563913320997906E-2</v>
      </c>
      <c r="B289"/>
      <c r="C289"/>
      <c r="D289"/>
      <c r="E289"/>
      <c r="F289" s="27" t="s">
        <v>7</v>
      </c>
      <c r="EK289" s="27" t="s">
        <v>8</v>
      </c>
      <c r="EL289" s="27" t="s">
        <v>7</v>
      </c>
      <c r="EM289" s="27" t="s">
        <v>8</v>
      </c>
      <c r="FB289" s="27" t="s">
        <v>7</v>
      </c>
      <c r="FC289" s="27" t="s">
        <v>8</v>
      </c>
      <c r="FD289" s="27" t="s">
        <v>7</v>
      </c>
      <c r="FE289" s="27" t="s">
        <v>8</v>
      </c>
      <c r="FF289" s="27" t="s">
        <v>7</v>
      </c>
      <c r="FH289" s="31" t="s">
        <v>7</v>
      </c>
      <c r="FL289" s="31"/>
      <c r="FO289" s="27" t="s">
        <v>8</v>
      </c>
      <c r="FP289" s="27" t="s">
        <v>7</v>
      </c>
      <c r="FR289" s="27" t="s">
        <v>7</v>
      </c>
      <c r="FX289" s="27" t="s">
        <v>7</v>
      </c>
      <c r="FY289" s="27" t="s">
        <v>8</v>
      </c>
      <c r="FZ289" s="27" t="s">
        <v>7</v>
      </c>
      <c r="GC289" s="27" t="s">
        <v>8</v>
      </c>
      <c r="GD289" s="27" t="s">
        <v>7</v>
      </c>
      <c r="GE289" s="27" t="s">
        <v>8</v>
      </c>
      <c r="GF289" s="27" t="s">
        <v>7</v>
      </c>
      <c r="GG289" s="27" t="s">
        <v>8</v>
      </c>
      <c r="GP289" s="27" t="s">
        <v>7</v>
      </c>
      <c r="GX289" s="27" t="s">
        <v>7</v>
      </c>
      <c r="GY289" s="27" t="s">
        <v>8</v>
      </c>
      <c r="GZ289" s="27" t="s">
        <v>7</v>
      </c>
    </row>
    <row r="290" spans="1:209" x14ac:dyDescent="0.25">
      <c r="A290" s="30">
        <v>8.7203726972378923E-2</v>
      </c>
      <c r="B290"/>
      <c r="C290"/>
      <c r="D290"/>
      <c r="E290"/>
      <c r="F290" s="27" t="s">
        <v>7</v>
      </c>
      <c r="EE290" s="27" t="s">
        <v>8</v>
      </c>
      <c r="EK290" s="27" t="s">
        <v>8</v>
      </c>
      <c r="EL290" s="27" t="s">
        <v>7</v>
      </c>
      <c r="EM290" s="27" t="s">
        <v>8</v>
      </c>
      <c r="FB290" s="27" t="s">
        <v>7</v>
      </c>
      <c r="FC290" s="27" t="s">
        <v>8</v>
      </c>
      <c r="FD290" s="27" t="s">
        <v>7</v>
      </c>
      <c r="FE290" s="27" t="s">
        <v>8</v>
      </c>
      <c r="FG290" s="31"/>
      <c r="FH290" s="27" t="s">
        <v>7</v>
      </c>
      <c r="FI290" s="27" t="s">
        <v>8</v>
      </c>
      <c r="FM290" s="31"/>
      <c r="FO290" s="33" t="s">
        <v>8</v>
      </c>
      <c r="FX290" s="31" t="s">
        <v>7</v>
      </c>
      <c r="FY290" s="27" t="s">
        <v>8</v>
      </c>
      <c r="FZ290" s="27" t="s">
        <v>7</v>
      </c>
      <c r="GA290" s="27" t="s">
        <v>8</v>
      </c>
      <c r="GC290" s="27" t="s">
        <v>8</v>
      </c>
      <c r="GD290" s="27" t="s">
        <v>7</v>
      </c>
      <c r="GE290" s="27" t="s">
        <v>8</v>
      </c>
      <c r="GF290" s="27" t="s">
        <v>7</v>
      </c>
      <c r="GG290" s="27" t="s">
        <v>8</v>
      </c>
      <c r="GX290" s="27" t="s">
        <v>7</v>
      </c>
      <c r="GY290" s="27" t="s">
        <v>8</v>
      </c>
      <c r="GZ290" s="27" t="s">
        <v>7</v>
      </c>
    </row>
    <row r="291" spans="1:209" x14ac:dyDescent="0.25">
      <c r="A291" s="30">
        <v>8.3051168545122747E-2</v>
      </c>
      <c r="B291"/>
      <c r="C291"/>
      <c r="D291"/>
      <c r="E291"/>
      <c r="F291" s="27" t="s">
        <v>7</v>
      </c>
      <c r="EE291" s="27" t="s">
        <v>8</v>
      </c>
      <c r="EF291" s="27" t="s">
        <v>7</v>
      </c>
      <c r="EI291" s="27" t="s">
        <v>8</v>
      </c>
      <c r="EK291" s="27" t="s">
        <v>8</v>
      </c>
      <c r="EL291" s="27" t="s">
        <v>7</v>
      </c>
      <c r="FB291" s="27" t="s">
        <v>7</v>
      </c>
      <c r="FC291" s="27" t="s">
        <v>8</v>
      </c>
      <c r="FD291" s="27" t="s">
        <v>7</v>
      </c>
      <c r="FE291" s="27" t="s">
        <v>8</v>
      </c>
      <c r="FF291" s="31"/>
      <c r="FH291" s="27" t="s">
        <v>7</v>
      </c>
      <c r="FI291" s="27" t="s">
        <v>8</v>
      </c>
      <c r="FJ291" s="27" t="s">
        <v>7</v>
      </c>
      <c r="FK291" s="32" t="s">
        <v>8</v>
      </c>
      <c r="FM291" s="32" t="s">
        <v>8</v>
      </c>
      <c r="FN291" s="31"/>
      <c r="FO291" s="27" t="s">
        <v>8</v>
      </c>
      <c r="FW291" s="31"/>
      <c r="FX291" s="27" t="s">
        <v>7</v>
      </c>
      <c r="FZ291" s="27" t="s">
        <v>7</v>
      </c>
      <c r="GA291" s="27" t="s">
        <v>8</v>
      </c>
      <c r="GB291" s="27" t="s">
        <v>7</v>
      </c>
      <c r="GC291" s="27" t="s">
        <v>8</v>
      </c>
      <c r="GD291" s="27" t="s">
        <v>7</v>
      </c>
      <c r="GF291" s="27" t="s">
        <v>7</v>
      </c>
      <c r="GX291" s="27" t="s">
        <v>7</v>
      </c>
      <c r="GZ291" s="27" t="s">
        <v>7</v>
      </c>
    </row>
    <row r="292" spans="1:209" x14ac:dyDescent="0.25">
      <c r="A292" s="30">
        <v>7.9096350995354961E-2</v>
      </c>
      <c r="B292"/>
      <c r="C292"/>
      <c r="D292"/>
      <c r="E292"/>
      <c r="F292" s="27" t="s">
        <v>7</v>
      </c>
      <c r="EE292" s="27" t="s">
        <v>8</v>
      </c>
      <c r="EF292" s="27" t="s">
        <v>7</v>
      </c>
      <c r="EG292" s="27" t="s">
        <v>8</v>
      </c>
      <c r="EI292" s="27" t="s">
        <v>8</v>
      </c>
      <c r="EJ292" s="27" t="s">
        <v>7</v>
      </c>
      <c r="EK292" s="27" t="s">
        <v>8</v>
      </c>
      <c r="FB292" s="27" t="s">
        <v>7</v>
      </c>
      <c r="FC292" s="27" t="s">
        <v>8</v>
      </c>
      <c r="FD292" s="27" t="s">
        <v>7</v>
      </c>
      <c r="FE292" s="31"/>
      <c r="FH292" s="27" t="s">
        <v>7</v>
      </c>
      <c r="FI292" s="27" t="s">
        <v>8</v>
      </c>
      <c r="FJ292" s="27" t="s">
        <v>7</v>
      </c>
      <c r="FK292" s="27" t="s">
        <v>8</v>
      </c>
      <c r="FL292" s="27" t="s">
        <v>7</v>
      </c>
      <c r="FM292" s="27" t="s">
        <v>8</v>
      </c>
      <c r="FN292" s="27" t="s">
        <v>7</v>
      </c>
      <c r="FO292" s="31" t="s">
        <v>8</v>
      </c>
      <c r="FV292" s="31"/>
      <c r="FZ292" s="27" t="s">
        <v>7</v>
      </c>
      <c r="GA292" s="27" t="s">
        <v>8</v>
      </c>
      <c r="GB292" s="27" t="s">
        <v>7</v>
      </c>
      <c r="GC292" s="27" t="s">
        <v>8</v>
      </c>
      <c r="GZ292" s="27" t="s">
        <v>7</v>
      </c>
    </row>
    <row r="293" spans="1:209" x14ac:dyDescent="0.25">
      <c r="A293" s="30">
        <v>7.5329858090814217E-2</v>
      </c>
      <c r="B293"/>
      <c r="C293"/>
      <c r="D293"/>
      <c r="E293"/>
      <c r="F293" s="27" t="s">
        <v>7</v>
      </c>
      <c r="EE293" s="27" t="s">
        <v>8</v>
      </c>
      <c r="EF293" s="27" t="s">
        <v>7</v>
      </c>
      <c r="EG293" s="27" t="s">
        <v>8</v>
      </c>
      <c r="EH293" s="27" t="s">
        <v>7</v>
      </c>
      <c r="EI293" s="27" t="s">
        <v>8</v>
      </c>
      <c r="EJ293" s="27" t="s">
        <v>7</v>
      </c>
      <c r="EK293" s="27" t="s">
        <v>8</v>
      </c>
      <c r="FB293" s="27" t="s">
        <v>7</v>
      </c>
      <c r="FC293" s="27" t="s">
        <v>8</v>
      </c>
      <c r="FD293" s="31"/>
      <c r="FH293" s="27" t="s">
        <v>7</v>
      </c>
      <c r="FJ293" s="27" t="s">
        <v>7</v>
      </c>
      <c r="FK293" s="27" t="s">
        <v>8</v>
      </c>
      <c r="FL293" s="27" t="s">
        <v>7</v>
      </c>
      <c r="FM293" s="27" t="s">
        <v>8</v>
      </c>
      <c r="FN293" s="27" t="s">
        <v>7</v>
      </c>
      <c r="FO293" s="27" t="s">
        <v>8</v>
      </c>
      <c r="FU293" s="31"/>
      <c r="FZ293" s="27" t="s">
        <v>7</v>
      </c>
      <c r="GB293" s="27" t="s">
        <v>7</v>
      </c>
      <c r="GZ293" s="27" t="s">
        <v>7</v>
      </c>
    </row>
    <row r="294" spans="1:209" x14ac:dyDescent="0.25">
      <c r="A294" s="30">
        <v>7.1742721991251604E-2</v>
      </c>
      <c r="B294"/>
      <c r="C294"/>
      <c r="D294"/>
      <c r="E294"/>
      <c r="F294" s="27" t="s">
        <v>7</v>
      </c>
      <c r="EE294" s="27" t="s">
        <v>8</v>
      </c>
      <c r="EF294" s="27" t="s">
        <v>7</v>
      </c>
      <c r="EG294" s="27" t="s">
        <v>8</v>
      </c>
      <c r="EH294" s="27" t="s">
        <v>7</v>
      </c>
      <c r="EI294" s="27" t="s">
        <v>8</v>
      </c>
      <c r="EJ294" s="27" t="s">
        <v>7</v>
      </c>
      <c r="EK294" s="27" t="s">
        <v>8</v>
      </c>
      <c r="FB294" s="27" t="s">
        <v>7</v>
      </c>
      <c r="FC294" s="31"/>
      <c r="FJ294" s="27" t="s">
        <v>7</v>
      </c>
      <c r="FK294" s="27" t="s">
        <v>8</v>
      </c>
      <c r="FL294" s="27" t="s">
        <v>7</v>
      </c>
      <c r="FM294" s="27" t="s">
        <v>8</v>
      </c>
      <c r="FN294" s="27" t="s">
        <v>7</v>
      </c>
      <c r="FO294" s="27" t="s">
        <v>8</v>
      </c>
      <c r="FT294" s="31"/>
      <c r="GZ294" s="27" t="s">
        <v>7</v>
      </c>
      <c r="HA294" s="27" t="s">
        <v>8</v>
      </c>
    </row>
    <row r="295" spans="1:209" x14ac:dyDescent="0.25">
      <c r="A295" s="30">
        <v>6.8326401896430078E-2</v>
      </c>
      <c r="B295"/>
      <c r="C295"/>
      <c r="D295"/>
      <c r="E295"/>
      <c r="F295" s="27" t="s">
        <v>7</v>
      </c>
      <c r="EE295" s="27" t="s">
        <v>8</v>
      </c>
      <c r="EF295" s="27" t="s">
        <v>7</v>
      </c>
      <c r="EG295" s="27" t="s">
        <v>8</v>
      </c>
      <c r="EH295" s="27" t="s">
        <v>7</v>
      </c>
      <c r="EI295" s="27" t="s">
        <v>8</v>
      </c>
      <c r="EJ295" s="27" t="s">
        <v>7</v>
      </c>
      <c r="FB295" s="31"/>
      <c r="FJ295" s="27" t="s">
        <v>7</v>
      </c>
      <c r="FK295" s="27" t="s">
        <v>8</v>
      </c>
      <c r="FL295" s="27" t="s">
        <v>7</v>
      </c>
      <c r="FM295" s="27" t="s">
        <v>8</v>
      </c>
      <c r="FN295" s="27" t="s">
        <v>7</v>
      </c>
      <c r="FO295" s="27" t="s">
        <v>8</v>
      </c>
      <c r="FS295" s="31"/>
      <c r="GZ295" s="27" t="s">
        <v>7</v>
      </c>
      <c r="HA295" s="27" t="s">
        <v>8</v>
      </c>
    </row>
    <row r="296" spans="1:209" x14ac:dyDescent="0.25">
      <c r="A296" s="30">
        <v>6.5072763710885759E-2</v>
      </c>
      <c r="B296"/>
      <c r="C296"/>
      <c r="D296"/>
      <c r="E296"/>
      <c r="F296" s="27" t="s">
        <v>7</v>
      </c>
      <c r="EE296" s="27" t="s">
        <v>8</v>
      </c>
      <c r="EF296" s="27" t="s">
        <v>7</v>
      </c>
      <c r="EG296" s="27" t="s">
        <v>8</v>
      </c>
      <c r="EH296" s="27" t="s">
        <v>7</v>
      </c>
      <c r="EI296" s="27" t="s">
        <v>8</v>
      </c>
      <c r="FA296" s="31"/>
      <c r="FJ296" s="27" t="s">
        <v>7</v>
      </c>
      <c r="FK296" s="27" t="s">
        <v>8</v>
      </c>
      <c r="FL296" s="27" t="s">
        <v>7</v>
      </c>
      <c r="FN296" s="27" t="s">
        <v>7</v>
      </c>
      <c r="FO296" s="27" t="s">
        <v>8</v>
      </c>
      <c r="FR296" s="31"/>
      <c r="GZ296" s="27" t="s">
        <v>7</v>
      </c>
      <c r="HA296" s="27" t="s">
        <v>8</v>
      </c>
    </row>
    <row r="297" spans="1:209" x14ac:dyDescent="0.25">
      <c r="A297" s="30">
        <v>6.197406067703403E-2</v>
      </c>
      <c r="B297"/>
      <c r="C297"/>
      <c r="D297"/>
      <c r="E297"/>
      <c r="F297" s="27" t="s">
        <v>7</v>
      </c>
      <c r="EE297" s="27" t="s">
        <v>8</v>
      </c>
      <c r="EF297" s="32" t="s">
        <v>7</v>
      </c>
      <c r="EH297" s="32" t="s">
        <v>7</v>
      </c>
      <c r="EZ297" s="31"/>
      <c r="FJ297" s="27" t="s">
        <v>7</v>
      </c>
      <c r="FK297" s="27" t="s">
        <v>8</v>
      </c>
      <c r="FN297" s="27" t="s">
        <v>7</v>
      </c>
      <c r="FO297" s="27" t="s">
        <v>8</v>
      </c>
      <c r="FQ297" s="31"/>
      <c r="GZ297" s="27" t="s">
        <v>7</v>
      </c>
      <c r="HA297" s="27" t="s">
        <v>8</v>
      </c>
    </row>
    <row r="298" spans="1:209" x14ac:dyDescent="0.25">
      <c r="A298" s="30">
        <v>5.9022914930508576E-2</v>
      </c>
      <c r="B298"/>
      <c r="C298"/>
      <c r="D298"/>
      <c r="E298"/>
      <c r="F298" s="27" t="s">
        <v>7</v>
      </c>
      <c r="EE298" s="27" t="s">
        <v>8</v>
      </c>
      <c r="EY298" s="31"/>
      <c r="FJ298" s="27" t="s">
        <v>7</v>
      </c>
      <c r="FK298" s="27" t="s">
        <v>8</v>
      </c>
      <c r="FN298" s="18" t="s">
        <v>7</v>
      </c>
      <c r="FO298" s="27" t="s">
        <v>8</v>
      </c>
      <c r="FP298" s="31"/>
      <c r="GZ298" s="27" t="s">
        <v>7</v>
      </c>
    </row>
    <row r="299" spans="1:209" x14ac:dyDescent="0.25">
      <c r="A299" s="30">
        <v>5.6212299933817669E-2</v>
      </c>
      <c r="B299"/>
      <c r="C299"/>
      <c r="D299"/>
      <c r="E299"/>
      <c r="F299" s="27" t="s">
        <v>7</v>
      </c>
      <c r="EE299" s="27" t="s">
        <v>8</v>
      </c>
      <c r="EX299" s="31"/>
      <c r="FJ299" s="27" t="s">
        <v>7</v>
      </c>
      <c r="FK299" s="27" t="s">
        <v>8</v>
      </c>
      <c r="FN299" s="27" t="s">
        <v>7</v>
      </c>
      <c r="FO299" s="31" t="s">
        <v>8</v>
      </c>
    </row>
    <row r="300" spans="1:209" x14ac:dyDescent="0.25">
      <c r="A300" s="30">
        <v>5.3535523746492994E-2</v>
      </c>
      <c r="B300"/>
      <c r="C300"/>
      <c r="D300"/>
      <c r="E300"/>
      <c r="F300" s="27" t="s">
        <v>7</v>
      </c>
      <c r="EE300" s="27" t="s">
        <v>8</v>
      </c>
      <c r="EW300" s="31"/>
      <c r="FJ300" s="27" t="s">
        <v>7</v>
      </c>
      <c r="FK300" s="27" t="s">
        <v>8</v>
      </c>
      <c r="FN300" s="31" t="s">
        <v>7</v>
      </c>
    </row>
    <row r="301" spans="1:209" x14ac:dyDescent="0.25">
      <c r="A301" s="30">
        <v>5.0986213091898068E-2</v>
      </c>
      <c r="B301"/>
      <c r="C301"/>
      <c r="D301"/>
      <c r="E301"/>
      <c r="F301" s="27" t="s">
        <v>7</v>
      </c>
      <c r="EE301" s="27" t="s">
        <v>8</v>
      </c>
      <c r="EV301" s="31"/>
      <c r="FJ301" s="27" t="s">
        <v>7</v>
      </c>
      <c r="FK301" s="27" t="s">
        <v>8</v>
      </c>
    </row>
    <row r="302" spans="1:209" x14ac:dyDescent="0.25">
      <c r="A302" s="30">
        <v>4.8558298182760043E-2</v>
      </c>
      <c r="B302"/>
      <c r="C302"/>
      <c r="D302"/>
      <c r="E302"/>
      <c r="F302" s="27" t="s">
        <v>7</v>
      </c>
      <c r="EE302" s="27" t="s">
        <v>8</v>
      </c>
      <c r="EU302" s="31"/>
      <c r="FJ302" s="27" t="s">
        <v>7</v>
      </c>
    </row>
    <row r="303" spans="1:209" x14ac:dyDescent="0.25">
      <c r="A303" s="30">
        <v>4.6245998269295263E-2</v>
      </c>
      <c r="B303"/>
      <c r="C303"/>
      <c r="D303"/>
      <c r="E303"/>
      <c r="F303" s="27" t="s">
        <v>7</v>
      </c>
      <c r="EE303" s="27" t="s">
        <v>8</v>
      </c>
      <c r="ET303" s="31"/>
    </row>
    <row r="304" spans="1:209" x14ac:dyDescent="0.25">
      <c r="A304" s="30">
        <v>4.4043807875519279E-2</v>
      </c>
      <c r="B304"/>
      <c r="C304"/>
      <c r="D304"/>
      <c r="E304"/>
      <c r="F304" s="27" t="s">
        <v>7</v>
      </c>
      <c r="EE304" s="27" t="s">
        <v>8</v>
      </c>
      <c r="ES304" s="31"/>
    </row>
    <row r="305" spans="1:148" x14ac:dyDescent="0.25">
      <c r="A305" s="30">
        <v>4.1946483690970725E-2</v>
      </c>
      <c r="B305"/>
      <c r="C305"/>
      <c r="D305"/>
      <c r="E305"/>
      <c r="F305" s="27" t="s">
        <v>7</v>
      </c>
      <c r="EE305" s="27" t="s">
        <v>8</v>
      </c>
      <c r="ER305" s="31"/>
    </row>
    <row r="306" spans="1:148" x14ac:dyDescent="0.25">
      <c r="A306" s="30">
        <v>3.9949032086638768E-2</v>
      </c>
      <c r="B306"/>
      <c r="C306"/>
      <c r="D306"/>
      <c r="E306"/>
      <c r="F306" s="27" t="s">
        <v>7</v>
      </c>
      <c r="DW306" s="27" t="s">
        <v>8</v>
      </c>
      <c r="EE306" s="27" t="s">
        <v>8</v>
      </c>
      <c r="EQ306" s="31"/>
    </row>
    <row r="307" spans="1:148" x14ac:dyDescent="0.25">
      <c r="A307" s="30">
        <v>3.8046697225370241E-2</v>
      </c>
      <c r="B307"/>
      <c r="C307"/>
      <c r="D307"/>
      <c r="E307"/>
      <c r="F307" s="27" t="s">
        <v>7</v>
      </c>
      <c r="DW307" s="27" t="s">
        <v>8</v>
      </c>
      <c r="DX307" s="27" t="s">
        <v>7</v>
      </c>
      <c r="EE307" s="33" t="s">
        <v>8</v>
      </c>
      <c r="EP307" s="31"/>
    </row>
    <row r="308" spans="1:148" x14ac:dyDescent="0.25">
      <c r="A308" s="30">
        <v>3.6234949738447833E-2</v>
      </c>
      <c r="B308"/>
      <c r="C308"/>
      <c r="D308"/>
      <c r="E308"/>
      <c r="F308" s="27" t="s">
        <v>7</v>
      </c>
      <c r="DW308" s="27" t="s">
        <v>8</v>
      </c>
      <c r="DX308" s="27" t="s">
        <v>7</v>
      </c>
      <c r="EC308" s="27" t="s">
        <v>8</v>
      </c>
      <c r="EE308" s="27" t="s">
        <v>8</v>
      </c>
      <c r="EO308" s="31"/>
    </row>
    <row r="309" spans="1:148" x14ac:dyDescent="0.25">
      <c r="A309" s="30">
        <v>3.4509475941378875E-2</v>
      </c>
      <c r="B309"/>
      <c r="C309"/>
      <c r="D309"/>
      <c r="E309"/>
      <c r="F309" s="27" t="s">
        <v>7</v>
      </c>
      <c r="DW309" s="27" t="s">
        <v>8</v>
      </c>
      <c r="DX309" s="27" t="s">
        <v>7</v>
      </c>
      <c r="EC309" s="27" t="s">
        <v>8</v>
      </c>
      <c r="ED309" s="27" t="s">
        <v>7</v>
      </c>
      <c r="EE309" s="27" t="s">
        <v>8</v>
      </c>
      <c r="EN309" s="31"/>
    </row>
    <row r="310" spans="1:148" x14ac:dyDescent="0.25">
      <c r="A310" s="30">
        <v>3.286616756321796E-2</v>
      </c>
      <c r="B310"/>
      <c r="C310"/>
      <c r="D310"/>
      <c r="E310"/>
      <c r="F310" s="27" t="s">
        <v>7</v>
      </c>
      <c r="DW310" s="27" t="s">
        <v>8</v>
      </c>
      <c r="DX310" s="27" t="s">
        <v>7</v>
      </c>
      <c r="EC310" s="27" t="s">
        <v>8</v>
      </c>
      <c r="ED310" s="27" t="s">
        <v>7</v>
      </c>
      <c r="EE310" s="27" t="s">
        <v>8</v>
      </c>
      <c r="EM310" s="31"/>
    </row>
    <row r="311" spans="1:148" x14ac:dyDescent="0.25">
      <c r="A311" s="30">
        <v>3.1301111964969472E-2</v>
      </c>
      <c r="B311"/>
      <c r="C311"/>
      <c r="D311"/>
      <c r="E311"/>
      <c r="F311" s="27" t="s">
        <v>7</v>
      </c>
      <c r="DW311" s="27" t="s">
        <v>8</v>
      </c>
      <c r="DX311" s="27" t="s">
        <v>7</v>
      </c>
      <c r="DY311" s="27" t="s">
        <v>8</v>
      </c>
      <c r="EC311" s="27" t="s">
        <v>8</v>
      </c>
      <c r="ED311" s="27" t="s">
        <v>7</v>
      </c>
      <c r="EL311" s="31"/>
    </row>
    <row r="312" spans="1:148" x14ac:dyDescent="0.25">
      <c r="A312" s="30">
        <v>2.9810582823780438E-2</v>
      </c>
      <c r="B312"/>
      <c r="C312"/>
      <c r="D312"/>
      <c r="E312"/>
      <c r="F312" s="27" t="s">
        <v>7</v>
      </c>
      <c r="DS312" s="32" t="s">
        <v>8</v>
      </c>
      <c r="DU312" s="32" t="s">
        <v>8</v>
      </c>
      <c r="DW312" s="27" t="s">
        <v>8</v>
      </c>
      <c r="DX312" s="27" t="s">
        <v>7</v>
      </c>
      <c r="DY312" s="27" t="s">
        <v>8</v>
      </c>
      <c r="DZ312" s="27" t="s">
        <v>7</v>
      </c>
      <c r="EA312" s="27" t="s">
        <v>8</v>
      </c>
      <c r="EC312" s="27" t="s">
        <v>8</v>
      </c>
      <c r="EK312" s="31"/>
    </row>
    <row r="313" spans="1:148" x14ac:dyDescent="0.25">
      <c r="A313" s="30">
        <v>2.8391031260743264E-2</v>
      </c>
      <c r="B313"/>
      <c r="C313"/>
      <c r="D313"/>
      <c r="E313"/>
      <c r="F313" s="27" t="s">
        <v>7</v>
      </c>
      <c r="DS313" s="27" t="s">
        <v>8</v>
      </c>
      <c r="DT313" s="27" t="s">
        <v>7</v>
      </c>
      <c r="DU313" s="27" t="s">
        <v>8</v>
      </c>
      <c r="DV313" s="27" t="s">
        <v>7</v>
      </c>
      <c r="DW313" s="27" t="s">
        <v>8</v>
      </c>
      <c r="DX313" s="27" t="s">
        <v>7</v>
      </c>
      <c r="DY313" s="27" t="s">
        <v>8</v>
      </c>
      <c r="DZ313" s="27" t="s">
        <v>7</v>
      </c>
      <c r="EA313" s="27" t="s">
        <v>8</v>
      </c>
      <c r="EB313" s="27" t="s">
        <v>7</v>
      </c>
      <c r="EC313" s="27" t="s">
        <v>8</v>
      </c>
      <c r="EJ313" s="31"/>
    </row>
    <row r="314" spans="1:148" x14ac:dyDescent="0.25">
      <c r="A314" s="30">
        <v>2.7039077391184052E-2</v>
      </c>
      <c r="B314"/>
      <c r="C314"/>
      <c r="D314"/>
      <c r="E314"/>
      <c r="F314" s="27" t="s">
        <v>7</v>
      </c>
      <c r="DS314" s="27" t="s">
        <v>8</v>
      </c>
      <c r="DT314" s="27" t="s">
        <v>7</v>
      </c>
      <c r="DU314" s="27" t="s">
        <v>8</v>
      </c>
      <c r="DV314" s="27" t="s">
        <v>7</v>
      </c>
      <c r="DW314" s="27" t="s">
        <v>8</v>
      </c>
      <c r="DX314" s="27" t="s">
        <v>7</v>
      </c>
      <c r="DY314" s="27" t="s">
        <v>8</v>
      </c>
      <c r="DZ314" s="27" t="s">
        <v>7</v>
      </c>
      <c r="EA314" s="27" t="s">
        <v>8</v>
      </c>
      <c r="EB314" s="27" t="s">
        <v>7</v>
      </c>
      <c r="EC314" s="27" t="s">
        <v>8</v>
      </c>
      <c r="EI314" s="31"/>
    </row>
    <row r="315" spans="1:148" x14ac:dyDescent="0.25">
      <c r="A315" s="30">
        <v>2.5751502277318133E-2</v>
      </c>
      <c r="B315"/>
      <c r="C315"/>
      <c r="D315"/>
      <c r="E315"/>
      <c r="F315" s="27" t="s">
        <v>7</v>
      </c>
      <c r="DS315" s="27" t="s">
        <v>8</v>
      </c>
      <c r="DT315" s="27" t="s">
        <v>7</v>
      </c>
      <c r="DU315" s="27" t="s">
        <v>8</v>
      </c>
      <c r="DV315" s="27" t="s">
        <v>7</v>
      </c>
      <c r="DX315" s="27" t="s">
        <v>7</v>
      </c>
      <c r="DY315" s="27" t="s">
        <v>8</v>
      </c>
      <c r="DZ315" s="27" t="s">
        <v>7</v>
      </c>
      <c r="EA315" s="27" t="s">
        <v>8</v>
      </c>
      <c r="EB315" s="27" t="s">
        <v>7</v>
      </c>
      <c r="EH315" s="31"/>
    </row>
    <row r="316" spans="1:148" x14ac:dyDescent="0.25">
      <c r="A316" s="30">
        <v>2.4525240264112496E-2</v>
      </c>
      <c r="B316"/>
      <c r="C316"/>
      <c r="D316"/>
      <c r="E316"/>
      <c r="F316" s="27" t="s">
        <v>7</v>
      </c>
      <c r="DS316" s="27" t="s">
        <v>8</v>
      </c>
      <c r="DT316" s="27" t="s">
        <v>7</v>
      </c>
      <c r="DX316" s="34" t="s">
        <v>7</v>
      </c>
      <c r="DY316" s="27" t="s">
        <v>8</v>
      </c>
      <c r="DZ316" s="27" t="s">
        <v>7</v>
      </c>
      <c r="EG316" s="31"/>
    </row>
    <row r="317" spans="1:148" x14ac:dyDescent="0.25">
      <c r="A317" s="30">
        <v>2.3357371680107129E-2</v>
      </c>
      <c r="B317"/>
      <c r="C317"/>
      <c r="D317"/>
      <c r="E317"/>
      <c r="F317" s="27" t="s">
        <v>7</v>
      </c>
      <c r="DS317" s="27" t="s">
        <v>8</v>
      </c>
      <c r="DX317" s="27" t="s">
        <v>7</v>
      </c>
      <c r="DY317" s="27" t="s">
        <v>8</v>
      </c>
      <c r="EF317" s="31"/>
    </row>
    <row r="318" spans="1:148" x14ac:dyDescent="0.25">
      <c r="A318" s="30">
        <v>2.2245115885816305E-2</v>
      </c>
      <c r="B318"/>
      <c r="C318"/>
      <c r="D318"/>
      <c r="E318"/>
      <c r="F318" s="27" t="s">
        <v>7</v>
      </c>
      <c r="DS318" s="27" t="s">
        <v>8</v>
      </c>
      <c r="DX318" s="27" t="s">
        <v>7</v>
      </c>
      <c r="DY318" s="27" t="s">
        <v>8</v>
      </c>
      <c r="EE318" s="31"/>
    </row>
    <row r="319" spans="1:148" x14ac:dyDescent="0.25">
      <c r="A319" s="30">
        <v>2.1185824653158377E-2</v>
      </c>
      <c r="B319"/>
      <c r="C319"/>
      <c r="D319"/>
      <c r="E319"/>
      <c r="F319" s="27" t="s">
        <v>7</v>
      </c>
      <c r="DS319" s="27" t="s">
        <v>8</v>
      </c>
      <c r="DX319" s="27" t="s">
        <v>7</v>
      </c>
      <c r="DY319" s="27" t="s">
        <v>8</v>
      </c>
      <c r="ED319" s="31"/>
    </row>
    <row r="320" spans="1:148" x14ac:dyDescent="0.25">
      <c r="A320" s="30">
        <v>2.0176975860150829E-2</v>
      </c>
      <c r="B320"/>
      <c r="C320"/>
      <c r="D320"/>
      <c r="E320"/>
      <c r="F320" s="27" t="s">
        <v>7</v>
      </c>
      <c r="DQ320" s="27" t="s">
        <v>8</v>
      </c>
      <c r="DS320" s="27" t="s">
        <v>8</v>
      </c>
      <c r="DX320" s="27" t="s">
        <v>7</v>
      </c>
      <c r="DY320" s="27" t="s">
        <v>8</v>
      </c>
      <c r="EC320" s="31"/>
    </row>
    <row r="321" spans="1:132" x14ac:dyDescent="0.25">
      <c r="A321" s="30">
        <v>1.9216167485857926E-2</v>
      </c>
      <c r="B321"/>
      <c r="C321"/>
      <c r="D321"/>
      <c r="E321"/>
      <c r="F321" s="27" t="s">
        <v>7</v>
      </c>
      <c r="DO321" s="27" t="s">
        <v>8</v>
      </c>
      <c r="DQ321" s="27" t="s">
        <v>8</v>
      </c>
      <c r="DR321" s="27" t="s">
        <v>7</v>
      </c>
      <c r="DS321" s="27" t="s">
        <v>8</v>
      </c>
      <c r="DX321" s="27" t="s">
        <v>7</v>
      </c>
      <c r="EB321" s="31"/>
    </row>
    <row r="322" spans="1:132" x14ac:dyDescent="0.25">
      <c r="A322" s="30">
        <v>1.8301111891293256E-2</v>
      </c>
      <c r="B322"/>
      <c r="C322"/>
      <c r="D322"/>
      <c r="E322"/>
      <c r="F322" s="27" t="s">
        <v>7</v>
      </c>
      <c r="BS322" s="27" t="s">
        <v>8</v>
      </c>
      <c r="DO322" s="27" t="s">
        <v>8</v>
      </c>
      <c r="DP322" s="27" t="s">
        <v>7</v>
      </c>
      <c r="DQ322" s="27" t="s">
        <v>8</v>
      </c>
      <c r="DR322" s="27" t="s">
        <v>7</v>
      </c>
      <c r="DS322" s="27" t="s">
        <v>8</v>
      </c>
      <c r="EA322" s="31"/>
    </row>
    <row r="323" spans="1:132" x14ac:dyDescent="0.25">
      <c r="A323" s="30">
        <v>1.7429630372660238E-2</v>
      </c>
      <c r="B323"/>
      <c r="C323"/>
      <c r="D323"/>
      <c r="E323"/>
      <c r="F323" s="27" t="s">
        <v>7</v>
      </c>
      <c r="BS323" s="27" t="s">
        <v>8</v>
      </c>
      <c r="BT323" s="27" t="s">
        <v>7</v>
      </c>
      <c r="DO323" s="27" t="s">
        <v>8</v>
      </c>
      <c r="DP323" s="27" t="s">
        <v>7</v>
      </c>
      <c r="DQ323" s="27" t="s">
        <v>8</v>
      </c>
      <c r="DR323" s="27" t="s">
        <v>7</v>
      </c>
      <c r="DZ323" s="31"/>
    </row>
    <row r="324" spans="1:132" x14ac:dyDescent="0.25">
      <c r="A324" s="30">
        <v>1.6599647973962125E-2</v>
      </c>
      <c r="B324"/>
      <c r="C324"/>
      <c r="D324"/>
      <c r="E324"/>
      <c r="F324" s="27" t="s">
        <v>7</v>
      </c>
      <c r="BS324" s="27" t="s">
        <v>8</v>
      </c>
      <c r="BT324" s="27" t="s">
        <v>7</v>
      </c>
      <c r="DO324" s="27" t="s">
        <v>8</v>
      </c>
      <c r="DP324" s="27" t="s">
        <v>7</v>
      </c>
      <c r="DQ324" s="27" t="s">
        <v>8</v>
      </c>
      <c r="DY324" s="31"/>
    </row>
    <row r="325" spans="1:132" x14ac:dyDescent="0.25">
      <c r="A325" s="30">
        <v>1.580918854663059E-2</v>
      </c>
      <c r="B325"/>
      <c r="C325"/>
      <c r="D325"/>
      <c r="E325"/>
      <c r="F325" s="27" t="s">
        <v>7</v>
      </c>
      <c r="BS325" s="27" t="s">
        <v>8</v>
      </c>
      <c r="BT325" s="27" t="s">
        <v>7</v>
      </c>
      <c r="DO325" s="27" t="s">
        <v>8</v>
      </c>
      <c r="DP325" s="27" t="s">
        <v>7</v>
      </c>
      <c r="DQ325" s="27" t="s">
        <v>8</v>
      </c>
      <c r="DX325" s="31"/>
    </row>
    <row r="326" spans="1:132" x14ac:dyDescent="0.25">
      <c r="A326" s="30">
        <v>1.5056370044410079E-2</v>
      </c>
      <c r="B326"/>
      <c r="C326"/>
      <c r="D326"/>
      <c r="E326"/>
      <c r="F326" s="27" t="s">
        <v>7</v>
      </c>
      <c r="BS326" s="27" t="s">
        <v>8</v>
      </c>
      <c r="BT326" s="27" t="s">
        <v>7</v>
      </c>
      <c r="BU326" s="27" t="s">
        <v>8</v>
      </c>
      <c r="BW326" s="27" t="s">
        <v>8</v>
      </c>
      <c r="DO326" s="27" t="s">
        <v>8</v>
      </c>
      <c r="DP326" s="27" t="s">
        <v>7</v>
      </c>
      <c r="DW326" s="31"/>
    </row>
    <row r="327" spans="1:132" x14ac:dyDescent="0.25">
      <c r="A327" s="30">
        <v>1.4339400042295308E-2</v>
      </c>
      <c r="B327"/>
      <c r="C327"/>
      <c r="D327"/>
      <c r="E327"/>
      <c r="F327" s="27" t="s">
        <v>7</v>
      </c>
      <c r="BS327" s="27" t="s">
        <v>8</v>
      </c>
      <c r="BT327" s="27" t="s">
        <v>7</v>
      </c>
      <c r="BU327" s="27" t="s">
        <v>8</v>
      </c>
      <c r="BV327" s="27" t="s">
        <v>7</v>
      </c>
      <c r="BW327" s="27" t="s">
        <v>8</v>
      </c>
      <c r="BX327" s="27" t="s">
        <v>7</v>
      </c>
      <c r="CC327" s="27" t="s">
        <v>8</v>
      </c>
      <c r="DI327" s="27" t="s">
        <v>8</v>
      </c>
      <c r="DM327" s="27" t="s">
        <v>8</v>
      </c>
      <c r="DO327" s="27" t="s">
        <v>8</v>
      </c>
      <c r="DV327" s="31"/>
    </row>
    <row r="328" spans="1:132" x14ac:dyDescent="0.25">
      <c r="A328" s="30">
        <v>1.365657146885267E-2</v>
      </c>
      <c r="B328"/>
      <c r="C328"/>
      <c r="D328"/>
      <c r="E328"/>
      <c r="F328" s="27" t="s">
        <v>7</v>
      </c>
      <c r="BS328" s="27" t="s">
        <v>8</v>
      </c>
      <c r="BT328" s="27" t="s">
        <v>7</v>
      </c>
      <c r="BU328" s="27" t="s">
        <v>8</v>
      </c>
      <c r="BV328" s="27" t="s">
        <v>7</v>
      </c>
      <c r="BW328" s="27" t="s">
        <v>8</v>
      </c>
      <c r="BX328" s="27" t="s">
        <v>7</v>
      </c>
      <c r="CA328" s="27" t="s">
        <v>8</v>
      </c>
      <c r="CC328" s="27" t="s">
        <v>8</v>
      </c>
      <c r="CD328" s="27" t="s">
        <v>7</v>
      </c>
      <c r="DI328" s="27" t="s">
        <v>8</v>
      </c>
      <c r="DJ328" s="27" t="s">
        <v>7</v>
      </c>
      <c r="DM328" s="27" t="s">
        <v>8</v>
      </c>
      <c r="DN328" s="27" t="s">
        <v>7</v>
      </c>
      <c r="DO328" s="27" t="s">
        <v>8</v>
      </c>
      <c r="DU328" s="31"/>
    </row>
    <row r="329" spans="1:132" x14ac:dyDescent="0.25">
      <c r="A329" s="30">
        <v>1.3006258541764442E-2</v>
      </c>
      <c r="B329"/>
      <c r="C329"/>
      <c r="D329"/>
      <c r="E329"/>
      <c r="F329" s="27" t="s">
        <v>7</v>
      </c>
      <c r="BS329" s="27" t="s">
        <v>8</v>
      </c>
      <c r="BT329" s="27" t="s">
        <v>7</v>
      </c>
      <c r="BU329" s="27" t="s">
        <v>8</v>
      </c>
      <c r="BV329" s="27" t="s">
        <v>7</v>
      </c>
      <c r="BX329" s="27" t="s">
        <v>7</v>
      </c>
      <c r="BY329" s="27" t="s">
        <v>8</v>
      </c>
      <c r="CA329" s="27" t="s">
        <v>8</v>
      </c>
      <c r="CB329" s="27" t="s">
        <v>7</v>
      </c>
      <c r="CC329" s="27" t="s">
        <v>8</v>
      </c>
      <c r="CD329" s="27" t="s">
        <v>7</v>
      </c>
      <c r="DI329" s="27" t="s">
        <v>8</v>
      </c>
      <c r="DJ329" s="27" t="s">
        <v>7</v>
      </c>
      <c r="DM329" s="27" t="s">
        <v>8</v>
      </c>
      <c r="DN329" s="27" t="s">
        <v>7</v>
      </c>
      <c r="DO329" s="27" t="s">
        <v>8</v>
      </c>
      <c r="DT329" s="31"/>
    </row>
    <row r="330" spans="1:132" x14ac:dyDescent="0.25">
      <c r="A330" s="30">
        <v>1.2386912896918512E-2</v>
      </c>
      <c r="B330"/>
      <c r="C330"/>
      <c r="D330"/>
      <c r="E330"/>
      <c r="F330" s="27" t="s">
        <v>7</v>
      </c>
      <c r="BS330" s="27" t="s">
        <v>8</v>
      </c>
      <c r="BT330" s="27" t="s">
        <v>7</v>
      </c>
      <c r="BX330" s="27" t="s">
        <v>7</v>
      </c>
      <c r="BY330" s="27" t="s">
        <v>8</v>
      </c>
      <c r="BZ330" s="27" t="s">
        <v>7</v>
      </c>
      <c r="CA330" s="27" t="s">
        <v>8</v>
      </c>
      <c r="CB330" s="27" t="s">
        <v>7</v>
      </c>
      <c r="CC330" s="27" t="s">
        <v>8</v>
      </c>
      <c r="CD330" s="27" t="s">
        <v>7</v>
      </c>
      <c r="DA330" s="27" t="s">
        <v>8</v>
      </c>
      <c r="DI330" s="27" t="s">
        <v>8</v>
      </c>
      <c r="DJ330" s="27" t="s">
        <v>7</v>
      </c>
      <c r="DM330" s="27" t="s">
        <v>8</v>
      </c>
      <c r="DN330" s="27" t="s">
        <v>7</v>
      </c>
      <c r="DO330" s="27" t="s">
        <v>8</v>
      </c>
      <c r="DS330" s="31"/>
    </row>
    <row r="331" spans="1:132" x14ac:dyDescent="0.25">
      <c r="A331" s="30">
        <v>1.179705990182715E-2</v>
      </c>
      <c r="B331"/>
      <c r="C331"/>
      <c r="D331"/>
      <c r="E331"/>
      <c r="F331" s="27" t="s">
        <v>7</v>
      </c>
      <c r="BS331" s="27" t="s">
        <v>8</v>
      </c>
      <c r="BX331" s="27" t="s">
        <v>7</v>
      </c>
      <c r="BY331" s="27" t="s">
        <v>8</v>
      </c>
      <c r="BZ331" s="27" t="s">
        <v>7</v>
      </c>
      <c r="CA331" s="27" t="s">
        <v>8</v>
      </c>
      <c r="CB331" s="27" t="s">
        <v>7</v>
      </c>
      <c r="CD331" s="27" t="s">
        <v>7</v>
      </c>
      <c r="CW331" s="27" t="s">
        <v>8</v>
      </c>
      <c r="DA331" s="27" t="s">
        <v>8</v>
      </c>
      <c r="DB331" s="27" t="s">
        <v>7</v>
      </c>
      <c r="DC331" s="27" t="s">
        <v>8</v>
      </c>
      <c r="DI331" s="27" t="s">
        <v>8</v>
      </c>
      <c r="DJ331" s="27" t="s">
        <v>7</v>
      </c>
      <c r="DM331" s="27" t="s">
        <v>8</v>
      </c>
      <c r="DN331" s="27" t="s">
        <v>7</v>
      </c>
      <c r="DO331" s="27" t="s">
        <v>8</v>
      </c>
      <c r="DR331" s="31"/>
    </row>
    <row r="332" spans="1:132" x14ac:dyDescent="0.25">
      <c r="A332" s="30">
        <v>1.1235295144597281E-2</v>
      </c>
      <c r="B332"/>
      <c r="C332"/>
      <c r="D332"/>
      <c r="E332"/>
      <c r="F332" s="27" t="s">
        <v>7</v>
      </c>
      <c r="BS332" s="27" t="s">
        <v>8</v>
      </c>
      <c r="BX332" s="27" t="s">
        <v>7</v>
      </c>
      <c r="BZ332" s="27" t="s">
        <v>7</v>
      </c>
      <c r="CD332" s="27" t="s">
        <v>7</v>
      </c>
      <c r="CO332" s="27" t="s">
        <v>8</v>
      </c>
      <c r="CW332" s="27" t="s">
        <v>8</v>
      </c>
      <c r="CX332" s="27" t="s">
        <v>7</v>
      </c>
      <c r="DA332" s="27" t="s">
        <v>8</v>
      </c>
      <c r="DB332" s="27" t="s">
        <v>7</v>
      </c>
      <c r="DC332" s="27" t="s">
        <v>8</v>
      </c>
      <c r="DD332" s="27" t="s">
        <v>7</v>
      </c>
      <c r="DI332" s="27" t="s">
        <v>8</v>
      </c>
      <c r="DJ332" s="27" t="s">
        <v>7</v>
      </c>
      <c r="DK332" s="27" t="s">
        <v>8</v>
      </c>
      <c r="DM332" s="27" t="s">
        <v>8</v>
      </c>
      <c r="DN332" s="27" t="s">
        <v>7</v>
      </c>
      <c r="DQ332" s="31"/>
    </row>
    <row r="333" spans="1:132" x14ac:dyDescent="0.25">
      <c r="A333" s="30">
        <v>1.0700281090092644E-2</v>
      </c>
      <c r="B333"/>
      <c r="C333"/>
      <c r="D333"/>
      <c r="E333"/>
      <c r="F333" s="27" t="s">
        <v>7</v>
      </c>
      <c r="BS333" s="27" t="s">
        <v>8</v>
      </c>
      <c r="CD333" s="27" t="s">
        <v>7</v>
      </c>
      <c r="CO333" s="27" t="s">
        <v>8</v>
      </c>
      <c r="CP333" s="27" t="s">
        <v>7</v>
      </c>
      <c r="CW333" s="27" t="s">
        <v>8</v>
      </c>
      <c r="CX333" s="27" t="s">
        <v>7</v>
      </c>
      <c r="DA333" s="27" t="s">
        <v>8</v>
      </c>
      <c r="DB333" s="27" t="s">
        <v>7</v>
      </c>
      <c r="DC333" s="27" t="s">
        <v>8</v>
      </c>
      <c r="DD333" s="27" t="s">
        <v>7</v>
      </c>
      <c r="DI333" s="27" t="s">
        <v>8</v>
      </c>
      <c r="DJ333" s="27" t="s">
        <v>7</v>
      </c>
      <c r="DK333" s="27" t="s">
        <v>8</v>
      </c>
      <c r="DL333" s="27" t="s">
        <v>7</v>
      </c>
      <c r="DM333" s="27" t="s">
        <v>8</v>
      </c>
      <c r="DP333" s="31"/>
    </row>
    <row r="334" spans="1:132" x14ac:dyDescent="0.25">
      <c r="A334" s="30">
        <v>1.0190743895326324E-2</v>
      </c>
      <c r="B334"/>
      <c r="C334"/>
      <c r="D334"/>
      <c r="E334"/>
      <c r="F334" s="27" t="s">
        <v>7</v>
      </c>
      <c r="BS334" s="27" t="s">
        <v>8</v>
      </c>
      <c r="CD334" s="27" t="s">
        <v>7</v>
      </c>
      <c r="CO334" s="27" t="s">
        <v>8</v>
      </c>
      <c r="CP334" s="27" t="s">
        <v>7</v>
      </c>
      <c r="CU334" s="27" t="s">
        <v>8</v>
      </c>
      <c r="CW334" s="27" t="s">
        <v>8</v>
      </c>
      <c r="CX334" s="27" t="s">
        <v>7</v>
      </c>
      <c r="CY334" s="27" t="s">
        <v>8</v>
      </c>
      <c r="DA334" s="27" t="s">
        <v>8</v>
      </c>
      <c r="DB334" s="27" t="s">
        <v>7</v>
      </c>
      <c r="DD334" s="27" t="s">
        <v>7</v>
      </c>
      <c r="DI334" s="33" t="s">
        <v>8</v>
      </c>
      <c r="DJ334" s="27" t="s">
        <v>7</v>
      </c>
      <c r="DK334" s="27" t="s">
        <v>8</v>
      </c>
      <c r="DL334" s="27" t="s">
        <v>7</v>
      </c>
      <c r="DM334" s="27" t="s">
        <v>8</v>
      </c>
      <c r="DO334" s="31"/>
    </row>
    <row r="335" spans="1:132" x14ac:dyDescent="0.25">
      <c r="A335" s="30">
        <v>9.7054703765012563E-3</v>
      </c>
      <c r="B335"/>
      <c r="C335"/>
      <c r="D335"/>
      <c r="E335"/>
      <c r="F335" s="27" t="s">
        <v>7</v>
      </c>
      <c r="BS335" s="27" t="s">
        <v>8</v>
      </c>
      <c r="CD335" s="27" t="s">
        <v>7</v>
      </c>
      <c r="CO335" s="27" t="s">
        <v>8</v>
      </c>
      <c r="CP335" s="27" t="s">
        <v>7</v>
      </c>
      <c r="CQ335" s="27" t="s">
        <v>8</v>
      </c>
      <c r="CU335" s="27" t="s">
        <v>8</v>
      </c>
      <c r="CV335" s="27" t="s">
        <v>7</v>
      </c>
      <c r="CW335" s="27" t="s">
        <v>8</v>
      </c>
      <c r="CX335" s="27" t="s">
        <v>7</v>
      </c>
      <c r="CY335" s="27" t="s">
        <v>8</v>
      </c>
      <c r="CZ335" s="27" t="s">
        <v>7</v>
      </c>
      <c r="DA335" s="27" t="s">
        <v>8</v>
      </c>
      <c r="DD335" s="27" t="s">
        <v>7</v>
      </c>
      <c r="DE335" s="32" t="s">
        <v>8</v>
      </c>
      <c r="DG335" s="32" t="s">
        <v>8</v>
      </c>
      <c r="DI335" s="27" t="s">
        <v>8</v>
      </c>
      <c r="DJ335" s="27" t="s">
        <v>7</v>
      </c>
      <c r="DK335" s="27" t="s">
        <v>8</v>
      </c>
      <c r="DL335" s="27" t="s">
        <v>7</v>
      </c>
      <c r="DM335" s="27" t="s">
        <v>8</v>
      </c>
      <c r="DN335" s="31"/>
    </row>
    <row r="336" spans="1:132" x14ac:dyDescent="0.25">
      <c r="A336" s="30">
        <v>9.2433051204773835E-3</v>
      </c>
      <c r="B336"/>
      <c r="C336"/>
      <c r="D336"/>
      <c r="E336"/>
      <c r="F336" s="27" t="s">
        <v>7</v>
      </c>
      <c r="BS336" s="27" t="s">
        <v>8</v>
      </c>
      <c r="CD336" s="27" t="s">
        <v>7</v>
      </c>
      <c r="CO336" s="27" t="s">
        <v>8</v>
      </c>
      <c r="CP336" s="27" t="s">
        <v>7</v>
      </c>
      <c r="CQ336" s="27" t="s">
        <v>8</v>
      </c>
      <c r="CR336" s="27" t="s">
        <v>7</v>
      </c>
      <c r="CS336" s="27" t="s">
        <v>8</v>
      </c>
      <c r="CU336" s="27" t="s">
        <v>8</v>
      </c>
      <c r="CV336" s="27" t="s">
        <v>7</v>
      </c>
      <c r="CW336" s="27" t="s">
        <v>8</v>
      </c>
      <c r="CX336" s="27" t="s">
        <v>7</v>
      </c>
      <c r="CY336" s="27" t="s">
        <v>8</v>
      </c>
      <c r="CZ336" s="27" t="s">
        <v>7</v>
      </c>
      <c r="DA336" s="27" t="s">
        <v>8</v>
      </c>
      <c r="DD336" s="27" t="s">
        <v>7</v>
      </c>
      <c r="DE336" s="27" t="s">
        <v>8</v>
      </c>
      <c r="DF336" s="27" t="s">
        <v>7</v>
      </c>
      <c r="DG336" s="27" t="s">
        <v>8</v>
      </c>
      <c r="DH336" s="27" t="s">
        <v>7</v>
      </c>
      <c r="DI336" s="27" t="s">
        <v>8</v>
      </c>
      <c r="DJ336" s="32" t="s">
        <v>7</v>
      </c>
      <c r="DL336" s="32" t="s">
        <v>7</v>
      </c>
      <c r="DM336" s="31"/>
    </row>
    <row r="337" spans="1:116" x14ac:dyDescent="0.25">
      <c r="A337" s="30">
        <v>8.8031477337879808E-3</v>
      </c>
      <c r="B337"/>
      <c r="C337"/>
      <c r="D337"/>
      <c r="E337"/>
      <c r="F337" s="27" t="s">
        <v>7</v>
      </c>
      <c r="BS337" s="27" t="s">
        <v>8</v>
      </c>
      <c r="CD337" s="27" t="s">
        <v>7</v>
      </c>
      <c r="CK337" s="27" t="s">
        <v>8</v>
      </c>
      <c r="CM337" s="27" t="s">
        <v>8</v>
      </c>
      <c r="CO337" s="27" t="s">
        <v>8</v>
      </c>
      <c r="CP337" s="27" t="s">
        <v>7</v>
      </c>
      <c r="CQ337" s="27" t="s">
        <v>8</v>
      </c>
      <c r="CR337" s="27" t="s">
        <v>7</v>
      </c>
      <c r="CS337" s="27" t="s">
        <v>8</v>
      </c>
      <c r="CT337" s="27" t="s">
        <v>7</v>
      </c>
      <c r="CU337" s="27" t="s">
        <v>8</v>
      </c>
      <c r="CV337" s="27" t="s">
        <v>7</v>
      </c>
      <c r="CX337" s="27" t="s">
        <v>7</v>
      </c>
      <c r="CY337" s="27" t="s">
        <v>8</v>
      </c>
      <c r="CZ337" s="27" t="s">
        <v>7</v>
      </c>
      <c r="DA337" s="27" t="s">
        <v>8</v>
      </c>
      <c r="DD337" s="27" t="s">
        <v>7</v>
      </c>
      <c r="DE337" s="27" t="s">
        <v>8</v>
      </c>
      <c r="DF337" s="27" t="s">
        <v>7</v>
      </c>
      <c r="DG337" s="27" t="s">
        <v>8</v>
      </c>
      <c r="DH337" s="27" t="s">
        <v>7</v>
      </c>
      <c r="DI337" s="27" t="s">
        <v>8</v>
      </c>
      <c r="DL337" s="31"/>
    </row>
    <row r="338" spans="1:116" x14ac:dyDescent="0.25">
      <c r="A338" s="30">
        <v>8.3839502226552166E-3</v>
      </c>
      <c r="B338"/>
      <c r="C338"/>
      <c r="D338"/>
      <c r="E338"/>
      <c r="F338" s="27" t="s">
        <v>7</v>
      </c>
      <c r="BS338" s="27" t="s">
        <v>8</v>
      </c>
      <c r="CD338" s="27" t="s">
        <v>7</v>
      </c>
      <c r="CE338" s="27" t="s">
        <v>8</v>
      </c>
      <c r="CG338" s="27" t="s">
        <v>8</v>
      </c>
      <c r="CI338" s="27" t="s">
        <v>8</v>
      </c>
      <c r="CK338" s="27" t="s">
        <v>8</v>
      </c>
      <c r="CL338" s="27" t="s">
        <v>7</v>
      </c>
      <c r="CM338" s="27" t="s">
        <v>8</v>
      </c>
      <c r="CN338" s="27" t="s">
        <v>7</v>
      </c>
      <c r="CO338" s="27" t="s">
        <v>8</v>
      </c>
      <c r="CP338" s="27" t="s">
        <v>7</v>
      </c>
      <c r="CQ338" s="27" t="s">
        <v>8</v>
      </c>
      <c r="CR338" s="27" t="s">
        <v>7</v>
      </c>
      <c r="CS338" s="27" t="s">
        <v>8</v>
      </c>
      <c r="CT338" s="27" t="s">
        <v>7</v>
      </c>
      <c r="CU338" s="27" t="s">
        <v>8</v>
      </c>
      <c r="CX338" s="27" t="s">
        <v>7</v>
      </c>
      <c r="CY338" s="27" t="s">
        <v>8</v>
      </c>
      <c r="CZ338" s="27" t="s">
        <v>7</v>
      </c>
      <c r="DA338" s="27" t="s">
        <v>8</v>
      </c>
      <c r="DD338" s="27" t="s">
        <v>7</v>
      </c>
      <c r="DE338" s="27" t="s">
        <v>8</v>
      </c>
      <c r="DF338" s="27" t="s">
        <v>7</v>
      </c>
      <c r="DG338" s="27" t="s">
        <v>8</v>
      </c>
      <c r="DH338" s="27" t="s">
        <v>7</v>
      </c>
      <c r="DI338" s="27" t="s">
        <v>8</v>
      </c>
      <c r="DK338" s="31"/>
    </row>
    <row r="339" spans="1:116" x14ac:dyDescent="0.25">
      <c r="A339" s="30">
        <v>7.9847144977668698E-3</v>
      </c>
      <c r="B339"/>
      <c r="C339"/>
      <c r="D339"/>
      <c r="E339"/>
      <c r="F339" s="27" t="s">
        <v>7</v>
      </c>
      <c r="BS339" s="27" t="s">
        <v>8</v>
      </c>
      <c r="CD339" s="27" t="s">
        <v>7</v>
      </c>
      <c r="CE339" s="27" t="s">
        <v>8</v>
      </c>
      <c r="CF339" s="27" t="s">
        <v>7</v>
      </c>
      <c r="CG339" s="27" t="s">
        <v>8</v>
      </c>
      <c r="CH339" s="27" t="s">
        <v>7</v>
      </c>
      <c r="CI339" s="27" t="s">
        <v>8</v>
      </c>
      <c r="CJ339" s="27" t="s">
        <v>7</v>
      </c>
      <c r="CK339" s="27" t="s">
        <v>8</v>
      </c>
      <c r="CL339" s="27" t="s">
        <v>7</v>
      </c>
      <c r="CM339" s="27" t="s">
        <v>8</v>
      </c>
      <c r="CN339" s="27" t="s">
        <v>7</v>
      </c>
      <c r="CO339" s="27" t="s">
        <v>8</v>
      </c>
      <c r="CP339" s="27" t="s">
        <v>7</v>
      </c>
      <c r="CQ339" s="27" t="s">
        <v>8</v>
      </c>
      <c r="CR339" s="27" t="s">
        <v>7</v>
      </c>
      <c r="CT339" s="27" t="s">
        <v>7</v>
      </c>
      <c r="CX339" s="27" t="s">
        <v>7</v>
      </c>
      <c r="CZ339" s="27" t="s">
        <v>7</v>
      </c>
      <c r="DD339" s="32" t="s">
        <v>7</v>
      </c>
      <c r="DF339" s="32" t="s">
        <v>7</v>
      </c>
      <c r="DH339" s="27" t="s">
        <v>7</v>
      </c>
      <c r="DI339" s="27" t="s">
        <v>8</v>
      </c>
      <c r="DJ339" s="31"/>
    </row>
    <row r="340" spans="1:116" x14ac:dyDescent="0.25">
      <c r="A340" s="30">
        <v>7.6044899978732058E-3</v>
      </c>
      <c r="B340"/>
      <c r="C340"/>
      <c r="D340"/>
      <c r="E340"/>
      <c r="F340" s="27" t="s">
        <v>7</v>
      </c>
      <c r="BQ340" s="27" t="s">
        <v>8</v>
      </c>
      <c r="BS340" s="27" t="s">
        <v>8</v>
      </c>
      <c r="CD340" s="27" t="s">
        <v>7</v>
      </c>
      <c r="CE340" s="27" t="s">
        <v>8</v>
      </c>
      <c r="CF340" s="27" t="s">
        <v>7</v>
      </c>
      <c r="CG340" s="27" t="s">
        <v>8</v>
      </c>
      <c r="CH340" s="27" t="s">
        <v>7</v>
      </c>
      <c r="CI340" s="27" t="s">
        <v>8</v>
      </c>
      <c r="CJ340" s="27" t="s">
        <v>7</v>
      </c>
      <c r="CK340" s="27" t="s">
        <v>8</v>
      </c>
      <c r="CL340" s="27" t="s">
        <v>7</v>
      </c>
      <c r="CN340" s="27" t="s">
        <v>7</v>
      </c>
      <c r="CP340" s="27" t="s">
        <v>7</v>
      </c>
      <c r="CQ340" s="27" t="s">
        <v>8</v>
      </c>
      <c r="DH340" s="27" t="s">
        <v>7</v>
      </c>
      <c r="DI340" s="31" t="s">
        <v>8</v>
      </c>
    </row>
    <row r="341" spans="1:116" x14ac:dyDescent="0.25">
      <c r="A341" s="30">
        <v>7.2423714265459072E-3</v>
      </c>
      <c r="B341"/>
      <c r="C341"/>
      <c r="D341"/>
      <c r="E341"/>
      <c r="F341" s="27" t="s">
        <v>7</v>
      </c>
      <c r="K341" s="27" t="s">
        <v>8</v>
      </c>
      <c r="BO341" s="27" t="s">
        <v>8</v>
      </c>
      <c r="BQ341" s="27" t="s">
        <v>8</v>
      </c>
      <c r="BR341" s="27" t="s">
        <v>7</v>
      </c>
      <c r="BS341" s="27" t="s">
        <v>8</v>
      </c>
      <c r="CD341" s="27" t="s">
        <v>7</v>
      </c>
      <c r="CE341" s="27" t="s">
        <v>8</v>
      </c>
      <c r="CF341" s="27" t="s">
        <v>7</v>
      </c>
      <c r="CH341" s="27" t="s">
        <v>7</v>
      </c>
      <c r="CI341" s="27" t="s">
        <v>8</v>
      </c>
      <c r="CJ341" s="27" t="s">
        <v>7</v>
      </c>
      <c r="CK341" s="27" t="s">
        <v>8</v>
      </c>
      <c r="CP341" s="27" t="s">
        <v>7</v>
      </c>
      <c r="CQ341" s="27" t="s">
        <v>8</v>
      </c>
      <c r="DH341" s="31" t="s">
        <v>7</v>
      </c>
    </row>
    <row r="342" spans="1:116" x14ac:dyDescent="0.25">
      <c r="A342" s="30">
        <v>6.8974965967103846E-3</v>
      </c>
      <c r="B342"/>
      <c r="C342"/>
      <c r="D342"/>
      <c r="E342"/>
      <c r="F342" s="27" t="s">
        <v>7</v>
      </c>
      <c r="K342" s="27" t="s">
        <v>8</v>
      </c>
      <c r="L342" s="27" t="s">
        <v>7</v>
      </c>
      <c r="BO342" s="27" t="s">
        <v>8</v>
      </c>
      <c r="BP342" s="27" t="s">
        <v>7</v>
      </c>
      <c r="BQ342" s="27" t="s">
        <v>8</v>
      </c>
      <c r="BR342" s="27" t="s">
        <v>7</v>
      </c>
      <c r="BS342" s="27" t="s">
        <v>8</v>
      </c>
      <c r="CD342" s="27" t="s">
        <v>7</v>
      </c>
      <c r="CH342" s="27" t="s">
        <v>7</v>
      </c>
      <c r="CI342" s="27" t="s">
        <v>8</v>
      </c>
      <c r="CJ342" s="27" t="s">
        <v>7</v>
      </c>
      <c r="CK342" s="27" t="s">
        <v>8</v>
      </c>
      <c r="CP342" s="27" t="s">
        <v>7</v>
      </c>
      <c r="CQ342" s="27" t="s">
        <v>8</v>
      </c>
    </row>
    <row r="343" spans="1:116" x14ac:dyDescent="0.25">
      <c r="A343" s="30">
        <v>6.5690443778194116E-3</v>
      </c>
      <c r="B343"/>
      <c r="C343"/>
      <c r="D343"/>
      <c r="E343"/>
      <c r="F343" s="27" t="s">
        <v>7</v>
      </c>
      <c r="I343" s="27" t="s">
        <v>8</v>
      </c>
      <c r="K343" s="27" t="s">
        <v>8</v>
      </c>
      <c r="L343" s="27" t="s">
        <v>7</v>
      </c>
      <c r="BO343" s="27" t="s">
        <v>8</v>
      </c>
      <c r="BP343" s="27" t="s">
        <v>7</v>
      </c>
      <c r="BQ343" s="27" t="s">
        <v>8</v>
      </c>
      <c r="BR343" s="27" t="s">
        <v>7</v>
      </c>
      <c r="BS343" s="27" t="s">
        <v>8</v>
      </c>
      <c r="CH343" s="27" t="s">
        <v>7</v>
      </c>
      <c r="CI343" s="27" t="s">
        <v>8</v>
      </c>
      <c r="CJ343" s="27" t="s">
        <v>7</v>
      </c>
      <c r="CK343" s="27" t="s">
        <v>8</v>
      </c>
      <c r="CP343" s="27" t="s">
        <v>7</v>
      </c>
    </row>
    <row r="344" spans="1:116" x14ac:dyDescent="0.25">
      <c r="A344" s="30">
        <v>6.2562327407803897E-3</v>
      </c>
      <c r="B344"/>
      <c r="C344"/>
      <c r="D344"/>
      <c r="E344"/>
      <c r="F344" s="27" t="s">
        <v>7</v>
      </c>
      <c r="G344" s="27" t="s">
        <v>8</v>
      </c>
      <c r="I344" s="27" t="s">
        <v>8</v>
      </c>
      <c r="J344" s="27" t="s">
        <v>7</v>
      </c>
      <c r="K344" s="27" t="s">
        <v>8</v>
      </c>
      <c r="L344" s="27" t="s">
        <v>7</v>
      </c>
      <c r="BO344" s="27" t="s">
        <v>8</v>
      </c>
      <c r="BP344" s="27" t="s">
        <v>7</v>
      </c>
      <c r="BQ344" s="27" t="s">
        <v>8</v>
      </c>
      <c r="BR344" s="27" t="s">
        <v>7</v>
      </c>
      <c r="BS344" s="27" t="s">
        <v>8</v>
      </c>
      <c r="CH344" s="27" t="s">
        <v>7</v>
      </c>
      <c r="CI344" s="27" t="s">
        <v>8</v>
      </c>
      <c r="CJ344" s="27" t="s">
        <v>7</v>
      </c>
      <c r="CK344" s="27" t="s">
        <v>8</v>
      </c>
    </row>
    <row r="345" spans="1:116" x14ac:dyDescent="0.25">
      <c r="A345" s="30">
        <v>5.9583168959813212E-3</v>
      </c>
      <c r="B345"/>
      <c r="C345"/>
      <c r="D345"/>
      <c r="E345"/>
      <c r="F345" s="27" t="s">
        <v>7</v>
      </c>
      <c r="G345" s="27" t="s">
        <v>8</v>
      </c>
      <c r="H345" s="27" t="s">
        <v>7</v>
      </c>
      <c r="I345" s="27" t="s">
        <v>8</v>
      </c>
      <c r="J345" s="27" t="s">
        <v>7</v>
      </c>
      <c r="K345" s="27" t="s">
        <v>8</v>
      </c>
      <c r="L345" s="27" t="s">
        <v>7</v>
      </c>
      <c r="BO345" s="27" t="s">
        <v>8</v>
      </c>
      <c r="BP345" s="27" t="s">
        <v>7</v>
      </c>
      <c r="BQ345" s="27" t="s">
        <v>8</v>
      </c>
      <c r="BR345" s="27" t="s">
        <v>7</v>
      </c>
      <c r="BS345" s="27" t="s">
        <v>8</v>
      </c>
      <c r="CH345" s="27" t="s">
        <v>7</v>
      </c>
      <c r="CI345" s="27" t="s">
        <v>8</v>
      </c>
      <c r="CJ345" s="27" t="s">
        <v>7</v>
      </c>
      <c r="CK345" s="27" t="s">
        <v>8</v>
      </c>
    </row>
    <row r="346" spans="1:116" x14ac:dyDescent="0.25">
      <c r="A346" s="30">
        <v>5.6745875199822084E-3</v>
      </c>
      <c r="B346"/>
      <c r="C346"/>
      <c r="D346"/>
      <c r="E346"/>
      <c r="F346" s="27" t="s">
        <v>7</v>
      </c>
      <c r="G346" s="27" t="s">
        <v>8</v>
      </c>
      <c r="H346" s="27" t="s">
        <v>7</v>
      </c>
      <c r="I346" s="27" t="s">
        <v>8</v>
      </c>
      <c r="J346" s="27" t="s">
        <v>7</v>
      </c>
      <c r="L346" s="27" t="s">
        <v>7</v>
      </c>
      <c r="BO346" s="27" t="s">
        <v>8</v>
      </c>
      <c r="BP346" s="27" t="s">
        <v>7</v>
      </c>
      <c r="BR346" s="27" t="s">
        <v>7</v>
      </c>
      <c r="BS346" s="27" t="s">
        <v>8</v>
      </c>
      <c r="CH346" s="31" t="s">
        <v>7</v>
      </c>
      <c r="CI346" s="27" t="s">
        <v>8</v>
      </c>
      <c r="CJ346" s="27" t="s">
        <v>7</v>
      </c>
    </row>
    <row r="347" spans="1:116" x14ac:dyDescent="0.25">
      <c r="A347" s="30">
        <v>5.4043690666497205E-3</v>
      </c>
      <c r="B347"/>
      <c r="C347"/>
      <c r="D347"/>
      <c r="E347"/>
      <c r="F347" s="27" t="s">
        <v>7</v>
      </c>
      <c r="H347" s="27" t="s">
        <v>7</v>
      </c>
      <c r="L347" s="27" t="s">
        <v>7</v>
      </c>
      <c r="BO347" s="27" t="s">
        <v>8</v>
      </c>
      <c r="BR347" s="27" t="s">
        <v>7</v>
      </c>
      <c r="BS347" s="27" t="s">
        <v>8</v>
      </c>
      <c r="CG347" s="31"/>
      <c r="CH347" s="27" t="s">
        <v>7</v>
      </c>
      <c r="CI347" s="27" t="s">
        <v>8</v>
      </c>
    </row>
    <row r="348" spans="1:116" x14ac:dyDescent="0.25">
      <c r="A348" s="30">
        <v>5.1470181587140174E-3</v>
      </c>
      <c r="B348"/>
      <c r="C348"/>
      <c r="D348"/>
      <c r="E348"/>
      <c r="L348" s="27" t="s">
        <v>7</v>
      </c>
      <c r="M348" s="27" t="s">
        <v>8</v>
      </c>
      <c r="BO348" s="27" t="s">
        <v>8</v>
      </c>
      <c r="BR348" s="27" t="s">
        <v>7</v>
      </c>
      <c r="BS348" s="27" t="s">
        <v>8</v>
      </c>
      <c r="CF348" s="31"/>
      <c r="CH348" s="27" t="s">
        <v>7</v>
      </c>
      <c r="CI348" s="27" t="s">
        <v>8</v>
      </c>
    </row>
    <row r="349" spans="1:116" x14ac:dyDescent="0.25">
      <c r="A349" s="30">
        <v>4.9019220559181099E-3</v>
      </c>
      <c r="B349"/>
      <c r="C349"/>
      <c r="D349"/>
      <c r="E349"/>
      <c r="L349" s="27" t="s">
        <v>7</v>
      </c>
      <c r="M349" s="27" t="s">
        <v>8</v>
      </c>
      <c r="N349" s="27" t="s">
        <v>7</v>
      </c>
      <c r="O349" s="27" t="s">
        <v>8</v>
      </c>
      <c r="BO349" s="27" t="s">
        <v>8</v>
      </c>
      <c r="BR349" s="27" t="s">
        <v>7</v>
      </c>
      <c r="CE349" s="31"/>
      <c r="CH349" s="27" t="s">
        <v>7</v>
      </c>
      <c r="CI349" s="27" t="s">
        <v>8</v>
      </c>
    </row>
    <row r="350" spans="1:116" x14ac:dyDescent="0.25">
      <c r="A350" s="30">
        <v>4.6684971961124836E-3</v>
      </c>
      <c r="B350"/>
      <c r="C350"/>
      <c r="D350"/>
      <c r="E350"/>
      <c r="L350" s="27" t="s">
        <v>7</v>
      </c>
      <c r="M350" s="27" t="s">
        <v>8</v>
      </c>
      <c r="N350" s="27" t="s">
        <v>7</v>
      </c>
      <c r="O350" s="27" t="s">
        <v>8</v>
      </c>
      <c r="P350" s="27" t="s">
        <v>7</v>
      </c>
      <c r="BM350" s="27" t="s">
        <v>8</v>
      </c>
      <c r="BO350" s="27" t="s">
        <v>8</v>
      </c>
      <c r="CD350" s="31"/>
      <c r="CH350" s="27" t="s">
        <v>7</v>
      </c>
    </row>
    <row r="351" spans="1:116" x14ac:dyDescent="0.25">
      <c r="A351" s="30">
        <v>4.4461878058214112E-3</v>
      </c>
      <c r="B351"/>
      <c r="C351"/>
      <c r="D351"/>
      <c r="E351"/>
      <c r="L351" s="27" t="s">
        <v>7</v>
      </c>
      <c r="N351" s="27" t="s">
        <v>7</v>
      </c>
      <c r="O351" s="27" t="s">
        <v>8</v>
      </c>
      <c r="P351" s="27" t="s">
        <v>7</v>
      </c>
      <c r="BM351" s="27" t="s">
        <v>8</v>
      </c>
      <c r="BN351" s="27" t="s">
        <v>7</v>
      </c>
      <c r="BO351" s="27" t="s">
        <v>8</v>
      </c>
      <c r="CC351" s="31"/>
    </row>
    <row r="352" spans="1:116" x14ac:dyDescent="0.25">
      <c r="A352" s="30">
        <v>4.2344645769727711E-3</v>
      </c>
      <c r="B352"/>
      <c r="C352"/>
      <c r="D352"/>
      <c r="E352"/>
      <c r="N352" s="27" t="s">
        <v>7</v>
      </c>
      <c r="P352" s="27" t="s">
        <v>7</v>
      </c>
      <c r="BM352" s="27" t="s">
        <v>8</v>
      </c>
      <c r="BN352" s="27" t="s">
        <v>7</v>
      </c>
      <c r="BO352" s="27" t="s">
        <v>8</v>
      </c>
      <c r="CB352" s="31"/>
    </row>
    <row r="353" spans="1:79" x14ac:dyDescent="0.25">
      <c r="A353" s="30">
        <v>4.0328234066407329E-3</v>
      </c>
      <c r="B353"/>
      <c r="C353"/>
      <c r="D353"/>
      <c r="E353"/>
      <c r="P353" s="27" t="s">
        <v>7</v>
      </c>
      <c r="AI353" s="27" t="s">
        <v>8</v>
      </c>
      <c r="BM353" s="27" t="s">
        <v>8</v>
      </c>
      <c r="BN353" s="27" t="s">
        <v>7</v>
      </c>
      <c r="CA353" s="31"/>
    </row>
    <row r="354" spans="1:79" x14ac:dyDescent="0.25">
      <c r="A354" s="30">
        <v>3.8407841968006963E-3</v>
      </c>
      <c r="B354"/>
      <c r="C354"/>
      <c r="D354"/>
      <c r="E354"/>
      <c r="P354" s="27" t="s">
        <v>7</v>
      </c>
      <c r="Q354" s="27" t="s">
        <v>8</v>
      </c>
      <c r="AI354" s="27" t="s">
        <v>8</v>
      </c>
      <c r="AJ354" s="27" t="s">
        <v>7</v>
      </c>
      <c r="BM354" s="27" t="s">
        <v>8</v>
      </c>
      <c r="BZ354" s="31"/>
    </row>
    <row r="355" spans="1:79" x14ac:dyDescent="0.25">
      <c r="A355" s="30">
        <v>3.6578897112387568E-3</v>
      </c>
      <c r="B355"/>
      <c r="C355"/>
      <c r="D355"/>
      <c r="E355"/>
      <c r="P355" s="27" t="s">
        <v>7</v>
      </c>
      <c r="Q355" s="27" t="s">
        <v>8</v>
      </c>
      <c r="R355" s="27" t="s">
        <v>7</v>
      </c>
      <c r="AI355" s="27" t="s">
        <v>8</v>
      </c>
      <c r="AJ355" s="27" t="s">
        <v>7</v>
      </c>
      <c r="BM355" s="27" t="s">
        <v>8</v>
      </c>
      <c r="BY355" s="31"/>
    </row>
    <row r="356" spans="1:79" x14ac:dyDescent="0.25">
      <c r="A356" s="30">
        <v>3.4837044868940526E-3</v>
      </c>
      <c r="B356"/>
      <c r="C356"/>
      <c r="D356"/>
      <c r="E356"/>
      <c r="P356" s="27" t="s">
        <v>7</v>
      </c>
      <c r="Q356" s="27" t="s">
        <v>8</v>
      </c>
      <c r="R356" s="27" t="s">
        <v>7</v>
      </c>
      <c r="AI356" s="27" t="s">
        <v>8</v>
      </c>
      <c r="AJ356" s="27" t="s">
        <v>7</v>
      </c>
      <c r="BI356" s="27" t="s">
        <v>8</v>
      </c>
      <c r="BM356" s="27" t="s">
        <v>8</v>
      </c>
      <c r="BX356" s="31"/>
    </row>
    <row r="357" spans="1:79" x14ac:dyDescent="0.25">
      <c r="A357" s="30">
        <v>3.3178137970419535E-3</v>
      </c>
      <c r="B357"/>
      <c r="C357"/>
      <c r="D357"/>
      <c r="E357"/>
      <c r="P357" s="27" t="s">
        <v>7</v>
      </c>
      <c r="Q357" s="27" t="s">
        <v>8</v>
      </c>
      <c r="R357" s="27" t="s">
        <v>7</v>
      </c>
      <c r="S357" s="27" t="s">
        <v>8</v>
      </c>
      <c r="Y357" s="27" t="s">
        <v>8</v>
      </c>
      <c r="AI357" s="27" t="s">
        <v>8</v>
      </c>
      <c r="AJ357" s="27" t="s">
        <v>7</v>
      </c>
      <c r="BI357" s="27" t="s">
        <v>8</v>
      </c>
      <c r="BJ357" s="27" t="s">
        <v>7</v>
      </c>
      <c r="BK357" s="27" t="s">
        <v>8</v>
      </c>
      <c r="BM357" s="27" t="s">
        <v>8</v>
      </c>
      <c r="BW357" s="31"/>
    </row>
    <row r="358" spans="1:79" x14ac:dyDescent="0.25">
      <c r="A358" s="30">
        <v>3.1598226638494781E-3</v>
      </c>
      <c r="B358"/>
      <c r="C358"/>
      <c r="D358"/>
      <c r="E358"/>
      <c r="P358" s="27" t="s">
        <v>7</v>
      </c>
      <c r="Q358" s="27" t="s">
        <v>8</v>
      </c>
      <c r="R358" s="27" t="s">
        <v>7</v>
      </c>
      <c r="S358" s="27" t="s">
        <v>8</v>
      </c>
      <c r="T358" s="27" t="s">
        <v>7</v>
      </c>
      <c r="Y358" s="27" t="s">
        <v>8</v>
      </c>
      <c r="Z358" s="27" t="s">
        <v>7</v>
      </c>
      <c r="AI358" s="27" t="s">
        <v>8</v>
      </c>
      <c r="AJ358" s="27" t="s">
        <v>7</v>
      </c>
      <c r="BI358" s="27" t="s">
        <v>8</v>
      </c>
      <c r="BJ358" s="27" t="s">
        <v>7</v>
      </c>
      <c r="BK358" s="27" t="s">
        <v>8</v>
      </c>
      <c r="BL358" s="27" t="s">
        <v>7</v>
      </c>
      <c r="BM358" s="27" t="s">
        <v>8</v>
      </c>
      <c r="BV358" s="31"/>
    </row>
    <row r="359" spans="1:79" x14ac:dyDescent="0.25">
      <c r="A359" s="30">
        <v>3.0093549179518826E-3</v>
      </c>
      <c r="B359"/>
      <c r="C359"/>
      <c r="D359"/>
      <c r="E359"/>
      <c r="P359" s="27" t="s">
        <v>7</v>
      </c>
      <c r="R359" s="27" t="s">
        <v>7</v>
      </c>
      <c r="S359" s="27" t="s">
        <v>8</v>
      </c>
      <c r="T359" s="27" t="s">
        <v>7</v>
      </c>
      <c r="Y359" s="27" t="s">
        <v>8</v>
      </c>
      <c r="Z359" s="27" t="s">
        <v>7</v>
      </c>
      <c r="AI359" s="27" t="s">
        <v>8</v>
      </c>
      <c r="AJ359" s="27" t="s">
        <v>7</v>
      </c>
      <c r="BI359" s="27" t="s">
        <v>8</v>
      </c>
      <c r="BJ359" s="27" t="s">
        <v>7</v>
      </c>
      <c r="BK359" s="27" t="s">
        <v>8</v>
      </c>
      <c r="BL359" s="27" t="s">
        <v>7</v>
      </c>
      <c r="BM359" s="27" t="s">
        <v>8</v>
      </c>
      <c r="BU359" s="31"/>
    </row>
    <row r="360" spans="1:79" x14ac:dyDescent="0.25">
      <c r="A360" s="30">
        <v>2.8660523028113155E-3</v>
      </c>
      <c r="B360"/>
      <c r="C360"/>
      <c r="D360"/>
      <c r="E360"/>
      <c r="R360" s="27" t="s">
        <v>7</v>
      </c>
      <c r="S360" s="27" t="s">
        <v>8</v>
      </c>
      <c r="T360" s="27" t="s">
        <v>7</v>
      </c>
      <c r="Y360" s="27" t="s">
        <v>8</v>
      </c>
      <c r="Z360" s="27" t="s">
        <v>7</v>
      </c>
      <c r="AI360" s="27" t="s">
        <v>8</v>
      </c>
      <c r="AJ360" s="27" t="s">
        <v>7</v>
      </c>
      <c r="AK360" s="27" t="s">
        <v>8</v>
      </c>
      <c r="AO360" s="27" t="s">
        <v>8</v>
      </c>
      <c r="BI360" s="27" t="s">
        <v>8</v>
      </c>
      <c r="BJ360" s="27" t="s">
        <v>7</v>
      </c>
      <c r="BK360" s="27" t="s">
        <v>8</v>
      </c>
      <c r="BL360" s="27" t="s">
        <v>7</v>
      </c>
      <c r="BM360" s="27" t="s">
        <v>8</v>
      </c>
      <c r="BT360" s="31"/>
    </row>
    <row r="361" spans="1:79" x14ac:dyDescent="0.25">
      <c r="A361" s="30">
        <v>2.7295736217250611E-3</v>
      </c>
      <c r="B361"/>
      <c r="C361"/>
      <c r="D361"/>
      <c r="E361"/>
      <c r="R361" s="27" t="s">
        <v>7</v>
      </c>
      <c r="S361" s="27" t="s">
        <v>8</v>
      </c>
      <c r="T361" s="27" t="s">
        <v>7</v>
      </c>
      <c r="W361" s="27" t="s">
        <v>8</v>
      </c>
      <c r="Y361" s="27" t="s">
        <v>8</v>
      </c>
      <c r="Z361" s="27" t="s">
        <v>7</v>
      </c>
      <c r="AI361" s="27" t="s">
        <v>8</v>
      </c>
      <c r="AJ361" s="27" t="s">
        <v>7</v>
      </c>
      <c r="AK361" s="27" t="s">
        <v>8</v>
      </c>
      <c r="AL361" s="27" t="s">
        <v>7</v>
      </c>
      <c r="AO361" s="27" t="s">
        <v>8</v>
      </c>
      <c r="AP361" s="27" t="s">
        <v>7</v>
      </c>
      <c r="BG361" s="27" t="s">
        <v>8</v>
      </c>
      <c r="BI361" s="27" t="s">
        <v>8</v>
      </c>
      <c r="BJ361" s="27" t="s">
        <v>7</v>
      </c>
      <c r="BL361" s="27" t="s">
        <v>7</v>
      </c>
      <c r="BS361" s="31"/>
    </row>
    <row r="362" spans="1:79" x14ac:dyDescent="0.25">
      <c r="A362" s="30">
        <v>2.5995939254524381E-3</v>
      </c>
      <c r="B362"/>
      <c r="C362"/>
      <c r="D362"/>
      <c r="E362"/>
      <c r="R362" s="27" t="s">
        <v>7</v>
      </c>
      <c r="T362" s="27" t="s">
        <v>7</v>
      </c>
      <c r="U362" s="27" t="s">
        <v>8</v>
      </c>
      <c r="W362" s="27" t="s">
        <v>8</v>
      </c>
      <c r="X362" s="27" t="s">
        <v>7</v>
      </c>
      <c r="Y362" s="27" t="s">
        <v>8</v>
      </c>
      <c r="Z362" s="27" t="s">
        <v>7</v>
      </c>
      <c r="AA362" s="27" t="s">
        <v>8</v>
      </c>
      <c r="AI362" s="27" t="s">
        <v>8</v>
      </c>
      <c r="AJ362" s="27" t="s">
        <v>7</v>
      </c>
      <c r="AK362" s="27" t="s">
        <v>8</v>
      </c>
      <c r="AL362" s="27" t="s">
        <v>7</v>
      </c>
      <c r="AO362" s="27" t="s">
        <v>8</v>
      </c>
      <c r="AP362" s="27" t="s">
        <v>7</v>
      </c>
      <c r="BE362" s="27" t="s">
        <v>8</v>
      </c>
      <c r="BG362" s="27" t="s">
        <v>8</v>
      </c>
      <c r="BH362" s="27" t="s">
        <v>7</v>
      </c>
      <c r="BI362" s="27" t="s">
        <v>8</v>
      </c>
      <c r="BR362" s="31"/>
    </row>
    <row r="363" spans="1:79" x14ac:dyDescent="0.25">
      <c r="A363" s="30">
        <v>2.4758037385261304E-3</v>
      </c>
      <c r="B363"/>
      <c r="C363"/>
      <c r="D363"/>
      <c r="E363"/>
      <c r="T363" s="27" t="s">
        <v>7</v>
      </c>
      <c r="U363" s="27" t="s">
        <v>8</v>
      </c>
      <c r="V363" s="27" t="s">
        <v>7</v>
      </c>
      <c r="W363" s="27" t="s">
        <v>8</v>
      </c>
      <c r="X363" s="27" t="s">
        <v>7</v>
      </c>
      <c r="Y363" s="27" t="s">
        <v>8</v>
      </c>
      <c r="Z363" s="27" t="s">
        <v>7</v>
      </c>
      <c r="AA363" s="27" t="s">
        <v>8</v>
      </c>
      <c r="AB363" s="27" t="s">
        <v>7</v>
      </c>
      <c r="AI363" s="27" t="s">
        <v>8</v>
      </c>
      <c r="AJ363" s="27" t="s">
        <v>7</v>
      </c>
      <c r="AL363" s="27" t="s">
        <v>7</v>
      </c>
      <c r="AO363" s="27" t="s">
        <v>8</v>
      </c>
      <c r="AP363" s="27" t="s">
        <v>7</v>
      </c>
      <c r="BC363" s="27" t="s">
        <v>8</v>
      </c>
      <c r="BE363" s="27" t="s">
        <v>8</v>
      </c>
      <c r="BF363" s="27" t="s">
        <v>7</v>
      </c>
      <c r="BG363" s="27" t="s">
        <v>8</v>
      </c>
      <c r="BH363" s="27" t="s">
        <v>7</v>
      </c>
      <c r="BI363" s="27" t="s">
        <v>8</v>
      </c>
      <c r="BQ363" s="31"/>
    </row>
    <row r="364" spans="1:79" x14ac:dyDescent="0.25">
      <c r="A364" s="30">
        <v>2.3579083224058374E-3</v>
      </c>
      <c r="B364"/>
      <c r="C364"/>
      <c r="D364"/>
      <c r="E364"/>
      <c r="T364" s="27" t="s">
        <v>7</v>
      </c>
      <c r="U364" s="27" t="s">
        <v>8</v>
      </c>
      <c r="V364" s="27" t="s">
        <v>7</v>
      </c>
      <c r="W364" s="27" t="s">
        <v>8</v>
      </c>
      <c r="X364" s="27" t="s">
        <v>7</v>
      </c>
      <c r="Y364" s="27" t="s">
        <v>8</v>
      </c>
      <c r="Z364" s="27" t="s">
        <v>7</v>
      </c>
      <c r="AA364" s="27" t="s">
        <v>8</v>
      </c>
      <c r="AB364" s="27" t="s">
        <v>7</v>
      </c>
      <c r="AI364" s="27" t="s">
        <v>8</v>
      </c>
      <c r="AL364" s="27" t="s">
        <v>7</v>
      </c>
      <c r="AO364" s="27" t="s">
        <v>8</v>
      </c>
      <c r="AP364" s="27" t="s">
        <v>7</v>
      </c>
      <c r="BC364" s="27" t="s">
        <v>8</v>
      </c>
      <c r="BD364" s="27" t="s">
        <v>7</v>
      </c>
      <c r="BE364" s="27" t="s">
        <v>8</v>
      </c>
      <c r="BF364" s="27" t="s">
        <v>7</v>
      </c>
      <c r="BG364" s="27" t="s">
        <v>8</v>
      </c>
      <c r="BH364" s="27" t="s">
        <v>7</v>
      </c>
      <c r="BI364" s="27" t="s">
        <v>8</v>
      </c>
      <c r="BP364" s="31"/>
    </row>
    <row r="365" spans="1:79" x14ac:dyDescent="0.25">
      <c r="A365" s="30">
        <v>2.245626973719844E-3</v>
      </c>
      <c r="B365"/>
      <c r="C365"/>
      <c r="D365"/>
      <c r="E365"/>
      <c r="T365" s="27" t="s">
        <v>7</v>
      </c>
      <c r="U365" s="27" t="s">
        <v>8</v>
      </c>
      <c r="V365" s="27" t="s">
        <v>7</v>
      </c>
      <c r="X365" s="27" t="s">
        <v>7</v>
      </c>
      <c r="Y365" s="27" t="s">
        <v>8</v>
      </c>
      <c r="Z365" s="27" t="s">
        <v>7</v>
      </c>
      <c r="AA365" s="27" t="s">
        <v>8</v>
      </c>
      <c r="AB365" s="27" t="s">
        <v>7</v>
      </c>
      <c r="AI365" s="27" t="s">
        <v>8</v>
      </c>
      <c r="AL365" s="27" t="s">
        <v>7</v>
      </c>
      <c r="AM365" s="27" t="s">
        <v>8</v>
      </c>
      <c r="AO365" s="27" t="s">
        <v>8</v>
      </c>
      <c r="AP365" s="27" t="s">
        <v>7</v>
      </c>
      <c r="BC365" s="27" t="s">
        <v>8</v>
      </c>
      <c r="BD365" s="27" t="s">
        <v>7</v>
      </c>
      <c r="BE365" s="27" t="s">
        <v>8</v>
      </c>
      <c r="BF365" s="27" t="s">
        <v>7</v>
      </c>
      <c r="BG365" s="27" t="s">
        <v>8</v>
      </c>
      <c r="BH365" s="27" t="s">
        <v>7</v>
      </c>
      <c r="BI365" s="27" t="s">
        <v>8</v>
      </c>
      <c r="BO365" s="31"/>
    </row>
    <row r="366" spans="1:79" x14ac:dyDescent="0.25">
      <c r="A366" s="30">
        <v>2.1386923559236601E-3</v>
      </c>
      <c r="B366"/>
      <c r="C366"/>
      <c r="D366"/>
      <c r="E366"/>
      <c r="T366" s="27" t="s">
        <v>7</v>
      </c>
      <c r="U366" s="27" t="s">
        <v>8</v>
      </c>
      <c r="X366" s="27" t="s">
        <v>7</v>
      </c>
      <c r="Y366" s="27" t="s">
        <v>8</v>
      </c>
      <c r="Z366" s="27" t="s">
        <v>7</v>
      </c>
      <c r="AA366" s="27" t="s">
        <v>8</v>
      </c>
      <c r="AB366" s="27" t="s">
        <v>7</v>
      </c>
      <c r="AI366" s="27" t="s">
        <v>8</v>
      </c>
      <c r="AL366" s="27" t="s">
        <v>7</v>
      </c>
      <c r="AM366" s="27" t="s">
        <v>8</v>
      </c>
      <c r="AN366" s="27" t="s">
        <v>7</v>
      </c>
      <c r="AO366" s="27" t="s">
        <v>8</v>
      </c>
      <c r="AP366" s="27" t="s">
        <v>7</v>
      </c>
      <c r="AW366" s="27" t="s">
        <v>8</v>
      </c>
      <c r="BC366" s="27" t="s">
        <v>8</v>
      </c>
      <c r="BD366" s="27" t="s">
        <v>7</v>
      </c>
      <c r="BE366" s="27" t="s">
        <v>8</v>
      </c>
      <c r="BF366" s="27" t="s">
        <v>7</v>
      </c>
      <c r="BH366" s="27" t="s">
        <v>7</v>
      </c>
      <c r="BN366" s="31"/>
    </row>
    <row r="367" spans="1:79" x14ac:dyDescent="0.25">
      <c r="A367" s="30">
        <v>2.0368498627844375E-3</v>
      </c>
      <c r="B367"/>
      <c r="C367"/>
      <c r="D367"/>
      <c r="E367"/>
      <c r="T367" s="27" t="s">
        <v>7</v>
      </c>
      <c r="X367" s="27" t="s">
        <v>7</v>
      </c>
      <c r="Z367" s="27" t="s">
        <v>7</v>
      </c>
      <c r="AB367" s="27" t="s">
        <v>7</v>
      </c>
      <c r="AI367" s="27" t="s">
        <v>8</v>
      </c>
      <c r="AL367" s="27" t="s">
        <v>7</v>
      </c>
      <c r="AM367" s="27" t="s">
        <v>8</v>
      </c>
      <c r="AN367" s="27" t="s">
        <v>7</v>
      </c>
      <c r="AO367" s="27" t="s">
        <v>8</v>
      </c>
      <c r="AP367" s="27" t="s">
        <v>7</v>
      </c>
      <c r="AW367" s="27" t="s">
        <v>8</v>
      </c>
      <c r="AX367" s="27" t="s">
        <v>7</v>
      </c>
      <c r="AY367" s="27" t="s">
        <v>8</v>
      </c>
      <c r="BC367" s="27" t="s">
        <v>8</v>
      </c>
      <c r="BD367" s="27" t="s">
        <v>7</v>
      </c>
      <c r="BM367" s="31"/>
    </row>
    <row r="368" spans="1:79" x14ac:dyDescent="0.25">
      <c r="A368" s="30">
        <v>1.9398570121756541E-3</v>
      </c>
      <c r="B368"/>
      <c r="C368"/>
      <c r="D368"/>
      <c r="E368"/>
      <c r="AB368" s="27" t="s">
        <v>7</v>
      </c>
      <c r="AC368" s="27" t="s">
        <v>8</v>
      </c>
      <c r="AG368" s="27" t="s">
        <v>8</v>
      </c>
      <c r="AI368" s="27" t="s">
        <v>8</v>
      </c>
      <c r="AL368" s="27" t="s">
        <v>7</v>
      </c>
      <c r="AM368" s="27" t="s">
        <v>8</v>
      </c>
      <c r="AN368" s="27" t="s">
        <v>7</v>
      </c>
      <c r="AP368" s="27" t="s">
        <v>7</v>
      </c>
      <c r="AW368" s="27" t="s">
        <v>8</v>
      </c>
      <c r="AX368" s="27" t="s">
        <v>7</v>
      </c>
      <c r="AY368" s="27" t="s">
        <v>8</v>
      </c>
      <c r="AZ368" s="27" t="s">
        <v>7</v>
      </c>
      <c r="BA368" s="27" t="s">
        <v>8</v>
      </c>
      <c r="BC368" s="27" t="s">
        <v>8</v>
      </c>
      <c r="BL368" s="31"/>
    </row>
    <row r="369" spans="1:63" x14ac:dyDescent="0.25">
      <c r="A369" s="30">
        <v>1.8474828687387174E-3</v>
      </c>
      <c r="B369"/>
      <c r="C369"/>
      <c r="D369"/>
      <c r="E369"/>
      <c r="AB369" s="27" t="s">
        <v>7</v>
      </c>
      <c r="AC369" s="27" t="s">
        <v>8</v>
      </c>
      <c r="AD369" s="27" t="s">
        <v>7</v>
      </c>
      <c r="AG369" s="27" t="s">
        <v>8</v>
      </c>
      <c r="AH369" s="27" t="s">
        <v>7</v>
      </c>
      <c r="AI369" s="27" t="s">
        <v>8</v>
      </c>
      <c r="AL369" s="27" t="s">
        <v>7</v>
      </c>
      <c r="AM369" s="27" t="s">
        <v>8</v>
      </c>
      <c r="AP369" s="27" t="s">
        <v>7</v>
      </c>
      <c r="AW369" s="27" t="s">
        <v>8</v>
      </c>
      <c r="AX369" s="27" t="s">
        <v>7</v>
      </c>
      <c r="AY369" s="27" t="s">
        <v>8</v>
      </c>
      <c r="AZ369" s="27" t="s">
        <v>7</v>
      </c>
      <c r="BA369" s="27" t="s">
        <v>8</v>
      </c>
      <c r="BB369" s="27" t="s">
        <v>7</v>
      </c>
      <c r="BC369" s="27" t="s">
        <v>8</v>
      </c>
      <c r="BK369" s="31"/>
    </row>
    <row r="370" spans="1:63" x14ac:dyDescent="0.25">
      <c r="A370" s="30">
        <v>1.759507494036873E-3</v>
      </c>
      <c r="B370"/>
      <c r="C370"/>
      <c r="D370"/>
      <c r="E370"/>
      <c r="AB370" s="27" t="s">
        <v>7</v>
      </c>
      <c r="AC370" s="27" t="s">
        <v>8</v>
      </c>
      <c r="AD370" s="27" t="s">
        <v>7</v>
      </c>
      <c r="AG370" s="27" t="s">
        <v>8</v>
      </c>
      <c r="AH370" s="27" t="s">
        <v>7</v>
      </c>
      <c r="AI370" s="27" t="s">
        <v>8</v>
      </c>
      <c r="AL370" s="27" t="s">
        <v>7</v>
      </c>
      <c r="AM370" s="27" t="s">
        <v>8</v>
      </c>
      <c r="AP370" s="27" t="s">
        <v>7</v>
      </c>
      <c r="AW370" s="27" t="s">
        <v>8</v>
      </c>
      <c r="AX370" s="27" t="s">
        <v>7</v>
      </c>
      <c r="AY370" s="27" t="s">
        <v>8</v>
      </c>
      <c r="AZ370" s="27" t="s">
        <v>7</v>
      </c>
      <c r="BA370" s="27" t="s">
        <v>8</v>
      </c>
      <c r="BB370" s="27" t="s">
        <v>7</v>
      </c>
      <c r="BC370" s="27" t="s">
        <v>8</v>
      </c>
      <c r="BJ370" s="31"/>
    </row>
    <row r="371" spans="1:63" x14ac:dyDescent="0.25">
      <c r="A371" s="30">
        <v>1.6757214228922594E-3</v>
      </c>
      <c r="B371"/>
      <c r="C371"/>
      <c r="D371"/>
      <c r="E371"/>
      <c r="AB371" s="27" t="s">
        <v>7</v>
      </c>
      <c r="AD371" s="27" t="s">
        <v>7</v>
      </c>
      <c r="AG371" s="27" t="s">
        <v>8</v>
      </c>
      <c r="AH371" s="27" t="s">
        <v>7</v>
      </c>
      <c r="AI371" s="27" t="s">
        <v>8</v>
      </c>
      <c r="AL371" s="27" t="s">
        <v>7</v>
      </c>
      <c r="AP371" s="27" t="s">
        <v>7</v>
      </c>
      <c r="AW371" s="27" t="s">
        <v>8</v>
      </c>
      <c r="AX371" s="27" t="s">
        <v>7</v>
      </c>
      <c r="AY371" s="27" t="s">
        <v>8</v>
      </c>
      <c r="AZ371" s="27" t="s">
        <v>7</v>
      </c>
      <c r="BA371" s="27" t="s">
        <v>8</v>
      </c>
      <c r="BB371" s="27" t="s">
        <v>7</v>
      </c>
      <c r="BI371" s="31"/>
    </row>
    <row r="372" spans="1:63" x14ac:dyDescent="0.25">
      <c r="A372" s="30">
        <v>1.595925164659294E-3</v>
      </c>
      <c r="B372"/>
      <c r="C372"/>
      <c r="D372"/>
      <c r="E372"/>
      <c r="AD372" s="27" t="s">
        <v>7</v>
      </c>
      <c r="AE372" s="27" t="s">
        <v>8</v>
      </c>
      <c r="AG372" s="27" t="s">
        <v>8</v>
      </c>
      <c r="AH372" s="27" t="s">
        <v>7</v>
      </c>
      <c r="AP372" s="27" t="s">
        <v>7</v>
      </c>
      <c r="AW372" s="27" t="s">
        <v>8</v>
      </c>
      <c r="AX372" s="27" t="s">
        <v>7</v>
      </c>
      <c r="AY372" s="27" t="s">
        <v>8</v>
      </c>
      <c r="AZ372" s="27" t="s">
        <v>7</v>
      </c>
      <c r="BA372" s="27" t="s">
        <v>8</v>
      </c>
      <c r="BH372" s="31"/>
    </row>
    <row r="373" spans="1:63" x14ac:dyDescent="0.25">
      <c r="A373" s="30">
        <v>1.5199287282469461E-3</v>
      </c>
      <c r="B373"/>
      <c r="C373"/>
      <c r="D373"/>
      <c r="E373"/>
      <c r="AD373" s="27" t="s">
        <v>7</v>
      </c>
      <c r="AE373" s="27" t="s">
        <v>8</v>
      </c>
      <c r="AF373" s="27" t="s">
        <v>7</v>
      </c>
      <c r="AG373" s="27" t="s">
        <v>8</v>
      </c>
      <c r="AP373" s="27" t="s">
        <v>7</v>
      </c>
      <c r="AW373" s="27" t="s">
        <v>8</v>
      </c>
      <c r="AX373" s="27" t="s">
        <v>7</v>
      </c>
      <c r="AY373" s="27" t="s">
        <v>8</v>
      </c>
      <c r="AZ373" s="27" t="s">
        <v>7</v>
      </c>
      <c r="BA373" s="27" t="s">
        <v>8</v>
      </c>
      <c r="BG373" s="31"/>
    </row>
    <row r="374" spans="1:63" x14ac:dyDescent="0.25">
      <c r="A374" s="30">
        <v>1.4475511697589958E-3</v>
      </c>
      <c r="B374"/>
      <c r="C374"/>
      <c r="D374"/>
      <c r="E374"/>
      <c r="AD374" s="27" t="s">
        <v>7</v>
      </c>
      <c r="AE374" s="27" t="s">
        <v>8</v>
      </c>
      <c r="AF374" s="27" t="s">
        <v>7</v>
      </c>
      <c r="AG374" s="27" t="s">
        <v>8</v>
      </c>
      <c r="AP374" s="27" t="s">
        <v>7</v>
      </c>
      <c r="AW374" s="27" t="s">
        <v>8</v>
      </c>
      <c r="AX374" s="27" t="s">
        <v>7</v>
      </c>
      <c r="AY374" s="27" t="s">
        <v>8</v>
      </c>
      <c r="AZ374" s="27" t="s">
        <v>7</v>
      </c>
      <c r="BA374" s="27" t="s">
        <v>8</v>
      </c>
      <c r="BF374" s="31"/>
    </row>
    <row r="375" spans="1:63" x14ac:dyDescent="0.25">
      <c r="A375" s="30">
        <v>1.3786201616752334E-3</v>
      </c>
      <c r="B375"/>
      <c r="C375"/>
      <c r="D375"/>
      <c r="E375"/>
      <c r="AD375" s="27" t="s">
        <v>7</v>
      </c>
      <c r="AF375" s="27" t="s">
        <v>7</v>
      </c>
      <c r="AG375" s="27" t="s">
        <v>8</v>
      </c>
      <c r="AP375" s="27" t="s">
        <v>7</v>
      </c>
      <c r="AQ375" s="27" t="s">
        <v>8</v>
      </c>
      <c r="AS375" s="27" t="s">
        <v>8</v>
      </c>
      <c r="AU375" s="27" t="s">
        <v>8</v>
      </c>
      <c r="AW375" s="27" t="s">
        <v>8</v>
      </c>
      <c r="AX375" s="27" t="s">
        <v>7</v>
      </c>
      <c r="AY375" s="27" t="s">
        <v>8</v>
      </c>
      <c r="AZ375" s="27" t="s">
        <v>7</v>
      </c>
      <c r="BE375" s="31"/>
    </row>
    <row r="376" spans="1:63" x14ac:dyDescent="0.25">
      <c r="A376" s="30">
        <v>1.3129715825478407E-3</v>
      </c>
      <c r="B376"/>
      <c r="C376"/>
      <c r="D376"/>
      <c r="E376"/>
      <c r="AF376" s="27" t="s">
        <v>7</v>
      </c>
      <c r="AG376" s="27" t="s">
        <v>8</v>
      </c>
      <c r="AP376" s="27" t="s">
        <v>7</v>
      </c>
      <c r="AQ376" s="27" t="s">
        <v>8</v>
      </c>
      <c r="AR376" s="27" t="s">
        <v>7</v>
      </c>
      <c r="AS376" s="27" t="s">
        <v>8</v>
      </c>
      <c r="AT376" s="27" t="s">
        <v>7</v>
      </c>
      <c r="AU376" s="27" t="s">
        <v>8</v>
      </c>
      <c r="AV376" s="27" t="s">
        <v>7</v>
      </c>
      <c r="AW376" s="27" t="s">
        <v>8</v>
      </c>
      <c r="AX376" s="27" t="s">
        <v>7</v>
      </c>
      <c r="AY376" s="27" t="s">
        <v>8</v>
      </c>
      <c r="BD376" s="31"/>
    </row>
    <row r="377" spans="1:63" x14ac:dyDescent="0.25">
      <c r="A377" s="30">
        <v>1.2504491262360382E-3</v>
      </c>
      <c r="B377"/>
      <c r="C377"/>
      <c r="D377"/>
      <c r="E377"/>
      <c r="AF377" s="27" t="s">
        <v>7</v>
      </c>
      <c r="AP377" s="27" t="s">
        <v>7</v>
      </c>
      <c r="AQ377" s="27" t="s">
        <v>8</v>
      </c>
      <c r="AR377" s="27" t="s">
        <v>7</v>
      </c>
      <c r="AS377" s="27" t="s">
        <v>8</v>
      </c>
      <c r="AT377" s="27" t="s">
        <v>7</v>
      </c>
      <c r="AU377" s="27" t="s">
        <v>8</v>
      </c>
      <c r="AV377" s="27" t="s">
        <v>7</v>
      </c>
      <c r="AW377" s="27" t="s">
        <v>8</v>
      </c>
      <c r="AX377" s="27" t="s">
        <v>7</v>
      </c>
      <c r="AY377" s="27" t="s">
        <v>8</v>
      </c>
      <c r="BC377" s="31"/>
    </row>
    <row r="378" spans="1:63" x14ac:dyDescent="0.25">
      <c r="A378" s="30">
        <v>1.1909039297486072E-3</v>
      </c>
      <c r="B378"/>
      <c r="C378"/>
      <c r="D378"/>
      <c r="E378"/>
      <c r="AP378" s="27" t="s">
        <v>7</v>
      </c>
      <c r="AQ378" s="27" t="s">
        <v>8</v>
      </c>
      <c r="AR378" s="27" t="s">
        <v>7</v>
      </c>
      <c r="AS378" s="27" t="s">
        <v>8</v>
      </c>
      <c r="AT378" s="27" t="s">
        <v>7</v>
      </c>
      <c r="AV378" s="27" t="s">
        <v>7</v>
      </c>
      <c r="AX378" s="27" t="s">
        <v>7</v>
      </c>
      <c r="BB378" s="31"/>
    </row>
    <row r="379" spans="1:63" x14ac:dyDescent="0.25">
      <c r="A379" s="30">
        <v>1.1341942188081969E-3</v>
      </c>
      <c r="B379"/>
      <c r="C379"/>
      <c r="D379"/>
      <c r="E379"/>
      <c r="AP379" s="27" t="s">
        <v>7</v>
      </c>
      <c r="AQ379" s="27" t="s">
        <v>8</v>
      </c>
      <c r="AR379" s="27" t="s">
        <v>7</v>
      </c>
      <c r="AS379" s="27" t="s">
        <v>8</v>
      </c>
      <c r="BA379" s="31"/>
    </row>
    <row r="380" spans="1:63" x14ac:dyDescent="0.25">
      <c r="A380" s="30">
        <v>1.0801849702935203E-3</v>
      </c>
      <c r="B380"/>
      <c r="C380"/>
      <c r="D380"/>
      <c r="E380"/>
      <c r="AP380" s="27" t="s">
        <v>7</v>
      </c>
      <c r="AQ380" s="27" t="s">
        <v>8</v>
      </c>
      <c r="AR380" s="27" t="s">
        <v>7</v>
      </c>
      <c r="AS380" s="27" t="s">
        <v>8</v>
      </c>
      <c r="AZ380" s="31"/>
    </row>
    <row r="381" spans="1:63" x14ac:dyDescent="0.25">
      <c r="A381" s="30">
        <v>1.0287475907557332E-3</v>
      </c>
      <c r="B381"/>
      <c r="C381"/>
      <c r="D381"/>
      <c r="E381"/>
      <c r="AP381" s="27" t="s">
        <v>7</v>
      </c>
      <c r="AQ381" s="27" t="s">
        <v>8</v>
      </c>
      <c r="AR381" s="27" t="s">
        <v>7</v>
      </c>
      <c r="AS381" s="27" t="s">
        <v>8</v>
      </c>
      <c r="AY381" s="31"/>
    </row>
    <row r="382" spans="1:63" x14ac:dyDescent="0.25">
      <c r="A382" s="30">
        <v>9.7731021121794646E-4</v>
      </c>
      <c r="AP382" s="27" t="s">
        <v>7</v>
      </c>
      <c r="AQ382" s="27" t="s">
        <v>8</v>
      </c>
      <c r="AR382" s="27" t="s">
        <v>7</v>
      </c>
      <c r="AX382" s="31"/>
    </row>
    <row r="383" spans="1:63" x14ac:dyDescent="0.25">
      <c r="A383" s="30">
        <v>9.2844470065704904E-4</v>
      </c>
      <c r="AP383" s="27" t="s">
        <v>7</v>
      </c>
      <c r="AQ383" s="27" t="s">
        <v>8</v>
      </c>
      <c r="AW383" s="31"/>
    </row>
    <row r="384" spans="1:63" x14ac:dyDescent="0.25">
      <c r="A384" s="30">
        <v>8.8202246562419653E-4</v>
      </c>
      <c r="AP384" s="27" t="s">
        <v>7</v>
      </c>
      <c r="AQ384" s="27" t="s">
        <v>8</v>
      </c>
      <c r="AV384" s="31"/>
    </row>
    <row r="385" spans="1:47" x14ac:dyDescent="0.25">
      <c r="A385" s="30">
        <v>8.3792134234298668E-4</v>
      </c>
      <c r="AP385" s="27" t="s">
        <v>7</v>
      </c>
      <c r="AQ385" s="27" t="s">
        <v>8</v>
      </c>
      <c r="AU385" s="31"/>
    </row>
    <row r="386" spans="1:47" x14ac:dyDescent="0.25">
      <c r="A386" s="30">
        <v>7.9602527522583736E-4</v>
      </c>
      <c r="AP386" s="27" t="s">
        <v>7</v>
      </c>
      <c r="AQ386" s="27" t="s">
        <v>8</v>
      </c>
      <c r="AT386" s="31"/>
    </row>
    <row r="387" spans="1:47" x14ac:dyDescent="0.25">
      <c r="A387" s="30">
        <v>7.5622401146454546E-4</v>
      </c>
      <c r="AP387" s="27" t="s">
        <v>7</v>
      </c>
      <c r="AQ387" s="27" t="s">
        <v>8</v>
      </c>
      <c r="AS387" s="31"/>
    </row>
    <row r="388" spans="1:47" x14ac:dyDescent="0.25">
      <c r="A388" s="30">
        <v>7.1841281089131816E-4</v>
      </c>
      <c r="AP388" s="27" t="s">
        <v>7</v>
      </c>
      <c r="AQ388" s="27" t="s">
        <v>8</v>
      </c>
      <c r="AR388" s="31"/>
    </row>
    <row r="389" spans="1:47" x14ac:dyDescent="0.25">
      <c r="A389" s="30">
        <v>6.8249217034675226E-4</v>
      </c>
      <c r="AP389" s="27" t="s">
        <v>7</v>
      </c>
      <c r="AQ389" s="31" t="s">
        <v>8</v>
      </c>
    </row>
    <row r="390" spans="1:47" x14ac:dyDescent="0.25">
      <c r="A390" s="30">
        <v>6.4836756182941465E-4</v>
      </c>
      <c r="AP390" s="31" t="s">
        <v>7</v>
      </c>
    </row>
    <row r="391" spans="1:47" x14ac:dyDescent="0.25">
      <c r="A391" s="30">
        <v>6.1594918373794388E-4</v>
      </c>
    </row>
    <row r="392" spans="1:47" x14ac:dyDescent="0.25">
      <c r="A392" s="30">
        <v>5.8515172455104666E-4</v>
      </c>
    </row>
    <row r="393" spans="1:47" x14ac:dyDescent="0.25">
      <c r="A393" s="30">
        <v>5.5589413832349429E-4</v>
      </c>
    </row>
    <row r="394" spans="1:47" x14ac:dyDescent="0.25">
      <c r="A394" s="30">
        <v>5.2809943140731956E-4</v>
      </c>
    </row>
    <row r="395" spans="1:47" x14ac:dyDescent="0.25">
      <c r="A395" s="30">
        <v>5.0169445983695357E-4</v>
      </c>
    </row>
    <row r="396" spans="1:47" x14ac:dyDescent="0.25">
      <c r="A396" s="30">
        <v>4.7660973684510589E-4</v>
      </c>
    </row>
    <row r="397" spans="1:47" x14ac:dyDescent="0.25">
      <c r="A397" s="30">
        <v>4.5277925000285056E-4</v>
      </c>
    </row>
    <row r="398" spans="1:47" x14ac:dyDescent="0.25">
      <c r="A398" s="30">
        <v>4.3014028750270803E-4</v>
      </c>
    </row>
    <row r="399" spans="1:47" x14ac:dyDescent="0.25">
      <c r="A399" s="30">
        <v>4.0863327312757263E-4</v>
      </c>
    </row>
    <row r="400" spans="1:47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340" operator="equal">
      <formula>$U$1</formula>
    </cfRule>
    <cfRule type="cellIs" dxfId="67" priority="1341" operator="equal">
      <formula>$S$1</formula>
    </cfRule>
  </conditionalFormatting>
  <conditionalFormatting sqref="D136">
    <cfRule type="cellIs" dxfId="66" priority="1338" operator="equal">
      <formula>$S$1</formula>
    </cfRule>
    <cfRule type="cellIs" dxfId="65" priority="1339" operator="equal">
      <formula>$U$1</formula>
    </cfRule>
  </conditionalFormatting>
  <conditionalFormatting sqref="C162">
    <cfRule type="cellIs" dxfId="64" priority="1336" operator="equal">
      <formula>$U$1</formula>
    </cfRule>
    <cfRule type="cellIs" dxfId="63" priority="1337" operator="equal">
      <formula>$S$1</formula>
    </cfRule>
  </conditionalFormatting>
  <conditionalFormatting sqref="D162">
    <cfRule type="cellIs" dxfId="62" priority="1334" operator="equal">
      <formula>$S$1</formula>
    </cfRule>
    <cfRule type="cellIs" dxfId="61" priority="1335" operator="equal">
      <formula>$U$1</formula>
    </cfRule>
  </conditionalFormatting>
  <conditionalFormatting sqref="C187">
    <cfRule type="cellIs" dxfId="60" priority="1332" operator="equal">
      <formula>$U$1</formula>
    </cfRule>
    <cfRule type="cellIs" dxfId="59" priority="1333" operator="equal">
      <formula>$S$1</formula>
    </cfRule>
  </conditionalFormatting>
  <conditionalFormatting sqref="D187">
    <cfRule type="cellIs" dxfId="58" priority="1330" operator="equal">
      <formula>$S$1</formula>
    </cfRule>
    <cfRule type="cellIs" dxfId="57" priority="1331" operator="equal">
      <formula>$U$1</formula>
    </cfRule>
  </conditionalFormatting>
  <conditionalFormatting sqref="C212">
    <cfRule type="cellIs" dxfId="56" priority="1328" operator="equal">
      <formula>$U$1</formula>
    </cfRule>
    <cfRule type="cellIs" dxfId="55" priority="1329" operator="equal">
      <formula>$S$1</formula>
    </cfRule>
  </conditionalFormatting>
  <conditionalFormatting sqref="D212">
    <cfRule type="cellIs" dxfId="54" priority="1326" operator="equal">
      <formula>$S$1</formula>
    </cfRule>
    <cfRule type="cellIs" dxfId="53" priority="1327" operator="equal">
      <formula>$U$1</formula>
    </cfRule>
  </conditionalFormatting>
  <conditionalFormatting sqref="C237">
    <cfRule type="cellIs" dxfId="52" priority="1324" operator="equal">
      <formula>$U$1</formula>
    </cfRule>
    <cfRule type="cellIs" dxfId="51" priority="1325" operator="equal">
      <formula>$S$1</formula>
    </cfRule>
  </conditionalFormatting>
  <conditionalFormatting sqref="D237">
    <cfRule type="cellIs" dxfId="50" priority="1322" operator="equal">
      <formula>$S$1</formula>
    </cfRule>
    <cfRule type="cellIs" dxfId="49" priority="1323" operator="equal">
      <formula>$U$1</formula>
    </cfRule>
  </conditionalFormatting>
  <conditionalFormatting sqref="C106">
    <cfRule type="cellIs" dxfId="48" priority="1320" operator="equal">
      <formula>$U$1</formula>
    </cfRule>
    <cfRule type="cellIs" dxfId="47" priority="1321" operator="equal">
      <formula>$S$1</formula>
    </cfRule>
  </conditionalFormatting>
  <conditionalFormatting sqref="D106">
    <cfRule type="cellIs" dxfId="46" priority="1318" operator="equal">
      <formula>$S$1</formula>
    </cfRule>
    <cfRule type="cellIs" dxfId="45" priority="1319" operator="equal">
      <formula>$U$1</formula>
    </cfRule>
  </conditionalFormatting>
  <conditionalFormatting sqref="C81">
    <cfRule type="cellIs" dxfId="44" priority="1316" operator="equal">
      <formula>$U$1</formula>
    </cfRule>
    <cfRule type="cellIs" dxfId="43" priority="1317" operator="equal">
      <formula>$S$1</formula>
    </cfRule>
  </conditionalFormatting>
  <conditionalFormatting sqref="D81">
    <cfRule type="cellIs" dxfId="42" priority="1314" operator="equal">
      <formula>$S$1</formula>
    </cfRule>
    <cfRule type="cellIs" dxfId="41" priority="1315" operator="equal">
      <formula>$U$1</formula>
    </cfRule>
  </conditionalFormatting>
  <conditionalFormatting sqref="C56">
    <cfRule type="cellIs" dxfId="40" priority="1312" operator="equal">
      <formula>$U$1</formula>
    </cfRule>
    <cfRule type="cellIs" dxfId="39" priority="1313" operator="equal">
      <formula>$S$1</formula>
    </cfRule>
  </conditionalFormatting>
  <conditionalFormatting sqref="D56">
    <cfRule type="cellIs" dxfId="38" priority="1310" operator="equal">
      <formula>$S$1</formula>
    </cfRule>
    <cfRule type="cellIs" dxfId="37" priority="1311" operator="equal">
      <formula>$U$1</formula>
    </cfRule>
  </conditionalFormatting>
  <conditionalFormatting sqref="C31">
    <cfRule type="cellIs" dxfId="36" priority="1308" operator="equal">
      <formula>$U$1</formula>
    </cfRule>
    <cfRule type="cellIs" dxfId="35" priority="1309" operator="equal">
      <formula>$S$1</formula>
    </cfRule>
  </conditionalFormatting>
  <conditionalFormatting sqref="D31">
    <cfRule type="cellIs" dxfId="34" priority="1306" operator="equal">
      <formula>$S$1</formula>
    </cfRule>
    <cfRule type="cellIs" dxfId="33" priority="1307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36" zoomScale="90" zoomScaleNormal="90" workbookViewId="0">
      <pane xSplit="4" topLeftCell="G1" activePane="topRight" state="frozen"/>
      <selection activeCell="A109" sqref="A109"/>
      <selection pane="topRight" activeCell="BN151" sqref="BN15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$A$150</v>
      </c>
      <c r="D111" s="1" t="str">
        <f>ADDRESS(C121-1,D121,1,1)</f>
        <v>$BN$150</v>
      </c>
      <c r="E111"/>
    </row>
    <row r="112" spans="1:5" x14ac:dyDescent="0.25">
      <c r="A112" s="30">
        <v>2.3579476910000019</v>
      </c>
      <c r="C112" s="1" t="str">
        <f>ADDRESS(C121,1,1,1)</f>
        <v>$A$151</v>
      </c>
      <c r="D112" s="1" t="str">
        <f>ADDRESS(C121,D121-1,1,1)</f>
        <v>$BM$151</v>
      </c>
      <c r="E112"/>
    </row>
    <row r="113" spans="1:6" x14ac:dyDescent="0.25">
      <c r="A113" s="30">
        <v>2.1435888100000016</v>
      </c>
      <c r="C113" s="1" t="str">
        <f>ADDRESS(C121+1,1,1,1)</f>
        <v>$A$152</v>
      </c>
      <c r="D113" s="1" t="str">
        <f>ADDRESS(C121-1,D121+1,1,1)</f>
        <v>$BO$150</v>
      </c>
    </row>
    <row r="114" spans="1:6" x14ac:dyDescent="0.25">
      <c r="A114" s="30">
        <v>1.9487171000000014</v>
      </c>
      <c r="C114" s="1" t="str">
        <f>ADDRESS(C121,D121,1,1)</f>
        <v>$BN$151</v>
      </c>
      <c r="D114" s="1" t="str">
        <f>ADDRESS(C121+1,D121+1,1,1)</f>
        <v>$BO$152</v>
      </c>
    </row>
    <row r="115" spans="1:6" x14ac:dyDescent="0.25">
      <c r="A115" s="30">
        <v>1.7715610000000011</v>
      </c>
      <c r="C115" s="1" t="str">
        <f>ADDRESS(C121+1,D121,1,1)</f>
        <v>$BN$152</v>
      </c>
    </row>
    <row r="116" spans="1:6" x14ac:dyDescent="0.25">
      <c r="A116" s="30">
        <v>1.6105100000000008</v>
      </c>
      <c r="C116" s="1">
        <f>C117-1</f>
        <v>150</v>
      </c>
    </row>
    <row r="117" spans="1:6" x14ac:dyDescent="0.25">
      <c r="A117" s="30">
        <v>1.4641000000000006</v>
      </c>
      <c r="C117" s="1">
        <f>C121</f>
        <v>151</v>
      </c>
      <c r="D117" s="1">
        <f>D121</f>
        <v>66</v>
      </c>
    </row>
    <row r="118" spans="1:6" x14ac:dyDescent="0.25">
      <c r="A118" s="30">
        <v>1.3310000000000004</v>
      </c>
      <c r="C118" s="1">
        <f>C117+1</f>
        <v>152</v>
      </c>
      <c r="D118" s="1">
        <f>D117+1</f>
        <v>67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151</v>
      </c>
      <c r="D121" s="19">
        <v>66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R151</v>
      </c>
      <c r="D123" s="1" t="str">
        <f>"C"&amp;D121</f>
        <v>C66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5.7308553301167818E-2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66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66" x14ac:dyDescent="0.25">
      <c r="A130" s="30">
        <v>0.42409761837248428</v>
      </c>
      <c r="C130" s="6"/>
      <c r="D130" s="6"/>
      <c r="E130"/>
      <c r="F130" s="27" t="s">
        <v>7</v>
      </c>
    </row>
    <row r="131" spans="1:66" x14ac:dyDescent="0.25">
      <c r="A131" s="30">
        <v>0.38554328942953109</v>
      </c>
      <c r="E131"/>
      <c r="F131" s="27" t="s">
        <v>7</v>
      </c>
    </row>
    <row r="132" spans="1:66" x14ac:dyDescent="0.25">
      <c r="A132" s="30">
        <v>0.35049389948139187</v>
      </c>
      <c r="C132" s="1" t="s">
        <v>13</v>
      </c>
      <c r="E132"/>
      <c r="F132" s="27" t="s">
        <v>7</v>
      </c>
    </row>
    <row r="133" spans="1:66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66" x14ac:dyDescent="0.25">
      <c r="A134" s="30">
        <v>0.28966437973668741</v>
      </c>
      <c r="C134"/>
      <c r="D134"/>
      <c r="E134"/>
      <c r="F134" s="27" t="s">
        <v>7</v>
      </c>
    </row>
    <row r="135" spans="1:66" x14ac:dyDescent="0.25">
      <c r="A135" s="30">
        <v>0.2633312543060794</v>
      </c>
      <c r="C135" s="1" t="s">
        <v>14</v>
      </c>
      <c r="E135"/>
      <c r="F135" s="27" t="s">
        <v>7</v>
      </c>
    </row>
    <row r="136" spans="1:66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66" x14ac:dyDescent="0.25">
      <c r="A137" s="30">
        <v>0.2176291357901482</v>
      </c>
      <c r="E137"/>
      <c r="F137" s="27" t="s">
        <v>7</v>
      </c>
    </row>
    <row r="138" spans="1:66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AQ138" s="27" t="s">
        <v>8</v>
      </c>
      <c r="AS138" s="27" t="s">
        <v>8</v>
      </c>
      <c r="BK138" s="27" t="s">
        <v>8</v>
      </c>
    </row>
    <row r="139" spans="1:66" x14ac:dyDescent="0.25">
      <c r="A139" s="30">
        <v>0.17985878990921333</v>
      </c>
      <c r="E139"/>
      <c r="F139" s="27" t="s">
        <v>7</v>
      </c>
      <c r="AQ139" s="27" t="s">
        <v>8</v>
      </c>
      <c r="AR139" s="27" t="s">
        <v>7</v>
      </c>
      <c r="AS139" s="27" t="s">
        <v>8</v>
      </c>
      <c r="AT139" s="27" t="s">
        <v>7</v>
      </c>
      <c r="AU139" s="27" t="s">
        <v>8</v>
      </c>
      <c r="BG139" s="27" t="s">
        <v>8</v>
      </c>
      <c r="BK139" s="27" t="s">
        <v>8</v>
      </c>
      <c r="BL139" s="27" t="s">
        <v>7</v>
      </c>
    </row>
    <row r="140" spans="1:66" x14ac:dyDescent="0.25">
      <c r="A140" s="30">
        <v>0.16350799082655756</v>
      </c>
      <c r="C140" s="1">
        <v>0</v>
      </c>
      <c r="E140"/>
      <c r="F140" s="27" t="s">
        <v>7</v>
      </c>
      <c r="AQ140" s="27" t="s">
        <v>8</v>
      </c>
      <c r="AR140" s="27" t="s">
        <v>7</v>
      </c>
      <c r="AS140" s="27" t="s">
        <v>8</v>
      </c>
      <c r="AT140" s="27" t="s">
        <v>7</v>
      </c>
      <c r="AU140" s="27" t="s">
        <v>8</v>
      </c>
      <c r="AV140" s="27" t="s">
        <v>7</v>
      </c>
      <c r="BG140" s="27" t="s">
        <v>8</v>
      </c>
      <c r="BH140" s="27" t="s">
        <v>7</v>
      </c>
      <c r="BI140" s="27" t="s">
        <v>8</v>
      </c>
      <c r="BK140" s="27" t="s">
        <v>8</v>
      </c>
      <c r="BL140" s="27" t="s">
        <v>7</v>
      </c>
    </row>
    <row r="141" spans="1:66" x14ac:dyDescent="0.25">
      <c r="A141" s="30">
        <v>0.14864362802414322</v>
      </c>
      <c r="C141" s="1">
        <v>1</v>
      </c>
      <c r="E141"/>
      <c r="F141" s="27" t="s">
        <v>7</v>
      </c>
      <c r="AQ141" s="27" t="s">
        <v>8</v>
      </c>
      <c r="AR141" s="27" t="s">
        <v>7</v>
      </c>
      <c r="AS141" s="27" t="s">
        <v>8</v>
      </c>
      <c r="AT141" s="27" t="s">
        <v>7</v>
      </c>
      <c r="AU141" s="27" t="s">
        <v>8</v>
      </c>
      <c r="AV141" s="27" t="s">
        <v>7</v>
      </c>
      <c r="BG141" s="27" t="s">
        <v>8</v>
      </c>
      <c r="BH141" s="27" t="s">
        <v>7</v>
      </c>
      <c r="BI141" s="27" t="s">
        <v>8</v>
      </c>
      <c r="BJ141" s="27" t="s">
        <v>7</v>
      </c>
      <c r="BK141" s="27" t="s">
        <v>8</v>
      </c>
      <c r="BL141" s="27" t="s">
        <v>7</v>
      </c>
    </row>
    <row r="142" spans="1:66" x14ac:dyDescent="0.25">
      <c r="A142" s="30">
        <v>0.13513057093103928</v>
      </c>
      <c r="C142" s="1">
        <v>2</v>
      </c>
      <c r="E142"/>
      <c r="F142" s="27" t="s">
        <v>7</v>
      </c>
      <c r="AQ142" s="27" t="s">
        <v>8</v>
      </c>
      <c r="AR142" s="27" t="s">
        <v>7</v>
      </c>
      <c r="AS142" s="27" t="s">
        <v>8</v>
      </c>
      <c r="AT142" s="27" t="s">
        <v>7</v>
      </c>
      <c r="AU142" s="27" t="s">
        <v>8</v>
      </c>
      <c r="AV142" s="27" t="s">
        <v>7</v>
      </c>
      <c r="AW142" s="27" t="s">
        <v>8</v>
      </c>
      <c r="BG142" s="27" t="s">
        <v>8</v>
      </c>
      <c r="BH142" s="27" t="s">
        <v>7</v>
      </c>
      <c r="BI142" s="27" t="s">
        <v>8</v>
      </c>
      <c r="BJ142" s="27" t="s">
        <v>7</v>
      </c>
      <c r="BK142" s="27" t="s">
        <v>8</v>
      </c>
      <c r="BL142" s="27" t="s">
        <v>7</v>
      </c>
    </row>
    <row r="143" spans="1:66" x14ac:dyDescent="0.25">
      <c r="A143" s="30">
        <v>0.12284597357367205</v>
      </c>
      <c r="C143" s="1">
        <v>3</v>
      </c>
      <c r="E143"/>
      <c r="F143" s="27" t="s">
        <v>7</v>
      </c>
      <c r="AQ143" s="27" t="s">
        <v>8</v>
      </c>
      <c r="AR143" s="27" t="s">
        <v>7</v>
      </c>
      <c r="AT143" s="27" t="s">
        <v>7</v>
      </c>
      <c r="AU143" s="27" t="s">
        <v>8</v>
      </c>
      <c r="AV143" s="27" t="s">
        <v>7</v>
      </c>
      <c r="AW143" s="27" t="s">
        <v>8</v>
      </c>
      <c r="AX143" s="27" t="s">
        <v>7</v>
      </c>
      <c r="BC143" s="27" t="s">
        <v>8</v>
      </c>
      <c r="BG143" s="27" t="s">
        <v>8</v>
      </c>
      <c r="BH143" s="27" t="s">
        <v>7</v>
      </c>
      <c r="BI143" s="27" t="s">
        <v>8</v>
      </c>
      <c r="BJ143" s="27" t="s">
        <v>7</v>
      </c>
      <c r="BK143" s="27" t="s">
        <v>8</v>
      </c>
      <c r="BL143" s="27" t="s">
        <v>7</v>
      </c>
      <c r="BM143" s="27" t="s">
        <v>8</v>
      </c>
    </row>
    <row r="144" spans="1:66" x14ac:dyDescent="0.25">
      <c r="A144" s="30">
        <v>0.11167815779424731</v>
      </c>
      <c r="C144" s="1">
        <v>4</v>
      </c>
      <c r="E144"/>
      <c r="F144" s="27" t="s">
        <v>7</v>
      </c>
      <c r="AO144" s="27" t="s">
        <v>8</v>
      </c>
      <c r="AQ144" s="27" t="s">
        <v>8</v>
      </c>
      <c r="AT144" s="27" t="s">
        <v>7</v>
      </c>
      <c r="AV144" s="27" t="s">
        <v>7</v>
      </c>
      <c r="AW144" s="27" t="s">
        <v>8</v>
      </c>
      <c r="AX144" s="27" t="s">
        <v>7</v>
      </c>
      <c r="AY144" s="27" t="s">
        <v>8</v>
      </c>
      <c r="BC144" s="27" t="s">
        <v>8</v>
      </c>
      <c r="BD144" s="27" t="s">
        <v>7</v>
      </c>
      <c r="BE144" s="27" t="s">
        <v>8</v>
      </c>
      <c r="BG144" s="27" t="s">
        <v>8</v>
      </c>
      <c r="BH144" s="27" t="s">
        <v>7</v>
      </c>
      <c r="BJ144" s="27" t="s">
        <v>7</v>
      </c>
      <c r="BL144" s="27" t="s">
        <v>7</v>
      </c>
      <c r="BM144" s="27" t="s">
        <v>8</v>
      </c>
      <c r="BN144" s="27" t="s">
        <v>7</v>
      </c>
    </row>
    <row r="145" spans="1:66" x14ac:dyDescent="0.25">
      <c r="A145" s="30">
        <v>0.10152559799477026</v>
      </c>
      <c r="B145"/>
      <c r="C145"/>
      <c r="D145"/>
      <c r="E145"/>
      <c r="F145" s="27" t="s">
        <v>7</v>
      </c>
      <c r="AO145" s="27" t="s">
        <v>8</v>
      </c>
      <c r="AP145" s="27" t="s">
        <v>7</v>
      </c>
      <c r="AQ145" s="27" t="s">
        <v>8</v>
      </c>
      <c r="AV145" s="27" t="s">
        <v>7</v>
      </c>
      <c r="AW145" s="27" t="s">
        <v>8</v>
      </c>
      <c r="AX145" s="27" t="s">
        <v>7</v>
      </c>
      <c r="AY145" s="27" t="s">
        <v>8</v>
      </c>
      <c r="AZ145" s="27" t="s">
        <v>7</v>
      </c>
      <c r="BC145" s="27" t="s">
        <v>8</v>
      </c>
      <c r="BD145" s="27" t="s">
        <v>7</v>
      </c>
      <c r="BE145" s="27" t="s">
        <v>8</v>
      </c>
      <c r="BF145" s="27" t="s">
        <v>7</v>
      </c>
      <c r="BG145" s="27" t="s">
        <v>8</v>
      </c>
      <c r="BL145" s="27" t="s">
        <v>7</v>
      </c>
      <c r="BM145" s="27" t="s">
        <v>8</v>
      </c>
      <c r="BN145" s="27" t="s">
        <v>7</v>
      </c>
    </row>
    <row r="146" spans="1:66" x14ac:dyDescent="0.25">
      <c r="A146" s="30">
        <v>9.2295998177063854E-2</v>
      </c>
      <c r="B146"/>
      <c r="C146"/>
      <c r="D146"/>
      <c r="E146"/>
      <c r="F146" s="27" t="s">
        <v>7</v>
      </c>
      <c r="AO146" s="27" t="s">
        <v>8</v>
      </c>
      <c r="AP146" s="27" t="s">
        <v>7</v>
      </c>
      <c r="AQ146" s="27" t="s">
        <v>8</v>
      </c>
      <c r="AV146" s="27" t="s">
        <v>7</v>
      </c>
      <c r="AW146" s="27" t="s">
        <v>8</v>
      </c>
      <c r="AX146" s="27" t="s">
        <v>7</v>
      </c>
      <c r="AY146" s="27" t="s">
        <v>8</v>
      </c>
      <c r="AZ146" s="27" t="s">
        <v>7</v>
      </c>
      <c r="BC146" s="27" t="s">
        <v>8</v>
      </c>
      <c r="BD146" s="27" t="s">
        <v>7</v>
      </c>
      <c r="BE146" s="27" t="s">
        <v>8</v>
      </c>
      <c r="BF146" s="27" t="s">
        <v>7</v>
      </c>
      <c r="BG146" s="27" t="s">
        <v>8</v>
      </c>
      <c r="BL146" s="27" t="s">
        <v>7</v>
      </c>
      <c r="BN146" s="27" t="s">
        <v>7</v>
      </c>
    </row>
    <row r="147" spans="1:66" x14ac:dyDescent="0.25">
      <c r="A147" s="30">
        <v>8.3905452888239848E-2</v>
      </c>
      <c r="B147"/>
      <c r="C147"/>
      <c r="D147"/>
      <c r="E147"/>
      <c r="F147" s="27" t="s">
        <v>7</v>
      </c>
      <c r="AM147" s="27" t="s">
        <v>8</v>
      </c>
      <c r="AO147" s="27" t="s">
        <v>8</v>
      </c>
      <c r="AP147" s="27" t="s">
        <v>7</v>
      </c>
      <c r="AV147" s="27" t="s">
        <v>7</v>
      </c>
      <c r="AW147" s="27" t="s">
        <v>8</v>
      </c>
      <c r="AX147" s="27" t="s">
        <v>7</v>
      </c>
      <c r="AZ147" s="27" t="s">
        <v>7</v>
      </c>
      <c r="BA147" s="27" t="s">
        <v>8</v>
      </c>
      <c r="BC147" s="27" t="s">
        <v>8</v>
      </c>
      <c r="BD147" s="27" t="s">
        <v>7</v>
      </c>
      <c r="BE147" s="27" t="s">
        <v>8</v>
      </c>
      <c r="BF147" s="27" t="s">
        <v>7</v>
      </c>
      <c r="BN147" s="27" t="s">
        <v>7</v>
      </c>
    </row>
    <row r="148" spans="1:66" x14ac:dyDescent="0.25">
      <c r="A148" s="30">
        <v>7.6277684443854396E-2</v>
      </c>
      <c r="B148"/>
      <c r="C148"/>
      <c r="D148"/>
      <c r="E148"/>
      <c r="F148" s="27" t="s">
        <v>7</v>
      </c>
      <c r="AM148" s="27" t="s">
        <v>8</v>
      </c>
      <c r="AN148" s="27" t="s">
        <v>7</v>
      </c>
      <c r="AO148" s="27" t="s">
        <v>8</v>
      </c>
      <c r="AV148" s="27" t="s">
        <v>7</v>
      </c>
      <c r="AZ148" s="27" t="s">
        <v>7</v>
      </c>
      <c r="BA148" s="27" t="s">
        <v>8</v>
      </c>
      <c r="BB148" s="27" t="s">
        <v>7</v>
      </c>
      <c r="BC148" s="27" t="s">
        <v>8</v>
      </c>
      <c r="BD148" s="27" t="s">
        <v>7</v>
      </c>
      <c r="BN148" s="27" t="s">
        <v>7</v>
      </c>
    </row>
    <row r="149" spans="1:66" x14ac:dyDescent="0.25">
      <c r="A149" s="30">
        <v>6.9343349494413078E-2</v>
      </c>
      <c r="B149"/>
      <c r="C149"/>
      <c r="D149"/>
      <c r="E149"/>
      <c r="F149" s="27" t="s">
        <v>7</v>
      </c>
      <c r="AM149" s="27" t="s">
        <v>8</v>
      </c>
      <c r="AN149" s="27" t="s">
        <v>7</v>
      </c>
      <c r="AO149" s="27" t="s">
        <v>8</v>
      </c>
      <c r="AZ149" s="27" t="s">
        <v>7</v>
      </c>
      <c r="BA149" s="27" t="s">
        <v>8</v>
      </c>
      <c r="BB149" s="27" t="s">
        <v>7</v>
      </c>
      <c r="BC149" s="27" t="s">
        <v>8</v>
      </c>
      <c r="BN149" s="27" t="s">
        <v>7</v>
      </c>
    </row>
    <row r="150" spans="1:66" x14ac:dyDescent="0.25">
      <c r="A150" s="30">
        <v>6.3039408631284613E-2</v>
      </c>
      <c r="B150"/>
      <c r="C150"/>
      <c r="D150"/>
      <c r="E150"/>
      <c r="F150" s="27" t="s">
        <v>7</v>
      </c>
      <c r="AM150" s="27" t="s">
        <v>8</v>
      </c>
      <c r="AN150" s="27" t="s">
        <v>7</v>
      </c>
      <c r="AZ150" s="27" t="s">
        <v>7</v>
      </c>
      <c r="BA150" s="27" t="s">
        <v>8</v>
      </c>
      <c r="BB150" s="18" t="s">
        <v>7</v>
      </c>
      <c r="BC150" s="27" t="s">
        <v>8</v>
      </c>
      <c r="BD150" s="31"/>
      <c r="BN150" s="27" t="s">
        <v>7</v>
      </c>
    </row>
    <row r="151" spans="1:66" x14ac:dyDescent="0.25">
      <c r="A151" s="30">
        <v>5.7308553301167818E-2</v>
      </c>
      <c r="B151"/>
      <c r="C151"/>
      <c r="D151"/>
      <c r="E151"/>
      <c r="F151" s="27" t="s">
        <v>7</v>
      </c>
      <c r="AM151" s="27" t="s">
        <v>8</v>
      </c>
      <c r="AZ151" s="27" t="s">
        <v>7</v>
      </c>
      <c r="BA151" s="27" t="s">
        <v>8</v>
      </c>
      <c r="BB151" s="27" t="s">
        <v>7</v>
      </c>
      <c r="BC151" s="31"/>
      <c r="BN151" s="27" t="s">
        <v>7</v>
      </c>
    </row>
    <row r="152" spans="1:66" x14ac:dyDescent="0.25">
      <c r="A152" s="30">
        <v>5.2098684819243464E-2</v>
      </c>
      <c r="B152"/>
      <c r="C152"/>
      <c r="D152"/>
      <c r="E152"/>
      <c r="F152" s="27" t="s">
        <v>7</v>
      </c>
      <c r="AM152" s="27" t="s">
        <v>8</v>
      </c>
      <c r="AZ152" s="27" t="s">
        <v>7</v>
      </c>
      <c r="BB152" s="31"/>
    </row>
    <row r="153" spans="1:66" x14ac:dyDescent="0.25">
      <c r="A153" s="30">
        <v>4.7362440744766775E-2</v>
      </c>
      <c r="B153"/>
      <c r="C153"/>
      <c r="D153"/>
      <c r="E153"/>
      <c r="F153" s="27" t="s">
        <v>7</v>
      </c>
      <c r="AM153" s="27" t="s">
        <v>8</v>
      </c>
      <c r="BA153" s="31"/>
    </row>
    <row r="154" spans="1:66" x14ac:dyDescent="0.25">
      <c r="A154" s="30">
        <v>4.3056764313424332E-2</v>
      </c>
      <c r="B154"/>
      <c r="C154"/>
      <c r="D154"/>
      <c r="E154"/>
      <c r="F154" s="27" t="s">
        <v>7</v>
      </c>
      <c r="AM154" s="27" t="s">
        <v>8</v>
      </c>
      <c r="AZ154" s="31"/>
    </row>
    <row r="155" spans="1:66" x14ac:dyDescent="0.25">
      <c r="A155" s="30">
        <v>3.9142513012203929E-2</v>
      </c>
      <c r="B155"/>
      <c r="C155"/>
      <c r="D155"/>
      <c r="E155"/>
      <c r="F155" s="27" t="s">
        <v>7</v>
      </c>
      <c r="AK155" s="27" t="s">
        <v>8</v>
      </c>
      <c r="AM155" s="27" t="s">
        <v>8</v>
      </c>
      <c r="AY155" s="31"/>
    </row>
    <row r="156" spans="1:66" x14ac:dyDescent="0.25">
      <c r="A156" s="30">
        <v>3.55841027383672E-2</v>
      </c>
      <c r="B156"/>
      <c r="C156"/>
      <c r="D156"/>
      <c r="E156"/>
      <c r="F156" s="27" t="s">
        <v>7</v>
      </c>
      <c r="AK156" s="27" t="s">
        <v>8</v>
      </c>
      <c r="AL156" s="27" t="s">
        <v>7</v>
      </c>
      <c r="AM156" s="27" t="s">
        <v>8</v>
      </c>
      <c r="AX156" s="31"/>
    </row>
    <row r="157" spans="1:66" x14ac:dyDescent="0.25">
      <c r="A157" s="30">
        <v>3.2349184307606541E-2</v>
      </c>
      <c r="B157"/>
      <c r="C157"/>
      <c r="D157"/>
      <c r="E157"/>
      <c r="F157" s="27" t="s">
        <v>7</v>
      </c>
      <c r="AK157" s="27" t="s">
        <v>8</v>
      </c>
      <c r="AL157" s="27" t="s">
        <v>7</v>
      </c>
      <c r="AM157" s="27" t="s">
        <v>8</v>
      </c>
      <c r="AW157" s="31"/>
    </row>
    <row r="158" spans="1:66" x14ac:dyDescent="0.25">
      <c r="A158" s="30">
        <v>2.9408349370551395E-2</v>
      </c>
      <c r="B158"/>
      <c r="C158"/>
      <c r="D158"/>
      <c r="E158"/>
      <c r="F158" s="27" t="s">
        <v>7</v>
      </c>
      <c r="AK158" s="27" t="s">
        <v>8</v>
      </c>
      <c r="AL158" s="27" t="s">
        <v>7</v>
      </c>
      <c r="AM158" s="27" t="s">
        <v>8</v>
      </c>
      <c r="AV158" s="31"/>
    </row>
    <row r="159" spans="1:66" x14ac:dyDescent="0.25">
      <c r="A159" s="30">
        <v>2.6734863064137627E-2</v>
      </c>
      <c r="B159"/>
      <c r="C159"/>
      <c r="D159"/>
      <c r="E159"/>
      <c r="F159" s="27" t="s">
        <v>7</v>
      </c>
      <c r="AK159" s="27" t="s">
        <v>8</v>
      </c>
      <c r="AL159" s="27" t="s">
        <v>7</v>
      </c>
      <c r="AM159" s="27" t="s">
        <v>8</v>
      </c>
      <c r="AU159" s="31"/>
    </row>
    <row r="160" spans="1:66" x14ac:dyDescent="0.25">
      <c r="A160" s="30">
        <v>2.4304420967397839E-2</v>
      </c>
      <c r="B160"/>
      <c r="C160"/>
      <c r="D160"/>
      <c r="E160"/>
      <c r="F160" s="27" t="s">
        <v>7</v>
      </c>
      <c r="AK160" s="27" t="s">
        <v>8</v>
      </c>
      <c r="AL160" s="27" t="s">
        <v>7</v>
      </c>
      <c r="AM160" s="27" t="s">
        <v>8</v>
      </c>
      <c r="AT160" s="31"/>
    </row>
    <row r="161" spans="1:45" x14ac:dyDescent="0.25">
      <c r="A161" s="30">
        <v>2.2094928152179852E-2</v>
      </c>
      <c r="B161"/>
      <c r="C161"/>
      <c r="D161"/>
      <c r="E161"/>
      <c r="F161" s="27" t="s">
        <v>7</v>
      </c>
      <c r="AK161" s="27" t="s">
        <v>8</v>
      </c>
      <c r="AL161" s="27" t="s">
        <v>7</v>
      </c>
      <c r="AM161" s="27" t="s">
        <v>8</v>
      </c>
      <c r="AS161" s="31"/>
    </row>
    <row r="162" spans="1:45" x14ac:dyDescent="0.25">
      <c r="A162" s="30">
        <v>2.0086298320163499E-2</v>
      </c>
      <c r="B162"/>
      <c r="C162"/>
      <c r="D162"/>
      <c r="E162"/>
      <c r="F162" s="27" t="s">
        <v>7</v>
      </c>
      <c r="AK162" s="27" t="s">
        <v>8</v>
      </c>
      <c r="AL162" s="27" t="s">
        <v>7</v>
      </c>
      <c r="AR162" s="31"/>
    </row>
    <row r="163" spans="1:45" x14ac:dyDescent="0.25">
      <c r="A163" s="30">
        <v>1.8260271200148632E-2</v>
      </c>
      <c r="B163"/>
      <c r="C163"/>
      <c r="D163"/>
      <c r="E163"/>
      <c r="F163" s="27" t="s">
        <v>7</v>
      </c>
      <c r="Y163" s="27" t="s">
        <v>8</v>
      </c>
      <c r="AK163" s="27" t="s">
        <v>8</v>
      </c>
      <c r="AQ163" s="31"/>
    </row>
    <row r="164" spans="1:45" x14ac:dyDescent="0.25">
      <c r="A164" s="30">
        <v>1.6600246545589663E-2</v>
      </c>
      <c r="B164"/>
      <c r="C164"/>
      <c r="D164"/>
      <c r="E164"/>
      <c r="F164" s="27" t="s">
        <v>7</v>
      </c>
      <c r="Y164" s="27" t="s">
        <v>8</v>
      </c>
      <c r="Z164" s="27" t="s">
        <v>7</v>
      </c>
      <c r="AK164" s="27" t="s">
        <v>8</v>
      </c>
      <c r="AP164" s="31"/>
    </row>
    <row r="165" spans="1:45" x14ac:dyDescent="0.25">
      <c r="A165" s="30">
        <v>1.5091133223263328E-2</v>
      </c>
      <c r="B165"/>
      <c r="C165"/>
      <c r="D165"/>
      <c r="E165"/>
      <c r="F165" s="27" t="s">
        <v>7</v>
      </c>
      <c r="Y165" s="27" t="s">
        <v>8</v>
      </c>
      <c r="Z165" s="27" t="s">
        <v>7</v>
      </c>
      <c r="AK165" s="27" t="s">
        <v>8</v>
      </c>
      <c r="AO165" s="31"/>
    </row>
    <row r="166" spans="1:45" x14ac:dyDescent="0.25">
      <c r="A166" s="30">
        <v>1.3719212021148477E-2</v>
      </c>
      <c r="B166"/>
      <c r="C166"/>
      <c r="D166"/>
      <c r="E166"/>
      <c r="F166" s="27" t="s">
        <v>7</v>
      </c>
      <c r="Y166" s="27" t="s">
        <v>8</v>
      </c>
      <c r="Z166" s="27" t="s">
        <v>7</v>
      </c>
      <c r="AI166" s="27" t="s">
        <v>8</v>
      </c>
      <c r="AK166" s="27" t="s">
        <v>8</v>
      </c>
      <c r="AN166" s="31"/>
    </row>
    <row r="167" spans="1:45" x14ac:dyDescent="0.25">
      <c r="A167" s="30">
        <v>1.2472010928316795E-2</v>
      </c>
      <c r="B167"/>
      <c r="C167"/>
      <c r="D167"/>
      <c r="E167"/>
      <c r="F167" s="27" t="s">
        <v>7</v>
      </c>
      <c r="Y167" s="27" t="s">
        <v>8</v>
      </c>
      <c r="Z167" s="27" t="s">
        <v>7</v>
      </c>
      <c r="AG167" s="27" t="s">
        <v>8</v>
      </c>
      <c r="AI167" s="27" t="s">
        <v>8</v>
      </c>
      <c r="AJ167" s="27" t="s">
        <v>7</v>
      </c>
      <c r="AK167" s="27" t="s">
        <v>8</v>
      </c>
      <c r="AM167" s="31"/>
    </row>
    <row r="168" spans="1:45" x14ac:dyDescent="0.25">
      <c r="A168" s="30">
        <v>1.1338191753015267E-2</v>
      </c>
      <c r="B168"/>
      <c r="C168"/>
      <c r="D168"/>
      <c r="E168"/>
      <c r="F168" s="27" t="s">
        <v>7</v>
      </c>
      <c r="Y168" s="27" t="s">
        <v>8</v>
      </c>
      <c r="Z168" s="27" t="s">
        <v>7</v>
      </c>
      <c r="AE168" s="27" t="s">
        <v>8</v>
      </c>
      <c r="AG168" s="27" t="s">
        <v>8</v>
      </c>
      <c r="AH168" s="27" t="s">
        <v>7</v>
      </c>
      <c r="AI168" s="27" t="s">
        <v>8</v>
      </c>
      <c r="AJ168" s="27" t="s">
        <v>7</v>
      </c>
      <c r="AK168" s="27" t="s">
        <v>8</v>
      </c>
      <c r="AL168" s="31"/>
    </row>
    <row r="169" spans="1:45" x14ac:dyDescent="0.25">
      <c r="A169" s="30">
        <v>1.0307447048195697E-2</v>
      </c>
      <c r="B169"/>
      <c r="C169"/>
      <c r="D169"/>
      <c r="E169"/>
      <c r="F169" s="27" t="s">
        <v>7</v>
      </c>
      <c r="Y169" s="27" t="s">
        <v>8</v>
      </c>
      <c r="Z169" s="27" t="s">
        <v>7</v>
      </c>
      <c r="AC169" s="27" t="s">
        <v>8</v>
      </c>
      <c r="AE169" s="27" t="s">
        <v>8</v>
      </c>
      <c r="AF169" s="27" t="s">
        <v>7</v>
      </c>
      <c r="AG169" s="27" t="s">
        <v>8</v>
      </c>
      <c r="AH169" s="27" t="s">
        <v>7</v>
      </c>
      <c r="AI169" s="27" t="s">
        <v>8</v>
      </c>
      <c r="AJ169" s="27" t="s">
        <v>7</v>
      </c>
      <c r="AK169" s="31" t="s">
        <v>8</v>
      </c>
    </row>
    <row r="170" spans="1:45" x14ac:dyDescent="0.25">
      <c r="A170" s="30">
        <v>9.3704064074506318E-3</v>
      </c>
      <c r="B170"/>
      <c r="C170"/>
      <c r="D170"/>
      <c r="E170"/>
      <c r="F170" s="27" t="s">
        <v>7</v>
      </c>
      <c r="Y170" s="27" t="s">
        <v>8</v>
      </c>
      <c r="Z170" s="27" t="s">
        <v>7</v>
      </c>
      <c r="AC170" s="27" t="s">
        <v>8</v>
      </c>
      <c r="AD170" s="27" t="s">
        <v>7</v>
      </c>
      <c r="AE170" s="27" t="s">
        <v>8</v>
      </c>
      <c r="AF170" s="27" t="s">
        <v>7</v>
      </c>
      <c r="AG170" s="27" t="s">
        <v>8</v>
      </c>
      <c r="AH170" s="27" t="s">
        <v>7</v>
      </c>
      <c r="AI170" s="27" t="s">
        <v>8</v>
      </c>
      <c r="AJ170" s="31" t="s">
        <v>7</v>
      </c>
    </row>
    <row r="171" spans="1:45" x14ac:dyDescent="0.25">
      <c r="A171" s="30">
        <v>8.5185512795005747E-3</v>
      </c>
      <c r="F171" s="27" t="s">
        <v>7</v>
      </c>
      <c r="Y171" s="27" t="s">
        <v>8</v>
      </c>
      <c r="Z171" s="27" t="s">
        <v>7</v>
      </c>
      <c r="AC171" s="27" t="s">
        <v>8</v>
      </c>
      <c r="AD171" s="27" t="s">
        <v>7</v>
      </c>
      <c r="AE171" s="27" t="s">
        <v>8</v>
      </c>
      <c r="AF171" s="27" t="s">
        <v>7</v>
      </c>
      <c r="AH171" s="27" t="s">
        <v>7</v>
      </c>
      <c r="AI171" s="31" t="s">
        <v>8</v>
      </c>
    </row>
    <row r="172" spans="1:45" x14ac:dyDescent="0.25">
      <c r="A172" s="30">
        <v>7.744137526818704E-3</v>
      </c>
      <c r="F172" s="27" t="s">
        <v>7</v>
      </c>
      <c r="W172" s="27" t="s">
        <v>8</v>
      </c>
      <c r="Y172" s="27" t="s">
        <v>8</v>
      </c>
      <c r="Z172" s="27" t="s">
        <v>7</v>
      </c>
      <c r="AA172" s="27" t="s">
        <v>8</v>
      </c>
      <c r="AC172" s="27" t="s">
        <v>8</v>
      </c>
      <c r="AD172" s="27" t="s">
        <v>7</v>
      </c>
      <c r="AE172" s="27" t="s">
        <v>8</v>
      </c>
      <c r="AH172" s="31" t="s">
        <v>7</v>
      </c>
    </row>
    <row r="173" spans="1:45" x14ac:dyDescent="0.25">
      <c r="A173" s="30">
        <v>7.0401250243806394E-3</v>
      </c>
      <c r="F173" s="27" t="s">
        <v>7</v>
      </c>
      <c r="W173" s="27" t="s">
        <v>8</v>
      </c>
      <c r="X173" s="27" t="s">
        <v>7</v>
      </c>
      <c r="Y173" s="27" t="s">
        <v>8</v>
      </c>
      <c r="Z173" s="27" t="s">
        <v>7</v>
      </c>
      <c r="AA173" s="27" t="s">
        <v>8</v>
      </c>
      <c r="AB173" s="27" t="s">
        <v>7</v>
      </c>
      <c r="AC173" s="27" t="s">
        <v>8</v>
      </c>
      <c r="AD173" s="27" t="s">
        <v>7</v>
      </c>
      <c r="AE173" s="27" t="s">
        <v>8</v>
      </c>
    </row>
    <row r="174" spans="1:45" x14ac:dyDescent="0.25">
      <c r="A174" s="30">
        <v>6.4001136585278536E-3</v>
      </c>
      <c r="F174" s="27" t="s">
        <v>7</v>
      </c>
      <c r="W174" s="27" t="s">
        <v>8</v>
      </c>
      <c r="X174" s="27" t="s">
        <v>7</v>
      </c>
      <c r="Y174" s="27" t="s">
        <v>8</v>
      </c>
      <c r="Z174" s="27" t="s">
        <v>7</v>
      </c>
      <c r="AA174" s="27" t="s">
        <v>8</v>
      </c>
      <c r="AB174" s="27" t="s">
        <v>7</v>
      </c>
      <c r="AC174" s="27" t="s">
        <v>8</v>
      </c>
      <c r="AD174" s="27" t="s">
        <v>7</v>
      </c>
    </row>
    <row r="175" spans="1:45" x14ac:dyDescent="0.25">
      <c r="A175" s="30">
        <v>5.8182851441162305E-3</v>
      </c>
      <c r="F175" s="27" t="s">
        <v>7</v>
      </c>
      <c r="W175" s="27" t="s">
        <v>8</v>
      </c>
      <c r="X175" s="27" t="s">
        <v>7</v>
      </c>
      <c r="Y175" s="27" t="s">
        <v>8</v>
      </c>
      <c r="Z175" s="27" t="s">
        <v>7</v>
      </c>
      <c r="AA175" s="27" t="s">
        <v>8</v>
      </c>
      <c r="AB175" s="27" t="s">
        <v>7</v>
      </c>
    </row>
    <row r="176" spans="1:45" x14ac:dyDescent="0.25">
      <c r="A176" s="30">
        <v>5.2893501310147546E-3</v>
      </c>
      <c r="F176" s="27" t="s">
        <v>7</v>
      </c>
      <c r="W176" s="27" t="s">
        <v>8</v>
      </c>
      <c r="X176" s="27" t="s">
        <v>7</v>
      </c>
      <c r="Z176" s="27" t="s">
        <v>7</v>
      </c>
      <c r="AA176" s="27" t="s">
        <v>8</v>
      </c>
    </row>
    <row r="177" spans="1:26" x14ac:dyDescent="0.25">
      <c r="A177" s="30">
        <v>4.8085001191043222E-3</v>
      </c>
      <c r="F177" s="27" t="s">
        <v>7</v>
      </c>
      <c r="W177" s="27" t="s">
        <v>8</v>
      </c>
      <c r="Z177" s="27" t="s">
        <v>7</v>
      </c>
    </row>
    <row r="178" spans="1:26" x14ac:dyDescent="0.25">
      <c r="A178" s="30">
        <v>4.3713637446402926E-3</v>
      </c>
      <c r="F178" s="27" t="s">
        <v>7</v>
      </c>
      <c r="W178" s="27" t="s">
        <v>8</v>
      </c>
    </row>
    <row r="179" spans="1:26" x14ac:dyDescent="0.25">
      <c r="A179" s="30">
        <v>3.9739670405820838E-3</v>
      </c>
      <c r="F179" s="27" t="s">
        <v>7</v>
      </c>
      <c r="K179" s="27" t="s">
        <v>8</v>
      </c>
      <c r="W179" s="27" t="s">
        <v>8</v>
      </c>
    </row>
    <row r="180" spans="1:26" x14ac:dyDescent="0.25">
      <c r="A180" s="30">
        <v>3.6126973096200759E-3</v>
      </c>
      <c r="F180" s="27" t="s">
        <v>7</v>
      </c>
      <c r="K180" s="27" t="s">
        <v>8</v>
      </c>
      <c r="L180" s="27" t="s">
        <v>7</v>
      </c>
      <c r="W180" s="27" t="s">
        <v>8</v>
      </c>
    </row>
    <row r="181" spans="1:26" x14ac:dyDescent="0.25">
      <c r="A181" s="30">
        <v>3.2842702814727962E-3</v>
      </c>
      <c r="F181" s="27" t="s">
        <v>7</v>
      </c>
      <c r="I181" s="27" t="s">
        <v>8</v>
      </c>
      <c r="K181" s="27" t="s">
        <v>8</v>
      </c>
      <c r="L181" s="27" t="s">
        <v>7</v>
      </c>
      <c r="W181" s="27" t="s">
        <v>8</v>
      </c>
    </row>
    <row r="182" spans="1:26" x14ac:dyDescent="0.25">
      <c r="A182" s="30">
        <v>2.9857002558843601E-3</v>
      </c>
      <c r="F182" s="27" t="s">
        <v>7</v>
      </c>
      <c r="I182" s="27" t="s">
        <v>8</v>
      </c>
      <c r="J182" s="27" t="s">
        <v>7</v>
      </c>
      <c r="K182" s="27" t="s">
        <v>8</v>
      </c>
      <c r="L182" s="27" t="s">
        <v>7</v>
      </c>
      <c r="W182" s="27" t="s">
        <v>8</v>
      </c>
    </row>
    <row r="183" spans="1:26" x14ac:dyDescent="0.25">
      <c r="A183" s="30">
        <v>2.7142729598948726E-3</v>
      </c>
      <c r="F183" s="27" t="s">
        <v>7</v>
      </c>
      <c r="G183" s="27" t="s">
        <v>8</v>
      </c>
      <c r="I183" s="27" t="s">
        <v>8</v>
      </c>
      <c r="J183" s="27" t="s">
        <v>7</v>
      </c>
      <c r="K183" s="27" t="s">
        <v>8</v>
      </c>
      <c r="L183" s="27" t="s">
        <v>7</v>
      </c>
      <c r="M183" s="27" t="s">
        <v>8</v>
      </c>
      <c r="W183" s="27" t="s">
        <v>8</v>
      </c>
    </row>
    <row r="184" spans="1:26" x14ac:dyDescent="0.25">
      <c r="A184" s="30">
        <v>2.4675208726317021E-3</v>
      </c>
      <c r="F184" s="27" t="s">
        <v>7</v>
      </c>
      <c r="G184" s="27" t="s">
        <v>8</v>
      </c>
      <c r="H184" s="27" t="s">
        <v>7</v>
      </c>
      <c r="I184" s="27" t="s">
        <v>8</v>
      </c>
      <c r="J184" s="27" t="s">
        <v>7</v>
      </c>
      <c r="K184" s="27" t="s">
        <v>8</v>
      </c>
      <c r="L184" s="27" t="s">
        <v>7</v>
      </c>
      <c r="M184" s="27" t="s">
        <v>8</v>
      </c>
      <c r="N184" s="27" t="s">
        <v>7</v>
      </c>
      <c r="W184" s="27" t="s">
        <v>8</v>
      </c>
    </row>
    <row r="185" spans="1:26" x14ac:dyDescent="0.25">
      <c r="A185" s="30">
        <v>2.2432007933015472E-3</v>
      </c>
      <c r="F185" s="27" t="s">
        <v>7</v>
      </c>
      <c r="G185" s="27" t="s">
        <v>8</v>
      </c>
      <c r="H185" s="27" t="s">
        <v>7</v>
      </c>
      <c r="I185" s="27" t="s">
        <v>8</v>
      </c>
      <c r="J185" s="27" t="s">
        <v>7</v>
      </c>
      <c r="K185" s="27" t="s">
        <v>8</v>
      </c>
      <c r="L185" s="27" t="s">
        <v>7</v>
      </c>
      <c r="M185" s="27" t="s">
        <v>8</v>
      </c>
      <c r="N185" s="27" t="s">
        <v>7</v>
      </c>
      <c r="W185" s="27" t="s">
        <v>8</v>
      </c>
    </row>
    <row r="186" spans="1:26" x14ac:dyDescent="0.25">
      <c r="A186" s="30">
        <v>2.0392734484559519E-3</v>
      </c>
      <c r="F186" s="27" t="s">
        <v>7</v>
      </c>
      <c r="H186" s="27" t="s">
        <v>7</v>
      </c>
      <c r="J186" s="27" t="s">
        <v>7</v>
      </c>
      <c r="K186" s="27" t="s">
        <v>8</v>
      </c>
      <c r="L186" s="27" t="s">
        <v>7</v>
      </c>
      <c r="M186" s="27" t="s">
        <v>8</v>
      </c>
      <c r="N186" s="27" t="s">
        <v>7</v>
      </c>
      <c r="Q186" s="27" t="s">
        <v>8</v>
      </c>
      <c r="U186" s="27" t="s">
        <v>8</v>
      </c>
      <c r="W186" s="27" t="s">
        <v>8</v>
      </c>
    </row>
    <row r="187" spans="1:26" x14ac:dyDescent="0.25">
      <c r="A187" s="30">
        <v>1.8538849531417744E-3</v>
      </c>
      <c r="J187" s="27" t="s">
        <v>7</v>
      </c>
      <c r="K187" s="27" t="s">
        <v>8</v>
      </c>
      <c r="L187" s="27" t="s">
        <v>7</v>
      </c>
      <c r="M187" s="27" t="s">
        <v>8</v>
      </c>
      <c r="N187" s="27" t="s">
        <v>7</v>
      </c>
      <c r="Q187" s="27" t="s">
        <v>8</v>
      </c>
      <c r="R187" s="27" t="s">
        <v>7</v>
      </c>
      <c r="S187" s="27" t="s">
        <v>8</v>
      </c>
      <c r="U187" s="27" t="s">
        <v>8</v>
      </c>
      <c r="V187" s="27" t="s">
        <v>7</v>
      </c>
      <c r="W187" s="27" t="s">
        <v>8</v>
      </c>
    </row>
    <row r="188" spans="1:26" x14ac:dyDescent="0.25">
      <c r="A188" s="30">
        <v>1.6853499574016129E-3</v>
      </c>
      <c r="J188" s="27" t="s">
        <v>7</v>
      </c>
      <c r="K188" s="27" t="s">
        <v>8</v>
      </c>
      <c r="L188" s="27" t="s">
        <v>7</v>
      </c>
      <c r="N188" s="27" t="s">
        <v>7</v>
      </c>
      <c r="Q188" s="27" t="s">
        <v>8</v>
      </c>
      <c r="R188" s="27" t="s">
        <v>7</v>
      </c>
      <c r="S188" s="27" t="s">
        <v>8</v>
      </c>
      <c r="T188" s="27" t="s">
        <v>7</v>
      </c>
      <c r="U188" s="27" t="s">
        <v>8</v>
      </c>
      <c r="V188" s="27" t="s">
        <v>7</v>
      </c>
      <c r="W188" s="27" t="s">
        <v>8</v>
      </c>
    </row>
    <row r="189" spans="1:26" x14ac:dyDescent="0.25">
      <c r="A189" s="30">
        <v>1.5321363249105571E-3</v>
      </c>
      <c r="J189" s="27" t="s">
        <v>7</v>
      </c>
      <c r="K189" s="27" t="s">
        <v>8</v>
      </c>
      <c r="N189" s="27" t="s">
        <v>7</v>
      </c>
      <c r="Q189" s="27" t="s">
        <v>8</v>
      </c>
      <c r="R189" s="27" t="s">
        <v>7</v>
      </c>
      <c r="S189" s="27" t="s">
        <v>8</v>
      </c>
      <c r="T189" s="27" t="s">
        <v>7</v>
      </c>
      <c r="U189" s="27" t="s">
        <v>8</v>
      </c>
      <c r="V189" s="27" t="s">
        <v>7</v>
      </c>
      <c r="W189" s="27" t="s">
        <v>8</v>
      </c>
    </row>
    <row r="190" spans="1:26" x14ac:dyDescent="0.25">
      <c r="A190" s="30">
        <v>1.3928512044641427E-3</v>
      </c>
      <c r="J190" s="27" t="s">
        <v>7</v>
      </c>
      <c r="K190" s="27" t="s">
        <v>8</v>
      </c>
      <c r="N190" s="27" t="s">
        <v>7</v>
      </c>
      <c r="O190" s="27" t="s">
        <v>8</v>
      </c>
      <c r="Q190" s="27" t="s">
        <v>8</v>
      </c>
      <c r="R190" s="27" t="s">
        <v>7</v>
      </c>
      <c r="T190" s="27" t="s">
        <v>7</v>
      </c>
      <c r="U190" s="27" t="s">
        <v>8</v>
      </c>
      <c r="V190" s="27" t="s">
        <v>7</v>
      </c>
    </row>
    <row r="191" spans="1:26" x14ac:dyDescent="0.25">
      <c r="A191" s="30">
        <v>1.2662283676946752E-3</v>
      </c>
      <c r="J191" s="27" t="s">
        <v>7</v>
      </c>
      <c r="N191" s="27" t="s">
        <v>7</v>
      </c>
      <c r="O191" s="27" t="s">
        <v>8</v>
      </c>
      <c r="P191" s="27" t="s">
        <v>7</v>
      </c>
      <c r="Q191" s="27" t="s">
        <v>8</v>
      </c>
      <c r="T191" s="27" t="s">
        <v>7</v>
      </c>
      <c r="U191" s="27" t="s">
        <v>8</v>
      </c>
    </row>
    <row r="192" spans="1:26" x14ac:dyDescent="0.25">
      <c r="A192" s="30">
        <v>1.15111669790425E-3</v>
      </c>
      <c r="N192" s="27" t="s">
        <v>7</v>
      </c>
      <c r="O192" s="27" t="s">
        <v>8</v>
      </c>
      <c r="P192" s="27" t="s">
        <v>7</v>
      </c>
      <c r="Q192" s="27" t="s">
        <v>8</v>
      </c>
      <c r="T192" s="27" t="s">
        <v>7</v>
      </c>
    </row>
    <row r="193" spans="1:17" x14ac:dyDescent="0.25">
      <c r="A193" s="30">
        <v>1.0464697253675E-3</v>
      </c>
      <c r="N193" s="27" t="s">
        <v>7</v>
      </c>
      <c r="O193" s="27" t="s">
        <v>8</v>
      </c>
      <c r="P193" s="27" t="s">
        <v>7</v>
      </c>
      <c r="Q193" s="27" t="s">
        <v>8</v>
      </c>
    </row>
    <row r="194" spans="1:17" x14ac:dyDescent="0.25">
      <c r="A194" s="30">
        <v>9.5133611397045449E-4</v>
      </c>
      <c r="N194" s="27" t="s">
        <v>7</v>
      </c>
      <c r="O194" s="27" t="s">
        <v>8</v>
      </c>
      <c r="P194" s="27" t="s">
        <v>7</v>
      </c>
    </row>
    <row r="195" spans="1:17" x14ac:dyDescent="0.25">
      <c r="A195" s="30">
        <v>8.6485101270041313E-4</v>
      </c>
      <c r="N195" s="27" t="s">
        <v>7</v>
      </c>
      <c r="O195" s="27" t="s">
        <v>8</v>
      </c>
    </row>
    <row r="196" spans="1:17" x14ac:dyDescent="0.25">
      <c r="A196" s="30">
        <v>7.862281933640119E-4</v>
      </c>
      <c r="N196" s="27" t="s">
        <v>7</v>
      </c>
      <c r="O196" s="27" t="s">
        <v>8</v>
      </c>
    </row>
    <row r="197" spans="1:17" x14ac:dyDescent="0.25">
      <c r="A197" s="30">
        <v>7.0760537402761068E-4</v>
      </c>
      <c r="N197" s="27" t="s">
        <v>7</v>
      </c>
      <c r="O197" s="27" t="s">
        <v>8</v>
      </c>
    </row>
    <row r="198" spans="1:17" x14ac:dyDescent="0.25">
      <c r="A198" s="30">
        <v>6.368448366248496E-4</v>
      </c>
      <c r="N198" s="27" t="s">
        <v>7</v>
      </c>
    </row>
    <row r="199" spans="1:17" x14ac:dyDescent="0.25">
      <c r="A199" s="30">
        <v>5.7316035296236471E-4</v>
      </c>
    </row>
    <row r="200" spans="1:17" x14ac:dyDescent="0.25">
      <c r="A200" s="30">
        <v>5.1584431766612821E-4</v>
      </c>
    </row>
    <row r="201" spans="1:17" x14ac:dyDescent="0.25">
      <c r="A201" s="30">
        <v>4.6425988589951538E-4</v>
      </c>
    </row>
    <row r="202" spans="1:17" x14ac:dyDescent="0.25">
      <c r="A202" s="30">
        <v>4.1783389730956383E-4</v>
      </c>
    </row>
    <row r="203" spans="1:17" x14ac:dyDescent="0.25">
      <c r="A203" s="30">
        <v>3.7605050757860746E-4</v>
      </c>
    </row>
    <row r="204" spans="1:17" x14ac:dyDescent="0.25">
      <c r="A204" s="30">
        <v>3.3844545682074675E-4</v>
      </c>
    </row>
    <row r="205" spans="1:17" x14ac:dyDescent="0.25">
      <c r="A205" s="30">
        <v>3.0460091113867208E-4</v>
      </c>
    </row>
    <row r="206" spans="1:17" x14ac:dyDescent="0.25">
      <c r="A206" s="30">
        <v>2.7414082002480487E-4</v>
      </c>
    </row>
    <row r="207" spans="1:17" x14ac:dyDescent="0.25">
      <c r="A207" s="30">
        <v>2.4672673802232442E-4</v>
      </c>
    </row>
    <row r="208" spans="1:17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324" operator="equal">
      <formula>$U$1</formula>
    </cfRule>
    <cfRule type="cellIs" dxfId="30" priority="1325" operator="equal">
      <formula>$S$1</formula>
    </cfRule>
  </conditionalFormatting>
  <conditionalFormatting sqref="D136">
    <cfRule type="cellIs" dxfId="29" priority="1322" operator="equal">
      <formula>$S$1</formula>
    </cfRule>
    <cfRule type="cellIs" dxfId="28" priority="1323" operator="equal">
      <formula>$U$1</formula>
    </cfRule>
  </conditionalFormatting>
  <conditionalFormatting sqref="C102">
    <cfRule type="cellIs" dxfId="27" priority="1320" operator="equal">
      <formula>$U$1</formula>
    </cfRule>
    <cfRule type="cellIs" dxfId="26" priority="1321" operator="equal">
      <formula>$S$1</formula>
    </cfRule>
  </conditionalFormatting>
  <conditionalFormatting sqref="D102">
    <cfRule type="cellIs" dxfId="25" priority="1318" operator="equal">
      <formula>$S$1</formula>
    </cfRule>
    <cfRule type="cellIs" dxfId="24" priority="1319" operator="equal">
      <formula>$U$1</formula>
    </cfRule>
  </conditionalFormatting>
  <conditionalFormatting sqref="C77">
    <cfRule type="cellIs" dxfId="23" priority="1316" operator="equal">
      <formula>$U$1</formula>
    </cfRule>
    <cfRule type="cellIs" dxfId="22" priority="1317" operator="equal">
      <formula>$S$1</formula>
    </cfRule>
  </conditionalFormatting>
  <conditionalFormatting sqref="D77">
    <cfRule type="cellIs" dxfId="21" priority="1314" operator="equal">
      <formula>$S$1</formula>
    </cfRule>
    <cfRule type="cellIs" dxfId="20" priority="1315" operator="equal">
      <formula>$U$1</formula>
    </cfRule>
  </conditionalFormatting>
  <conditionalFormatting sqref="C52">
    <cfRule type="cellIs" dxfId="19" priority="1312" operator="equal">
      <formula>$U$1</formula>
    </cfRule>
    <cfRule type="cellIs" dxfId="18" priority="1313" operator="equal">
      <formula>$S$1</formula>
    </cfRule>
  </conditionalFormatting>
  <conditionalFormatting sqref="D52">
    <cfRule type="cellIs" dxfId="17" priority="1310" operator="equal">
      <formula>$S$1</formula>
    </cfRule>
    <cfRule type="cellIs" dxfId="16" priority="1311" operator="equal">
      <formula>$U$1</formula>
    </cfRule>
  </conditionalFormatting>
  <conditionalFormatting sqref="C26">
    <cfRule type="cellIs" dxfId="15" priority="1308" operator="equal">
      <formula>$U$1</formula>
    </cfRule>
    <cfRule type="cellIs" dxfId="14" priority="1309" operator="equal">
      <formula>$S$1</formula>
    </cfRule>
  </conditionalFormatting>
  <conditionalFormatting sqref="D26">
    <cfRule type="cellIs" dxfId="13" priority="1306" operator="equal">
      <formula>$S$1</formula>
    </cfRule>
    <cfRule type="cellIs" dxfId="12" priority="1307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6" t="s">
        <v>17</v>
      </c>
      <c r="C1" s="36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4.8558298182760043E-2</v>
      </c>
      <c r="F3" s="30">
        <v>5.6212299933817669E-2</v>
      </c>
      <c r="G3" s="30">
        <v>0.10599667515822032</v>
      </c>
      <c r="H3" s="25">
        <f>IF(G3="","",(3*(G3-F3))+E3)</f>
        <v>0.19791142385596799</v>
      </c>
      <c r="I3" s="7"/>
      <c r="J3" s="7">
        <f>(E3+G3)/2</f>
        <v>7.7277486670490184E-2</v>
      </c>
      <c r="K3" s="7">
        <f>H3/2</f>
        <v>9.8955711927983997E-2</v>
      </c>
      <c r="M3" s="26">
        <f>IF(OR(J3="",H3=""),"",H3/J3)</f>
        <v>2.5610489210118694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2022-01-28T01:13:35Z</dcterms:modified>
</cp:coreProperties>
</file>